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N-IOH\Documents\DASHBOARD MS\"/>
    </mc:Choice>
  </mc:AlternateContent>
  <bookViews>
    <workbookView xWindow="0" yWindow="0" windowWidth="19200" windowHeight="6640"/>
  </bookViews>
  <sheets>
    <sheet name="Sheet1" sheetId="1" r:id="rId1"/>
    <sheet name="Sheet2" sheetId="2" r:id="rId2"/>
  </sheets>
  <definedNames>
    <definedName name="_xlnm._FilterDatabase" localSheetId="0" hidden="1">Sheet1!$A$3:$D$3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G15" i="1" s="1"/>
  <c r="F14" i="1"/>
  <c r="G14" i="1" s="1"/>
  <c r="F13" i="1"/>
  <c r="G13" i="1" s="1"/>
  <c r="F12" i="1"/>
  <c r="G12" i="1" s="1"/>
  <c r="F11" i="1"/>
  <c r="G11" i="1" s="1"/>
  <c r="F5" i="1"/>
  <c r="G5" i="1"/>
  <c r="F6" i="1"/>
  <c r="G6" i="1" s="1"/>
  <c r="F7" i="1"/>
  <c r="G7" i="1"/>
  <c r="F8" i="1"/>
  <c r="G8" i="1"/>
  <c r="G4" i="1"/>
  <c r="F4" i="1"/>
  <c r="E15" i="1"/>
  <c r="E14" i="1"/>
  <c r="E13" i="1"/>
  <c r="E12" i="1"/>
  <c r="E11" i="1"/>
  <c r="E5" i="1"/>
  <c r="E6" i="1"/>
  <c r="E7" i="1"/>
  <c r="E8" i="1"/>
  <c r="E4" i="1"/>
</calcChain>
</file>

<file path=xl/sharedStrings.xml><?xml version="1.0" encoding="utf-8"?>
<sst xmlns="http://schemas.openxmlformats.org/spreadsheetml/2006/main" count="220" uniqueCount="93">
  <si>
    <t>DSE Code</t>
  </si>
  <si>
    <t>Micro Cluster Name</t>
  </si>
  <si>
    <t>DSE1082</t>
  </si>
  <si>
    <t>MC-BENGKAYANG</t>
  </si>
  <si>
    <t>DSE1147</t>
  </si>
  <si>
    <t>DSE-BENGKAYANG01</t>
  </si>
  <si>
    <t>DSE-JAGOIBABNG01</t>
  </si>
  <si>
    <t>DSE-JAGOIBABNG02</t>
  </si>
  <si>
    <t>ACH %</t>
  </si>
  <si>
    <t>TARGET SP SELL IN</t>
  </si>
  <si>
    <t>TARGET OSA</t>
  </si>
  <si>
    <t>#OUTLET PJP</t>
  </si>
  <si>
    <t>#OUTLET VISITED PJP</t>
  </si>
  <si>
    <t>%OUTLET VISITED VS PJP</t>
  </si>
  <si>
    <t>#OUTLET VISITED AD HOC</t>
  </si>
  <si>
    <t>%OUTLET VISITED VS AD HOC</t>
  </si>
  <si>
    <t>#OUTLET EFECTIVE CALL</t>
  </si>
  <si>
    <t>%OUTLET EFECTIVE CALL</t>
  </si>
  <si>
    <t>#OUTLET SP TAGGING</t>
  </si>
  <si>
    <t>#OUTLET SP TAGGING GA</t>
  </si>
  <si>
    <t>#OUTLET SP TAGGING INCENTIVE</t>
  </si>
  <si>
    <t>#OUTLET BIOMETRIC INCENTIVE</t>
  </si>
  <si>
    <t>#OUTLET LOW STOCK SALDO</t>
  </si>
  <si>
    <t>#OUTLET LOW STOCK SP</t>
  </si>
  <si>
    <t>#OUTLET LOW STOCK VOUCHER</t>
  </si>
  <si>
    <t>OSA AMOUNT (LMTD)</t>
  </si>
  <si>
    <t>OSA AMOUNT (MTD)</t>
  </si>
  <si>
    <t>%TARGET OSA ACH</t>
  </si>
  <si>
    <t>OSA MoM</t>
  </si>
  <si>
    <t>TARGET SP SELLIN 3GB</t>
  </si>
  <si>
    <t>SP SELLIN 3GB (LMTD)</t>
  </si>
  <si>
    <t>SP SELLIN 3GB (MTD)</t>
  </si>
  <si>
    <t>%TARGET SELLIN SP ACH</t>
  </si>
  <si>
    <t>SP SELLIN 3GB MoM</t>
  </si>
  <si>
    <t>#SP ORI + INJECT SELLIN</t>
  </si>
  <si>
    <t>#SP ZERO SELLIN</t>
  </si>
  <si>
    <t>OUTLET SP ORI + INJECT SELLIN</t>
  </si>
  <si>
    <t>OUTLET SP ZERO SELLIN</t>
  </si>
  <si>
    <t>#VOUCHER ORI SELLIN</t>
  </si>
  <si>
    <t>#VOUCHER ZERO SELLIN</t>
  </si>
  <si>
    <t>#GA TRADE TOTAL</t>
  </si>
  <si>
    <t>#GA TRADE BIOMETRIC</t>
  </si>
  <si>
    <t>#GA TRADE NIK NOKK</t>
  </si>
  <si>
    <t>#GA TRADE 500MB</t>
  </si>
  <si>
    <t>#GA TRADE 500MB BIOMETRIC</t>
  </si>
  <si>
    <t>#GA TRADE 500MB NIK NOKK</t>
  </si>
  <si>
    <t>INCENTIVE INDICATIVE</t>
  </si>
  <si>
    <t>#GA TRADE 100MB</t>
  </si>
  <si>
    <t>#GA TRADE 100MB BIOMETRIC</t>
  </si>
  <si>
    <t>#GA TRADE 100MB NIK NOKK</t>
  </si>
  <si>
    <t>#SP TAGGING</t>
  </si>
  <si>
    <t>#SP TAGGING GA</t>
  </si>
  <si>
    <t>#SP TAGGING INCENTIVE</t>
  </si>
  <si>
    <t>AVG OUTLET VISIT DURATION</t>
  </si>
  <si>
    <t>ONO</t>
  </si>
  <si>
    <t>#OUTLET ONLINE PURCHASE</t>
  </si>
  <si>
    <t>AMOUNT ONLINE PURCHASE</t>
  </si>
  <si>
    <t>SUGGESTION SELLIN</t>
  </si>
  <si>
    <t>branch</t>
  </si>
  <si>
    <t>mc_cluster</t>
  </si>
  <si>
    <t>dse_code</t>
  </si>
  <si>
    <t>partner</t>
  </si>
  <si>
    <t>value</t>
  </si>
  <si>
    <t>SINGKAWANG</t>
  </si>
  <si>
    <t>SDP MONTERADO BENGKAYANG</t>
  </si>
  <si>
    <t>SDP JAGOI BABANG BENGKAYANG</t>
  </si>
  <si>
    <t>MC-MEMPAWAH</t>
  </si>
  <si>
    <t>2613051242</t>
  </si>
  <si>
    <t>AUTOLOAD TELEMEDIA, PT</t>
  </si>
  <si>
    <t>DSE-MEMPAWAH01</t>
  </si>
  <si>
    <t>DSE-MEMPAWAH02</t>
  </si>
  <si>
    <t>DSE-MEMPAWAH04</t>
  </si>
  <si>
    <t>DSE-MEMPAWAH05</t>
  </si>
  <si>
    <t>MC-SAMBAS</t>
  </si>
  <si>
    <t>CSOSDPSUKMA1</t>
  </si>
  <si>
    <t>SDP Sukma Cell Jawai Sambas</t>
  </si>
  <si>
    <t>CSOSDPSUKMA2</t>
  </si>
  <si>
    <t>DSE-PEMANGKAT01</t>
  </si>
  <si>
    <t>SUKSES JAYA KOMUNIKA, PT</t>
  </si>
  <si>
    <t>DSE-PEMANGKAT02</t>
  </si>
  <si>
    <t>DSE-PEMANGKAT03</t>
  </si>
  <si>
    <t>DSE-SAMBAS01</t>
  </si>
  <si>
    <t>SDP SAMBAS SAMBAS</t>
  </si>
  <si>
    <t>DSE-SAMBAS02</t>
  </si>
  <si>
    <t>MC-SINGKAWANG</t>
  </si>
  <si>
    <t>DSECBH-SKW2</t>
  </si>
  <si>
    <t>CENGLI BAWA HOKI, PT</t>
  </si>
  <si>
    <t>DSECBH-SKW3</t>
  </si>
  <si>
    <t>DSECBH-SKW5</t>
  </si>
  <si>
    <t>DSECBH-SKW6</t>
  </si>
  <si>
    <t>ACH MTD</t>
  </si>
  <si>
    <t>GAP MONTHLY</t>
  </si>
  <si>
    <t>GAP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</si>
</sst>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7" formatCode="_(* #,##0.00_);_(* \(#,##0.00\);_(* &quot;-&quot;??_);_(@_)"/>
    <numFmt numFmtId="169" formatCode="_-* #,##0_-;\-* #,##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Aptos Narrow"/>
      <charset val="134"/>
    </font>
    <font>
      <b/>
      <sz val="10"/>
      <color indexed="9"/>
      <name val="Aptos Narrow"/>
      <charset val="134"/>
    </font>
    <font>
      <b/>
      <sz val="10"/>
      <name val="Aptos Narrow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1154A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21">
    <xf numFmtId="0" fontId="0" fillId="0" borderId="0" xfId="0"/>
    <xf numFmtId="9" fontId="4" fillId="4" borderId="0" xfId="2" applyFont="1" applyFill="1" applyBorder="1" applyAlignment="1">
      <alignment vertical="center" wrapText="1"/>
    </xf>
    <xf numFmtId="17" fontId="2" fillId="4" borderId="0" xfId="0" applyNumberFormat="1" applyFont="1" applyFill="1" applyBorder="1"/>
    <xf numFmtId="0" fontId="3" fillId="4" borderId="0" xfId="0" applyFont="1" applyFill="1" applyBorder="1"/>
    <xf numFmtId="0" fontId="2" fillId="4" borderId="0" xfId="0" applyFont="1" applyFill="1" applyBorder="1"/>
    <xf numFmtId="0" fontId="3" fillId="4" borderId="0" xfId="0" applyFont="1" applyFill="1" applyBorder="1" applyAlignment="1">
      <alignment horizontal="left"/>
    </xf>
    <xf numFmtId="0" fontId="7" fillId="2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left"/>
    </xf>
    <xf numFmtId="9" fontId="6" fillId="3" borderId="1" xfId="0" applyNumberFormat="1" applyFont="1" applyFill="1" applyBorder="1" applyAlignment="1" applyProtection="1">
      <alignment vertical="center" wrapText="1"/>
    </xf>
    <xf numFmtId="10" fontId="5" fillId="0" borderId="1" xfId="2" applyNumberFormat="1" applyFont="1" applyFill="1" applyBorder="1" applyAlignment="1" applyProtection="1"/>
    <xf numFmtId="169" fontId="5" fillId="0" borderId="1" xfId="1" applyNumberFormat="1" applyFont="1" applyFill="1" applyBorder="1" applyAlignment="1" applyProtection="1"/>
    <xf numFmtId="0" fontId="0" fillId="0" borderId="0" xfId="0" applyAlignment="1"/>
    <xf numFmtId="169" fontId="0" fillId="0" borderId="0" xfId="1" applyNumberFormat="1" applyFont="1" applyAlignment="1"/>
    <xf numFmtId="169" fontId="0" fillId="0" borderId="0" xfId="1" applyNumberFormat="1" applyFont="1" applyAlignment="1">
      <alignment vertical="top"/>
    </xf>
    <xf numFmtId="0" fontId="0" fillId="0" borderId="2" xfId="0" applyBorder="1"/>
    <xf numFmtId="169" fontId="0" fillId="0" borderId="2" xfId="1" applyNumberFormat="1" applyFont="1" applyBorder="1"/>
    <xf numFmtId="0" fontId="0" fillId="0" borderId="0" xfId="0" applyAlignment="1">
      <alignment vertical="top"/>
    </xf>
    <xf numFmtId="169" fontId="0" fillId="0" borderId="3" xfId="1" applyNumberFormat="1" applyFont="1" applyBorder="1"/>
    <xf numFmtId="169" fontId="0" fillId="0" borderId="0" xfId="1" applyNumberFormat="1" applyFont="1"/>
    <xf numFmtId="43" fontId="5" fillId="0" borderId="1" xfId="1" applyNumberFormat="1" applyFont="1" applyFill="1" applyBorder="1" applyAlignment="1" applyProtection="1"/>
    <xf numFmtId="169" fontId="3" fillId="4" borderId="1" xfId="1" applyNumberFormat="1" applyFont="1" applyFill="1" applyBorder="1"/>
  </cellXfs>
  <cellStyles count="4">
    <cellStyle name="Comma" xfId="1" builtinId="3"/>
    <cellStyle name="Comma 3 2" xf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9"/>
  <sheetViews>
    <sheetView tabSelected="1" workbookViewId="0">
      <selection activeCell="J13" sqref="J13"/>
    </sheetView>
  </sheetViews>
  <sheetFormatPr defaultColWidth="9.453125" defaultRowHeight="13"/>
  <cols>
    <col min="1" max="1" width="15.453125" style="3" bestFit="1" customWidth="1"/>
    <col min="2" max="2" width="21.26953125" style="3" bestFit="1" customWidth="1"/>
    <col min="3" max="3" width="18" style="3" bestFit="1" customWidth="1"/>
    <col min="4" max="7" width="14.54296875" style="3" customWidth="1"/>
    <col min="8" max="16384" width="9.453125" style="3"/>
  </cols>
  <sheetData>
    <row r="1" spans="1:7" ht="11.15" customHeight="1">
      <c r="A1" s="2"/>
    </row>
    <row r="2" spans="1:7">
      <c r="A2" s="1"/>
      <c r="B2" s="1"/>
      <c r="C2" s="1"/>
      <c r="D2" s="1"/>
    </row>
    <row r="3" spans="1:7" ht="32" customHeight="1">
      <c r="A3" s="8" t="s">
        <v>0</v>
      </c>
      <c r="B3" s="8" t="s">
        <v>1</v>
      </c>
      <c r="C3" s="6" t="s">
        <v>10</v>
      </c>
      <c r="D3" s="6" t="s">
        <v>90</v>
      </c>
      <c r="E3" s="6" t="s">
        <v>8</v>
      </c>
      <c r="F3" s="6" t="s">
        <v>91</v>
      </c>
      <c r="G3" s="6" t="s">
        <v>92</v>
      </c>
    </row>
    <row r="4" spans="1:7" ht="13" customHeight="1">
      <c r="A4" s="7" t="s">
        <v>2</v>
      </c>
      <c r="B4" s="10" t="s">
        <v>3</v>
      </c>
      <c r="C4" s="10">
        <v>621760720.32094395</v>
      </c>
      <c r="D4" s="20">
        <v>130352000</v>
      </c>
      <c r="E4" s="9">
        <f>D4/C4</f>
        <v>0.20964978285008767</v>
      </c>
      <c r="F4" s="10">
        <f>D4-C4</f>
        <v>-491408720.32094395</v>
      </c>
      <c r="G4" s="19">
        <f>F4/18</f>
        <v>-27300484.462274663</v>
      </c>
    </row>
    <row r="5" spans="1:7" ht="13.5">
      <c r="A5" s="7" t="s">
        <v>4</v>
      </c>
      <c r="B5" s="10" t="s">
        <v>3</v>
      </c>
      <c r="C5" s="10">
        <v>575117071.19165206</v>
      </c>
      <c r="D5" s="20">
        <v>83255000</v>
      </c>
      <c r="E5" s="9">
        <f t="shared" ref="E5:E8" si="0">D5/C5</f>
        <v>0.14476183053911834</v>
      </c>
      <c r="F5" s="10">
        <f t="shared" ref="F5:F8" si="1">D5-C5</f>
        <v>-491862071.19165206</v>
      </c>
      <c r="G5" s="19">
        <f t="shared" ref="G5:G8" si="2">F5/18</f>
        <v>-27325670.621758446</v>
      </c>
    </row>
    <row r="6" spans="1:7" ht="13.5">
      <c r="A6" s="7" t="s">
        <v>5</v>
      </c>
      <c r="B6" s="10" t="s">
        <v>3</v>
      </c>
      <c r="C6" s="10">
        <v>91900861.058193401</v>
      </c>
      <c r="D6" s="20">
        <v>5500000</v>
      </c>
      <c r="E6" s="9">
        <f t="shared" si="0"/>
        <v>5.9847099762398243E-2</v>
      </c>
      <c r="F6" s="10">
        <f t="shared" si="1"/>
        <v>-86400861.058193401</v>
      </c>
      <c r="G6" s="19">
        <f t="shared" si="2"/>
        <v>-4800047.8365663001</v>
      </c>
    </row>
    <row r="7" spans="1:7" ht="13.5">
      <c r="A7" s="7" t="s">
        <v>6</v>
      </c>
      <c r="B7" s="10" t="s">
        <v>3</v>
      </c>
      <c r="C7" s="10">
        <v>241784636.953421</v>
      </c>
      <c r="D7" s="20">
        <v>44927200</v>
      </c>
      <c r="E7" s="9">
        <f t="shared" si="0"/>
        <v>0.18581494906417514</v>
      </c>
      <c r="F7" s="10">
        <f t="shared" si="1"/>
        <v>-196857436.953421</v>
      </c>
      <c r="G7" s="19">
        <f t="shared" si="2"/>
        <v>-10936524.275190055</v>
      </c>
    </row>
    <row r="8" spans="1:7" ht="13.5">
      <c r="A8" s="7" t="s">
        <v>7</v>
      </c>
      <c r="B8" s="10" t="s">
        <v>3</v>
      </c>
      <c r="C8" s="10">
        <v>451939961.27051902</v>
      </c>
      <c r="D8" s="20">
        <v>89183000</v>
      </c>
      <c r="E8" s="9">
        <f t="shared" si="0"/>
        <v>0.19733373377579566</v>
      </c>
      <c r="F8" s="10">
        <f t="shared" si="1"/>
        <v>-362756961.27051902</v>
      </c>
      <c r="G8" s="19">
        <f t="shared" si="2"/>
        <v>-20153164.515028834</v>
      </c>
    </row>
    <row r="9" spans="1:7">
      <c r="B9" s="5"/>
    </row>
    <row r="10" spans="1:7">
      <c r="A10" s="8" t="s">
        <v>0</v>
      </c>
      <c r="B10" s="8" t="s">
        <v>1</v>
      </c>
      <c r="C10" s="6" t="s">
        <v>9</v>
      </c>
      <c r="D10" s="6" t="s">
        <v>90</v>
      </c>
      <c r="E10" s="6" t="s">
        <v>8</v>
      </c>
      <c r="F10" s="6" t="s">
        <v>91</v>
      </c>
      <c r="G10" s="6" t="s">
        <v>92</v>
      </c>
    </row>
    <row r="11" spans="1:7" ht="13.5">
      <c r="A11" s="7" t="s">
        <v>2</v>
      </c>
      <c r="B11" s="10" t="s">
        <v>3</v>
      </c>
      <c r="C11" s="10">
        <v>744.32125870725895</v>
      </c>
      <c r="D11" s="10">
        <v>326</v>
      </c>
      <c r="E11" s="9">
        <f t="shared" ref="E11:E15" si="3">D11/C11</f>
        <v>0.43798292227498448</v>
      </c>
      <c r="F11" s="10">
        <f>D11-C11</f>
        <v>-418.32125870725895</v>
      </c>
      <c r="G11" s="19">
        <f>F11/18</f>
        <v>-23.240069928181054</v>
      </c>
    </row>
    <row r="12" spans="1:7" ht="13.5">
      <c r="A12" s="7" t="s">
        <v>4</v>
      </c>
      <c r="B12" s="10" t="s">
        <v>3</v>
      </c>
      <c r="C12" s="10">
        <v>397.981099231874</v>
      </c>
      <c r="D12" s="10">
        <v>151</v>
      </c>
      <c r="E12" s="9">
        <f t="shared" si="3"/>
        <v>0.37941500310300796</v>
      </c>
      <c r="F12" s="10">
        <f t="shared" ref="F12:F15" si="4">D12-C12</f>
        <v>-246.981099231874</v>
      </c>
      <c r="G12" s="19">
        <f t="shared" ref="G12:G15" si="5">F12/18</f>
        <v>-13.721172179548555</v>
      </c>
    </row>
    <row r="13" spans="1:7" ht="13.5">
      <c r="A13" s="7" t="s">
        <v>5</v>
      </c>
      <c r="B13" s="10" t="s">
        <v>3</v>
      </c>
      <c r="C13" s="10">
        <v>75</v>
      </c>
      <c r="D13" s="10">
        <v>0</v>
      </c>
      <c r="E13" s="9">
        <f t="shared" si="3"/>
        <v>0</v>
      </c>
      <c r="F13" s="10">
        <f t="shared" si="4"/>
        <v>-75</v>
      </c>
      <c r="G13" s="19">
        <f t="shared" si="5"/>
        <v>-4.166666666666667</v>
      </c>
    </row>
    <row r="14" spans="1:7" ht="13.5">
      <c r="A14" s="7" t="s">
        <v>6</v>
      </c>
      <c r="B14" s="10" t="s">
        <v>3</v>
      </c>
      <c r="C14" s="10">
        <v>324.753531078332</v>
      </c>
      <c r="D14" s="10">
        <v>101</v>
      </c>
      <c r="E14" s="9">
        <f t="shared" si="3"/>
        <v>0.31100508642549091</v>
      </c>
      <c r="F14" s="10">
        <f t="shared" si="4"/>
        <v>-223.753531078332</v>
      </c>
      <c r="G14" s="19">
        <f t="shared" si="5"/>
        <v>-12.430751726574</v>
      </c>
    </row>
    <row r="15" spans="1:7" ht="13.5">
      <c r="A15" s="7" t="s">
        <v>7</v>
      </c>
      <c r="B15" s="10" t="s">
        <v>3</v>
      </c>
      <c r="C15" s="10">
        <v>398.57741493344997</v>
      </c>
      <c r="D15" s="10">
        <v>102</v>
      </c>
      <c r="E15" s="9">
        <f t="shared" si="3"/>
        <v>0.25591013484050729</v>
      </c>
      <c r="F15" s="10">
        <f t="shared" si="4"/>
        <v>-296.57741493344997</v>
      </c>
      <c r="G15" s="19">
        <f t="shared" si="5"/>
        <v>-16.476523051858333</v>
      </c>
    </row>
    <row r="16" spans="1:7">
      <c r="B16" s="5"/>
    </row>
    <row r="17" spans="2:2">
      <c r="B17" s="5"/>
    </row>
    <row r="18" spans="2:2">
      <c r="B18" s="5"/>
    </row>
    <row r="19" spans="2:2">
      <c r="B19" s="5"/>
    </row>
    <row r="20" spans="2:2">
      <c r="B20" s="5"/>
    </row>
    <row r="21" spans="2:2">
      <c r="B21" s="5"/>
    </row>
    <row r="22" spans="2:2">
      <c r="B22" s="5"/>
    </row>
    <row r="23" spans="2:2">
      <c r="B23" s="5"/>
    </row>
    <row r="24" spans="2:2">
      <c r="B24" s="5"/>
    </row>
    <row r="25" spans="2:2">
      <c r="B25" s="5"/>
    </row>
    <row r="26" spans="2:2">
      <c r="B26" s="5"/>
    </row>
    <row r="27" spans="2:2">
      <c r="B27" s="5"/>
    </row>
    <row r="28" spans="2:2">
      <c r="B28" s="5"/>
    </row>
    <row r="29" spans="2:2">
      <c r="B29" s="5"/>
    </row>
    <row r="30" spans="2:2">
      <c r="B30" s="5"/>
    </row>
    <row r="31" spans="2:2">
      <c r="B31" s="5"/>
    </row>
    <row r="32" spans="2:2">
      <c r="B32" s="5"/>
    </row>
    <row r="33" spans="1:4">
      <c r="B33" s="5"/>
    </row>
    <row r="34" spans="1:4">
      <c r="B34" s="5"/>
    </row>
    <row r="35" spans="1:4">
      <c r="B35" s="5"/>
    </row>
    <row r="36" spans="1:4">
      <c r="B36" s="5"/>
    </row>
    <row r="37" spans="1:4">
      <c r="B37" s="5"/>
    </row>
    <row r="38" spans="1:4">
      <c r="B38" s="5"/>
    </row>
    <row r="39" spans="1:4" s="4" customFormat="1">
      <c r="A39" s="3"/>
      <c r="B39" s="5"/>
      <c r="C39" s="3"/>
      <c r="D39" s="3"/>
    </row>
    <row r="40" spans="1:4" s="4" customFormat="1">
      <c r="A40" s="3"/>
      <c r="B40" s="5"/>
      <c r="C40" s="3"/>
      <c r="D40" s="3"/>
    </row>
    <row r="41" spans="1:4" s="4" customFormat="1">
      <c r="A41" s="3"/>
      <c r="B41" s="5"/>
      <c r="C41" s="3"/>
      <c r="D41" s="3"/>
    </row>
    <row r="42" spans="1:4" s="4" customFormat="1">
      <c r="A42" s="3"/>
      <c r="B42" s="5"/>
      <c r="C42" s="3"/>
      <c r="D42" s="3"/>
    </row>
    <row r="43" spans="1:4">
      <c r="B43" s="5"/>
    </row>
    <row r="44" spans="1:4">
      <c r="B44" s="5"/>
    </row>
    <row r="45" spans="1:4">
      <c r="B45" s="5"/>
    </row>
    <row r="46" spans="1:4">
      <c r="B46" s="5"/>
    </row>
    <row r="47" spans="1:4">
      <c r="B47" s="5"/>
    </row>
    <row r="48" spans="1:4">
      <c r="B48" s="5"/>
    </row>
    <row r="49" spans="2:2">
      <c r="B49" s="5"/>
    </row>
    <row r="50" spans="2:2">
      <c r="B50" s="5"/>
    </row>
    <row r="51" spans="2:2">
      <c r="B51" s="5"/>
    </row>
    <row r="52" spans="2:2">
      <c r="B52" s="5"/>
    </row>
    <row r="53" spans="2:2">
      <c r="B53" s="5"/>
    </row>
    <row r="54" spans="2:2">
      <c r="B54" s="5"/>
    </row>
    <row r="55" spans="2:2">
      <c r="B55" s="5"/>
    </row>
    <row r="56" spans="2:2">
      <c r="B56" s="5"/>
    </row>
    <row r="57" spans="2:2">
      <c r="B57" s="5"/>
    </row>
    <row r="58" spans="2:2">
      <c r="B58" s="5"/>
    </row>
    <row r="59" spans="2:2">
      <c r="B59" s="5"/>
    </row>
    <row r="60" spans="2:2">
      <c r="B60" s="5"/>
    </row>
    <row r="61" spans="2:2">
      <c r="B61" s="5"/>
    </row>
    <row r="62" spans="2:2">
      <c r="B62" s="5"/>
    </row>
    <row r="63" spans="2:2">
      <c r="B63" s="5"/>
    </row>
    <row r="64" spans="2:2">
      <c r="B64" s="5"/>
    </row>
    <row r="65" spans="2:2">
      <c r="B65" s="5"/>
    </row>
    <row r="66" spans="2:2">
      <c r="B66" s="5"/>
    </row>
    <row r="67" spans="2:2">
      <c r="B67" s="5"/>
    </row>
    <row r="68" spans="2:2">
      <c r="B68" s="5"/>
    </row>
    <row r="69" spans="2:2">
      <c r="B69" s="5"/>
    </row>
    <row r="70" spans="2:2">
      <c r="B70" s="5"/>
    </row>
    <row r="71" spans="2:2">
      <c r="B71" s="5"/>
    </row>
    <row r="72" spans="2:2">
      <c r="B72" s="5"/>
    </row>
    <row r="73" spans="2:2">
      <c r="B73" s="5"/>
    </row>
    <row r="74" spans="2:2">
      <c r="B74" s="5"/>
    </row>
    <row r="75" spans="2:2">
      <c r="B75" s="5"/>
    </row>
    <row r="76" spans="2:2">
      <c r="B76" s="5"/>
    </row>
    <row r="77" spans="2:2">
      <c r="B77" s="5"/>
    </row>
    <row r="78" spans="2:2">
      <c r="B78" s="5"/>
    </row>
    <row r="79" spans="2:2">
      <c r="B79" s="5"/>
    </row>
    <row r="80" spans="2:2">
      <c r="B80" s="5"/>
    </row>
    <row r="81" spans="2:2">
      <c r="B81" s="5"/>
    </row>
    <row r="82" spans="2:2">
      <c r="B82" s="5"/>
    </row>
    <row r="83" spans="2:2">
      <c r="B83" s="5"/>
    </row>
    <row r="84" spans="2:2">
      <c r="B84" s="5"/>
    </row>
    <row r="85" spans="2:2">
      <c r="B85" s="5"/>
    </row>
    <row r="86" spans="2:2">
      <c r="B86" s="5"/>
    </row>
    <row r="87" spans="2:2">
      <c r="B87" s="5"/>
    </row>
    <row r="88" spans="2:2">
      <c r="B88" s="5"/>
    </row>
    <row r="89" spans="2:2">
      <c r="B89" s="5"/>
    </row>
    <row r="90" spans="2:2">
      <c r="B90" s="5"/>
    </row>
    <row r="91" spans="2:2">
      <c r="B91" s="5"/>
    </row>
    <row r="92" spans="2:2">
      <c r="B92" s="5"/>
    </row>
    <row r="93" spans="2:2">
      <c r="B93" s="5"/>
    </row>
    <row r="94" spans="2:2">
      <c r="B94" s="5"/>
    </row>
    <row r="95" spans="2:2">
      <c r="B95" s="5"/>
    </row>
    <row r="96" spans="2:2">
      <c r="B96" s="5"/>
    </row>
    <row r="97" spans="2:2">
      <c r="B97" s="5"/>
    </row>
    <row r="98" spans="2:2">
      <c r="B98" s="5"/>
    </row>
    <row r="99" spans="2:2">
      <c r="B99" s="5"/>
    </row>
    <row r="100" spans="2:2">
      <c r="B100" s="5"/>
    </row>
    <row r="101" spans="2:2">
      <c r="B101" s="5"/>
    </row>
    <row r="102" spans="2:2">
      <c r="B102" s="5"/>
    </row>
    <row r="103" spans="2:2">
      <c r="B103" s="5"/>
    </row>
    <row r="104" spans="2:2">
      <c r="B104" s="5"/>
    </row>
    <row r="105" spans="2:2">
      <c r="B105" s="5"/>
    </row>
    <row r="106" spans="2:2">
      <c r="B106" s="5"/>
    </row>
    <row r="107" spans="2:2">
      <c r="B107" s="5"/>
    </row>
    <row r="108" spans="2:2">
      <c r="B108" s="5"/>
    </row>
    <row r="109" spans="2:2">
      <c r="B109" s="5"/>
    </row>
    <row r="110" spans="2:2">
      <c r="B110" s="5"/>
    </row>
    <row r="111" spans="2:2">
      <c r="B111" s="5"/>
    </row>
    <row r="112" spans="2:2">
      <c r="B112" s="5"/>
    </row>
    <row r="113" spans="2:2">
      <c r="B113" s="5"/>
    </row>
    <row r="114" spans="2:2">
      <c r="B114" s="5"/>
    </row>
    <row r="115" spans="2:2">
      <c r="B115" s="5"/>
    </row>
    <row r="116" spans="2:2">
      <c r="B116" s="5"/>
    </row>
    <row r="117" spans="2:2">
      <c r="B117" s="5"/>
    </row>
    <row r="118" spans="2:2">
      <c r="B118" s="5"/>
    </row>
    <row r="119" spans="2:2">
      <c r="B119" s="5"/>
    </row>
    <row r="120" spans="2:2">
      <c r="B120" s="5"/>
    </row>
    <row r="121" spans="2:2">
      <c r="B121" s="5"/>
    </row>
    <row r="122" spans="2:2">
      <c r="B122" s="5"/>
    </row>
    <row r="123" spans="2:2">
      <c r="B123" s="5"/>
    </row>
    <row r="124" spans="2:2">
      <c r="B124" s="5"/>
    </row>
    <row r="125" spans="2:2">
      <c r="B125" s="5"/>
    </row>
    <row r="126" spans="2:2">
      <c r="B126" s="5"/>
    </row>
    <row r="127" spans="2:2">
      <c r="B127" s="5"/>
    </row>
    <row r="128" spans="2:2">
      <c r="B128" s="5"/>
    </row>
    <row r="129" spans="2:2">
      <c r="B129" s="5"/>
    </row>
    <row r="130" spans="2:2">
      <c r="B130" s="5"/>
    </row>
    <row r="131" spans="2:2">
      <c r="B131" s="5"/>
    </row>
    <row r="132" spans="2:2">
      <c r="B132" s="5"/>
    </row>
    <row r="133" spans="2:2">
      <c r="B133" s="5"/>
    </row>
    <row r="134" spans="2:2">
      <c r="B134" s="5"/>
    </row>
    <row r="135" spans="2:2">
      <c r="B135" s="5"/>
    </row>
    <row r="136" spans="2:2">
      <c r="B136" s="5"/>
    </row>
    <row r="137" spans="2:2">
      <c r="B137" s="5"/>
    </row>
    <row r="138" spans="2:2">
      <c r="B138" s="5"/>
    </row>
    <row r="139" spans="2:2">
      <c r="B139" s="5"/>
    </row>
    <row r="140" spans="2:2">
      <c r="B140" s="5"/>
    </row>
    <row r="141" spans="2:2">
      <c r="B141" s="5"/>
    </row>
    <row r="142" spans="2:2">
      <c r="B142" s="5"/>
    </row>
    <row r="143" spans="2:2">
      <c r="B143" s="5"/>
    </row>
    <row r="144" spans="2:2">
      <c r="B144" s="5"/>
    </row>
    <row r="145" spans="2:2">
      <c r="B145" s="5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  <row r="219" spans="2:2">
      <c r="B219" s="5"/>
    </row>
    <row r="220" spans="2:2">
      <c r="B220" s="5"/>
    </row>
    <row r="221" spans="2:2">
      <c r="B221" s="5"/>
    </row>
    <row r="222" spans="2:2">
      <c r="B222" s="5"/>
    </row>
    <row r="223" spans="2:2">
      <c r="B223" s="5"/>
    </row>
    <row r="224" spans="2:2">
      <c r="B224" s="5"/>
    </row>
    <row r="225" spans="2:2">
      <c r="B225" s="5"/>
    </row>
    <row r="226" spans="2:2">
      <c r="B226" s="5"/>
    </row>
    <row r="227" spans="2:2">
      <c r="B227" s="5"/>
    </row>
    <row r="228" spans="2:2">
      <c r="B228" s="5"/>
    </row>
    <row r="229" spans="2:2">
      <c r="B229" s="5"/>
    </row>
    <row r="230" spans="2:2">
      <c r="B230" s="5"/>
    </row>
    <row r="231" spans="2:2">
      <c r="B231" s="5"/>
    </row>
    <row r="232" spans="2:2">
      <c r="B232" s="5"/>
    </row>
    <row r="233" spans="2:2">
      <c r="B233" s="5"/>
    </row>
    <row r="234" spans="2:2">
      <c r="B234" s="5"/>
    </row>
    <row r="235" spans="2:2">
      <c r="B235" s="5"/>
    </row>
    <row r="236" spans="2:2">
      <c r="B236" s="5"/>
    </row>
    <row r="237" spans="2:2">
      <c r="B237" s="5"/>
    </row>
    <row r="238" spans="2:2">
      <c r="B238" s="5"/>
    </row>
    <row r="239" spans="2:2">
      <c r="B239" s="5"/>
    </row>
    <row r="240" spans="2:2">
      <c r="B240" s="5"/>
    </row>
    <row r="241" spans="2:2">
      <c r="B241" s="5"/>
    </row>
    <row r="242" spans="2:2">
      <c r="B242" s="5"/>
    </row>
    <row r="243" spans="2:2">
      <c r="B243" s="5"/>
    </row>
    <row r="244" spans="2:2">
      <c r="B244" s="5"/>
    </row>
    <row r="245" spans="2:2">
      <c r="B245" s="5"/>
    </row>
    <row r="246" spans="2:2">
      <c r="B246" s="5"/>
    </row>
    <row r="247" spans="2:2">
      <c r="B247" s="5"/>
    </row>
    <row r="248" spans="2:2">
      <c r="B248" s="5"/>
    </row>
    <row r="249" spans="2:2">
      <c r="B249" s="5"/>
    </row>
    <row r="250" spans="2:2">
      <c r="B250" s="5"/>
    </row>
    <row r="251" spans="2:2">
      <c r="B251" s="5"/>
    </row>
    <row r="252" spans="2:2">
      <c r="B252" s="5"/>
    </row>
    <row r="253" spans="2:2">
      <c r="B253" s="5"/>
    </row>
    <row r="254" spans="2:2">
      <c r="B254" s="5"/>
    </row>
    <row r="255" spans="2:2">
      <c r="B255" s="5"/>
    </row>
    <row r="256" spans="2:2">
      <c r="B256" s="5"/>
    </row>
    <row r="257" spans="2:2">
      <c r="B257" s="5"/>
    </row>
    <row r="258" spans="2:2">
      <c r="B258" s="5"/>
    </row>
    <row r="259" spans="2:2">
      <c r="B259" s="5"/>
    </row>
    <row r="260" spans="2:2">
      <c r="B260" s="5"/>
    </row>
    <row r="261" spans="2:2">
      <c r="B261" s="5"/>
    </row>
    <row r="262" spans="2:2">
      <c r="B262" s="5"/>
    </row>
    <row r="263" spans="2:2">
      <c r="B263" s="5"/>
    </row>
    <row r="264" spans="2:2">
      <c r="B264" s="5"/>
    </row>
    <row r="265" spans="2:2">
      <c r="B265" s="5"/>
    </row>
    <row r="266" spans="2:2">
      <c r="B266" s="5"/>
    </row>
    <row r="267" spans="2:2">
      <c r="B267" s="5"/>
    </row>
    <row r="268" spans="2:2">
      <c r="B268" s="5"/>
    </row>
    <row r="269" spans="2:2">
      <c r="B269" s="5"/>
    </row>
    <row r="270" spans="2:2">
      <c r="B270" s="5"/>
    </row>
    <row r="271" spans="2:2">
      <c r="B271" s="5"/>
    </row>
    <row r="272" spans="2:2">
      <c r="B272" s="5"/>
    </row>
    <row r="273" spans="2:2">
      <c r="B273" s="5"/>
    </row>
    <row r="274" spans="2:2">
      <c r="B274" s="5"/>
    </row>
    <row r="275" spans="2:2">
      <c r="B275" s="5"/>
    </row>
    <row r="276" spans="2:2">
      <c r="B276" s="5"/>
    </row>
    <row r="277" spans="2:2">
      <c r="B277" s="5"/>
    </row>
    <row r="278" spans="2:2">
      <c r="B278" s="5"/>
    </row>
    <row r="279" spans="2:2">
      <c r="B279" s="5"/>
    </row>
    <row r="280" spans="2:2">
      <c r="B280" s="5"/>
    </row>
    <row r="281" spans="2:2">
      <c r="B281" s="5"/>
    </row>
    <row r="282" spans="2:2">
      <c r="B282" s="5"/>
    </row>
    <row r="283" spans="2:2">
      <c r="B283" s="5"/>
    </row>
    <row r="284" spans="2:2">
      <c r="B284" s="5"/>
    </row>
    <row r="285" spans="2:2">
      <c r="B285" s="5"/>
    </row>
    <row r="286" spans="2:2">
      <c r="B286" s="5"/>
    </row>
    <row r="287" spans="2:2">
      <c r="B287" s="5"/>
    </row>
    <row r="288" spans="2:2">
      <c r="B288" s="5"/>
    </row>
    <row r="289" spans="2:2">
      <c r="B289" s="5"/>
    </row>
    <row r="290" spans="2:2">
      <c r="B290" s="5"/>
    </row>
    <row r="291" spans="2:2">
      <c r="B291" s="5"/>
    </row>
    <row r="292" spans="2:2">
      <c r="B292" s="5"/>
    </row>
    <row r="293" spans="2:2">
      <c r="B293" s="5"/>
    </row>
    <row r="294" spans="2:2">
      <c r="B294" s="5"/>
    </row>
    <row r="295" spans="2:2">
      <c r="B295" s="5"/>
    </row>
    <row r="296" spans="2:2">
      <c r="B296" s="5"/>
    </row>
    <row r="297" spans="2:2">
      <c r="B297" s="5"/>
    </row>
    <row r="298" spans="2:2">
      <c r="B298" s="5"/>
    </row>
    <row r="299" spans="2:2">
      <c r="B299" s="5"/>
    </row>
    <row r="300" spans="2:2">
      <c r="B300" s="5"/>
    </row>
    <row r="301" spans="2:2">
      <c r="B301" s="5"/>
    </row>
    <row r="302" spans="2:2">
      <c r="B302" s="5"/>
    </row>
    <row r="303" spans="2:2">
      <c r="B303" s="5"/>
    </row>
    <row r="304" spans="2:2">
      <c r="B304" s="5"/>
    </row>
    <row r="305" spans="2:2">
      <c r="B305" s="5"/>
    </row>
    <row r="306" spans="2:2">
      <c r="B306" s="5"/>
    </row>
    <row r="307" spans="2:2">
      <c r="B307" s="5"/>
    </row>
    <row r="308" spans="2:2">
      <c r="B308" s="5"/>
    </row>
    <row r="309" spans="2:2">
      <c r="B309" s="5"/>
    </row>
  </sheetData>
  <autoFilter ref="A3:D3"/>
  <sortState ref="A4:K27">
    <sortCondition ref="B11"/>
  </sortState>
  <conditionalFormatting sqref="B317:B322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3"/>
  <sheetViews>
    <sheetView workbookViewId="0">
      <selection sqref="A1:XFD1048576"/>
    </sheetView>
  </sheetViews>
  <sheetFormatPr defaultRowHeight="14.5"/>
  <cols>
    <col min="1" max="1" width="12.54296875" bestFit="1" customWidth="1"/>
    <col min="2" max="2" width="16.08984375" bestFit="1" customWidth="1"/>
    <col min="3" max="3" width="19.6328125" style="18" bestFit="1" customWidth="1"/>
    <col min="4" max="4" width="30.7265625" style="18" bestFit="1" customWidth="1"/>
    <col min="5" max="5" width="12.6328125" style="18" bestFit="1" customWidth="1"/>
    <col min="6" max="6" width="19.6328125" style="18" bestFit="1" customWidth="1"/>
    <col min="7" max="7" width="22.6328125" style="18" bestFit="1" customWidth="1"/>
    <col min="8" max="8" width="23.7265625" style="18" bestFit="1" customWidth="1"/>
    <col min="9" max="9" width="26.7265625" style="18" bestFit="1" customWidth="1"/>
    <col min="10" max="10" width="22.26953125" style="18" bestFit="1" customWidth="1"/>
    <col min="11" max="11" width="22.7265625" style="18" bestFit="1" customWidth="1"/>
    <col min="12" max="12" width="20.36328125" style="18" bestFit="1" customWidth="1"/>
    <col min="13" max="13" width="23.36328125" style="18" bestFit="1" customWidth="1"/>
    <col min="14" max="14" width="29.90625" style="18" bestFit="1" customWidth="1"/>
    <col min="15" max="15" width="29.08984375" style="18" bestFit="1" customWidth="1"/>
    <col min="16" max="16" width="26.1796875" style="18" bestFit="1" customWidth="1"/>
    <col min="17" max="17" width="22.453125" style="18" bestFit="1" customWidth="1"/>
    <col min="18" max="18" width="28.81640625" style="18" bestFit="1" customWidth="1"/>
    <col min="19" max="19" width="12.54296875" style="18" bestFit="1" customWidth="1"/>
    <col min="20" max="20" width="20.54296875" style="18" bestFit="1" customWidth="1"/>
    <col min="21" max="21" width="19.7265625" style="18" bestFit="1" customWidth="1"/>
    <col min="22" max="22" width="18.1796875" style="18" bestFit="1" customWidth="1"/>
    <col min="23" max="23" width="10.54296875" style="18" bestFit="1" customWidth="1"/>
    <col min="24" max="24" width="20.81640625" style="18" bestFit="1" customWidth="1"/>
    <col min="25" max="25" width="20.36328125" style="18" bestFit="1" customWidth="1"/>
    <col min="26" max="26" width="19.54296875" style="18" bestFit="1" customWidth="1"/>
    <col min="27" max="27" width="22.54296875" style="18" bestFit="1" customWidth="1"/>
    <col min="28" max="28" width="18.81640625" style="18" bestFit="1" customWidth="1"/>
    <col min="29" max="29" width="22" style="18" bestFit="1" customWidth="1"/>
    <col min="30" max="30" width="15.7265625" style="18" bestFit="1" customWidth="1"/>
    <col min="31" max="31" width="28" style="18" bestFit="1" customWidth="1"/>
    <col min="32" max="32" width="21.81640625" style="18" bestFit="1" customWidth="1"/>
    <col min="33" max="33" width="20.7265625" style="18" bestFit="1" customWidth="1"/>
    <col min="34" max="34" width="22.1796875" style="18" bestFit="1" customWidth="1"/>
    <col min="35" max="35" width="17.54296875" style="18" bestFit="1" customWidth="1"/>
    <col min="36" max="36" width="21.7265625" style="18" bestFit="1" customWidth="1"/>
    <col min="37" max="37" width="20.08984375" style="18" bestFit="1" customWidth="1"/>
    <col min="38" max="38" width="18" style="18" bestFit="1" customWidth="1"/>
    <col min="39" max="39" width="28.08984375" style="18" bestFit="1" customWidth="1"/>
    <col min="40" max="40" width="26.54296875" style="18" bestFit="1" customWidth="1"/>
    <col min="41" max="41" width="21.1796875" style="18" bestFit="1" customWidth="1"/>
    <col min="42" max="42" width="18" style="18" bestFit="1" customWidth="1"/>
    <col min="43" max="43" width="28.08984375" style="18" bestFit="1" customWidth="1"/>
    <col min="44" max="44" width="26.54296875" style="18" bestFit="1" customWidth="1"/>
    <col min="45" max="45" width="13.36328125" style="18" bestFit="1" customWidth="1"/>
    <col min="46" max="46" width="16.26953125" style="18" bestFit="1" customWidth="1"/>
    <col min="47" max="47" width="22.81640625" style="18" bestFit="1" customWidth="1"/>
    <col min="48" max="48" width="26.90625" style="18" bestFit="1" customWidth="1"/>
    <col min="49" max="49" width="6.54296875" style="18" bestFit="1" customWidth="1"/>
    <col min="50" max="50" width="25.90625" style="18" bestFit="1" customWidth="1"/>
    <col min="51" max="51" width="26.26953125" style="18" bestFit="1" customWidth="1"/>
    <col min="52" max="52" width="18.90625" style="18" bestFit="1" customWidth="1"/>
    <col min="53" max="53" width="19.6328125" style="18" bestFit="1" customWidth="1"/>
  </cols>
  <sheetData>
    <row r="1" spans="1:53">
      <c r="A1" s="11"/>
      <c r="B1" s="11"/>
      <c r="C1" s="12"/>
      <c r="D1" s="12"/>
      <c r="E1" s="13" t="s">
        <v>11</v>
      </c>
      <c r="F1" s="13" t="s">
        <v>12</v>
      </c>
      <c r="G1" s="13" t="s">
        <v>13</v>
      </c>
      <c r="H1" s="13" t="s">
        <v>14</v>
      </c>
      <c r="I1" s="13" t="s">
        <v>15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  <c r="R1" s="13" t="s">
        <v>24</v>
      </c>
      <c r="S1" s="13" t="s">
        <v>10</v>
      </c>
      <c r="T1" s="13" t="s">
        <v>25</v>
      </c>
      <c r="U1" s="13" t="s">
        <v>26</v>
      </c>
      <c r="V1" s="13" t="s">
        <v>27</v>
      </c>
      <c r="W1" s="13" t="s">
        <v>28</v>
      </c>
      <c r="X1" s="13" t="s">
        <v>29</v>
      </c>
      <c r="Y1" s="13" t="s">
        <v>30</v>
      </c>
      <c r="Z1" s="13" t="s">
        <v>31</v>
      </c>
      <c r="AA1" s="13" t="s">
        <v>32</v>
      </c>
      <c r="AB1" s="13" t="s">
        <v>33</v>
      </c>
      <c r="AC1" s="13" t="s">
        <v>34</v>
      </c>
      <c r="AD1" s="13" t="s">
        <v>35</v>
      </c>
      <c r="AE1" s="13" t="s">
        <v>36</v>
      </c>
      <c r="AF1" s="13" t="s">
        <v>37</v>
      </c>
      <c r="AG1" s="13" t="s">
        <v>38</v>
      </c>
      <c r="AH1" s="13" t="s">
        <v>39</v>
      </c>
      <c r="AI1" s="13" t="s">
        <v>40</v>
      </c>
      <c r="AJ1" s="13" t="s">
        <v>41</v>
      </c>
      <c r="AK1" s="13" t="s">
        <v>42</v>
      </c>
      <c r="AL1" s="13" t="s">
        <v>43</v>
      </c>
      <c r="AM1" s="13" t="s">
        <v>44</v>
      </c>
      <c r="AN1" s="13" t="s">
        <v>45</v>
      </c>
      <c r="AO1" s="13" t="s">
        <v>46</v>
      </c>
      <c r="AP1" s="13" t="s">
        <v>47</v>
      </c>
      <c r="AQ1" s="13" t="s">
        <v>48</v>
      </c>
      <c r="AR1" s="13" t="s">
        <v>49</v>
      </c>
      <c r="AS1" s="13" t="s">
        <v>50</v>
      </c>
      <c r="AT1" s="13" t="s">
        <v>51</v>
      </c>
      <c r="AU1" s="13" t="s">
        <v>52</v>
      </c>
      <c r="AV1" s="13" t="s">
        <v>53</v>
      </c>
      <c r="AW1" s="13" t="s">
        <v>54</v>
      </c>
      <c r="AX1" s="13" t="s">
        <v>55</v>
      </c>
      <c r="AY1" s="13" t="s">
        <v>56</v>
      </c>
      <c r="AZ1" s="13" t="s">
        <v>57</v>
      </c>
      <c r="BA1" s="13" t="s">
        <v>12</v>
      </c>
    </row>
    <row r="2" spans="1:53">
      <c r="A2" s="14" t="s">
        <v>58</v>
      </c>
      <c r="B2" s="14" t="s">
        <v>59</v>
      </c>
      <c r="C2" s="15" t="s">
        <v>60</v>
      </c>
      <c r="D2" s="15" t="s">
        <v>61</v>
      </c>
      <c r="E2" s="15" t="s">
        <v>62</v>
      </c>
      <c r="F2" s="15" t="s">
        <v>62</v>
      </c>
      <c r="G2" s="15" t="s">
        <v>62</v>
      </c>
      <c r="H2" s="15" t="s">
        <v>62</v>
      </c>
      <c r="I2" s="15" t="s">
        <v>62</v>
      </c>
      <c r="J2" s="15" t="s">
        <v>62</v>
      </c>
      <c r="K2" s="15" t="s">
        <v>62</v>
      </c>
      <c r="L2" s="15" t="s">
        <v>62</v>
      </c>
      <c r="M2" s="15" t="s">
        <v>62</v>
      </c>
      <c r="N2" s="15" t="s">
        <v>62</v>
      </c>
      <c r="O2" s="15" t="s">
        <v>62</v>
      </c>
      <c r="P2" s="15" t="s">
        <v>62</v>
      </c>
      <c r="Q2" s="15" t="s">
        <v>62</v>
      </c>
      <c r="R2" s="15" t="s">
        <v>62</v>
      </c>
      <c r="S2" s="15" t="s">
        <v>62</v>
      </c>
      <c r="T2" s="15" t="s">
        <v>62</v>
      </c>
      <c r="U2" s="15" t="s">
        <v>62</v>
      </c>
      <c r="V2" s="15" t="s">
        <v>62</v>
      </c>
      <c r="W2" s="15" t="s">
        <v>62</v>
      </c>
      <c r="X2" s="15" t="s">
        <v>62</v>
      </c>
      <c r="Y2" s="15" t="s">
        <v>62</v>
      </c>
      <c r="Z2" s="15" t="s">
        <v>62</v>
      </c>
      <c r="AA2" s="15" t="s">
        <v>62</v>
      </c>
      <c r="AB2" s="15" t="s">
        <v>62</v>
      </c>
      <c r="AC2" s="15" t="s">
        <v>62</v>
      </c>
      <c r="AD2" s="15" t="s">
        <v>62</v>
      </c>
      <c r="AE2" s="15" t="s">
        <v>62</v>
      </c>
      <c r="AF2" s="15" t="s">
        <v>62</v>
      </c>
      <c r="AG2" s="15" t="s">
        <v>62</v>
      </c>
      <c r="AH2" s="15" t="s">
        <v>62</v>
      </c>
      <c r="AI2" s="15" t="s">
        <v>62</v>
      </c>
      <c r="AJ2" s="15" t="s">
        <v>62</v>
      </c>
      <c r="AK2" s="15" t="s">
        <v>62</v>
      </c>
      <c r="AL2" s="15" t="s">
        <v>62</v>
      </c>
      <c r="AM2" s="15" t="s">
        <v>62</v>
      </c>
      <c r="AN2" s="15" t="s">
        <v>62</v>
      </c>
      <c r="AO2" s="15" t="s">
        <v>62</v>
      </c>
      <c r="AP2" s="15" t="s">
        <v>62</v>
      </c>
      <c r="AQ2" s="15" t="s">
        <v>62</v>
      </c>
      <c r="AR2" s="15" t="s">
        <v>62</v>
      </c>
      <c r="AS2" s="15" t="s">
        <v>62</v>
      </c>
      <c r="AT2" s="15" t="s">
        <v>62</v>
      </c>
      <c r="AU2" s="15" t="s">
        <v>62</v>
      </c>
      <c r="AV2" s="15" t="s">
        <v>62</v>
      </c>
      <c r="AW2" s="15" t="s">
        <v>62</v>
      </c>
      <c r="AX2" s="15" t="s">
        <v>62</v>
      </c>
      <c r="AY2" s="15" t="s">
        <v>62</v>
      </c>
      <c r="AZ2" s="15" t="s">
        <v>62</v>
      </c>
      <c r="BA2" s="15" t="s">
        <v>62</v>
      </c>
    </row>
    <row r="3" spans="1:53">
      <c r="A3" s="16" t="s">
        <v>63</v>
      </c>
      <c r="B3" s="16" t="s">
        <v>3</v>
      </c>
      <c r="C3" s="13" t="s">
        <v>2</v>
      </c>
      <c r="D3" s="17" t="s">
        <v>64</v>
      </c>
      <c r="E3" s="18">
        <v>78</v>
      </c>
      <c r="F3" s="18">
        <v>28</v>
      </c>
      <c r="G3" s="18">
        <v>0.35897435897435898</v>
      </c>
      <c r="H3" s="18">
        <v>0</v>
      </c>
      <c r="I3" s="18">
        <v>0</v>
      </c>
      <c r="J3" s="18">
        <v>11</v>
      </c>
      <c r="K3" s="18">
        <v>0.14102564102564102</v>
      </c>
      <c r="L3" s="18">
        <v>5</v>
      </c>
      <c r="M3" s="18">
        <v>4</v>
      </c>
      <c r="N3" s="18">
        <v>0</v>
      </c>
      <c r="O3" s="18">
        <v>0</v>
      </c>
      <c r="P3" s="18">
        <v>62</v>
      </c>
      <c r="Q3" s="18">
        <v>3</v>
      </c>
      <c r="R3" s="18">
        <v>1</v>
      </c>
      <c r="T3" s="18">
        <v>126853000</v>
      </c>
      <c r="U3" s="18">
        <v>31417500</v>
      </c>
      <c r="V3" s="18">
        <v>0</v>
      </c>
      <c r="W3" s="18">
        <v>-0.75233143875194119</v>
      </c>
      <c r="Y3" s="18">
        <v>57</v>
      </c>
      <c r="Z3" s="18">
        <v>150</v>
      </c>
      <c r="AA3" s="18">
        <v>0</v>
      </c>
      <c r="AB3" s="18">
        <v>1.6315789473684212</v>
      </c>
      <c r="AC3" s="18">
        <v>0</v>
      </c>
      <c r="AD3" s="18">
        <v>0</v>
      </c>
      <c r="AE3" s="18">
        <v>0</v>
      </c>
      <c r="AF3" s="18">
        <v>0</v>
      </c>
      <c r="AG3" s="18">
        <v>34</v>
      </c>
      <c r="AH3" s="18">
        <v>34</v>
      </c>
      <c r="AI3" s="18">
        <v>25</v>
      </c>
      <c r="AJ3" s="18">
        <v>25</v>
      </c>
      <c r="AK3" s="18">
        <v>0</v>
      </c>
      <c r="AL3" s="18">
        <v>16</v>
      </c>
      <c r="AM3" s="18">
        <v>16</v>
      </c>
      <c r="AN3" s="18">
        <v>0</v>
      </c>
      <c r="AO3" s="18">
        <v>0</v>
      </c>
      <c r="AP3" s="18">
        <v>18</v>
      </c>
      <c r="AQ3" s="18">
        <v>18</v>
      </c>
      <c r="AR3" s="18">
        <v>0</v>
      </c>
      <c r="AS3" s="18">
        <v>155</v>
      </c>
      <c r="AT3" s="18">
        <v>4</v>
      </c>
      <c r="AU3" s="18">
        <v>0</v>
      </c>
      <c r="AV3" s="18">
        <v>58.325000000000003</v>
      </c>
      <c r="AW3" s="18">
        <v>0</v>
      </c>
      <c r="AX3" s="18">
        <v>0</v>
      </c>
      <c r="AY3" s="18">
        <v>0</v>
      </c>
      <c r="AZ3" s="18">
        <v>0</v>
      </c>
      <c r="BA3" s="18">
        <v>28</v>
      </c>
    </row>
    <row r="4" spans="1:53">
      <c r="A4" s="16" t="s">
        <v>63</v>
      </c>
      <c r="B4" s="16" t="s">
        <v>3</v>
      </c>
      <c r="C4" s="13" t="s">
        <v>4</v>
      </c>
      <c r="D4" s="17" t="s">
        <v>65</v>
      </c>
      <c r="E4" s="18">
        <v>89</v>
      </c>
      <c r="F4" s="18">
        <v>45</v>
      </c>
      <c r="G4" s="18">
        <v>0.5056179775280899</v>
      </c>
      <c r="H4" s="18">
        <v>7</v>
      </c>
      <c r="I4" s="18">
        <v>0.13461538461538461</v>
      </c>
      <c r="J4" s="18">
        <v>9</v>
      </c>
      <c r="K4" s="18">
        <v>0.10112359550561797</v>
      </c>
      <c r="L4" s="18">
        <v>14</v>
      </c>
      <c r="M4" s="18">
        <v>4</v>
      </c>
      <c r="N4" s="18">
        <v>0</v>
      </c>
      <c r="O4" s="18">
        <v>0</v>
      </c>
      <c r="P4" s="18">
        <v>45</v>
      </c>
      <c r="Q4" s="18">
        <v>1</v>
      </c>
      <c r="R4" s="18">
        <v>1</v>
      </c>
      <c r="T4" s="18">
        <v>103714750</v>
      </c>
      <c r="U4" s="18">
        <v>24432000</v>
      </c>
      <c r="V4" s="18">
        <v>0</v>
      </c>
      <c r="W4" s="18">
        <v>-0.76443080661140295</v>
      </c>
      <c r="Y4" s="18">
        <v>216</v>
      </c>
      <c r="Z4" s="18">
        <v>31</v>
      </c>
      <c r="AA4" s="18">
        <v>0</v>
      </c>
      <c r="AB4" s="18">
        <v>-0.85648148148148151</v>
      </c>
      <c r="AC4" s="18">
        <v>0</v>
      </c>
      <c r="AD4" s="18">
        <v>0</v>
      </c>
      <c r="AE4" s="18">
        <v>0</v>
      </c>
      <c r="AF4" s="18">
        <v>0</v>
      </c>
      <c r="AG4" s="18">
        <v>43</v>
      </c>
      <c r="AH4" s="18">
        <v>43</v>
      </c>
      <c r="AI4" s="18">
        <v>30</v>
      </c>
      <c r="AJ4" s="18">
        <v>30</v>
      </c>
      <c r="AK4" s="18">
        <v>0</v>
      </c>
      <c r="AL4" s="18">
        <v>26</v>
      </c>
      <c r="AM4" s="18">
        <v>26</v>
      </c>
      <c r="AN4" s="18">
        <v>0</v>
      </c>
      <c r="AO4" s="18">
        <v>0</v>
      </c>
      <c r="AP4" s="18">
        <v>26</v>
      </c>
      <c r="AQ4" s="18">
        <v>26</v>
      </c>
      <c r="AR4" s="18">
        <v>0</v>
      </c>
      <c r="AS4" s="18">
        <v>84</v>
      </c>
      <c r="AT4" s="18">
        <v>5</v>
      </c>
      <c r="AU4" s="18">
        <v>0</v>
      </c>
      <c r="AV4" s="18">
        <v>10.421052632</v>
      </c>
      <c r="AW4" s="18">
        <v>0</v>
      </c>
      <c r="AX4" s="18">
        <v>2</v>
      </c>
      <c r="AY4" s="18">
        <v>775000</v>
      </c>
      <c r="AZ4" s="18">
        <v>0</v>
      </c>
      <c r="BA4" s="18">
        <v>45</v>
      </c>
    </row>
    <row r="5" spans="1:53">
      <c r="A5" s="16" t="s">
        <v>63</v>
      </c>
      <c r="B5" s="16" t="s">
        <v>3</v>
      </c>
      <c r="C5" s="13" t="s">
        <v>5</v>
      </c>
      <c r="D5" s="17" t="s">
        <v>64</v>
      </c>
      <c r="E5" s="18">
        <v>50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1</v>
      </c>
      <c r="N5" s="18">
        <v>0</v>
      </c>
      <c r="O5" s="18">
        <v>0</v>
      </c>
      <c r="P5" s="18">
        <v>49</v>
      </c>
      <c r="Q5" s="18">
        <v>5</v>
      </c>
      <c r="R5" s="18">
        <v>1</v>
      </c>
      <c r="T5" s="18">
        <v>800000</v>
      </c>
      <c r="U5" s="18">
        <v>0</v>
      </c>
      <c r="V5" s="18">
        <v>0</v>
      </c>
      <c r="W5" s="18">
        <v>-1</v>
      </c>
      <c r="Y5" s="18">
        <v>0</v>
      </c>
      <c r="Z5" s="18">
        <v>0</v>
      </c>
      <c r="AA5" s="18">
        <v>0</v>
      </c>
      <c r="AB5" s="18">
        <v>-1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5</v>
      </c>
      <c r="AJ5" s="18">
        <v>5</v>
      </c>
      <c r="AK5" s="18">
        <v>0</v>
      </c>
      <c r="AL5" s="18">
        <v>5</v>
      </c>
      <c r="AM5" s="18">
        <v>5</v>
      </c>
      <c r="AN5" s="18">
        <v>0</v>
      </c>
      <c r="AO5" s="18">
        <v>0</v>
      </c>
      <c r="AP5" s="18">
        <v>5</v>
      </c>
      <c r="AQ5" s="18">
        <v>5</v>
      </c>
      <c r="AR5" s="18">
        <v>0</v>
      </c>
      <c r="AS5" s="18">
        <v>0</v>
      </c>
      <c r="AT5" s="18">
        <v>1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</row>
    <row r="6" spans="1:53">
      <c r="A6" s="16" t="s">
        <v>63</v>
      </c>
      <c r="B6" s="16" t="s">
        <v>3</v>
      </c>
      <c r="C6" s="13" t="s">
        <v>6</v>
      </c>
      <c r="D6" s="17" t="s">
        <v>65</v>
      </c>
      <c r="E6" s="18">
        <v>59</v>
      </c>
      <c r="F6" s="18">
        <v>29</v>
      </c>
      <c r="G6" s="18">
        <v>0.49152542372881358</v>
      </c>
      <c r="H6" s="18">
        <v>2</v>
      </c>
      <c r="I6" s="18">
        <v>6.4516129032258063E-2</v>
      </c>
      <c r="J6" s="18">
        <v>15</v>
      </c>
      <c r="K6" s="18">
        <v>0.25423728813559321</v>
      </c>
      <c r="L6" s="18">
        <v>1</v>
      </c>
      <c r="M6" s="18">
        <v>0</v>
      </c>
      <c r="N6" s="18">
        <v>0</v>
      </c>
      <c r="O6" s="18">
        <v>0</v>
      </c>
      <c r="P6" s="18">
        <v>33</v>
      </c>
      <c r="Q6" s="18">
        <v>4</v>
      </c>
      <c r="R6" s="18">
        <v>3</v>
      </c>
      <c r="T6" s="18">
        <v>25916000</v>
      </c>
      <c r="U6" s="18">
        <v>16543200</v>
      </c>
      <c r="V6" s="18">
        <v>0</v>
      </c>
      <c r="W6" s="18">
        <v>-0.3616607501157586</v>
      </c>
      <c r="Y6" s="18">
        <v>68</v>
      </c>
      <c r="Z6" s="18">
        <v>0</v>
      </c>
      <c r="AA6" s="18">
        <v>0</v>
      </c>
      <c r="AB6" s="18">
        <v>-1</v>
      </c>
      <c r="AC6" s="18">
        <v>0</v>
      </c>
      <c r="AD6" s="18">
        <v>0</v>
      </c>
      <c r="AE6" s="18">
        <v>0</v>
      </c>
      <c r="AF6" s="18">
        <v>0</v>
      </c>
      <c r="AG6" s="18">
        <v>50</v>
      </c>
      <c r="AH6" s="18">
        <v>50</v>
      </c>
      <c r="AI6" s="18">
        <v>3</v>
      </c>
      <c r="AJ6" s="18">
        <v>2</v>
      </c>
      <c r="AK6" s="18">
        <v>1</v>
      </c>
      <c r="AL6" s="18">
        <v>1</v>
      </c>
      <c r="AM6" s="18">
        <v>1</v>
      </c>
      <c r="AN6" s="18">
        <v>0</v>
      </c>
      <c r="AO6" s="18">
        <v>0</v>
      </c>
      <c r="AP6" s="18">
        <v>2</v>
      </c>
      <c r="AQ6" s="18">
        <v>2</v>
      </c>
      <c r="AR6" s="18">
        <v>0</v>
      </c>
      <c r="AS6" s="18">
        <v>1</v>
      </c>
      <c r="AT6" s="18">
        <v>0</v>
      </c>
      <c r="AU6" s="18">
        <v>0</v>
      </c>
      <c r="AV6" s="18">
        <v>14.433734940000001</v>
      </c>
      <c r="AW6" s="18">
        <v>0</v>
      </c>
      <c r="AX6" s="18">
        <v>0</v>
      </c>
      <c r="AY6" s="18">
        <v>0</v>
      </c>
      <c r="AZ6" s="18">
        <v>0</v>
      </c>
      <c r="BA6" s="18">
        <v>29</v>
      </c>
    </row>
    <row r="7" spans="1:53">
      <c r="A7" s="16" t="s">
        <v>63</v>
      </c>
      <c r="B7" s="16" t="s">
        <v>3</v>
      </c>
      <c r="C7" s="13" t="s">
        <v>7</v>
      </c>
      <c r="D7" s="17" t="s">
        <v>65</v>
      </c>
      <c r="E7" s="18">
        <v>60</v>
      </c>
      <c r="F7" s="18">
        <v>24</v>
      </c>
      <c r="G7" s="18">
        <v>0.4</v>
      </c>
      <c r="H7" s="18">
        <v>2</v>
      </c>
      <c r="I7" s="18">
        <v>7.6923076923076927E-2</v>
      </c>
      <c r="J7" s="18">
        <v>11</v>
      </c>
      <c r="K7" s="18">
        <v>0.18333333333333332</v>
      </c>
      <c r="L7" s="18">
        <v>6</v>
      </c>
      <c r="M7" s="18">
        <v>6</v>
      </c>
      <c r="N7" s="18">
        <v>0</v>
      </c>
      <c r="O7" s="18">
        <v>0</v>
      </c>
      <c r="P7" s="18">
        <v>18</v>
      </c>
      <c r="Q7" s="18">
        <v>3</v>
      </c>
      <c r="R7" s="18">
        <v>1</v>
      </c>
      <c r="T7" s="18">
        <v>35973250</v>
      </c>
      <c r="U7" s="18">
        <v>58965500</v>
      </c>
      <c r="V7" s="18">
        <v>0</v>
      </c>
      <c r="W7" s="18">
        <v>0.63914853398011018</v>
      </c>
      <c r="Y7" s="18">
        <v>118</v>
      </c>
      <c r="Z7" s="18">
        <v>4</v>
      </c>
      <c r="AA7" s="18">
        <v>0</v>
      </c>
      <c r="AB7" s="18">
        <v>-0.96610169491525422</v>
      </c>
      <c r="AC7" s="18">
        <v>0</v>
      </c>
      <c r="AD7" s="18">
        <v>0</v>
      </c>
      <c r="AE7" s="18">
        <v>0</v>
      </c>
      <c r="AF7" s="18">
        <v>0</v>
      </c>
      <c r="AG7" s="18">
        <v>32</v>
      </c>
      <c r="AH7" s="18">
        <v>32</v>
      </c>
      <c r="AI7" s="18">
        <v>26</v>
      </c>
      <c r="AJ7" s="18">
        <v>23</v>
      </c>
      <c r="AK7" s="18">
        <v>3</v>
      </c>
      <c r="AL7" s="18">
        <v>10</v>
      </c>
      <c r="AM7" s="18">
        <v>10</v>
      </c>
      <c r="AN7" s="18">
        <v>0</v>
      </c>
      <c r="AO7" s="18">
        <v>0</v>
      </c>
      <c r="AP7" s="18">
        <v>18</v>
      </c>
      <c r="AQ7" s="18">
        <v>18</v>
      </c>
      <c r="AR7" s="18">
        <v>0</v>
      </c>
      <c r="AS7" s="18">
        <v>16</v>
      </c>
      <c r="AT7" s="18">
        <v>10</v>
      </c>
      <c r="AU7" s="18">
        <v>0</v>
      </c>
      <c r="AV7" s="18">
        <v>37.696969697</v>
      </c>
      <c r="AW7" s="18">
        <v>0</v>
      </c>
      <c r="AX7" s="18">
        <v>0</v>
      </c>
      <c r="AY7" s="18">
        <v>0</v>
      </c>
      <c r="AZ7" s="18">
        <v>0</v>
      </c>
      <c r="BA7" s="18">
        <v>24</v>
      </c>
    </row>
    <row r="8" spans="1:53">
      <c r="A8" s="16" t="s">
        <v>63</v>
      </c>
      <c r="B8" s="16" t="s">
        <v>66</v>
      </c>
      <c r="C8" s="13" t="s">
        <v>67</v>
      </c>
      <c r="D8" s="17" t="s">
        <v>68</v>
      </c>
      <c r="E8" s="18">
        <v>57</v>
      </c>
      <c r="F8" s="18">
        <v>14</v>
      </c>
      <c r="G8" s="18">
        <v>0.24561403508771928</v>
      </c>
      <c r="H8" s="18">
        <v>3</v>
      </c>
      <c r="I8" s="18">
        <v>0.17647058823529413</v>
      </c>
      <c r="J8" s="18">
        <v>5</v>
      </c>
      <c r="K8" s="18">
        <v>8.771929824561403E-2</v>
      </c>
      <c r="L8" s="18">
        <v>10</v>
      </c>
      <c r="M8" s="18">
        <v>1</v>
      </c>
      <c r="N8" s="18">
        <v>0</v>
      </c>
      <c r="O8" s="18">
        <v>0</v>
      </c>
      <c r="P8" s="18">
        <v>36</v>
      </c>
      <c r="Q8" s="18">
        <v>2</v>
      </c>
      <c r="R8" s="18">
        <v>3</v>
      </c>
      <c r="T8" s="18">
        <v>3503000</v>
      </c>
      <c r="U8" s="18">
        <v>1863000</v>
      </c>
      <c r="V8" s="18">
        <v>0</v>
      </c>
      <c r="W8" s="18">
        <v>-0.46817013988010281</v>
      </c>
      <c r="Y8" s="18">
        <v>0</v>
      </c>
      <c r="Z8" s="18">
        <v>11</v>
      </c>
      <c r="AA8" s="18">
        <v>0</v>
      </c>
      <c r="AB8" s="18">
        <v>-1</v>
      </c>
      <c r="AC8" s="18">
        <v>0</v>
      </c>
      <c r="AD8" s="18">
        <v>0</v>
      </c>
      <c r="AE8" s="18">
        <v>0</v>
      </c>
      <c r="AF8" s="18">
        <v>0</v>
      </c>
      <c r="AG8" s="18">
        <v>15</v>
      </c>
      <c r="AH8" s="18">
        <v>15</v>
      </c>
      <c r="AI8" s="18">
        <v>19</v>
      </c>
      <c r="AJ8" s="18">
        <v>19</v>
      </c>
      <c r="AK8" s="18">
        <v>0</v>
      </c>
      <c r="AL8" s="18">
        <v>13</v>
      </c>
      <c r="AM8" s="18">
        <v>13</v>
      </c>
      <c r="AN8" s="18">
        <v>0</v>
      </c>
      <c r="AO8" s="18">
        <v>0</v>
      </c>
      <c r="AP8" s="18">
        <v>15</v>
      </c>
      <c r="AQ8" s="18">
        <v>15</v>
      </c>
      <c r="AR8" s="18">
        <v>0</v>
      </c>
      <c r="AS8" s="18">
        <v>69</v>
      </c>
      <c r="AT8" s="18">
        <v>2</v>
      </c>
      <c r="AU8" s="18">
        <v>0</v>
      </c>
      <c r="AV8" s="18">
        <v>50.444444443999998</v>
      </c>
      <c r="AW8" s="18">
        <v>0</v>
      </c>
      <c r="AX8" s="18">
        <v>1</v>
      </c>
      <c r="AY8" s="18">
        <v>200000</v>
      </c>
      <c r="AZ8" s="18">
        <v>15171274.851989249</v>
      </c>
      <c r="BA8" s="18">
        <v>14</v>
      </c>
    </row>
    <row r="9" spans="1:53">
      <c r="A9" s="16" t="s">
        <v>63</v>
      </c>
      <c r="B9" s="16" t="s">
        <v>66</v>
      </c>
      <c r="C9" s="13" t="s">
        <v>69</v>
      </c>
      <c r="D9" s="17" t="s">
        <v>68</v>
      </c>
      <c r="E9" s="18">
        <v>50</v>
      </c>
      <c r="F9" s="18">
        <v>45</v>
      </c>
      <c r="G9" s="18">
        <v>0.9</v>
      </c>
      <c r="H9" s="18">
        <v>0</v>
      </c>
      <c r="I9" s="18">
        <v>0</v>
      </c>
      <c r="J9" s="18">
        <v>30</v>
      </c>
      <c r="K9" s="18">
        <v>0.6</v>
      </c>
      <c r="L9" s="18">
        <v>7</v>
      </c>
      <c r="M9" s="18">
        <v>0</v>
      </c>
      <c r="N9" s="18">
        <v>0</v>
      </c>
      <c r="O9" s="18">
        <v>0</v>
      </c>
      <c r="P9" s="18">
        <v>20</v>
      </c>
      <c r="Q9" s="18">
        <v>0</v>
      </c>
      <c r="R9" s="18">
        <v>0</v>
      </c>
      <c r="T9" s="18">
        <v>8527000</v>
      </c>
      <c r="U9" s="18">
        <v>5975100</v>
      </c>
      <c r="V9" s="18">
        <v>0</v>
      </c>
      <c r="W9" s="18">
        <v>-0.2992728978538759</v>
      </c>
      <c r="Y9" s="18">
        <v>0</v>
      </c>
      <c r="Z9" s="18">
        <v>30</v>
      </c>
      <c r="AA9" s="18">
        <v>0</v>
      </c>
      <c r="AB9" s="18">
        <v>-1</v>
      </c>
      <c r="AC9" s="18">
        <v>0</v>
      </c>
      <c r="AD9" s="18">
        <v>0</v>
      </c>
      <c r="AE9" s="18">
        <v>0</v>
      </c>
      <c r="AF9" s="18">
        <v>1</v>
      </c>
      <c r="AG9" s="18">
        <v>42</v>
      </c>
      <c r="AH9" s="18">
        <v>42</v>
      </c>
      <c r="AI9" s="18">
        <v>9</v>
      </c>
      <c r="AJ9" s="18">
        <v>9</v>
      </c>
      <c r="AK9" s="18">
        <v>0</v>
      </c>
      <c r="AL9" s="18">
        <v>6</v>
      </c>
      <c r="AM9" s="18">
        <v>6</v>
      </c>
      <c r="AN9" s="18">
        <v>0</v>
      </c>
      <c r="AO9" s="18">
        <v>0</v>
      </c>
      <c r="AP9" s="18">
        <v>7</v>
      </c>
      <c r="AQ9" s="18">
        <v>7</v>
      </c>
      <c r="AR9" s="18">
        <v>0</v>
      </c>
      <c r="AS9" s="18">
        <v>54</v>
      </c>
      <c r="AT9" s="18">
        <v>0</v>
      </c>
      <c r="AU9" s="18">
        <v>0</v>
      </c>
      <c r="AV9" s="18">
        <v>9.8666666670000005</v>
      </c>
      <c r="AW9" s="18">
        <v>0</v>
      </c>
      <c r="AX9" s="18">
        <v>0</v>
      </c>
      <c r="AY9" s="18">
        <v>0</v>
      </c>
      <c r="AZ9" s="18">
        <v>40346489.739149243</v>
      </c>
      <c r="BA9" s="18">
        <v>45</v>
      </c>
    </row>
    <row r="10" spans="1:53">
      <c r="A10" s="16" t="s">
        <v>63</v>
      </c>
      <c r="B10" s="16" t="s">
        <v>66</v>
      </c>
      <c r="C10" s="13" t="s">
        <v>70</v>
      </c>
      <c r="D10" s="17" t="s">
        <v>68</v>
      </c>
      <c r="E10" s="18">
        <v>71</v>
      </c>
      <c r="F10" s="18">
        <v>35</v>
      </c>
      <c r="G10" s="18">
        <v>0.49295774647887325</v>
      </c>
      <c r="H10" s="18">
        <v>3</v>
      </c>
      <c r="I10" s="18">
        <v>7.8947368421052627E-2</v>
      </c>
      <c r="J10" s="18">
        <v>23</v>
      </c>
      <c r="K10" s="18">
        <v>0.323943661971831</v>
      </c>
      <c r="L10" s="18">
        <v>11</v>
      </c>
      <c r="M10" s="18">
        <v>3</v>
      </c>
      <c r="N10" s="18">
        <v>0</v>
      </c>
      <c r="O10" s="18">
        <v>0</v>
      </c>
      <c r="P10" s="18">
        <v>42</v>
      </c>
      <c r="Q10" s="18">
        <v>8</v>
      </c>
      <c r="R10" s="18">
        <v>1</v>
      </c>
      <c r="T10" s="18">
        <v>12323000</v>
      </c>
      <c r="U10" s="18">
        <v>4329000</v>
      </c>
      <c r="V10" s="18">
        <v>0</v>
      </c>
      <c r="W10" s="18">
        <v>-0.64870567232005194</v>
      </c>
      <c r="Y10" s="18">
        <v>2</v>
      </c>
      <c r="Z10" s="18">
        <v>14</v>
      </c>
      <c r="AA10" s="18">
        <v>0</v>
      </c>
      <c r="AB10" s="18">
        <v>6</v>
      </c>
      <c r="AC10" s="18">
        <v>0</v>
      </c>
      <c r="AD10" s="18">
        <v>0</v>
      </c>
      <c r="AE10" s="18">
        <v>0</v>
      </c>
      <c r="AF10" s="18">
        <v>0</v>
      </c>
      <c r="AG10" s="18">
        <v>31</v>
      </c>
      <c r="AH10" s="18">
        <v>31</v>
      </c>
      <c r="AI10" s="18">
        <v>26</v>
      </c>
      <c r="AJ10" s="18">
        <v>26</v>
      </c>
      <c r="AK10" s="18">
        <v>0</v>
      </c>
      <c r="AL10" s="18">
        <v>16</v>
      </c>
      <c r="AM10" s="18">
        <v>16</v>
      </c>
      <c r="AN10" s="18">
        <v>0</v>
      </c>
      <c r="AO10" s="18">
        <v>0</v>
      </c>
      <c r="AP10" s="18">
        <v>20</v>
      </c>
      <c r="AQ10" s="18">
        <v>20</v>
      </c>
      <c r="AR10" s="18">
        <v>0</v>
      </c>
      <c r="AS10" s="18">
        <v>70</v>
      </c>
      <c r="AT10" s="18">
        <v>3</v>
      </c>
      <c r="AU10" s="18">
        <v>0</v>
      </c>
      <c r="AV10" s="18">
        <v>8</v>
      </c>
      <c r="AW10" s="18">
        <v>0</v>
      </c>
      <c r="AX10" s="18">
        <v>1</v>
      </c>
      <c r="AY10" s="18">
        <v>350000</v>
      </c>
      <c r="AZ10" s="18">
        <v>23814538.449422691</v>
      </c>
      <c r="BA10" s="18">
        <v>35</v>
      </c>
    </row>
    <row r="11" spans="1:53">
      <c r="A11" s="16" t="s">
        <v>63</v>
      </c>
      <c r="B11" s="16" t="s">
        <v>66</v>
      </c>
      <c r="C11" s="13" t="s">
        <v>71</v>
      </c>
      <c r="D11" s="17" t="s">
        <v>68</v>
      </c>
      <c r="E11" s="18">
        <v>63</v>
      </c>
      <c r="F11" s="18">
        <v>42</v>
      </c>
      <c r="G11" s="18">
        <v>0.66666666666666663</v>
      </c>
      <c r="H11" s="18">
        <v>4</v>
      </c>
      <c r="I11" s="18">
        <v>8.6956521739130432E-2</v>
      </c>
      <c r="J11" s="18">
        <v>20</v>
      </c>
      <c r="K11" s="18">
        <v>0.31746031746031744</v>
      </c>
      <c r="L11" s="18">
        <v>14</v>
      </c>
      <c r="M11" s="18">
        <v>1</v>
      </c>
      <c r="N11" s="18">
        <v>0</v>
      </c>
      <c r="O11" s="18">
        <v>0</v>
      </c>
      <c r="P11" s="18">
        <v>40</v>
      </c>
      <c r="Q11" s="18">
        <v>8</v>
      </c>
      <c r="R11" s="18">
        <v>0</v>
      </c>
      <c r="T11" s="18">
        <v>14208000</v>
      </c>
      <c r="U11" s="18">
        <v>5568500</v>
      </c>
      <c r="V11" s="18">
        <v>0</v>
      </c>
      <c r="W11" s="18">
        <v>-0.60807291666666674</v>
      </c>
      <c r="Y11" s="18">
        <v>0</v>
      </c>
      <c r="Z11" s="18">
        <v>132</v>
      </c>
      <c r="AA11" s="18">
        <v>0</v>
      </c>
      <c r="AB11" s="18">
        <v>-1</v>
      </c>
      <c r="AC11" s="18">
        <v>0</v>
      </c>
      <c r="AD11" s="18">
        <v>0</v>
      </c>
      <c r="AE11" s="18">
        <v>0</v>
      </c>
      <c r="AF11" s="18">
        <v>0</v>
      </c>
      <c r="AG11" s="18">
        <v>36</v>
      </c>
      <c r="AH11" s="18">
        <v>36</v>
      </c>
      <c r="AI11" s="18">
        <v>12</v>
      </c>
      <c r="AJ11" s="18">
        <v>12</v>
      </c>
      <c r="AK11" s="18">
        <v>0</v>
      </c>
      <c r="AL11" s="18">
        <v>8</v>
      </c>
      <c r="AM11" s="18">
        <v>8</v>
      </c>
      <c r="AN11" s="18">
        <v>0</v>
      </c>
      <c r="AO11" s="18">
        <v>0</v>
      </c>
      <c r="AP11" s="18">
        <v>10</v>
      </c>
      <c r="AQ11" s="18">
        <v>10</v>
      </c>
      <c r="AR11" s="18">
        <v>0</v>
      </c>
      <c r="AS11" s="18">
        <v>303</v>
      </c>
      <c r="AT11" s="18">
        <v>1</v>
      </c>
      <c r="AU11" s="18">
        <v>0</v>
      </c>
      <c r="AV11" s="18">
        <v>11.717391304</v>
      </c>
      <c r="AW11" s="18">
        <v>0</v>
      </c>
      <c r="AX11" s="18">
        <v>1</v>
      </c>
      <c r="AY11" s="18">
        <v>100000</v>
      </c>
      <c r="AZ11" s="18">
        <v>29021535.488115862</v>
      </c>
      <c r="BA11" s="18">
        <v>42</v>
      </c>
    </row>
    <row r="12" spans="1:53">
      <c r="A12" s="16" t="s">
        <v>63</v>
      </c>
      <c r="B12" s="16" t="s">
        <v>66</v>
      </c>
      <c r="C12" s="13" t="s">
        <v>72</v>
      </c>
      <c r="D12" s="17" t="s">
        <v>68</v>
      </c>
      <c r="E12" s="18">
        <v>56</v>
      </c>
      <c r="F12" s="18">
        <v>43</v>
      </c>
      <c r="G12" s="18">
        <v>0.7678571428571429</v>
      </c>
      <c r="H12" s="18">
        <v>7</v>
      </c>
      <c r="I12" s="18">
        <v>0.14000000000000001</v>
      </c>
      <c r="J12" s="18">
        <v>21</v>
      </c>
      <c r="K12" s="18">
        <v>0.375</v>
      </c>
      <c r="L12" s="18">
        <v>19</v>
      </c>
      <c r="M12" s="18">
        <v>6</v>
      </c>
      <c r="N12" s="18">
        <v>0</v>
      </c>
      <c r="O12" s="18">
        <v>0</v>
      </c>
      <c r="P12" s="18">
        <v>35</v>
      </c>
      <c r="Q12" s="18">
        <v>2</v>
      </c>
      <c r="R12" s="18">
        <v>0</v>
      </c>
      <c r="T12" s="18">
        <v>47809750</v>
      </c>
      <c r="U12" s="18">
        <v>8753500</v>
      </c>
      <c r="V12" s="18">
        <v>0</v>
      </c>
      <c r="W12" s="18">
        <v>-0.8169097307557559</v>
      </c>
      <c r="Y12" s="18">
        <v>0</v>
      </c>
      <c r="Z12" s="18">
        <v>110</v>
      </c>
      <c r="AA12" s="18">
        <v>0</v>
      </c>
      <c r="AB12" s="18">
        <v>-1</v>
      </c>
      <c r="AC12" s="18">
        <v>0</v>
      </c>
      <c r="AD12" s="18">
        <v>0</v>
      </c>
      <c r="AE12" s="18">
        <v>0</v>
      </c>
      <c r="AF12" s="18">
        <v>0</v>
      </c>
      <c r="AG12" s="18">
        <v>41</v>
      </c>
      <c r="AH12" s="18">
        <v>41</v>
      </c>
      <c r="AI12" s="18">
        <v>28</v>
      </c>
      <c r="AJ12" s="18">
        <v>28</v>
      </c>
      <c r="AK12" s="18">
        <v>0</v>
      </c>
      <c r="AL12" s="18">
        <v>19</v>
      </c>
      <c r="AM12" s="18">
        <v>19</v>
      </c>
      <c r="AN12" s="18">
        <v>0</v>
      </c>
      <c r="AO12" s="18">
        <v>0</v>
      </c>
      <c r="AP12" s="18">
        <v>25</v>
      </c>
      <c r="AQ12" s="18">
        <v>25</v>
      </c>
      <c r="AR12" s="18">
        <v>0</v>
      </c>
      <c r="AS12" s="18">
        <v>143</v>
      </c>
      <c r="AT12" s="18">
        <v>7</v>
      </c>
      <c r="AU12" s="18">
        <v>0</v>
      </c>
      <c r="AV12" s="18">
        <v>12.078431373000001</v>
      </c>
      <c r="AW12" s="18">
        <v>0</v>
      </c>
      <c r="AX12" s="18">
        <v>2</v>
      </c>
      <c r="AY12" s="18">
        <v>400000</v>
      </c>
      <c r="AZ12" s="18">
        <v>42507522.583409846</v>
      </c>
      <c r="BA12" s="18">
        <v>43</v>
      </c>
    </row>
    <row r="13" spans="1:53">
      <c r="A13" s="16" t="s">
        <v>63</v>
      </c>
      <c r="B13" s="16" t="s">
        <v>73</v>
      </c>
      <c r="C13" s="13" t="s">
        <v>74</v>
      </c>
      <c r="D13" s="17" t="s">
        <v>75</v>
      </c>
      <c r="E13" s="18">
        <v>50</v>
      </c>
      <c r="F13" s="18">
        <v>18</v>
      </c>
      <c r="G13" s="18">
        <v>0.36</v>
      </c>
      <c r="H13" s="18">
        <v>8</v>
      </c>
      <c r="I13" s="18">
        <v>0.30769230769230771</v>
      </c>
      <c r="J13" s="18">
        <v>3</v>
      </c>
      <c r="K13" s="18">
        <v>0.06</v>
      </c>
      <c r="L13" s="18">
        <v>0</v>
      </c>
      <c r="M13" s="18">
        <v>3</v>
      </c>
      <c r="N13" s="18">
        <v>0</v>
      </c>
      <c r="O13" s="18">
        <v>0</v>
      </c>
      <c r="P13" s="18">
        <v>32</v>
      </c>
      <c r="Q13" s="18">
        <v>0</v>
      </c>
      <c r="R13" s="18">
        <v>0</v>
      </c>
      <c r="T13" s="18">
        <v>7552500</v>
      </c>
      <c r="U13" s="18">
        <v>5066400</v>
      </c>
      <c r="V13" s="18">
        <v>0</v>
      </c>
      <c r="W13" s="18">
        <v>-0.329175769612711</v>
      </c>
      <c r="Y13" s="18">
        <v>39</v>
      </c>
      <c r="Z13" s="18">
        <v>0</v>
      </c>
      <c r="AA13" s="18">
        <v>0</v>
      </c>
      <c r="AB13" s="18">
        <v>-1</v>
      </c>
      <c r="AC13" s="18">
        <v>0</v>
      </c>
      <c r="AD13" s="18">
        <v>0</v>
      </c>
      <c r="AE13" s="18">
        <v>0</v>
      </c>
      <c r="AF13" s="18">
        <v>0</v>
      </c>
      <c r="AG13" s="18">
        <v>18</v>
      </c>
      <c r="AH13" s="18">
        <v>18</v>
      </c>
      <c r="AI13" s="18">
        <v>5</v>
      </c>
      <c r="AJ13" s="18">
        <v>5</v>
      </c>
      <c r="AK13" s="18">
        <v>0</v>
      </c>
      <c r="AL13" s="18">
        <v>2</v>
      </c>
      <c r="AM13" s="18">
        <v>2</v>
      </c>
      <c r="AN13" s="18">
        <v>0</v>
      </c>
      <c r="AO13" s="18">
        <v>0</v>
      </c>
      <c r="AP13" s="18">
        <v>3</v>
      </c>
      <c r="AQ13" s="18">
        <v>3</v>
      </c>
      <c r="AR13" s="18">
        <v>0</v>
      </c>
      <c r="AS13" s="18">
        <v>0</v>
      </c>
      <c r="AT13" s="18">
        <v>3</v>
      </c>
      <c r="AU13" s="18">
        <v>0</v>
      </c>
      <c r="AV13" s="18">
        <v>28.7</v>
      </c>
      <c r="AW13" s="18">
        <v>0</v>
      </c>
      <c r="AX13" s="18">
        <v>0</v>
      </c>
      <c r="AY13" s="18">
        <v>0</v>
      </c>
      <c r="AZ13" s="18">
        <v>15521416.491985671</v>
      </c>
      <c r="BA13" s="18">
        <v>18</v>
      </c>
    </row>
    <row r="14" spans="1:53">
      <c r="A14" s="16" t="s">
        <v>63</v>
      </c>
      <c r="B14" s="16" t="s">
        <v>73</v>
      </c>
      <c r="C14" s="13" t="s">
        <v>76</v>
      </c>
      <c r="D14" s="17" t="s">
        <v>75</v>
      </c>
      <c r="E14" s="18">
        <v>48</v>
      </c>
      <c r="F14" s="18">
        <v>17</v>
      </c>
      <c r="G14" s="18">
        <v>0.35416666666666669</v>
      </c>
      <c r="H14" s="18">
        <v>3</v>
      </c>
      <c r="I14" s="18">
        <v>0.15</v>
      </c>
      <c r="J14" s="18">
        <v>7</v>
      </c>
      <c r="K14" s="18">
        <v>0.14583333333333334</v>
      </c>
      <c r="L14" s="18">
        <v>4</v>
      </c>
      <c r="M14" s="18">
        <v>2</v>
      </c>
      <c r="N14" s="18">
        <v>0</v>
      </c>
      <c r="O14" s="18">
        <v>0</v>
      </c>
      <c r="P14" s="18">
        <v>19</v>
      </c>
      <c r="Q14" s="18">
        <v>0</v>
      </c>
      <c r="R14" s="18">
        <v>0</v>
      </c>
      <c r="T14" s="18">
        <v>20634000</v>
      </c>
      <c r="U14" s="18">
        <v>8006900</v>
      </c>
      <c r="V14" s="18">
        <v>0</v>
      </c>
      <c r="W14" s="18">
        <v>-0.61195599495977515</v>
      </c>
      <c r="Y14" s="18">
        <v>41</v>
      </c>
      <c r="Z14" s="18">
        <v>4</v>
      </c>
      <c r="AA14" s="18">
        <v>0</v>
      </c>
      <c r="AB14" s="18">
        <v>-0.90243902439024393</v>
      </c>
      <c r="AC14" s="18">
        <v>0</v>
      </c>
      <c r="AD14" s="18">
        <v>0</v>
      </c>
      <c r="AE14" s="18">
        <v>0</v>
      </c>
      <c r="AF14" s="18">
        <v>0</v>
      </c>
      <c r="AG14" s="18">
        <v>16</v>
      </c>
      <c r="AH14" s="18">
        <v>16</v>
      </c>
      <c r="AI14" s="18">
        <v>44</v>
      </c>
      <c r="AJ14" s="18">
        <v>44</v>
      </c>
      <c r="AK14" s="18">
        <v>0</v>
      </c>
      <c r="AL14" s="18">
        <v>29</v>
      </c>
      <c r="AM14" s="18">
        <v>29</v>
      </c>
      <c r="AN14" s="18">
        <v>0</v>
      </c>
      <c r="AO14" s="18">
        <v>0</v>
      </c>
      <c r="AP14" s="18">
        <v>31</v>
      </c>
      <c r="AQ14" s="18">
        <v>31</v>
      </c>
      <c r="AR14" s="18">
        <v>0</v>
      </c>
      <c r="AS14" s="18">
        <v>8</v>
      </c>
      <c r="AT14" s="18">
        <v>5</v>
      </c>
      <c r="AU14" s="18">
        <v>0</v>
      </c>
      <c r="AV14" s="18">
        <v>23.032258065000001</v>
      </c>
      <c r="AW14" s="18">
        <v>0</v>
      </c>
      <c r="AX14" s="18">
        <v>0</v>
      </c>
      <c r="AY14" s="18">
        <v>0</v>
      </c>
      <c r="AZ14" s="18">
        <v>33983731.168369323</v>
      </c>
      <c r="BA14" s="18">
        <v>17</v>
      </c>
    </row>
    <row r="15" spans="1:53">
      <c r="A15" s="16" t="s">
        <v>63</v>
      </c>
      <c r="B15" s="16" t="s">
        <v>73</v>
      </c>
      <c r="C15" s="13" t="s">
        <v>77</v>
      </c>
      <c r="D15" s="17" t="s">
        <v>78</v>
      </c>
      <c r="E15" s="18">
        <v>49</v>
      </c>
      <c r="F15" s="18">
        <v>37</v>
      </c>
      <c r="G15" s="18">
        <v>0.75510204081632648</v>
      </c>
      <c r="H15" s="18">
        <v>0</v>
      </c>
      <c r="I15" s="18">
        <v>0</v>
      </c>
      <c r="J15" s="18">
        <v>23</v>
      </c>
      <c r="K15" s="18">
        <v>0.46938775510204084</v>
      </c>
      <c r="L15" s="18">
        <v>3</v>
      </c>
      <c r="M15" s="18">
        <v>3</v>
      </c>
      <c r="N15" s="18">
        <v>0</v>
      </c>
      <c r="O15" s="18">
        <v>0</v>
      </c>
      <c r="P15" s="18">
        <v>17</v>
      </c>
      <c r="Q15" s="18">
        <v>0</v>
      </c>
      <c r="R15" s="18">
        <v>0</v>
      </c>
      <c r="T15" s="18">
        <v>10172000</v>
      </c>
      <c r="U15" s="18">
        <v>8242500</v>
      </c>
      <c r="V15" s="18">
        <v>0</v>
      </c>
      <c r="W15" s="18">
        <v>-0.18968737711364525</v>
      </c>
      <c r="Y15" s="18">
        <v>68</v>
      </c>
      <c r="Z15" s="18">
        <v>19</v>
      </c>
      <c r="AA15" s="18">
        <v>0</v>
      </c>
      <c r="AB15" s="18">
        <v>-0.72058823529411764</v>
      </c>
      <c r="AC15" s="18">
        <v>0</v>
      </c>
      <c r="AD15" s="18">
        <v>0</v>
      </c>
      <c r="AE15" s="18">
        <v>9</v>
      </c>
      <c r="AF15" s="18">
        <v>0</v>
      </c>
      <c r="AG15" s="18">
        <v>32</v>
      </c>
      <c r="AH15" s="18">
        <v>32</v>
      </c>
      <c r="AI15" s="18">
        <v>26</v>
      </c>
      <c r="AJ15" s="18">
        <v>25</v>
      </c>
      <c r="AK15" s="18">
        <v>1</v>
      </c>
      <c r="AL15" s="18">
        <v>15</v>
      </c>
      <c r="AM15" s="18">
        <v>15</v>
      </c>
      <c r="AN15" s="18">
        <v>0</v>
      </c>
      <c r="AO15" s="18">
        <v>0</v>
      </c>
      <c r="AP15" s="18">
        <v>16</v>
      </c>
      <c r="AQ15" s="18">
        <v>16</v>
      </c>
      <c r="AR15" s="18">
        <v>0</v>
      </c>
      <c r="AS15" s="18">
        <v>41</v>
      </c>
      <c r="AT15" s="18">
        <v>4</v>
      </c>
      <c r="AU15" s="18">
        <v>0</v>
      </c>
      <c r="AV15" s="18">
        <v>22.196078431</v>
      </c>
      <c r="AW15" s="18">
        <v>0</v>
      </c>
      <c r="AX15" s="18">
        <v>1</v>
      </c>
      <c r="AY15" s="18">
        <v>300000</v>
      </c>
      <c r="AZ15" s="18">
        <v>27717464.974208351</v>
      </c>
      <c r="BA15" s="18">
        <v>37</v>
      </c>
    </row>
    <row r="16" spans="1:53">
      <c r="A16" s="16" t="s">
        <v>63</v>
      </c>
      <c r="B16" s="16" t="s">
        <v>73</v>
      </c>
      <c r="C16" s="13" t="s">
        <v>79</v>
      </c>
      <c r="D16" s="17" t="s">
        <v>78</v>
      </c>
      <c r="E16" s="18">
        <v>43</v>
      </c>
      <c r="F16" s="18">
        <v>20</v>
      </c>
      <c r="G16" s="18">
        <v>0.46511627906976744</v>
      </c>
      <c r="H16" s="18">
        <v>3</v>
      </c>
      <c r="I16" s="18">
        <v>0.13043478260869565</v>
      </c>
      <c r="J16" s="18">
        <v>13</v>
      </c>
      <c r="K16" s="18">
        <v>0.30232558139534882</v>
      </c>
      <c r="L16" s="18">
        <v>5</v>
      </c>
      <c r="M16" s="18">
        <v>4</v>
      </c>
      <c r="N16" s="18">
        <v>0</v>
      </c>
      <c r="O16" s="18">
        <v>0</v>
      </c>
      <c r="P16" s="18">
        <v>23</v>
      </c>
      <c r="Q16" s="18">
        <v>3</v>
      </c>
      <c r="R16" s="18">
        <v>4</v>
      </c>
      <c r="T16" s="18">
        <v>11276500</v>
      </c>
      <c r="U16" s="18">
        <v>1829000</v>
      </c>
      <c r="V16" s="18">
        <v>0</v>
      </c>
      <c r="W16" s="18">
        <v>-0.83780428324391432</v>
      </c>
      <c r="Y16" s="18">
        <v>51</v>
      </c>
      <c r="Z16" s="18">
        <v>3</v>
      </c>
      <c r="AA16" s="18">
        <v>0</v>
      </c>
      <c r="AB16" s="18">
        <v>-0.94117647058823528</v>
      </c>
      <c r="AC16" s="18">
        <v>0</v>
      </c>
      <c r="AD16" s="18">
        <v>0</v>
      </c>
      <c r="AE16" s="18">
        <v>0</v>
      </c>
      <c r="AF16" s="18">
        <v>0</v>
      </c>
      <c r="AG16" s="18">
        <v>17</v>
      </c>
      <c r="AH16" s="18">
        <v>17</v>
      </c>
      <c r="AI16" s="18">
        <v>20</v>
      </c>
      <c r="AJ16" s="18">
        <v>20</v>
      </c>
      <c r="AK16" s="18">
        <v>0</v>
      </c>
      <c r="AL16" s="18">
        <v>12</v>
      </c>
      <c r="AM16" s="18">
        <v>12</v>
      </c>
      <c r="AN16" s="18">
        <v>0</v>
      </c>
      <c r="AO16" s="18">
        <v>0</v>
      </c>
      <c r="AP16" s="18">
        <v>15</v>
      </c>
      <c r="AQ16" s="18">
        <v>15</v>
      </c>
      <c r="AR16" s="18">
        <v>0</v>
      </c>
      <c r="AS16" s="18">
        <v>11</v>
      </c>
      <c r="AT16" s="18">
        <v>4</v>
      </c>
      <c r="AU16" s="18">
        <v>0</v>
      </c>
      <c r="AV16" s="18">
        <v>43</v>
      </c>
      <c r="AW16" s="18">
        <v>0</v>
      </c>
      <c r="AX16" s="18">
        <v>1</v>
      </c>
      <c r="AY16" s="18">
        <v>25000</v>
      </c>
      <c r="AZ16" s="18">
        <v>19221972.570128288</v>
      </c>
      <c r="BA16" s="18">
        <v>20</v>
      </c>
    </row>
    <row r="17" spans="1:53">
      <c r="A17" s="16" t="s">
        <v>63</v>
      </c>
      <c r="B17" s="16" t="s">
        <v>73</v>
      </c>
      <c r="C17" s="13" t="s">
        <v>80</v>
      </c>
      <c r="D17" s="17" t="s">
        <v>78</v>
      </c>
      <c r="E17" s="18">
        <v>1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1</v>
      </c>
      <c r="Q17" s="18">
        <v>0</v>
      </c>
      <c r="R17" s="18">
        <v>0</v>
      </c>
      <c r="T17" s="18">
        <v>0</v>
      </c>
      <c r="U17" s="18">
        <v>54000</v>
      </c>
      <c r="V17" s="18">
        <v>0</v>
      </c>
      <c r="W17" s="18">
        <v>-1</v>
      </c>
      <c r="Y17" s="18">
        <v>0</v>
      </c>
      <c r="Z17" s="18">
        <v>0</v>
      </c>
      <c r="AA17" s="18">
        <v>0</v>
      </c>
      <c r="AB17" s="18">
        <v>-1</v>
      </c>
      <c r="AC17" s="18">
        <v>0</v>
      </c>
      <c r="AD17" s="18">
        <v>0</v>
      </c>
      <c r="AE17" s="18">
        <v>0</v>
      </c>
      <c r="AF17" s="18">
        <v>0</v>
      </c>
      <c r="AG17" s="18">
        <v>1</v>
      </c>
      <c r="AH17" s="18">
        <v>1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99250</v>
      </c>
      <c r="BA17" s="18">
        <v>0</v>
      </c>
    </row>
    <row r="18" spans="1:53">
      <c r="A18" s="16" t="s">
        <v>63</v>
      </c>
      <c r="B18" s="16" t="s">
        <v>73</v>
      </c>
      <c r="C18" s="13" t="s">
        <v>81</v>
      </c>
      <c r="D18" s="17" t="s">
        <v>82</v>
      </c>
      <c r="E18" s="18">
        <v>39</v>
      </c>
      <c r="F18" s="18">
        <v>32</v>
      </c>
      <c r="G18" s="18">
        <v>0.82051282051282048</v>
      </c>
      <c r="H18" s="18">
        <v>2</v>
      </c>
      <c r="I18" s="18">
        <v>5.8823529411764705E-2</v>
      </c>
      <c r="J18" s="18">
        <v>19</v>
      </c>
      <c r="K18" s="18">
        <v>0.48717948717948717</v>
      </c>
      <c r="L18" s="18">
        <v>5</v>
      </c>
      <c r="M18" s="18">
        <v>3</v>
      </c>
      <c r="N18" s="18">
        <v>0</v>
      </c>
      <c r="O18" s="18">
        <v>0</v>
      </c>
      <c r="P18" s="18">
        <v>23</v>
      </c>
      <c r="Q18" s="18">
        <v>0</v>
      </c>
      <c r="R18" s="18">
        <v>0</v>
      </c>
      <c r="T18" s="18">
        <v>33476000</v>
      </c>
      <c r="U18" s="18">
        <v>15293900</v>
      </c>
      <c r="V18" s="18">
        <v>0</v>
      </c>
      <c r="W18" s="18">
        <v>-0.54313836778587643</v>
      </c>
      <c r="Y18" s="18">
        <v>95</v>
      </c>
      <c r="Z18" s="18">
        <v>12</v>
      </c>
      <c r="AA18" s="18">
        <v>0</v>
      </c>
      <c r="AB18" s="18">
        <v>-0.87368421052631584</v>
      </c>
      <c r="AC18" s="18">
        <v>0</v>
      </c>
      <c r="AD18" s="18">
        <v>0</v>
      </c>
      <c r="AE18" s="18">
        <v>0</v>
      </c>
      <c r="AF18" s="18">
        <v>0</v>
      </c>
      <c r="AG18" s="18">
        <v>32</v>
      </c>
      <c r="AH18" s="18">
        <v>32</v>
      </c>
      <c r="AI18" s="18">
        <v>20</v>
      </c>
      <c r="AJ18" s="18">
        <v>20</v>
      </c>
      <c r="AK18" s="18">
        <v>0</v>
      </c>
      <c r="AL18" s="18">
        <v>11</v>
      </c>
      <c r="AM18" s="18">
        <v>11</v>
      </c>
      <c r="AN18" s="18">
        <v>0</v>
      </c>
      <c r="AO18" s="18">
        <v>0</v>
      </c>
      <c r="AP18" s="18">
        <v>13</v>
      </c>
      <c r="AQ18" s="18">
        <v>13</v>
      </c>
      <c r="AR18" s="18">
        <v>0</v>
      </c>
      <c r="AS18" s="18">
        <v>36</v>
      </c>
      <c r="AT18" s="18">
        <v>3</v>
      </c>
      <c r="AU18" s="18">
        <v>0</v>
      </c>
      <c r="AV18" s="18">
        <v>7.4285714289999998</v>
      </c>
      <c r="AW18" s="18">
        <v>0</v>
      </c>
      <c r="AX18" s="18">
        <v>0</v>
      </c>
      <c r="AY18" s="18">
        <v>0</v>
      </c>
      <c r="AZ18" s="18">
        <v>21985828.668709639</v>
      </c>
      <c r="BA18" s="18">
        <v>32</v>
      </c>
    </row>
    <row r="19" spans="1:53">
      <c r="A19" s="16" t="s">
        <v>63</v>
      </c>
      <c r="B19" s="16" t="s">
        <v>73</v>
      </c>
      <c r="C19" s="13" t="s">
        <v>83</v>
      </c>
      <c r="D19" s="17" t="s">
        <v>82</v>
      </c>
      <c r="E19" s="18">
        <v>63</v>
      </c>
      <c r="F19" s="18">
        <v>35</v>
      </c>
      <c r="G19" s="18">
        <v>0.55555555555555558</v>
      </c>
      <c r="H19" s="18">
        <v>0</v>
      </c>
      <c r="I19" s="18">
        <v>0</v>
      </c>
      <c r="J19" s="18">
        <v>9</v>
      </c>
      <c r="K19" s="18">
        <v>0.14285714285714285</v>
      </c>
      <c r="L19" s="18">
        <v>2</v>
      </c>
      <c r="M19" s="18">
        <v>6</v>
      </c>
      <c r="N19" s="18">
        <v>0</v>
      </c>
      <c r="O19" s="18">
        <v>0</v>
      </c>
      <c r="P19" s="18">
        <v>52</v>
      </c>
      <c r="Q19" s="18">
        <v>3</v>
      </c>
      <c r="R19" s="18">
        <v>2</v>
      </c>
      <c r="T19" s="18">
        <v>72496500</v>
      </c>
      <c r="U19" s="18">
        <v>100731800</v>
      </c>
      <c r="V19" s="18">
        <v>0</v>
      </c>
      <c r="W19" s="18">
        <v>0.38947121585179967</v>
      </c>
      <c r="Y19" s="18">
        <v>228</v>
      </c>
      <c r="Z19" s="18">
        <v>10</v>
      </c>
      <c r="AA19" s="18">
        <v>0</v>
      </c>
      <c r="AB19" s="18">
        <v>-0.95614035087719296</v>
      </c>
      <c r="AC19" s="18">
        <v>0</v>
      </c>
      <c r="AD19" s="18">
        <v>0</v>
      </c>
      <c r="AE19" s="18">
        <v>0</v>
      </c>
      <c r="AF19" s="18">
        <v>0</v>
      </c>
      <c r="AG19" s="18">
        <v>30</v>
      </c>
      <c r="AH19" s="18">
        <v>30</v>
      </c>
      <c r="AI19" s="18">
        <v>42</v>
      </c>
      <c r="AJ19" s="18">
        <v>41</v>
      </c>
      <c r="AK19" s="18">
        <v>1</v>
      </c>
      <c r="AL19" s="18">
        <v>22</v>
      </c>
      <c r="AM19" s="18">
        <v>22</v>
      </c>
      <c r="AN19" s="18">
        <v>0</v>
      </c>
      <c r="AO19" s="18">
        <v>0</v>
      </c>
      <c r="AP19" s="18">
        <v>29</v>
      </c>
      <c r="AQ19" s="18">
        <v>29</v>
      </c>
      <c r="AR19" s="18">
        <v>0</v>
      </c>
      <c r="AS19" s="18">
        <v>14</v>
      </c>
      <c r="AT19" s="18">
        <v>14</v>
      </c>
      <c r="AU19" s="18">
        <v>0</v>
      </c>
      <c r="AV19" s="18">
        <v>20.3125</v>
      </c>
      <c r="AW19" s="18">
        <v>0</v>
      </c>
      <c r="AX19" s="18">
        <v>2</v>
      </c>
      <c r="AY19" s="18">
        <v>300000</v>
      </c>
      <c r="AZ19" s="18">
        <v>28330148.378621832</v>
      </c>
      <c r="BA19" s="18">
        <v>35</v>
      </c>
    </row>
    <row r="20" spans="1:53">
      <c r="A20" s="16" t="s">
        <v>63</v>
      </c>
      <c r="B20" s="16" t="s">
        <v>84</v>
      </c>
      <c r="C20" s="13" t="s">
        <v>85</v>
      </c>
      <c r="D20" s="17" t="s">
        <v>86</v>
      </c>
      <c r="E20" s="18">
        <v>48</v>
      </c>
      <c r="F20" s="18">
        <v>40</v>
      </c>
      <c r="G20" s="18">
        <v>0.83333333333333337</v>
      </c>
      <c r="H20" s="18">
        <v>5</v>
      </c>
      <c r="I20" s="18">
        <v>0.1111111111111111</v>
      </c>
      <c r="J20" s="18">
        <v>23</v>
      </c>
      <c r="K20" s="18">
        <v>0.47916666666666669</v>
      </c>
      <c r="L20" s="18">
        <v>2</v>
      </c>
      <c r="M20" s="18">
        <v>1</v>
      </c>
      <c r="N20" s="18">
        <v>0</v>
      </c>
      <c r="O20" s="18">
        <v>0</v>
      </c>
      <c r="P20" s="18">
        <v>26</v>
      </c>
      <c r="Q20" s="18">
        <v>0</v>
      </c>
      <c r="R20" s="18">
        <v>0</v>
      </c>
      <c r="T20" s="18">
        <v>11993750</v>
      </c>
      <c r="U20" s="18">
        <v>5192000</v>
      </c>
      <c r="V20" s="18">
        <v>0</v>
      </c>
      <c r="W20" s="18">
        <v>-0.56710786868160501</v>
      </c>
      <c r="Y20" s="18">
        <v>67</v>
      </c>
      <c r="Z20" s="18">
        <v>22</v>
      </c>
      <c r="AA20" s="18">
        <v>0</v>
      </c>
      <c r="AB20" s="18">
        <v>-0.67164179104477606</v>
      </c>
      <c r="AC20" s="18">
        <v>0</v>
      </c>
      <c r="AD20" s="18">
        <v>0</v>
      </c>
      <c r="AE20" s="18">
        <v>7</v>
      </c>
      <c r="AF20" s="18">
        <v>0</v>
      </c>
      <c r="AG20" s="18">
        <v>34</v>
      </c>
      <c r="AH20" s="18">
        <v>34</v>
      </c>
      <c r="AI20" s="18">
        <v>19</v>
      </c>
      <c r="AJ20" s="18">
        <v>19</v>
      </c>
      <c r="AK20" s="18">
        <v>0</v>
      </c>
      <c r="AL20" s="18">
        <v>9</v>
      </c>
      <c r="AM20" s="18">
        <v>9</v>
      </c>
      <c r="AN20" s="18">
        <v>0</v>
      </c>
      <c r="AO20" s="18">
        <v>0</v>
      </c>
      <c r="AP20" s="18">
        <v>12</v>
      </c>
      <c r="AQ20" s="18">
        <v>12</v>
      </c>
      <c r="AR20" s="18">
        <v>0</v>
      </c>
      <c r="AS20" s="18">
        <v>3</v>
      </c>
      <c r="AT20" s="18">
        <v>1</v>
      </c>
      <c r="AU20" s="18">
        <v>0</v>
      </c>
      <c r="AV20" s="18">
        <v>10.729166666999999</v>
      </c>
      <c r="AW20" s="18">
        <v>0</v>
      </c>
      <c r="AX20" s="18">
        <v>1</v>
      </c>
      <c r="AY20" s="18">
        <v>150000</v>
      </c>
      <c r="AZ20" s="18">
        <v>19884551.466284662</v>
      </c>
      <c r="BA20" s="18">
        <v>40</v>
      </c>
    </row>
    <row r="21" spans="1:53">
      <c r="A21" s="16" t="s">
        <v>63</v>
      </c>
      <c r="B21" s="16" t="s">
        <v>84</v>
      </c>
      <c r="C21" s="13" t="s">
        <v>87</v>
      </c>
      <c r="D21" s="17" t="s">
        <v>86</v>
      </c>
      <c r="E21" s="18">
        <v>53</v>
      </c>
      <c r="F21" s="18">
        <v>44</v>
      </c>
      <c r="G21" s="18">
        <v>0.83018867924528306</v>
      </c>
      <c r="H21" s="18">
        <v>1</v>
      </c>
      <c r="I21" s="18">
        <v>2.2222222222222223E-2</v>
      </c>
      <c r="J21" s="18">
        <v>21</v>
      </c>
      <c r="K21" s="18">
        <v>0.39622641509433965</v>
      </c>
      <c r="L21" s="18">
        <v>5</v>
      </c>
      <c r="M21" s="18">
        <v>6</v>
      </c>
      <c r="N21" s="18">
        <v>0</v>
      </c>
      <c r="O21" s="18">
        <v>0</v>
      </c>
      <c r="P21" s="18">
        <v>29</v>
      </c>
      <c r="Q21" s="18">
        <v>1</v>
      </c>
      <c r="R21" s="18">
        <v>1</v>
      </c>
      <c r="T21" s="18">
        <v>9578500</v>
      </c>
      <c r="U21" s="18">
        <v>4524100</v>
      </c>
      <c r="V21" s="18">
        <v>0</v>
      </c>
      <c r="W21" s="18">
        <v>-0.52768178733622173</v>
      </c>
      <c r="Y21" s="18">
        <v>7</v>
      </c>
      <c r="Z21" s="18">
        <v>8</v>
      </c>
      <c r="AA21" s="18">
        <v>0</v>
      </c>
      <c r="AB21" s="18">
        <v>0.14285714285714279</v>
      </c>
      <c r="AC21" s="18">
        <v>0</v>
      </c>
      <c r="AD21" s="18">
        <v>0</v>
      </c>
      <c r="AE21" s="18">
        <v>0</v>
      </c>
      <c r="AF21" s="18">
        <v>0</v>
      </c>
      <c r="AG21" s="18">
        <v>37</v>
      </c>
      <c r="AH21" s="18">
        <v>37</v>
      </c>
      <c r="AI21" s="18">
        <v>31</v>
      </c>
      <c r="AJ21" s="18">
        <v>31</v>
      </c>
      <c r="AK21" s="18">
        <v>0</v>
      </c>
      <c r="AL21" s="18">
        <v>13</v>
      </c>
      <c r="AM21" s="18">
        <v>13</v>
      </c>
      <c r="AN21" s="18">
        <v>0</v>
      </c>
      <c r="AO21" s="18">
        <v>0</v>
      </c>
      <c r="AP21" s="18">
        <v>19</v>
      </c>
      <c r="AQ21" s="18">
        <v>19</v>
      </c>
      <c r="AR21" s="18">
        <v>0</v>
      </c>
      <c r="AS21" s="18">
        <v>20</v>
      </c>
      <c r="AT21" s="18">
        <v>8</v>
      </c>
      <c r="AU21" s="18">
        <v>0</v>
      </c>
      <c r="AV21" s="18">
        <v>9.4791666669999994</v>
      </c>
      <c r="AW21" s="18">
        <v>0</v>
      </c>
      <c r="AX21" s="18">
        <v>0</v>
      </c>
      <c r="AY21" s="18">
        <v>0</v>
      </c>
      <c r="AZ21" s="18">
        <v>15773891.221654708</v>
      </c>
      <c r="BA21" s="18">
        <v>44</v>
      </c>
    </row>
    <row r="22" spans="1:53">
      <c r="A22" s="16" t="s">
        <v>63</v>
      </c>
      <c r="B22" s="16" t="s">
        <v>84</v>
      </c>
      <c r="C22" s="13" t="s">
        <v>88</v>
      </c>
      <c r="D22" s="17" t="s">
        <v>86</v>
      </c>
      <c r="E22" s="18">
        <v>48</v>
      </c>
      <c r="F22" s="18">
        <v>42</v>
      </c>
      <c r="G22" s="18">
        <v>0.875</v>
      </c>
      <c r="H22" s="18">
        <v>7</v>
      </c>
      <c r="I22" s="18">
        <v>0.14285714285714285</v>
      </c>
      <c r="J22" s="18">
        <v>17</v>
      </c>
      <c r="K22" s="18">
        <v>0.35416666666666669</v>
      </c>
      <c r="L22" s="18">
        <v>19</v>
      </c>
      <c r="M22" s="18">
        <v>0</v>
      </c>
      <c r="N22" s="18">
        <v>0</v>
      </c>
      <c r="O22" s="18">
        <v>0</v>
      </c>
      <c r="P22" s="18">
        <v>29</v>
      </c>
      <c r="Q22" s="18">
        <v>6</v>
      </c>
      <c r="R22" s="18">
        <v>1</v>
      </c>
      <c r="T22" s="18">
        <v>8685000</v>
      </c>
      <c r="U22" s="18">
        <v>6911000</v>
      </c>
      <c r="V22" s="18">
        <v>0</v>
      </c>
      <c r="W22" s="18">
        <v>-0.20426021876799083</v>
      </c>
      <c r="Y22" s="18">
        <v>3</v>
      </c>
      <c r="Z22" s="18">
        <v>64</v>
      </c>
      <c r="AA22" s="18">
        <v>0</v>
      </c>
      <c r="AB22" s="18">
        <v>20.333333333333332</v>
      </c>
      <c r="AC22" s="18">
        <v>0</v>
      </c>
      <c r="AD22" s="18">
        <v>0</v>
      </c>
      <c r="AE22" s="18">
        <v>0</v>
      </c>
      <c r="AF22" s="18">
        <v>0</v>
      </c>
      <c r="AG22" s="18">
        <v>42</v>
      </c>
      <c r="AH22" s="18">
        <v>42</v>
      </c>
      <c r="AI22" s="18">
        <v>23</v>
      </c>
      <c r="AJ22" s="18">
        <v>23</v>
      </c>
      <c r="AK22" s="18">
        <v>0</v>
      </c>
      <c r="AL22" s="18">
        <v>15</v>
      </c>
      <c r="AM22" s="18">
        <v>15</v>
      </c>
      <c r="AN22" s="18">
        <v>0</v>
      </c>
      <c r="AO22" s="18">
        <v>0</v>
      </c>
      <c r="AP22" s="18">
        <v>19</v>
      </c>
      <c r="AQ22" s="18">
        <v>19</v>
      </c>
      <c r="AR22" s="18">
        <v>0</v>
      </c>
      <c r="AS22" s="18">
        <v>73</v>
      </c>
      <c r="AT22" s="18">
        <v>0</v>
      </c>
      <c r="AU22" s="18">
        <v>0</v>
      </c>
      <c r="AV22" s="18">
        <v>21.611111111</v>
      </c>
      <c r="AW22" s="18">
        <v>0</v>
      </c>
      <c r="AX22" s="18">
        <v>0</v>
      </c>
      <c r="AY22" s="18">
        <v>0</v>
      </c>
      <c r="AZ22" s="18">
        <v>22399021.778644077</v>
      </c>
      <c r="BA22" s="18">
        <v>42</v>
      </c>
    </row>
    <row r="23" spans="1:53">
      <c r="A23" s="16" t="s">
        <v>63</v>
      </c>
      <c r="B23" s="16" t="s">
        <v>84</v>
      </c>
      <c r="C23" s="13" t="s">
        <v>89</v>
      </c>
      <c r="D23" s="17" t="s">
        <v>86</v>
      </c>
      <c r="E23" s="18">
        <v>49</v>
      </c>
      <c r="F23" s="18">
        <v>46</v>
      </c>
      <c r="G23" s="18">
        <v>0.93877551020408168</v>
      </c>
      <c r="H23" s="18">
        <v>0</v>
      </c>
      <c r="I23" s="18">
        <v>0</v>
      </c>
      <c r="J23" s="18">
        <v>28</v>
      </c>
      <c r="K23" s="18">
        <v>0.5714285714285714</v>
      </c>
      <c r="L23" s="18">
        <v>5</v>
      </c>
      <c r="M23" s="18">
        <v>2</v>
      </c>
      <c r="N23" s="18">
        <v>0</v>
      </c>
      <c r="O23" s="18">
        <v>0</v>
      </c>
      <c r="P23" s="18">
        <v>22</v>
      </c>
      <c r="Q23" s="18">
        <v>0</v>
      </c>
      <c r="R23" s="18">
        <v>0</v>
      </c>
      <c r="T23" s="18">
        <v>11519500</v>
      </c>
      <c r="U23" s="18">
        <v>12061250</v>
      </c>
      <c r="V23" s="18">
        <v>0</v>
      </c>
      <c r="W23" s="18">
        <v>4.7028950909327571E-2</v>
      </c>
      <c r="Y23" s="18">
        <v>30</v>
      </c>
      <c r="Z23" s="18">
        <v>6</v>
      </c>
      <c r="AA23" s="18">
        <v>0</v>
      </c>
      <c r="AB23" s="18">
        <v>-0.8</v>
      </c>
      <c r="AC23" s="18">
        <v>0</v>
      </c>
      <c r="AD23" s="18">
        <v>0</v>
      </c>
      <c r="AE23" s="18">
        <v>0</v>
      </c>
      <c r="AF23" s="18">
        <v>0</v>
      </c>
      <c r="AG23" s="18">
        <v>35</v>
      </c>
      <c r="AH23" s="18">
        <v>35</v>
      </c>
      <c r="AI23" s="18">
        <v>11</v>
      </c>
      <c r="AJ23" s="18">
        <v>10</v>
      </c>
      <c r="AK23" s="18">
        <v>1</v>
      </c>
      <c r="AL23" s="18">
        <v>2</v>
      </c>
      <c r="AM23" s="18">
        <v>2</v>
      </c>
      <c r="AN23" s="18">
        <v>0</v>
      </c>
      <c r="AO23" s="18">
        <v>0</v>
      </c>
      <c r="AP23" s="18">
        <v>5</v>
      </c>
      <c r="AQ23" s="18">
        <v>5</v>
      </c>
      <c r="AR23" s="18">
        <v>0</v>
      </c>
      <c r="AS23" s="18">
        <v>7</v>
      </c>
      <c r="AT23" s="18">
        <v>5</v>
      </c>
      <c r="AU23" s="18">
        <v>0</v>
      </c>
      <c r="AV23" s="18">
        <v>7.4042553189999998</v>
      </c>
      <c r="AW23" s="18">
        <v>0</v>
      </c>
      <c r="AX23" s="18">
        <v>0</v>
      </c>
      <c r="AY23" s="18">
        <v>0</v>
      </c>
      <c r="AZ23" s="18">
        <v>23069031.69257547</v>
      </c>
      <c r="BA23" s="18">
        <v>46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AMN-IOH</dc:creator>
  <cp:lastModifiedBy>AMN-IOH</cp:lastModifiedBy>
  <dcterms:created xsi:type="dcterms:W3CDTF">2026-08-02T10:17:34Z</dcterms:created>
  <dcterms:modified xsi:type="dcterms:W3CDTF">2026-08-16T14:20:49Z</dcterms:modified>
</cp:coreProperties>
</file>