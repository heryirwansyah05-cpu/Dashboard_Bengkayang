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Sheet1!$A$3:$Q$3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E15" i="1" s="1"/>
  <c r="D14" i="1"/>
  <c r="E14" i="1" s="1"/>
  <c r="D13" i="1"/>
  <c r="E13" i="1" s="1"/>
  <c r="D12" i="1"/>
  <c r="E12" i="1" s="1"/>
  <c r="D11" i="1"/>
  <c r="E11" i="1" s="1"/>
  <c r="D8" i="1"/>
  <c r="E8" i="1" s="1"/>
  <c r="D7" i="1"/>
  <c r="E7" i="1" s="1"/>
  <c r="D6" i="1"/>
  <c r="E6" i="1" s="1"/>
  <c r="D5" i="1"/>
  <c r="E5" i="1" s="1"/>
  <c r="D4" i="1"/>
  <c r="E4" i="1" s="1"/>
</calcChain>
</file>

<file path=xl/comments1.xml><?xml version="1.0" encoding="utf-8"?>
<comments xmlns="http://schemas.openxmlformats.org/spreadsheetml/2006/main">
  <authors>
    <author>rcoka</author>
  </authors>
  <commentList>
    <comment ref="H2" authorId="0" shapeId="0">
      <text>
        <r>
          <rPr>
            <b/>
            <sz val="9"/>
            <color indexed="81"/>
            <rFont val="Tahoma"/>
            <family val="2"/>
          </rPr>
          <t>MC WISE</t>
        </r>
      </text>
    </comment>
  </commentList>
</comments>
</file>

<file path=xl/sharedStrings.xml><?xml version="1.0" encoding="utf-8"?>
<sst xmlns="http://schemas.openxmlformats.org/spreadsheetml/2006/main" count="216" uniqueCount="91">
  <si>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</si>
  <si>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</si>
  <si>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</si>
  <si>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</si>
  <si>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</si>
  <si>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</si>
  <si>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</si>
  <si>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</si>
  <si>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</si>
  <si>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</si>
  <si>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</si>
  <si>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ACH MONTHLY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</si>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</sst>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64" formatCode="_(* #,##0.0_);_(* \(#,##0.0\);_(* &quot;-&quot;?_);_(@_)"/>
    <numFmt numFmtId="165" formatCode="&quot;£&quot;#,##0.00"/>
    <numFmt numFmtId="166" formatCode="_(* #,##0_);_(* \(#,##0\);_(* &quot;-&quot;??_);_(@_)"/>
    <numFmt numFmtId="167" formatCode="_(* #,##0.00_);_(* \(#,##0.00\);_(* &quot;-&quot;??_);_(@_)"/>
    <numFmt numFmtId="168" formatCode="0.0%"/>
    <numFmt numFmtId="169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name val="Indosat Sans Regular"/>
    </font>
    <font>
      <sz val="8"/>
      <color theme="1"/>
      <name val="Indosat Sans Regular"/>
    </font>
    <font>
      <b/>
      <sz val="9"/>
      <color indexed="81"/>
      <name val="Tahoma"/>
      <family val="2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36">
    <xf numFmtId="0" fontId="0" fillId="0" borderId="0" xfId="0"/>
    <xf numFmtId="9" fontId="4" fillId="5" borderId="0" xfId="3" applyFont="1" applyFill="1" applyBorder="1" applyAlignment="1">
      <alignment vertical="center" wrapText="1"/>
    </xf>
    <xf numFmtId="17" fontId="2" fillId="5" borderId="0" xfId="0" applyNumberFormat="1" applyFont="1" applyFill="1" applyBorder="1"/>
    <xf numFmtId="0" fontId="3" fillId="5" borderId="0" xfId="0" applyFont="1" applyFill="1" applyBorder="1"/>
    <xf numFmtId="0" fontId="2" fillId="5" borderId="0" xfId="0" applyFont="1" applyFill="1" applyBorder="1"/>
    <xf numFmtId="43" fontId="3" fillId="5" borderId="0" xfId="1" applyFont="1" applyFill="1" applyBorder="1"/>
    <xf numFmtId="164" fontId="3" fillId="5" borderId="0" xfId="0" applyNumberFormat="1" applyFont="1" applyFill="1" applyBorder="1"/>
    <xf numFmtId="0" fontId="5" fillId="5" borderId="0" xfId="0" applyFont="1" applyFill="1" applyBorder="1" applyAlignment="1">
      <alignment vertical="center" wrapText="1"/>
    </xf>
    <xf numFmtId="0" fontId="6" fillId="5" borderId="0" xfId="0" applyFont="1" applyFill="1" applyBorder="1" applyAlignment="1">
      <alignment vertical="center" wrapText="1"/>
    </xf>
    <xf numFmtId="165" fontId="6" fillId="5" borderId="0" xfId="0" applyNumberFormat="1" applyFont="1" applyFill="1" applyBorder="1" applyAlignment="1">
      <alignment vertical="center" wrapText="1"/>
    </xf>
    <xf numFmtId="0" fontId="3" fillId="5" borderId="0" xfId="0" applyFont="1" applyFill="1" applyBorder="1" applyAlignment="1">
      <alignment horizontal="left"/>
    </xf>
    <xf numFmtId="166" fontId="3" fillId="5" borderId="0" xfId="1" applyNumberFormat="1" applyFont="1" applyFill="1" applyBorder="1" applyAlignment="1">
      <alignment horizontal="center"/>
    </xf>
    <xf numFmtId="41" fontId="3" fillId="5" borderId="0" xfId="2" applyFont="1" applyFill="1" applyBorder="1" applyAlignment="1">
      <alignment horizontal="center"/>
    </xf>
    <xf numFmtId="41" fontId="3" fillId="5" borderId="0" xfId="0" applyNumberFormat="1" applyFont="1" applyFill="1" applyBorder="1"/>
    <xf numFmtId="41" fontId="7" fillId="5" borderId="0" xfId="2" applyFont="1" applyFill="1" applyBorder="1"/>
    <xf numFmtId="168" fontId="7" fillId="5" borderId="0" xfId="3" applyNumberFormat="1" applyFont="1" applyFill="1" applyBorder="1"/>
    <xf numFmtId="9" fontId="7" fillId="5" borderId="0" xfId="3" applyFont="1" applyFill="1" applyBorder="1"/>
    <xf numFmtId="2" fontId="7" fillId="5" borderId="0" xfId="0" applyNumberFormat="1" applyFont="1" applyFill="1" applyBorder="1"/>
    <xf numFmtId="43" fontId="7" fillId="5" borderId="0" xfId="1" applyFont="1" applyFill="1" applyBorder="1"/>
    <xf numFmtId="41" fontId="2" fillId="5" borderId="0" xfId="2" applyFont="1" applyFill="1" applyBorder="1" applyAlignment="1">
      <alignment horizontal="center"/>
    </xf>
    <xf numFmtId="166" fontId="3" fillId="5" borderId="0" xfId="4" applyNumberFormat="1" applyFont="1" applyFill="1" applyBorder="1" applyAlignment="1">
      <alignment horizontal="center"/>
    </xf>
    <xf numFmtId="0" fontId="11" fillId="2" borderId="1" xfId="0" applyNumberFormat="1" applyFont="1" applyFill="1" applyBorder="1" applyAlignment="1" applyProtection="1">
      <alignment horizontal="center" vertical="center"/>
    </xf>
    <xf numFmtId="0" fontId="9" fillId="0" borderId="1" xfId="0" applyNumberFormat="1" applyFont="1" applyFill="1" applyBorder="1" applyAlignment="1" applyProtection="1">
      <alignment horizontal="left"/>
    </xf>
    <xf numFmtId="9" fontId="10" fillId="3" borderId="1" xfId="0" applyNumberFormat="1" applyFont="1" applyFill="1" applyBorder="1" applyAlignment="1" applyProtection="1">
      <alignment vertical="center" wrapText="1"/>
    </xf>
    <xf numFmtId="10" fontId="9" fillId="0" borderId="1" xfId="3" applyNumberFormat="1" applyFont="1" applyFill="1" applyBorder="1" applyAlignment="1" applyProtection="1"/>
    <xf numFmtId="14" fontId="11" fillId="4" borderId="1" xfId="0" applyNumberFormat="1" applyFont="1" applyFill="1" applyBorder="1" applyAlignment="1" applyProtection="1">
      <alignment horizontal="center" vertical="center"/>
    </xf>
    <xf numFmtId="169" fontId="9" fillId="0" borderId="1" xfId="1" applyNumberFormat="1" applyFont="1" applyFill="1" applyBorder="1" applyAlignment="1" applyProtection="1"/>
    <xf numFmtId="169" fontId="0" fillId="0" borderId="1" xfId="1" applyNumberFormat="1" applyFont="1" applyBorder="1"/>
    <xf numFmtId="0" fontId="0" fillId="0" borderId="0" xfId="0" applyAlignment="1"/>
    <xf numFmtId="169" fontId="0" fillId="0" borderId="0" xfId="1" applyNumberFormat="1" applyFont="1" applyAlignment="1"/>
    <xf numFmtId="169" fontId="0" fillId="0" borderId="0" xfId="1" applyNumberFormat="1" applyFont="1" applyAlignment="1">
      <alignment vertical="top"/>
    </xf>
    <xf numFmtId="0" fontId="0" fillId="0" borderId="2" xfId="0" applyBorder="1"/>
    <xf numFmtId="169" fontId="0" fillId="0" borderId="2" xfId="1" applyNumberFormat="1" applyFont="1" applyBorder="1"/>
    <xf numFmtId="0" fontId="0" fillId="0" borderId="0" xfId="0" applyAlignment="1">
      <alignment vertical="top"/>
    </xf>
    <xf numFmtId="169" fontId="0" fillId="0" borderId="3" xfId="1" applyNumberFormat="1" applyFont="1" applyBorder="1"/>
    <xf numFmtId="169" fontId="0" fillId="0" borderId="0" xfId="1" applyNumberFormat="1" applyFont="1"/>
  </cellXfs>
  <cellStyles count="5">
    <cellStyle name="Comma" xfId="1" builtinId="3"/>
    <cellStyle name="Comma [0]" xfId="2" builtinId="6"/>
    <cellStyle name="Comma 3 2" xfId="4"/>
    <cellStyle name="Normal" xfId="0" builtinId="0"/>
    <cellStyle name="Percent" xfId="3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J322"/>
  <sheetViews>
    <sheetView tabSelected="1" topLeftCell="K1" workbookViewId="0">
      <selection activeCell="O19" sqref="O19"/>
    </sheetView>
  </sheetViews>
  <sheetFormatPr defaultColWidth="9.453125" defaultRowHeight="13" outlineLevelCol="1"/>
  <cols>
    <col min="1" max="1" width="15.453125" style="3" bestFit="1" customWidth="1"/>
    <col min="2" max="2" width="21.26953125" style="3" bestFit="1" customWidth="1"/>
    <col min="3" max="3" width="18" style="3" bestFit="1" customWidth="1"/>
    <col min="4" max="4" width="16.36328125" style="3" bestFit="1" customWidth="1"/>
    <col min="5" max="5" width="16.36328125" style="3" customWidth="1"/>
    <col min="6" max="6" width="15.36328125" style="3" customWidth="1"/>
    <col min="7" max="9" width="15.36328125" style="3" bestFit="1" customWidth="1"/>
    <col min="10" max="10" width="15.36328125" style="3" bestFit="1" customWidth="1" outlineLevel="1"/>
    <col min="11" max="11" width="15.36328125" style="5" bestFit="1" customWidth="1"/>
    <col min="12" max="17" width="15.36328125" style="3" bestFit="1" customWidth="1"/>
    <col min="18" max="36" width="10.81640625" style="3" bestFit="1" customWidth="1"/>
    <col min="37" max="16384" width="9.453125" style="3"/>
  </cols>
  <sheetData>
    <row r="1" spans="1:36" ht="11.15" customHeight="1">
      <c r="A1" s="2"/>
      <c r="H1" s="4"/>
      <c r="J1" s="6"/>
    </row>
    <row r="2" spans="1:36">
      <c r="A2" s="1"/>
      <c r="B2" s="1"/>
      <c r="C2" s="1"/>
      <c r="D2" s="1"/>
      <c r="E2" s="1"/>
      <c r="F2" s="1"/>
      <c r="G2" s="1"/>
      <c r="H2" s="1"/>
      <c r="I2" s="1"/>
      <c r="J2" s="7"/>
      <c r="K2" s="8"/>
      <c r="L2" s="8"/>
      <c r="M2" s="8"/>
      <c r="N2" s="9"/>
      <c r="O2" s="9"/>
      <c r="P2" s="8"/>
    </row>
    <row r="3" spans="1:36" ht="32" customHeight="1">
      <c r="A3" s="23" t="s">
        <v>0</v>
      </c>
      <c r="B3" s="23" t="s">
        <v>1</v>
      </c>
      <c r="C3" s="21" t="s">
        <v>10</v>
      </c>
      <c r="D3" s="21" t="s">
        <v>11</v>
      </c>
      <c r="E3" s="21" t="s">
        <v>8</v>
      </c>
      <c r="F3" s="25">
        <v>46235</v>
      </c>
      <c r="G3" s="25">
        <v>46236</v>
      </c>
      <c r="H3" s="25">
        <v>46237</v>
      </c>
      <c r="I3" s="25">
        <v>46238</v>
      </c>
      <c r="J3" s="25">
        <v>46239</v>
      </c>
      <c r="K3" s="25">
        <v>46240</v>
      </c>
      <c r="L3" s="25">
        <v>46241</v>
      </c>
      <c r="M3" s="25">
        <v>46242</v>
      </c>
      <c r="N3" s="25">
        <v>46243</v>
      </c>
      <c r="O3" s="25">
        <v>46244</v>
      </c>
      <c r="P3" s="25">
        <v>46245</v>
      </c>
      <c r="Q3" s="25">
        <v>46246</v>
      </c>
      <c r="R3" s="25">
        <v>46247</v>
      </c>
      <c r="S3" s="25">
        <v>46248</v>
      </c>
      <c r="T3" s="25">
        <v>46249</v>
      </c>
      <c r="U3" s="25">
        <v>46250</v>
      </c>
      <c r="V3" s="25">
        <v>46251</v>
      </c>
      <c r="W3" s="25">
        <v>46252</v>
      </c>
      <c r="X3" s="25">
        <v>46253</v>
      </c>
      <c r="Y3" s="25">
        <v>46254</v>
      </c>
      <c r="Z3" s="25">
        <v>46255</v>
      </c>
      <c r="AA3" s="25">
        <v>46256</v>
      </c>
      <c r="AB3" s="25">
        <v>46257</v>
      </c>
      <c r="AC3" s="25">
        <v>46258</v>
      </c>
      <c r="AD3" s="25">
        <v>46259</v>
      </c>
      <c r="AE3" s="25">
        <v>46260</v>
      </c>
      <c r="AF3" s="25">
        <v>46261</v>
      </c>
      <c r="AG3" s="25">
        <v>46262</v>
      </c>
      <c r="AH3" s="25">
        <v>46263</v>
      </c>
      <c r="AI3" s="25">
        <v>46264</v>
      </c>
      <c r="AJ3" s="25">
        <v>46265</v>
      </c>
    </row>
    <row r="4" spans="1:36" ht="13" customHeight="1">
      <c r="A4" s="22" t="s">
        <v>2</v>
      </c>
      <c r="B4" s="26" t="s">
        <v>3</v>
      </c>
      <c r="C4" s="26">
        <v>491884213.1612137</v>
      </c>
      <c r="D4" s="26">
        <f>SUM(F4:AJ4)</f>
        <v>54949000</v>
      </c>
      <c r="E4" s="24">
        <f>D4/C4</f>
        <v>0.11171124937484142</v>
      </c>
      <c r="F4" s="27">
        <v>4040000</v>
      </c>
      <c r="G4" s="26">
        <v>0</v>
      </c>
      <c r="H4" s="26">
        <v>9377500</v>
      </c>
      <c r="I4" s="26">
        <v>10540000</v>
      </c>
      <c r="J4" s="26">
        <v>7615000</v>
      </c>
      <c r="K4" s="26">
        <v>8964000</v>
      </c>
      <c r="L4" s="26">
        <v>9676500</v>
      </c>
      <c r="M4" s="26">
        <v>3736000</v>
      </c>
      <c r="N4" s="26">
        <v>1000000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  <c r="AF4" s="26">
        <v>0</v>
      </c>
      <c r="AG4" s="26">
        <v>0</v>
      </c>
      <c r="AH4" s="26">
        <v>0</v>
      </c>
      <c r="AI4" s="26">
        <v>0</v>
      </c>
      <c r="AJ4" s="26">
        <v>0</v>
      </c>
    </row>
    <row r="5" spans="1:36" ht="14.5">
      <c r="A5" s="22" t="s">
        <v>4</v>
      </c>
      <c r="B5" s="26" t="s">
        <v>3</v>
      </c>
      <c r="C5" s="26">
        <v>356598281.11561674</v>
      </c>
      <c r="D5" s="26">
        <f t="shared" ref="D5:D8" si="0">SUM(F5:AJ5)</f>
        <v>51129000</v>
      </c>
      <c r="E5" s="24">
        <f t="shared" ref="E5:E8" si="1">D5/C5</f>
        <v>0.14337982740702807</v>
      </c>
      <c r="F5" s="27">
        <v>8209000</v>
      </c>
      <c r="G5" s="26">
        <v>0</v>
      </c>
      <c r="H5" s="26">
        <v>3688000</v>
      </c>
      <c r="I5" s="26">
        <v>5286000</v>
      </c>
      <c r="J5" s="26">
        <v>6828000</v>
      </c>
      <c r="K5" s="26">
        <v>9323000</v>
      </c>
      <c r="L5" s="26">
        <v>4563000</v>
      </c>
      <c r="M5" s="26">
        <v>12232000</v>
      </c>
      <c r="N5" s="26">
        <v>1000000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  <c r="AF5" s="26">
        <v>0</v>
      </c>
      <c r="AG5" s="26">
        <v>0</v>
      </c>
      <c r="AH5" s="26">
        <v>0</v>
      </c>
      <c r="AI5" s="26">
        <v>0</v>
      </c>
      <c r="AJ5" s="26">
        <v>0</v>
      </c>
    </row>
    <row r="6" spans="1:36" ht="13.5">
      <c r="A6" s="22" t="s">
        <v>5</v>
      </c>
      <c r="B6" s="26" t="s">
        <v>3</v>
      </c>
      <c r="C6" s="26">
        <v>388659954.92355943</v>
      </c>
      <c r="D6" s="26">
        <f t="shared" si="0"/>
        <v>1000000</v>
      </c>
      <c r="E6" s="24">
        <f t="shared" si="1"/>
        <v>2.5729432305334294E-3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/>
      <c r="L6" s="26"/>
      <c r="M6" s="26"/>
      <c r="N6" s="26">
        <v>1000000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  <c r="AF6" s="26">
        <v>0</v>
      </c>
      <c r="AG6" s="26">
        <v>0</v>
      </c>
      <c r="AH6" s="26">
        <v>0</v>
      </c>
      <c r="AI6" s="26">
        <v>0</v>
      </c>
      <c r="AJ6" s="26">
        <v>0</v>
      </c>
    </row>
    <row r="7" spans="1:36" ht="14.5">
      <c r="A7" s="22" t="s">
        <v>6</v>
      </c>
      <c r="B7" s="26" t="s">
        <v>3</v>
      </c>
      <c r="C7" s="26">
        <v>401478733.52861392</v>
      </c>
      <c r="D7" s="26">
        <f t="shared" si="0"/>
        <v>28700000</v>
      </c>
      <c r="E7" s="24">
        <f t="shared" si="1"/>
        <v>7.1485729138762749E-2</v>
      </c>
      <c r="F7" s="27">
        <v>2033600</v>
      </c>
      <c r="G7" s="26">
        <v>0</v>
      </c>
      <c r="H7" s="26">
        <v>1497600</v>
      </c>
      <c r="I7" s="26">
        <v>5095600</v>
      </c>
      <c r="J7" s="26">
        <v>5392000</v>
      </c>
      <c r="K7" s="26">
        <v>4624000</v>
      </c>
      <c r="L7" s="26">
        <v>4552200</v>
      </c>
      <c r="M7" s="26">
        <v>4505000</v>
      </c>
      <c r="N7" s="26">
        <v>1000000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</row>
    <row r="8" spans="1:36" ht="14.5">
      <c r="A8" s="22" t="s">
        <v>7</v>
      </c>
      <c r="B8" s="26" t="s">
        <v>3</v>
      </c>
      <c r="C8" s="26">
        <v>345035560.12861818</v>
      </c>
      <c r="D8" s="26">
        <f t="shared" si="0"/>
        <v>62126500</v>
      </c>
      <c r="E8" s="24">
        <f t="shared" si="1"/>
        <v>0.18005825247937121</v>
      </c>
      <c r="F8" s="27">
        <v>7532500</v>
      </c>
      <c r="G8" s="26">
        <v>0</v>
      </c>
      <c r="H8" s="26">
        <v>10752000</v>
      </c>
      <c r="I8" s="26">
        <v>4810000</v>
      </c>
      <c r="J8" s="26">
        <v>16256000</v>
      </c>
      <c r="K8" s="26">
        <v>14684000</v>
      </c>
      <c r="L8" s="26">
        <v>2762000</v>
      </c>
      <c r="M8" s="26">
        <v>4330000</v>
      </c>
      <c r="N8" s="26">
        <v>1000000</v>
      </c>
      <c r="O8" s="26">
        <v>0</v>
      </c>
      <c r="P8" s="26">
        <v>0</v>
      </c>
      <c r="Q8" s="26">
        <v>0</v>
      </c>
      <c r="R8" s="26">
        <v>0</v>
      </c>
      <c r="S8" s="26">
        <v>0</v>
      </c>
      <c r="T8" s="26">
        <v>0</v>
      </c>
      <c r="U8" s="26">
        <v>0</v>
      </c>
      <c r="V8" s="26">
        <v>0</v>
      </c>
      <c r="W8" s="26">
        <v>0</v>
      </c>
      <c r="X8" s="26">
        <v>0</v>
      </c>
      <c r="Y8" s="26">
        <v>0</v>
      </c>
      <c r="Z8" s="26">
        <v>0</v>
      </c>
      <c r="AA8" s="26">
        <v>0</v>
      </c>
      <c r="AB8" s="26">
        <v>0</v>
      </c>
      <c r="AC8" s="26">
        <v>0</v>
      </c>
      <c r="AD8" s="26">
        <v>0</v>
      </c>
      <c r="AE8" s="26">
        <v>0</v>
      </c>
      <c r="AF8" s="26">
        <v>0</v>
      </c>
      <c r="AG8" s="26">
        <v>0</v>
      </c>
      <c r="AH8" s="26">
        <v>0</v>
      </c>
      <c r="AI8" s="26">
        <v>0</v>
      </c>
      <c r="AJ8" s="26">
        <v>0</v>
      </c>
    </row>
    <row r="9" spans="1:36">
      <c r="B9" s="10"/>
      <c r="H9" s="11"/>
      <c r="I9" s="12"/>
      <c r="J9" s="13"/>
      <c r="K9" s="14"/>
      <c r="L9" s="15"/>
      <c r="M9" s="15"/>
      <c r="N9" s="16"/>
      <c r="O9" s="17"/>
      <c r="P9" s="18"/>
    </row>
    <row r="10" spans="1:36">
      <c r="A10" s="23" t="s">
        <v>0</v>
      </c>
      <c r="B10" s="23" t="s">
        <v>1</v>
      </c>
      <c r="C10" s="21" t="s">
        <v>9</v>
      </c>
      <c r="D10" s="21" t="s">
        <v>11</v>
      </c>
      <c r="E10" s="21" t="s">
        <v>8</v>
      </c>
      <c r="F10" s="25">
        <v>46235</v>
      </c>
      <c r="G10" s="25">
        <v>46236</v>
      </c>
      <c r="H10" s="25">
        <v>46237</v>
      </c>
      <c r="I10" s="25">
        <v>46238</v>
      </c>
      <c r="J10" s="25">
        <v>46239</v>
      </c>
      <c r="K10" s="25">
        <v>46240</v>
      </c>
      <c r="L10" s="25">
        <v>46241</v>
      </c>
      <c r="M10" s="25">
        <v>46242</v>
      </c>
      <c r="N10" s="25">
        <v>46243</v>
      </c>
      <c r="O10" s="25">
        <v>46244</v>
      </c>
      <c r="P10" s="25">
        <v>46245</v>
      </c>
      <c r="Q10" s="25">
        <v>46246</v>
      </c>
      <c r="R10" s="25">
        <v>46247</v>
      </c>
      <c r="S10" s="25">
        <v>46248</v>
      </c>
      <c r="T10" s="25">
        <v>46249</v>
      </c>
      <c r="U10" s="25">
        <v>46250</v>
      </c>
      <c r="V10" s="25">
        <v>46251</v>
      </c>
      <c r="W10" s="25">
        <v>46252</v>
      </c>
      <c r="X10" s="25">
        <v>46253</v>
      </c>
      <c r="Y10" s="25">
        <v>46254</v>
      </c>
      <c r="Z10" s="25">
        <v>46255</v>
      </c>
      <c r="AA10" s="25">
        <v>46256</v>
      </c>
      <c r="AB10" s="25">
        <v>46257</v>
      </c>
      <c r="AC10" s="25">
        <v>46258</v>
      </c>
      <c r="AD10" s="25">
        <v>46259</v>
      </c>
      <c r="AE10" s="25">
        <v>46260</v>
      </c>
      <c r="AF10" s="25">
        <v>46261</v>
      </c>
      <c r="AG10" s="25">
        <v>46262</v>
      </c>
      <c r="AH10" s="25">
        <v>46263</v>
      </c>
      <c r="AI10" s="25">
        <v>46264</v>
      </c>
      <c r="AJ10" s="25">
        <v>46265</v>
      </c>
    </row>
    <row r="11" spans="1:36" ht="13.5">
      <c r="A11" s="22" t="s">
        <v>2</v>
      </c>
      <c r="B11" s="26" t="s">
        <v>3</v>
      </c>
      <c r="C11" s="26">
        <v>614.35424569594375</v>
      </c>
      <c r="D11" s="26">
        <f>SUM(F11:AJ11)</f>
        <v>204</v>
      </c>
      <c r="E11" s="24">
        <f>D11/C11</f>
        <v>0.33205597817413585</v>
      </c>
      <c r="F11" s="26">
        <v>0</v>
      </c>
      <c r="G11" s="26">
        <v>0</v>
      </c>
      <c r="H11" s="26">
        <v>0</v>
      </c>
      <c r="I11" s="26">
        <v>150</v>
      </c>
      <c r="J11" s="26">
        <v>0</v>
      </c>
      <c r="K11" s="26">
        <v>54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  <c r="AF11" s="26">
        <v>0</v>
      </c>
      <c r="AG11" s="26">
        <v>0</v>
      </c>
      <c r="AH11" s="26">
        <v>0</v>
      </c>
      <c r="AI11" s="26">
        <v>0</v>
      </c>
      <c r="AJ11" s="26">
        <v>0</v>
      </c>
    </row>
    <row r="12" spans="1:36" ht="13.5">
      <c r="A12" s="22" t="s">
        <v>4</v>
      </c>
      <c r="B12" s="26" t="s">
        <v>3</v>
      </c>
      <c r="C12" s="26">
        <v>425.24991522549999</v>
      </c>
      <c r="D12" s="26">
        <f t="shared" ref="D12:D15" si="2">SUM(F12:AJ12)</f>
        <v>39</v>
      </c>
      <c r="E12" s="24">
        <f t="shared" ref="E12:E15" si="3">D12/C12</f>
        <v>9.1710776660165166E-2</v>
      </c>
      <c r="F12" s="26">
        <v>0</v>
      </c>
      <c r="G12" s="26">
        <v>0</v>
      </c>
      <c r="H12" s="26">
        <v>30</v>
      </c>
      <c r="I12" s="26">
        <v>1</v>
      </c>
      <c r="J12" s="26">
        <v>8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  <c r="AF12" s="26">
        <v>0</v>
      </c>
      <c r="AG12" s="26">
        <v>0</v>
      </c>
      <c r="AH12" s="26">
        <v>0</v>
      </c>
      <c r="AI12" s="26">
        <v>0</v>
      </c>
      <c r="AJ12" s="26">
        <v>0</v>
      </c>
    </row>
    <row r="13" spans="1:36" ht="13.5">
      <c r="A13" s="22" t="s">
        <v>5</v>
      </c>
      <c r="B13" s="26" t="s">
        <v>3</v>
      </c>
      <c r="C13" s="26">
        <v>454.56901079661515</v>
      </c>
      <c r="D13" s="26">
        <f t="shared" si="2"/>
        <v>1</v>
      </c>
      <c r="E13" s="24">
        <f t="shared" si="3"/>
        <v>2.1998859936526193E-3</v>
      </c>
      <c r="F13" s="26">
        <v>0</v>
      </c>
      <c r="G13" s="26">
        <v>0</v>
      </c>
      <c r="H13" s="26">
        <v>0</v>
      </c>
      <c r="I13" s="26">
        <v>0</v>
      </c>
      <c r="J13" s="26">
        <v>1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  <c r="AF13" s="26">
        <v>0</v>
      </c>
      <c r="AG13" s="26">
        <v>0</v>
      </c>
      <c r="AH13" s="26">
        <v>0</v>
      </c>
      <c r="AI13" s="26">
        <v>0</v>
      </c>
      <c r="AJ13" s="26">
        <v>0</v>
      </c>
    </row>
    <row r="14" spans="1:36" ht="13.5">
      <c r="A14" s="22" t="s">
        <v>6</v>
      </c>
      <c r="B14" s="26" t="s">
        <v>3</v>
      </c>
      <c r="C14" s="26">
        <v>402.15428958969147</v>
      </c>
      <c r="D14" s="26">
        <f t="shared" si="2"/>
        <v>0</v>
      </c>
      <c r="E14" s="24">
        <f t="shared" si="3"/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  <c r="AF14" s="26">
        <v>0</v>
      </c>
      <c r="AG14" s="26">
        <v>0</v>
      </c>
      <c r="AH14" s="26">
        <v>0</v>
      </c>
      <c r="AI14" s="26">
        <v>0</v>
      </c>
      <c r="AJ14" s="26">
        <v>0</v>
      </c>
    </row>
    <row r="15" spans="1:36" ht="13.5">
      <c r="A15" s="22" t="s">
        <v>7</v>
      </c>
      <c r="B15" s="26" t="s">
        <v>3</v>
      </c>
      <c r="C15" s="26">
        <v>404.50762970498471</v>
      </c>
      <c r="D15" s="26">
        <f t="shared" si="2"/>
        <v>2</v>
      </c>
      <c r="E15" s="24">
        <f t="shared" si="3"/>
        <v>4.9442825131843348E-3</v>
      </c>
      <c r="F15" s="26">
        <v>0</v>
      </c>
      <c r="G15" s="26">
        <v>0</v>
      </c>
      <c r="H15" s="26">
        <v>2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  <c r="Z15" s="26">
        <v>0</v>
      </c>
      <c r="AA15" s="26">
        <v>0</v>
      </c>
      <c r="AB15" s="26">
        <v>0</v>
      </c>
      <c r="AC15" s="26">
        <v>0</v>
      </c>
      <c r="AD15" s="26">
        <v>0</v>
      </c>
      <c r="AE15" s="26">
        <v>0</v>
      </c>
      <c r="AF15" s="26">
        <v>0</v>
      </c>
      <c r="AG15" s="26">
        <v>0</v>
      </c>
      <c r="AH15" s="26">
        <v>0</v>
      </c>
      <c r="AI15" s="26">
        <v>0</v>
      </c>
      <c r="AJ15" s="26">
        <v>0</v>
      </c>
    </row>
    <row r="16" spans="1:36">
      <c r="B16" s="10"/>
      <c r="H16" s="11"/>
      <c r="I16" s="12"/>
      <c r="J16" s="13"/>
      <c r="K16" s="14"/>
      <c r="L16" s="15"/>
      <c r="M16" s="15"/>
      <c r="N16" s="16"/>
      <c r="O16" s="17"/>
      <c r="P16" s="18"/>
    </row>
    <row r="17" spans="2:16">
      <c r="B17" s="10"/>
      <c r="H17" s="11"/>
      <c r="I17" s="12"/>
      <c r="J17" s="13"/>
      <c r="K17" s="14"/>
      <c r="L17" s="15"/>
      <c r="M17" s="15"/>
      <c r="N17" s="16"/>
      <c r="O17" s="17"/>
      <c r="P17" s="18"/>
    </row>
    <row r="18" spans="2:16">
      <c r="B18" s="10"/>
      <c r="H18" s="11"/>
      <c r="I18" s="12"/>
      <c r="J18" s="13"/>
      <c r="K18" s="14"/>
      <c r="L18" s="15"/>
      <c r="M18" s="15"/>
      <c r="N18" s="16"/>
      <c r="O18" s="17"/>
      <c r="P18" s="18"/>
    </row>
    <row r="19" spans="2:16">
      <c r="B19" s="10"/>
      <c r="H19" s="11"/>
      <c r="I19" s="12"/>
      <c r="J19" s="13"/>
      <c r="K19" s="14"/>
      <c r="L19" s="15"/>
      <c r="M19" s="15"/>
      <c r="N19" s="16"/>
      <c r="O19" s="17"/>
      <c r="P19" s="18"/>
    </row>
    <row r="20" spans="2:16">
      <c r="B20" s="10"/>
      <c r="H20" s="11"/>
      <c r="I20" s="12"/>
      <c r="J20" s="13"/>
      <c r="K20" s="14"/>
      <c r="L20" s="15"/>
      <c r="M20" s="15"/>
      <c r="N20" s="16"/>
      <c r="O20" s="17"/>
      <c r="P20" s="18"/>
    </row>
    <row r="21" spans="2:16">
      <c r="B21" s="10"/>
      <c r="H21" s="11"/>
      <c r="I21" s="12"/>
      <c r="J21" s="13"/>
      <c r="K21" s="14"/>
      <c r="L21" s="15"/>
      <c r="M21" s="15"/>
      <c r="N21" s="16"/>
      <c r="O21" s="17"/>
      <c r="P21" s="18"/>
    </row>
    <row r="22" spans="2:16">
      <c r="B22" s="10"/>
      <c r="H22" s="11"/>
      <c r="I22" s="12"/>
      <c r="J22" s="13"/>
      <c r="K22" s="14"/>
      <c r="L22" s="15"/>
      <c r="M22" s="15"/>
      <c r="N22" s="16"/>
      <c r="O22" s="17"/>
      <c r="P22" s="18"/>
    </row>
    <row r="23" spans="2:16">
      <c r="B23" s="10"/>
      <c r="H23" s="11"/>
      <c r="I23" s="12"/>
      <c r="J23" s="13"/>
      <c r="K23" s="14"/>
      <c r="L23" s="15"/>
      <c r="M23" s="15"/>
      <c r="N23" s="16"/>
      <c r="O23" s="17"/>
      <c r="P23" s="18"/>
    </row>
    <row r="24" spans="2:16">
      <c r="B24" s="10"/>
      <c r="H24" s="11"/>
      <c r="I24" s="12"/>
      <c r="J24" s="13"/>
      <c r="K24" s="14"/>
      <c r="L24" s="15"/>
      <c r="M24" s="15"/>
      <c r="N24" s="16"/>
      <c r="O24" s="17"/>
      <c r="P24" s="18"/>
    </row>
    <row r="25" spans="2:16">
      <c r="B25" s="10"/>
      <c r="H25" s="11"/>
      <c r="I25" s="12"/>
      <c r="J25" s="13"/>
      <c r="K25" s="14"/>
      <c r="L25" s="15"/>
      <c r="M25" s="15"/>
      <c r="N25" s="16"/>
      <c r="O25" s="17"/>
      <c r="P25" s="18"/>
    </row>
    <row r="26" spans="2:16">
      <c r="B26" s="10"/>
      <c r="H26" s="11"/>
      <c r="I26" s="12"/>
      <c r="J26" s="13"/>
      <c r="K26" s="14"/>
      <c r="L26" s="15"/>
      <c r="M26" s="15"/>
      <c r="N26" s="16"/>
      <c r="O26" s="17"/>
      <c r="P26" s="18"/>
    </row>
    <row r="27" spans="2:16">
      <c r="B27" s="10"/>
      <c r="H27" s="11"/>
      <c r="I27" s="12"/>
      <c r="J27" s="13"/>
      <c r="K27" s="14"/>
      <c r="L27" s="15"/>
      <c r="M27" s="15"/>
      <c r="N27" s="16"/>
      <c r="O27" s="17"/>
      <c r="P27" s="18"/>
    </row>
    <row r="28" spans="2:16">
      <c r="B28" s="10"/>
      <c r="H28" s="11"/>
      <c r="I28" s="12"/>
      <c r="J28" s="13"/>
      <c r="K28" s="14"/>
      <c r="L28" s="15"/>
      <c r="M28" s="15"/>
      <c r="N28" s="16"/>
      <c r="O28" s="17"/>
      <c r="P28" s="18"/>
    </row>
    <row r="29" spans="2:16">
      <c r="B29" s="10"/>
      <c r="H29" s="11"/>
      <c r="I29" s="12"/>
      <c r="J29" s="13"/>
      <c r="K29" s="14"/>
      <c r="L29" s="15"/>
      <c r="M29" s="15"/>
      <c r="N29" s="16"/>
      <c r="O29" s="17"/>
      <c r="P29" s="18"/>
    </row>
    <row r="30" spans="2:16">
      <c r="B30" s="10"/>
      <c r="H30" s="11"/>
      <c r="I30" s="12"/>
      <c r="J30" s="13"/>
      <c r="K30" s="14"/>
      <c r="L30" s="15"/>
      <c r="M30" s="15"/>
      <c r="N30" s="16"/>
      <c r="O30" s="17"/>
      <c r="P30" s="18"/>
    </row>
    <row r="31" spans="2:16">
      <c r="B31" s="10"/>
      <c r="H31" s="11"/>
      <c r="I31" s="12"/>
      <c r="J31" s="13"/>
      <c r="K31" s="14"/>
      <c r="L31" s="15"/>
      <c r="M31" s="15"/>
      <c r="N31" s="16"/>
      <c r="O31" s="17"/>
      <c r="P31" s="18"/>
    </row>
    <row r="32" spans="2:16">
      <c r="B32" s="10"/>
      <c r="H32" s="11"/>
      <c r="I32" s="12"/>
      <c r="J32" s="13"/>
      <c r="K32" s="14"/>
      <c r="L32" s="15"/>
      <c r="M32" s="15"/>
      <c r="N32" s="16"/>
      <c r="O32" s="17"/>
      <c r="P32" s="18"/>
    </row>
    <row r="33" spans="1:17">
      <c r="B33" s="10"/>
      <c r="H33" s="11"/>
      <c r="I33" s="12"/>
      <c r="J33" s="13"/>
      <c r="K33" s="14"/>
      <c r="L33" s="15"/>
      <c r="M33" s="15"/>
      <c r="N33" s="16"/>
      <c r="O33" s="17"/>
      <c r="P33" s="18"/>
    </row>
    <row r="34" spans="1:17">
      <c r="B34" s="10"/>
      <c r="H34" s="11"/>
      <c r="I34" s="12"/>
      <c r="J34" s="13"/>
      <c r="K34" s="14"/>
      <c r="L34" s="15"/>
      <c r="M34" s="15"/>
      <c r="N34" s="16"/>
      <c r="O34" s="17"/>
      <c r="P34" s="18"/>
    </row>
    <row r="35" spans="1:17">
      <c r="B35" s="10"/>
      <c r="H35" s="11"/>
      <c r="I35" s="12"/>
      <c r="J35" s="13"/>
      <c r="K35" s="14"/>
      <c r="L35" s="15"/>
      <c r="M35" s="15"/>
      <c r="N35" s="16"/>
      <c r="O35" s="17"/>
      <c r="P35" s="18"/>
    </row>
    <row r="36" spans="1:17">
      <c r="B36" s="10"/>
      <c r="H36" s="11"/>
      <c r="I36" s="12"/>
      <c r="J36" s="13"/>
      <c r="K36" s="14"/>
      <c r="L36" s="15"/>
      <c r="M36" s="15"/>
      <c r="N36" s="16"/>
      <c r="O36" s="17"/>
      <c r="P36" s="18"/>
    </row>
    <row r="37" spans="1:17">
      <c r="B37" s="10"/>
      <c r="H37" s="11"/>
      <c r="I37" s="12"/>
      <c r="J37" s="13"/>
      <c r="K37" s="14"/>
      <c r="L37" s="15"/>
      <c r="M37" s="15"/>
      <c r="N37" s="16"/>
      <c r="O37" s="17"/>
      <c r="P37" s="18"/>
    </row>
    <row r="38" spans="1:17">
      <c r="B38" s="10"/>
      <c r="H38" s="11"/>
      <c r="I38" s="12"/>
      <c r="J38" s="13"/>
      <c r="K38" s="14"/>
      <c r="L38" s="15"/>
      <c r="M38" s="15"/>
      <c r="N38" s="16"/>
      <c r="O38" s="17"/>
      <c r="P38" s="18"/>
    </row>
    <row r="39" spans="1:17" s="4" customFormat="1">
      <c r="A39" s="3"/>
      <c r="B39" s="10"/>
      <c r="C39" s="3"/>
      <c r="D39" s="3"/>
      <c r="E39" s="3"/>
      <c r="F39" s="3"/>
      <c r="G39" s="3"/>
      <c r="H39" s="11"/>
      <c r="I39" s="19"/>
      <c r="J39" s="13"/>
      <c r="K39" s="14"/>
      <c r="L39" s="15"/>
      <c r="M39" s="15"/>
      <c r="N39" s="16"/>
      <c r="O39" s="17"/>
      <c r="P39" s="18"/>
      <c r="Q39" s="3"/>
    </row>
    <row r="40" spans="1:17" s="4" customFormat="1">
      <c r="A40" s="3"/>
      <c r="B40" s="10"/>
      <c r="C40" s="3"/>
      <c r="D40" s="3"/>
      <c r="E40" s="3"/>
      <c r="F40" s="3"/>
      <c r="G40" s="3"/>
      <c r="H40" s="11"/>
      <c r="I40" s="19"/>
      <c r="J40" s="13"/>
      <c r="K40" s="14"/>
      <c r="L40" s="15"/>
      <c r="M40" s="15"/>
      <c r="N40" s="16"/>
      <c r="O40" s="17"/>
      <c r="P40" s="18"/>
      <c r="Q40" s="3"/>
    </row>
    <row r="41" spans="1:17" s="4" customFormat="1">
      <c r="A41" s="3"/>
      <c r="B41" s="10"/>
      <c r="C41" s="3"/>
      <c r="D41" s="3"/>
      <c r="E41" s="3"/>
      <c r="F41" s="3"/>
      <c r="G41" s="3"/>
      <c r="H41" s="11"/>
      <c r="I41" s="19"/>
      <c r="J41" s="13"/>
      <c r="K41" s="14"/>
      <c r="L41" s="15"/>
      <c r="M41" s="15"/>
      <c r="N41" s="16"/>
      <c r="O41" s="17"/>
      <c r="P41" s="18"/>
      <c r="Q41" s="3"/>
    </row>
    <row r="42" spans="1:17" s="4" customFormat="1">
      <c r="A42" s="3"/>
      <c r="B42" s="10"/>
      <c r="C42" s="3"/>
      <c r="D42" s="3"/>
      <c r="E42" s="3"/>
      <c r="F42" s="3"/>
      <c r="G42" s="3"/>
      <c r="H42" s="11"/>
      <c r="I42" s="19"/>
      <c r="J42" s="13"/>
      <c r="K42" s="14"/>
      <c r="L42" s="15"/>
      <c r="M42" s="15"/>
      <c r="N42" s="16"/>
      <c r="O42" s="17"/>
      <c r="P42" s="18"/>
      <c r="Q42" s="3"/>
    </row>
    <row r="43" spans="1:17">
      <c r="B43" s="10"/>
      <c r="H43" s="11"/>
      <c r="I43" s="12"/>
      <c r="J43" s="13"/>
      <c r="K43" s="14"/>
      <c r="L43" s="15"/>
      <c r="M43" s="15"/>
      <c r="N43" s="16"/>
      <c r="O43" s="17"/>
      <c r="P43" s="18"/>
    </row>
    <row r="44" spans="1:17">
      <c r="B44" s="10"/>
      <c r="H44" s="11"/>
      <c r="I44" s="12"/>
      <c r="J44" s="13"/>
      <c r="K44" s="14"/>
      <c r="L44" s="15"/>
      <c r="M44" s="15"/>
      <c r="N44" s="16"/>
      <c r="O44" s="17"/>
      <c r="P44" s="18"/>
    </row>
    <row r="45" spans="1:17">
      <c r="B45" s="10"/>
      <c r="H45" s="11"/>
      <c r="I45" s="12"/>
      <c r="J45" s="13"/>
      <c r="K45" s="14"/>
      <c r="L45" s="15"/>
      <c r="M45" s="15"/>
      <c r="N45" s="16"/>
      <c r="O45" s="17"/>
      <c r="P45" s="18"/>
    </row>
    <row r="46" spans="1:17">
      <c r="B46" s="10"/>
      <c r="H46" s="11"/>
      <c r="I46" s="12"/>
      <c r="J46" s="13"/>
      <c r="K46" s="14"/>
      <c r="L46" s="15"/>
      <c r="M46" s="15"/>
      <c r="N46" s="16"/>
      <c r="O46" s="17"/>
      <c r="P46" s="18"/>
    </row>
    <row r="47" spans="1:17">
      <c r="B47" s="10"/>
      <c r="H47" s="11"/>
      <c r="I47" s="12"/>
      <c r="J47" s="13"/>
      <c r="K47" s="14"/>
      <c r="L47" s="15"/>
      <c r="M47" s="15"/>
      <c r="N47" s="16"/>
      <c r="O47" s="17"/>
      <c r="P47" s="18"/>
    </row>
    <row r="48" spans="1:17">
      <c r="B48" s="10"/>
      <c r="H48" s="11"/>
      <c r="I48" s="12"/>
      <c r="J48" s="13"/>
      <c r="K48" s="14"/>
      <c r="L48" s="15"/>
      <c r="M48" s="15"/>
      <c r="N48" s="16"/>
      <c r="O48" s="17"/>
      <c r="P48" s="18"/>
    </row>
    <row r="49" spans="2:16">
      <c r="B49" s="10"/>
      <c r="H49" s="11"/>
      <c r="I49" s="12"/>
      <c r="J49" s="13"/>
      <c r="K49" s="14"/>
      <c r="L49" s="15"/>
      <c r="M49" s="15"/>
      <c r="N49" s="16"/>
      <c r="O49" s="17"/>
      <c r="P49" s="18"/>
    </row>
    <row r="50" spans="2:16">
      <c r="B50" s="10"/>
      <c r="H50" s="11"/>
      <c r="I50" s="12"/>
      <c r="J50" s="13"/>
      <c r="K50" s="14"/>
      <c r="L50" s="15"/>
      <c r="M50" s="15"/>
      <c r="N50" s="16"/>
      <c r="O50" s="17"/>
      <c r="P50" s="18"/>
    </row>
    <row r="51" spans="2:16">
      <c r="B51" s="10"/>
      <c r="H51" s="11"/>
      <c r="I51" s="12"/>
      <c r="J51" s="13"/>
      <c r="K51" s="14"/>
      <c r="L51" s="15"/>
      <c r="M51" s="15"/>
      <c r="N51" s="16"/>
      <c r="O51" s="17"/>
      <c r="P51" s="18"/>
    </row>
    <row r="52" spans="2:16">
      <c r="B52" s="10"/>
      <c r="H52" s="11"/>
      <c r="I52" s="12"/>
      <c r="J52" s="13"/>
      <c r="K52" s="14"/>
      <c r="L52" s="15"/>
      <c r="M52" s="15"/>
      <c r="N52" s="16"/>
      <c r="O52" s="17"/>
      <c r="P52" s="18"/>
    </row>
    <row r="53" spans="2:16">
      <c r="B53" s="10"/>
      <c r="H53" s="11"/>
      <c r="I53" s="12"/>
      <c r="J53" s="13"/>
      <c r="K53" s="14"/>
      <c r="L53" s="15"/>
      <c r="M53" s="15"/>
      <c r="N53" s="16"/>
      <c r="O53" s="17"/>
      <c r="P53" s="18"/>
    </row>
    <row r="54" spans="2:16">
      <c r="B54" s="10"/>
      <c r="H54" s="11"/>
      <c r="I54" s="12"/>
      <c r="J54" s="13"/>
      <c r="K54" s="14"/>
      <c r="L54" s="15"/>
      <c r="M54" s="15"/>
      <c r="N54" s="16"/>
      <c r="O54" s="17"/>
      <c r="P54" s="18"/>
    </row>
    <row r="55" spans="2:16">
      <c r="B55" s="10"/>
      <c r="H55" s="11"/>
      <c r="I55" s="12"/>
      <c r="J55" s="13"/>
      <c r="K55" s="14"/>
      <c r="L55" s="15"/>
      <c r="M55" s="15"/>
      <c r="N55" s="16"/>
      <c r="O55" s="17"/>
      <c r="P55" s="18"/>
    </row>
    <row r="56" spans="2:16">
      <c r="B56" s="10"/>
      <c r="H56" s="11"/>
      <c r="I56" s="12"/>
      <c r="J56" s="13"/>
      <c r="K56" s="14"/>
      <c r="L56" s="15"/>
      <c r="M56" s="15"/>
      <c r="N56" s="16"/>
      <c r="O56" s="17"/>
      <c r="P56" s="18"/>
    </row>
    <row r="57" spans="2:16">
      <c r="B57" s="10"/>
      <c r="H57" s="11"/>
      <c r="I57" s="12"/>
      <c r="J57" s="13"/>
      <c r="K57" s="14"/>
      <c r="L57" s="15"/>
      <c r="M57" s="15"/>
      <c r="N57" s="16"/>
      <c r="O57" s="17"/>
      <c r="P57" s="18"/>
    </row>
    <row r="58" spans="2:16">
      <c r="B58" s="10"/>
      <c r="H58" s="11"/>
      <c r="I58" s="12"/>
      <c r="J58" s="13"/>
      <c r="K58" s="14"/>
      <c r="L58" s="15"/>
      <c r="M58" s="15"/>
      <c r="N58" s="16"/>
      <c r="O58" s="17"/>
      <c r="P58" s="18"/>
    </row>
    <row r="59" spans="2:16">
      <c r="B59" s="10"/>
      <c r="H59" s="11"/>
      <c r="I59" s="12"/>
      <c r="J59" s="13"/>
      <c r="K59" s="14"/>
      <c r="L59" s="15"/>
      <c r="M59" s="15"/>
      <c r="N59" s="16"/>
      <c r="O59" s="17"/>
      <c r="P59" s="18"/>
    </row>
    <row r="60" spans="2:16">
      <c r="B60" s="10"/>
      <c r="H60" s="11"/>
      <c r="I60" s="12"/>
      <c r="J60" s="13"/>
      <c r="K60" s="14"/>
      <c r="L60" s="15"/>
      <c r="M60" s="15"/>
      <c r="N60" s="16"/>
      <c r="O60" s="17"/>
      <c r="P60" s="18"/>
    </row>
    <row r="61" spans="2:16">
      <c r="B61" s="10"/>
      <c r="H61" s="11"/>
      <c r="I61" s="12"/>
      <c r="J61" s="13"/>
      <c r="K61" s="14"/>
      <c r="L61" s="15"/>
      <c r="M61" s="15"/>
      <c r="N61" s="16"/>
      <c r="O61" s="17"/>
      <c r="P61" s="18"/>
    </row>
    <row r="62" spans="2:16">
      <c r="B62" s="10"/>
      <c r="H62" s="11"/>
      <c r="I62" s="12"/>
      <c r="J62" s="13"/>
      <c r="K62" s="14"/>
      <c r="L62" s="15"/>
      <c r="M62" s="15"/>
      <c r="N62" s="16"/>
      <c r="O62" s="17"/>
      <c r="P62" s="18"/>
    </row>
    <row r="63" spans="2:16">
      <c r="B63" s="10"/>
      <c r="H63" s="11"/>
      <c r="I63" s="12"/>
      <c r="J63" s="13"/>
      <c r="K63" s="14"/>
      <c r="L63" s="15"/>
      <c r="M63" s="15"/>
      <c r="N63" s="16"/>
      <c r="O63" s="17"/>
      <c r="P63" s="18"/>
    </row>
    <row r="64" spans="2:16">
      <c r="B64" s="10"/>
      <c r="H64" s="11"/>
      <c r="I64" s="12"/>
      <c r="J64" s="13"/>
      <c r="K64" s="14"/>
      <c r="L64" s="15"/>
      <c r="M64" s="15"/>
      <c r="N64" s="16"/>
      <c r="O64" s="17"/>
      <c r="P64" s="18"/>
    </row>
    <row r="65" spans="2:16">
      <c r="B65" s="10"/>
      <c r="H65" s="11"/>
      <c r="I65" s="12"/>
      <c r="J65" s="13"/>
      <c r="K65" s="14"/>
      <c r="L65" s="15"/>
      <c r="M65" s="15"/>
      <c r="N65" s="16"/>
      <c r="O65" s="17"/>
      <c r="P65" s="18"/>
    </row>
    <row r="66" spans="2:16">
      <c r="B66" s="10"/>
      <c r="H66" s="11"/>
      <c r="I66" s="12"/>
      <c r="J66" s="13"/>
      <c r="K66" s="14"/>
      <c r="L66" s="15"/>
      <c r="M66" s="15"/>
      <c r="N66" s="16"/>
      <c r="O66" s="17"/>
      <c r="P66" s="18"/>
    </row>
    <row r="67" spans="2:16">
      <c r="B67" s="10"/>
      <c r="H67" s="11"/>
      <c r="I67" s="12"/>
      <c r="J67" s="13"/>
      <c r="K67" s="14"/>
      <c r="L67" s="15"/>
      <c r="M67" s="15"/>
      <c r="N67" s="16"/>
      <c r="O67" s="17"/>
      <c r="P67" s="18"/>
    </row>
    <row r="68" spans="2:16">
      <c r="B68" s="10"/>
      <c r="H68" s="11"/>
      <c r="I68" s="12"/>
      <c r="J68" s="13"/>
      <c r="K68" s="14"/>
      <c r="L68" s="15"/>
      <c r="M68" s="15"/>
      <c r="N68" s="16"/>
      <c r="O68" s="17"/>
      <c r="P68" s="18"/>
    </row>
    <row r="69" spans="2:16">
      <c r="B69" s="10"/>
      <c r="H69" s="11"/>
      <c r="I69" s="12"/>
      <c r="J69" s="13"/>
      <c r="K69" s="14"/>
      <c r="L69" s="15"/>
      <c r="M69" s="15"/>
      <c r="N69" s="16"/>
      <c r="O69" s="17"/>
      <c r="P69" s="18"/>
    </row>
    <row r="70" spans="2:16">
      <c r="B70" s="10"/>
      <c r="H70" s="11"/>
      <c r="I70" s="12"/>
      <c r="J70" s="13"/>
      <c r="K70" s="14"/>
      <c r="L70" s="15"/>
      <c r="M70" s="15"/>
      <c r="N70" s="16"/>
      <c r="O70" s="17"/>
      <c r="P70" s="18"/>
    </row>
    <row r="71" spans="2:16">
      <c r="B71" s="10"/>
      <c r="H71" s="11"/>
      <c r="I71" s="12"/>
      <c r="J71" s="13"/>
      <c r="K71" s="14"/>
      <c r="L71" s="15"/>
      <c r="M71" s="15"/>
      <c r="N71" s="16"/>
      <c r="O71" s="17"/>
      <c r="P71" s="18"/>
    </row>
    <row r="72" spans="2:16">
      <c r="B72" s="10"/>
      <c r="H72" s="11"/>
      <c r="I72" s="12"/>
      <c r="J72" s="13"/>
      <c r="K72" s="14"/>
      <c r="L72" s="15"/>
      <c r="M72" s="15"/>
      <c r="N72" s="16"/>
      <c r="O72" s="17"/>
      <c r="P72" s="18"/>
    </row>
    <row r="73" spans="2:16">
      <c r="B73" s="10"/>
      <c r="H73" s="11"/>
      <c r="I73" s="12"/>
      <c r="J73" s="13"/>
      <c r="K73" s="14"/>
      <c r="L73" s="15"/>
      <c r="M73" s="15"/>
      <c r="N73" s="16"/>
      <c r="O73" s="17"/>
      <c r="P73" s="18"/>
    </row>
    <row r="74" spans="2:16">
      <c r="B74" s="10"/>
      <c r="H74" s="11"/>
      <c r="I74" s="12"/>
      <c r="J74" s="13"/>
      <c r="K74" s="14"/>
      <c r="L74" s="15"/>
      <c r="M74" s="15"/>
      <c r="N74" s="16"/>
      <c r="O74" s="17"/>
      <c r="P74" s="18"/>
    </row>
    <row r="75" spans="2:16">
      <c r="B75" s="10"/>
      <c r="H75" s="11"/>
      <c r="I75" s="12"/>
      <c r="J75" s="13"/>
      <c r="K75" s="14"/>
      <c r="L75" s="15"/>
      <c r="M75" s="15"/>
      <c r="N75" s="16"/>
      <c r="O75" s="17"/>
      <c r="P75" s="18"/>
    </row>
    <row r="76" spans="2:16">
      <c r="B76" s="10"/>
      <c r="H76" s="11"/>
      <c r="I76" s="12"/>
      <c r="J76" s="13"/>
      <c r="K76" s="14"/>
      <c r="L76" s="15"/>
      <c r="M76" s="15"/>
      <c r="N76" s="16"/>
      <c r="O76" s="17"/>
      <c r="P76" s="18"/>
    </row>
    <row r="77" spans="2:16">
      <c r="B77" s="10"/>
      <c r="H77" s="11"/>
      <c r="I77" s="12"/>
      <c r="J77" s="13"/>
      <c r="K77" s="14"/>
      <c r="L77" s="15"/>
      <c r="M77" s="15"/>
      <c r="N77" s="16"/>
      <c r="O77" s="17"/>
      <c r="P77" s="18"/>
    </row>
    <row r="78" spans="2:16">
      <c r="B78" s="10"/>
      <c r="H78" s="11"/>
      <c r="I78" s="12"/>
      <c r="J78" s="13"/>
      <c r="K78" s="14"/>
      <c r="L78" s="15"/>
      <c r="M78" s="15"/>
      <c r="N78" s="16"/>
      <c r="O78" s="17"/>
      <c r="P78" s="18"/>
    </row>
    <row r="79" spans="2:16">
      <c r="B79" s="10"/>
      <c r="H79" s="11"/>
      <c r="I79" s="12"/>
      <c r="J79" s="13"/>
      <c r="K79" s="14"/>
      <c r="L79" s="15"/>
      <c r="M79" s="15"/>
      <c r="N79" s="16"/>
      <c r="O79" s="17"/>
      <c r="P79" s="18"/>
    </row>
    <row r="80" spans="2:16">
      <c r="B80" s="10"/>
      <c r="H80" s="11"/>
      <c r="I80" s="12"/>
      <c r="J80" s="13"/>
      <c r="K80" s="14"/>
      <c r="L80" s="15"/>
      <c r="M80" s="15"/>
      <c r="N80" s="16"/>
      <c r="O80" s="17"/>
      <c r="P80" s="18"/>
    </row>
    <row r="81" spans="2:16">
      <c r="B81" s="10"/>
      <c r="H81" s="11"/>
      <c r="I81" s="12"/>
      <c r="J81" s="13"/>
      <c r="K81" s="14"/>
      <c r="L81" s="15"/>
      <c r="M81" s="15"/>
      <c r="N81" s="16"/>
      <c r="O81" s="17"/>
      <c r="P81" s="18"/>
    </row>
    <row r="82" spans="2:16">
      <c r="B82" s="10"/>
      <c r="H82" s="11"/>
      <c r="I82" s="12"/>
      <c r="J82" s="13"/>
      <c r="K82" s="14"/>
      <c r="L82" s="15"/>
      <c r="M82" s="15"/>
      <c r="N82" s="16"/>
      <c r="O82" s="17"/>
      <c r="P82" s="18"/>
    </row>
    <row r="83" spans="2:16">
      <c r="B83" s="10"/>
      <c r="H83" s="11"/>
      <c r="I83" s="12"/>
      <c r="J83" s="13"/>
      <c r="K83" s="14"/>
      <c r="L83" s="15"/>
      <c r="M83" s="15"/>
      <c r="N83" s="16"/>
      <c r="O83" s="17"/>
      <c r="P83" s="18"/>
    </row>
    <row r="84" spans="2:16">
      <c r="B84" s="10"/>
      <c r="H84" s="11"/>
      <c r="I84" s="12"/>
      <c r="J84" s="13"/>
      <c r="K84" s="14"/>
      <c r="L84" s="15"/>
      <c r="M84" s="15"/>
      <c r="N84" s="16"/>
      <c r="O84" s="17"/>
      <c r="P84" s="18"/>
    </row>
    <row r="85" spans="2:16">
      <c r="B85" s="10"/>
      <c r="H85" s="11"/>
      <c r="I85" s="12"/>
      <c r="J85" s="13"/>
      <c r="K85" s="14"/>
      <c r="L85" s="15"/>
      <c r="M85" s="15"/>
      <c r="N85" s="16"/>
      <c r="O85" s="17"/>
      <c r="P85" s="18"/>
    </row>
    <row r="86" spans="2:16">
      <c r="B86" s="10"/>
      <c r="H86" s="11"/>
      <c r="I86" s="12"/>
      <c r="J86" s="13"/>
      <c r="K86" s="14"/>
      <c r="L86" s="15"/>
      <c r="M86" s="15"/>
      <c r="N86" s="16"/>
      <c r="O86" s="17"/>
      <c r="P86" s="18"/>
    </row>
    <row r="87" spans="2:16">
      <c r="B87" s="10"/>
      <c r="H87" s="11"/>
      <c r="I87" s="12"/>
      <c r="J87" s="13"/>
      <c r="K87" s="14"/>
      <c r="L87" s="15"/>
      <c r="M87" s="15"/>
      <c r="N87" s="16"/>
      <c r="O87" s="17"/>
      <c r="P87" s="18"/>
    </row>
    <row r="88" spans="2:16">
      <c r="B88" s="10"/>
      <c r="H88" s="11"/>
      <c r="I88" s="12"/>
      <c r="J88" s="13"/>
      <c r="K88" s="14"/>
      <c r="L88" s="15"/>
      <c r="M88" s="15"/>
      <c r="N88" s="16"/>
      <c r="O88" s="17"/>
      <c r="P88" s="18"/>
    </row>
    <row r="89" spans="2:16">
      <c r="B89" s="10"/>
      <c r="H89" s="11"/>
      <c r="I89" s="12"/>
      <c r="J89" s="13"/>
      <c r="K89" s="14"/>
      <c r="L89" s="15"/>
      <c r="M89" s="15"/>
      <c r="N89" s="16"/>
      <c r="O89" s="17"/>
      <c r="P89" s="18"/>
    </row>
    <row r="90" spans="2:16">
      <c r="B90" s="10"/>
      <c r="H90" s="11"/>
      <c r="I90" s="12"/>
      <c r="J90" s="13"/>
      <c r="K90" s="14"/>
      <c r="L90" s="15"/>
      <c r="M90" s="15"/>
      <c r="N90" s="16"/>
      <c r="O90" s="17"/>
      <c r="P90" s="18"/>
    </row>
    <row r="91" spans="2:16">
      <c r="B91" s="10"/>
      <c r="H91" s="11"/>
      <c r="I91" s="12"/>
      <c r="J91" s="13"/>
      <c r="K91" s="14"/>
      <c r="L91" s="15"/>
      <c r="M91" s="15"/>
      <c r="N91" s="16"/>
      <c r="O91" s="17"/>
      <c r="P91" s="18"/>
    </row>
    <row r="92" spans="2:16">
      <c r="B92" s="10"/>
      <c r="H92" s="11"/>
      <c r="I92" s="12"/>
      <c r="J92" s="13"/>
      <c r="K92" s="14"/>
      <c r="L92" s="15"/>
      <c r="M92" s="15"/>
      <c r="N92" s="16"/>
      <c r="O92" s="17"/>
      <c r="P92" s="18"/>
    </row>
    <row r="93" spans="2:16">
      <c r="B93" s="10"/>
      <c r="H93" s="11"/>
      <c r="I93" s="12"/>
      <c r="J93" s="13"/>
      <c r="K93" s="14"/>
      <c r="L93" s="15"/>
      <c r="M93" s="15"/>
      <c r="N93" s="16"/>
      <c r="O93" s="17"/>
      <c r="P93" s="18"/>
    </row>
    <row r="94" spans="2:16">
      <c r="B94" s="10"/>
      <c r="H94" s="11"/>
      <c r="I94" s="12"/>
      <c r="J94" s="13"/>
      <c r="K94" s="14"/>
      <c r="L94" s="15"/>
      <c r="M94" s="15"/>
      <c r="N94" s="16"/>
      <c r="O94" s="17"/>
      <c r="P94" s="18"/>
    </row>
    <row r="95" spans="2:16">
      <c r="B95" s="10"/>
      <c r="H95" s="11"/>
      <c r="I95" s="12"/>
      <c r="J95" s="13"/>
      <c r="K95" s="14"/>
      <c r="L95" s="15"/>
      <c r="M95" s="15"/>
      <c r="N95" s="16"/>
      <c r="O95" s="17"/>
      <c r="P95" s="18"/>
    </row>
    <row r="96" spans="2:16">
      <c r="B96" s="10"/>
      <c r="H96" s="11"/>
      <c r="I96" s="12"/>
      <c r="J96" s="13"/>
      <c r="K96" s="14"/>
      <c r="L96" s="15"/>
      <c r="M96" s="15"/>
      <c r="N96" s="16"/>
      <c r="O96" s="17"/>
      <c r="P96" s="18"/>
    </row>
    <row r="97" spans="2:16">
      <c r="B97" s="10"/>
      <c r="H97" s="11"/>
      <c r="I97" s="12"/>
      <c r="J97" s="13"/>
      <c r="K97" s="14"/>
      <c r="L97" s="15"/>
      <c r="M97" s="15"/>
      <c r="N97" s="16"/>
      <c r="O97" s="17"/>
      <c r="P97" s="18"/>
    </row>
    <row r="98" spans="2:16">
      <c r="B98" s="10"/>
      <c r="H98" s="11"/>
      <c r="I98" s="12"/>
      <c r="J98" s="13"/>
      <c r="K98" s="14"/>
      <c r="L98" s="15"/>
      <c r="M98" s="15"/>
      <c r="N98" s="16"/>
      <c r="O98" s="17"/>
      <c r="P98" s="18"/>
    </row>
    <row r="99" spans="2:16">
      <c r="B99" s="10"/>
      <c r="H99" s="11"/>
      <c r="I99" s="12"/>
      <c r="J99" s="13"/>
      <c r="K99" s="14"/>
      <c r="L99" s="15"/>
      <c r="M99" s="15"/>
      <c r="N99" s="16"/>
      <c r="O99" s="17"/>
      <c r="P99" s="18"/>
    </row>
    <row r="100" spans="2:16">
      <c r="B100" s="10"/>
      <c r="H100" s="11"/>
      <c r="I100" s="12"/>
      <c r="J100" s="13"/>
      <c r="K100" s="14"/>
      <c r="L100" s="15"/>
      <c r="M100" s="15"/>
      <c r="N100" s="16"/>
      <c r="O100" s="17"/>
      <c r="P100" s="18"/>
    </row>
    <row r="101" spans="2:16">
      <c r="B101" s="10"/>
      <c r="H101" s="11"/>
      <c r="I101" s="12"/>
      <c r="J101" s="13"/>
      <c r="K101" s="14"/>
      <c r="L101" s="15"/>
      <c r="M101" s="15"/>
      <c r="N101" s="16"/>
      <c r="O101" s="17"/>
      <c r="P101" s="18"/>
    </row>
    <row r="102" spans="2:16">
      <c r="B102" s="10"/>
      <c r="H102" s="11"/>
      <c r="I102" s="12"/>
      <c r="J102" s="13"/>
      <c r="K102" s="14"/>
      <c r="L102" s="15"/>
      <c r="M102" s="15"/>
      <c r="N102" s="16"/>
      <c r="O102" s="17"/>
      <c r="P102" s="18"/>
    </row>
    <row r="103" spans="2:16">
      <c r="B103" s="10"/>
      <c r="H103" s="11"/>
      <c r="I103" s="12"/>
      <c r="J103" s="13"/>
      <c r="K103" s="14"/>
      <c r="L103" s="15"/>
      <c r="M103" s="15"/>
      <c r="N103" s="16"/>
      <c r="O103" s="17"/>
      <c r="P103" s="18"/>
    </row>
    <row r="104" spans="2:16">
      <c r="B104" s="10"/>
      <c r="H104" s="11"/>
      <c r="I104" s="12"/>
      <c r="J104" s="13"/>
      <c r="K104" s="14"/>
      <c r="L104" s="15"/>
      <c r="M104" s="15"/>
      <c r="N104" s="16"/>
      <c r="O104" s="17"/>
      <c r="P104" s="18"/>
    </row>
    <row r="105" spans="2:16">
      <c r="B105" s="10"/>
      <c r="H105" s="11"/>
      <c r="I105" s="12"/>
      <c r="J105" s="13"/>
      <c r="K105" s="14"/>
      <c r="L105" s="15"/>
      <c r="M105" s="15"/>
      <c r="N105" s="16"/>
      <c r="O105" s="17"/>
      <c r="P105" s="18"/>
    </row>
    <row r="106" spans="2:16">
      <c r="B106" s="10"/>
      <c r="H106" s="11"/>
      <c r="I106" s="12"/>
      <c r="J106" s="13"/>
      <c r="K106" s="14"/>
      <c r="L106" s="15"/>
      <c r="M106" s="15"/>
      <c r="N106" s="16"/>
      <c r="O106" s="17"/>
      <c r="P106" s="18"/>
    </row>
    <row r="107" spans="2:16">
      <c r="B107" s="10"/>
      <c r="H107" s="11"/>
      <c r="I107" s="12"/>
      <c r="J107" s="13"/>
      <c r="K107" s="14"/>
      <c r="L107" s="15"/>
      <c r="M107" s="15"/>
      <c r="N107" s="16"/>
      <c r="O107" s="17"/>
      <c r="P107" s="18"/>
    </row>
    <row r="108" spans="2:16">
      <c r="B108" s="10"/>
      <c r="H108" s="11"/>
      <c r="I108" s="12"/>
      <c r="J108" s="13"/>
      <c r="K108" s="14"/>
      <c r="L108" s="15"/>
      <c r="M108" s="15"/>
      <c r="N108" s="16"/>
      <c r="O108" s="17"/>
      <c r="P108" s="18"/>
    </row>
    <row r="109" spans="2:16">
      <c r="B109" s="10"/>
      <c r="H109" s="11"/>
      <c r="I109" s="12"/>
      <c r="J109" s="13"/>
      <c r="K109" s="14"/>
      <c r="L109" s="15"/>
      <c r="M109" s="15"/>
      <c r="N109" s="16"/>
      <c r="O109" s="17"/>
      <c r="P109" s="18"/>
    </row>
    <row r="110" spans="2:16">
      <c r="B110" s="10"/>
      <c r="H110" s="11"/>
      <c r="I110" s="12"/>
      <c r="J110" s="13"/>
      <c r="K110" s="14"/>
      <c r="L110" s="15"/>
      <c r="M110" s="15"/>
      <c r="N110" s="16"/>
      <c r="O110" s="17"/>
      <c r="P110" s="18"/>
    </row>
    <row r="111" spans="2:16">
      <c r="B111" s="10"/>
      <c r="H111" s="11"/>
      <c r="I111" s="12"/>
      <c r="J111" s="13"/>
      <c r="K111" s="14"/>
      <c r="L111" s="15"/>
      <c r="M111" s="15"/>
      <c r="N111" s="16"/>
      <c r="O111" s="17"/>
      <c r="P111" s="18"/>
    </row>
    <row r="112" spans="2:16">
      <c r="B112" s="10"/>
      <c r="H112" s="11"/>
      <c r="I112" s="12"/>
      <c r="J112" s="13"/>
      <c r="K112" s="14"/>
      <c r="L112" s="15"/>
      <c r="M112" s="15"/>
      <c r="N112" s="16"/>
      <c r="O112" s="17"/>
      <c r="P112" s="18"/>
    </row>
    <row r="113" spans="2:16">
      <c r="B113" s="10"/>
      <c r="H113" s="11"/>
      <c r="I113" s="12"/>
      <c r="J113" s="13"/>
      <c r="K113" s="14"/>
      <c r="L113" s="15"/>
      <c r="M113" s="15"/>
      <c r="N113" s="16"/>
      <c r="O113" s="17"/>
      <c r="P113" s="18"/>
    </row>
    <row r="114" spans="2:16">
      <c r="B114" s="10"/>
      <c r="H114" s="11"/>
      <c r="I114" s="12"/>
      <c r="J114" s="13"/>
      <c r="K114" s="14"/>
      <c r="L114" s="15"/>
      <c r="M114" s="15"/>
      <c r="N114" s="16"/>
      <c r="O114" s="17"/>
      <c r="P114" s="18"/>
    </row>
    <row r="115" spans="2:16">
      <c r="B115" s="10"/>
      <c r="H115" s="11"/>
      <c r="I115" s="12"/>
      <c r="J115" s="13"/>
      <c r="K115" s="14"/>
      <c r="L115" s="15"/>
      <c r="M115" s="15"/>
      <c r="N115" s="16"/>
      <c r="O115" s="17"/>
      <c r="P115" s="18"/>
    </row>
    <row r="116" spans="2:16">
      <c r="B116" s="10"/>
      <c r="H116" s="11"/>
      <c r="I116" s="12"/>
      <c r="J116" s="13"/>
      <c r="K116" s="14"/>
      <c r="L116" s="15"/>
      <c r="M116" s="15"/>
      <c r="N116" s="16"/>
      <c r="O116" s="17"/>
      <c r="P116" s="18"/>
    </row>
    <row r="117" spans="2:16">
      <c r="B117" s="10"/>
      <c r="H117" s="11"/>
      <c r="I117" s="12"/>
      <c r="J117" s="13"/>
      <c r="K117" s="14"/>
      <c r="L117" s="15"/>
      <c r="M117" s="15"/>
      <c r="N117" s="16"/>
      <c r="O117" s="17"/>
      <c r="P117" s="18"/>
    </row>
    <row r="118" spans="2:16">
      <c r="B118" s="10"/>
      <c r="H118" s="11"/>
      <c r="I118" s="12"/>
      <c r="J118" s="13"/>
      <c r="K118" s="14"/>
      <c r="L118" s="15"/>
      <c r="M118" s="15"/>
      <c r="N118" s="16"/>
      <c r="O118" s="17"/>
      <c r="P118" s="18"/>
    </row>
    <row r="119" spans="2:16">
      <c r="B119" s="10"/>
      <c r="H119" s="11"/>
      <c r="I119" s="12"/>
      <c r="J119" s="13"/>
      <c r="K119" s="14"/>
      <c r="L119" s="15"/>
      <c r="M119" s="15"/>
      <c r="N119" s="16"/>
      <c r="O119" s="17"/>
      <c r="P119" s="18"/>
    </row>
    <row r="120" spans="2:16">
      <c r="B120" s="10"/>
      <c r="H120" s="11"/>
      <c r="I120" s="12"/>
      <c r="J120" s="13"/>
      <c r="K120" s="14"/>
      <c r="L120" s="15"/>
      <c r="M120" s="15"/>
      <c r="N120" s="16"/>
      <c r="O120" s="17"/>
      <c r="P120" s="18"/>
    </row>
    <row r="121" spans="2:16">
      <c r="B121" s="10"/>
      <c r="H121" s="11"/>
      <c r="I121" s="12"/>
      <c r="J121" s="13"/>
      <c r="K121" s="14"/>
      <c r="L121" s="15"/>
      <c r="M121" s="15"/>
      <c r="N121" s="16"/>
      <c r="O121" s="17"/>
      <c r="P121" s="18"/>
    </row>
    <row r="122" spans="2:16">
      <c r="B122" s="10"/>
      <c r="H122" s="11"/>
      <c r="I122" s="12"/>
      <c r="J122" s="13"/>
      <c r="K122" s="14"/>
      <c r="L122" s="15"/>
      <c r="M122" s="15"/>
      <c r="N122" s="16"/>
      <c r="O122" s="17"/>
      <c r="P122" s="18"/>
    </row>
    <row r="123" spans="2:16">
      <c r="B123" s="10"/>
      <c r="H123" s="11"/>
      <c r="I123" s="12"/>
      <c r="J123" s="13"/>
      <c r="K123" s="14"/>
      <c r="L123" s="15"/>
      <c r="M123" s="15"/>
      <c r="N123" s="16"/>
      <c r="O123" s="17"/>
      <c r="P123" s="18"/>
    </row>
    <row r="124" spans="2:16">
      <c r="B124" s="10"/>
      <c r="H124" s="11"/>
      <c r="I124" s="12"/>
      <c r="J124" s="13"/>
      <c r="K124" s="14"/>
      <c r="L124" s="15"/>
      <c r="M124" s="15"/>
      <c r="N124" s="16"/>
      <c r="O124" s="17"/>
      <c r="P124" s="18"/>
    </row>
    <row r="125" spans="2:16">
      <c r="B125" s="10"/>
      <c r="H125" s="11"/>
      <c r="I125" s="12"/>
      <c r="J125" s="13"/>
      <c r="K125" s="14"/>
      <c r="L125" s="15"/>
      <c r="M125" s="15"/>
      <c r="N125" s="16"/>
      <c r="O125" s="17"/>
      <c r="P125" s="18"/>
    </row>
    <row r="126" spans="2:16">
      <c r="B126" s="10"/>
      <c r="H126" s="11"/>
      <c r="I126" s="12"/>
      <c r="J126" s="13"/>
      <c r="K126" s="14"/>
      <c r="L126" s="15"/>
      <c r="M126" s="15"/>
      <c r="N126" s="16"/>
      <c r="O126" s="17"/>
      <c r="P126" s="18"/>
    </row>
    <row r="127" spans="2:16">
      <c r="B127" s="10"/>
      <c r="H127" s="11"/>
      <c r="I127" s="12"/>
      <c r="J127" s="13"/>
      <c r="K127" s="14"/>
      <c r="L127" s="15"/>
      <c r="M127" s="15"/>
      <c r="N127" s="16"/>
      <c r="O127" s="17"/>
      <c r="P127" s="18"/>
    </row>
    <row r="128" spans="2:16">
      <c r="B128" s="10"/>
      <c r="H128" s="11"/>
      <c r="I128" s="12"/>
      <c r="J128" s="13"/>
      <c r="K128" s="14"/>
      <c r="L128" s="15"/>
      <c r="M128" s="15"/>
      <c r="N128" s="16"/>
      <c r="O128" s="17"/>
      <c r="P128" s="18"/>
    </row>
    <row r="129" spans="2:16">
      <c r="B129" s="10"/>
      <c r="H129" s="11"/>
      <c r="I129" s="12"/>
      <c r="J129" s="13"/>
      <c r="K129" s="14"/>
      <c r="L129" s="15"/>
      <c r="M129" s="15"/>
      <c r="N129" s="16"/>
      <c r="O129" s="17"/>
      <c r="P129" s="18"/>
    </row>
    <row r="130" spans="2:16">
      <c r="B130" s="10"/>
      <c r="H130" s="11"/>
      <c r="I130" s="12"/>
      <c r="J130" s="13"/>
      <c r="K130" s="14"/>
      <c r="L130" s="15"/>
      <c r="M130" s="15"/>
      <c r="N130" s="16"/>
      <c r="O130" s="17"/>
      <c r="P130" s="18"/>
    </row>
    <row r="131" spans="2:16">
      <c r="B131" s="10"/>
      <c r="H131" s="11"/>
      <c r="I131" s="12"/>
      <c r="J131" s="13"/>
      <c r="K131" s="14"/>
      <c r="L131" s="15"/>
      <c r="M131" s="15"/>
      <c r="N131" s="16"/>
      <c r="O131" s="17"/>
      <c r="P131" s="18"/>
    </row>
    <row r="132" spans="2:16">
      <c r="B132" s="10"/>
      <c r="H132" s="11"/>
      <c r="I132" s="12"/>
      <c r="J132" s="13"/>
      <c r="K132" s="14"/>
      <c r="L132" s="15"/>
      <c r="M132" s="15"/>
      <c r="N132" s="16"/>
      <c r="O132" s="17"/>
      <c r="P132" s="18"/>
    </row>
    <row r="133" spans="2:16">
      <c r="B133" s="10"/>
      <c r="H133" s="11"/>
      <c r="I133" s="12"/>
      <c r="J133" s="13"/>
      <c r="K133" s="14"/>
      <c r="L133" s="15"/>
      <c r="M133" s="15"/>
      <c r="N133" s="16"/>
      <c r="O133" s="17"/>
      <c r="P133" s="18"/>
    </row>
    <row r="134" spans="2:16">
      <c r="B134" s="10"/>
      <c r="H134" s="11"/>
      <c r="I134" s="12"/>
      <c r="J134" s="13"/>
      <c r="K134" s="14"/>
      <c r="L134" s="15"/>
      <c r="M134" s="15"/>
      <c r="N134" s="16"/>
      <c r="O134" s="17"/>
      <c r="P134" s="18"/>
    </row>
    <row r="135" spans="2:16">
      <c r="B135" s="10"/>
      <c r="H135" s="11"/>
      <c r="I135" s="12"/>
      <c r="J135" s="13"/>
      <c r="K135" s="14"/>
      <c r="L135" s="15"/>
      <c r="M135" s="15"/>
      <c r="N135" s="16"/>
      <c r="O135" s="17"/>
      <c r="P135" s="18"/>
    </row>
    <row r="136" spans="2:16">
      <c r="B136" s="10"/>
      <c r="H136" s="11"/>
      <c r="I136" s="12"/>
      <c r="J136" s="13"/>
      <c r="K136" s="14"/>
      <c r="L136" s="15"/>
      <c r="M136" s="15"/>
      <c r="N136" s="16"/>
      <c r="O136" s="17"/>
      <c r="P136" s="18"/>
    </row>
    <row r="137" spans="2:16">
      <c r="B137" s="10"/>
      <c r="H137" s="11"/>
      <c r="I137" s="12"/>
      <c r="J137" s="13"/>
      <c r="K137" s="14"/>
      <c r="L137" s="15"/>
      <c r="M137" s="15"/>
      <c r="N137" s="16"/>
      <c r="O137" s="17"/>
      <c r="P137" s="18"/>
    </row>
    <row r="138" spans="2:16">
      <c r="B138" s="10"/>
      <c r="H138" s="11"/>
      <c r="I138" s="12"/>
      <c r="J138" s="13"/>
      <c r="K138" s="14"/>
      <c r="L138" s="15"/>
      <c r="M138" s="15"/>
      <c r="N138" s="16"/>
      <c r="O138" s="17"/>
      <c r="P138" s="18"/>
    </row>
    <row r="139" spans="2:16">
      <c r="B139" s="10"/>
      <c r="H139" s="11"/>
      <c r="I139" s="12"/>
      <c r="J139" s="13"/>
      <c r="K139" s="14"/>
      <c r="L139" s="15"/>
      <c r="M139" s="15"/>
      <c r="N139" s="16"/>
      <c r="O139" s="17"/>
      <c r="P139" s="18"/>
    </row>
    <row r="140" spans="2:16">
      <c r="B140" s="10"/>
      <c r="H140" s="11"/>
      <c r="I140" s="12"/>
      <c r="J140" s="13"/>
      <c r="K140" s="14"/>
      <c r="L140" s="15"/>
      <c r="M140" s="15"/>
      <c r="N140" s="16"/>
      <c r="O140" s="17"/>
      <c r="P140" s="18"/>
    </row>
    <row r="141" spans="2:16">
      <c r="B141" s="10"/>
      <c r="H141" s="11"/>
      <c r="I141" s="12"/>
      <c r="J141" s="13"/>
      <c r="K141" s="14"/>
      <c r="L141" s="15"/>
      <c r="M141" s="15"/>
      <c r="N141" s="16"/>
      <c r="O141" s="17"/>
      <c r="P141" s="18"/>
    </row>
    <row r="142" spans="2:16">
      <c r="B142" s="10"/>
      <c r="H142" s="11"/>
      <c r="I142" s="12"/>
      <c r="J142" s="13"/>
      <c r="K142" s="14"/>
      <c r="L142" s="15"/>
      <c r="M142" s="15"/>
      <c r="N142" s="16"/>
      <c r="O142" s="17"/>
      <c r="P142" s="18"/>
    </row>
    <row r="143" spans="2:16">
      <c r="B143" s="10"/>
      <c r="H143" s="11"/>
      <c r="I143" s="12"/>
      <c r="J143" s="13"/>
      <c r="K143" s="14"/>
      <c r="L143" s="15"/>
      <c r="M143" s="15"/>
      <c r="N143" s="16"/>
      <c r="O143" s="17"/>
      <c r="P143" s="18"/>
    </row>
    <row r="144" spans="2:16">
      <c r="B144" s="10"/>
      <c r="H144" s="11"/>
      <c r="I144" s="12"/>
      <c r="J144" s="13"/>
      <c r="K144" s="14"/>
      <c r="L144" s="15"/>
      <c r="M144" s="15"/>
      <c r="N144" s="16"/>
      <c r="O144" s="17"/>
      <c r="P144" s="18"/>
    </row>
    <row r="145" spans="2:16">
      <c r="B145" s="10"/>
      <c r="H145" s="11"/>
      <c r="I145" s="12"/>
      <c r="J145" s="13"/>
      <c r="K145" s="14"/>
      <c r="L145" s="15"/>
      <c r="M145" s="15"/>
      <c r="N145" s="16"/>
      <c r="O145" s="17"/>
      <c r="P145" s="18"/>
    </row>
    <row r="146" spans="2:16">
      <c r="B146" s="10"/>
      <c r="H146" s="11"/>
      <c r="I146" s="12"/>
      <c r="J146" s="13"/>
      <c r="K146" s="14"/>
      <c r="L146" s="15"/>
      <c r="M146" s="15"/>
      <c r="N146" s="16"/>
      <c r="O146" s="17"/>
      <c r="P146" s="18"/>
    </row>
    <row r="147" spans="2:16">
      <c r="B147" s="10"/>
      <c r="H147" s="11"/>
      <c r="I147" s="12"/>
      <c r="J147" s="13"/>
      <c r="K147" s="14"/>
      <c r="L147" s="15"/>
      <c r="M147" s="15"/>
      <c r="N147" s="16"/>
      <c r="O147" s="17"/>
      <c r="P147" s="18"/>
    </row>
    <row r="148" spans="2:16">
      <c r="B148" s="10"/>
      <c r="H148" s="11"/>
      <c r="I148" s="12"/>
      <c r="J148" s="13"/>
      <c r="K148" s="14"/>
      <c r="L148" s="15"/>
      <c r="M148" s="15"/>
      <c r="N148" s="16"/>
      <c r="O148" s="17"/>
      <c r="P148" s="18"/>
    </row>
    <row r="149" spans="2:16">
      <c r="B149" s="10"/>
      <c r="H149" s="11"/>
      <c r="I149" s="12"/>
      <c r="J149" s="13"/>
      <c r="K149" s="14"/>
      <c r="L149" s="15"/>
      <c r="M149" s="15"/>
      <c r="N149" s="16"/>
      <c r="O149" s="17"/>
      <c r="P149" s="18"/>
    </row>
    <row r="150" spans="2:16">
      <c r="B150" s="10"/>
      <c r="H150" s="11"/>
      <c r="I150" s="12"/>
      <c r="J150" s="13"/>
      <c r="K150" s="14"/>
      <c r="L150" s="15"/>
      <c r="M150" s="15"/>
      <c r="N150" s="16"/>
      <c r="O150" s="17"/>
      <c r="P150" s="18"/>
    </row>
    <row r="151" spans="2:16">
      <c r="B151" s="10"/>
      <c r="H151" s="11"/>
      <c r="I151" s="12"/>
      <c r="J151" s="13"/>
      <c r="K151" s="14"/>
      <c r="L151" s="15"/>
      <c r="M151" s="15"/>
      <c r="N151" s="16"/>
      <c r="O151" s="17"/>
      <c r="P151" s="18"/>
    </row>
    <row r="152" spans="2:16">
      <c r="B152" s="10"/>
      <c r="H152" s="11"/>
      <c r="I152" s="12"/>
      <c r="J152" s="13"/>
      <c r="K152" s="14"/>
      <c r="L152" s="15"/>
      <c r="M152" s="15"/>
      <c r="N152" s="16"/>
      <c r="O152" s="17"/>
      <c r="P152" s="18"/>
    </row>
    <row r="153" spans="2:16">
      <c r="B153" s="10"/>
      <c r="H153" s="11"/>
      <c r="I153" s="12"/>
      <c r="J153" s="13"/>
      <c r="K153" s="14"/>
      <c r="L153" s="15"/>
      <c r="M153" s="15"/>
      <c r="N153" s="16"/>
      <c r="O153" s="17"/>
      <c r="P153" s="18"/>
    </row>
    <row r="154" spans="2:16">
      <c r="B154" s="10"/>
      <c r="H154" s="11"/>
      <c r="I154" s="12"/>
      <c r="J154" s="13"/>
      <c r="K154" s="14"/>
      <c r="L154" s="15"/>
      <c r="M154" s="15"/>
      <c r="N154" s="16"/>
      <c r="O154" s="17"/>
      <c r="P154" s="18"/>
    </row>
    <row r="155" spans="2:16">
      <c r="B155" s="10"/>
      <c r="H155" s="11"/>
      <c r="I155" s="12"/>
      <c r="J155" s="13"/>
      <c r="K155" s="14"/>
      <c r="L155" s="15"/>
      <c r="M155" s="15"/>
      <c r="N155" s="16"/>
      <c r="O155" s="17"/>
      <c r="P155" s="18"/>
    </row>
    <row r="156" spans="2:16">
      <c r="B156" s="10"/>
      <c r="H156" s="11"/>
      <c r="I156" s="12"/>
      <c r="J156" s="13"/>
      <c r="K156" s="14"/>
      <c r="L156" s="15"/>
      <c r="M156" s="15"/>
      <c r="N156" s="16"/>
      <c r="O156" s="17"/>
      <c r="P156" s="18"/>
    </row>
    <row r="157" spans="2:16">
      <c r="B157" s="10"/>
      <c r="H157" s="11"/>
      <c r="I157" s="12"/>
      <c r="J157" s="13"/>
      <c r="K157" s="14"/>
      <c r="L157" s="15"/>
      <c r="M157" s="15"/>
      <c r="N157" s="16"/>
      <c r="O157" s="17"/>
      <c r="P157" s="18"/>
    </row>
    <row r="158" spans="2:16">
      <c r="B158" s="10"/>
      <c r="H158" s="11"/>
      <c r="I158" s="12"/>
      <c r="J158" s="13"/>
      <c r="K158" s="14"/>
      <c r="L158" s="15"/>
      <c r="M158" s="15"/>
      <c r="N158" s="16"/>
      <c r="O158" s="17"/>
      <c r="P158" s="18"/>
    </row>
    <row r="159" spans="2:16">
      <c r="B159" s="10"/>
      <c r="H159" s="11"/>
      <c r="I159" s="12"/>
      <c r="J159" s="13"/>
      <c r="K159" s="14"/>
      <c r="L159" s="15"/>
      <c r="M159" s="15"/>
      <c r="N159" s="16"/>
      <c r="O159" s="17"/>
      <c r="P159" s="18"/>
    </row>
    <row r="160" spans="2:16">
      <c r="B160" s="10"/>
      <c r="H160" s="11"/>
      <c r="I160" s="12"/>
      <c r="J160" s="13"/>
      <c r="K160" s="14"/>
      <c r="L160" s="15"/>
      <c r="M160" s="15"/>
      <c r="N160" s="16"/>
      <c r="O160" s="17"/>
      <c r="P160" s="18"/>
    </row>
    <row r="161" spans="2:16">
      <c r="B161" s="10"/>
      <c r="H161" s="11"/>
      <c r="I161" s="12"/>
      <c r="J161" s="13"/>
      <c r="K161" s="14"/>
      <c r="L161" s="15"/>
      <c r="M161" s="15"/>
      <c r="N161" s="16"/>
      <c r="O161" s="17"/>
      <c r="P161" s="18"/>
    </row>
    <row r="162" spans="2:16">
      <c r="B162" s="10"/>
      <c r="H162" s="11"/>
      <c r="I162" s="12"/>
      <c r="J162" s="13"/>
      <c r="K162" s="14"/>
      <c r="L162" s="15"/>
      <c r="M162" s="15"/>
      <c r="N162" s="16"/>
      <c r="O162" s="17"/>
      <c r="P162" s="18"/>
    </row>
    <row r="163" spans="2:16">
      <c r="B163" s="10"/>
      <c r="H163" s="11"/>
      <c r="I163" s="12"/>
      <c r="J163" s="13"/>
      <c r="K163" s="14"/>
      <c r="L163" s="15"/>
      <c r="M163" s="15"/>
      <c r="N163" s="16"/>
      <c r="O163" s="17"/>
      <c r="P163" s="18"/>
    </row>
    <row r="164" spans="2:16">
      <c r="B164" s="10"/>
      <c r="H164" s="11"/>
      <c r="I164" s="12"/>
      <c r="J164" s="13"/>
      <c r="K164" s="14"/>
      <c r="L164" s="15"/>
      <c r="M164" s="15"/>
      <c r="N164" s="16"/>
      <c r="O164" s="17"/>
      <c r="P164" s="18"/>
    </row>
    <row r="165" spans="2:16">
      <c r="B165" s="10"/>
      <c r="H165" s="11"/>
      <c r="I165" s="12"/>
      <c r="J165" s="13"/>
      <c r="K165" s="14"/>
      <c r="L165" s="15"/>
      <c r="M165" s="15"/>
      <c r="N165" s="16"/>
      <c r="O165" s="17"/>
      <c r="P165" s="18"/>
    </row>
    <row r="166" spans="2:16">
      <c r="B166" s="10"/>
      <c r="H166" s="11"/>
      <c r="I166" s="12"/>
      <c r="J166" s="13"/>
      <c r="K166" s="14"/>
      <c r="L166" s="15"/>
      <c r="M166" s="15"/>
      <c r="N166" s="16"/>
      <c r="O166" s="17"/>
      <c r="P166" s="18"/>
    </row>
    <row r="167" spans="2:16">
      <c r="B167" s="10"/>
      <c r="H167" s="11"/>
      <c r="I167" s="12"/>
      <c r="J167" s="13"/>
      <c r="K167" s="14"/>
      <c r="L167" s="15"/>
      <c r="M167" s="15"/>
      <c r="N167" s="16"/>
      <c r="O167" s="17"/>
      <c r="P167" s="18"/>
    </row>
    <row r="168" spans="2:16">
      <c r="B168" s="10"/>
      <c r="H168" s="11"/>
      <c r="I168" s="12"/>
      <c r="J168" s="13"/>
      <c r="K168" s="14"/>
      <c r="L168" s="15"/>
      <c r="M168" s="15"/>
      <c r="N168" s="16"/>
      <c r="O168" s="17"/>
      <c r="P168" s="18"/>
    </row>
    <row r="169" spans="2:16">
      <c r="B169" s="10"/>
      <c r="H169" s="11"/>
      <c r="I169" s="12"/>
      <c r="J169" s="13"/>
      <c r="K169" s="14"/>
      <c r="L169" s="15"/>
      <c r="M169" s="15"/>
      <c r="N169" s="16"/>
      <c r="O169" s="17"/>
      <c r="P169" s="18"/>
    </row>
    <row r="170" spans="2:16">
      <c r="B170" s="10"/>
      <c r="H170" s="11"/>
      <c r="I170" s="12"/>
      <c r="J170" s="13"/>
      <c r="K170" s="14"/>
      <c r="L170" s="15"/>
      <c r="M170" s="15"/>
      <c r="N170" s="16"/>
      <c r="O170" s="17"/>
      <c r="P170" s="18"/>
    </row>
    <row r="171" spans="2:16">
      <c r="B171" s="10"/>
      <c r="H171" s="11"/>
      <c r="I171" s="12"/>
      <c r="J171" s="13"/>
      <c r="K171" s="14"/>
      <c r="L171" s="15"/>
      <c r="M171" s="15"/>
      <c r="N171" s="16"/>
      <c r="O171" s="17"/>
      <c r="P171" s="18"/>
    </row>
    <row r="172" spans="2:16">
      <c r="B172" s="10"/>
      <c r="H172" s="11"/>
      <c r="I172" s="12"/>
      <c r="J172" s="13"/>
      <c r="K172" s="14"/>
      <c r="L172" s="15"/>
      <c r="M172" s="15"/>
      <c r="N172" s="16"/>
      <c r="O172" s="17"/>
      <c r="P172" s="18"/>
    </row>
    <row r="173" spans="2:16">
      <c r="B173" s="10"/>
      <c r="H173" s="11"/>
      <c r="I173" s="12"/>
      <c r="J173" s="13"/>
      <c r="K173" s="14"/>
      <c r="L173" s="15"/>
      <c r="M173" s="15"/>
      <c r="N173" s="16"/>
      <c r="O173" s="17"/>
      <c r="P173" s="18"/>
    </row>
    <row r="174" spans="2:16">
      <c r="B174" s="10"/>
      <c r="H174" s="11"/>
      <c r="I174" s="12"/>
      <c r="J174" s="13"/>
      <c r="K174" s="14"/>
      <c r="L174" s="15"/>
      <c r="M174" s="15"/>
      <c r="N174" s="16"/>
      <c r="O174" s="17"/>
      <c r="P174" s="18"/>
    </row>
    <row r="175" spans="2:16">
      <c r="B175" s="10"/>
      <c r="H175" s="11"/>
      <c r="I175" s="12"/>
      <c r="J175" s="13"/>
      <c r="K175" s="14"/>
      <c r="L175" s="15"/>
      <c r="M175" s="15"/>
      <c r="N175" s="16"/>
      <c r="O175" s="17"/>
      <c r="P175" s="18"/>
    </row>
    <row r="176" spans="2:16">
      <c r="B176" s="10"/>
      <c r="H176" s="11"/>
      <c r="I176" s="12"/>
      <c r="J176" s="13"/>
      <c r="K176" s="14"/>
      <c r="L176" s="15"/>
      <c r="M176" s="15"/>
      <c r="N176" s="16"/>
      <c r="O176" s="17"/>
      <c r="P176" s="18"/>
    </row>
    <row r="177" spans="2:16">
      <c r="B177" s="10"/>
      <c r="H177" s="11"/>
      <c r="I177" s="12"/>
      <c r="J177" s="13"/>
      <c r="K177" s="14"/>
      <c r="L177" s="15"/>
      <c r="M177" s="15"/>
      <c r="N177" s="16"/>
      <c r="O177" s="17"/>
      <c r="P177" s="18"/>
    </row>
    <row r="178" spans="2:16">
      <c r="B178" s="10"/>
      <c r="H178" s="11"/>
      <c r="I178" s="12"/>
      <c r="J178" s="13"/>
      <c r="K178" s="14"/>
      <c r="L178" s="15"/>
      <c r="M178" s="15"/>
      <c r="N178" s="16"/>
      <c r="O178" s="17"/>
      <c r="P178" s="18"/>
    </row>
    <row r="179" spans="2:16">
      <c r="B179" s="10"/>
      <c r="H179" s="11"/>
      <c r="I179" s="12"/>
      <c r="J179" s="13"/>
      <c r="K179" s="14"/>
      <c r="L179" s="15"/>
      <c r="M179" s="15"/>
      <c r="N179" s="16"/>
      <c r="O179" s="17"/>
      <c r="P179" s="18"/>
    </row>
    <row r="180" spans="2:16">
      <c r="B180" s="10"/>
      <c r="H180" s="11"/>
      <c r="I180" s="12"/>
      <c r="J180" s="13"/>
      <c r="K180" s="14"/>
      <c r="L180" s="15"/>
      <c r="M180" s="15"/>
      <c r="N180" s="16"/>
      <c r="O180" s="17"/>
      <c r="P180" s="18"/>
    </row>
    <row r="181" spans="2:16">
      <c r="B181" s="10"/>
      <c r="H181" s="11"/>
      <c r="I181" s="12"/>
      <c r="J181" s="13"/>
      <c r="K181" s="14"/>
      <c r="L181" s="15"/>
      <c r="M181" s="15"/>
      <c r="N181" s="16"/>
      <c r="O181" s="17"/>
      <c r="P181" s="18"/>
    </row>
    <row r="182" spans="2:16">
      <c r="B182" s="10"/>
      <c r="H182" s="11"/>
      <c r="I182" s="12"/>
      <c r="J182" s="13"/>
      <c r="K182" s="14"/>
      <c r="L182" s="15"/>
      <c r="M182" s="15"/>
      <c r="N182" s="16"/>
      <c r="O182" s="17"/>
      <c r="P182" s="18"/>
    </row>
    <row r="183" spans="2:16">
      <c r="B183" s="10"/>
      <c r="H183" s="11"/>
      <c r="I183" s="12"/>
      <c r="J183" s="13"/>
      <c r="K183" s="14"/>
      <c r="L183" s="15"/>
      <c r="M183" s="15"/>
      <c r="N183" s="16"/>
      <c r="O183" s="17"/>
      <c r="P183" s="18"/>
    </row>
    <row r="184" spans="2:16">
      <c r="B184" s="10"/>
      <c r="H184" s="11"/>
      <c r="I184" s="12"/>
      <c r="J184" s="13"/>
      <c r="K184" s="14"/>
      <c r="L184" s="15"/>
      <c r="M184" s="15"/>
      <c r="N184" s="16"/>
      <c r="O184" s="17"/>
      <c r="P184" s="18"/>
    </row>
    <row r="185" spans="2:16">
      <c r="B185" s="10"/>
      <c r="H185" s="11"/>
      <c r="I185" s="12"/>
      <c r="J185" s="13"/>
      <c r="K185" s="14"/>
      <c r="L185" s="15"/>
      <c r="M185" s="15"/>
      <c r="N185" s="16"/>
      <c r="O185" s="17"/>
      <c r="P185" s="18"/>
    </row>
    <row r="186" spans="2:16">
      <c r="B186" s="10"/>
      <c r="H186" s="11"/>
      <c r="I186" s="12"/>
      <c r="J186" s="13"/>
      <c r="K186" s="14"/>
      <c r="L186" s="15"/>
      <c r="M186" s="15"/>
      <c r="N186" s="16"/>
      <c r="O186" s="17"/>
      <c r="P186" s="18"/>
    </row>
    <row r="187" spans="2:16">
      <c r="B187" s="10"/>
      <c r="H187" s="11"/>
      <c r="I187" s="12"/>
      <c r="J187" s="13"/>
      <c r="K187" s="14"/>
      <c r="L187" s="15"/>
      <c r="M187" s="15"/>
      <c r="N187" s="16"/>
      <c r="O187" s="17"/>
      <c r="P187" s="18"/>
    </row>
    <row r="188" spans="2:16">
      <c r="B188" s="10"/>
      <c r="H188" s="11"/>
      <c r="I188" s="12"/>
      <c r="J188" s="13"/>
      <c r="K188" s="14"/>
      <c r="L188" s="15"/>
      <c r="M188" s="15"/>
      <c r="N188" s="16"/>
      <c r="O188" s="17"/>
      <c r="P188" s="18"/>
    </row>
    <row r="189" spans="2:16">
      <c r="B189" s="10"/>
      <c r="H189" s="11"/>
      <c r="I189" s="12"/>
      <c r="J189" s="13"/>
      <c r="K189" s="14"/>
      <c r="L189" s="15"/>
      <c r="M189" s="15"/>
      <c r="N189" s="16"/>
      <c r="O189" s="17"/>
      <c r="P189" s="18"/>
    </row>
    <row r="190" spans="2:16">
      <c r="B190" s="10"/>
      <c r="H190" s="11"/>
      <c r="I190" s="12"/>
      <c r="J190" s="13"/>
      <c r="K190" s="14"/>
      <c r="L190" s="15"/>
      <c r="M190" s="15"/>
      <c r="N190" s="16"/>
      <c r="O190" s="17"/>
      <c r="P190" s="18"/>
    </row>
    <row r="191" spans="2:16">
      <c r="B191" s="10"/>
      <c r="H191" s="11"/>
      <c r="I191" s="12"/>
      <c r="J191" s="13"/>
      <c r="K191" s="14"/>
      <c r="L191" s="15"/>
      <c r="M191" s="15"/>
      <c r="N191" s="16"/>
      <c r="O191" s="17"/>
      <c r="P191" s="18"/>
    </row>
    <row r="192" spans="2:16">
      <c r="B192" s="10"/>
      <c r="H192" s="11"/>
      <c r="I192" s="12"/>
      <c r="J192" s="13"/>
      <c r="K192" s="14"/>
      <c r="L192" s="15"/>
      <c r="M192" s="15"/>
      <c r="N192" s="16"/>
      <c r="O192" s="17"/>
      <c r="P192" s="18"/>
    </row>
    <row r="193" spans="2:16">
      <c r="B193" s="10"/>
      <c r="H193" s="11"/>
      <c r="I193" s="12"/>
      <c r="J193" s="13"/>
      <c r="K193" s="14"/>
      <c r="L193" s="15"/>
      <c r="M193" s="15"/>
      <c r="N193" s="16"/>
      <c r="O193" s="17"/>
      <c r="P193" s="18"/>
    </row>
    <row r="194" spans="2:16">
      <c r="B194" s="10"/>
      <c r="H194" s="11"/>
      <c r="I194" s="12"/>
      <c r="J194" s="13"/>
      <c r="K194" s="14"/>
      <c r="L194" s="15"/>
      <c r="M194" s="15"/>
      <c r="N194" s="16"/>
      <c r="O194" s="17"/>
      <c r="P194" s="18"/>
    </row>
    <row r="195" spans="2:16">
      <c r="B195" s="10"/>
      <c r="H195" s="11"/>
      <c r="I195" s="12"/>
      <c r="J195" s="13"/>
      <c r="K195" s="14"/>
      <c r="L195" s="15"/>
      <c r="M195" s="15"/>
      <c r="N195" s="16"/>
      <c r="O195" s="17"/>
      <c r="P195" s="18"/>
    </row>
    <row r="196" spans="2:16">
      <c r="B196" s="10"/>
      <c r="H196" s="11"/>
      <c r="I196" s="12"/>
      <c r="J196" s="13"/>
      <c r="K196" s="14"/>
      <c r="L196" s="15"/>
      <c r="M196" s="15"/>
      <c r="N196" s="16"/>
      <c r="O196" s="17"/>
      <c r="P196" s="18"/>
    </row>
    <row r="197" spans="2:16">
      <c r="B197" s="10"/>
      <c r="H197" s="11"/>
      <c r="I197" s="12"/>
      <c r="J197" s="13"/>
      <c r="K197" s="14"/>
      <c r="L197" s="15"/>
      <c r="M197" s="15"/>
      <c r="N197" s="16"/>
      <c r="O197" s="17"/>
      <c r="P197" s="18"/>
    </row>
    <row r="198" spans="2:16">
      <c r="B198" s="10"/>
      <c r="H198" s="11"/>
      <c r="I198" s="12"/>
      <c r="J198" s="13"/>
      <c r="K198" s="14"/>
      <c r="L198" s="15"/>
      <c r="M198" s="15"/>
      <c r="N198" s="16"/>
      <c r="O198" s="17"/>
      <c r="P198" s="18"/>
    </row>
    <row r="199" spans="2:16">
      <c r="B199" s="10"/>
      <c r="H199" s="11"/>
      <c r="I199" s="12"/>
      <c r="J199" s="13"/>
      <c r="K199" s="14"/>
      <c r="L199" s="15"/>
      <c r="M199" s="15"/>
      <c r="N199" s="16"/>
      <c r="O199" s="17"/>
      <c r="P199" s="18"/>
    </row>
    <row r="200" spans="2:16">
      <c r="B200" s="10"/>
      <c r="H200" s="11"/>
      <c r="I200" s="12"/>
      <c r="J200" s="13"/>
      <c r="K200" s="14"/>
      <c r="L200" s="15"/>
      <c r="M200" s="15"/>
      <c r="N200" s="16"/>
      <c r="O200" s="17"/>
      <c r="P200" s="18"/>
    </row>
    <row r="201" spans="2:16">
      <c r="B201" s="10"/>
      <c r="H201" s="11"/>
      <c r="I201" s="12"/>
      <c r="J201" s="13"/>
      <c r="K201" s="14"/>
      <c r="L201" s="15"/>
      <c r="M201" s="15"/>
      <c r="N201" s="16"/>
      <c r="O201" s="17"/>
      <c r="P201" s="18"/>
    </row>
    <row r="202" spans="2:16">
      <c r="B202" s="10"/>
      <c r="H202" s="11"/>
      <c r="I202" s="12"/>
      <c r="J202" s="13"/>
      <c r="K202" s="14"/>
      <c r="L202" s="15"/>
      <c r="M202" s="15"/>
      <c r="N202" s="16"/>
      <c r="O202" s="17"/>
      <c r="P202" s="18"/>
    </row>
    <row r="203" spans="2:16">
      <c r="B203" s="10"/>
      <c r="H203" s="11"/>
      <c r="I203" s="12"/>
      <c r="J203" s="13"/>
      <c r="K203" s="14"/>
      <c r="L203" s="15"/>
      <c r="M203" s="15"/>
      <c r="N203" s="16"/>
      <c r="O203" s="17"/>
      <c r="P203" s="18"/>
    </row>
    <row r="204" spans="2:16">
      <c r="B204" s="10"/>
      <c r="H204" s="11"/>
      <c r="I204" s="12"/>
      <c r="J204" s="13"/>
      <c r="K204" s="14"/>
      <c r="L204" s="15"/>
      <c r="M204" s="15"/>
      <c r="N204" s="16"/>
      <c r="O204" s="17"/>
      <c r="P204" s="18"/>
    </row>
    <row r="205" spans="2:16">
      <c r="B205" s="10"/>
      <c r="H205" s="11"/>
      <c r="I205" s="12"/>
      <c r="J205" s="13"/>
      <c r="K205" s="14"/>
      <c r="L205" s="15"/>
      <c r="M205" s="15"/>
      <c r="N205" s="16"/>
      <c r="O205" s="17"/>
      <c r="P205" s="18"/>
    </row>
    <row r="206" spans="2:16">
      <c r="B206" s="10"/>
      <c r="H206" s="11"/>
      <c r="I206" s="12"/>
      <c r="J206" s="13"/>
      <c r="K206" s="14"/>
      <c r="L206" s="15"/>
      <c r="M206" s="15"/>
      <c r="N206" s="16"/>
      <c r="O206" s="17"/>
      <c r="P206" s="18"/>
    </row>
    <row r="207" spans="2:16">
      <c r="B207" s="10"/>
      <c r="H207" s="11"/>
      <c r="I207" s="12"/>
      <c r="J207" s="13"/>
      <c r="K207" s="14"/>
      <c r="L207" s="15"/>
      <c r="M207" s="15"/>
      <c r="N207" s="16"/>
      <c r="O207" s="17"/>
      <c r="P207" s="18"/>
    </row>
    <row r="208" spans="2:16">
      <c r="B208" s="10"/>
      <c r="H208" s="11"/>
      <c r="I208" s="12"/>
      <c r="J208" s="13"/>
      <c r="K208" s="14"/>
      <c r="L208" s="15"/>
      <c r="M208" s="15"/>
      <c r="N208" s="16"/>
      <c r="O208" s="17"/>
      <c r="P208" s="18"/>
    </row>
    <row r="209" spans="2:16">
      <c r="B209" s="10"/>
      <c r="H209" s="11"/>
      <c r="I209" s="12"/>
      <c r="J209" s="13"/>
      <c r="K209" s="14"/>
      <c r="L209" s="15"/>
      <c r="M209" s="15"/>
      <c r="N209" s="16"/>
      <c r="O209" s="17"/>
      <c r="P209" s="18"/>
    </row>
    <row r="210" spans="2:16">
      <c r="B210" s="10"/>
      <c r="H210" s="11"/>
      <c r="I210" s="12"/>
      <c r="J210" s="13"/>
      <c r="K210" s="14"/>
      <c r="L210" s="15"/>
      <c r="M210" s="15"/>
      <c r="N210" s="16"/>
      <c r="O210" s="17"/>
      <c r="P210" s="18"/>
    </row>
    <row r="211" spans="2:16">
      <c r="B211" s="10"/>
      <c r="H211" s="11"/>
      <c r="I211" s="12"/>
      <c r="J211" s="13"/>
      <c r="K211" s="14"/>
      <c r="L211" s="15"/>
      <c r="M211" s="15"/>
      <c r="N211" s="16"/>
      <c r="O211" s="17"/>
      <c r="P211" s="18"/>
    </row>
    <row r="212" spans="2:16">
      <c r="B212" s="10"/>
      <c r="H212" s="11"/>
      <c r="I212" s="12"/>
      <c r="J212" s="13"/>
      <c r="K212" s="14"/>
      <c r="L212" s="15"/>
      <c r="M212" s="15"/>
      <c r="N212" s="16"/>
      <c r="O212" s="17"/>
      <c r="P212" s="18"/>
    </row>
    <row r="213" spans="2:16">
      <c r="B213" s="10"/>
      <c r="H213" s="11"/>
      <c r="I213" s="12"/>
      <c r="J213" s="13"/>
      <c r="K213" s="14"/>
      <c r="L213" s="15"/>
      <c r="M213" s="15"/>
      <c r="N213" s="16"/>
      <c r="O213" s="17"/>
      <c r="P213" s="18"/>
    </row>
    <row r="214" spans="2:16">
      <c r="B214" s="10"/>
      <c r="H214" s="11"/>
      <c r="I214" s="12"/>
      <c r="J214" s="13"/>
      <c r="K214" s="14"/>
      <c r="L214" s="15"/>
      <c r="M214" s="15"/>
      <c r="N214" s="16"/>
      <c r="O214" s="17"/>
      <c r="P214" s="18"/>
    </row>
    <row r="215" spans="2:16">
      <c r="B215" s="10"/>
      <c r="H215" s="11"/>
      <c r="I215" s="12"/>
      <c r="J215" s="13"/>
      <c r="K215" s="14"/>
      <c r="L215" s="15"/>
      <c r="M215" s="15"/>
      <c r="N215" s="16"/>
      <c r="O215" s="17"/>
      <c r="P215" s="18"/>
    </row>
    <row r="216" spans="2:16">
      <c r="B216" s="10"/>
      <c r="H216" s="11"/>
      <c r="I216" s="12"/>
      <c r="J216" s="13"/>
      <c r="K216" s="14"/>
      <c r="L216" s="15"/>
      <c r="M216" s="15"/>
      <c r="N216" s="16"/>
      <c r="O216" s="17"/>
      <c r="P216" s="18"/>
    </row>
    <row r="217" spans="2:16">
      <c r="B217" s="10"/>
      <c r="H217" s="11"/>
      <c r="I217" s="12"/>
      <c r="J217" s="13"/>
      <c r="K217" s="14"/>
      <c r="L217" s="15"/>
      <c r="M217" s="15"/>
      <c r="N217" s="16"/>
      <c r="O217" s="17"/>
      <c r="P217" s="18"/>
    </row>
    <row r="218" spans="2:16">
      <c r="B218" s="10"/>
      <c r="H218" s="11"/>
      <c r="I218" s="12"/>
      <c r="J218" s="13"/>
      <c r="K218" s="14"/>
      <c r="L218" s="15"/>
      <c r="M218" s="15"/>
      <c r="N218" s="16"/>
      <c r="O218" s="17"/>
      <c r="P218" s="18"/>
    </row>
    <row r="219" spans="2:16">
      <c r="B219" s="10"/>
      <c r="H219" s="11"/>
      <c r="I219" s="12"/>
      <c r="J219" s="13"/>
      <c r="K219" s="14"/>
      <c r="L219" s="15"/>
      <c r="M219" s="15"/>
      <c r="N219" s="16"/>
      <c r="O219" s="17"/>
      <c r="P219" s="18"/>
    </row>
    <row r="220" spans="2:16">
      <c r="B220" s="10"/>
      <c r="H220" s="11"/>
      <c r="I220" s="12"/>
      <c r="J220" s="13"/>
      <c r="K220" s="14"/>
      <c r="L220" s="15"/>
      <c r="M220" s="15"/>
      <c r="N220" s="16"/>
      <c r="O220" s="17"/>
      <c r="P220" s="18"/>
    </row>
    <row r="221" spans="2:16">
      <c r="B221" s="10"/>
      <c r="H221" s="11"/>
      <c r="I221" s="12"/>
      <c r="J221" s="13"/>
      <c r="K221" s="14"/>
      <c r="L221" s="15"/>
      <c r="M221" s="15"/>
      <c r="N221" s="16"/>
      <c r="O221" s="17"/>
      <c r="P221" s="18"/>
    </row>
    <row r="222" spans="2:16">
      <c r="B222" s="10"/>
      <c r="H222" s="11"/>
      <c r="I222" s="12"/>
      <c r="J222" s="13"/>
      <c r="K222" s="14"/>
      <c r="L222" s="15"/>
      <c r="M222" s="15"/>
      <c r="N222" s="16"/>
      <c r="O222" s="17"/>
      <c r="P222" s="18"/>
    </row>
    <row r="223" spans="2:16">
      <c r="B223" s="10"/>
      <c r="H223" s="11"/>
      <c r="I223" s="12"/>
      <c r="J223" s="13"/>
      <c r="K223" s="14"/>
      <c r="L223" s="15"/>
      <c r="M223" s="15"/>
      <c r="N223" s="16"/>
      <c r="O223" s="17"/>
      <c r="P223" s="18"/>
    </row>
    <row r="224" spans="2:16">
      <c r="B224" s="10"/>
      <c r="H224" s="11"/>
      <c r="I224" s="12"/>
      <c r="J224" s="13"/>
      <c r="K224" s="14"/>
      <c r="L224" s="15"/>
      <c r="M224" s="15"/>
      <c r="N224" s="16"/>
      <c r="O224" s="17"/>
      <c r="P224" s="18"/>
    </row>
    <row r="225" spans="2:16">
      <c r="B225" s="10"/>
      <c r="H225" s="11"/>
      <c r="I225" s="12"/>
      <c r="J225" s="13"/>
      <c r="K225" s="14"/>
      <c r="L225" s="15"/>
      <c r="M225" s="15"/>
      <c r="N225" s="16"/>
      <c r="O225" s="17"/>
      <c r="P225" s="18"/>
    </row>
    <row r="226" spans="2:16">
      <c r="B226" s="10"/>
      <c r="H226" s="11"/>
      <c r="I226" s="12"/>
      <c r="J226" s="13"/>
      <c r="K226" s="14"/>
      <c r="L226" s="15"/>
      <c r="M226" s="15"/>
      <c r="N226" s="16"/>
      <c r="O226" s="17"/>
      <c r="P226" s="18"/>
    </row>
    <row r="227" spans="2:16">
      <c r="B227" s="10"/>
      <c r="H227" s="11"/>
      <c r="I227" s="12"/>
      <c r="J227" s="13"/>
      <c r="K227" s="14"/>
      <c r="L227" s="15"/>
      <c r="M227" s="15"/>
      <c r="N227" s="16"/>
      <c r="O227" s="17"/>
      <c r="P227" s="18"/>
    </row>
    <row r="228" spans="2:16">
      <c r="B228" s="10"/>
      <c r="H228" s="11"/>
      <c r="I228" s="12"/>
      <c r="J228" s="13"/>
      <c r="K228" s="14"/>
      <c r="L228" s="15"/>
      <c r="M228" s="15"/>
      <c r="N228" s="16"/>
      <c r="O228" s="17"/>
      <c r="P228" s="18"/>
    </row>
    <row r="229" spans="2:16">
      <c r="B229" s="10"/>
      <c r="H229" s="11"/>
      <c r="I229" s="12"/>
      <c r="J229" s="13"/>
      <c r="K229" s="14"/>
      <c r="L229" s="15"/>
      <c r="M229" s="15"/>
      <c r="N229" s="16"/>
      <c r="O229" s="17"/>
      <c r="P229" s="18"/>
    </row>
    <row r="230" spans="2:16">
      <c r="B230" s="10"/>
      <c r="H230" s="11"/>
      <c r="I230" s="12"/>
      <c r="J230" s="13"/>
      <c r="K230" s="14"/>
      <c r="L230" s="15"/>
      <c r="M230" s="15"/>
      <c r="N230" s="16"/>
      <c r="O230" s="17"/>
      <c r="P230" s="18"/>
    </row>
    <row r="231" spans="2:16">
      <c r="B231" s="10"/>
      <c r="H231" s="11"/>
      <c r="I231" s="12"/>
      <c r="J231" s="13"/>
      <c r="K231" s="14"/>
      <c r="L231" s="15"/>
      <c r="M231" s="15"/>
      <c r="N231" s="16"/>
      <c r="O231" s="17"/>
      <c r="P231" s="18"/>
    </row>
    <row r="232" spans="2:16">
      <c r="B232" s="10"/>
      <c r="H232" s="11"/>
      <c r="I232" s="12"/>
      <c r="J232" s="13"/>
      <c r="K232" s="14"/>
      <c r="L232" s="15"/>
      <c r="M232" s="15"/>
      <c r="N232" s="16"/>
      <c r="O232" s="17"/>
      <c r="P232" s="18"/>
    </row>
    <row r="233" spans="2:16">
      <c r="B233" s="10"/>
      <c r="H233" s="11"/>
      <c r="I233" s="12"/>
      <c r="J233" s="13"/>
      <c r="K233" s="14"/>
      <c r="L233" s="15"/>
      <c r="M233" s="15"/>
      <c r="N233" s="16"/>
      <c r="O233" s="17"/>
      <c r="P233" s="18"/>
    </row>
    <row r="234" spans="2:16">
      <c r="B234" s="10"/>
      <c r="H234" s="11"/>
      <c r="I234" s="12"/>
      <c r="J234" s="13"/>
      <c r="K234" s="14"/>
      <c r="L234" s="15"/>
      <c r="M234" s="15"/>
      <c r="N234" s="16"/>
      <c r="O234" s="17"/>
      <c r="P234" s="18"/>
    </row>
    <row r="235" spans="2:16">
      <c r="B235" s="10"/>
      <c r="H235" s="11"/>
      <c r="I235" s="12"/>
      <c r="J235" s="13"/>
      <c r="K235" s="14"/>
      <c r="L235" s="15"/>
      <c r="M235" s="15"/>
      <c r="N235" s="16"/>
      <c r="O235" s="17"/>
      <c r="P235" s="18"/>
    </row>
    <row r="236" spans="2:16">
      <c r="B236" s="10"/>
      <c r="H236" s="11"/>
      <c r="I236" s="12"/>
      <c r="J236" s="13"/>
      <c r="K236" s="14"/>
      <c r="L236" s="15"/>
      <c r="M236" s="15"/>
      <c r="N236" s="16"/>
      <c r="O236" s="17"/>
      <c r="P236" s="18"/>
    </row>
    <row r="237" spans="2:16">
      <c r="B237" s="10"/>
      <c r="H237" s="11"/>
      <c r="I237" s="12"/>
      <c r="J237" s="13"/>
      <c r="K237" s="14"/>
      <c r="L237" s="15"/>
      <c r="M237" s="15"/>
      <c r="N237" s="16"/>
      <c r="O237" s="17"/>
      <c r="P237" s="18"/>
    </row>
    <row r="238" spans="2:16">
      <c r="B238" s="10"/>
      <c r="H238" s="11"/>
      <c r="I238" s="12"/>
      <c r="J238" s="13"/>
      <c r="K238" s="14"/>
      <c r="L238" s="15"/>
      <c r="M238" s="15"/>
      <c r="N238" s="16"/>
      <c r="O238" s="17"/>
      <c r="P238" s="18"/>
    </row>
    <row r="239" spans="2:16">
      <c r="B239" s="10"/>
      <c r="H239" s="11"/>
      <c r="I239" s="12"/>
      <c r="J239" s="13"/>
      <c r="K239" s="14"/>
      <c r="L239" s="15"/>
      <c r="M239" s="15"/>
      <c r="N239" s="16"/>
      <c r="O239" s="17"/>
      <c r="P239" s="18"/>
    </row>
    <row r="240" spans="2:16">
      <c r="B240" s="10"/>
      <c r="H240" s="11"/>
      <c r="I240" s="12"/>
      <c r="J240" s="13"/>
      <c r="K240" s="14"/>
      <c r="L240" s="15"/>
      <c r="M240" s="15"/>
      <c r="N240" s="16"/>
      <c r="O240" s="17"/>
      <c r="P240" s="18"/>
    </row>
    <row r="241" spans="2:16">
      <c r="B241" s="10"/>
      <c r="H241" s="11"/>
      <c r="I241" s="12"/>
      <c r="J241" s="13"/>
      <c r="K241" s="14"/>
      <c r="L241" s="15"/>
      <c r="M241" s="15"/>
      <c r="N241" s="16"/>
      <c r="O241" s="17"/>
      <c r="P241" s="18"/>
    </row>
    <row r="242" spans="2:16">
      <c r="B242" s="10"/>
      <c r="H242" s="11"/>
      <c r="I242" s="12"/>
      <c r="J242" s="13"/>
      <c r="K242" s="14"/>
      <c r="L242" s="15"/>
      <c r="M242" s="15"/>
      <c r="N242" s="16"/>
      <c r="O242" s="17"/>
      <c r="P242" s="18"/>
    </row>
    <row r="243" spans="2:16">
      <c r="B243" s="10"/>
      <c r="H243" s="11"/>
      <c r="I243" s="12"/>
      <c r="J243" s="13"/>
      <c r="K243" s="14"/>
      <c r="L243" s="15"/>
      <c r="M243" s="15"/>
      <c r="N243" s="16"/>
      <c r="O243" s="17"/>
      <c r="P243" s="18"/>
    </row>
    <row r="244" spans="2:16">
      <c r="B244" s="10"/>
      <c r="H244" s="11"/>
      <c r="I244" s="12"/>
      <c r="J244" s="13"/>
      <c r="K244" s="14"/>
      <c r="L244" s="15"/>
      <c r="M244" s="15"/>
      <c r="N244" s="16"/>
      <c r="O244" s="17"/>
      <c r="P244" s="18"/>
    </row>
    <row r="245" spans="2:16">
      <c r="B245" s="10"/>
      <c r="H245" s="11"/>
      <c r="I245" s="12"/>
      <c r="J245" s="13"/>
      <c r="K245" s="14"/>
      <c r="L245" s="15"/>
      <c r="M245" s="15"/>
      <c r="N245" s="16"/>
      <c r="O245" s="17"/>
      <c r="P245" s="18"/>
    </row>
    <row r="246" spans="2:16">
      <c r="B246" s="10"/>
      <c r="H246" s="11"/>
      <c r="I246" s="12"/>
      <c r="J246" s="13"/>
      <c r="K246" s="14"/>
      <c r="L246" s="15"/>
      <c r="M246" s="15"/>
      <c r="N246" s="16"/>
      <c r="O246" s="17"/>
      <c r="P246" s="18"/>
    </row>
    <row r="247" spans="2:16">
      <c r="B247" s="10"/>
      <c r="H247" s="11"/>
      <c r="I247" s="12"/>
      <c r="J247" s="13"/>
      <c r="K247" s="14"/>
      <c r="L247" s="15"/>
      <c r="M247" s="15"/>
      <c r="N247" s="16"/>
      <c r="O247" s="17"/>
      <c r="P247" s="18"/>
    </row>
    <row r="248" spans="2:16">
      <c r="B248" s="10"/>
      <c r="H248" s="11"/>
      <c r="I248" s="12"/>
      <c r="J248" s="13"/>
      <c r="K248" s="14"/>
      <c r="L248" s="15"/>
      <c r="M248" s="15"/>
      <c r="N248" s="16"/>
      <c r="O248" s="17"/>
      <c r="P248" s="18"/>
    </row>
    <row r="249" spans="2:16">
      <c r="B249" s="10"/>
      <c r="H249" s="11"/>
      <c r="I249" s="12"/>
      <c r="J249" s="13"/>
      <c r="K249" s="14"/>
      <c r="L249" s="15"/>
      <c r="M249" s="15"/>
      <c r="N249" s="16"/>
      <c r="O249" s="17"/>
      <c r="P249" s="18"/>
    </row>
    <row r="250" spans="2:16">
      <c r="B250" s="10"/>
      <c r="H250" s="11"/>
      <c r="I250" s="12"/>
      <c r="J250" s="13"/>
      <c r="K250" s="14"/>
      <c r="L250" s="15"/>
      <c r="M250" s="15"/>
      <c r="N250" s="16"/>
      <c r="O250" s="17"/>
      <c r="P250" s="18"/>
    </row>
    <row r="251" spans="2:16">
      <c r="B251" s="10"/>
      <c r="H251" s="11"/>
      <c r="I251" s="12"/>
      <c r="J251" s="13"/>
      <c r="K251" s="14"/>
      <c r="L251" s="15"/>
      <c r="M251" s="15"/>
      <c r="N251" s="16"/>
      <c r="O251" s="17"/>
      <c r="P251" s="18"/>
    </row>
    <row r="252" spans="2:16">
      <c r="B252" s="10"/>
      <c r="H252" s="11"/>
      <c r="I252" s="12"/>
      <c r="J252" s="13"/>
      <c r="K252" s="14"/>
      <c r="L252" s="15"/>
      <c r="M252" s="15"/>
      <c r="N252" s="16"/>
      <c r="O252" s="17"/>
      <c r="P252" s="18"/>
    </row>
    <row r="253" spans="2:16">
      <c r="B253" s="10"/>
      <c r="H253" s="11"/>
      <c r="I253" s="12"/>
      <c r="J253" s="13"/>
      <c r="K253" s="14"/>
      <c r="L253" s="15"/>
      <c r="M253" s="15"/>
      <c r="N253" s="16"/>
      <c r="O253" s="17"/>
      <c r="P253" s="18"/>
    </row>
    <row r="254" spans="2:16">
      <c r="B254" s="10"/>
      <c r="H254" s="11"/>
      <c r="I254" s="12"/>
      <c r="J254" s="13"/>
      <c r="K254" s="14"/>
      <c r="L254" s="15"/>
      <c r="M254" s="15"/>
      <c r="N254" s="16"/>
      <c r="O254" s="17"/>
      <c r="P254" s="18"/>
    </row>
    <row r="255" spans="2:16">
      <c r="B255" s="10"/>
      <c r="H255" s="11"/>
      <c r="I255" s="12"/>
      <c r="J255" s="13"/>
      <c r="K255" s="14"/>
      <c r="L255" s="15"/>
      <c r="M255" s="15"/>
      <c r="N255" s="16"/>
      <c r="O255" s="17"/>
      <c r="P255" s="18"/>
    </row>
    <row r="256" spans="2:16">
      <c r="B256" s="10"/>
      <c r="H256" s="11"/>
      <c r="I256" s="12"/>
      <c r="J256" s="13"/>
      <c r="K256" s="14"/>
      <c r="L256" s="15"/>
      <c r="M256" s="15"/>
      <c r="N256" s="16"/>
      <c r="O256" s="17"/>
      <c r="P256" s="18"/>
    </row>
    <row r="257" spans="2:16">
      <c r="B257" s="10"/>
      <c r="H257" s="11"/>
      <c r="I257" s="12"/>
      <c r="J257" s="13"/>
      <c r="K257" s="14"/>
      <c r="L257" s="15"/>
      <c r="M257" s="15"/>
      <c r="N257" s="16"/>
      <c r="O257" s="17"/>
      <c r="P257" s="18"/>
    </row>
    <row r="258" spans="2:16">
      <c r="B258" s="10"/>
      <c r="H258" s="11"/>
      <c r="I258" s="12"/>
      <c r="J258" s="13"/>
      <c r="K258" s="14"/>
      <c r="L258" s="15"/>
      <c r="M258" s="15"/>
      <c r="N258" s="16"/>
      <c r="O258" s="17"/>
      <c r="P258" s="18"/>
    </row>
    <row r="259" spans="2:16">
      <c r="B259" s="10"/>
      <c r="H259" s="11"/>
      <c r="I259" s="12"/>
      <c r="J259" s="13"/>
      <c r="K259" s="14"/>
      <c r="L259" s="15"/>
      <c r="M259" s="15"/>
      <c r="N259" s="16"/>
      <c r="O259" s="17"/>
      <c r="P259" s="18"/>
    </row>
    <row r="260" spans="2:16">
      <c r="B260" s="10"/>
      <c r="H260" s="11"/>
      <c r="I260" s="12"/>
      <c r="J260" s="13"/>
      <c r="K260" s="14"/>
      <c r="L260" s="15"/>
      <c r="M260" s="15"/>
      <c r="N260" s="16"/>
      <c r="O260" s="17"/>
      <c r="P260" s="18"/>
    </row>
    <row r="261" spans="2:16">
      <c r="B261" s="10"/>
      <c r="H261" s="11"/>
      <c r="I261" s="12"/>
      <c r="J261" s="13"/>
      <c r="K261" s="14"/>
      <c r="L261" s="15"/>
      <c r="M261" s="15"/>
      <c r="N261" s="16"/>
      <c r="O261" s="17"/>
      <c r="P261" s="18"/>
    </row>
    <row r="262" spans="2:16">
      <c r="B262" s="10"/>
      <c r="H262" s="11"/>
      <c r="I262" s="12"/>
      <c r="J262" s="13"/>
      <c r="K262" s="14"/>
      <c r="L262" s="15"/>
      <c r="M262" s="15"/>
      <c r="N262" s="16"/>
      <c r="O262" s="17"/>
      <c r="P262" s="18"/>
    </row>
    <row r="263" spans="2:16">
      <c r="B263" s="10"/>
      <c r="H263" s="11"/>
      <c r="I263" s="12"/>
      <c r="J263" s="13"/>
      <c r="K263" s="14"/>
      <c r="L263" s="15"/>
      <c r="M263" s="15"/>
      <c r="N263" s="16"/>
      <c r="O263" s="17"/>
      <c r="P263" s="18"/>
    </row>
    <row r="264" spans="2:16">
      <c r="B264" s="10"/>
      <c r="H264" s="11"/>
      <c r="I264" s="12"/>
      <c r="J264" s="13"/>
      <c r="K264" s="14"/>
      <c r="L264" s="15"/>
      <c r="M264" s="15"/>
      <c r="N264" s="16"/>
      <c r="O264" s="17"/>
      <c r="P264" s="18"/>
    </row>
    <row r="265" spans="2:16">
      <c r="B265" s="10"/>
      <c r="H265" s="11"/>
      <c r="I265" s="12"/>
      <c r="J265" s="13"/>
      <c r="K265" s="14"/>
      <c r="L265" s="15"/>
      <c r="M265" s="15"/>
      <c r="N265" s="16"/>
      <c r="O265" s="17"/>
      <c r="P265" s="18"/>
    </row>
    <row r="266" spans="2:16">
      <c r="B266" s="10"/>
      <c r="H266" s="11"/>
      <c r="I266" s="12"/>
      <c r="J266" s="13"/>
      <c r="K266" s="14"/>
      <c r="L266" s="15"/>
      <c r="M266" s="15"/>
      <c r="N266" s="16"/>
      <c r="O266" s="17"/>
      <c r="P266" s="18"/>
    </row>
    <row r="267" spans="2:16">
      <c r="B267" s="10"/>
      <c r="H267" s="11"/>
      <c r="I267" s="12"/>
      <c r="J267" s="13"/>
      <c r="K267" s="14"/>
      <c r="L267" s="15"/>
      <c r="M267" s="15"/>
      <c r="N267" s="16"/>
      <c r="O267" s="17"/>
      <c r="P267" s="18"/>
    </row>
    <row r="268" spans="2:16">
      <c r="B268" s="10"/>
      <c r="H268" s="11"/>
      <c r="I268" s="12"/>
      <c r="J268" s="13"/>
      <c r="K268" s="14"/>
      <c r="L268" s="15"/>
      <c r="M268" s="15"/>
      <c r="N268" s="16"/>
      <c r="O268" s="17"/>
      <c r="P268" s="18"/>
    </row>
    <row r="269" spans="2:16">
      <c r="B269" s="10"/>
      <c r="H269" s="11"/>
      <c r="I269" s="12"/>
      <c r="J269" s="13"/>
      <c r="K269" s="14"/>
      <c r="L269" s="15"/>
      <c r="M269" s="15"/>
      <c r="N269" s="16"/>
      <c r="O269" s="17"/>
      <c r="P269" s="18"/>
    </row>
    <row r="270" spans="2:16">
      <c r="B270" s="10"/>
      <c r="H270" s="11"/>
      <c r="I270" s="12"/>
      <c r="J270" s="13"/>
      <c r="K270" s="14"/>
      <c r="L270" s="15"/>
      <c r="M270" s="15"/>
      <c r="N270" s="16"/>
      <c r="O270" s="17"/>
      <c r="P270" s="18"/>
    </row>
    <row r="271" spans="2:16">
      <c r="B271" s="10"/>
      <c r="H271" s="11"/>
      <c r="I271" s="12"/>
      <c r="J271" s="13"/>
      <c r="K271" s="14"/>
      <c r="L271" s="15"/>
      <c r="M271" s="15"/>
      <c r="N271" s="16"/>
      <c r="O271" s="17"/>
      <c r="P271" s="18"/>
    </row>
    <row r="272" spans="2:16">
      <c r="B272" s="10"/>
      <c r="H272" s="11"/>
      <c r="I272" s="12"/>
      <c r="J272" s="13"/>
      <c r="K272" s="14"/>
      <c r="L272" s="15"/>
      <c r="M272" s="15"/>
      <c r="N272" s="16"/>
      <c r="O272" s="17"/>
      <c r="P272" s="18"/>
    </row>
    <row r="273" spans="2:16">
      <c r="B273" s="10"/>
      <c r="H273" s="11"/>
      <c r="I273" s="12"/>
      <c r="J273" s="13"/>
      <c r="K273" s="14"/>
      <c r="L273" s="15"/>
      <c r="M273" s="15"/>
      <c r="N273" s="16"/>
      <c r="O273" s="17"/>
      <c r="P273" s="18"/>
    </row>
    <row r="274" spans="2:16">
      <c r="B274" s="10"/>
      <c r="H274" s="11"/>
      <c r="I274" s="12"/>
      <c r="J274" s="13"/>
      <c r="K274" s="14"/>
      <c r="L274" s="15"/>
      <c r="M274" s="15"/>
      <c r="N274" s="16"/>
      <c r="O274" s="17"/>
      <c r="P274" s="18"/>
    </row>
    <row r="275" spans="2:16">
      <c r="B275" s="10"/>
      <c r="H275" s="11"/>
      <c r="I275" s="12"/>
      <c r="J275" s="13"/>
      <c r="K275" s="14"/>
      <c r="L275" s="15"/>
      <c r="M275" s="15"/>
      <c r="N275" s="16"/>
      <c r="O275" s="17"/>
      <c r="P275" s="18"/>
    </row>
    <row r="276" spans="2:16">
      <c r="B276" s="10"/>
      <c r="H276" s="11"/>
      <c r="I276" s="12"/>
      <c r="J276" s="13"/>
      <c r="K276" s="14"/>
      <c r="L276" s="15"/>
      <c r="M276" s="15"/>
      <c r="N276" s="16"/>
      <c r="O276" s="17"/>
      <c r="P276" s="18"/>
    </row>
    <row r="277" spans="2:16">
      <c r="B277" s="10"/>
      <c r="H277" s="11"/>
      <c r="I277" s="12"/>
      <c r="J277" s="13"/>
      <c r="K277" s="14"/>
      <c r="L277" s="15"/>
      <c r="M277" s="15"/>
      <c r="N277" s="16"/>
      <c r="O277" s="17"/>
      <c r="P277" s="18"/>
    </row>
    <row r="278" spans="2:16">
      <c r="B278" s="10"/>
      <c r="H278" s="11"/>
      <c r="I278" s="12"/>
      <c r="J278" s="13"/>
      <c r="K278" s="14"/>
      <c r="L278" s="15"/>
      <c r="M278" s="15"/>
      <c r="N278" s="16"/>
      <c r="O278" s="17"/>
      <c r="P278" s="18"/>
    </row>
    <row r="279" spans="2:16">
      <c r="B279" s="10"/>
      <c r="H279" s="11"/>
      <c r="I279" s="12"/>
      <c r="J279" s="13"/>
      <c r="K279" s="14"/>
      <c r="L279" s="15"/>
      <c r="M279" s="15"/>
      <c r="N279" s="16"/>
      <c r="O279" s="17"/>
      <c r="P279" s="18"/>
    </row>
    <row r="280" spans="2:16">
      <c r="B280" s="10"/>
      <c r="H280" s="11"/>
      <c r="I280" s="12"/>
      <c r="J280" s="13"/>
      <c r="K280" s="14"/>
      <c r="L280" s="15"/>
      <c r="M280" s="15"/>
      <c r="N280" s="16"/>
      <c r="O280" s="17"/>
      <c r="P280" s="18"/>
    </row>
    <row r="281" spans="2:16">
      <c r="B281" s="10"/>
      <c r="H281" s="11"/>
      <c r="I281" s="12"/>
      <c r="J281" s="13"/>
      <c r="K281" s="14"/>
      <c r="L281" s="15"/>
      <c r="M281" s="15"/>
      <c r="N281" s="16"/>
      <c r="O281" s="17"/>
      <c r="P281" s="18"/>
    </row>
    <row r="282" spans="2:16">
      <c r="B282" s="10"/>
      <c r="H282" s="11"/>
      <c r="I282" s="12"/>
      <c r="J282" s="13"/>
      <c r="K282" s="14"/>
      <c r="L282" s="15"/>
      <c r="M282" s="15"/>
      <c r="N282" s="16"/>
      <c r="O282" s="17"/>
      <c r="P282" s="18"/>
    </row>
    <row r="283" spans="2:16">
      <c r="B283" s="10"/>
      <c r="H283" s="11"/>
      <c r="I283" s="12"/>
      <c r="J283" s="13"/>
      <c r="K283" s="14"/>
      <c r="L283" s="15"/>
      <c r="M283" s="15"/>
      <c r="N283" s="16"/>
      <c r="O283" s="17"/>
      <c r="P283" s="18"/>
    </row>
    <row r="284" spans="2:16">
      <c r="B284" s="10"/>
      <c r="H284" s="11"/>
      <c r="I284" s="12"/>
      <c r="J284" s="13"/>
      <c r="K284" s="14"/>
      <c r="L284" s="15"/>
      <c r="M284" s="15"/>
      <c r="N284" s="16"/>
      <c r="O284" s="17"/>
      <c r="P284" s="18"/>
    </row>
    <row r="285" spans="2:16">
      <c r="B285" s="10"/>
      <c r="H285" s="11"/>
      <c r="I285" s="12"/>
      <c r="J285" s="13"/>
      <c r="K285" s="14"/>
      <c r="L285" s="15"/>
      <c r="M285" s="15"/>
      <c r="N285" s="16"/>
      <c r="O285" s="17"/>
      <c r="P285" s="18"/>
    </row>
    <row r="286" spans="2:16">
      <c r="B286" s="10"/>
      <c r="H286" s="11"/>
      <c r="I286" s="12"/>
      <c r="J286" s="13"/>
      <c r="K286" s="14"/>
      <c r="L286" s="15"/>
      <c r="M286" s="15"/>
      <c r="N286" s="16"/>
      <c r="O286" s="17"/>
      <c r="P286" s="18"/>
    </row>
    <row r="287" spans="2:16">
      <c r="B287" s="10"/>
      <c r="H287" s="11"/>
      <c r="I287" s="12"/>
      <c r="J287" s="13"/>
      <c r="K287" s="14"/>
      <c r="L287" s="15"/>
      <c r="M287" s="15"/>
      <c r="N287" s="16"/>
      <c r="O287" s="17"/>
      <c r="P287" s="18"/>
    </row>
    <row r="288" spans="2:16">
      <c r="B288" s="10"/>
      <c r="H288" s="11"/>
      <c r="I288" s="12"/>
      <c r="J288" s="13"/>
      <c r="K288" s="14"/>
      <c r="L288" s="15"/>
      <c r="M288" s="15"/>
      <c r="N288" s="16"/>
      <c r="O288" s="17"/>
      <c r="P288" s="18"/>
    </row>
    <row r="289" spans="2:16">
      <c r="B289" s="10"/>
      <c r="H289" s="11"/>
      <c r="I289" s="12"/>
      <c r="J289" s="13"/>
      <c r="K289" s="14"/>
      <c r="L289" s="15"/>
      <c r="M289" s="15"/>
      <c r="N289" s="16"/>
      <c r="O289" s="17"/>
      <c r="P289" s="18"/>
    </row>
    <row r="290" spans="2:16">
      <c r="B290" s="10"/>
      <c r="H290" s="11"/>
      <c r="I290" s="12"/>
      <c r="J290" s="13"/>
      <c r="K290" s="14"/>
      <c r="L290" s="15"/>
      <c r="M290" s="15"/>
      <c r="N290" s="16"/>
      <c r="O290" s="17"/>
      <c r="P290" s="18"/>
    </row>
    <row r="291" spans="2:16">
      <c r="B291" s="10"/>
      <c r="H291" s="11"/>
      <c r="I291" s="12"/>
      <c r="J291" s="13"/>
      <c r="K291" s="14"/>
      <c r="L291" s="15"/>
      <c r="M291" s="15"/>
      <c r="N291" s="16"/>
      <c r="O291" s="17"/>
      <c r="P291" s="18"/>
    </row>
    <row r="292" spans="2:16">
      <c r="B292" s="10"/>
      <c r="H292" s="11"/>
      <c r="I292" s="12"/>
      <c r="J292" s="13"/>
      <c r="K292" s="14"/>
      <c r="L292" s="15"/>
      <c r="M292" s="15"/>
      <c r="N292" s="16"/>
      <c r="O292" s="17"/>
      <c r="P292" s="18"/>
    </row>
    <row r="293" spans="2:16">
      <c r="B293" s="10"/>
      <c r="H293" s="11"/>
      <c r="I293" s="12"/>
      <c r="J293" s="13"/>
      <c r="K293" s="14"/>
      <c r="L293" s="15"/>
      <c r="M293" s="15"/>
      <c r="N293" s="16"/>
      <c r="O293" s="17"/>
      <c r="P293" s="18"/>
    </row>
    <row r="294" spans="2:16">
      <c r="B294" s="10"/>
      <c r="H294" s="11"/>
      <c r="I294" s="12"/>
      <c r="J294" s="13"/>
      <c r="K294" s="14"/>
      <c r="L294" s="15"/>
      <c r="M294" s="15"/>
      <c r="N294" s="16"/>
      <c r="O294" s="17"/>
      <c r="P294" s="18"/>
    </row>
    <row r="295" spans="2:16">
      <c r="B295" s="10"/>
      <c r="H295" s="11"/>
      <c r="I295" s="12"/>
      <c r="J295" s="13"/>
      <c r="K295" s="14"/>
      <c r="L295" s="15"/>
      <c r="M295" s="15"/>
      <c r="N295" s="16"/>
      <c r="O295" s="17"/>
      <c r="P295" s="18"/>
    </row>
    <row r="296" spans="2:16">
      <c r="B296" s="10"/>
      <c r="H296" s="11"/>
      <c r="I296" s="12"/>
      <c r="J296" s="13"/>
      <c r="K296" s="14"/>
      <c r="L296" s="15"/>
      <c r="M296" s="15"/>
      <c r="N296" s="16"/>
      <c r="O296" s="17"/>
      <c r="P296" s="18"/>
    </row>
    <row r="297" spans="2:16">
      <c r="B297" s="10"/>
      <c r="H297" s="11"/>
      <c r="I297" s="12"/>
      <c r="J297" s="13"/>
      <c r="K297" s="14"/>
      <c r="L297" s="15"/>
      <c r="M297" s="15"/>
      <c r="N297" s="16"/>
      <c r="O297" s="17"/>
      <c r="P297" s="18"/>
    </row>
    <row r="298" spans="2:16">
      <c r="B298" s="10"/>
      <c r="H298" s="11"/>
      <c r="I298" s="12"/>
      <c r="J298" s="13"/>
      <c r="K298" s="14"/>
      <c r="L298" s="15"/>
      <c r="M298" s="15"/>
      <c r="N298" s="16"/>
      <c r="O298" s="17"/>
      <c r="P298" s="18"/>
    </row>
    <row r="299" spans="2:16">
      <c r="B299" s="10"/>
      <c r="H299" s="11"/>
      <c r="I299" s="12"/>
      <c r="J299" s="13"/>
      <c r="K299" s="14"/>
      <c r="L299" s="15"/>
      <c r="M299" s="15"/>
      <c r="N299" s="16"/>
      <c r="O299" s="17"/>
      <c r="P299" s="18"/>
    </row>
    <row r="300" spans="2:16">
      <c r="B300" s="10"/>
      <c r="H300" s="11"/>
      <c r="I300" s="12"/>
      <c r="J300" s="13"/>
      <c r="K300" s="14"/>
      <c r="L300" s="15"/>
      <c r="M300" s="15"/>
      <c r="N300" s="16"/>
      <c r="O300" s="17"/>
      <c r="P300" s="18"/>
    </row>
    <row r="301" spans="2:16">
      <c r="B301" s="10"/>
      <c r="H301" s="11"/>
      <c r="I301" s="12"/>
      <c r="J301" s="13"/>
      <c r="K301" s="14"/>
      <c r="L301" s="15"/>
      <c r="M301" s="15"/>
      <c r="N301" s="16"/>
      <c r="O301" s="17"/>
      <c r="P301" s="18"/>
    </row>
    <row r="302" spans="2:16">
      <c r="B302" s="10"/>
      <c r="H302" s="11"/>
      <c r="I302" s="12"/>
      <c r="J302" s="13"/>
      <c r="K302" s="14"/>
      <c r="L302" s="15"/>
      <c r="M302" s="15"/>
      <c r="N302" s="16"/>
      <c r="O302" s="17"/>
      <c r="P302" s="18"/>
    </row>
    <row r="303" spans="2:16">
      <c r="B303" s="10"/>
      <c r="H303" s="11"/>
      <c r="I303" s="12"/>
      <c r="J303" s="13"/>
      <c r="K303" s="14"/>
      <c r="L303" s="15"/>
      <c r="M303" s="15"/>
      <c r="N303" s="16"/>
      <c r="O303" s="17"/>
      <c r="P303" s="18"/>
    </row>
    <row r="304" spans="2:16">
      <c r="B304" s="10"/>
      <c r="H304" s="11"/>
      <c r="I304" s="12"/>
      <c r="J304" s="13"/>
      <c r="K304" s="14"/>
      <c r="L304" s="15"/>
      <c r="M304" s="15"/>
      <c r="N304" s="16"/>
      <c r="O304" s="17"/>
      <c r="P304" s="18"/>
    </row>
    <row r="305" spans="2:16">
      <c r="B305" s="10"/>
      <c r="H305" s="11"/>
      <c r="I305" s="12"/>
      <c r="J305" s="13"/>
      <c r="K305" s="14"/>
      <c r="L305" s="15"/>
      <c r="M305" s="15"/>
      <c r="N305" s="16"/>
      <c r="O305" s="17"/>
      <c r="P305" s="18"/>
    </row>
    <row r="306" spans="2:16">
      <c r="B306" s="10"/>
      <c r="H306" s="11"/>
      <c r="I306" s="12"/>
      <c r="J306" s="13"/>
      <c r="K306" s="14"/>
      <c r="L306" s="15"/>
      <c r="M306" s="15"/>
      <c r="N306" s="16"/>
      <c r="O306" s="17"/>
      <c r="P306" s="18"/>
    </row>
    <row r="307" spans="2:16">
      <c r="B307" s="10"/>
      <c r="H307" s="11"/>
      <c r="I307" s="12"/>
      <c r="J307" s="13"/>
      <c r="K307" s="14"/>
      <c r="L307" s="15"/>
      <c r="M307" s="15"/>
      <c r="N307" s="16"/>
      <c r="O307" s="17"/>
      <c r="P307" s="18"/>
    </row>
    <row r="308" spans="2:16">
      <c r="B308" s="10"/>
      <c r="H308" s="11"/>
      <c r="I308" s="12"/>
      <c r="J308" s="13"/>
      <c r="K308" s="14"/>
      <c r="L308" s="15"/>
      <c r="M308" s="15"/>
      <c r="N308" s="16"/>
      <c r="O308" s="17"/>
      <c r="P308" s="18"/>
    </row>
    <row r="309" spans="2:16">
      <c r="B309" s="10"/>
      <c r="H309" s="11"/>
      <c r="I309" s="12"/>
      <c r="J309" s="13"/>
      <c r="K309" s="14"/>
      <c r="L309" s="15"/>
      <c r="M309" s="15"/>
      <c r="N309" s="16"/>
      <c r="O309" s="17"/>
      <c r="P309" s="18"/>
    </row>
    <row r="310" spans="2:16">
      <c r="H310" s="11"/>
      <c r="I310" s="12"/>
      <c r="J310" s="13"/>
    </row>
    <row r="311" spans="2:16">
      <c r="H311" s="11"/>
      <c r="I311" s="12"/>
      <c r="J311" s="13"/>
    </row>
    <row r="312" spans="2:16">
      <c r="H312" s="11"/>
      <c r="I312" s="12"/>
      <c r="J312" s="13"/>
    </row>
    <row r="313" spans="2:16">
      <c r="H313" s="11"/>
      <c r="I313" s="12"/>
      <c r="J313" s="13"/>
    </row>
    <row r="314" spans="2:16">
      <c r="H314" s="11"/>
      <c r="I314" s="12"/>
      <c r="J314" s="13"/>
    </row>
    <row r="315" spans="2:16">
      <c r="H315" s="11"/>
      <c r="I315" s="12"/>
      <c r="J315" s="13"/>
    </row>
    <row r="316" spans="2:16">
      <c r="H316" s="11"/>
      <c r="I316" s="12"/>
      <c r="J316" s="13"/>
    </row>
    <row r="317" spans="2:16">
      <c r="H317" s="20"/>
      <c r="I317" s="12"/>
      <c r="J317" s="13"/>
    </row>
    <row r="318" spans="2:16">
      <c r="H318" s="20"/>
      <c r="I318" s="12"/>
      <c r="J318" s="13"/>
    </row>
    <row r="319" spans="2:16">
      <c r="H319" s="20"/>
      <c r="I319" s="12"/>
      <c r="J319" s="13"/>
    </row>
    <row r="320" spans="2:16">
      <c r="H320" s="20"/>
      <c r="I320" s="12"/>
      <c r="J320" s="13"/>
    </row>
    <row r="321" spans="8:10">
      <c r="H321" s="20"/>
      <c r="I321" s="12"/>
      <c r="J321" s="13"/>
    </row>
    <row r="322" spans="8:10">
      <c r="H322" s="20"/>
      <c r="I322" s="12"/>
      <c r="J322" s="13"/>
    </row>
  </sheetData>
  <autoFilter ref="A3:Q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35" bestFit="1" customWidth="1"/>
    <col min="4" max="4" width="30.7265625" style="35" bestFit="1" customWidth="1"/>
    <col min="5" max="5" width="12.6328125" style="35" bestFit="1" customWidth="1"/>
    <col min="6" max="6" width="19.6328125" style="35" bestFit="1" customWidth="1"/>
    <col min="7" max="7" width="22.6328125" style="35" bestFit="1" customWidth="1"/>
    <col min="8" max="8" width="23.7265625" style="35" bestFit="1" customWidth="1"/>
    <col min="9" max="9" width="26.7265625" style="35" bestFit="1" customWidth="1"/>
    <col min="10" max="10" width="22.26953125" style="35" bestFit="1" customWidth="1"/>
    <col min="11" max="11" width="22.7265625" style="35" bestFit="1" customWidth="1"/>
    <col min="12" max="12" width="20.36328125" style="35" bestFit="1" customWidth="1"/>
    <col min="13" max="13" width="23.36328125" style="35" bestFit="1" customWidth="1"/>
    <col min="14" max="14" width="29.90625" style="35" bestFit="1" customWidth="1"/>
    <col min="15" max="15" width="29.08984375" style="35" bestFit="1" customWidth="1"/>
    <col min="16" max="16" width="26.1796875" style="35" bestFit="1" customWidth="1"/>
    <col min="17" max="17" width="22.453125" style="35" bestFit="1" customWidth="1"/>
    <col min="18" max="18" width="28.81640625" style="35" bestFit="1" customWidth="1"/>
    <col min="19" max="19" width="12.54296875" style="35" bestFit="1" customWidth="1"/>
    <col min="20" max="20" width="20.54296875" style="35" bestFit="1" customWidth="1"/>
    <col min="21" max="21" width="19.7265625" style="35" bestFit="1" customWidth="1"/>
    <col min="22" max="22" width="18.1796875" style="35" bestFit="1" customWidth="1"/>
    <col min="23" max="23" width="10.54296875" style="35" bestFit="1" customWidth="1"/>
    <col min="24" max="24" width="20.81640625" style="35" bestFit="1" customWidth="1"/>
    <col min="25" max="25" width="20.36328125" style="35" bestFit="1" customWidth="1"/>
    <col min="26" max="26" width="19.54296875" style="35" bestFit="1" customWidth="1"/>
    <col min="27" max="27" width="22.54296875" style="35" bestFit="1" customWidth="1"/>
    <col min="28" max="28" width="18.81640625" style="35" bestFit="1" customWidth="1"/>
    <col min="29" max="29" width="22" style="35" bestFit="1" customWidth="1"/>
    <col min="30" max="30" width="15.7265625" style="35" bestFit="1" customWidth="1"/>
    <col min="31" max="31" width="28" style="35" bestFit="1" customWidth="1"/>
    <col min="32" max="32" width="21.81640625" style="35" bestFit="1" customWidth="1"/>
    <col min="33" max="33" width="20.7265625" style="35" bestFit="1" customWidth="1"/>
    <col min="34" max="34" width="22.1796875" style="35" bestFit="1" customWidth="1"/>
    <col min="35" max="35" width="17.54296875" style="35" bestFit="1" customWidth="1"/>
    <col min="36" max="36" width="21.7265625" style="35" bestFit="1" customWidth="1"/>
    <col min="37" max="37" width="20.08984375" style="35" bestFit="1" customWidth="1"/>
    <col min="38" max="38" width="18" style="35" bestFit="1" customWidth="1"/>
    <col min="39" max="39" width="28.08984375" style="35" bestFit="1" customWidth="1"/>
    <col min="40" max="40" width="26.54296875" style="35" bestFit="1" customWidth="1"/>
    <col min="41" max="41" width="21.1796875" style="35" bestFit="1" customWidth="1"/>
    <col min="42" max="42" width="18" style="35" bestFit="1" customWidth="1"/>
    <col min="43" max="43" width="28.08984375" style="35" bestFit="1" customWidth="1"/>
    <col min="44" max="44" width="26.54296875" style="35" bestFit="1" customWidth="1"/>
    <col min="45" max="45" width="13.36328125" style="35" bestFit="1" customWidth="1"/>
    <col min="46" max="46" width="16.26953125" style="35" bestFit="1" customWidth="1"/>
    <col min="47" max="47" width="22.81640625" style="35" bestFit="1" customWidth="1"/>
    <col min="48" max="48" width="26.90625" style="35" bestFit="1" customWidth="1"/>
    <col min="49" max="49" width="6.54296875" style="35" bestFit="1" customWidth="1"/>
    <col min="50" max="50" width="25.90625" style="35" bestFit="1" customWidth="1"/>
    <col min="51" max="51" width="26.26953125" style="35" bestFit="1" customWidth="1"/>
    <col min="52" max="52" width="18.90625" style="35" bestFit="1" customWidth="1"/>
    <col min="53" max="53" width="19.6328125" style="35" bestFit="1" customWidth="1"/>
  </cols>
  <sheetData>
    <row r="1" spans="1:53">
      <c r="A1" s="28"/>
      <c r="B1" s="28"/>
      <c r="C1" s="29"/>
      <c r="D1" s="29"/>
      <c r="E1" s="30" t="s">
        <v>12</v>
      </c>
      <c r="F1" s="30" t="s">
        <v>13</v>
      </c>
      <c r="G1" s="30" t="s">
        <v>14</v>
      </c>
      <c r="H1" s="30" t="s">
        <v>15</v>
      </c>
      <c r="I1" s="30" t="s">
        <v>16</v>
      </c>
      <c r="J1" s="30" t="s">
        <v>17</v>
      </c>
      <c r="K1" s="30" t="s">
        <v>18</v>
      </c>
      <c r="L1" s="30" t="s">
        <v>19</v>
      </c>
      <c r="M1" s="30" t="s">
        <v>20</v>
      </c>
      <c r="N1" s="30" t="s">
        <v>21</v>
      </c>
      <c r="O1" s="30" t="s">
        <v>22</v>
      </c>
      <c r="P1" s="30" t="s">
        <v>23</v>
      </c>
      <c r="Q1" s="30" t="s">
        <v>24</v>
      </c>
      <c r="R1" s="30" t="s">
        <v>25</v>
      </c>
      <c r="S1" s="30" t="s">
        <v>10</v>
      </c>
      <c r="T1" s="30" t="s">
        <v>26</v>
      </c>
      <c r="U1" s="30" t="s">
        <v>27</v>
      </c>
      <c r="V1" s="30" t="s">
        <v>28</v>
      </c>
      <c r="W1" s="30" t="s">
        <v>29</v>
      </c>
      <c r="X1" s="30" t="s">
        <v>30</v>
      </c>
      <c r="Y1" s="30" t="s">
        <v>31</v>
      </c>
      <c r="Z1" s="30" t="s">
        <v>32</v>
      </c>
      <c r="AA1" s="30" t="s">
        <v>33</v>
      </c>
      <c r="AB1" s="30" t="s">
        <v>34</v>
      </c>
      <c r="AC1" s="30" t="s">
        <v>35</v>
      </c>
      <c r="AD1" s="30" t="s">
        <v>36</v>
      </c>
      <c r="AE1" s="30" t="s">
        <v>37</v>
      </c>
      <c r="AF1" s="30" t="s">
        <v>38</v>
      </c>
      <c r="AG1" s="30" t="s">
        <v>39</v>
      </c>
      <c r="AH1" s="30" t="s">
        <v>40</v>
      </c>
      <c r="AI1" s="30" t="s">
        <v>41</v>
      </c>
      <c r="AJ1" s="30" t="s">
        <v>42</v>
      </c>
      <c r="AK1" s="30" t="s">
        <v>43</v>
      </c>
      <c r="AL1" s="30" t="s">
        <v>44</v>
      </c>
      <c r="AM1" s="30" t="s">
        <v>45</v>
      </c>
      <c r="AN1" s="30" t="s">
        <v>46</v>
      </c>
      <c r="AO1" s="30" t="s">
        <v>47</v>
      </c>
      <c r="AP1" s="30" t="s">
        <v>48</v>
      </c>
      <c r="AQ1" s="30" t="s">
        <v>49</v>
      </c>
      <c r="AR1" s="30" t="s">
        <v>50</v>
      </c>
      <c r="AS1" s="30" t="s">
        <v>51</v>
      </c>
      <c r="AT1" s="30" t="s">
        <v>52</v>
      </c>
      <c r="AU1" s="30" t="s">
        <v>53</v>
      </c>
      <c r="AV1" s="30" t="s">
        <v>54</v>
      </c>
      <c r="AW1" s="30" t="s">
        <v>55</v>
      </c>
      <c r="AX1" s="30" t="s">
        <v>56</v>
      </c>
      <c r="AY1" s="30" t="s">
        <v>57</v>
      </c>
      <c r="AZ1" s="30" t="s">
        <v>58</v>
      </c>
      <c r="BA1" s="30" t="s">
        <v>13</v>
      </c>
    </row>
    <row r="2" spans="1:53">
      <c r="A2" s="31" t="s">
        <v>59</v>
      </c>
      <c r="B2" s="31" t="s">
        <v>60</v>
      </c>
      <c r="C2" s="32" t="s">
        <v>61</v>
      </c>
      <c r="D2" s="32" t="s">
        <v>62</v>
      </c>
      <c r="E2" s="32" t="s">
        <v>63</v>
      </c>
      <c r="F2" s="32" t="s">
        <v>63</v>
      </c>
      <c r="G2" s="32" t="s">
        <v>63</v>
      </c>
      <c r="H2" s="32" t="s">
        <v>63</v>
      </c>
      <c r="I2" s="32" t="s">
        <v>63</v>
      </c>
      <c r="J2" s="32" t="s">
        <v>63</v>
      </c>
      <c r="K2" s="32" t="s">
        <v>63</v>
      </c>
      <c r="L2" s="32" t="s">
        <v>63</v>
      </c>
      <c r="M2" s="32" t="s">
        <v>63</v>
      </c>
      <c r="N2" s="32" t="s">
        <v>63</v>
      </c>
      <c r="O2" s="32" t="s">
        <v>63</v>
      </c>
      <c r="P2" s="32" t="s">
        <v>63</v>
      </c>
      <c r="Q2" s="32" t="s">
        <v>63</v>
      </c>
      <c r="R2" s="32" t="s">
        <v>63</v>
      </c>
      <c r="S2" s="32" t="s">
        <v>63</v>
      </c>
      <c r="T2" s="32" t="s">
        <v>63</v>
      </c>
      <c r="U2" s="32" t="s">
        <v>63</v>
      </c>
      <c r="V2" s="32" t="s">
        <v>63</v>
      </c>
      <c r="W2" s="32" t="s">
        <v>63</v>
      </c>
      <c r="X2" s="32" t="s">
        <v>63</v>
      </c>
      <c r="Y2" s="32" t="s">
        <v>63</v>
      </c>
      <c r="Z2" s="32" t="s">
        <v>63</v>
      </c>
      <c r="AA2" s="32" t="s">
        <v>63</v>
      </c>
      <c r="AB2" s="32" t="s">
        <v>63</v>
      </c>
      <c r="AC2" s="32" t="s">
        <v>63</v>
      </c>
      <c r="AD2" s="32" t="s">
        <v>63</v>
      </c>
      <c r="AE2" s="32" t="s">
        <v>63</v>
      </c>
      <c r="AF2" s="32" t="s">
        <v>63</v>
      </c>
      <c r="AG2" s="32" t="s">
        <v>63</v>
      </c>
      <c r="AH2" s="32" t="s">
        <v>63</v>
      </c>
      <c r="AI2" s="32" t="s">
        <v>63</v>
      </c>
      <c r="AJ2" s="32" t="s">
        <v>63</v>
      </c>
      <c r="AK2" s="32" t="s">
        <v>63</v>
      </c>
      <c r="AL2" s="32" t="s">
        <v>63</v>
      </c>
      <c r="AM2" s="32" t="s">
        <v>63</v>
      </c>
      <c r="AN2" s="32" t="s">
        <v>63</v>
      </c>
      <c r="AO2" s="32" t="s">
        <v>63</v>
      </c>
      <c r="AP2" s="32" t="s">
        <v>63</v>
      </c>
      <c r="AQ2" s="32" t="s">
        <v>63</v>
      </c>
      <c r="AR2" s="32" t="s">
        <v>63</v>
      </c>
      <c r="AS2" s="32" t="s">
        <v>63</v>
      </c>
      <c r="AT2" s="32" t="s">
        <v>63</v>
      </c>
      <c r="AU2" s="32" t="s">
        <v>63</v>
      </c>
      <c r="AV2" s="32" t="s">
        <v>63</v>
      </c>
      <c r="AW2" s="32" t="s">
        <v>63</v>
      </c>
      <c r="AX2" s="32" t="s">
        <v>63</v>
      </c>
      <c r="AY2" s="32" t="s">
        <v>63</v>
      </c>
      <c r="AZ2" s="32" t="s">
        <v>63</v>
      </c>
      <c r="BA2" s="32" t="s">
        <v>63</v>
      </c>
    </row>
    <row r="3" spans="1:53">
      <c r="A3" s="33" t="s">
        <v>64</v>
      </c>
      <c r="B3" s="33" t="s">
        <v>3</v>
      </c>
      <c r="C3" s="30" t="s">
        <v>2</v>
      </c>
      <c r="D3" s="34" t="s">
        <v>65</v>
      </c>
      <c r="E3" s="35">
        <v>78</v>
      </c>
      <c r="F3" s="35">
        <v>28</v>
      </c>
      <c r="G3" s="35">
        <v>0.35897435897435898</v>
      </c>
      <c r="H3" s="35">
        <v>0</v>
      </c>
      <c r="I3" s="35">
        <v>0</v>
      </c>
      <c r="J3" s="35">
        <v>11</v>
      </c>
      <c r="K3" s="35">
        <v>0.14102564102564102</v>
      </c>
      <c r="L3" s="35">
        <v>5</v>
      </c>
      <c r="M3" s="35">
        <v>4</v>
      </c>
      <c r="N3" s="35">
        <v>0</v>
      </c>
      <c r="O3" s="35">
        <v>0</v>
      </c>
      <c r="P3" s="35">
        <v>62</v>
      </c>
      <c r="Q3" s="35">
        <v>3</v>
      </c>
      <c r="R3" s="35">
        <v>1</v>
      </c>
      <c r="T3" s="35">
        <v>126853000</v>
      </c>
      <c r="U3" s="35">
        <v>31417500</v>
      </c>
      <c r="V3" s="35">
        <v>0</v>
      </c>
      <c r="W3" s="35">
        <v>-0.75233143875194119</v>
      </c>
      <c r="Y3" s="35">
        <v>57</v>
      </c>
      <c r="Z3" s="35">
        <v>150</v>
      </c>
      <c r="AA3" s="35">
        <v>0</v>
      </c>
      <c r="AB3" s="35">
        <v>1.6315789473684212</v>
      </c>
      <c r="AC3" s="35">
        <v>0</v>
      </c>
      <c r="AD3" s="35">
        <v>0</v>
      </c>
      <c r="AE3" s="35">
        <v>0</v>
      </c>
      <c r="AF3" s="35">
        <v>0</v>
      </c>
      <c r="AG3" s="35">
        <v>34</v>
      </c>
      <c r="AH3" s="35">
        <v>34</v>
      </c>
      <c r="AI3" s="35">
        <v>25</v>
      </c>
      <c r="AJ3" s="35">
        <v>25</v>
      </c>
      <c r="AK3" s="35">
        <v>0</v>
      </c>
      <c r="AL3" s="35">
        <v>16</v>
      </c>
      <c r="AM3" s="35">
        <v>16</v>
      </c>
      <c r="AN3" s="35">
        <v>0</v>
      </c>
      <c r="AO3" s="35">
        <v>0</v>
      </c>
      <c r="AP3" s="35">
        <v>18</v>
      </c>
      <c r="AQ3" s="35">
        <v>18</v>
      </c>
      <c r="AR3" s="35">
        <v>0</v>
      </c>
      <c r="AS3" s="35">
        <v>155</v>
      </c>
      <c r="AT3" s="35">
        <v>4</v>
      </c>
      <c r="AU3" s="35">
        <v>0</v>
      </c>
      <c r="AV3" s="35">
        <v>58.325000000000003</v>
      </c>
      <c r="AW3" s="35">
        <v>0</v>
      </c>
      <c r="AX3" s="35">
        <v>0</v>
      </c>
      <c r="AY3" s="35">
        <v>0</v>
      </c>
      <c r="AZ3" s="35">
        <v>0</v>
      </c>
      <c r="BA3" s="35">
        <v>28</v>
      </c>
    </row>
    <row r="4" spans="1:53">
      <c r="A4" s="33" t="s">
        <v>64</v>
      </c>
      <c r="B4" s="33" t="s">
        <v>3</v>
      </c>
      <c r="C4" s="30" t="s">
        <v>4</v>
      </c>
      <c r="D4" s="34" t="s">
        <v>66</v>
      </c>
      <c r="E4" s="35">
        <v>89</v>
      </c>
      <c r="F4" s="35">
        <v>45</v>
      </c>
      <c r="G4" s="35">
        <v>0.5056179775280899</v>
      </c>
      <c r="H4" s="35">
        <v>7</v>
      </c>
      <c r="I4" s="35">
        <v>0.13461538461538461</v>
      </c>
      <c r="J4" s="35">
        <v>9</v>
      </c>
      <c r="K4" s="35">
        <v>0.10112359550561797</v>
      </c>
      <c r="L4" s="35">
        <v>14</v>
      </c>
      <c r="M4" s="35">
        <v>4</v>
      </c>
      <c r="N4" s="35">
        <v>0</v>
      </c>
      <c r="O4" s="35">
        <v>0</v>
      </c>
      <c r="P4" s="35">
        <v>45</v>
      </c>
      <c r="Q4" s="35">
        <v>1</v>
      </c>
      <c r="R4" s="35">
        <v>1</v>
      </c>
      <c r="T4" s="35">
        <v>103714750</v>
      </c>
      <c r="U4" s="35">
        <v>24432000</v>
      </c>
      <c r="V4" s="35">
        <v>0</v>
      </c>
      <c r="W4" s="35">
        <v>-0.76443080661140295</v>
      </c>
      <c r="Y4" s="35">
        <v>216</v>
      </c>
      <c r="Z4" s="35">
        <v>31</v>
      </c>
      <c r="AA4" s="35">
        <v>0</v>
      </c>
      <c r="AB4" s="35">
        <v>-0.85648148148148151</v>
      </c>
      <c r="AC4" s="35">
        <v>0</v>
      </c>
      <c r="AD4" s="35">
        <v>0</v>
      </c>
      <c r="AE4" s="35">
        <v>0</v>
      </c>
      <c r="AF4" s="35">
        <v>0</v>
      </c>
      <c r="AG4" s="35">
        <v>43</v>
      </c>
      <c r="AH4" s="35">
        <v>43</v>
      </c>
      <c r="AI4" s="35">
        <v>30</v>
      </c>
      <c r="AJ4" s="35">
        <v>30</v>
      </c>
      <c r="AK4" s="35">
        <v>0</v>
      </c>
      <c r="AL4" s="35">
        <v>26</v>
      </c>
      <c r="AM4" s="35">
        <v>26</v>
      </c>
      <c r="AN4" s="35">
        <v>0</v>
      </c>
      <c r="AO4" s="35">
        <v>0</v>
      </c>
      <c r="AP4" s="35">
        <v>26</v>
      </c>
      <c r="AQ4" s="35">
        <v>26</v>
      </c>
      <c r="AR4" s="35">
        <v>0</v>
      </c>
      <c r="AS4" s="35">
        <v>84</v>
      </c>
      <c r="AT4" s="35">
        <v>5</v>
      </c>
      <c r="AU4" s="35">
        <v>0</v>
      </c>
      <c r="AV4" s="35">
        <v>10.421052632</v>
      </c>
      <c r="AW4" s="35">
        <v>0</v>
      </c>
      <c r="AX4" s="35">
        <v>2</v>
      </c>
      <c r="AY4" s="35">
        <v>775000</v>
      </c>
      <c r="AZ4" s="35">
        <v>0</v>
      </c>
      <c r="BA4" s="35">
        <v>45</v>
      </c>
    </row>
    <row r="5" spans="1:53">
      <c r="A5" s="33" t="s">
        <v>64</v>
      </c>
      <c r="B5" s="33" t="s">
        <v>3</v>
      </c>
      <c r="C5" s="30" t="s">
        <v>5</v>
      </c>
      <c r="D5" s="34" t="s">
        <v>65</v>
      </c>
      <c r="E5" s="35">
        <v>50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1</v>
      </c>
      <c r="N5" s="35">
        <v>0</v>
      </c>
      <c r="O5" s="35">
        <v>0</v>
      </c>
      <c r="P5" s="35">
        <v>49</v>
      </c>
      <c r="Q5" s="35">
        <v>5</v>
      </c>
      <c r="R5" s="35">
        <v>1</v>
      </c>
      <c r="T5" s="35">
        <v>800000</v>
      </c>
      <c r="U5" s="35">
        <v>0</v>
      </c>
      <c r="V5" s="35">
        <v>0</v>
      </c>
      <c r="W5" s="35">
        <v>-1</v>
      </c>
      <c r="Y5" s="35">
        <v>0</v>
      </c>
      <c r="Z5" s="35">
        <v>0</v>
      </c>
      <c r="AA5" s="35">
        <v>0</v>
      </c>
      <c r="AB5" s="35">
        <v>-1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v>0</v>
      </c>
      <c r="AI5" s="35">
        <v>5</v>
      </c>
      <c r="AJ5" s="35">
        <v>5</v>
      </c>
      <c r="AK5" s="35">
        <v>0</v>
      </c>
      <c r="AL5" s="35">
        <v>5</v>
      </c>
      <c r="AM5" s="35">
        <v>5</v>
      </c>
      <c r="AN5" s="35">
        <v>0</v>
      </c>
      <c r="AO5" s="35">
        <v>0</v>
      </c>
      <c r="AP5" s="35">
        <v>5</v>
      </c>
      <c r="AQ5" s="35">
        <v>5</v>
      </c>
      <c r="AR5" s="35">
        <v>0</v>
      </c>
      <c r="AS5" s="35">
        <v>0</v>
      </c>
      <c r="AT5" s="35">
        <v>1</v>
      </c>
      <c r="AU5" s="35">
        <v>0</v>
      </c>
      <c r="AV5" s="35">
        <v>0</v>
      </c>
      <c r="AW5" s="35">
        <v>0</v>
      </c>
      <c r="AX5" s="35">
        <v>0</v>
      </c>
      <c r="AY5" s="35">
        <v>0</v>
      </c>
      <c r="AZ5" s="35">
        <v>0</v>
      </c>
      <c r="BA5" s="35">
        <v>0</v>
      </c>
    </row>
    <row r="6" spans="1:53">
      <c r="A6" s="33" t="s">
        <v>64</v>
      </c>
      <c r="B6" s="33" t="s">
        <v>3</v>
      </c>
      <c r="C6" s="30" t="s">
        <v>6</v>
      </c>
      <c r="D6" s="34" t="s">
        <v>66</v>
      </c>
      <c r="E6" s="35">
        <v>59</v>
      </c>
      <c r="F6" s="35">
        <v>29</v>
      </c>
      <c r="G6" s="35">
        <v>0.49152542372881358</v>
      </c>
      <c r="H6" s="35">
        <v>2</v>
      </c>
      <c r="I6" s="35">
        <v>6.4516129032258063E-2</v>
      </c>
      <c r="J6" s="35">
        <v>15</v>
      </c>
      <c r="K6" s="35">
        <v>0.25423728813559321</v>
      </c>
      <c r="L6" s="35">
        <v>1</v>
      </c>
      <c r="M6" s="35">
        <v>0</v>
      </c>
      <c r="N6" s="35">
        <v>0</v>
      </c>
      <c r="O6" s="35">
        <v>0</v>
      </c>
      <c r="P6" s="35">
        <v>33</v>
      </c>
      <c r="Q6" s="35">
        <v>4</v>
      </c>
      <c r="R6" s="35">
        <v>3</v>
      </c>
      <c r="T6" s="35">
        <v>25916000</v>
      </c>
      <c r="U6" s="35">
        <v>16543200</v>
      </c>
      <c r="V6" s="35">
        <v>0</v>
      </c>
      <c r="W6" s="35">
        <v>-0.3616607501157586</v>
      </c>
      <c r="Y6" s="35">
        <v>68</v>
      </c>
      <c r="Z6" s="35">
        <v>0</v>
      </c>
      <c r="AA6" s="35">
        <v>0</v>
      </c>
      <c r="AB6" s="35">
        <v>-1</v>
      </c>
      <c r="AC6" s="35">
        <v>0</v>
      </c>
      <c r="AD6" s="35">
        <v>0</v>
      </c>
      <c r="AE6" s="35">
        <v>0</v>
      </c>
      <c r="AF6" s="35">
        <v>0</v>
      </c>
      <c r="AG6" s="35">
        <v>50</v>
      </c>
      <c r="AH6" s="35">
        <v>50</v>
      </c>
      <c r="AI6" s="35">
        <v>3</v>
      </c>
      <c r="AJ6" s="35">
        <v>2</v>
      </c>
      <c r="AK6" s="35">
        <v>1</v>
      </c>
      <c r="AL6" s="35">
        <v>1</v>
      </c>
      <c r="AM6" s="35">
        <v>1</v>
      </c>
      <c r="AN6" s="35">
        <v>0</v>
      </c>
      <c r="AO6" s="35">
        <v>0</v>
      </c>
      <c r="AP6" s="35">
        <v>2</v>
      </c>
      <c r="AQ6" s="35">
        <v>2</v>
      </c>
      <c r="AR6" s="35">
        <v>0</v>
      </c>
      <c r="AS6" s="35">
        <v>1</v>
      </c>
      <c r="AT6" s="35">
        <v>0</v>
      </c>
      <c r="AU6" s="35">
        <v>0</v>
      </c>
      <c r="AV6" s="35">
        <v>14.433734940000001</v>
      </c>
      <c r="AW6" s="35">
        <v>0</v>
      </c>
      <c r="AX6" s="35">
        <v>0</v>
      </c>
      <c r="AY6" s="35">
        <v>0</v>
      </c>
      <c r="AZ6" s="35">
        <v>0</v>
      </c>
      <c r="BA6" s="35">
        <v>29</v>
      </c>
    </row>
    <row r="7" spans="1:53">
      <c r="A7" s="33" t="s">
        <v>64</v>
      </c>
      <c r="B7" s="33" t="s">
        <v>3</v>
      </c>
      <c r="C7" s="30" t="s">
        <v>7</v>
      </c>
      <c r="D7" s="34" t="s">
        <v>66</v>
      </c>
      <c r="E7" s="35">
        <v>60</v>
      </c>
      <c r="F7" s="35">
        <v>24</v>
      </c>
      <c r="G7" s="35">
        <v>0.4</v>
      </c>
      <c r="H7" s="35">
        <v>2</v>
      </c>
      <c r="I7" s="35">
        <v>7.6923076923076927E-2</v>
      </c>
      <c r="J7" s="35">
        <v>11</v>
      </c>
      <c r="K7" s="35">
        <v>0.18333333333333332</v>
      </c>
      <c r="L7" s="35">
        <v>6</v>
      </c>
      <c r="M7" s="35">
        <v>6</v>
      </c>
      <c r="N7" s="35">
        <v>0</v>
      </c>
      <c r="O7" s="35">
        <v>0</v>
      </c>
      <c r="P7" s="35">
        <v>18</v>
      </c>
      <c r="Q7" s="35">
        <v>3</v>
      </c>
      <c r="R7" s="35">
        <v>1</v>
      </c>
      <c r="T7" s="35">
        <v>35973250</v>
      </c>
      <c r="U7" s="35">
        <v>58965500</v>
      </c>
      <c r="V7" s="35">
        <v>0</v>
      </c>
      <c r="W7" s="35">
        <v>0.63914853398011018</v>
      </c>
      <c r="Y7" s="35">
        <v>118</v>
      </c>
      <c r="Z7" s="35">
        <v>4</v>
      </c>
      <c r="AA7" s="35">
        <v>0</v>
      </c>
      <c r="AB7" s="35">
        <v>-0.96610169491525422</v>
      </c>
      <c r="AC7" s="35">
        <v>0</v>
      </c>
      <c r="AD7" s="35">
        <v>0</v>
      </c>
      <c r="AE7" s="35">
        <v>0</v>
      </c>
      <c r="AF7" s="35">
        <v>0</v>
      </c>
      <c r="AG7" s="35">
        <v>32</v>
      </c>
      <c r="AH7" s="35">
        <v>32</v>
      </c>
      <c r="AI7" s="35">
        <v>26</v>
      </c>
      <c r="AJ7" s="35">
        <v>23</v>
      </c>
      <c r="AK7" s="35">
        <v>3</v>
      </c>
      <c r="AL7" s="35">
        <v>10</v>
      </c>
      <c r="AM7" s="35">
        <v>10</v>
      </c>
      <c r="AN7" s="35">
        <v>0</v>
      </c>
      <c r="AO7" s="35">
        <v>0</v>
      </c>
      <c r="AP7" s="35">
        <v>18</v>
      </c>
      <c r="AQ7" s="35">
        <v>18</v>
      </c>
      <c r="AR7" s="35">
        <v>0</v>
      </c>
      <c r="AS7" s="35">
        <v>16</v>
      </c>
      <c r="AT7" s="35">
        <v>10</v>
      </c>
      <c r="AU7" s="35">
        <v>0</v>
      </c>
      <c r="AV7" s="35">
        <v>37.696969697</v>
      </c>
      <c r="AW7" s="35">
        <v>0</v>
      </c>
      <c r="AX7" s="35">
        <v>0</v>
      </c>
      <c r="AY7" s="35">
        <v>0</v>
      </c>
      <c r="AZ7" s="35">
        <v>0</v>
      </c>
      <c r="BA7" s="35">
        <v>24</v>
      </c>
    </row>
    <row r="8" spans="1:53">
      <c r="A8" s="33" t="s">
        <v>64</v>
      </c>
      <c r="B8" s="33" t="s">
        <v>67</v>
      </c>
      <c r="C8" s="30" t="s">
        <v>68</v>
      </c>
      <c r="D8" s="34" t="s">
        <v>69</v>
      </c>
      <c r="E8" s="35">
        <v>57</v>
      </c>
      <c r="F8" s="35">
        <v>14</v>
      </c>
      <c r="G8" s="35">
        <v>0.24561403508771928</v>
      </c>
      <c r="H8" s="35">
        <v>3</v>
      </c>
      <c r="I8" s="35">
        <v>0.17647058823529413</v>
      </c>
      <c r="J8" s="35">
        <v>5</v>
      </c>
      <c r="K8" s="35">
        <v>8.771929824561403E-2</v>
      </c>
      <c r="L8" s="35">
        <v>10</v>
      </c>
      <c r="M8" s="35">
        <v>1</v>
      </c>
      <c r="N8" s="35">
        <v>0</v>
      </c>
      <c r="O8" s="35">
        <v>0</v>
      </c>
      <c r="P8" s="35">
        <v>36</v>
      </c>
      <c r="Q8" s="35">
        <v>2</v>
      </c>
      <c r="R8" s="35">
        <v>3</v>
      </c>
      <c r="T8" s="35">
        <v>3503000</v>
      </c>
      <c r="U8" s="35">
        <v>1863000</v>
      </c>
      <c r="V8" s="35">
        <v>0</v>
      </c>
      <c r="W8" s="35">
        <v>-0.46817013988010281</v>
      </c>
      <c r="Y8" s="35">
        <v>0</v>
      </c>
      <c r="Z8" s="35">
        <v>11</v>
      </c>
      <c r="AA8" s="35">
        <v>0</v>
      </c>
      <c r="AB8" s="35">
        <v>-1</v>
      </c>
      <c r="AC8" s="35">
        <v>0</v>
      </c>
      <c r="AD8" s="35">
        <v>0</v>
      </c>
      <c r="AE8" s="35">
        <v>0</v>
      </c>
      <c r="AF8" s="35">
        <v>0</v>
      </c>
      <c r="AG8" s="35">
        <v>15</v>
      </c>
      <c r="AH8" s="35">
        <v>15</v>
      </c>
      <c r="AI8" s="35">
        <v>19</v>
      </c>
      <c r="AJ8" s="35">
        <v>19</v>
      </c>
      <c r="AK8" s="35">
        <v>0</v>
      </c>
      <c r="AL8" s="35">
        <v>13</v>
      </c>
      <c r="AM8" s="35">
        <v>13</v>
      </c>
      <c r="AN8" s="35">
        <v>0</v>
      </c>
      <c r="AO8" s="35">
        <v>0</v>
      </c>
      <c r="AP8" s="35">
        <v>15</v>
      </c>
      <c r="AQ8" s="35">
        <v>15</v>
      </c>
      <c r="AR8" s="35">
        <v>0</v>
      </c>
      <c r="AS8" s="35">
        <v>69</v>
      </c>
      <c r="AT8" s="35">
        <v>2</v>
      </c>
      <c r="AU8" s="35">
        <v>0</v>
      </c>
      <c r="AV8" s="35">
        <v>50.444444443999998</v>
      </c>
      <c r="AW8" s="35">
        <v>0</v>
      </c>
      <c r="AX8" s="35">
        <v>1</v>
      </c>
      <c r="AY8" s="35">
        <v>200000</v>
      </c>
      <c r="AZ8" s="35">
        <v>15171274.851989249</v>
      </c>
      <c r="BA8" s="35">
        <v>14</v>
      </c>
    </row>
    <row r="9" spans="1:53">
      <c r="A9" s="33" t="s">
        <v>64</v>
      </c>
      <c r="B9" s="33" t="s">
        <v>67</v>
      </c>
      <c r="C9" s="30" t="s">
        <v>70</v>
      </c>
      <c r="D9" s="34" t="s">
        <v>69</v>
      </c>
      <c r="E9" s="35">
        <v>50</v>
      </c>
      <c r="F9" s="35">
        <v>45</v>
      </c>
      <c r="G9" s="35">
        <v>0.9</v>
      </c>
      <c r="H9" s="35">
        <v>0</v>
      </c>
      <c r="I9" s="35">
        <v>0</v>
      </c>
      <c r="J9" s="35">
        <v>30</v>
      </c>
      <c r="K9" s="35">
        <v>0.6</v>
      </c>
      <c r="L9" s="35">
        <v>7</v>
      </c>
      <c r="M9" s="35">
        <v>0</v>
      </c>
      <c r="N9" s="35">
        <v>0</v>
      </c>
      <c r="O9" s="35">
        <v>0</v>
      </c>
      <c r="P9" s="35">
        <v>20</v>
      </c>
      <c r="Q9" s="35">
        <v>0</v>
      </c>
      <c r="R9" s="35">
        <v>0</v>
      </c>
      <c r="T9" s="35">
        <v>8527000</v>
      </c>
      <c r="U9" s="35">
        <v>5975100</v>
      </c>
      <c r="V9" s="35">
        <v>0</v>
      </c>
      <c r="W9" s="35">
        <v>-0.2992728978538759</v>
      </c>
      <c r="Y9" s="35">
        <v>0</v>
      </c>
      <c r="Z9" s="35">
        <v>30</v>
      </c>
      <c r="AA9" s="35">
        <v>0</v>
      </c>
      <c r="AB9" s="35">
        <v>-1</v>
      </c>
      <c r="AC9" s="35">
        <v>0</v>
      </c>
      <c r="AD9" s="35">
        <v>0</v>
      </c>
      <c r="AE9" s="35">
        <v>0</v>
      </c>
      <c r="AF9" s="35">
        <v>1</v>
      </c>
      <c r="AG9" s="35">
        <v>42</v>
      </c>
      <c r="AH9" s="35">
        <v>42</v>
      </c>
      <c r="AI9" s="35">
        <v>9</v>
      </c>
      <c r="AJ9" s="35">
        <v>9</v>
      </c>
      <c r="AK9" s="35">
        <v>0</v>
      </c>
      <c r="AL9" s="35">
        <v>6</v>
      </c>
      <c r="AM9" s="35">
        <v>6</v>
      </c>
      <c r="AN9" s="35">
        <v>0</v>
      </c>
      <c r="AO9" s="35">
        <v>0</v>
      </c>
      <c r="AP9" s="35">
        <v>7</v>
      </c>
      <c r="AQ9" s="35">
        <v>7</v>
      </c>
      <c r="AR9" s="35">
        <v>0</v>
      </c>
      <c r="AS9" s="35">
        <v>54</v>
      </c>
      <c r="AT9" s="35">
        <v>0</v>
      </c>
      <c r="AU9" s="35">
        <v>0</v>
      </c>
      <c r="AV9" s="35">
        <v>9.8666666670000005</v>
      </c>
      <c r="AW9" s="35">
        <v>0</v>
      </c>
      <c r="AX9" s="35">
        <v>0</v>
      </c>
      <c r="AY9" s="35">
        <v>0</v>
      </c>
      <c r="AZ9" s="35">
        <v>40346489.739149243</v>
      </c>
      <c r="BA9" s="35">
        <v>45</v>
      </c>
    </row>
    <row r="10" spans="1:53">
      <c r="A10" s="33" t="s">
        <v>64</v>
      </c>
      <c r="B10" s="33" t="s">
        <v>67</v>
      </c>
      <c r="C10" s="30" t="s">
        <v>71</v>
      </c>
      <c r="D10" s="34" t="s">
        <v>69</v>
      </c>
      <c r="E10" s="35">
        <v>71</v>
      </c>
      <c r="F10" s="35">
        <v>35</v>
      </c>
      <c r="G10" s="35">
        <v>0.49295774647887325</v>
      </c>
      <c r="H10" s="35">
        <v>3</v>
      </c>
      <c r="I10" s="35">
        <v>7.8947368421052627E-2</v>
      </c>
      <c r="J10" s="35">
        <v>23</v>
      </c>
      <c r="K10" s="35">
        <v>0.323943661971831</v>
      </c>
      <c r="L10" s="35">
        <v>11</v>
      </c>
      <c r="M10" s="35">
        <v>3</v>
      </c>
      <c r="N10" s="35">
        <v>0</v>
      </c>
      <c r="O10" s="35">
        <v>0</v>
      </c>
      <c r="P10" s="35">
        <v>42</v>
      </c>
      <c r="Q10" s="35">
        <v>8</v>
      </c>
      <c r="R10" s="35">
        <v>1</v>
      </c>
      <c r="T10" s="35">
        <v>12323000</v>
      </c>
      <c r="U10" s="35">
        <v>4329000</v>
      </c>
      <c r="V10" s="35">
        <v>0</v>
      </c>
      <c r="W10" s="35">
        <v>-0.64870567232005194</v>
      </c>
      <c r="Y10" s="35">
        <v>2</v>
      </c>
      <c r="Z10" s="35">
        <v>14</v>
      </c>
      <c r="AA10" s="35">
        <v>0</v>
      </c>
      <c r="AB10" s="35">
        <v>6</v>
      </c>
      <c r="AC10" s="35">
        <v>0</v>
      </c>
      <c r="AD10" s="35">
        <v>0</v>
      </c>
      <c r="AE10" s="35">
        <v>0</v>
      </c>
      <c r="AF10" s="35">
        <v>0</v>
      </c>
      <c r="AG10" s="35">
        <v>31</v>
      </c>
      <c r="AH10" s="35">
        <v>31</v>
      </c>
      <c r="AI10" s="35">
        <v>26</v>
      </c>
      <c r="AJ10" s="35">
        <v>26</v>
      </c>
      <c r="AK10" s="35">
        <v>0</v>
      </c>
      <c r="AL10" s="35">
        <v>16</v>
      </c>
      <c r="AM10" s="35">
        <v>16</v>
      </c>
      <c r="AN10" s="35">
        <v>0</v>
      </c>
      <c r="AO10" s="35">
        <v>0</v>
      </c>
      <c r="AP10" s="35">
        <v>20</v>
      </c>
      <c r="AQ10" s="35">
        <v>20</v>
      </c>
      <c r="AR10" s="35">
        <v>0</v>
      </c>
      <c r="AS10" s="35">
        <v>70</v>
      </c>
      <c r="AT10" s="35">
        <v>3</v>
      </c>
      <c r="AU10" s="35">
        <v>0</v>
      </c>
      <c r="AV10" s="35">
        <v>8</v>
      </c>
      <c r="AW10" s="35">
        <v>0</v>
      </c>
      <c r="AX10" s="35">
        <v>1</v>
      </c>
      <c r="AY10" s="35">
        <v>350000</v>
      </c>
      <c r="AZ10" s="35">
        <v>23814538.449422691</v>
      </c>
      <c r="BA10" s="35">
        <v>35</v>
      </c>
    </row>
    <row r="11" spans="1:53">
      <c r="A11" s="33" t="s">
        <v>64</v>
      </c>
      <c r="B11" s="33" t="s">
        <v>67</v>
      </c>
      <c r="C11" s="30" t="s">
        <v>72</v>
      </c>
      <c r="D11" s="34" t="s">
        <v>69</v>
      </c>
      <c r="E11" s="35">
        <v>63</v>
      </c>
      <c r="F11" s="35">
        <v>42</v>
      </c>
      <c r="G11" s="35">
        <v>0.66666666666666663</v>
      </c>
      <c r="H11" s="35">
        <v>4</v>
      </c>
      <c r="I11" s="35">
        <v>8.6956521739130432E-2</v>
      </c>
      <c r="J11" s="35">
        <v>20</v>
      </c>
      <c r="K11" s="35">
        <v>0.31746031746031744</v>
      </c>
      <c r="L11" s="35">
        <v>14</v>
      </c>
      <c r="M11" s="35">
        <v>1</v>
      </c>
      <c r="N11" s="35">
        <v>0</v>
      </c>
      <c r="O11" s="35">
        <v>0</v>
      </c>
      <c r="P11" s="35">
        <v>40</v>
      </c>
      <c r="Q11" s="35">
        <v>8</v>
      </c>
      <c r="R11" s="35">
        <v>0</v>
      </c>
      <c r="T11" s="35">
        <v>14208000</v>
      </c>
      <c r="U11" s="35">
        <v>5568500</v>
      </c>
      <c r="V11" s="35">
        <v>0</v>
      </c>
      <c r="W11" s="35">
        <v>-0.60807291666666674</v>
      </c>
      <c r="Y11" s="35">
        <v>0</v>
      </c>
      <c r="Z11" s="35">
        <v>132</v>
      </c>
      <c r="AA11" s="35">
        <v>0</v>
      </c>
      <c r="AB11" s="35">
        <v>-1</v>
      </c>
      <c r="AC11" s="35">
        <v>0</v>
      </c>
      <c r="AD11" s="35">
        <v>0</v>
      </c>
      <c r="AE11" s="35">
        <v>0</v>
      </c>
      <c r="AF11" s="35">
        <v>0</v>
      </c>
      <c r="AG11" s="35">
        <v>36</v>
      </c>
      <c r="AH11" s="35">
        <v>36</v>
      </c>
      <c r="AI11" s="35">
        <v>12</v>
      </c>
      <c r="AJ11" s="35">
        <v>12</v>
      </c>
      <c r="AK11" s="35">
        <v>0</v>
      </c>
      <c r="AL11" s="35">
        <v>8</v>
      </c>
      <c r="AM11" s="35">
        <v>8</v>
      </c>
      <c r="AN11" s="35">
        <v>0</v>
      </c>
      <c r="AO11" s="35">
        <v>0</v>
      </c>
      <c r="AP11" s="35">
        <v>10</v>
      </c>
      <c r="AQ11" s="35">
        <v>10</v>
      </c>
      <c r="AR11" s="35">
        <v>0</v>
      </c>
      <c r="AS11" s="35">
        <v>303</v>
      </c>
      <c r="AT11" s="35">
        <v>1</v>
      </c>
      <c r="AU11" s="35">
        <v>0</v>
      </c>
      <c r="AV11" s="35">
        <v>11.717391304</v>
      </c>
      <c r="AW11" s="35">
        <v>0</v>
      </c>
      <c r="AX11" s="35">
        <v>1</v>
      </c>
      <c r="AY11" s="35">
        <v>100000</v>
      </c>
      <c r="AZ11" s="35">
        <v>29021535.488115862</v>
      </c>
      <c r="BA11" s="35">
        <v>42</v>
      </c>
    </row>
    <row r="12" spans="1:53">
      <c r="A12" s="33" t="s">
        <v>64</v>
      </c>
      <c r="B12" s="33" t="s">
        <v>67</v>
      </c>
      <c r="C12" s="30" t="s">
        <v>73</v>
      </c>
      <c r="D12" s="34" t="s">
        <v>69</v>
      </c>
      <c r="E12" s="35">
        <v>56</v>
      </c>
      <c r="F12" s="35">
        <v>43</v>
      </c>
      <c r="G12" s="35">
        <v>0.7678571428571429</v>
      </c>
      <c r="H12" s="35">
        <v>7</v>
      </c>
      <c r="I12" s="35">
        <v>0.14000000000000001</v>
      </c>
      <c r="J12" s="35">
        <v>21</v>
      </c>
      <c r="K12" s="35">
        <v>0.375</v>
      </c>
      <c r="L12" s="35">
        <v>19</v>
      </c>
      <c r="M12" s="35">
        <v>6</v>
      </c>
      <c r="N12" s="35">
        <v>0</v>
      </c>
      <c r="O12" s="35">
        <v>0</v>
      </c>
      <c r="P12" s="35">
        <v>35</v>
      </c>
      <c r="Q12" s="35">
        <v>2</v>
      </c>
      <c r="R12" s="35">
        <v>0</v>
      </c>
      <c r="T12" s="35">
        <v>47809750</v>
      </c>
      <c r="U12" s="35">
        <v>8753500</v>
      </c>
      <c r="V12" s="35">
        <v>0</v>
      </c>
      <c r="W12" s="35">
        <v>-0.8169097307557559</v>
      </c>
      <c r="Y12" s="35">
        <v>0</v>
      </c>
      <c r="Z12" s="35">
        <v>110</v>
      </c>
      <c r="AA12" s="35">
        <v>0</v>
      </c>
      <c r="AB12" s="35">
        <v>-1</v>
      </c>
      <c r="AC12" s="35">
        <v>0</v>
      </c>
      <c r="AD12" s="35">
        <v>0</v>
      </c>
      <c r="AE12" s="35">
        <v>0</v>
      </c>
      <c r="AF12" s="35">
        <v>0</v>
      </c>
      <c r="AG12" s="35">
        <v>41</v>
      </c>
      <c r="AH12" s="35">
        <v>41</v>
      </c>
      <c r="AI12" s="35">
        <v>28</v>
      </c>
      <c r="AJ12" s="35">
        <v>28</v>
      </c>
      <c r="AK12" s="35">
        <v>0</v>
      </c>
      <c r="AL12" s="35">
        <v>19</v>
      </c>
      <c r="AM12" s="35">
        <v>19</v>
      </c>
      <c r="AN12" s="35">
        <v>0</v>
      </c>
      <c r="AO12" s="35">
        <v>0</v>
      </c>
      <c r="AP12" s="35">
        <v>25</v>
      </c>
      <c r="AQ12" s="35">
        <v>25</v>
      </c>
      <c r="AR12" s="35">
        <v>0</v>
      </c>
      <c r="AS12" s="35">
        <v>143</v>
      </c>
      <c r="AT12" s="35">
        <v>7</v>
      </c>
      <c r="AU12" s="35">
        <v>0</v>
      </c>
      <c r="AV12" s="35">
        <v>12.078431373000001</v>
      </c>
      <c r="AW12" s="35">
        <v>0</v>
      </c>
      <c r="AX12" s="35">
        <v>2</v>
      </c>
      <c r="AY12" s="35">
        <v>400000</v>
      </c>
      <c r="AZ12" s="35">
        <v>42507522.583409846</v>
      </c>
      <c r="BA12" s="35">
        <v>43</v>
      </c>
    </row>
    <row r="13" spans="1:53">
      <c r="A13" s="33" t="s">
        <v>64</v>
      </c>
      <c r="B13" s="33" t="s">
        <v>74</v>
      </c>
      <c r="C13" s="30" t="s">
        <v>75</v>
      </c>
      <c r="D13" s="34" t="s">
        <v>76</v>
      </c>
      <c r="E13" s="35">
        <v>50</v>
      </c>
      <c r="F13" s="35">
        <v>18</v>
      </c>
      <c r="G13" s="35">
        <v>0.36</v>
      </c>
      <c r="H13" s="35">
        <v>8</v>
      </c>
      <c r="I13" s="35">
        <v>0.30769230769230771</v>
      </c>
      <c r="J13" s="35">
        <v>3</v>
      </c>
      <c r="K13" s="35">
        <v>0.06</v>
      </c>
      <c r="L13" s="35">
        <v>0</v>
      </c>
      <c r="M13" s="35">
        <v>3</v>
      </c>
      <c r="N13" s="35">
        <v>0</v>
      </c>
      <c r="O13" s="35">
        <v>0</v>
      </c>
      <c r="P13" s="35">
        <v>32</v>
      </c>
      <c r="Q13" s="35">
        <v>0</v>
      </c>
      <c r="R13" s="35">
        <v>0</v>
      </c>
      <c r="T13" s="35">
        <v>7552500</v>
      </c>
      <c r="U13" s="35">
        <v>5066400</v>
      </c>
      <c r="V13" s="35">
        <v>0</v>
      </c>
      <c r="W13" s="35">
        <v>-0.329175769612711</v>
      </c>
      <c r="Y13" s="35">
        <v>39</v>
      </c>
      <c r="Z13" s="35">
        <v>0</v>
      </c>
      <c r="AA13" s="35">
        <v>0</v>
      </c>
      <c r="AB13" s="35">
        <v>-1</v>
      </c>
      <c r="AC13" s="35">
        <v>0</v>
      </c>
      <c r="AD13" s="35">
        <v>0</v>
      </c>
      <c r="AE13" s="35">
        <v>0</v>
      </c>
      <c r="AF13" s="35">
        <v>0</v>
      </c>
      <c r="AG13" s="35">
        <v>18</v>
      </c>
      <c r="AH13" s="35">
        <v>18</v>
      </c>
      <c r="AI13" s="35">
        <v>5</v>
      </c>
      <c r="AJ13" s="35">
        <v>5</v>
      </c>
      <c r="AK13" s="35">
        <v>0</v>
      </c>
      <c r="AL13" s="35">
        <v>2</v>
      </c>
      <c r="AM13" s="35">
        <v>2</v>
      </c>
      <c r="AN13" s="35">
        <v>0</v>
      </c>
      <c r="AO13" s="35">
        <v>0</v>
      </c>
      <c r="AP13" s="35">
        <v>3</v>
      </c>
      <c r="AQ13" s="35">
        <v>3</v>
      </c>
      <c r="AR13" s="35">
        <v>0</v>
      </c>
      <c r="AS13" s="35">
        <v>0</v>
      </c>
      <c r="AT13" s="35">
        <v>3</v>
      </c>
      <c r="AU13" s="35">
        <v>0</v>
      </c>
      <c r="AV13" s="35">
        <v>28.7</v>
      </c>
      <c r="AW13" s="35">
        <v>0</v>
      </c>
      <c r="AX13" s="35">
        <v>0</v>
      </c>
      <c r="AY13" s="35">
        <v>0</v>
      </c>
      <c r="AZ13" s="35">
        <v>15521416.491985671</v>
      </c>
      <c r="BA13" s="35">
        <v>18</v>
      </c>
    </row>
    <row r="14" spans="1:53">
      <c r="A14" s="33" t="s">
        <v>64</v>
      </c>
      <c r="B14" s="33" t="s">
        <v>74</v>
      </c>
      <c r="C14" s="30" t="s">
        <v>77</v>
      </c>
      <c r="D14" s="34" t="s">
        <v>76</v>
      </c>
      <c r="E14" s="35">
        <v>48</v>
      </c>
      <c r="F14" s="35">
        <v>17</v>
      </c>
      <c r="G14" s="35">
        <v>0.35416666666666669</v>
      </c>
      <c r="H14" s="35">
        <v>3</v>
      </c>
      <c r="I14" s="35">
        <v>0.15</v>
      </c>
      <c r="J14" s="35">
        <v>7</v>
      </c>
      <c r="K14" s="35">
        <v>0.14583333333333334</v>
      </c>
      <c r="L14" s="35">
        <v>4</v>
      </c>
      <c r="M14" s="35">
        <v>2</v>
      </c>
      <c r="N14" s="35">
        <v>0</v>
      </c>
      <c r="O14" s="35">
        <v>0</v>
      </c>
      <c r="P14" s="35">
        <v>19</v>
      </c>
      <c r="Q14" s="35">
        <v>0</v>
      </c>
      <c r="R14" s="35">
        <v>0</v>
      </c>
      <c r="T14" s="35">
        <v>20634000</v>
      </c>
      <c r="U14" s="35">
        <v>8006900</v>
      </c>
      <c r="V14" s="35">
        <v>0</v>
      </c>
      <c r="W14" s="35">
        <v>-0.61195599495977515</v>
      </c>
      <c r="Y14" s="35">
        <v>41</v>
      </c>
      <c r="Z14" s="35">
        <v>4</v>
      </c>
      <c r="AA14" s="35">
        <v>0</v>
      </c>
      <c r="AB14" s="35">
        <v>-0.90243902439024393</v>
      </c>
      <c r="AC14" s="35">
        <v>0</v>
      </c>
      <c r="AD14" s="35">
        <v>0</v>
      </c>
      <c r="AE14" s="35">
        <v>0</v>
      </c>
      <c r="AF14" s="35">
        <v>0</v>
      </c>
      <c r="AG14" s="35">
        <v>16</v>
      </c>
      <c r="AH14" s="35">
        <v>16</v>
      </c>
      <c r="AI14" s="35">
        <v>44</v>
      </c>
      <c r="AJ14" s="35">
        <v>44</v>
      </c>
      <c r="AK14" s="35">
        <v>0</v>
      </c>
      <c r="AL14" s="35">
        <v>29</v>
      </c>
      <c r="AM14" s="35">
        <v>29</v>
      </c>
      <c r="AN14" s="35">
        <v>0</v>
      </c>
      <c r="AO14" s="35">
        <v>0</v>
      </c>
      <c r="AP14" s="35">
        <v>31</v>
      </c>
      <c r="AQ14" s="35">
        <v>31</v>
      </c>
      <c r="AR14" s="35">
        <v>0</v>
      </c>
      <c r="AS14" s="35">
        <v>8</v>
      </c>
      <c r="AT14" s="35">
        <v>5</v>
      </c>
      <c r="AU14" s="35">
        <v>0</v>
      </c>
      <c r="AV14" s="35">
        <v>23.032258065000001</v>
      </c>
      <c r="AW14" s="35">
        <v>0</v>
      </c>
      <c r="AX14" s="35">
        <v>0</v>
      </c>
      <c r="AY14" s="35">
        <v>0</v>
      </c>
      <c r="AZ14" s="35">
        <v>33983731.168369323</v>
      </c>
      <c r="BA14" s="35">
        <v>17</v>
      </c>
    </row>
    <row r="15" spans="1:53">
      <c r="A15" s="33" t="s">
        <v>64</v>
      </c>
      <c r="B15" s="33" t="s">
        <v>74</v>
      </c>
      <c r="C15" s="30" t="s">
        <v>78</v>
      </c>
      <c r="D15" s="34" t="s">
        <v>79</v>
      </c>
      <c r="E15" s="35">
        <v>49</v>
      </c>
      <c r="F15" s="35">
        <v>37</v>
      </c>
      <c r="G15" s="35">
        <v>0.75510204081632648</v>
      </c>
      <c r="H15" s="35">
        <v>0</v>
      </c>
      <c r="I15" s="35">
        <v>0</v>
      </c>
      <c r="J15" s="35">
        <v>23</v>
      </c>
      <c r="K15" s="35">
        <v>0.46938775510204084</v>
      </c>
      <c r="L15" s="35">
        <v>3</v>
      </c>
      <c r="M15" s="35">
        <v>3</v>
      </c>
      <c r="N15" s="35">
        <v>0</v>
      </c>
      <c r="O15" s="35">
        <v>0</v>
      </c>
      <c r="P15" s="35">
        <v>17</v>
      </c>
      <c r="Q15" s="35">
        <v>0</v>
      </c>
      <c r="R15" s="35">
        <v>0</v>
      </c>
      <c r="T15" s="35">
        <v>10172000</v>
      </c>
      <c r="U15" s="35">
        <v>8242500</v>
      </c>
      <c r="V15" s="35">
        <v>0</v>
      </c>
      <c r="W15" s="35">
        <v>-0.18968737711364525</v>
      </c>
      <c r="Y15" s="35">
        <v>68</v>
      </c>
      <c r="Z15" s="35">
        <v>19</v>
      </c>
      <c r="AA15" s="35">
        <v>0</v>
      </c>
      <c r="AB15" s="35">
        <v>-0.72058823529411764</v>
      </c>
      <c r="AC15" s="35">
        <v>0</v>
      </c>
      <c r="AD15" s="35">
        <v>0</v>
      </c>
      <c r="AE15" s="35">
        <v>9</v>
      </c>
      <c r="AF15" s="35">
        <v>0</v>
      </c>
      <c r="AG15" s="35">
        <v>32</v>
      </c>
      <c r="AH15" s="35">
        <v>32</v>
      </c>
      <c r="AI15" s="35">
        <v>26</v>
      </c>
      <c r="AJ15" s="35">
        <v>25</v>
      </c>
      <c r="AK15" s="35">
        <v>1</v>
      </c>
      <c r="AL15" s="35">
        <v>15</v>
      </c>
      <c r="AM15" s="35">
        <v>15</v>
      </c>
      <c r="AN15" s="35">
        <v>0</v>
      </c>
      <c r="AO15" s="35">
        <v>0</v>
      </c>
      <c r="AP15" s="35">
        <v>16</v>
      </c>
      <c r="AQ15" s="35">
        <v>16</v>
      </c>
      <c r="AR15" s="35">
        <v>0</v>
      </c>
      <c r="AS15" s="35">
        <v>41</v>
      </c>
      <c r="AT15" s="35">
        <v>4</v>
      </c>
      <c r="AU15" s="35">
        <v>0</v>
      </c>
      <c r="AV15" s="35">
        <v>22.196078431</v>
      </c>
      <c r="AW15" s="35">
        <v>0</v>
      </c>
      <c r="AX15" s="35">
        <v>1</v>
      </c>
      <c r="AY15" s="35">
        <v>300000</v>
      </c>
      <c r="AZ15" s="35">
        <v>27717464.974208351</v>
      </c>
      <c r="BA15" s="35">
        <v>37</v>
      </c>
    </row>
    <row r="16" spans="1:53">
      <c r="A16" s="33" t="s">
        <v>64</v>
      </c>
      <c r="B16" s="33" t="s">
        <v>74</v>
      </c>
      <c r="C16" s="30" t="s">
        <v>80</v>
      </c>
      <c r="D16" s="34" t="s">
        <v>79</v>
      </c>
      <c r="E16" s="35">
        <v>43</v>
      </c>
      <c r="F16" s="35">
        <v>20</v>
      </c>
      <c r="G16" s="35">
        <v>0.46511627906976744</v>
      </c>
      <c r="H16" s="35">
        <v>3</v>
      </c>
      <c r="I16" s="35">
        <v>0.13043478260869565</v>
      </c>
      <c r="J16" s="35">
        <v>13</v>
      </c>
      <c r="K16" s="35">
        <v>0.30232558139534882</v>
      </c>
      <c r="L16" s="35">
        <v>5</v>
      </c>
      <c r="M16" s="35">
        <v>4</v>
      </c>
      <c r="N16" s="35">
        <v>0</v>
      </c>
      <c r="O16" s="35">
        <v>0</v>
      </c>
      <c r="P16" s="35">
        <v>23</v>
      </c>
      <c r="Q16" s="35">
        <v>3</v>
      </c>
      <c r="R16" s="35">
        <v>4</v>
      </c>
      <c r="T16" s="35">
        <v>11276500</v>
      </c>
      <c r="U16" s="35">
        <v>1829000</v>
      </c>
      <c r="V16" s="35">
        <v>0</v>
      </c>
      <c r="W16" s="35">
        <v>-0.83780428324391432</v>
      </c>
      <c r="Y16" s="35">
        <v>51</v>
      </c>
      <c r="Z16" s="35">
        <v>3</v>
      </c>
      <c r="AA16" s="35">
        <v>0</v>
      </c>
      <c r="AB16" s="35">
        <v>-0.94117647058823528</v>
      </c>
      <c r="AC16" s="35">
        <v>0</v>
      </c>
      <c r="AD16" s="35">
        <v>0</v>
      </c>
      <c r="AE16" s="35">
        <v>0</v>
      </c>
      <c r="AF16" s="35">
        <v>0</v>
      </c>
      <c r="AG16" s="35">
        <v>17</v>
      </c>
      <c r="AH16" s="35">
        <v>17</v>
      </c>
      <c r="AI16" s="35">
        <v>20</v>
      </c>
      <c r="AJ16" s="35">
        <v>20</v>
      </c>
      <c r="AK16" s="35">
        <v>0</v>
      </c>
      <c r="AL16" s="35">
        <v>12</v>
      </c>
      <c r="AM16" s="35">
        <v>12</v>
      </c>
      <c r="AN16" s="35">
        <v>0</v>
      </c>
      <c r="AO16" s="35">
        <v>0</v>
      </c>
      <c r="AP16" s="35">
        <v>15</v>
      </c>
      <c r="AQ16" s="35">
        <v>15</v>
      </c>
      <c r="AR16" s="35">
        <v>0</v>
      </c>
      <c r="AS16" s="35">
        <v>11</v>
      </c>
      <c r="AT16" s="35">
        <v>4</v>
      </c>
      <c r="AU16" s="35">
        <v>0</v>
      </c>
      <c r="AV16" s="35">
        <v>43</v>
      </c>
      <c r="AW16" s="35">
        <v>0</v>
      </c>
      <c r="AX16" s="35">
        <v>1</v>
      </c>
      <c r="AY16" s="35">
        <v>25000</v>
      </c>
      <c r="AZ16" s="35">
        <v>19221972.570128288</v>
      </c>
      <c r="BA16" s="35">
        <v>20</v>
      </c>
    </row>
    <row r="17" spans="1:53">
      <c r="A17" s="33" t="s">
        <v>64</v>
      </c>
      <c r="B17" s="33" t="s">
        <v>74</v>
      </c>
      <c r="C17" s="30" t="s">
        <v>81</v>
      </c>
      <c r="D17" s="34" t="s">
        <v>79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1</v>
      </c>
      <c r="Q17" s="35">
        <v>0</v>
      </c>
      <c r="R17" s="35">
        <v>0</v>
      </c>
      <c r="T17" s="35">
        <v>0</v>
      </c>
      <c r="U17" s="35">
        <v>54000</v>
      </c>
      <c r="V17" s="35">
        <v>0</v>
      </c>
      <c r="W17" s="35">
        <v>-1</v>
      </c>
      <c r="Y17" s="35">
        <v>0</v>
      </c>
      <c r="Z17" s="35">
        <v>0</v>
      </c>
      <c r="AA17" s="35">
        <v>0</v>
      </c>
      <c r="AB17" s="35">
        <v>-1</v>
      </c>
      <c r="AC17" s="35">
        <v>0</v>
      </c>
      <c r="AD17" s="35">
        <v>0</v>
      </c>
      <c r="AE17" s="35">
        <v>0</v>
      </c>
      <c r="AF17" s="35">
        <v>0</v>
      </c>
      <c r="AG17" s="35">
        <v>1</v>
      </c>
      <c r="AH17" s="35">
        <v>1</v>
      </c>
      <c r="AI17" s="35">
        <v>0</v>
      </c>
      <c r="AJ17" s="35">
        <v>0</v>
      </c>
      <c r="AK17" s="35">
        <v>0</v>
      </c>
      <c r="AL17" s="35">
        <v>0</v>
      </c>
      <c r="AM17" s="35">
        <v>0</v>
      </c>
      <c r="AN17" s="35">
        <v>0</v>
      </c>
      <c r="AO17" s="35">
        <v>0</v>
      </c>
      <c r="AP17" s="35">
        <v>0</v>
      </c>
      <c r="AQ17" s="35">
        <v>0</v>
      </c>
      <c r="AR17" s="35">
        <v>0</v>
      </c>
      <c r="AS17" s="35">
        <v>0</v>
      </c>
      <c r="AT17" s="35">
        <v>0</v>
      </c>
      <c r="AU17" s="35">
        <v>0</v>
      </c>
      <c r="AV17" s="35">
        <v>0</v>
      </c>
      <c r="AW17" s="35">
        <v>0</v>
      </c>
      <c r="AX17" s="35">
        <v>0</v>
      </c>
      <c r="AY17" s="35">
        <v>0</v>
      </c>
      <c r="AZ17" s="35">
        <v>99250</v>
      </c>
      <c r="BA17" s="35">
        <v>0</v>
      </c>
    </row>
    <row r="18" spans="1:53">
      <c r="A18" s="33" t="s">
        <v>64</v>
      </c>
      <c r="B18" s="33" t="s">
        <v>74</v>
      </c>
      <c r="C18" s="30" t="s">
        <v>82</v>
      </c>
      <c r="D18" s="34" t="s">
        <v>83</v>
      </c>
      <c r="E18" s="35">
        <v>39</v>
      </c>
      <c r="F18" s="35">
        <v>32</v>
      </c>
      <c r="G18" s="35">
        <v>0.82051282051282048</v>
      </c>
      <c r="H18" s="35">
        <v>2</v>
      </c>
      <c r="I18" s="35">
        <v>5.8823529411764705E-2</v>
      </c>
      <c r="J18" s="35">
        <v>19</v>
      </c>
      <c r="K18" s="35">
        <v>0.48717948717948717</v>
      </c>
      <c r="L18" s="35">
        <v>5</v>
      </c>
      <c r="M18" s="35">
        <v>3</v>
      </c>
      <c r="N18" s="35">
        <v>0</v>
      </c>
      <c r="O18" s="35">
        <v>0</v>
      </c>
      <c r="P18" s="35">
        <v>23</v>
      </c>
      <c r="Q18" s="35">
        <v>0</v>
      </c>
      <c r="R18" s="35">
        <v>0</v>
      </c>
      <c r="T18" s="35">
        <v>33476000</v>
      </c>
      <c r="U18" s="35">
        <v>15293900</v>
      </c>
      <c r="V18" s="35">
        <v>0</v>
      </c>
      <c r="W18" s="35">
        <v>-0.54313836778587643</v>
      </c>
      <c r="Y18" s="35">
        <v>95</v>
      </c>
      <c r="Z18" s="35">
        <v>12</v>
      </c>
      <c r="AA18" s="35">
        <v>0</v>
      </c>
      <c r="AB18" s="35">
        <v>-0.87368421052631584</v>
      </c>
      <c r="AC18" s="35">
        <v>0</v>
      </c>
      <c r="AD18" s="35">
        <v>0</v>
      </c>
      <c r="AE18" s="35">
        <v>0</v>
      </c>
      <c r="AF18" s="35">
        <v>0</v>
      </c>
      <c r="AG18" s="35">
        <v>32</v>
      </c>
      <c r="AH18" s="35">
        <v>32</v>
      </c>
      <c r="AI18" s="35">
        <v>20</v>
      </c>
      <c r="AJ18" s="35">
        <v>20</v>
      </c>
      <c r="AK18" s="35">
        <v>0</v>
      </c>
      <c r="AL18" s="35">
        <v>11</v>
      </c>
      <c r="AM18" s="35">
        <v>11</v>
      </c>
      <c r="AN18" s="35">
        <v>0</v>
      </c>
      <c r="AO18" s="35">
        <v>0</v>
      </c>
      <c r="AP18" s="35">
        <v>13</v>
      </c>
      <c r="AQ18" s="35">
        <v>13</v>
      </c>
      <c r="AR18" s="35">
        <v>0</v>
      </c>
      <c r="AS18" s="35">
        <v>36</v>
      </c>
      <c r="AT18" s="35">
        <v>3</v>
      </c>
      <c r="AU18" s="35">
        <v>0</v>
      </c>
      <c r="AV18" s="35">
        <v>7.4285714289999998</v>
      </c>
      <c r="AW18" s="35">
        <v>0</v>
      </c>
      <c r="AX18" s="35">
        <v>0</v>
      </c>
      <c r="AY18" s="35">
        <v>0</v>
      </c>
      <c r="AZ18" s="35">
        <v>21985828.668709639</v>
      </c>
      <c r="BA18" s="35">
        <v>32</v>
      </c>
    </row>
    <row r="19" spans="1:53">
      <c r="A19" s="33" t="s">
        <v>64</v>
      </c>
      <c r="B19" s="33" t="s">
        <v>74</v>
      </c>
      <c r="C19" s="30" t="s">
        <v>84</v>
      </c>
      <c r="D19" s="34" t="s">
        <v>83</v>
      </c>
      <c r="E19" s="35">
        <v>63</v>
      </c>
      <c r="F19" s="35">
        <v>35</v>
      </c>
      <c r="G19" s="35">
        <v>0.55555555555555558</v>
      </c>
      <c r="H19" s="35">
        <v>0</v>
      </c>
      <c r="I19" s="35">
        <v>0</v>
      </c>
      <c r="J19" s="35">
        <v>9</v>
      </c>
      <c r="K19" s="35">
        <v>0.14285714285714285</v>
      </c>
      <c r="L19" s="35">
        <v>2</v>
      </c>
      <c r="M19" s="35">
        <v>6</v>
      </c>
      <c r="N19" s="35">
        <v>0</v>
      </c>
      <c r="O19" s="35">
        <v>0</v>
      </c>
      <c r="P19" s="35">
        <v>52</v>
      </c>
      <c r="Q19" s="35">
        <v>3</v>
      </c>
      <c r="R19" s="35">
        <v>2</v>
      </c>
      <c r="T19" s="35">
        <v>72496500</v>
      </c>
      <c r="U19" s="35">
        <v>100731800</v>
      </c>
      <c r="V19" s="35">
        <v>0</v>
      </c>
      <c r="W19" s="35">
        <v>0.38947121585179967</v>
      </c>
      <c r="Y19" s="35">
        <v>228</v>
      </c>
      <c r="Z19" s="35">
        <v>10</v>
      </c>
      <c r="AA19" s="35">
        <v>0</v>
      </c>
      <c r="AB19" s="35">
        <v>-0.95614035087719296</v>
      </c>
      <c r="AC19" s="35">
        <v>0</v>
      </c>
      <c r="AD19" s="35">
        <v>0</v>
      </c>
      <c r="AE19" s="35">
        <v>0</v>
      </c>
      <c r="AF19" s="35">
        <v>0</v>
      </c>
      <c r="AG19" s="35">
        <v>30</v>
      </c>
      <c r="AH19" s="35">
        <v>30</v>
      </c>
      <c r="AI19" s="35">
        <v>42</v>
      </c>
      <c r="AJ19" s="35">
        <v>41</v>
      </c>
      <c r="AK19" s="35">
        <v>1</v>
      </c>
      <c r="AL19" s="35">
        <v>22</v>
      </c>
      <c r="AM19" s="35">
        <v>22</v>
      </c>
      <c r="AN19" s="35">
        <v>0</v>
      </c>
      <c r="AO19" s="35">
        <v>0</v>
      </c>
      <c r="AP19" s="35">
        <v>29</v>
      </c>
      <c r="AQ19" s="35">
        <v>29</v>
      </c>
      <c r="AR19" s="35">
        <v>0</v>
      </c>
      <c r="AS19" s="35">
        <v>14</v>
      </c>
      <c r="AT19" s="35">
        <v>14</v>
      </c>
      <c r="AU19" s="35">
        <v>0</v>
      </c>
      <c r="AV19" s="35">
        <v>20.3125</v>
      </c>
      <c r="AW19" s="35">
        <v>0</v>
      </c>
      <c r="AX19" s="35">
        <v>2</v>
      </c>
      <c r="AY19" s="35">
        <v>300000</v>
      </c>
      <c r="AZ19" s="35">
        <v>28330148.378621832</v>
      </c>
      <c r="BA19" s="35">
        <v>35</v>
      </c>
    </row>
    <row r="20" spans="1:53">
      <c r="A20" s="33" t="s">
        <v>64</v>
      </c>
      <c r="B20" s="33" t="s">
        <v>85</v>
      </c>
      <c r="C20" s="30" t="s">
        <v>86</v>
      </c>
      <c r="D20" s="34" t="s">
        <v>87</v>
      </c>
      <c r="E20" s="35">
        <v>48</v>
      </c>
      <c r="F20" s="35">
        <v>40</v>
      </c>
      <c r="G20" s="35">
        <v>0.83333333333333337</v>
      </c>
      <c r="H20" s="35">
        <v>5</v>
      </c>
      <c r="I20" s="35">
        <v>0.1111111111111111</v>
      </c>
      <c r="J20" s="35">
        <v>23</v>
      </c>
      <c r="K20" s="35">
        <v>0.47916666666666669</v>
      </c>
      <c r="L20" s="35">
        <v>2</v>
      </c>
      <c r="M20" s="35">
        <v>1</v>
      </c>
      <c r="N20" s="35">
        <v>0</v>
      </c>
      <c r="O20" s="35">
        <v>0</v>
      </c>
      <c r="P20" s="35">
        <v>26</v>
      </c>
      <c r="Q20" s="35">
        <v>0</v>
      </c>
      <c r="R20" s="35">
        <v>0</v>
      </c>
      <c r="T20" s="35">
        <v>11993750</v>
      </c>
      <c r="U20" s="35">
        <v>5192000</v>
      </c>
      <c r="V20" s="35">
        <v>0</v>
      </c>
      <c r="W20" s="35">
        <v>-0.56710786868160501</v>
      </c>
      <c r="Y20" s="35">
        <v>67</v>
      </c>
      <c r="Z20" s="35">
        <v>22</v>
      </c>
      <c r="AA20" s="35">
        <v>0</v>
      </c>
      <c r="AB20" s="35">
        <v>-0.67164179104477606</v>
      </c>
      <c r="AC20" s="35">
        <v>0</v>
      </c>
      <c r="AD20" s="35">
        <v>0</v>
      </c>
      <c r="AE20" s="35">
        <v>7</v>
      </c>
      <c r="AF20" s="35">
        <v>0</v>
      </c>
      <c r="AG20" s="35">
        <v>34</v>
      </c>
      <c r="AH20" s="35">
        <v>34</v>
      </c>
      <c r="AI20" s="35">
        <v>19</v>
      </c>
      <c r="AJ20" s="35">
        <v>19</v>
      </c>
      <c r="AK20" s="35">
        <v>0</v>
      </c>
      <c r="AL20" s="35">
        <v>9</v>
      </c>
      <c r="AM20" s="35">
        <v>9</v>
      </c>
      <c r="AN20" s="35">
        <v>0</v>
      </c>
      <c r="AO20" s="35">
        <v>0</v>
      </c>
      <c r="AP20" s="35">
        <v>12</v>
      </c>
      <c r="AQ20" s="35">
        <v>12</v>
      </c>
      <c r="AR20" s="35">
        <v>0</v>
      </c>
      <c r="AS20" s="35">
        <v>3</v>
      </c>
      <c r="AT20" s="35">
        <v>1</v>
      </c>
      <c r="AU20" s="35">
        <v>0</v>
      </c>
      <c r="AV20" s="35">
        <v>10.729166666999999</v>
      </c>
      <c r="AW20" s="35">
        <v>0</v>
      </c>
      <c r="AX20" s="35">
        <v>1</v>
      </c>
      <c r="AY20" s="35">
        <v>150000</v>
      </c>
      <c r="AZ20" s="35">
        <v>19884551.466284662</v>
      </c>
      <c r="BA20" s="35">
        <v>40</v>
      </c>
    </row>
    <row r="21" spans="1:53">
      <c r="A21" s="33" t="s">
        <v>64</v>
      </c>
      <c r="B21" s="33" t="s">
        <v>85</v>
      </c>
      <c r="C21" s="30" t="s">
        <v>88</v>
      </c>
      <c r="D21" s="34" t="s">
        <v>87</v>
      </c>
      <c r="E21" s="35">
        <v>53</v>
      </c>
      <c r="F21" s="35">
        <v>44</v>
      </c>
      <c r="G21" s="35">
        <v>0.83018867924528306</v>
      </c>
      <c r="H21" s="35">
        <v>1</v>
      </c>
      <c r="I21" s="35">
        <v>2.2222222222222223E-2</v>
      </c>
      <c r="J21" s="35">
        <v>21</v>
      </c>
      <c r="K21" s="35">
        <v>0.39622641509433965</v>
      </c>
      <c r="L21" s="35">
        <v>5</v>
      </c>
      <c r="M21" s="35">
        <v>6</v>
      </c>
      <c r="N21" s="35">
        <v>0</v>
      </c>
      <c r="O21" s="35">
        <v>0</v>
      </c>
      <c r="P21" s="35">
        <v>29</v>
      </c>
      <c r="Q21" s="35">
        <v>1</v>
      </c>
      <c r="R21" s="35">
        <v>1</v>
      </c>
      <c r="T21" s="35">
        <v>9578500</v>
      </c>
      <c r="U21" s="35">
        <v>4524100</v>
      </c>
      <c r="V21" s="35">
        <v>0</v>
      </c>
      <c r="W21" s="35">
        <v>-0.52768178733622173</v>
      </c>
      <c r="Y21" s="35">
        <v>7</v>
      </c>
      <c r="Z21" s="35">
        <v>8</v>
      </c>
      <c r="AA21" s="35">
        <v>0</v>
      </c>
      <c r="AB21" s="35">
        <v>0.14285714285714279</v>
      </c>
      <c r="AC21" s="35">
        <v>0</v>
      </c>
      <c r="AD21" s="35">
        <v>0</v>
      </c>
      <c r="AE21" s="35">
        <v>0</v>
      </c>
      <c r="AF21" s="35">
        <v>0</v>
      </c>
      <c r="AG21" s="35">
        <v>37</v>
      </c>
      <c r="AH21" s="35">
        <v>37</v>
      </c>
      <c r="AI21" s="35">
        <v>31</v>
      </c>
      <c r="AJ21" s="35">
        <v>31</v>
      </c>
      <c r="AK21" s="35">
        <v>0</v>
      </c>
      <c r="AL21" s="35">
        <v>13</v>
      </c>
      <c r="AM21" s="35">
        <v>13</v>
      </c>
      <c r="AN21" s="35">
        <v>0</v>
      </c>
      <c r="AO21" s="35">
        <v>0</v>
      </c>
      <c r="AP21" s="35">
        <v>19</v>
      </c>
      <c r="AQ21" s="35">
        <v>19</v>
      </c>
      <c r="AR21" s="35">
        <v>0</v>
      </c>
      <c r="AS21" s="35">
        <v>20</v>
      </c>
      <c r="AT21" s="35">
        <v>8</v>
      </c>
      <c r="AU21" s="35">
        <v>0</v>
      </c>
      <c r="AV21" s="35">
        <v>9.4791666669999994</v>
      </c>
      <c r="AW21" s="35">
        <v>0</v>
      </c>
      <c r="AX21" s="35">
        <v>0</v>
      </c>
      <c r="AY21" s="35">
        <v>0</v>
      </c>
      <c r="AZ21" s="35">
        <v>15773891.221654708</v>
      </c>
      <c r="BA21" s="35">
        <v>44</v>
      </c>
    </row>
    <row r="22" spans="1:53">
      <c r="A22" s="33" t="s">
        <v>64</v>
      </c>
      <c r="B22" s="33" t="s">
        <v>85</v>
      </c>
      <c r="C22" s="30" t="s">
        <v>89</v>
      </c>
      <c r="D22" s="34" t="s">
        <v>87</v>
      </c>
      <c r="E22" s="35">
        <v>48</v>
      </c>
      <c r="F22" s="35">
        <v>42</v>
      </c>
      <c r="G22" s="35">
        <v>0.875</v>
      </c>
      <c r="H22" s="35">
        <v>7</v>
      </c>
      <c r="I22" s="35">
        <v>0.14285714285714285</v>
      </c>
      <c r="J22" s="35">
        <v>17</v>
      </c>
      <c r="K22" s="35">
        <v>0.35416666666666669</v>
      </c>
      <c r="L22" s="35">
        <v>19</v>
      </c>
      <c r="M22" s="35">
        <v>0</v>
      </c>
      <c r="N22" s="35">
        <v>0</v>
      </c>
      <c r="O22" s="35">
        <v>0</v>
      </c>
      <c r="P22" s="35">
        <v>29</v>
      </c>
      <c r="Q22" s="35">
        <v>6</v>
      </c>
      <c r="R22" s="35">
        <v>1</v>
      </c>
      <c r="T22" s="35">
        <v>8685000</v>
      </c>
      <c r="U22" s="35">
        <v>6911000</v>
      </c>
      <c r="V22" s="35">
        <v>0</v>
      </c>
      <c r="W22" s="35">
        <v>-0.20426021876799083</v>
      </c>
      <c r="Y22" s="35">
        <v>3</v>
      </c>
      <c r="Z22" s="35">
        <v>64</v>
      </c>
      <c r="AA22" s="35">
        <v>0</v>
      </c>
      <c r="AB22" s="35">
        <v>20.333333333333332</v>
      </c>
      <c r="AC22" s="35">
        <v>0</v>
      </c>
      <c r="AD22" s="35">
        <v>0</v>
      </c>
      <c r="AE22" s="35">
        <v>0</v>
      </c>
      <c r="AF22" s="35">
        <v>0</v>
      </c>
      <c r="AG22" s="35">
        <v>42</v>
      </c>
      <c r="AH22" s="35">
        <v>42</v>
      </c>
      <c r="AI22" s="35">
        <v>23</v>
      </c>
      <c r="AJ22" s="35">
        <v>23</v>
      </c>
      <c r="AK22" s="35">
        <v>0</v>
      </c>
      <c r="AL22" s="35">
        <v>15</v>
      </c>
      <c r="AM22" s="35">
        <v>15</v>
      </c>
      <c r="AN22" s="35">
        <v>0</v>
      </c>
      <c r="AO22" s="35">
        <v>0</v>
      </c>
      <c r="AP22" s="35">
        <v>19</v>
      </c>
      <c r="AQ22" s="35">
        <v>19</v>
      </c>
      <c r="AR22" s="35">
        <v>0</v>
      </c>
      <c r="AS22" s="35">
        <v>73</v>
      </c>
      <c r="AT22" s="35">
        <v>0</v>
      </c>
      <c r="AU22" s="35">
        <v>0</v>
      </c>
      <c r="AV22" s="35">
        <v>21.611111111</v>
      </c>
      <c r="AW22" s="35">
        <v>0</v>
      </c>
      <c r="AX22" s="35">
        <v>0</v>
      </c>
      <c r="AY22" s="35">
        <v>0</v>
      </c>
      <c r="AZ22" s="35">
        <v>22399021.778644077</v>
      </c>
      <c r="BA22" s="35">
        <v>42</v>
      </c>
    </row>
    <row r="23" spans="1:53">
      <c r="A23" s="33" t="s">
        <v>64</v>
      </c>
      <c r="B23" s="33" t="s">
        <v>85</v>
      </c>
      <c r="C23" s="30" t="s">
        <v>90</v>
      </c>
      <c r="D23" s="34" t="s">
        <v>87</v>
      </c>
      <c r="E23" s="35">
        <v>49</v>
      </c>
      <c r="F23" s="35">
        <v>46</v>
      </c>
      <c r="G23" s="35">
        <v>0.93877551020408168</v>
      </c>
      <c r="H23" s="35">
        <v>0</v>
      </c>
      <c r="I23" s="35">
        <v>0</v>
      </c>
      <c r="J23" s="35">
        <v>28</v>
      </c>
      <c r="K23" s="35">
        <v>0.5714285714285714</v>
      </c>
      <c r="L23" s="35">
        <v>5</v>
      </c>
      <c r="M23" s="35">
        <v>2</v>
      </c>
      <c r="N23" s="35">
        <v>0</v>
      </c>
      <c r="O23" s="35">
        <v>0</v>
      </c>
      <c r="P23" s="35">
        <v>22</v>
      </c>
      <c r="Q23" s="35">
        <v>0</v>
      </c>
      <c r="R23" s="35">
        <v>0</v>
      </c>
      <c r="T23" s="35">
        <v>11519500</v>
      </c>
      <c r="U23" s="35">
        <v>12061250</v>
      </c>
      <c r="V23" s="35">
        <v>0</v>
      </c>
      <c r="W23" s="35">
        <v>4.7028950909327571E-2</v>
      </c>
      <c r="Y23" s="35">
        <v>30</v>
      </c>
      <c r="Z23" s="35">
        <v>6</v>
      </c>
      <c r="AA23" s="35">
        <v>0</v>
      </c>
      <c r="AB23" s="35">
        <v>-0.8</v>
      </c>
      <c r="AC23" s="35">
        <v>0</v>
      </c>
      <c r="AD23" s="35">
        <v>0</v>
      </c>
      <c r="AE23" s="35">
        <v>0</v>
      </c>
      <c r="AF23" s="35">
        <v>0</v>
      </c>
      <c r="AG23" s="35">
        <v>35</v>
      </c>
      <c r="AH23" s="35">
        <v>35</v>
      </c>
      <c r="AI23" s="35">
        <v>11</v>
      </c>
      <c r="AJ23" s="35">
        <v>10</v>
      </c>
      <c r="AK23" s="35">
        <v>1</v>
      </c>
      <c r="AL23" s="35">
        <v>2</v>
      </c>
      <c r="AM23" s="35">
        <v>2</v>
      </c>
      <c r="AN23" s="35">
        <v>0</v>
      </c>
      <c r="AO23" s="35">
        <v>0</v>
      </c>
      <c r="AP23" s="35">
        <v>5</v>
      </c>
      <c r="AQ23" s="35">
        <v>5</v>
      </c>
      <c r="AR23" s="35">
        <v>0</v>
      </c>
      <c r="AS23" s="35">
        <v>7</v>
      </c>
      <c r="AT23" s="35">
        <v>5</v>
      </c>
      <c r="AU23" s="35">
        <v>0</v>
      </c>
      <c r="AV23" s="35">
        <v>7.4042553189999998</v>
      </c>
      <c r="AW23" s="35">
        <v>0</v>
      </c>
      <c r="AX23" s="35">
        <v>0</v>
      </c>
      <c r="AY23" s="35">
        <v>0</v>
      </c>
      <c r="AZ23" s="35">
        <v>23069031.69257547</v>
      </c>
      <c r="BA23" s="35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2026-08-09T07:25:38Z</dcterms:modified>
</cp:coreProperties>
</file>