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<sst xmlns="http://schemas.openxmlformats.org/spreadsheetml/2006/main" count="534" uniqueCount="203">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</sst>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3767640.1674616369</v>
      </c>
      <c r="G2" s="1">
        <f>VLOOKUP(A:A,MASTER!A:K,11,0)</f>
        <v>3378902.3358840779</v>
      </c>
      <c r="H2" s="2">
        <f>VLOOKUP(A:A,MASTER!A:E,5,0)</f>
        <v>400</v>
      </c>
      <c r="I2" s="2">
        <f>VLOOKUP(A:A,MASTER!A:J,10,0)</f>
        <v>337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2</v>
      </c>
      <c r="M2" s="1">
        <f>VLOOKUP(A:A,MASTER!A:H,8,0)</f>
        <v>0</v>
      </c>
      <c r="N2" s="1">
        <f>VLOOKUP(A:A,MASTER!A:B,2,0)</f>
        <v>413</v>
      </c>
      <c r="O2">
        <f>VLOOKUP(A:A,MASTER!A:G,7,0)</f>
        <v>406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4755985.7453720355</v>
      </c>
      <c r="G3" s="1">
        <f>VLOOKUP(A:A,MASTER!A:K,11,0)</f>
        <v>4198139.0504805734</v>
      </c>
      <c r="H3" s="2">
        <f>VLOOKUP(A:A,MASTER!A:E,5,0)</f>
        <v>547</v>
      </c>
      <c r="I3" s="2">
        <f>VLOOKUP(A:A,MASTER!A:J,10,0)</f>
        <v>610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1</v>
      </c>
      <c r="N3" s="1">
        <f>VLOOKUP(A:A,MASTER!A:B,2,0)</f>
        <v>691</v>
      </c>
      <c r="O3">
        <f>VLOOKUP(A:A,MASTER!A:G,7,0)</f>
        <v>643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4115736.9093229892</v>
      </c>
      <c r="G4" s="1">
        <f>VLOOKUP(A:A,MASTER!A:K,11,0)</f>
        <v>4831243.1255528908</v>
      </c>
      <c r="H4" s="2">
        <f>VLOOKUP(A:A,MASTER!A:E,5,0)</f>
        <v>566</v>
      </c>
      <c r="I4" s="2">
        <f>VLOOKUP(A:A,MASTER!A:J,10,0)</f>
        <v>42</v>
      </c>
      <c r="J4" s="2">
        <f>VLOOKUP(A:A,MASTER!A:D,4,0)</f>
        <v>3</v>
      </c>
      <c r="K4" s="2">
        <f>VLOOKUP(A:A,MASTER!A:I,9,0)</f>
        <v>1</v>
      </c>
      <c r="L4" s="1">
        <f>VLOOKUP(A:A,MASTER!A:C,3,0)</f>
        <v>1</v>
      </c>
      <c r="M4" s="1">
        <f>VLOOKUP(A:A,MASTER!A:H,8,0)</f>
        <v>2</v>
      </c>
      <c r="N4" s="1">
        <f>VLOOKUP(A:A,MASTER!A:B,2,0)</f>
        <v>690</v>
      </c>
      <c r="O4">
        <f>VLOOKUP(A:A,MASTER!A:G,7,0)</f>
        <v>732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9315606.1279473379</v>
      </c>
      <c r="G5" s="1">
        <f>VLOOKUP(A:A,MASTER!A:K,11,0)</f>
        <v>8927501.3209277317</v>
      </c>
      <c r="H5" s="2">
        <f>VLOOKUP(A:A,MASTER!A:E,5,0)</f>
        <v>989</v>
      </c>
      <c r="I5" s="2">
        <f>VLOOKUP(A:A,MASTER!A:J,10,0)</f>
        <v>1033</v>
      </c>
      <c r="J5" s="2">
        <f>VLOOKUP(A:A,MASTER!A:D,4,0)</f>
        <v>3</v>
      </c>
      <c r="K5" s="2">
        <f>VLOOKUP(A:A,MASTER!A:I,9,0)</f>
        <v>4</v>
      </c>
      <c r="L5" s="1">
        <f>VLOOKUP(A:A,MASTER!A:C,3,0)</f>
        <v>2</v>
      </c>
      <c r="M5" s="1">
        <f>VLOOKUP(A:A,MASTER!A:H,8,0)</f>
        <v>1</v>
      </c>
      <c r="N5" s="1">
        <f>VLOOKUP(A:A,MASTER!A:B,2,0)</f>
        <v>1203</v>
      </c>
      <c r="O5">
        <f>VLOOKUP(A:A,MASTER!A:G,7,0)</f>
        <v>1218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3622509.6095191082</v>
      </c>
      <c r="G6" s="1">
        <f>VLOOKUP(A:A,MASTER!A:K,11,0)</f>
        <v>3433165.5757586341</v>
      </c>
      <c r="H6" s="2">
        <f>VLOOKUP(A:A,MASTER!A:E,5,0)</f>
        <v>320</v>
      </c>
      <c r="I6" s="2">
        <f>VLOOKUP(A:A,MASTER!A:J,10,0)</f>
        <v>353</v>
      </c>
      <c r="J6" s="2">
        <f>VLOOKUP(A:A,MASTER!A:D,4,0)</f>
        <v>0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395</v>
      </c>
      <c r="O6">
        <f>VLOOKUP(A:A,MASTER!A:G,7,0)</f>
        <v>403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3453641.8844623081</v>
      </c>
      <c r="G7" s="1">
        <f>VLOOKUP(A:A,MASTER!A:K,11,0)</f>
        <v>3315695.6946051032</v>
      </c>
      <c r="H7" s="2">
        <f>VLOOKUP(A:A,MASTER!A:E,5,0)</f>
        <v>345</v>
      </c>
      <c r="I7" s="2">
        <f>VLOOKUP(A:A,MASTER!A:J,10,0)</f>
        <v>318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1</v>
      </c>
      <c r="M7" s="1">
        <f>VLOOKUP(A:A,MASTER!A:H,8,0)</f>
        <v>2</v>
      </c>
      <c r="N7" s="1">
        <f>VLOOKUP(A:A,MASTER!A:B,2,0)</f>
        <v>368</v>
      </c>
      <c r="O7">
        <f>VLOOKUP(A:A,MASTER!A:G,7,0)</f>
        <v>370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4149554.9330451461</v>
      </c>
      <c r="G8" s="1">
        <f>VLOOKUP(A:A,MASTER!A:K,11,0)</f>
        <v>3763040.3506287369</v>
      </c>
      <c r="H8" s="2">
        <f>VLOOKUP(A:A,MASTER!A:E,5,0)</f>
        <v>515</v>
      </c>
      <c r="I8" s="2">
        <f>VLOOKUP(A:A,MASTER!A:J,10,0)</f>
        <v>558</v>
      </c>
      <c r="J8" s="2">
        <f>VLOOKUP(A:A,MASTER!A:D,4,0)</f>
        <v>0</v>
      </c>
      <c r="K8" s="2">
        <f>VLOOKUP(A:A,MASTER!A:I,9,0)</f>
        <v>5</v>
      </c>
      <c r="L8" s="1">
        <f>VLOOKUP(A:A,MASTER!A:C,3,0)</f>
        <v>0</v>
      </c>
      <c r="M8" s="1">
        <f>VLOOKUP(A:A,MASTER!A:H,8,0)</f>
        <v>0</v>
      </c>
      <c r="N8" s="1">
        <f>VLOOKUP(A:A,MASTER!A:B,2,0)</f>
        <v>592</v>
      </c>
      <c r="O8">
        <f>VLOOKUP(A:A,MASTER!A:G,7,0)</f>
        <v>596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1692945.1848517051</v>
      </c>
      <c r="G9" s="1">
        <f>VLOOKUP(A:A,MASTER!A:K,11,0)</f>
        <v>1873870.2528251619</v>
      </c>
      <c r="H9" s="2">
        <f>VLOOKUP(A:A,MASTER!A:E,5,0)</f>
        <v>124</v>
      </c>
      <c r="I9" s="2">
        <f>VLOOKUP(A:A,MASTER!A:J,10,0)</f>
        <v>159</v>
      </c>
      <c r="J9" s="2">
        <f>VLOOKUP(A:A,MASTER!A:D,4,0)</f>
        <v>1</v>
      </c>
      <c r="K9" s="2">
        <f>VLOOKUP(A:A,MASTER!A:I,9,0)</f>
        <v>0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162</v>
      </c>
      <c r="O9">
        <f>VLOOKUP(A:A,MASTER!A:G,7,0)</f>
        <v>177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1943111.7270830791</v>
      </c>
      <c r="G10" s="1">
        <f>VLOOKUP(A:A,MASTER!A:K,11,0)</f>
        <v>22.486592934000001</v>
      </c>
      <c r="H10" s="2">
        <f>VLOOKUP(A:A,MASTER!A:E,5,0)</f>
        <v>159</v>
      </c>
      <c r="I10" s="2">
        <f>VLOOKUP(A:A,MASTER!A:J,10,0)</f>
        <v>1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201</v>
      </c>
      <c r="O10">
        <f>VLOOKUP(A:A,MASTER!A:G,7,0)</f>
        <v>187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2925789.0628380021</v>
      </c>
      <c r="G11" s="1">
        <f>VLOOKUP(A:A,MASTER!A:K,11,0)</f>
        <v>3816371.4646472102</v>
      </c>
      <c r="H11" s="2">
        <f>VLOOKUP(A:A,MASTER!A:E,5,0)</f>
        <v>326</v>
      </c>
      <c r="I11" s="2">
        <f>VLOOKUP(A:A,MASTER!A:J,10,0)</f>
        <v>487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353</v>
      </c>
      <c r="O11">
        <f>VLOOKUP(A:A,MASTER!A:G,7,0)</f>
        <v>363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1301883.6042596891</v>
      </c>
      <c r="G12" s="1">
        <f>VLOOKUP(A:A,MASTER!A:K,11,0)</f>
        <v>1720402.2001648659</v>
      </c>
      <c r="H12" s="2">
        <f>VLOOKUP(A:A,MASTER!A:E,5,0)</f>
        <v>257</v>
      </c>
      <c r="I12" s="2">
        <f>VLOOKUP(A:A,MASTER!A:J,10,0)</f>
        <v>277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216</v>
      </c>
      <c r="O12">
        <f>VLOOKUP(A:A,MASTER!A:G,7,0)</f>
        <v>198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1833456.113912377</v>
      </c>
      <c r="G13" s="1">
        <f>VLOOKUP(A:A,MASTER!A:K,11,0)</f>
        <v>1807666.7458902949</v>
      </c>
      <c r="H13" s="2">
        <f>VLOOKUP(A:A,MASTER!A:E,5,0)</f>
        <v>226</v>
      </c>
      <c r="I13" s="2">
        <f>VLOOKUP(A:A,MASTER!A:J,10,0)</f>
        <v>264</v>
      </c>
      <c r="J13" s="2">
        <f>VLOOKUP(A:A,MASTER!A:D,4,0)</f>
        <v>0</v>
      </c>
      <c r="K13" s="2">
        <f>VLOOKUP(A:A,MASTER!A:I,9,0)</f>
        <v>0</v>
      </c>
      <c r="L13" s="1">
        <f>VLOOKUP(A:A,MASTER!A:C,3,0)</f>
        <v>5</v>
      </c>
      <c r="M13" s="1">
        <f>VLOOKUP(A:A,MASTER!A:H,8,0)</f>
        <v>0</v>
      </c>
      <c r="N13" s="1">
        <f>VLOOKUP(A:A,MASTER!A:B,2,0)</f>
        <v>262</v>
      </c>
      <c r="O13">
        <f>VLOOKUP(A:A,MASTER!A:G,7,0)</f>
        <v>241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6732074.4633739255</v>
      </c>
      <c r="G14" s="1">
        <f>VLOOKUP(A:A,MASTER!A:K,11,0)</f>
        <v>5812917.9415709646</v>
      </c>
      <c r="H14" s="2">
        <f>VLOOKUP(A:A,MASTER!A:E,5,0)</f>
        <v>905</v>
      </c>
      <c r="I14" s="2">
        <f>VLOOKUP(A:A,MASTER!A:J,10,0)</f>
        <v>161</v>
      </c>
      <c r="J14" s="2">
        <f>VLOOKUP(A:A,MASTER!A:D,4,0)</f>
        <v>3</v>
      </c>
      <c r="K14" s="2">
        <f>VLOOKUP(A:A,MASTER!A:I,9,0)</f>
        <v>2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1471</v>
      </c>
      <c r="O14">
        <f>VLOOKUP(A:A,MASTER!A:G,7,0)</f>
        <v>1442</v>
      </c>
      <c r="P14">
        <v>2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10956297.987773804</v>
      </c>
      <c r="G15" s="1">
        <f>VLOOKUP(A:A,MASTER!A:K,11,0)</f>
        <v>12242361.641453536</v>
      </c>
      <c r="H15" s="2">
        <f>VLOOKUP(A:A,MASTER!A:E,5,0)</f>
        <v>937</v>
      </c>
      <c r="I15" s="2">
        <f>VLOOKUP(A:A,MASTER!A:J,10,0)</f>
        <v>948</v>
      </c>
      <c r="J15" s="2">
        <f>VLOOKUP(A:A,MASTER!A:D,4,0)</f>
        <v>2</v>
      </c>
      <c r="K15" s="2">
        <f>VLOOKUP(A:A,MASTER!A:I,9,0)</f>
        <v>3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1277</v>
      </c>
      <c r="O15">
        <f>VLOOKUP(A:A,MASTER!A:G,7,0)</f>
        <v>1233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7253821.6632021237</v>
      </c>
      <c r="G16" s="1">
        <f>VLOOKUP(A:A,MASTER!A:K,11,0)</f>
        <v>7452158.4424874652</v>
      </c>
      <c r="H16" s="2">
        <f>VLOOKUP(A:A,MASTER!A:E,5,0)</f>
        <v>911</v>
      </c>
      <c r="I16" s="2">
        <f>VLOOKUP(A:A,MASTER!A:J,10,0)</f>
        <v>982</v>
      </c>
      <c r="J16" s="2">
        <f>VLOOKUP(A:A,MASTER!A:D,4,0)</f>
        <v>4</v>
      </c>
      <c r="K16" s="2">
        <f>VLOOKUP(A:A,MASTER!A:I,9,0)</f>
        <v>5</v>
      </c>
      <c r="L16" s="1">
        <f>VLOOKUP(A:A,MASTER!A:C,3,0)</f>
        <v>0</v>
      </c>
      <c r="M16" s="1">
        <f>VLOOKUP(A:A,MASTER!A:H,8,0)</f>
        <v>1</v>
      </c>
      <c r="N16" s="1">
        <f>VLOOKUP(A:A,MASTER!A:B,2,0)</f>
        <v>1030</v>
      </c>
      <c r="O16">
        <f>VLOOKUP(A:A,MASTER!A:G,7,0)</f>
        <v>1026</v>
      </c>
      <c r="P16">
        <v>3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7626729.4082962554</v>
      </c>
      <c r="G17" s="1">
        <f>VLOOKUP(A:A,MASTER!A:K,11,0)</f>
        <v>4874478.6350986613</v>
      </c>
      <c r="H17" s="2">
        <f>VLOOKUP(A:A,MASTER!A:E,5,0)</f>
        <v>639</v>
      </c>
      <c r="I17" s="2">
        <f>VLOOKUP(A:A,MASTER!A:J,10,0)</f>
        <v>746</v>
      </c>
      <c r="J17" s="2">
        <f>VLOOKUP(A:A,MASTER!A:D,4,0)</f>
        <v>2</v>
      </c>
      <c r="K17" s="2">
        <f>VLOOKUP(A:A,MASTER!A:I,9,0)</f>
        <v>3</v>
      </c>
      <c r="L17" s="1">
        <f>VLOOKUP(A:A,MASTER!A:C,3,0)</f>
        <v>0</v>
      </c>
      <c r="M17" s="1">
        <f>VLOOKUP(A:A,MASTER!A:H,8,0)</f>
        <v>2</v>
      </c>
      <c r="N17" s="1">
        <f>VLOOKUP(A:A,MASTER!A:B,2,0)</f>
        <v>933</v>
      </c>
      <c r="O17">
        <f>VLOOKUP(A:A,MASTER!A:G,7,0)</f>
        <v>923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24966540.321500681</v>
      </c>
      <c r="G18" s="1">
        <f>VLOOKUP(A:A,MASTER!A:K,11,0)</f>
        <v>26628976.073495127</v>
      </c>
      <c r="H18" s="2">
        <f>VLOOKUP(A:A,MASTER!A:E,5,0)</f>
        <v>2054</v>
      </c>
      <c r="I18" s="2">
        <f>VLOOKUP(A:A,MASTER!A:J,10,0)</f>
        <v>2946</v>
      </c>
      <c r="J18" s="2">
        <f>VLOOKUP(A:A,MASTER!A:D,4,0)</f>
        <v>11</v>
      </c>
      <c r="K18" s="2">
        <f>VLOOKUP(A:A,MASTER!A:I,9,0)</f>
        <v>9</v>
      </c>
      <c r="L18" s="1">
        <f>VLOOKUP(A:A,MASTER!A:C,3,0)</f>
        <v>107</v>
      </c>
      <c r="M18" s="1">
        <f>VLOOKUP(A:A,MASTER!A:H,8,0)</f>
        <v>108</v>
      </c>
      <c r="N18" s="1">
        <f>VLOOKUP(A:A,MASTER!A:B,2,0)</f>
        <v>2897</v>
      </c>
      <c r="O18">
        <f>VLOOKUP(A:A,MASTER!A:G,7,0)</f>
        <v>2936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13428745.928681612</v>
      </c>
      <c r="G19" s="1">
        <f>VLOOKUP(A:A,MASTER!A:K,11,0)</f>
        <v>8060394.6620687013</v>
      </c>
      <c r="H19" s="2">
        <f>VLOOKUP(A:A,MASTER!A:E,5,0)</f>
        <v>1217</v>
      </c>
      <c r="I19" s="2">
        <f>VLOOKUP(A:A,MASTER!A:J,10,0)</f>
        <v>19</v>
      </c>
      <c r="J19" s="2">
        <f>VLOOKUP(A:A,MASTER!A:D,4,0)</f>
        <v>3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2</v>
      </c>
      <c r="N19" s="1">
        <f>VLOOKUP(A:A,MASTER!A:B,2,0)</f>
        <v>1447</v>
      </c>
      <c r="O19">
        <f>VLOOKUP(A:A,MASTER!A:G,7,0)</f>
        <v>1396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25647463.855537627</v>
      </c>
      <c r="G20" s="1">
        <f>VLOOKUP(A:A,MASTER!A:K,11,0)</f>
        <v>26874093.702797864</v>
      </c>
      <c r="H20" s="2">
        <f>VLOOKUP(A:A,MASTER!A:E,5,0)</f>
        <v>2331</v>
      </c>
      <c r="I20" s="2">
        <f>VLOOKUP(A:A,MASTER!A:J,10,0)</f>
        <v>2234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3</v>
      </c>
      <c r="M20" s="1">
        <f>VLOOKUP(A:A,MASTER!A:H,8,0)</f>
        <v>7</v>
      </c>
      <c r="N20" s="1">
        <f>VLOOKUP(A:A,MASTER!A:B,2,0)</f>
        <v>2979</v>
      </c>
      <c r="O20">
        <f>VLOOKUP(A:A,MASTER!A:G,7,0)</f>
        <v>2969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3763683.5108333109</v>
      </c>
      <c r="G21" s="1">
        <f>VLOOKUP(A:A,MASTER!A:K,11,0)</f>
        <v>4235172.3475251095</v>
      </c>
      <c r="H21" s="2">
        <f>VLOOKUP(A:A,MASTER!A:E,5,0)</f>
        <v>506</v>
      </c>
      <c r="I21" s="2">
        <f>VLOOKUP(A:A,MASTER!A:J,10,0)</f>
        <v>639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1</v>
      </c>
      <c r="N21" s="1">
        <f>VLOOKUP(A:A,MASTER!A:B,2,0)</f>
        <v>567</v>
      </c>
      <c r="O21">
        <f>VLOOKUP(A:A,MASTER!A:G,7,0)</f>
        <v>534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11288354.412634833</v>
      </c>
      <c r="G22" s="1">
        <f>VLOOKUP(A:A,MASTER!A:K,11,0)</f>
        <v>10789611.241360519</v>
      </c>
      <c r="H22" s="2">
        <f>VLOOKUP(A:A,MASTER!A:E,5,0)</f>
        <v>1303</v>
      </c>
      <c r="I22" s="2">
        <f>VLOOKUP(A:A,MASTER!A:J,10,0)</f>
        <v>1346</v>
      </c>
      <c r="J22" s="2">
        <f>VLOOKUP(A:A,MASTER!A:D,4,0)</f>
        <v>1</v>
      </c>
      <c r="K22" s="2">
        <f>VLOOKUP(A:A,MASTER!A:I,9,0)</f>
        <v>1</v>
      </c>
      <c r="L22" s="1">
        <f>VLOOKUP(A:A,MASTER!A:C,3,0)</f>
        <v>4</v>
      </c>
      <c r="M22" s="1">
        <f>VLOOKUP(A:A,MASTER!A:H,8,0)</f>
        <v>7</v>
      </c>
      <c r="N22" s="1">
        <f>VLOOKUP(A:A,MASTER!A:B,2,0)</f>
        <v>1690</v>
      </c>
      <c r="O22">
        <f>VLOOKUP(A:A,MASTER!A:G,7,0)</f>
        <v>1750</v>
      </c>
      <c r="P22">
        <v>8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4860126.4765750067</v>
      </c>
      <c r="G23" s="1">
        <f>VLOOKUP(A:A,MASTER!A:K,11,0)</f>
        <v>4592984.7088493519</v>
      </c>
      <c r="H23" s="2">
        <f>VLOOKUP(A:A,MASTER!A:E,5,0)</f>
        <v>805</v>
      </c>
      <c r="I23" s="2">
        <f>VLOOKUP(A:A,MASTER!A:J,10,0)</f>
        <v>740</v>
      </c>
      <c r="J23" s="2">
        <f>VLOOKUP(A:A,MASTER!A:D,4,0)</f>
        <v>0</v>
      </c>
      <c r="K23" s="2">
        <f>VLOOKUP(A:A,MASTER!A:I,9,0)</f>
        <v>1</v>
      </c>
      <c r="L23" s="1">
        <f>VLOOKUP(A:A,MASTER!A:C,3,0)</f>
        <v>2</v>
      </c>
      <c r="M23" s="1">
        <f>VLOOKUP(A:A,MASTER!A:H,8,0)</f>
        <v>4</v>
      </c>
      <c r="N23" s="1">
        <f>VLOOKUP(A:A,MASTER!A:B,2,0)</f>
        <v>868</v>
      </c>
      <c r="O23">
        <f>VLOOKUP(A:A,MASTER!A:G,7,0)</f>
        <v>881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5093364.8741606213</v>
      </c>
      <c r="G24" s="1">
        <f>VLOOKUP(A:A,MASTER!A:K,11,0)</f>
        <v>5765124.8283889508</v>
      </c>
      <c r="H24" s="2">
        <f>VLOOKUP(A:A,MASTER!A:E,5,0)</f>
        <v>585</v>
      </c>
      <c r="I24" s="2">
        <f>VLOOKUP(A:A,MASTER!A:J,10,0)</f>
        <v>846</v>
      </c>
      <c r="J24" s="2">
        <f>VLOOKUP(A:A,MASTER!A:D,4,0)</f>
        <v>1</v>
      </c>
      <c r="K24" s="2">
        <f>VLOOKUP(A:A,MASTER!A:I,9,0)</f>
        <v>0</v>
      </c>
      <c r="L24" s="1">
        <f>VLOOKUP(A:A,MASTER!A:C,3,0)</f>
        <v>1</v>
      </c>
      <c r="M24" s="1">
        <f>VLOOKUP(A:A,MASTER!A:H,8,0)</f>
        <v>2</v>
      </c>
      <c r="N24" s="1">
        <f>VLOOKUP(A:A,MASTER!A:B,2,0)</f>
        <v>911</v>
      </c>
      <c r="O24">
        <f>VLOOKUP(A:A,MASTER!A:G,7,0)</f>
        <v>874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1440236.1312589699</v>
      </c>
      <c r="G25" s="1">
        <f>VLOOKUP(A:A,MASTER!A:K,11,0)</f>
        <v>1329183.5474891129</v>
      </c>
      <c r="H25" s="2">
        <f>VLOOKUP(A:A,MASTER!A:E,5,0)</f>
        <v>197</v>
      </c>
      <c r="I25" s="2">
        <f>VLOOKUP(A:A,MASTER!A:J,10,0)</f>
        <v>170</v>
      </c>
      <c r="J25" s="2">
        <f>VLOOKUP(A:A,MASTER!A:D,4,0)</f>
        <v>0</v>
      </c>
      <c r="K25" s="2">
        <f>VLOOKUP(A:A,MASTER!A:I,9,0)</f>
        <v>0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232</v>
      </c>
      <c r="O25">
        <f>VLOOKUP(A:A,MASTER!A:G,7,0)</f>
        <v>235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12593024.586868605</v>
      </c>
      <c r="G26" s="1">
        <f>VLOOKUP(A:A,MASTER!A:K,11,0)</f>
        <v>10525091.880569469</v>
      </c>
      <c r="H26" s="2">
        <f>VLOOKUP(A:A,MASTER!A:E,5,0)</f>
        <v>1689</v>
      </c>
      <c r="I26" s="2">
        <f>VLOOKUP(A:A,MASTER!A:J,10,0)</f>
        <v>1315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5</v>
      </c>
      <c r="N26" s="1">
        <f>VLOOKUP(A:A,MASTER!A:B,2,0)</f>
        <v>1641</v>
      </c>
      <c r="O26">
        <f>VLOOKUP(A:A,MASTER!A:G,7,0)</f>
        <v>1629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9319399.3098883685</v>
      </c>
      <c r="G27" s="1">
        <f>VLOOKUP(A:A,MASTER!A:K,11,0)</f>
        <v>7945438.205796659</v>
      </c>
      <c r="H27" s="2">
        <f>VLOOKUP(A:A,MASTER!A:E,5,0)</f>
        <v>592</v>
      </c>
      <c r="I27" s="2">
        <f>VLOOKUP(A:A,MASTER!A:J,10,0)</f>
        <v>624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0</v>
      </c>
      <c r="M27" s="1">
        <f>VLOOKUP(A:A,MASTER!A:H,8,0)</f>
        <v>0</v>
      </c>
      <c r="N27" s="1">
        <f>VLOOKUP(A:A,MASTER!A:B,2,0)</f>
        <v>863</v>
      </c>
      <c r="O27">
        <f>VLOOKUP(A:A,MASTER!A:G,7,0)</f>
        <v>877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9229408.5964249745</v>
      </c>
      <c r="G28" s="1">
        <f>VLOOKUP(A:A,MASTER!A:K,11,0)</f>
        <v>7682265.5208570464</v>
      </c>
      <c r="H28" s="2">
        <f>VLOOKUP(A:A,MASTER!A:E,5,0)</f>
        <v>908</v>
      </c>
      <c r="I28" s="2">
        <f>VLOOKUP(A:A,MASTER!A:J,10,0)</f>
        <v>716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1</v>
      </c>
      <c r="N28" s="1">
        <f>VLOOKUP(A:A,MASTER!A:B,2,0)</f>
        <v>1136</v>
      </c>
      <c r="O28">
        <f>VLOOKUP(A:A,MASTER!A:G,7,0)</f>
        <v>1058</v>
      </c>
      <c r="P28">
        <v>0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11544143.05306543</v>
      </c>
      <c r="G29" s="1">
        <f>VLOOKUP(A:A,MASTER!A:K,11,0)</f>
        <v>11432953.513380121</v>
      </c>
      <c r="H29" s="2">
        <f>VLOOKUP(A:A,MASTER!A:E,5,0)</f>
        <v>875</v>
      </c>
      <c r="I29" s="2">
        <f>VLOOKUP(A:A,MASTER!A:J,10,0)</f>
        <v>928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0</v>
      </c>
      <c r="N29" s="1">
        <f>VLOOKUP(A:A,MASTER!A:B,2,0)</f>
        <v>1115</v>
      </c>
      <c r="O29">
        <f>VLOOKUP(A:A,MASTER!A:G,7,0)</f>
        <v>1106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17016188.039597787</v>
      </c>
      <c r="G30" s="1">
        <f>VLOOKUP(A:A,MASTER!A:K,11,0)</f>
        <v>16052372.710008221</v>
      </c>
      <c r="H30" s="2">
        <f>VLOOKUP(A:A,MASTER!A:E,5,0)</f>
        <v>1093</v>
      </c>
      <c r="I30" s="2">
        <f>VLOOKUP(A:A,MASTER!A:J,10,0)</f>
        <v>1132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0</v>
      </c>
      <c r="M30" s="1">
        <f>VLOOKUP(A:A,MASTER!A:H,8,0)</f>
        <v>1</v>
      </c>
      <c r="N30" s="1">
        <f>VLOOKUP(A:A,MASTER!A:B,2,0)</f>
        <v>1479</v>
      </c>
      <c r="O30">
        <f>VLOOKUP(A:A,MASTER!A:G,7,0)</f>
        <v>1473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6712460.6493473453</v>
      </c>
      <c r="G31" s="1">
        <f>VLOOKUP(A:A,MASTER!A:K,11,0)</f>
        <v>6447003.3071393995</v>
      </c>
      <c r="H31" s="2">
        <f>VLOOKUP(A:A,MASTER!A:E,5,0)</f>
        <v>516</v>
      </c>
      <c r="I31" s="2">
        <f>VLOOKUP(A:A,MASTER!A:J,10,0)</f>
        <v>562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690</v>
      </c>
      <c r="O31">
        <f>VLOOKUP(A:A,MASTER!A:G,7,0)</f>
        <v>689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20118854.236279029</v>
      </c>
      <c r="G32" s="1">
        <f>VLOOKUP(A:A,MASTER!A:K,11,0)</f>
        <v>19838539.705524493</v>
      </c>
      <c r="H32" s="2">
        <f>VLOOKUP(A:A,MASTER!A:E,5,0)</f>
        <v>1616</v>
      </c>
      <c r="I32" s="2">
        <f>VLOOKUP(A:A,MASTER!A:J,10,0)</f>
        <v>1556</v>
      </c>
      <c r="J32" s="2">
        <f>VLOOKUP(A:A,MASTER!A:D,4,0)</f>
        <v>12</v>
      </c>
      <c r="K32" s="2">
        <f>VLOOKUP(A:A,MASTER!A:I,9,0)</f>
        <v>10</v>
      </c>
      <c r="L32" s="1">
        <f>VLOOKUP(A:A,MASTER!A:C,3,0)</f>
        <v>0</v>
      </c>
      <c r="M32" s="1">
        <f>VLOOKUP(A:A,MASTER!A:H,8,0)</f>
        <v>2</v>
      </c>
      <c r="N32" s="1">
        <f>VLOOKUP(A:A,MASTER!A:B,2,0)</f>
        <v>1975</v>
      </c>
      <c r="O32">
        <f>VLOOKUP(A:A,MASTER!A:G,7,0)</f>
        <v>1945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7210121.5178656941</v>
      </c>
      <c r="G33" s="1">
        <f>VLOOKUP(A:A,MASTER!A:K,11,0)</f>
        <v>6647967.3857165854</v>
      </c>
      <c r="H33" s="2">
        <f>VLOOKUP(A:A,MASTER!A:E,5,0)</f>
        <v>636</v>
      </c>
      <c r="I33" s="2">
        <f>VLOOKUP(A:A,MASTER!A:J,10,0)</f>
        <v>666</v>
      </c>
      <c r="J33" s="2">
        <f>VLOOKUP(A:A,MASTER!A:D,4,0)</f>
        <v>2</v>
      </c>
      <c r="K33" s="2">
        <f>VLOOKUP(A:A,MASTER!A:I,9,0)</f>
        <v>2</v>
      </c>
      <c r="L33" s="1">
        <f>VLOOKUP(A:A,MASTER!A:C,3,0)</f>
        <v>1</v>
      </c>
      <c r="M33" s="1">
        <f>VLOOKUP(A:A,MASTER!A:H,8,0)</f>
        <v>1</v>
      </c>
      <c r="N33" s="1">
        <f>VLOOKUP(A:A,MASTER!A:B,2,0)</f>
        <v>828</v>
      </c>
      <c r="O33">
        <f>VLOOKUP(A:A,MASTER!A:G,7,0)</f>
        <v>837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6619601.4259460308</v>
      </c>
      <c r="G34" s="1">
        <f>VLOOKUP(A:A,MASTER!A:K,11,0)</f>
        <v>6273615.4145639166</v>
      </c>
      <c r="H34" s="2">
        <f>VLOOKUP(A:A,MASTER!A:E,5,0)</f>
        <v>529</v>
      </c>
      <c r="I34" s="2">
        <f>VLOOKUP(A:A,MASTER!A:J,10,0)</f>
        <v>544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0</v>
      </c>
      <c r="N34" s="1">
        <f>VLOOKUP(A:A,MASTER!A:B,2,0)</f>
        <v>705</v>
      </c>
      <c r="O34">
        <f>VLOOKUP(A:A,MASTER!A:G,7,0)</f>
        <v>706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10611923.670867007</v>
      </c>
      <c r="G35" s="1">
        <f>VLOOKUP(A:A,MASTER!A:K,11,0)</f>
        <v>9719179.3084224835</v>
      </c>
      <c r="H35" s="2">
        <f>VLOOKUP(A:A,MASTER!A:E,5,0)</f>
        <v>859</v>
      </c>
      <c r="I35" s="2">
        <f>VLOOKUP(A:A,MASTER!A:J,10,0)</f>
        <v>867</v>
      </c>
      <c r="J35" s="2">
        <f>VLOOKUP(A:A,MASTER!A:D,4,0)</f>
        <v>2</v>
      </c>
      <c r="K35" s="2">
        <f>VLOOKUP(A:A,MASTER!A:I,9,0)</f>
        <v>1</v>
      </c>
      <c r="L35" s="1">
        <f>VLOOKUP(A:A,MASTER!A:C,3,0)</f>
        <v>1</v>
      </c>
      <c r="M35" s="1">
        <f>VLOOKUP(A:A,MASTER!A:H,8,0)</f>
        <v>5</v>
      </c>
      <c r="N35" s="1">
        <f>VLOOKUP(A:A,MASTER!A:B,2,0)</f>
        <v>1137</v>
      </c>
      <c r="O35">
        <f>VLOOKUP(A:A,MASTER!A:G,7,0)</f>
        <v>1176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9597528.5100794509</v>
      </c>
      <c r="G36" s="1">
        <f>VLOOKUP(A:A,MASTER!A:K,11,0)</f>
        <v>8790994.6551055964</v>
      </c>
      <c r="H36" s="2">
        <f>VLOOKUP(A:A,MASTER!A:E,5,0)</f>
        <v>782</v>
      </c>
      <c r="I36" s="2">
        <f>VLOOKUP(A:A,MASTER!A:J,10,0)</f>
        <v>793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34</v>
      </c>
      <c r="M36" s="1">
        <f>VLOOKUP(A:A,MASTER!A:H,8,0)</f>
        <v>46</v>
      </c>
      <c r="N36" s="1">
        <f>VLOOKUP(A:A,MASTER!A:B,2,0)</f>
        <v>1233</v>
      </c>
      <c r="O36">
        <f>VLOOKUP(A:A,MASTER!A:G,7,0)</f>
        <v>1337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15688734.510597564</v>
      </c>
      <c r="G37" s="1">
        <f>VLOOKUP(A:A,MASTER!A:K,11,0)</f>
        <v>16041935.121685091</v>
      </c>
      <c r="H37" s="2">
        <f>VLOOKUP(A:A,MASTER!A:E,5,0)</f>
        <v>1409</v>
      </c>
      <c r="I37" s="2">
        <f>VLOOKUP(A:A,MASTER!A:J,10,0)</f>
        <v>1477</v>
      </c>
      <c r="J37" s="2">
        <f>VLOOKUP(A:A,MASTER!A:D,4,0)</f>
        <v>3</v>
      </c>
      <c r="K37" s="2">
        <f>VLOOKUP(A:A,MASTER!A:I,9,0)</f>
        <v>5</v>
      </c>
      <c r="L37" s="1">
        <f>VLOOKUP(A:A,MASTER!A:C,3,0)</f>
        <v>36</v>
      </c>
      <c r="M37" s="1">
        <f>VLOOKUP(A:A,MASTER!A:H,8,0)</f>
        <v>19</v>
      </c>
      <c r="N37" s="1">
        <f>VLOOKUP(A:A,MASTER!A:B,2,0)</f>
        <v>1882</v>
      </c>
      <c r="O37">
        <f>VLOOKUP(A:A,MASTER!A:G,7,0)</f>
        <v>2544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6470067.6283398336</v>
      </c>
      <c r="G38" s="1">
        <f>VLOOKUP(A:A,MASTER!A:K,11,0)</f>
        <v>5775032.9829335511</v>
      </c>
      <c r="H38" s="2">
        <f>VLOOKUP(A:A,MASTER!A:E,5,0)</f>
        <v>483</v>
      </c>
      <c r="I38" s="2">
        <f>VLOOKUP(A:A,MASTER!A:J,10,0)</f>
        <v>456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1</v>
      </c>
      <c r="M38" s="1">
        <f>VLOOKUP(A:A,MASTER!A:H,8,0)</f>
        <v>0</v>
      </c>
      <c r="N38" s="1">
        <f>VLOOKUP(A:A,MASTER!A:B,2,0)</f>
        <v>627</v>
      </c>
      <c r="O38">
        <f>VLOOKUP(A:A,MASTER!A:G,7,0)</f>
        <v>611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17509860.42114738</v>
      </c>
      <c r="G39" s="1">
        <f>VLOOKUP(A:A,MASTER!A:K,11,0)</f>
        <v>19803000.926697183</v>
      </c>
      <c r="H39" s="2">
        <f>VLOOKUP(A:A,MASTER!A:E,5,0)</f>
        <v>1802</v>
      </c>
      <c r="I39" s="2">
        <f>VLOOKUP(A:A,MASTER!A:J,10,0)</f>
        <v>2006</v>
      </c>
      <c r="J39" s="2">
        <f>VLOOKUP(A:A,MASTER!A:D,4,0)</f>
        <v>7</v>
      </c>
      <c r="K39" s="2">
        <f>VLOOKUP(A:A,MASTER!A:I,9,0)</f>
        <v>7</v>
      </c>
      <c r="L39" s="1">
        <f>VLOOKUP(A:A,MASTER!A:C,3,0)</f>
        <v>1</v>
      </c>
      <c r="M39" s="1">
        <f>VLOOKUP(A:A,MASTER!A:H,8,0)</f>
        <v>1</v>
      </c>
      <c r="N39" s="1">
        <f>VLOOKUP(A:A,MASTER!A:B,2,0)</f>
        <v>1968</v>
      </c>
      <c r="O39">
        <f>VLOOKUP(A:A,MASTER!A:G,7,0)</f>
        <v>2066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12266555.037886323</v>
      </c>
      <c r="G40" s="1">
        <f>VLOOKUP(A:A,MASTER!A:K,11,0)</f>
        <v>12542230.531580009</v>
      </c>
      <c r="H40" s="2">
        <f>VLOOKUP(A:A,MASTER!A:E,5,0)</f>
        <v>748</v>
      </c>
      <c r="I40" s="2">
        <f>VLOOKUP(A:A,MASTER!A:J,10,0)</f>
        <v>782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3</v>
      </c>
      <c r="M40" s="1">
        <f>VLOOKUP(A:A,MASTER!A:H,8,0)</f>
        <v>1</v>
      </c>
      <c r="N40" s="1">
        <f>VLOOKUP(A:A,MASTER!A:B,2,0)</f>
        <v>859</v>
      </c>
      <c r="O40">
        <f>VLOOKUP(A:A,MASTER!A:G,7,0)</f>
        <v>895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11423518.706303084</v>
      </c>
      <c r="G41" s="1">
        <f>VLOOKUP(A:A,MASTER!A:K,11,0)</f>
        <v>5556095.8800142836</v>
      </c>
      <c r="H41" s="2">
        <f>VLOOKUP(A:A,MASTER!A:E,5,0)</f>
        <v>893</v>
      </c>
      <c r="I41" s="2">
        <f>VLOOKUP(A:A,MASTER!A:J,10,0)</f>
        <v>462</v>
      </c>
      <c r="J41" s="2">
        <f>VLOOKUP(A:A,MASTER!A:D,4,0)</f>
        <v>4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1142</v>
      </c>
      <c r="O41">
        <f>VLOOKUP(A:A,MASTER!A:G,7,0)</f>
        <v>1105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10758260.689446844</v>
      </c>
      <c r="G42" s="1">
        <f>VLOOKUP(A:A,MASTER!A:K,11,0)</f>
        <v>9777702.0178567767</v>
      </c>
      <c r="H42" s="2">
        <f>VLOOKUP(A:A,MASTER!A:E,5,0)</f>
        <v>629</v>
      </c>
      <c r="I42" s="2">
        <f>VLOOKUP(A:A,MASTER!A:J,10,0)</f>
        <v>663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0</v>
      </c>
      <c r="N42" s="1">
        <f>VLOOKUP(A:A,MASTER!A:B,2,0)</f>
        <v>846</v>
      </c>
      <c r="O42">
        <f>VLOOKUP(A:A,MASTER!A:G,7,0)</f>
        <v>827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5798980.5858204048</v>
      </c>
      <c r="G43" s="1">
        <f>VLOOKUP(A:A,MASTER!A:K,11,0)</f>
        <v>6684286.8881617002</v>
      </c>
      <c r="H43" s="2">
        <f>VLOOKUP(A:A,MASTER!A:E,5,0)</f>
        <v>528</v>
      </c>
      <c r="I43" s="2">
        <f>VLOOKUP(A:A,MASTER!A:J,10,0)</f>
        <v>584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0</v>
      </c>
      <c r="M43" s="1">
        <f>VLOOKUP(A:A,MASTER!A:H,8,0)</f>
        <v>0</v>
      </c>
      <c r="N43" s="1">
        <f>VLOOKUP(A:A,MASTER!A:B,2,0)</f>
        <v>661</v>
      </c>
      <c r="O43">
        <f>VLOOKUP(A:A,MASTER!A:G,7,0)</f>
        <v>686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5562478.9097076738</v>
      </c>
      <c r="G44" s="1">
        <f>VLOOKUP(A:A,MASTER!A:K,11,0)</f>
        <v>5538977.3383655511</v>
      </c>
      <c r="H44" s="2">
        <f>VLOOKUP(A:A,MASTER!A:E,5,0)</f>
        <v>705</v>
      </c>
      <c r="I44" s="2">
        <f>VLOOKUP(A:A,MASTER!A:J,10,0)</f>
        <v>712</v>
      </c>
      <c r="J44" s="2">
        <f>VLOOKUP(A:A,MASTER!A:D,4,0)</f>
        <v>1</v>
      </c>
      <c r="K44" s="2">
        <f>VLOOKUP(A:A,MASTER!A:I,9,0)</f>
        <v>3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690</v>
      </c>
      <c r="O44">
        <f>VLOOKUP(A:A,MASTER!A:G,7,0)</f>
        <v>697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21737480.949146856</v>
      </c>
      <c r="G45" s="1">
        <f>VLOOKUP(A:A,MASTER!A:K,11,0)</f>
        <v>17668408.580657668</v>
      </c>
      <c r="H45" s="2">
        <f>VLOOKUP(A:A,MASTER!A:E,5,0)</f>
        <v>1454</v>
      </c>
      <c r="I45" s="2">
        <f>VLOOKUP(A:A,MASTER!A:J,10,0)</f>
        <v>1120</v>
      </c>
      <c r="J45" s="2">
        <f>VLOOKUP(A:A,MASTER!A:D,4,0)</f>
        <v>7</v>
      </c>
      <c r="K45" s="2">
        <f>VLOOKUP(A:A,MASTER!A:I,9,0)</f>
        <v>4</v>
      </c>
      <c r="L45" s="1">
        <f>VLOOKUP(A:A,MASTER!A:C,3,0)</f>
        <v>5</v>
      </c>
      <c r="M45" s="1">
        <f>VLOOKUP(A:A,MASTER!A:H,8,0)</f>
        <v>0</v>
      </c>
      <c r="N45" s="1">
        <f>VLOOKUP(A:A,MASTER!A:B,2,0)</f>
        <v>1279</v>
      </c>
      <c r="O45">
        <f>VLOOKUP(A:A,MASTER!A:G,7,0)</f>
        <v>1245</v>
      </c>
      <c r="P45">
        <v>4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9251292.3983292542</v>
      </c>
      <c r="G46" s="1">
        <f>VLOOKUP(A:A,MASTER!A:K,11,0)</f>
        <v>8311758.9493374256</v>
      </c>
      <c r="H46" s="2">
        <f>VLOOKUP(A:A,MASTER!A:E,5,0)</f>
        <v>932</v>
      </c>
      <c r="I46" s="2">
        <f>VLOOKUP(A:A,MASTER!A:J,10,0)</f>
        <v>933</v>
      </c>
      <c r="J46" s="2">
        <f>VLOOKUP(A:A,MASTER!A:D,4,0)</f>
        <v>4</v>
      </c>
      <c r="K46" s="2">
        <f>VLOOKUP(A:A,MASTER!A:I,9,0)</f>
        <v>5</v>
      </c>
      <c r="L46" s="1">
        <f>VLOOKUP(A:A,MASTER!A:C,3,0)</f>
        <v>0</v>
      </c>
      <c r="M46" s="1">
        <f>VLOOKUP(A:A,MASTER!A:H,8,0)</f>
        <v>1</v>
      </c>
      <c r="N46" s="1">
        <f>VLOOKUP(A:A,MASTER!A:B,2,0)</f>
        <v>867</v>
      </c>
      <c r="O46">
        <f>VLOOKUP(A:A,MASTER!A:G,7,0)</f>
        <v>901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11821046.27861462</v>
      </c>
      <c r="G47" s="1">
        <f>VLOOKUP(A:A,MASTER!A:K,11,0)</f>
        <v>14882247.462702388</v>
      </c>
      <c r="H47" s="2">
        <f>VLOOKUP(A:A,MASTER!A:E,5,0)</f>
        <v>1109</v>
      </c>
      <c r="I47" s="2">
        <f>VLOOKUP(A:A,MASTER!A:J,10,0)</f>
        <v>1042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1</v>
      </c>
      <c r="M47" s="1">
        <f>VLOOKUP(A:A,MASTER!A:H,8,0)</f>
        <v>1</v>
      </c>
      <c r="N47" s="1">
        <f>VLOOKUP(A:A,MASTER!A:B,2,0)</f>
        <v>1319</v>
      </c>
      <c r="O47">
        <f>VLOOKUP(A:A,MASTER!A:G,7,0)</f>
        <v>1347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5591648.4348684251</v>
      </c>
      <c r="G48" s="1">
        <f>VLOOKUP(A:A,MASTER!A:K,11,0)</f>
        <v>7909758.2747908533</v>
      </c>
      <c r="H48" s="2">
        <f>VLOOKUP(A:A,MASTER!A:E,5,0)</f>
        <v>5</v>
      </c>
      <c r="I48" s="2">
        <f>VLOOKUP(A:A,MASTER!A:J,10,0)</f>
        <v>392</v>
      </c>
      <c r="J48" s="2">
        <f>VLOOKUP(A:A,MASTER!A:D,4,0)</f>
        <v>4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0</v>
      </c>
      <c r="N48" s="1">
        <f>VLOOKUP(A:A,MASTER!A:B,2,0)</f>
        <v>479</v>
      </c>
      <c r="O48">
        <f>VLOOKUP(A:A,MASTER!A:G,7,0)</f>
        <v>486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7608363.9352213563</v>
      </c>
      <c r="G49" s="1">
        <f>VLOOKUP(A:A,MASTER!A:K,11,0)</f>
        <v>5763787.7664615251</v>
      </c>
      <c r="H49" s="2">
        <f>VLOOKUP(A:A,MASTER!A:E,5,0)</f>
        <v>541</v>
      </c>
      <c r="I49" s="2">
        <f>VLOOKUP(A:A,MASTER!A:J,10,0)</f>
        <v>321</v>
      </c>
      <c r="J49" s="2">
        <f>VLOOKUP(A:A,MASTER!A:D,4,0)</f>
        <v>9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444</v>
      </c>
      <c r="O49">
        <f>VLOOKUP(A:A,MASTER!A:G,7,0)</f>
        <v>455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6128628.9357606936</v>
      </c>
      <c r="G50" s="1">
        <f>VLOOKUP(A:A,MASTER!A:K,11,0)</f>
        <v>4932361.0217840318</v>
      </c>
      <c r="H50" s="2">
        <f>VLOOKUP(A:A,MASTER!A:E,5,0)</f>
        <v>879</v>
      </c>
      <c r="I50" s="2">
        <f>VLOOKUP(A:A,MASTER!A:J,10,0)</f>
        <v>333</v>
      </c>
      <c r="J50" s="2">
        <f>VLOOKUP(A:A,MASTER!A:D,4,0)</f>
        <v>2</v>
      </c>
      <c r="K50" s="2">
        <f>VLOOKUP(A:A,MASTER!A:I,9,0)</f>
        <v>3</v>
      </c>
      <c r="L50" s="1">
        <f>VLOOKUP(A:A,MASTER!A:C,3,0)</f>
        <v>3</v>
      </c>
      <c r="M50" s="1">
        <f>VLOOKUP(A:A,MASTER!A:H,8,0)</f>
        <v>0</v>
      </c>
      <c r="N50" s="1">
        <f>VLOOKUP(A:A,MASTER!A:B,2,0)</f>
        <v>423</v>
      </c>
      <c r="O50">
        <f>VLOOKUP(A:A,MASTER!A:G,7,0)</f>
        <v>425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12661711.662759928</v>
      </c>
      <c r="G51" s="1">
        <f>VLOOKUP(A:A,MASTER!A:K,11,0)</f>
        <v>11307100.037220374</v>
      </c>
      <c r="H51" s="2">
        <f>VLOOKUP(A:A,MASTER!A:E,5,0)</f>
        <v>932</v>
      </c>
      <c r="I51" s="2">
        <f>VLOOKUP(A:A,MASTER!A:J,10,0)</f>
        <v>1111</v>
      </c>
      <c r="J51" s="2">
        <f>VLOOKUP(A:A,MASTER!A:D,4,0)</f>
        <v>0</v>
      </c>
      <c r="K51" s="2">
        <f>VLOOKUP(A:A,MASTER!A:I,9,0)</f>
        <v>0</v>
      </c>
      <c r="L51" s="1">
        <f>VLOOKUP(A:A,MASTER!A:C,3,0)</f>
        <v>0</v>
      </c>
      <c r="M51" s="1">
        <f>VLOOKUP(A:A,MASTER!A:H,8,0)</f>
        <v>0</v>
      </c>
      <c r="N51" s="1">
        <f>VLOOKUP(A:A,MASTER!A:B,2,0)</f>
        <v>1130</v>
      </c>
      <c r="O51">
        <f>VLOOKUP(A:A,MASTER!A:G,7,0)</f>
        <v>1112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13626568.667371128</v>
      </c>
      <c r="G52" s="1">
        <f>VLOOKUP(A:A,MASTER!A:K,11,0)</f>
        <v>8397528.3064261712</v>
      </c>
      <c r="H52" s="2">
        <f>VLOOKUP(A:A,MASTER!A:E,5,0)</f>
        <v>876</v>
      </c>
      <c r="I52" s="2">
        <f>VLOOKUP(A:A,MASTER!A:J,10,0)</f>
        <v>695</v>
      </c>
      <c r="J52" s="2">
        <f>VLOOKUP(A:A,MASTER!A:D,4,0)</f>
        <v>4</v>
      </c>
      <c r="K52" s="2">
        <f>VLOOKUP(A:A,MASTER!A:I,9,0)</f>
        <v>1</v>
      </c>
      <c r="L52" s="1">
        <f>VLOOKUP(A:A,MASTER!A:C,3,0)</f>
        <v>4</v>
      </c>
      <c r="M52" s="1">
        <f>VLOOKUP(A:A,MASTER!A:H,8,0)</f>
        <v>1</v>
      </c>
      <c r="N52" s="1">
        <f>VLOOKUP(A:A,MASTER!A:B,2,0)</f>
        <v>966</v>
      </c>
      <c r="O52">
        <f>VLOOKUP(A:A,MASTER!A:G,7,0)</f>
        <v>954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16713879.377090869</v>
      </c>
      <c r="G53" s="1">
        <f>VLOOKUP(A:A,MASTER!A:K,11,0)</f>
        <v>22573183.750718944</v>
      </c>
      <c r="H53" s="2">
        <f>VLOOKUP(A:A,MASTER!A:E,5,0)</f>
        <v>1640</v>
      </c>
      <c r="I53" s="2">
        <f>VLOOKUP(A:A,MASTER!A:J,10,0)</f>
        <v>1558</v>
      </c>
      <c r="J53" s="2">
        <f>VLOOKUP(A:A,MASTER!A:D,4,0)</f>
        <v>6</v>
      </c>
      <c r="K53" s="2">
        <f>VLOOKUP(A:A,MASTER!A:I,9,0)</f>
        <v>8</v>
      </c>
      <c r="L53" s="1">
        <f>VLOOKUP(A:A,MASTER!A:C,3,0)</f>
        <v>14</v>
      </c>
      <c r="M53" s="1">
        <f>VLOOKUP(A:A,MASTER!A:H,8,0)</f>
        <v>5</v>
      </c>
      <c r="N53" s="1">
        <f>VLOOKUP(A:A,MASTER!A:B,2,0)</f>
        <v>2212</v>
      </c>
      <c r="O53">
        <f>VLOOKUP(A:A,MASTER!A:G,7,0)</f>
        <v>2037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6379712.6169025553</v>
      </c>
      <c r="G54" s="1">
        <f>VLOOKUP(A:A,MASTER!A:K,11,0)</f>
        <v>4781920.9490648406</v>
      </c>
      <c r="H54" s="2">
        <f>VLOOKUP(A:A,MASTER!A:E,5,0)</f>
        <v>532</v>
      </c>
      <c r="I54" s="2">
        <f>VLOOKUP(A:A,MASTER!A:J,10,0)</f>
        <v>518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0</v>
      </c>
      <c r="M54" s="1">
        <f>VLOOKUP(A:A,MASTER!A:H,8,0)</f>
        <v>0</v>
      </c>
      <c r="N54" s="1">
        <f>VLOOKUP(A:A,MASTER!A:B,2,0)</f>
        <v>678</v>
      </c>
      <c r="O54">
        <f>VLOOKUP(A:A,MASTER!A:G,7,0)</f>
        <v>678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8991956.9474403877</v>
      </c>
      <c r="G55" s="1">
        <f>VLOOKUP(A:A,MASTER!A:K,11,0)</f>
        <v>8349086.2784085236</v>
      </c>
      <c r="H55" s="2">
        <f>VLOOKUP(A:A,MASTER!A:E,5,0)</f>
        <v>658</v>
      </c>
      <c r="I55" s="2">
        <f>VLOOKUP(A:A,MASTER!A:J,10,0)</f>
        <v>683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1</v>
      </c>
      <c r="M55" s="1">
        <f>VLOOKUP(A:A,MASTER!A:H,8,0)</f>
        <v>2</v>
      </c>
      <c r="N55" s="1">
        <f>VLOOKUP(A:A,MASTER!A:B,2,0)</f>
        <v>860</v>
      </c>
      <c r="O55">
        <f>VLOOKUP(A:A,MASTER!A:G,7,0)</f>
        <v>869</v>
      </c>
      <c r="P55">
        <v>6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7657816.4317125622</v>
      </c>
      <c r="G56" s="1">
        <f>VLOOKUP(A:A,MASTER!A:K,11,0)</f>
        <v>5833873.0823586648</v>
      </c>
      <c r="H56" s="2">
        <f>VLOOKUP(A:A,MASTER!A:E,5,0)</f>
        <v>774</v>
      </c>
      <c r="I56" s="2">
        <f>VLOOKUP(A:A,MASTER!A:J,10,0)</f>
        <v>612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0</v>
      </c>
      <c r="M56" s="1">
        <f>VLOOKUP(A:A,MASTER!A:H,8,0)</f>
        <v>0</v>
      </c>
      <c r="N56" s="1">
        <f>VLOOKUP(A:A,MASTER!A:B,2,0)</f>
        <v>788</v>
      </c>
      <c r="O56">
        <f>VLOOKUP(A:A,MASTER!A:G,7,0)</f>
        <v>756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11863483.749333108</v>
      </c>
      <c r="G57" s="1">
        <f>VLOOKUP(A:A,MASTER!A:K,11,0)</f>
        <v>11507491.265354032</v>
      </c>
      <c r="H57" s="2">
        <f>VLOOKUP(A:A,MASTER!A:E,5,0)</f>
        <v>1121</v>
      </c>
      <c r="I57" s="2">
        <f>VLOOKUP(A:A,MASTER!A:J,10,0)</f>
        <v>1017</v>
      </c>
      <c r="J57" s="2">
        <f>VLOOKUP(A:A,MASTER!A:D,4,0)</f>
        <v>0</v>
      </c>
      <c r="K57" s="2">
        <f>VLOOKUP(A:A,MASTER!A:I,9,0)</f>
        <v>0</v>
      </c>
      <c r="L57" s="1">
        <f>VLOOKUP(A:A,MASTER!A:C,3,0)</f>
        <v>1</v>
      </c>
      <c r="M57" s="1">
        <f>VLOOKUP(A:A,MASTER!A:H,8,0)</f>
        <v>2</v>
      </c>
      <c r="N57" s="1">
        <f>VLOOKUP(A:A,MASTER!A:B,2,0)</f>
        <v>1067</v>
      </c>
      <c r="O57">
        <f>VLOOKUP(A:A,MASTER!A:G,7,0)</f>
        <v>1100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15321494.302633652</v>
      </c>
      <c r="G58" s="1">
        <f>VLOOKUP(A:A,MASTER!A:K,11,0)</f>
        <v>13532937.95509661</v>
      </c>
      <c r="H58" s="2">
        <f>VLOOKUP(A:A,MASTER!A:E,5,0)</f>
        <v>1447</v>
      </c>
      <c r="I58" s="2">
        <f>VLOOKUP(A:A,MASTER!A:J,10,0)</f>
        <v>1450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3</v>
      </c>
      <c r="M58" s="1">
        <f>VLOOKUP(A:A,MASTER!A:H,8,0)</f>
        <v>1</v>
      </c>
      <c r="N58" s="1">
        <f>VLOOKUP(A:A,MASTER!A:B,2,0)</f>
        <v>1341</v>
      </c>
      <c r="O58">
        <f>VLOOKUP(A:A,MASTER!A:G,7,0)</f>
        <v>1358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8058811.266136542</v>
      </c>
      <c r="G59" s="1">
        <f>VLOOKUP(A:A,MASTER!A:K,11,0)</f>
        <v>8013162.8275077576</v>
      </c>
      <c r="H59" s="2">
        <f>VLOOKUP(A:A,MASTER!A:E,5,0)</f>
        <v>731</v>
      </c>
      <c r="I59" s="2">
        <f>VLOOKUP(A:A,MASTER!A:J,10,0)</f>
        <v>700</v>
      </c>
      <c r="J59" s="2">
        <f>VLOOKUP(A:A,MASTER!A:D,4,0)</f>
        <v>5</v>
      </c>
      <c r="K59" s="2">
        <f>VLOOKUP(A:A,MASTER!A:I,9,0)</f>
        <v>3</v>
      </c>
      <c r="L59" s="1">
        <f>VLOOKUP(A:A,MASTER!A:C,3,0)</f>
        <v>1</v>
      </c>
      <c r="M59" s="1">
        <f>VLOOKUP(A:A,MASTER!A:H,8,0)</f>
        <v>0</v>
      </c>
      <c r="N59" s="1">
        <f>VLOOKUP(A:A,MASTER!A:B,2,0)</f>
        <v>792</v>
      </c>
      <c r="O59">
        <f>VLOOKUP(A:A,MASTER!A:G,7,0)</f>
        <v>774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9269260.5100010578</v>
      </c>
      <c r="G60" s="1">
        <f>VLOOKUP(A:A,MASTER!A:K,11,0)</f>
        <v>8893470.3084834833</v>
      </c>
      <c r="H60" s="2">
        <f>VLOOKUP(A:A,MASTER!A:E,5,0)</f>
        <v>468</v>
      </c>
      <c r="I60" s="2">
        <f>VLOOKUP(A:A,MASTER!A:J,10,0)</f>
        <v>455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1</v>
      </c>
      <c r="M60" s="1">
        <f>VLOOKUP(A:A,MASTER!A:H,8,0)</f>
        <v>1</v>
      </c>
      <c r="N60" s="1">
        <f>VLOOKUP(A:A,MASTER!A:B,2,0)</f>
        <v>701</v>
      </c>
      <c r="O60">
        <f>VLOOKUP(A:A,MASTER!A:G,7,0)</f>
        <v>650</v>
      </c>
      <c r="P60">
        <v>8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18229398.001991931</v>
      </c>
      <c r="G61" s="1">
        <f>VLOOKUP(A:A,MASTER!A:K,11,0)</f>
        <v>28428132.615541138</v>
      </c>
      <c r="H61" s="2">
        <f>VLOOKUP(A:A,MASTER!A:E,5,0)</f>
        <v>1622</v>
      </c>
      <c r="I61" s="2">
        <f>VLOOKUP(A:A,MASTER!A:J,10,0)</f>
        <v>1646</v>
      </c>
      <c r="J61" s="2">
        <f>VLOOKUP(A:A,MASTER!A:D,4,0)</f>
        <v>8</v>
      </c>
      <c r="K61" s="2">
        <f>VLOOKUP(A:A,MASTER!A:I,9,0)</f>
        <v>11</v>
      </c>
      <c r="L61" s="1">
        <f>VLOOKUP(A:A,MASTER!A:C,3,0)</f>
        <v>0</v>
      </c>
      <c r="M61" s="1">
        <f>VLOOKUP(A:A,MASTER!A:H,8,0)</f>
        <v>2</v>
      </c>
      <c r="N61" s="1">
        <f>VLOOKUP(A:A,MASTER!A:B,2,0)</f>
        <v>2017</v>
      </c>
      <c r="O61">
        <f>VLOOKUP(A:A,MASTER!A:G,7,0)</f>
        <v>2011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22361324.738696799</v>
      </c>
      <c r="G62" s="1">
        <f>VLOOKUP(A:A,MASTER!A:K,11,0)</f>
        <v>19014835.241792019</v>
      </c>
      <c r="H62" s="2">
        <f>VLOOKUP(A:A,MASTER!A:E,5,0)</f>
        <v>1171</v>
      </c>
      <c r="I62" s="2">
        <f>VLOOKUP(A:A,MASTER!A:J,10,0)</f>
        <v>1188</v>
      </c>
      <c r="J62" s="2">
        <f>VLOOKUP(A:A,MASTER!A:D,4,0)</f>
        <v>7</v>
      </c>
      <c r="K62" s="2">
        <f>VLOOKUP(A:A,MASTER!A:I,9,0)</f>
        <v>6</v>
      </c>
      <c r="L62" s="1">
        <f>VLOOKUP(A:A,MASTER!A:C,3,0)</f>
        <v>9</v>
      </c>
      <c r="M62" s="1">
        <f>VLOOKUP(A:A,MASTER!A:H,8,0)</f>
        <v>1</v>
      </c>
      <c r="N62" s="1">
        <f>VLOOKUP(A:A,MASTER!A:B,2,0)</f>
        <v>1611</v>
      </c>
      <c r="O62">
        <f>VLOOKUP(A:A,MASTER!A:G,7,0)</f>
        <v>1569</v>
      </c>
      <c r="P62">
        <v>9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14473423.450396292</v>
      </c>
      <c r="G63" s="1">
        <f>VLOOKUP(A:A,MASTER!A:K,11,0)</f>
        <v>13488920.19425902</v>
      </c>
      <c r="H63" s="2">
        <f>VLOOKUP(A:A,MASTER!A:E,5,0)</f>
        <v>662</v>
      </c>
      <c r="I63" s="2">
        <f>VLOOKUP(A:A,MASTER!A:J,10,0)</f>
        <v>767</v>
      </c>
      <c r="J63" s="2">
        <f>VLOOKUP(A:A,MASTER!A:D,4,0)</f>
        <v>0</v>
      </c>
      <c r="K63" s="2">
        <f>VLOOKUP(A:A,MASTER!A:I,9,0)</f>
        <v>1</v>
      </c>
      <c r="L63" s="1">
        <f>VLOOKUP(A:A,MASTER!A:C,3,0)</f>
        <v>0</v>
      </c>
      <c r="M63" s="1">
        <f>VLOOKUP(A:A,MASTER!A:H,8,0)</f>
        <v>2</v>
      </c>
      <c r="N63" s="1">
        <f>VLOOKUP(A:A,MASTER!A:B,2,0)</f>
        <v>857</v>
      </c>
      <c r="O63">
        <f>VLOOKUP(A:A,MASTER!A:G,7,0)</f>
        <v>870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20091572.499213256</v>
      </c>
      <c r="G64" s="1">
        <f>VLOOKUP(A:A,MASTER!A:K,11,0)</f>
        <v>21020869.711768493</v>
      </c>
      <c r="H64" s="2">
        <f>VLOOKUP(A:A,MASTER!A:E,5,0)</f>
        <v>1338</v>
      </c>
      <c r="I64" s="2">
        <f>VLOOKUP(A:A,MASTER!A:J,10,0)</f>
        <v>1307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35</v>
      </c>
      <c r="M64" s="1">
        <f>VLOOKUP(A:A,MASTER!A:H,8,0)</f>
        <v>99</v>
      </c>
      <c r="N64" s="1">
        <f>VLOOKUP(A:A,MASTER!A:B,2,0)</f>
        <v>1899</v>
      </c>
      <c r="O64">
        <f>VLOOKUP(A:A,MASTER!A:G,7,0)</f>
        <v>2133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1561428.480501238</v>
      </c>
      <c r="G65" s="1">
        <f>VLOOKUP(A:A,MASTER!A:K,11,0)</f>
        <v>2.0709595030000001</v>
      </c>
      <c r="H65" s="2">
        <f>VLOOKUP(A:A,MASTER!A:E,5,0)</f>
        <v>254</v>
      </c>
      <c r="I65" s="2">
        <f>VLOOKUP(A:A,MASTER!A:J,10,0)</f>
        <v>2</v>
      </c>
      <c r="J65" s="2">
        <f>VLOOKUP(A:A,MASTER!A:D,4,0)</f>
        <v>1</v>
      </c>
      <c r="K65" s="2">
        <f>VLOOKUP(A:A,MASTER!A:I,9,0)</f>
        <v>0</v>
      </c>
      <c r="L65" s="1">
        <f>VLOOKUP(A:A,MASTER!A:C,3,0)</f>
        <v>0</v>
      </c>
      <c r="M65" s="1">
        <f>VLOOKUP(A:A,MASTER!A:H,8,0)</f>
        <v>0</v>
      </c>
      <c r="N65" s="1">
        <f>VLOOKUP(A:A,MASTER!A:B,2,0)</f>
        <v>270</v>
      </c>
      <c r="O65">
        <f>VLOOKUP(A:A,MASTER!A:G,7,0)</f>
        <v>254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16733881.714438308</v>
      </c>
      <c r="G66" s="1">
        <f>VLOOKUP(A:A,MASTER!A:K,11,0)</f>
        <v>14199763.569661347</v>
      </c>
      <c r="H66" s="2">
        <f>VLOOKUP(A:A,MASTER!A:E,5,0)</f>
        <v>1664</v>
      </c>
      <c r="I66" s="2">
        <f>VLOOKUP(A:A,MASTER!A:J,10,0)</f>
        <v>1836</v>
      </c>
      <c r="J66" s="2">
        <f>VLOOKUP(A:A,MASTER!A:D,4,0)</f>
        <v>7</v>
      </c>
      <c r="K66" s="2">
        <f>VLOOKUP(A:A,MASTER!A:I,9,0)</f>
        <v>4</v>
      </c>
      <c r="L66" s="1">
        <f>VLOOKUP(A:A,MASTER!A:C,3,0)</f>
        <v>0</v>
      </c>
      <c r="M66" s="1">
        <f>VLOOKUP(A:A,MASTER!A:H,8,0)</f>
        <v>3</v>
      </c>
      <c r="N66" s="1">
        <f>VLOOKUP(A:A,MASTER!A:B,2,0)</f>
        <v>1739</v>
      </c>
      <c r="O66">
        <f>VLOOKUP(A:A,MASTER!A:G,7,0)</f>
        <v>1666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6260256.2300493997</v>
      </c>
      <c r="G67" s="1">
        <f>VLOOKUP(A:A,MASTER!A:K,11,0)</f>
        <v>7314365.6052390682</v>
      </c>
      <c r="H67" s="2">
        <f>VLOOKUP(A:A,MASTER!A:E,5,0)</f>
        <v>548</v>
      </c>
      <c r="I67" s="2">
        <f>VLOOKUP(A:A,MASTER!A:J,10,0)</f>
        <v>776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0</v>
      </c>
      <c r="M67" s="1">
        <f>VLOOKUP(A:A,MASTER!A:H,8,0)</f>
        <v>1</v>
      </c>
      <c r="N67" s="1">
        <f>VLOOKUP(A:A,MASTER!A:B,2,0)</f>
        <v>653</v>
      </c>
      <c r="O67">
        <f>VLOOKUP(A:A,MASTER!A:G,7,0)</f>
        <v>698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10563149.67928694</v>
      </c>
      <c r="G68" s="1">
        <f>VLOOKUP(A:A,MASTER!A:K,11,0)</f>
        <v>10158060.965133499</v>
      </c>
      <c r="H68" s="2">
        <f>VLOOKUP(A:A,MASTER!A:E,5,0)</f>
        <v>957</v>
      </c>
      <c r="I68" s="2">
        <f>VLOOKUP(A:A,MASTER!A:J,10,0)</f>
        <v>903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19</v>
      </c>
      <c r="M68" s="1">
        <f>VLOOKUP(A:A,MASTER!A:H,8,0)</f>
        <v>18</v>
      </c>
      <c r="N68" s="1">
        <f>VLOOKUP(A:A,MASTER!A:B,2,0)</f>
        <v>1396</v>
      </c>
      <c r="O68">
        <f>VLOOKUP(A:A,MASTER!A:G,7,0)</f>
        <v>1384</v>
      </c>
      <c r="P68">
        <v>3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4879934.5253025386</v>
      </c>
      <c r="G69" s="1">
        <f>VLOOKUP(A:A,MASTER!A:K,11,0)</f>
        <v>8403983.9138157759</v>
      </c>
      <c r="H69" s="2">
        <f>VLOOKUP(A:A,MASTER!A:E,5,0)</f>
        <v>1403</v>
      </c>
      <c r="I69" s="2">
        <f>VLOOKUP(A:A,MASTER!A:J,10,0)</f>
        <v>1792</v>
      </c>
      <c r="J69" s="2">
        <f>VLOOKUP(A:A,MASTER!A:D,4,0)</f>
        <v>4</v>
      </c>
      <c r="K69" s="2">
        <f>VLOOKUP(A:A,MASTER!A:I,9,0)</f>
        <v>5</v>
      </c>
      <c r="L69" s="1">
        <f>VLOOKUP(A:A,MASTER!A:C,3,0)</f>
        <v>3</v>
      </c>
      <c r="M69" s="1">
        <f>VLOOKUP(A:A,MASTER!A:H,8,0)</f>
        <v>1</v>
      </c>
      <c r="N69" s="1">
        <f>VLOOKUP(A:A,MASTER!A:B,2,0)</f>
        <v>1412</v>
      </c>
      <c r="O69">
        <f>VLOOKUP(A:A,MASTER!A:G,7,0)</f>
        <v>1306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17404206.181409512</v>
      </c>
      <c r="G70" s="1">
        <f>VLOOKUP(A:A,MASTER!A:K,11,0)</f>
        <v>19248935.953068849</v>
      </c>
      <c r="H70" s="2">
        <f>VLOOKUP(A:A,MASTER!A:E,5,0)</f>
        <v>1271</v>
      </c>
      <c r="I70" s="2">
        <f>VLOOKUP(A:A,MASTER!A:J,10,0)</f>
        <v>1232</v>
      </c>
      <c r="J70" s="2">
        <f>VLOOKUP(A:A,MASTER!A:D,4,0)</f>
        <v>6</v>
      </c>
      <c r="K70" s="2">
        <f>VLOOKUP(A:A,MASTER!A:I,9,0)</f>
        <v>5</v>
      </c>
      <c r="L70" s="1">
        <f>VLOOKUP(A:A,MASTER!A:C,3,0)</f>
        <v>2</v>
      </c>
      <c r="M70" s="1">
        <f>VLOOKUP(A:A,MASTER!A:H,8,0)</f>
        <v>2</v>
      </c>
      <c r="N70" s="1">
        <f>VLOOKUP(A:A,MASTER!A:B,2,0)</f>
        <v>1719</v>
      </c>
      <c r="O70">
        <f>VLOOKUP(A:A,MASTER!A:G,7,0)</f>
        <v>1743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4029401.0109289791</v>
      </c>
      <c r="G71" s="1">
        <f>VLOOKUP(A:A,MASTER!A:K,11,0)</f>
        <v>3683325.4120055642</v>
      </c>
      <c r="H71" s="2">
        <f>VLOOKUP(A:A,MASTER!A:E,5,0)</f>
        <v>554</v>
      </c>
      <c r="I71" s="2">
        <f>VLOOKUP(A:A,MASTER!A:J,10,0)</f>
        <v>503</v>
      </c>
      <c r="J71" s="2">
        <f>VLOOKUP(A:A,MASTER!A:D,4,0)</f>
        <v>2</v>
      </c>
      <c r="K71" s="2">
        <f>VLOOKUP(A:A,MASTER!A:I,9,0)</f>
        <v>1</v>
      </c>
      <c r="L71" s="1">
        <f>VLOOKUP(A:A,MASTER!A:C,3,0)</f>
        <v>1</v>
      </c>
      <c r="M71" s="1">
        <f>VLOOKUP(A:A,MASTER!A:H,8,0)</f>
        <v>1</v>
      </c>
      <c r="N71" s="1">
        <f>VLOOKUP(A:A,MASTER!A:B,2,0)</f>
        <v>488</v>
      </c>
      <c r="O71">
        <f>VLOOKUP(A:A,MASTER!A:G,7,0)</f>
        <v>495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6554960.5533400709</v>
      </c>
      <c r="G72" s="1">
        <f>VLOOKUP(A:A,MASTER!A:K,11,0)</f>
        <v>5391451.010178484</v>
      </c>
      <c r="H72" s="2">
        <f>VLOOKUP(A:A,MASTER!A:E,5,0)</f>
        <v>805</v>
      </c>
      <c r="I72" s="2">
        <f>VLOOKUP(A:A,MASTER!A:J,10,0)</f>
        <v>820</v>
      </c>
      <c r="J72" s="2">
        <f>VLOOKUP(A:A,MASTER!A:D,4,0)</f>
        <v>0</v>
      </c>
      <c r="K72" s="2">
        <f>VLOOKUP(A:A,MASTER!A:I,9,0)</f>
        <v>0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909</v>
      </c>
      <c r="O72">
        <f>VLOOKUP(A:A,MASTER!A:G,7,0)</f>
        <v>893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2689264.6686447202</v>
      </c>
      <c r="G73" s="1">
        <f>VLOOKUP(A:A,MASTER!A:K,11,0)</f>
        <v>5569919.9248531396</v>
      </c>
      <c r="H73" s="2">
        <f>VLOOKUP(A:A,MASTER!A:E,5,0)</f>
        <v>564</v>
      </c>
      <c r="I73" s="2">
        <f>VLOOKUP(A:A,MASTER!A:J,10,0)</f>
        <v>473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0</v>
      </c>
      <c r="M73" s="1">
        <f>VLOOKUP(A:A,MASTER!A:H,8,0)</f>
        <v>0</v>
      </c>
      <c r="N73" s="1">
        <f>VLOOKUP(A:A,MASTER!A:B,2,0)</f>
        <v>679</v>
      </c>
      <c r="O73">
        <f>VLOOKUP(A:A,MASTER!A:G,7,0)</f>
        <v>647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4337037.0864686901</v>
      </c>
      <c r="G74" s="1">
        <f>VLOOKUP(A:A,MASTER!A:K,11,0)</f>
        <v>4940735.7756936448</v>
      </c>
      <c r="H74" s="2">
        <f>VLOOKUP(A:A,MASTER!A:E,5,0)</f>
        <v>906</v>
      </c>
      <c r="I74" s="2">
        <f>VLOOKUP(A:A,MASTER!A:J,10,0)</f>
        <v>1265</v>
      </c>
      <c r="J74" s="2">
        <f>VLOOKUP(A:A,MASTER!A:D,4,0)</f>
        <v>2</v>
      </c>
      <c r="K74" s="2">
        <f>VLOOKUP(A:A,MASTER!A:I,9,0)</f>
        <v>1</v>
      </c>
      <c r="L74" s="1">
        <f>VLOOKUP(A:A,MASTER!A:C,3,0)</f>
        <v>0</v>
      </c>
      <c r="M74" s="1">
        <f>VLOOKUP(A:A,MASTER!A:H,8,0)</f>
        <v>3</v>
      </c>
      <c r="N74" s="1">
        <f>VLOOKUP(A:A,MASTER!A:B,2,0)</f>
        <v>587</v>
      </c>
      <c r="O74">
        <f>VLOOKUP(A:A,MASTER!A:G,7,0)</f>
        <v>585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5003494.0996635016</v>
      </c>
      <c r="G75" s="1">
        <f>VLOOKUP(A:A,MASTER!A:K,11,0)</f>
        <v>5325255.3244800083</v>
      </c>
      <c r="H75" s="2">
        <f>VLOOKUP(A:A,MASTER!A:E,5,0)</f>
        <v>387</v>
      </c>
      <c r="I75" s="2">
        <f>VLOOKUP(A:A,MASTER!A:J,10,0)</f>
        <v>447</v>
      </c>
      <c r="J75" s="2">
        <f>VLOOKUP(A:A,MASTER!A:D,4,0)</f>
        <v>4</v>
      </c>
      <c r="K75" s="2">
        <f>VLOOKUP(A:A,MASTER!A:I,9,0)</f>
        <v>7</v>
      </c>
      <c r="L75" s="1">
        <f>VLOOKUP(A:A,MASTER!A:C,3,0)</f>
        <v>1</v>
      </c>
      <c r="M75" s="1">
        <f>VLOOKUP(A:A,MASTER!A:H,8,0)</f>
        <v>0</v>
      </c>
      <c r="N75" s="1">
        <f>VLOOKUP(A:A,MASTER!A:B,2,0)</f>
        <v>446</v>
      </c>
      <c r="O75">
        <f>VLOOKUP(A:A,MASTER!A:G,7,0)</f>
        <v>450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14599105.463165892</v>
      </c>
      <c r="G76" s="1">
        <f>VLOOKUP(A:A,MASTER!A:K,11,0)</f>
        <v>13331666.494566012</v>
      </c>
      <c r="H76" s="2">
        <f>VLOOKUP(A:A,MASTER!A:E,5,0)</f>
        <v>834</v>
      </c>
      <c r="I76" s="2">
        <f>VLOOKUP(A:A,MASTER!A:J,10,0)</f>
        <v>730</v>
      </c>
      <c r="J76" s="2">
        <f>VLOOKUP(A:A,MASTER!A:D,4,0)</f>
        <v>5</v>
      </c>
      <c r="K76" s="2">
        <f>VLOOKUP(A:A,MASTER!A:I,9,0)</f>
        <v>3</v>
      </c>
      <c r="L76" s="1">
        <f>VLOOKUP(A:A,MASTER!A:C,3,0)</f>
        <v>0</v>
      </c>
      <c r="M76" s="1">
        <f>VLOOKUP(A:A,MASTER!A:H,8,0)</f>
        <v>3</v>
      </c>
      <c r="N76" s="1">
        <f>VLOOKUP(A:A,MASTER!A:B,2,0)</f>
        <v>968</v>
      </c>
      <c r="O76">
        <f>VLOOKUP(A:A,MASTER!A:G,7,0)</f>
        <v>969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8574263.9764997829</v>
      </c>
      <c r="G77" s="1">
        <f>VLOOKUP(A:A,MASTER!A:K,11,0)</f>
        <v>8108231.6625237344</v>
      </c>
      <c r="H77" s="2">
        <f>VLOOKUP(A:A,MASTER!A:E,5,0)</f>
        <v>761</v>
      </c>
      <c r="I77" s="2">
        <f>VLOOKUP(A:A,MASTER!A:J,10,0)</f>
        <v>711</v>
      </c>
      <c r="J77" s="2">
        <f>VLOOKUP(A:A,MASTER!A:D,4,0)</f>
        <v>10</v>
      </c>
      <c r="K77" s="2">
        <f>VLOOKUP(A:A,MASTER!A:I,9,0)</f>
        <v>10</v>
      </c>
      <c r="L77" s="1">
        <f>VLOOKUP(A:A,MASTER!A:C,3,0)</f>
        <v>1</v>
      </c>
      <c r="M77" s="1">
        <f>VLOOKUP(A:A,MASTER!A:H,8,0)</f>
        <v>1</v>
      </c>
      <c r="N77" s="1">
        <f>VLOOKUP(A:A,MASTER!A:B,2,0)</f>
        <v>789</v>
      </c>
      <c r="O77">
        <f>VLOOKUP(A:A,MASTER!A:G,7,0)</f>
        <v>777</v>
      </c>
      <c r="P77">
        <v>2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6657424.7365432037</v>
      </c>
      <c r="G78" s="1">
        <f>VLOOKUP(A:A,MASTER!A:K,11,0)</f>
        <v>7256682.7153262254</v>
      </c>
      <c r="H78" s="2">
        <f>VLOOKUP(A:A,MASTER!A:E,5,0)</f>
        <v>939</v>
      </c>
      <c r="I78" s="2">
        <f>VLOOKUP(A:A,MASTER!A:J,10,0)</f>
        <v>1215</v>
      </c>
      <c r="J78" s="2">
        <f>VLOOKUP(A:A,MASTER!A:D,4,0)</f>
        <v>2</v>
      </c>
      <c r="K78" s="2">
        <f>VLOOKUP(A:A,MASTER!A:I,9,0)</f>
        <v>1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907</v>
      </c>
      <c r="O78">
        <f>VLOOKUP(A:A,MASTER!A:G,7,0)</f>
        <v>960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7511852.493724742</v>
      </c>
      <c r="G79" s="1">
        <f>VLOOKUP(A:A,MASTER!A:K,11,0)</f>
        <v>4702680.6416437216</v>
      </c>
      <c r="H79" s="2">
        <f>VLOOKUP(A:A,MASTER!A:E,5,0)</f>
        <v>842</v>
      </c>
      <c r="I79" s="2">
        <f>VLOOKUP(A:A,MASTER!A:J,10,0)</f>
        <v>20</v>
      </c>
      <c r="J79" s="2">
        <f>VLOOKUP(A:A,MASTER!A:D,4,0)</f>
        <v>4</v>
      </c>
      <c r="K79" s="2">
        <f>VLOOKUP(A:A,MASTER!A:I,9,0)</f>
        <v>4</v>
      </c>
      <c r="L79" s="1">
        <f>VLOOKUP(A:A,MASTER!A:C,3,0)</f>
        <v>1</v>
      </c>
      <c r="M79" s="1">
        <f>VLOOKUP(A:A,MASTER!A:H,8,0)</f>
        <v>0</v>
      </c>
      <c r="N79" s="1">
        <f>VLOOKUP(A:A,MASTER!A:B,2,0)</f>
        <v>1021</v>
      </c>
      <c r="O79">
        <f>VLOOKUP(A:A,MASTER!A:G,7,0)</f>
        <v>997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7143614.790428766</v>
      </c>
      <c r="G80" s="1">
        <f>VLOOKUP(A:A,MASTER!A:K,11,0)</f>
        <v>7522930.9770057639</v>
      </c>
      <c r="H80" s="2">
        <f>VLOOKUP(A:A,MASTER!A:E,5,0)</f>
        <v>697</v>
      </c>
      <c r="I80" s="2">
        <f>VLOOKUP(A:A,MASTER!A:J,10,0)</f>
        <v>742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1</v>
      </c>
      <c r="M80" s="1">
        <f>VLOOKUP(A:A,MASTER!A:H,8,0)</f>
        <v>0</v>
      </c>
      <c r="N80" s="1">
        <f>VLOOKUP(A:A,MASTER!A:B,2,0)</f>
        <v>734</v>
      </c>
      <c r="O80">
        <f>VLOOKUP(A:A,MASTER!A:G,7,0)</f>
        <v>730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4147371.3965030778</v>
      </c>
      <c r="G81" s="1">
        <f>VLOOKUP(A:A,MASTER!A:K,11,0)</f>
        <v>4156463.0287198988</v>
      </c>
      <c r="H81" s="2">
        <f>VLOOKUP(A:A,MASTER!A:E,5,0)</f>
        <v>609</v>
      </c>
      <c r="I81" s="2">
        <f>VLOOKUP(A:A,MASTER!A:J,10,0)</f>
        <v>764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0</v>
      </c>
      <c r="N81" s="1">
        <f>VLOOKUP(A:A,MASTER!A:B,2,0)</f>
        <v>575</v>
      </c>
      <c r="O81">
        <f>VLOOKUP(A:A,MASTER!A:G,7,0)</f>
        <v>579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15155946.089206984</v>
      </c>
      <c r="G82" s="1">
        <f>VLOOKUP(A:A,MASTER!A:K,11,0)</f>
        <v>15539415.573069196</v>
      </c>
      <c r="H82" s="2">
        <f>VLOOKUP(A:A,MASTER!A:E,5,0)</f>
        <v>1330</v>
      </c>
      <c r="I82" s="2">
        <f>VLOOKUP(A:A,MASTER!A:J,10,0)</f>
        <v>1218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1</v>
      </c>
      <c r="M82" s="1">
        <f>VLOOKUP(A:A,MASTER!A:H,8,0)</f>
        <v>0</v>
      </c>
      <c r="N82" s="1">
        <f>VLOOKUP(A:A,MASTER!A:B,2,0)</f>
        <v>1709</v>
      </c>
      <c r="O82">
        <f>VLOOKUP(A:A,MASTER!A:G,7,0)</f>
        <v>1728</v>
      </c>
      <c r="P82">
        <v>1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4716414.244273073</v>
      </c>
      <c r="G83" s="1">
        <f>VLOOKUP(A:A,MASTER!A:K,11,0)</f>
        <v>3439065.9601564072</v>
      </c>
      <c r="H83" s="2">
        <f>VLOOKUP(A:A,MASTER!A:E,5,0)</f>
        <v>755</v>
      </c>
      <c r="I83" s="2">
        <f>VLOOKUP(A:A,MASTER!A:J,10,0)</f>
        <v>862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2</v>
      </c>
      <c r="M83" s="1">
        <f>VLOOKUP(A:A,MASTER!A:H,8,0)</f>
        <v>0</v>
      </c>
      <c r="N83" s="1">
        <f>VLOOKUP(A:A,MASTER!A:B,2,0)</f>
        <v>688</v>
      </c>
      <c r="O83">
        <f>VLOOKUP(A:A,MASTER!A:G,7,0)</f>
        <v>596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8023492.5817246111</v>
      </c>
      <c r="G84" s="1">
        <f>VLOOKUP(A:A,MASTER!A:K,11,0)</f>
        <v>7587961.4134114794</v>
      </c>
      <c r="H84" s="2">
        <f>VLOOKUP(A:A,MASTER!A:E,5,0)</f>
        <v>570</v>
      </c>
      <c r="I84" s="2">
        <f>VLOOKUP(A:A,MASTER!A:J,10,0)</f>
        <v>582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9</v>
      </c>
      <c r="M84" s="1">
        <f>VLOOKUP(A:A,MASTER!A:H,8,0)</f>
        <v>3</v>
      </c>
      <c r="N84" s="1">
        <f>VLOOKUP(A:A,MASTER!A:B,2,0)</f>
        <v>629</v>
      </c>
      <c r="O84">
        <f>VLOOKUP(A:A,MASTER!A:G,7,0)</f>
        <v>601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2442094.5526837292</v>
      </c>
      <c r="G85" s="1">
        <f>VLOOKUP(A:A,MASTER!A:K,11,0)</f>
        <v>2185891.8143150499</v>
      </c>
      <c r="H85" s="2">
        <f>VLOOKUP(A:A,MASTER!A:E,5,0)</f>
        <v>445</v>
      </c>
      <c r="I85" s="2">
        <f>VLOOKUP(A:A,MASTER!A:J,10,0)</f>
        <v>319</v>
      </c>
      <c r="J85" s="2">
        <f>VLOOKUP(A:A,MASTER!A:D,4,0)</f>
        <v>0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0</v>
      </c>
      <c r="N85" s="1">
        <f>VLOOKUP(A:A,MASTER!A:B,2,0)</f>
        <v>357</v>
      </c>
      <c r="O85">
        <f>VLOOKUP(A:A,MASTER!A:G,7,0)</f>
        <v>366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C21" activePane="bottomRight" state="frozen"/>
      <selection pane="topRight" activeCell="B1" sqref="B1"/>
      <selection pane="bottomLeft" activeCell="A6" sqref="A6"/>
      <selection pane="bottomRight" activeCell="A50" sqref="A50:XFD5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84161</v>
      </c>
      <c r="C3" s="11">
        <f t="shared" si="0"/>
        <v>336</v>
      </c>
      <c r="D3" s="11">
        <f t="shared" si="0"/>
        <v>309</v>
      </c>
      <c r="E3" s="11">
        <f t="shared" si="0"/>
        <v>70915</v>
      </c>
      <c r="F3" s="11">
        <f t="shared" si="0"/>
        <v>782491558.51555836</v>
      </c>
      <c r="G3" s="11">
        <f t="shared" si="0"/>
        <v>84583</v>
      </c>
      <c r="H3" s="11">
        <f t="shared" si="0"/>
        <v>385</v>
      </c>
      <c r="I3" s="11">
        <f t="shared" si="0"/>
        <v>303</v>
      </c>
      <c r="J3" s="11">
        <f t="shared" si="0"/>
        <v>68595</v>
      </c>
      <c r="K3" s="11">
        <f t="shared" si="0"/>
        <v>758337594.71692479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">
        <v>413</v>
      </c>
      <c r="C6" s="1">
        <v>2</v>
      </c>
      <c r="D6" s="1">
        <v>2</v>
      </c>
      <c r="E6" s="1">
        <v>400</v>
      </c>
      <c r="F6" s="10">
        <v>3767640.1674616369</v>
      </c>
      <c r="G6" s="10">
        <v>406</v>
      </c>
      <c r="H6" s="10">
        <v>0</v>
      </c>
      <c r="I6" s="10">
        <v>2</v>
      </c>
      <c r="J6" s="10">
        <v>337</v>
      </c>
      <c r="K6" s="10">
        <v>3378902.3358840779</v>
      </c>
    </row>
    <row r="7" spans="1:11" x14ac:dyDescent="0.35">
      <c r="A7" s="9" t="s">
        <v>127</v>
      </c>
      <c r="B7" s="1">
        <v>691</v>
      </c>
      <c r="C7" s="1">
        <v>1</v>
      </c>
      <c r="D7" s="1">
        <v>1</v>
      </c>
      <c r="E7" s="1">
        <v>547</v>
      </c>
      <c r="F7" s="10">
        <v>4755985.7453720355</v>
      </c>
      <c r="G7" s="10">
        <v>643</v>
      </c>
      <c r="H7" s="10">
        <v>1</v>
      </c>
      <c r="I7" s="10">
        <v>2</v>
      </c>
      <c r="J7" s="10">
        <v>610</v>
      </c>
      <c r="K7" s="10">
        <v>4198139.0504805734</v>
      </c>
    </row>
    <row r="8" spans="1:11" x14ac:dyDescent="0.35">
      <c r="A8" s="9" t="s">
        <v>119</v>
      </c>
      <c r="B8" s="1">
        <v>690</v>
      </c>
      <c r="C8" s="1">
        <v>1</v>
      </c>
      <c r="D8" s="1">
        <v>3</v>
      </c>
      <c r="E8" s="1">
        <v>566</v>
      </c>
      <c r="F8" s="10">
        <v>4115736.9093229892</v>
      </c>
      <c r="G8" s="10">
        <v>732</v>
      </c>
      <c r="H8" s="10">
        <v>2</v>
      </c>
      <c r="I8" s="10">
        <v>1</v>
      </c>
      <c r="J8" s="10">
        <v>42</v>
      </c>
      <c r="K8" s="10">
        <v>4831243.1255528908</v>
      </c>
    </row>
    <row r="9" spans="1:11" x14ac:dyDescent="0.35">
      <c r="A9" s="9" t="s">
        <v>121</v>
      </c>
      <c r="B9" s="1">
        <v>1203</v>
      </c>
      <c r="C9" s="1">
        <v>2</v>
      </c>
      <c r="D9" s="1">
        <v>3</v>
      </c>
      <c r="E9" s="1">
        <v>989</v>
      </c>
      <c r="F9" s="10">
        <v>9315606.1279473379</v>
      </c>
      <c r="G9" s="10">
        <v>1218</v>
      </c>
      <c r="H9" s="10">
        <v>1</v>
      </c>
      <c r="I9" s="10">
        <v>4</v>
      </c>
      <c r="J9" s="10">
        <v>1033</v>
      </c>
      <c r="K9" s="10">
        <v>8927501.3209277317</v>
      </c>
    </row>
    <row r="10" spans="1:11" x14ac:dyDescent="0.35">
      <c r="A10" s="9" t="s">
        <v>123</v>
      </c>
      <c r="B10" s="1">
        <v>395</v>
      </c>
      <c r="C10" s="1">
        <v>1</v>
      </c>
      <c r="D10" s="1">
        <v>0</v>
      </c>
      <c r="E10" s="1">
        <v>320</v>
      </c>
      <c r="F10" s="10">
        <v>3622509.6095191082</v>
      </c>
      <c r="G10" s="10">
        <v>403</v>
      </c>
      <c r="H10" s="10">
        <v>1</v>
      </c>
      <c r="I10" s="10">
        <v>1</v>
      </c>
      <c r="J10" s="10">
        <v>353</v>
      </c>
      <c r="K10" s="10">
        <v>3433165.5757586341</v>
      </c>
    </row>
    <row r="11" spans="1:11" x14ac:dyDescent="0.35">
      <c r="A11" s="9" t="s">
        <v>125</v>
      </c>
      <c r="B11" s="1">
        <v>368</v>
      </c>
      <c r="C11" s="1">
        <v>1</v>
      </c>
      <c r="D11" s="1">
        <v>2</v>
      </c>
      <c r="E11" s="1">
        <v>345</v>
      </c>
      <c r="F11" s="10">
        <v>3453641.8844623081</v>
      </c>
      <c r="G11" s="10">
        <v>370</v>
      </c>
      <c r="H11" s="10">
        <v>2</v>
      </c>
      <c r="I11" s="10">
        <v>2</v>
      </c>
      <c r="J11" s="10">
        <v>318</v>
      </c>
      <c r="K11" s="10">
        <v>3315695.6946051032</v>
      </c>
    </row>
    <row r="12" spans="1:11" x14ac:dyDescent="0.35">
      <c r="A12" s="9" t="s">
        <v>131</v>
      </c>
      <c r="B12" s="1">
        <v>592</v>
      </c>
      <c r="C12" s="1">
        <v>0</v>
      </c>
      <c r="D12" s="1">
        <v>0</v>
      </c>
      <c r="E12" s="1">
        <v>515</v>
      </c>
      <c r="F12" s="10">
        <v>4149554.9330451461</v>
      </c>
      <c r="G12" s="10">
        <v>596</v>
      </c>
      <c r="H12" s="10">
        <v>0</v>
      </c>
      <c r="I12" s="10">
        <v>5</v>
      </c>
      <c r="J12" s="10">
        <v>558</v>
      </c>
      <c r="K12" s="10">
        <v>3763040.3506287369</v>
      </c>
    </row>
    <row r="13" spans="1:11" x14ac:dyDescent="0.35">
      <c r="A13" s="9" t="s">
        <v>133</v>
      </c>
      <c r="B13" s="1">
        <v>162</v>
      </c>
      <c r="C13" s="1">
        <v>0</v>
      </c>
      <c r="D13" s="1">
        <v>1</v>
      </c>
      <c r="E13" s="1">
        <v>124</v>
      </c>
      <c r="F13" s="10">
        <v>1692945.1848517051</v>
      </c>
      <c r="G13" s="10">
        <v>177</v>
      </c>
      <c r="H13" s="10">
        <v>0</v>
      </c>
      <c r="I13" s="10">
        <v>0</v>
      </c>
      <c r="J13" s="10">
        <v>159</v>
      </c>
      <c r="K13" s="10">
        <v>1873870.2528251619</v>
      </c>
    </row>
    <row r="14" spans="1:11" x14ac:dyDescent="0.35">
      <c r="A14" s="9" t="s">
        <v>141</v>
      </c>
      <c r="B14" s="1">
        <v>201</v>
      </c>
      <c r="C14" s="1">
        <v>1</v>
      </c>
      <c r="D14" s="1">
        <v>0</v>
      </c>
      <c r="E14" s="1">
        <v>159</v>
      </c>
      <c r="F14" s="10">
        <v>1943111.7270830791</v>
      </c>
      <c r="G14" s="10">
        <v>187</v>
      </c>
      <c r="H14" s="10">
        <v>0</v>
      </c>
      <c r="I14" s="10">
        <v>1</v>
      </c>
      <c r="J14" s="10">
        <v>1</v>
      </c>
      <c r="K14" s="10">
        <v>22.486592934000001</v>
      </c>
    </row>
    <row r="15" spans="1:11" x14ac:dyDescent="0.35">
      <c r="A15" s="9" t="s">
        <v>135</v>
      </c>
      <c r="B15" s="1">
        <v>353</v>
      </c>
      <c r="C15" s="1">
        <v>0</v>
      </c>
      <c r="D15" s="1">
        <v>0</v>
      </c>
      <c r="E15" s="1">
        <v>326</v>
      </c>
      <c r="F15" s="10">
        <v>2925789.0628380021</v>
      </c>
      <c r="G15" s="10">
        <v>363</v>
      </c>
      <c r="H15" s="10">
        <v>1</v>
      </c>
      <c r="I15" s="10">
        <v>1</v>
      </c>
      <c r="J15" s="10">
        <v>487</v>
      </c>
      <c r="K15" s="10">
        <v>3816371.4646472102</v>
      </c>
    </row>
    <row r="16" spans="1:11" x14ac:dyDescent="0.35">
      <c r="A16" s="9" t="s">
        <v>143</v>
      </c>
      <c r="B16" s="1">
        <v>216</v>
      </c>
      <c r="C16" s="1">
        <v>0</v>
      </c>
      <c r="D16" s="1">
        <v>1</v>
      </c>
      <c r="E16" s="1">
        <v>257</v>
      </c>
      <c r="F16" s="10">
        <v>1301883.6042596891</v>
      </c>
      <c r="G16" s="10">
        <v>198</v>
      </c>
      <c r="H16" s="10">
        <v>0</v>
      </c>
      <c r="I16" s="10">
        <v>2</v>
      </c>
      <c r="J16" s="10">
        <v>277</v>
      </c>
      <c r="K16" s="10">
        <v>1720402.2001648659</v>
      </c>
    </row>
    <row r="17" spans="1:11" x14ac:dyDescent="0.35">
      <c r="A17" s="9" t="s">
        <v>145</v>
      </c>
      <c r="B17" s="1">
        <v>262</v>
      </c>
      <c r="C17" s="1">
        <v>5</v>
      </c>
      <c r="D17" s="1">
        <v>0</v>
      </c>
      <c r="E17" s="1">
        <v>226</v>
      </c>
      <c r="F17" s="10">
        <v>1833456.113912377</v>
      </c>
      <c r="G17" s="10">
        <v>241</v>
      </c>
      <c r="H17" s="10">
        <v>0</v>
      </c>
      <c r="I17" s="10">
        <v>0</v>
      </c>
      <c r="J17" s="10">
        <v>264</v>
      </c>
      <c r="K17" s="10">
        <v>1807666.7458902949</v>
      </c>
    </row>
    <row r="18" spans="1:11" x14ac:dyDescent="0.35">
      <c r="A18" s="9" t="s">
        <v>20</v>
      </c>
      <c r="B18" s="1">
        <v>1471</v>
      </c>
      <c r="C18" s="1">
        <v>0</v>
      </c>
      <c r="D18" s="1">
        <v>3</v>
      </c>
      <c r="E18" s="1">
        <v>905</v>
      </c>
      <c r="F18" s="10">
        <v>6732074.4633739255</v>
      </c>
      <c r="G18" s="10">
        <v>1442</v>
      </c>
      <c r="H18" s="10">
        <v>2</v>
      </c>
      <c r="I18" s="10">
        <v>2</v>
      </c>
      <c r="J18" s="10">
        <v>161</v>
      </c>
      <c r="K18" s="10">
        <v>5812917.9415709646</v>
      </c>
    </row>
    <row r="19" spans="1:11" x14ac:dyDescent="0.35">
      <c r="A19" s="9" t="s">
        <v>45</v>
      </c>
      <c r="B19" s="1">
        <v>1277</v>
      </c>
      <c r="C19" s="1">
        <v>0</v>
      </c>
      <c r="D19" s="1">
        <v>2</v>
      </c>
      <c r="E19" s="1">
        <v>937</v>
      </c>
      <c r="F19" s="10">
        <v>10956297.987773804</v>
      </c>
      <c r="G19" s="10">
        <v>1233</v>
      </c>
      <c r="H19" s="10">
        <v>1</v>
      </c>
      <c r="I19" s="10">
        <v>3</v>
      </c>
      <c r="J19" s="10">
        <v>948</v>
      </c>
      <c r="K19" s="10">
        <v>12242361.641453536</v>
      </c>
    </row>
    <row r="20" spans="1:11" x14ac:dyDescent="0.35">
      <c r="A20" s="9" t="s">
        <v>47</v>
      </c>
      <c r="B20" s="1">
        <v>1030</v>
      </c>
      <c r="C20" s="1">
        <v>0</v>
      </c>
      <c r="D20" s="1">
        <v>4</v>
      </c>
      <c r="E20" s="1">
        <v>911</v>
      </c>
      <c r="F20" s="10">
        <v>7253821.6632021237</v>
      </c>
      <c r="G20" s="10">
        <v>1026</v>
      </c>
      <c r="H20" s="10">
        <v>1</v>
      </c>
      <c r="I20" s="10">
        <v>5</v>
      </c>
      <c r="J20" s="10">
        <v>982</v>
      </c>
      <c r="K20" s="10">
        <v>7452158.4424874652</v>
      </c>
    </row>
    <row r="21" spans="1:11" x14ac:dyDescent="0.35">
      <c r="A21" s="9" t="s">
        <v>49</v>
      </c>
      <c r="B21" s="1">
        <v>933</v>
      </c>
      <c r="C21" s="1">
        <v>0</v>
      </c>
      <c r="D21" s="1">
        <v>2</v>
      </c>
      <c r="E21" s="1">
        <v>639</v>
      </c>
      <c r="F21" s="10">
        <v>7626729.4082962554</v>
      </c>
      <c r="G21" s="10">
        <v>923</v>
      </c>
      <c r="H21" s="10">
        <v>2</v>
      </c>
      <c r="I21" s="10">
        <v>3</v>
      </c>
      <c r="J21" s="10">
        <v>746</v>
      </c>
      <c r="K21" s="10">
        <v>4874478.6350986613</v>
      </c>
    </row>
    <row r="22" spans="1:11" x14ac:dyDescent="0.35">
      <c r="A22" s="9" t="s">
        <v>51</v>
      </c>
      <c r="B22" s="1">
        <v>2897</v>
      </c>
      <c r="C22" s="1">
        <v>107</v>
      </c>
      <c r="D22" s="1">
        <v>11</v>
      </c>
      <c r="E22" s="1">
        <v>2054</v>
      </c>
      <c r="F22" s="10">
        <v>24966540.321500681</v>
      </c>
      <c r="G22" s="10">
        <v>2936</v>
      </c>
      <c r="H22" s="10">
        <v>108</v>
      </c>
      <c r="I22" s="10">
        <v>9</v>
      </c>
      <c r="J22" s="10">
        <v>2946</v>
      </c>
      <c r="K22" s="10">
        <v>26628976.073495127</v>
      </c>
    </row>
    <row r="23" spans="1:11" x14ac:dyDescent="0.35">
      <c r="A23" s="9" t="s">
        <v>53</v>
      </c>
      <c r="B23" s="1">
        <v>1447</v>
      </c>
      <c r="C23" s="1">
        <v>0</v>
      </c>
      <c r="D23" s="1">
        <v>3</v>
      </c>
      <c r="E23" s="1">
        <v>1217</v>
      </c>
      <c r="F23" s="10">
        <v>13428745.928681612</v>
      </c>
      <c r="G23" s="10">
        <v>1396</v>
      </c>
      <c r="H23" s="10">
        <v>2</v>
      </c>
      <c r="I23" s="10">
        <v>1</v>
      </c>
      <c r="J23" s="10">
        <v>19</v>
      </c>
      <c r="K23" s="10">
        <v>8060394.6620687013</v>
      </c>
    </row>
    <row r="24" spans="1:11" x14ac:dyDescent="0.35">
      <c r="A24" s="9" t="s">
        <v>55</v>
      </c>
      <c r="B24" s="1">
        <v>2979</v>
      </c>
      <c r="C24" s="1">
        <v>3</v>
      </c>
      <c r="D24" s="1">
        <v>12</v>
      </c>
      <c r="E24" s="1">
        <v>2331</v>
      </c>
      <c r="F24" s="10">
        <v>25647463.855537627</v>
      </c>
      <c r="G24" s="10">
        <v>2969</v>
      </c>
      <c r="H24" s="10">
        <v>7</v>
      </c>
      <c r="I24" s="10">
        <v>10</v>
      </c>
      <c r="J24" s="10">
        <v>2234</v>
      </c>
      <c r="K24" s="10">
        <v>26874093.702797864</v>
      </c>
    </row>
    <row r="25" spans="1:11" x14ac:dyDescent="0.35">
      <c r="A25" s="9" t="s">
        <v>67</v>
      </c>
      <c r="B25" s="1">
        <v>567</v>
      </c>
      <c r="C25" s="1">
        <v>3</v>
      </c>
      <c r="D25" s="1">
        <v>1</v>
      </c>
      <c r="E25" s="1">
        <v>506</v>
      </c>
      <c r="F25" s="10">
        <v>3763683.5108333109</v>
      </c>
      <c r="G25" s="10">
        <v>534</v>
      </c>
      <c r="H25" s="10">
        <v>1</v>
      </c>
      <c r="I25" s="10">
        <v>1</v>
      </c>
      <c r="J25" s="10">
        <v>639</v>
      </c>
      <c r="K25" s="10">
        <v>4235172.3475251095</v>
      </c>
    </row>
    <row r="26" spans="1:11" x14ac:dyDescent="0.35">
      <c r="A26" s="9" t="s">
        <v>74</v>
      </c>
      <c r="B26" s="1">
        <v>1690</v>
      </c>
      <c r="C26" s="1">
        <v>4</v>
      </c>
      <c r="D26" s="1">
        <v>1</v>
      </c>
      <c r="E26" s="1">
        <v>1303</v>
      </c>
      <c r="F26" s="10">
        <v>11288354.412634833</v>
      </c>
      <c r="G26" s="10">
        <v>1750</v>
      </c>
      <c r="H26" s="10">
        <v>7</v>
      </c>
      <c r="I26" s="10">
        <v>1</v>
      </c>
      <c r="J26" s="10">
        <v>1346</v>
      </c>
      <c r="K26" s="10">
        <v>10789611.241360519</v>
      </c>
    </row>
    <row r="27" spans="1:11" x14ac:dyDescent="0.35">
      <c r="A27" s="9" t="s">
        <v>70</v>
      </c>
      <c r="B27" s="1">
        <v>868</v>
      </c>
      <c r="C27" s="1">
        <v>2</v>
      </c>
      <c r="D27" s="1">
        <v>0</v>
      </c>
      <c r="E27" s="1">
        <v>805</v>
      </c>
      <c r="F27" s="10">
        <v>4860126.4765750067</v>
      </c>
      <c r="G27" s="10">
        <v>881</v>
      </c>
      <c r="H27" s="10">
        <v>4</v>
      </c>
      <c r="I27" s="10">
        <v>1</v>
      </c>
      <c r="J27" s="10">
        <v>740</v>
      </c>
      <c r="K27" s="10">
        <v>4592984.7088493519</v>
      </c>
    </row>
    <row r="28" spans="1:11" x14ac:dyDescent="0.35">
      <c r="A28" s="9" t="s">
        <v>72</v>
      </c>
      <c r="B28" s="1">
        <v>911</v>
      </c>
      <c r="C28" s="1">
        <v>1</v>
      </c>
      <c r="D28" s="1">
        <v>1</v>
      </c>
      <c r="E28" s="1">
        <v>585</v>
      </c>
      <c r="F28" s="10">
        <v>5093364.8741606213</v>
      </c>
      <c r="G28" s="10">
        <v>874</v>
      </c>
      <c r="H28" s="10">
        <v>2</v>
      </c>
      <c r="I28" s="10">
        <v>0</v>
      </c>
      <c r="J28" s="10">
        <v>846</v>
      </c>
      <c r="K28" s="10">
        <v>5765124.8283889508</v>
      </c>
    </row>
    <row r="29" spans="1:11" x14ac:dyDescent="0.35">
      <c r="A29" s="9" t="s">
        <v>79</v>
      </c>
      <c r="B29" s="1">
        <v>232</v>
      </c>
      <c r="C29" s="1">
        <v>1</v>
      </c>
      <c r="D29" s="1">
        <v>0</v>
      </c>
      <c r="E29" s="1">
        <v>197</v>
      </c>
      <c r="F29" s="10">
        <v>1440236.1312589699</v>
      </c>
      <c r="G29" s="10">
        <v>235</v>
      </c>
      <c r="H29" s="10">
        <v>1</v>
      </c>
      <c r="I29" s="10">
        <v>0</v>
      </c>
      <c r="J29" s="10">
        <v>170</v>
      </c>
      <c r="K29" s="10">
        <v>1329183.5474891129</v>
      </c>
    </row>
    <row r="30" spans="1:11" x14ac:dyDescent="0.35">
      <c r="A30" s="9" t="s">
        <v>109</v>
      </c>
      <c r="B30" s="1">
        <v>1641</v>
      </c>
      <c r="C30" s="1">
        <v>1</v>
      </c>
      <c r="D30" s="1">
        <v>5</v>
      </c>
      <c r="E30" s="1">
        <v>1689</v>
      </c>
      <c r="F30" s="10">
        <v>12593024.586868605</v>
      </c>
      <c r="G30" s="10">
        <v>1629</v>
      </c>
      <c r="H30" s="10">
        <v>5</v>
      </c>
      <c r="I30" s="10">
        <v>6</v>
      </c>
      <c r="J30" s="10">
        <v>1315</v>
      </c>
      <c r="K30" s="10">
        <v>10525091.880569469</v>
      </c>
    </row>
    <row r="31" spans="1:11" x14ac:dyDescent="0.35">
      <c r="A31" s="9" t="s">
        <v>111</v>
      </c>
      <c r="B31" s="1">
        <v>863</v>
      </c>
      <c r="C31" s="1">
        <v>0</v>
      </c>
      <c r="D31" s="1">
        <v>1</v>
      </c>
      <c r="E31" s="1">
        <v>592</v>
      </c>
      <c r="F31" s="10">
        <v>9319399.3098883685</v>
      </c>
      <c r="G31" s="10">
        <v>877</v>
      </c>
      <c r="H31" s="10">
        <v>0</v>
      </c>
      <c r="I31" s="10">
        <v>1</v>
      </c>
      <c r="J31" s="10">
        <v>624</v>
      </c>
      <c r="K31" s="10">
        <v>7945438.205796659</v>
      </c>
    </row>
    <row r="32" spans="1:11" x14ac:dyDescent="0.35">
      <c r="A32" s="9" t="s">
        <v>113</v>
      </c>
      <c r="B32" s="1">
        <v>1136</v>
      </c>
      <c r="C32" s="1">
        <v>0</v>
      </c>
      <c r="D32" s="1">
        <v>1</v>
      </c>
      <c r="E32" s="1">
        <v>908</v>
      </c>
      <c r="F32" s="10">
        <v>9229408.5964249745</v>
      </c>
      <c r="G32" s="10">
        <v>1058</v>
      </c>
      <c r="H32" s="10">
        <v>1</v>
      </c>
      <c r="I32" s="10">
        <v>1</v>
      </c>
      <c r="J32" s="10">
        <v>716</v>
      </c>
      <c r="K32" s="10">
        <v>7682265.5208570464</v>
      </c>
    </row>
    <row r="33" spans="1:11" x14ac:dyDescent="0.35">
      <c r="A33" s="9" t="s">
        <v>115</v>
      </c>
      <c r="B33" s="1">
        <v>1115</v>
      </c>
      <c r="C33" s="1">
        <v>0</v>
      </c>
      <c r="D33" s="1">
        <v>3</v>
      </c>
      <c r="E33" s="1">
        <v>875</v>
      </c>
      <c r="F33" s="10">
        <v>11544143.05306543</v>
      </c>
      <c r="G33" s="10">
        <v>1106</v>
      </c>
      <c r="H33" s="10">
        <v>0</v>
      </c>
      <c r="I33" s="10">
        <v>2</v>
      </c>
      <c r="J33" s="10">
        <v>928</v>
      </c>
      <c r="K33" s="10">
        <v>11432953.513380121</v>
      </c>
    </row>
    <row r="34" spans="1:11" x14ac:dyDescent="0.35">
      <c r="A34" s="9" t="s">
        <v>16</v>
      </c>
      <c r="B34" s="1">
        <v>1479</v>
      </c>
      <c r="C34" s="1">
        <v>0</v>
      </c>
      <c r="D34" s="1">
        <v>5</v>
      </c>
      <c r="E34" s="1">
        <v>1093</v>
      </c>
      <c r="F34" s="10">
        <v>17016188.039597787</v>
      </c>
      <c r="G34" s="10">
        <v>1473</v>
      </c>
      <c r="H34" s="10">
        <v>1</v>
      </c>
      <c r="I34" s="10">
        <v>5</v>
      </c>
      <c r="J34" s="10">
        <v>1132</v>
      </c>
      <c r="K34" s="10">
        <v>16052372.710008221</v>
      </c>
    </row>
    <row r="35" spans="1:11" x14ac:dyDescent="0.35">
      <c r="A35" s="9" t="s">
        <v>18</v>
      </c>
      <c r="B35" s="1">
        <v>690</v>
      </c>
      <c r="C35" s="1">
        <v>0</v>
      </c>
      <c r="D35" s="1">
        <v>2</v>
      </c>
      <c r="E35" s="1">
        <v>516</v>
      </c>
      <c r="F35" s="10">
        <v>6712460.6493473453</v>
      </c>
      <c r="G35" s="10">
        <v>689</v>
      </c>
      <c r="H35" s="10">
        <v>0</v>
      </c>
      <c r="I35" s="10">
        <v>5</v>
      </c>
      <c r="J35" s="10">
        <v>562</v>
      </c>
      <c r="K35" s="10">
        <v>6447003.3071393995</v>
      </c>
    </row>
    <row r="36" spans="1:11" x14ac:dyDescent="0.35">
      <c r="A36" s="9" t="s">
        <v>43</v>
      </c>
      <c r="B36" s="1">
        <v>1975</v>
      </c>
      <c r="C36" s="1">
        <v>0</v>
      </c>
      <c r="D36" s="1">
        <v>12</v>
      </c>
      <c r="E36" s="1">
        <v>1616</v>
      </c>
      <c r="F36" s="10">
        <v>20118854.236279029</v>
      </c>
      <c r="G36" s="10">
        <v>1945</v>
      </c>
      <c r="H36" s="10">
        <v>2</v>
      </c>
      <c r="I36" s="10">
        <v>10</v>
      </c>
      <c r="J36" s="10">
        <v>1556</v>
      </c>
      <c r="K36" s="10">
        <v>19838539.705524493</v>
      </c>
    </row>
    <row r="37" spans="1:11" x14ac:dyDescent="0.35">
      <c r="A37" s="9" t="s">
        <v>152</v>
      </c>
      <c r="B37" s="1">
        <v>828</v>
      </c>
      <c r="C37" s="1">
        <v>1</v>
      </c>
      <c r="D37" s="1">
        <v>2</v>
      </c>
      <c r="E37" s="1">
        <v>636</v>
      </c>
      <c r="F37" s="10">
        <v>7210121.5178656941</v>
      </c>
      <c r="G37" s="10">
        <v>837</v>
      </c>
      <c r="H37" s="10">
        <v>1</v>
      </c>
      <c r="I37" s="10">
        <v>2</v>
      </c>
      <c r="J37" s="10">
        <v>666</v>
      </c>
      <c r="K37" s="10">
        <v>6647967.3857165854</v>
      </c>
    </row>
    <row r="38" spans="1:11" x14ac:dyDescent="0.35">
      <c r="A38" s="9" t="s">
        <v>149</v>
      </c>
      <c r="B38" s="1">
        <v>705</v>
      </c>
      <c r="C38" s="1">
        <v>0</v>
      </c>
      <c r="D38" s="1">
        <v>1</v>
      </c>
      <c r="E38" s="1">
        <v>529</v>
      </c>
      <c r="F38" s="10">
        <v>6619601.4259460308</v>
      </c>
      <c r="G38" s="10">
        <v>706</v>
      </c>
      <c r="H38" s="10">
        <v>0</v>
      </c>
      <c r="I38" s="10">
        <v>1</v>
      </c>
      <c r="J38" s="10">
        <v>544</v>
      </c>
      <c r="K38" s="10">
        <v>6273615.4145639166</v>
      </c>
    </row>
    <row r="39" spans="1:11" x14ac:dyDescent="0.35">
      <c r="A39" s="9" t="s">
        <v>154</v>
      </c>
      <c r="B39" s="1">
        <v>1137</v>
      </c>
      <c r="C39" s="1">
        <v>1</v>
      </c>
      <c r="D39" s="1">
        <v>2</v>
      </c>
      <c r="E39" s="1">
        <v>859</v>
      </c>
      <c r="F39" s="10">
        <v>10611923.670867007</v>
      </c>
      <c r="G39" s="10">
        <v>1176</v>
      </c>
      <c r="H39" s="10">
        <v>5</v>
      </c>
      <c r="I39" s="10">
        <v>1</v>
      </c>
      <c r="J39" s="10">
        <v>867</v>
      </c>
      <c r="K39" s="10">
        <v>9719179.3084224835</v>
      </c>
    </row>
    <row r="40" spans="1:11" x14ac:dyDescent="0.35">
      <c r="A40" s="9" t="s">
        <v>2</v>
      </c>
      <c r="B40" s="1">
        <v>1233</v>
      </c>
      <c r="C40" s="1">
        <v>34</v>
      </c>
      <c r="D40" s="1">
        <v>1</v>
      </c>
      <c r="E40" s="1">
        <v>782</v>
      </c>
      <c r="F40" s="10">
        <v>9597528.5100794509</v>
      </c>
      <c r="G40" s="10">
        <v>1337</v>
      </c>
      <c r="H40" s="10">
        <v>46</v>
      </c>
      <c r="I40" s="10">
        <v>1</v>
      </c>
      <c r="J40" s="10">
        <v>793</v>
      </c>
      <c r="K40" s="10">
        <v>8790994.6551055964</v>
      </c>
    </row>
    <row r="41" spans="1:11" x14ac:dyDescent="0.35">
      <c r="A41" s="9" t="s">
        <v>156</v>
      </c>
      <c r="B41" s="1">
        <v>1882</v>
      </c>
      <c r="C41" s="1">
        <v>36</v>
      </c>
      <c r="D41" s="1">
        <v>3</v>
      </c>
      <c r="E41" s="1">
        <v>1409</v>
      </c>
      <c r="F41" s="10">
        <v>15688734.510597564</v>
      </c>
      <c r="G41" s="10">
        <v>2544</v>
      </c>
      <c r="H41" s="10">
        <v>19</v>
      </c>
      <c r="I41" s="10">
        <v>5</v>
      </c>
      <c r="J41" s="10">
        <v>1477</v>
      </c>
      <c r="K41" s="10">
        <v>16041935.121685091</v>
      </c>
    </row>
    <row r="42" spans="1:11" x14ac:dyDescent="0.35">
      <c r="A42" s="9" t="s">
        <v>14</v>
      </c>
      <c r="B42" s="1">
        <v>627</v>
      </c>
      <c r="C42" s="1">
        <v>1</v>
      </c>
      <c r="D42" s="1">
        <v>6</v>
      </c>
      <c r="E42" s="1">
        <v>483</v>
      </c>
      <c r="F42" s="10">
        <v>6470067.6283398336</v>
      </c>
      <c r="G42" s="10">
        <v>611</v>
      </c>
      <c r="H42" s="10">
        <v>0</v>
      </c>
      <c r="I42" s="10">
        <v>6</v>
      </c>
      <c r="J42" s="10">
        <v>456</v>
      </c>
      <c r="K42" s="10">
        <v>5775032.9829335511</v>
      </c>
    </row>
    <row r="43" spans="1:11" x14ac:dyDescent="0.35">
      <c r="A43" s="9" t="s">
        <v>8</v>
      </c>
      <c r="B43" s="1">
        <v>1968</v>
      </c>
      <c r="C43" s="1">
        <v>1</v>
      </c>
      <c r="D43" s="1">
        <v>7</v>
      </c>
      <c r="E43" s="1">
        <v>1802</v>
      </c>
      <c r="F43" s="10">
        <v>17509860.42114738</v>
      </c>
      <c r="G43" s="10">
        <v>2066</v>
      </c>
      <c r="H43" s="10">
        <v>1</v>
      </c>
      <c r="I43" s="10">
        <v>7</v>
      </c>
      <c r="J43" s="10">
        <v>2006</v>
      </c>
      <c r="K43" s="10">
        <v>19803000.926697183</v>
      </c>
    </row>
    <row r="44" spans="1:11" x14ac:dyDescent="0.35">
      <c r="A44" s="9" t="s">
        <v>39</v>
      </c>
      <c r="B44" s="1">
        <v>859</v>
      </c>
      <c r="C44" s="1">
        <v>3</v>
      </c>
      <c r="D44" s="1">
        <v>4</v>
      </c>
      <c r="E44" s="1">
        <v>748</v>
      </c>
      <c r="F44" s="10">
        <v>12266555.037886323</v>
      </c>
      <c r="G44" s="10">
        <v>895</v>
      </c>
      <c r="H44" s="10">
        <v>1</v>
      </c>
      <c r="I44" s="10">
        <v>2</v>
      </c>
      <c r="J44" s="10">
        <v>782</v>
      </c>
      <c r="K44" s="10">
        <v>12542230.531580009</v>
      </c>
    </row>
    <row r="45" spans="1:11" x14ac:dyDescent="0.35">
      <c r="A45" s="9" t="s">
        <v>6</v>
      </c>
      <c r="B45" s="1">
        <v>1142</v>
      </c>
      <c r="C45" s="1">
        <v>0</v>
      </c>
      <c r="D45" s="1">
        <v>4</v>
      </c>
      <c r="E45" s="1">
        <v>893</v>
      </c>
      <c r="F45" s="10">
        <v>11423518.706303084</v>
      </c>
      <c r="G45" s="10">
        <v>1105</v>
      </c>
      <c r="H45" s="10">
        <v>0</v>
      </c>
      <c r="I45" s="10">
        <v>3</v>
      </c>
      <c r="J45" s="10">
        <v>462</v>
      </c>
      <c r="K45" s="10">
        <v>5556095.8800142836</v>
      </c>
    </row>
    <row r="46" spans="1:11" x14ac:dyDescent="0.35">
      <c r="A46" s="9" t="s">
        <v>41</v>
      </c>
      <c r="B46" s="1">
        <v>846</v>
      </c>
      <c r="C46" s="1">
        <v>0</v>
      </c>
      <c r="D46" s="1">
        <v>5</v>
      </c>
      <c r="E46" s="1">
        <v>629</v>
      </c>
      <c r="F46" s="10">
        <v>10758260.689446844</v>
      </c>
      <c r="G46" s="10">
        <v>827</v>
      </c>
      <c r="H46" s="10">
        <v>0</v>
      </c>
      <c r="I46" s="10">
        <v>4</v>
      </c>
      <c r="J46" s="10">
        <v>663</v>
      </c>
      <c r="K46" s="10">
        <v>9777702.0178567767</v>
      </c>
    </row>
    <row r="47" spans="1:11" x14ac:dyDescent="0.35">
      <c r="A47" s="9" t="s">
        <v>158</v>
      </c>
      <c r="B47" s="1">
        <v>661</v>
      </c>
      <c r="C47" s="1">
        <v>0</v>
      </c>
      <c r="D47" s="1">
        <v>10</v>
      </c>
      <c r="E47" s="1">
        <v>528</v>
      </c>
      <c r="F47" s="10">
        <v>5798980.5858204048</v>
      </c>
      <c r="G47" s="10">
        <v>686</v>
      </c>
      <c r="H47" s="10">
        <v>0</v>
      </c>
      <c r="I47" s="10">
        <v>10</v>
      </c>
      <c r="J47" s="10">
        <v>584</v>
      </c>
      <c r="K47" s="10">
        <v>6684286.8881617002</v>
      </c>
    </row>
    <row r="48" spans="1:11" x14ac:dyDescent="0.35">
      <c r="A48" s="9" t="s">
        <v>160</v>
      </c>
      <c r="B48" s="1">
        <v>690</v>
      </c>
      <c r="C48" s="1">
        <v>1</v>
      </c>
      <c r="D48" s="1">
        <v>1</v>
      </c>
      <c r="E48" s="1">
        <v>705</v>
      </c>
      <c r="F48" s="10">
        <v>5562478.9097076738</v>
      </c>
      <c r="G48" s="10">
        <v>697</v>
      </c>
      <c r="H48" s="10">
        <v>0</v>
      </c>
      <c r="I48" s="10">
        <v>3</v>
      </c>
      <c r="J48" s="10">
        <v>712</v>
      </c>
      <c r="K48" s="10">
        <v>5538977.3383655511</v>
      </c>
    </row>
    <row r="49" spans="1:11" x14ac:dyDescent="0.35">
      <c r="A49" s="9" t="s">
        <v>83</v>
      </c>
      <c r="B49" s="1">
        <v>1279</v>
      </c>
      <c r="C49" s="1">
        <v>5</v>
      </c>
      <c r="D49" s="1">
        <v>7</v>
      </c>
      <c r="E49" s="1">
        <v>1454</v>
      </c>
      <c r="F49" s="10">
        <v>21737480.949146856</v>
      </c>
      <c r="G49" s="10">
        <v>1245</v>
      </c>
      <c r="H49" s="10">
        <v>0</v>
      </c>
      <c r="I49" s="10">
        <v>4</v>
      </c>
      <c r="J49" s="10">
        <v>1120</v>
      </c>
      <c r="K49" s="10">
        <v>17668408.580657668</v>
      </c>
    </row>
    <row r="50" spans="1:11" x14ac:dyDescent="0.35">
      <c r="A50" s="9" t="s">
        <v>202</v>
      </c>
      <c r="B50" s="1">
        <v>431</v>
      </c>
      <c r="C50" s="1">
        <v>0</v>
      </c>
      <c r="D50" s="1">
        <v>2</v>
      </c>
      <c r="E50" s="1">
        <v>472</v>
      </c>
      <c r="F50" s="10">
        <v>3677678.6177664129</v>
      </c>
      <c r="G50" s="10">
        <v>432</v>
      </c>
      <c r="H50" s="10">
        <v>0</v>
      </c>
      <c r="I50" s="10">
        <v>2</v>
      </c>
      <c r="J50" s="10">
        <v>474</v>
      </c>
      <c r="K50" s="10">
        <v>2861808.6604427658</v>
      </c>
    </row>
    <row r="51" spans="1:11" x14ac:dyDescent="0.35">
      <c r="A51" s="9" t="s">
        <v>31</v>
      </c>
      <c r="B51" s="1">
        <v>867</v>
      </c>
      <c r="C51" s="1">
        <v>0</v>
      </c>
      <c r="D51" s="1">
        <v>4</v>
      </c>
      <c r="E51" s="1">
        <v>932</v>
      </c>
      <c r="F51" s="10">
        <v>9251292.3983292542</v>
      </c>
      <c r="G51" s="10">
        <v>901</v>
      </c>
      <c r="H51" s="10">
        <v>1</v>
      </c>
      <c r="I51" s="10">
        <v>5</v>
      </c>
      <c r="J51" s="10">
        <v>933</v>
      </c>
      <c r="K51" s="10">
        <v>8311758.9493374256</v>
      </c>
    </row>
    <row r="52" spans="1:11" x14ac:dyDescent="0.35">
      <c r="A52" s="9" t="s">
        <v>33</v>
      </c>
      <c r="B52" s="1">
        <v>1319</v>
      </c>
      <c r="C52" s="1">
        <v>1</v>
      </c>
      <c r="D52" s="1">
        <v>12</v>
      </c>
      <c r="E52" s="1">
        <v>1109</v>
      </c>
      <c r="F52" s="10">
        <v>11821046.27861462</v>
      </c>
      <c r="G52" s="10">
        <v>1347</v>
      </c>
      <c r="H52" s="10">
        <v>1</v>
      </c>
      <c r="I52" s="10">
        <v>12</v>
      </c>
      <c r="J52" s="10">
        <v>1042</v>
      </c>
      <c r="K52" s="10">
        <v>14882247.462702388</v>
      </c>
    </row>
    <row r="53" spans="1:11" x14ac:dyDescent="0.35">
      <c r="A53" s="9" t="s">
        <v>85</v>
      </c>
      <c r="B53" s="1">
        <v>479</v>
      </c>
      <c r="C53" s="1">
        <v>0</v>
      </c>
      <c r="D53" s="1">
        <v>4</v>
      </c>
      <c r="E53" s="1">
        <v>5</v>
      </c>
      <c r="F53" s="10">
        <v>5591648.4348684251</v>
      </c>
      <c r="G53" s="10">
        <v>486</v>
      </c>
      <c r="H53" s="10">
        <v>0</v>
      </c>
      <c r="I53" s="10">
        <v>6</v>
      </c>
      <c r="J53" s="10">
        <v>392</v>
      </c>
      <c r="K53" s="10">
        <v>7909758.2747908533</v>
      </c>
    </row>
    <row r="54" spans="1:11" x14ac:dyDescent="0.35">
      <c r="A54" s="9" t="s">
        <v>81</v>
      </c>
      <c r="B54" s="1">
        <v>444</v>
      </c>
      <c r="C54" s="1">
        <v>0</v>
      </c>
      <c r="D54" s="1">
        <v>9</v>
      </c>
      <c r="E54" s="1">
        <v>541</v>
      </c>
      <c r="F54" s="10">
        <v>7608363.9352213563</v>
      </c>
      <c r="G54" s="10">
        <v>455</v>
      </c>
      <c r="H54" s="10">
        <v>0</v>
      </c>
      <c r="I54" s="10">
        <v>4</v>
      </c>
      <c r="J54" s="10">
        <v>321</v>
      </c>
      <c r="K54" s="10">
        <v>5763787.7664615251</v>
      </c>
    </row>
    <row r="55" spans="1:11" x14ac:dyDescent="0.35">
      <c r="A55" s="9" t="s">
        <v>87</v>
      </c>
      <c r="B55" s="1">
        <v>423</v>
      </c>
      <c r="C55" s="1">
        <v>3</v>
      </c>
      <c r="D55" s="1">
        <v>2</v>
      </c>
      <c r="E55" s="1">
        <v>879</v>
      </c>
      <c r="F55" s="10">
        <v>6128628.9357606936</v>
      </c>
      <c r="G55" s="10">
        <v>425</v>
      </c>
      <c r="H55" s="10">
        <v>0</v>
      </c>
      <c r="I55" s="10">
        <v>3</v>
      </c>
      <c r="J55" s="10">
        <v>333</v>
      </c>
      <c r="K55" s="10">
        <v>4932361.0217840318</v>
      </c>
    </row>
    <row r="56" spans="1:11" x14ac:dyDescent="0.35">
      <c r="A56" s="9" t="s">
        <v>166</v>
      </c>
      <c r="B56" s="1">
        <v>1130</v>
      </c>
      <c r="C56" s="1">
        <v>0</v>
      </c>
      <c r="D56" s="1">
        <v>0</v>
      </c>
      <c r="E56" s="1">
        <v>932</v>
      </c>
      <c r="F56" s="10">
        <v>12661711.662759928</v>
      </c>
      <c r="G56" s="10">
        <v>1112</v>
      </c>
      <c r="H56" s="10">
        <v>0</v>
      </c>
      <c r="I56" s="10">
        <v>0</v>
      </c>
      <c r="J56" s="10">
        <v>1111</v>
      </c>
      <c r="K56" s="10">
        <v>11307100.037220374</v>
      </c>
    </row>
    <row r="57" spans="1:11" x14ac:dyDescent="0.35">
      <c r="A57" s="9" t="s">
        <v>93</v>
      </c>
      <c r="B57" s="1">
        <v>966</v>
      </c>
      <c r="C57" s="1">
        <v>4</v>
      </c>
      <c r="D57" s="1">
        <v>4</v>
      </c>
      <c r="E57" s="1">
        <v>876</v>
      </c>
      <c r="F57" s="10">
        <v>13626568.667371128</v>
      </c>
      <c r="G57" s="10">
        <v>954</v>
      </c>
      <c r="H57" s="10">
        <v>1</v>
      </c>
      <c r="I57" s="10">
        <v>1</v>
      </c>
      <c r="J57" s="10">
        <v>695</v>
      </c>
      <c r="K57" s="10">
        <v>8397528.3064261712</v>
      </c>
    </row>
    <row r="58" spans="1:11" x14ac:dyDescent="0.35">
      <c r="A58" s="9" t="s">
        <v>95</v>
      </c>
      <c r="B58" s="1">
        <v>2212</v>
      </c>
      <c r="C58" s="1">
        <v>14</v>
      </c>
      <c r="D58" s="1">
        <v>6</v>
      </c>
      <c r="E58" s="1">
        <v>1640</v>
      </c>
      <c r="F58" s="10">
        <v>16713879.377090869</v>
      </c>
      <c r="G58" s="10">
        <v>2037</v>
      </c>
      <c r="H58" s="10">
        <v>5</v>
      </c>
      <c r="I58" s="10">
        <v>8</v>
      </c>
      <c r="J58" s="10">
        <v>1558</v>
      </c>
      <c r="K58" s="10">
        <v>22573183.750718944</v>
      </c>
    </row>
    <row r="59" spans="1:11" x14ac:dyDescent="0.35">
      <c r="A59" s="9" t="s">
        <v>174</v>
      </c>
      <c r="B59" s="1">
        <v>678</v>
      </c>
      <c r="C59" s="1">
        <v>0</v>
      </c>
      <c r="D59" s="1">
        <v>0</v>
      </c>
      <c r="E59" s="1">
        <v>532</v>
      </c>
      <c r="F59" s="10">
        <v>6379712.6169025553</v>
      </c>
      <c r="G59" s="10">
        <v>678</v>
      </c>
      <c r="H59" s="10">
        <v>0</v>
      </c>
      <c r="I59" s="10">
        <v>0</v>
      </c>
      <c r="J59" s="10">
        <v>518</v>
      </c>
      <c r="K59" s="10">
        <v>4781920.9490648406</v>
      </c>
    </row>
    <row r="60" spans="1:11" x14ac:dyDescent="0.35">
      <c r="A60" s="9" t="s">
        <v>99</v>
      </c>
      <c r="B60" s="1">
        <v>860</v>
      </c>
      <c r="C60" s="1">
        <v>1</v>
      </c>
      <c r="D60" s="1">
        <v>5</v>
      </c>
      <c r="E60" s="1">
        <v>658</v>
      </c>
      <c r="F60" s="10">
        <v>8991956.9474403877</v>
      </c>
      <c r="G60" s="10">
        <v>869</v>
      </c>
      <c r="H60" s="10">
        <v>2</v>
      </c>
      <c r="I60" s="10">
        <v>5</v>
      </c>
      <c r="J60" s="10">
        <v>683</v>
      </c>
      <c r="K60" s="10">
        <v>8349086.2784085236</v>
      </c>
    </row>
    <row r="61" spans="1:11" x14ac:dyDescent="0.35">
      <c r="A61" s="9" t="s">
        <v>172</v>
      </c>
      <c r="B61" s="1">
        <v>788</v>
      </c>
      <c r="C61" s="1">
        <v>0</v>
      </c>
      <c r="D61" s="1">
        <v>1</v>
      </c>
      <c r="E61" s="1">
        <v>774</v>
      </c>
      <c r="F61" s="10">
        <v>7657816.4317125622</v>
      </c>
      <c r="G61" s="10">
        <v>756</v>
      </c>
      <c r="H61" s="10">
        <v>0</v>
      </c>
      <c r="I61" s="10">
        <v>1</v>
      </c>
      <c r="J61" s="10">
        <v>612</v>
      </c>
      <c r="K61" s="10">
        <v>5833873.0823586648</v>
      </c>
    </row>
    <row r="62" spans="1:11" x14ac:dyDescent="0.35">
      <c r="A62" s="9" t="s">
        <v>168</v>
      </c>
      <c r="B62" s="1">
        <v>1067</v>
      </c>
      <c r="C62" s="1">
        <v>1</v>
      </c>
      <c r="D62" s="1">
        <v>0</v>
      </c>
      <c r="E62" s="1">
        <v>1121</v>
      </c>
      <c r="F62" s="10">
        <v>11863483.749333108</v>
      </c>
      <c r="G62" s="10">
        <v>1100</v>
      </c>
      <c r="H62" s="10">
        <v>2</v>
      </c>
      <c r="I62" s="10">
        <v>0</v>
      </c>
      <c r="J62" s="10">
        <v>1017</v>
      </c>
      <c r="K62" s="10">
        <v>11507491.265354032</v>
      </c>
    </row>
    <row r="63" spans="1:11" x14ac:dyDescent="0.35">
      <c r="A63" s="9" t="s">
        <v>101</v>
      </c>
      <c r="B63" s="1">
        <v>1341</v>
      </c>
      <c r="C63" s="1">
        <v>3</v>
      </c>
      <c r="D63" s="1">
        <v>4</v>
      </c>
      <c r="E63" s="1">
        <v>1447</v>
      </c>
      <c r="F63" s="10">
        <v>15321494.302633652</v>
      </c>
      <c r="G63" s="10">
        <v>1358</v>
      </c>
      <c r="H63" s="10">
        <v>1</v>
      </c>
      <c r="I63" s="10">
        <v>4</v>
      </c>
      <c r="J63" s="10">
        <v>1450</v>
      </c>
      <c r="K63" s="10">
        <v>13532937.95509661</v>
      </c>
    </row>
    <row r="64" spans="1:11" x14ac:dyDescent="0.35">
      <c r="A64" s="9" t="s">
        <v>103</v>
      </c>
      <c r="B64" s="1">
        <v>792</v>
      </c>
      <c r="C64" s="1">
        <v>1</v>
      </c>
      <c r="D64" s="1">
        <v>5</v>
      </c>
      <c r="E64" s="1">
        <v>731</v>
      </c>
      <c r="F64" s="10">
        <v>8058811.266136542</v>
      </c>
      <c r="G64" s="10">
        <v>774</v>
      </c>
      <c r="H64" s="10">
        <v>0</v>
      </c>
      <c r="I64" s="10">
        <v>3</v>
      </c>
      <c r="J64" s="10">
        <v>700</v>
      </c>
      <c r="K64" s="10">
        <v>8013162.8275077576</v>
      </c>
    </row>
    <row r="65" spans="1:11" x14ac:dyDescent="0.35">
      <c r="A65" s="9" t="s">
        <v>105</v>
      </c>
      <c r="B65" s="1">
        <v>701</v>
      </c>
      <c r="C65" s="1">
        <v>1</v>
      </c>
      <c r="D65" s="1">
        <v>5</v>
      </c>
      <c r="E65" s="1">
        <v>468</v>
      </c>
      <c r="F65" s="10">
        <v>9269260.5100010578</v>
      </c>
      <c r="G65" s="10">
        <v>650</v>
      </c>
      <c r="H65" s="10">
        <v>1</v>
      </c>
      <c r="I65" s="10">
        <v>5</v>
      </c>
      <c r="J65" s="10">
        <v>455</v>
      </c>
      <c r="K65" s="10">
        <v>8893470.3084834833</v>
      </c>
    </row>
    <row r="66" spans="1:11" x14ac:dyDescent="0.35">
      <c r="A66" s="9" t="s">
        <v>24</v>
      </c>
      <c r="B66" s="1">
        <v>2017</v>
      </c>
      <c r="C66" s="1">
        <v>0</v>
      </c>
      <c r="D66" s="1">
        <v>8</v>
      </c>
      <c r="E66" s="1">
        <v>1622</v>
      </c>
      <c r="F66" s="10">
        <v>18229398.001991931</v>
      </c>
      <c r="G66" s="10">
        <v>2011</v>
      </c>
      <c r="H66" s="10">
        <v>2</v>
      </c>
      <c r="I66" s="10">
        <v>11</v>
      </c>
      <c r="J66" s="10">
        <v>1646</v>
      </c>
      <c r="K66" s="10">
        <v>28428132.615541138</v>
      </c>
    </row>
    <row r="67" spans="1:11" x14ac:dyDescent="0.35">
      <c r="A67" s="9" t="s">
        <v>27</v>
      </c>
      <c r="B67" s="1">
        <v>1611</v>
      </c>
      <c r="C67" s="1">
        <v>9</v>
      </c>
      <c r="D67" s="1">
        <v>7</v>
      </c>
      <c r="E67" s="1">
        <v>1171</v>
      </c>
      <c r="F67" s="10">
        <v>22361324.738696799</v>
      </c>
      <c r="G67" s="10">
        <v>1569</v>
      </c>
      <c r="H67" s="10">
        <v>1</v>
      </c>
      <c r="I67" s="10">
        <v>6</v>
      </c>
      <c r="J67" s="10">
        <v>1188</v>
      </c>
      <c r="K67" s="10">
        <v>19014835.241792019</v>
      </c>
    </row>
    <row r="68" spans="1:11" x14ac:dyDescent="0.35">
      <c r="A68" s="9" t="s">
        <v>29</v>
      </c>
      <c r="B68" s="1">
        <v>857</v>
      </c>
      <c r="C68" s="1">
        <v>0</v>
      </c>
      <c r="D68" s="1">
        <v>0</v>
      </c>
      <c r="E68" s="1">
        <v>662</v>
      </c>
      <c r="F68" s="10">
        <v>14473423.450396292</v>
      </c>
      <c r="G68" s="10">
        <v>870</v>
      </c>
      <c r="H68" s="10">
        <v>2</v>
      </c>
      <c r="I68" s="10">
        <v>1</v>
      </c>
      <c r="J68" s="10">
        <v>767</v>
      </c>
      <c r="K68" s="10">
        <v>13488920.19425902</v>
      </c>
    </row>
    <row r="69" spans="1:11" x14ac:dyDescent="0.35">
      <c r="A69" s="9" t="s">
        <v>57</v>
      </c>
      <c r="B69" s="1">
        <v>1899</v>
      </c>
      <c r="C69" s="1">
        <v>35</v>
      </c>
      <c r="D69" s="1">
        <v>13</v>
      </c>
      <c r="E69" s="1">
        <v>1338</v>
      </c>
      <c r="F69" s="10">
        <v>20091572.499213256</v>
      </c>
      <c r="G69" s="10">
        <v>2133</v>
      </c>
      <c r="H69" s="10">
        <v>99</v>
      </c>
      <c r="I69" s="10">
        <v>12</v>
      </c>
      <c r="J69" s="10">
        <v>1307</v>
      </c>
      <c r="K69" s="10">
        <v>21020869.711768493</v>
      </c>
    </row>
    <row r="70" spans="1:11" x14ac:dyDescent="0.35">
      <c r="A70" s="9" t="s">
        <v>137</v>
      </c>
      <c r="B70" s="1">
        <v>270</v>
      </c>
      <c r="C70" s="1">
        <v>0</v>
      </c>
      <c r="D70" s="1">
        <v>1</v>
      </c>
      <c r="E70" s="1">
        <v>254</v>
      </c>
      <c r="F70" s="10">
        <v>1561428.480501238</v>
      </c>
      <c r="G70" s="10">
        <v>254</v>
      </c>
      <c r="H70" s="10">
        <v>0</v>
      </c>
      <c r="I70" s="10">
        <v>0</v>
      </c>
      <c r="J70" s="10">
        <v>2</v>
      </c>
      <c r="K70" s="10">
        <v>2.0709595030000001</v>
      </c>
    </row>
    <row r="71" spans="1:11" x14ac:dyDescent="0.35">
      <c r="A71" s="9" t="s">
        <v>10</v>
      </c>
      <c r="B71" s="1">
        <v>1739</v>
      </c>
      <c r="C71" s="1">
        <v>0</v>
      </c>
      <c r="D71" s="1">
        <v>7</v>
      </c>
      <c r="E71" s="1">
        <v>1664</v>
      </c>
      <c r="F71" s="10">
        <v>16733881.714438308</v>
      </c>
      <c r="G71" s="10">
        <v>1666</v>
      </c>
      <c r="H71" s="10">
        <v>3</v>
      </c>
      <c r="I71" s="10">
        <v>4</v>
      </c>
      <c r="J71" s="10">
        <v>1836</v>
      </c>
      <c r="K71" s="10">
        <v>14199763.569661347</v>
      </c>
    </row>
    <row r="72" spans="1:11" x14ac:dyDescent="0.35">
      <c r="A72" s="9" t="s">
        <v>12</v>
      </c>
      <c r="B72" s="1">
        <v>653</v>
      </c>
      <c r="C72" s="1">
        <v>0</v>
      </c>
      <c r="D72" s="1">
        <v>2</v>
      </c>
      <c r="E72" s="1">
        <v>548</v>
      </c>
      <c r="F72" s="10">
        <v>6260256.2300493997</v>
      </c>
      <c r="G72" s="10">
        <v>698</v>
      </c>
      <c r="H72" s="10">
        <v>1</v>
      </c>
      <c r="I72" s="10">
        <v>3</v>
      </c>
      <c r="J72" s="10">
        <v>776</v>
      </c>
      <c r="K72" s="10">
        <v>7314365.6052390682</v>
      </c>
    </row>
    <row r="73" spans="1:11" x14ac:dyDescent="0.35">
      <c r="A73" s="9" t="s">
        <v>162</v>
      </c>
      <c r="B73" s="1">
        <v>1396</v>
      </c>
      <c r="C73" s="1">
        <v>19</v>
      </c>
      <c r="D73" s="1">
        <v>5</v>
      </c>
      <c r="E73" s="1">
        <v>957</v>
      </c>
      <c r="F73" s="10">
        <v>10563149.67928694</v>
      </c>
      <c r="G73" s="10">
        <v>1384</v>
      </c>
      <c r="H73" s="10">
        <v>18</v>
      </c>
      <c r="I73" s="10">
        <v>4</v>
      </c>
      <c r="J73" s="10">
        <v>903</v>
      </c>
      <c r="K73" s="10">
        <v>10158060.965133499</v>
      </c>
    </row>
    <row r="74" spans="1:11" x14ac:dyDescent="0.35">
      <c r="A74" s="9" t="s">
        <v>63</v>
      </c>
      <c r="B74" s="1">
        <v>1412</v>
      </c>
      <c r="C74" s="1">
        <v>3</v>
      </c>
      <c r="D74" s="1">
        <v>4</v>
      </c>
      <c r="E74" s="1">
        <v>1403</v>
      </c>
      <c r="F74" s="10">
        <v>4879934.5253025386</v>
      </c>
      <c r="G74" s="10">
        <v>1306</v>
      </c>
      <c r="H74" s="10">
        <v>1</v>
      </c>
      <c r="I74" s="10">
        <v>5</v>
      </c>
      <c r="J74" s="10">
        <v>1792</v>
      </c>
      <c r="K74" s="10">
        <v>8403983.9138157759</v>
      </c>
    </row>
    <row r="75" spans="1:11" x14ac:dyDescent="0.35">
      <c r="A75" s="9" t="s">
        <v>59</v>
      </c>
      <c r="B75" s="1">
        <v>1719</v>
      </c>
      <c r="C75" s="1">
        <v>2</v>
      </c>
      <c r="D75" s="1">
        <v>6</v>
      </c>
      <c r="E75" s="1">
        <v>1271</v>
      </c>
      <c r="F75" s="10">
        <v>17404206.181409512</v>
      </c>
      <c r="G75" s="10">
        <v>1743</v>
      </c>
      <c r="H75" s="10">
        <v>2</v>
      </c>
      <c r="I75" s="10">
        <v>5</v>
      </c>
      <c r="J75" s="10">
        <v>1232</v>
      </c>
      <c r="K75" s="10">
        <v>19248935.953068849</v>
      </c>
    </row>
    <row r="76" spans="1:11" x14ac:dyDescent="0.35">
      <c r="A76" s="9" t="s">
        <v>139</v>
      </c>
      <c r="B76" s="1">
        <v>488</v>
      </c>
      <c r="C76" s="1">
        <v>1</v>
      </c>
      <c r="D76" s="1">
        <v>2</v>
      </c>
      <c r="E76" s="1">
        <v>554</v>
      </c>
      <c r="F76" s="10">
        <v>4029401.0109289791</v>
      </c>
      <c r="G76" s="10">
        <v>495</v>
      </c>
      <c r="H76" s="10">
        <v>1</v>
      </c>
      <c r="I76" s="10">
        <v>1</v>
      </c>
      <c r="J76" s="10">
        <v>503</v>
      </c>
      <c r="K76" s="10">
        <v>3683325.4120055642</v>
      </c>
    </row>
    <row r="77" spans="1:11" x14ac:dyDescent="0.35">
      <c r="A77" s="9" t="s">
        <v>170</v>
      </c>
      <c r="B77" s="1">
        <v>909</v>
      </c>
      <c r="C77" s="1">
        <v>1</v>
      </c>
      <c r="D77" s="1">
        <v>0</v>
      </c>
      <c r="E77" s="1">
        <v>805</v>
      </c>
      <c r="F77" s="10">
        <v>6554960.5533400709</v>
      </c>
      <c r="G77" s="10">
        <v>893</v>
      </c>
      <c r="H77" s="10">
        <v>2</v>
      </c>
      <c r="I77" s="10">
        <v>0</v>
      </c>
      <c r="J77" s="10">
        <v>820</v>
      </c>
      <c r="K77" s="10">
        <v>5391451.010178484</v>
      </c>
    </row>
    <row r="78" spans="1:11" x14ac:dyDescent="0.35">
      <c r="A78" s="9" t="s">
        <v>61</v>
      </c>
      <c r="B78" s="1">
        <v>679</v>
      </c>
      <c r="C78" s="1">
        <v>0</v>
      </c>
      <c r="D78" s="1">
        <v>4</v>
      </c>
      <c r="E78" s="1">
        <v>564</v>
      </c>
      <c r="F78" s="10">
        <v>2689264.6686447202</v>
      </c>
      <c r="G78" s="10">
        <v>647</v>
      </c>
      <c r="H78" s="10">
        <v>0</v>
      </c>
      <c r="I78" s="10">
        <v>3</v>
      </c>
      <c r="J78" s="10">
        <v>473</v>
      </c>
      <c r="K78" s="10">
        <v>5569919.9248531396</v>
      </c>
    </row>
    <row r="79" spans="1:11" x14ac:dyDescent="0.35">
      <c r="A79" s="9" t="s">
        <v>129</v>
      </c>
      <c r="B79" s="1">
        <v>587</v>
      </c>
      <c r="C79" s="1">
        <v>0</v>
      </c>
      <c r="D79" s="1">
        <v>2</v>
      </c>
      <c r="E79" s="1">
        <v>906</v>
      </c>
      <c r="F79" s="10">
        <v>4337037.0864686901</v>
      </c>
      <c r="G79" s="10">
        <v>585</v>
      </c>
      <c r="H79" s="10">
        <v>3</v>
      </c>
      <c r="I79" s="10">
        <v>1</v>
      </c>
      <c r="J79" s="10">
        <v>1265</v>
      </c>
      <c r="K79" s="10">
        <v>4940735.7756936448</v>
      </c>
    </row>
    <row r="80" spans="1:11" x14ac:dyDescent="0.35">
      <c r="A80" s="9" t="s">
        <v>35</v>
      </c>
      <c r="B80" s="1">
        <v>446</v>
      </c>
      <c r="C80" s="1">
        <v>1</v>
      </c>
      <c r="D80" s="1">
        <v>4</v>
      </c>
      <c r="E80" s="1">
        <v>387</v>
      </c>
      <c r="F80" s="10">
        <v>5003494.0996635016</v>
      </c>
      <c r="G80" s="10">
        <v>450</v>
      </c>
      <c r="H80" s="10">
        <v>0</v>
      </c>
      <c r="I80" s="10">
        <v>7</v>
      </c>
      <c r="J80" s="10">
        <v>447</v>
      </c>
      <c r="K80" s="10">
        <v>5325255.3244800083</v>
      </c>
    </row>
    <row r="81" spans="1:11" x14ac:dyDescent="0.35">
      <c r="A81" s="9" t="s">
        <v>107</v>
      </c>
      <c r="B81" s="1">
        <v>968</v>
      </c>
      <c r="C81" s="1">
        <v>0</v>
      </c>
      <c r="D81" s="1">
        <v>5</v>
      </c>
      <c r="E81" s="1">
        <v>834</v>
      </c>
      <c r="F81" s="10">
        <v>14599105.463165892</v>
      </c>
      <c r="G81" s="10">
        <v>969</v>
      </c>
      <c r="H81" s="10">
        <v>3</v>
      </c>
      <c r="I81" s="10">
        <v>3</v>
      </c>
      <c r="J81" s="10">
        <v>730</v>
      </c>
      <c r="K81" s="10">
        <v>13331666.494566012</v>
      </c>
    </row>
    <row r="82" spans="1:11" x14ac:dyDescent="0.35">
      <c r="A82" s="9" t="s">
        <v>37</v>
      </c>
      <c r="B82" s="1">
        <v>789</v>
      </c>
      <c r="C82" s="1">
        <v>1</v>
      </c>
      <c r="D82" s="1">
        <v>10</v>
      </c>
      <c r="E82" s="1">
        <v>761</v>
      </c>
      <c r="F82" s="10">
        <v>8574263.9764997829</v>
      </c>
      <c r="G82" s="10">
        <v>777</v>
      </c>
      <c r="H82" s="10">
        <v>1</v>
      </c>
      <c r="I82" s="10">
        <v>10</v>
      </c>
      <c r="J82" s="10">
        <v>711</v>
      </c>
      <c r="K82" s="10">
        <v>8108231.6625237344</v>
      </c>
    </row>
    <row r="83" spans="1:11" x14ac:dyDescent="0.35">
      <c r="A83" s="9" t="s">
        <v>76</v>
      </c>
      <c r="B83" s="1">
        <v>907</v>
      </c>
      <c r="C83" s="1">
        <v>0</v>
      </c>
      <c r="D83" s="1">
        <v>2</v>
      </c>
      <c r="E83" s="1">
        <v>939</v>
      </c>
      <c r="F83" s="10">
        <v>6657424.7365432037</v>
      </c>
      <c r="G83" s="10">
        <v>960</v>
      </c>
      <c r="H83" s="10">
        <v>1</v>
      </c>
      <c r="I83" s="10">
        <v>1</v>
      </c>
      <c r="J83" s="10">
        <v>1215</v>
      </c>
      <c r="K83" s="10">
        <v>7256682.7153262254</v>
      </c>
    </row>
    <row r="84" spans="1:11" x14ac:dyDescent="0.35">
      <c r="A84" s="9" t="s">
        <v>65</v>
      </c>
      <c r="B84" s="1">
        <v>1021</v>
      </c>
      <c r="C84" s="1">
        <v>1</v>
      </c>
      <c r="D84" s="1">
        <v>4</v>
      </c>
      <c r="E84" s="1">
        <v>842</v>
      </c>
      <c r="F84" s="10">
        <v>7511852.493724742</v>
      </c>
      <c r="G84" s="10">
        <v>997</v>
      </c>
      <c r="H84" s="10">
        <v>0</v>
      </c>
      <c r="I84" s="10">
        <v>4</v>
      </c>
      <c r="J84" s="10">
        <v>20</v>
      </c>
      <c r="K84" s="10">
        <v>4702680.6416437216</v>
      </c>
    </row>
    <row r="85" spans="1:11" x14ac:dyDescent="0.35">
      <c r="A85" s="9" t="s">
        <v>89</v>
      </c>
      <c r="B85" s="1">
        <v>734</v>
      </c>
      <c r="C85" s="1">
        <v>1</v>
      </c>
      <c r="D85" s="1">
        <v>5</v>
      </c>
      <c r="E85" s="1">
        <v>697</v>
      </c>
      <c r="F85" s="10">
        <v>7143614.790428766</v>
      </c>
      <c r="G85" s="10">
        <v>730</v>
      </c>
      <c r="H85" s="10">
        <v>0</v>
      </c>
      <c r="I85" s="10">
        <v>6</v>
      </c>
      <c r="J85" s="10">
        <v>742</v>
      </c>
      <c r="K85" s="10">
        <v>7522930.9770057639</v>
      </c>
    </row>
    <row r="86" spans="1:11" x14ac:dyDescent="0.35">
      <c r="A86" s="9" t="s">
        <v>147</v>
      </c>
      <c r="B86" s="1">
        <v>575</v>
      </c>
      <c r="C86" s="1">
        <v>1</v>
      </c>
      <c r="D86" s="1">
        <v>1</v>
      </c>
      <c r="E86" s="1">
        <v>609</v>
      </c>
      <c r="F86" s="10">
        <v>4147371.3965030778</v>
      </c>
      <c r="G86" s="10">
        <v>579</v>
      </c>
      <c r="H86" s="10">
        <v>0</v>
      </c>
      <c r="I86" s="10">
        <v>1</v>
      </c>
      <c r="J86" s="10">
        <v>764</v>
      </c>
      <c r="K86" s="10">
        <v>4156463.0287198988</v>
      </c>
    </row>
    <row r="87" spans="1:11" x14ac:dyDescent="0.35">
      <c r="A87" s="9" t="s">
        <v>164</v>
      </c>
      <c r="B87" s="1">
        <v>1709</v>
      </c>
      <c r="C87" s="1">
        <v>1</v>
      </c>
      <c r="D87" s="1">
        <v>10</v>
      </c>
      <c r="E87" s="1">
        <v>1330</v>
      </c>
      <c r="F87" s="10">
        <v>15155946.089206984</v>
      </c>
      <c r="G87" s="10">
        <v>1728</v>
      </c>
      <c r="H87" s="10">
        <v>0</v>
      </c>
      <c r="I87" s="10">
        <v>10</v>
      </c>
      <c r="J87" s="10">
        <v>1218</v>
      </c>
      <c r="K87" s="10">
        <v>15539415.573069196</v>
      </c>
    </row>
    <row r="88" spans="1:11" x14ac:dyDescent="0.35">
      <c r="A88" s="9" t="s">
        <v>91</v>
      </c>
      <c r="B88" s="1">
        <v>688</v>
      </c>
      <c r="C88" s="1">
        <v>2</v>
      </c>
      <c r="D88" s="1">
        <v>3</v>
      </c>
      <c r="E88" s="1">
        <v>755</v>
      </c>
      <c r="F88" s="10">
        <v>4716414.244273073</v>
      </c>
      <c r="G88" s="10">
        <v>596</v>
      </c>
      <c r="H88" s="10">
        <v>0</v>
      </c>
      <c r="I88" s="10">
        <v>3</v>
      </c>
      <c r="J88" s="10">
        <v>862</v>
      </c>
      <c r="K88" s="10">
        <v>3439065.9601564072</v>
      </c>
    </row>
    <row r="89" spans="1:11" x14ac:dyDescent="0.35">
      <c r="A89" s="9" t="s">
        <v>97</v>
      </c>
      <c r="B89" s="1">
        <v>629</v>
      </c>
      <c r="C89" s="1">
        <v>9</v>
      </c>
      <c r="D89" s="1">
        <v>6</v>
      </c>
      <c r="E89" s="1">
        <v>570</v>
      </c>
      <c r="F89" s="10">
        <v>8023492.5817246111</v>
      </c>
      <c r="G89" s="10">
        <v>601</v>
      </c>
      <c r="H89" s="10">
        <v>3</v>
      </c>
      <c r="I89" s="10">
        <v>7</v>
      </c>
      <c r="J89" s="10">
        <v>582</v>
      </c>
      <c r="K89" s="10">
        <v>7587961.4134114794</v>
      </c>
    </row>
    <row r="90" spans="1:11" x14ac:dyDescent="0.35">
      <c r="A90" s="9" t="s">
        <v>78</v>
      </c>
      <c r="B90" s="1">
        <v>357</v>
      </c>
      <c r="C90" s="1">
        <v>1</v>
      </c>
      <c r="D90" s="1">
        <v>0</v>
      </c>
      <c r="E90" s="1">
        <v>445</v>
      </c>
      <c r="F90" s="10">
        <v>2442094.5526837292</v>
      </c>
      <c r="G90" s="10">
        <v>366</v>
      </c>
      <c r="H90" s="10">
        <v>0</v>
      </c>
      <c r="I90" s="10">
        <v>0</v>
      </c>
      <c r="J90" s="10">
        <v>319</v>
      </c>
      <c r="K90" s="10">
        <v>2185891.8143150499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2026-08-09T06:36:48Z</dcterms:modified>
</cp:coreProperties>
</file>