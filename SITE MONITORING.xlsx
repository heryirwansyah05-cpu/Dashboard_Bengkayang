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Sheet1!$A$1:$P$85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" i="3" l="1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2" i="3"/>
  <c r="K3" i="4"/>
  <c r="J3" i="4"/>
  <c r="I3" i="4"/>
  <c r="H3" i="4"/>
  <c r="G3" i="4"/>
  <c r="F3" i="4"/>
  <c r="E3" i="4"/>
  <c r="D3" i="4"/>
  <c r="C3" i="4"/>
  <c r="B3" i="4"/>
  <c r="F3" i="3" l="1"/>
  <c r="G3" i="3"/>
  <c r="H3" i="3"/>
  <c r="I3" i="3"/>
  <c r="J3" i="3"/>
  <c r="K3" i="3"/>
  <c r="L3" i="3"/>
  <c r="M3" i="3"/>
  <c r="O3" i="3"/>
  <c r="F4" i="3"/>
  <c r="G4" i="3"/>
  <c r="H4" i="3"/>
  <c r="I4" i="3"/>
  <c r="J4" i="3"/>
  <c r="K4" i="3"/>
  <c r="L4" i="3"/>
  <c r="M4" i="3"/>
  <c r="O4" i="3"/>
  <c r="F5" i="3"/>
  <c r="G5" i="3"/>
  <c r="H5" i="3"/>
  <c r="I5" i="3"/>
  <c r="J5" i="3"/>
  <c r="K5" i="3"/>
  <c r="L5" i="3"/>
  <c r="M5" i="3"/>
  <c r="O5" i="3"/>
  <c r="F6" i="3"/>
  <c r="G6" i="3"/>
  <c r="H6" i="3"/>
  <c r="I6" i="3"/>
  <c r="J6" i="3"/>
  <c r="K6" i="3"/>
  <c r="L6" i="3"/>
  <c r="M6" i="3"/>
  <c r="O6" i="3"/>
  <c r="F7" i="3"/>
  <c r="G7" i="3"/>
  <c r="H7" i="3"/>
  <c r="I7" i="3"/>
  <c r="J7" i="3"/>
  <c r="K7" i="3"/>
  <c r="L7" i="3"/>
  <c r="M7" i="3"/>
  <c r="O7" i="3"/>
  <c r="F8" i="3"/>
  <c r="G8" i="3"/>
  <c r="H8" i="3"/>
  <c r="I8" i="3"/>
  <c r="J8" i="3"/>
  <c r="K8" i="3"/>
  <c r="L8" i="3"/>
  <c r="M8" i="3"/>
  <c r="O8" i="3"/>
  <c r="F9" i="3"/>
  <c r="G9" i="3"/>
  <c r="H9" i="3"/>
  <c r="I9" i="3"/>
  <c r="J9" i="3"/>
  <c r="K9" i="3"/>
  <c r="L9" i="3"/>
  <c r="M9" i="3"/>
  <c r="O9" i="3"/>
  <c r="F10" i="3"/>
  <c r="G10" i="3"/>
  <c r="H10" i="3"/>
  <c r="I10" i="3"/>
  <c r="J10" i="3"/>
  <c r="K10" i="3"/>
  <c r="L10" i="3"/>
  <c r="M10" i="3"/>
  <c r="O10" i="3"/>
  <c r="F11" i="3"/>
  <c r="G11" i="3"/>
  <c r="H11" i="3"/>
  <c r="I11" i="3"/>
  <c r="J11" i="3"/>
  <c r="K11" i="3"/>
  <c r="L11" i="3"/>
  <c r="M11" i="3"/>
  <c r="O11" i="3"/>
  <c r="F12" i="3"/>
  <c r="G12" i="3"/>
  <c r="H12" i="3"/>
  <c r="I12" i="3"/>
  <c r="J12" i="3"/>
  <c r="K12" i="3"/>
  <c r="L12" i="3"/>
  <c r="M12" i="3"/>
  <c r="O12" i="3"/>
  <c r="F13" i="3"/>
  <c r="G13" i="3"/>
  <c r="H13" i="3"/>
  <c r="I13" i="3"/>
  <c r="J13" i="3"/>
  <c r="K13" i="3"/>
  <c r="L13" i="3"/>
  <c r="M13" i="3"/>
  <c r="O13" i="3"/>
  <c r="F14" i="3"/>
  <c r="G14" i="3"/>
  <c r="H14" i="3"/>
  <c r="I14" i="3"/>
  <c r="J14" i="3"/>
  <c r="K14" i="3"/>
  <c r="L14" i="3"/>
  <c r="M14" i="3"/>
  <c r="O14" i="3"/>
  <c r="F15" i="3"/>
  <c r="G15" i="3"/>
  <c r="H15" i="3"/>
  <c r="I15" i="3"/>
  <c r="J15" i="3"/>
  <c r="K15" i="3"/>
  <c r="L15" i="3"/>
  <c r="M15" i="3"/>
  <c r="O15" i="3"/>
  <c r="F16" i="3"/>
  <c r="G16" i="3"/>
  <c r="H16" i="3"/>
  <c r="I16" i="3"/>
  <c r="J16" i="3"/>
  <c r="K16" i="3"/>
  <c r="L16" i="3"/>
  <c r="M16" i="3"/>
  <c r="O16" i="3"/>
  <c r="F17" i="3"/>
  <c r="G17" i="3"/>
  <c r="H17" i="3"/>
  <c r="I17" i="3"/>
  <c r="J17" i="3"/>
  <c r="K17" i="3"/>
  <c r="L17" i="3"/>
  <c r="M17" i="3"/>
  <c r="O17" i="3"/>
  <c r="F18" i="3"/>
  <c r="G18" i="3"/>
  <c r="H18" i="3"/>
  <c r="I18" i="3"/>
  <c r="J18" i="3"/>
  <c r="K18" i="3"/>
  <c r="L18" i="3"/>
  <c r="M18" i="3"/>
  <c r="O18" i="3"/>
  <c r="F19" i="3"/>
  <c r="G19" i="3"/>
  <c r="H19" i="3"/>
  <c r="I19" i="3"/>
  <c r="J19" i="3"/>
  <c r="K19" i="3"/>
  <c r="L19" i="3"/>
  <c r="M19" i="3"/>
  <c r="O19" i="3"/>
  <c r="F20" i="3"/>
  <c r="G20" i="3"/>
  <c r="H20" i="3"/>
  <c r="I20" i="3"/>
  <c r="J20" i="3"/>
  <c r="K20" i="3"/>
  <c r="L20" i="3"/>
  <c r="M20" i="3"/>
  <c r="O20" i="3"/>
  <c r="F21" i="3"/>
  <c r="G21" i="3"/>
  <c r="H21" i="3"/>
  <c r="I21" i="3"/>
  <c r="J21" i="3"/>
  <c r="K21" i="3"/>
  <c r="L21" i="3"/>
  <c r="M21" i="3"/>
  <c r="O21" i="3"/>
  <c r="F22" i="3"/>
  <c r="G22" i="3"/>
  <c r="H22" i="3"/>
  <c r="I22" i="3"/>
  <c r="J22" i="3"/>
  <c r="K22" i="3"/>
  <c r="L22" i="3"/>
  <c r="M22" i="3"/>
  <c r="O22" i="3"/>
  <c r="F23" i="3"/>
  <c r="G23" i="3"/>
  <c r="H23" i="3"/>
  <c r="I23" i="3"/>
  <c r="J23" i="3"/>
  <c r="K23" i="3"/>
  <c r="L23" i="3"/>
  <c r="M23" i="3"/>
  <c r="O23" i="3"/>
  <c r="F24" i="3"/>
  <c r="G24" i="3"/>
  <c r="H24" i="3"/>
  <c r="I24" i="3"/>
  <c r="J24" i="3"/>
  <c r="K24" i="3"/>
  <c r="L24" i="3"/>
  <c r="M24" i="3"/>
  <c r="O24" i="3"/>
  <c r="F25" i="3"/>
  <c r="G25" i="3"/>
  <c r="H25" i="3"/>
  <c r="I25" i="3"/>
  <c r="J25" i="3"/>
  <c r="K25" i="3"/>
  <c r="L25" i="3"/>
  <c r="M25" i="3"/>
  <c r="O25" i="3"/>
  <c r="F26" i="3"/>
  <c r="G26" i="3"/>
  <c r="H26" i="3"/>
  <c r="I26" i="3"/>
  <c r="J26" i="3"/>
  <c r="K26" i="3"/>
  <c r="L26" i="3"/>
  <c r="M26" i="3"/>
  <c r="O26" i="3"/>
  <c r="F27" i="3"/>
  <c r="G27" i="3"/>
  <c r="H27" i="3"/>
  <c r="I27" i="3"/>
  <c r="J27" i="3"/>
  <c r="K27" i="3"/>
  <c r="L27" i="3"/>
  <c r="M27" i="3"/>
  <c r="O27" i="3"/>
  <c r="F28" i="3"/>
  <c r="G28" i="3"/>
  <c r="H28" i="3"/>
  <c r="I28" i="3"/>
  <c r="J28" i="3"/>
  <c r="K28" i="3"/>
  <c r="L28" i="3"/>
  <c r="M28" i="3"/>
  <c r="O28" i="3"/>
  <c r="F29" i="3"/>
  <c r="G29" i="3"/>
  <c r="H29" i="3"/>
  <c r="I29" i="3"/>
  <c r="J29" i="3"/>
  <c r="K29" i="3"/>
  <c r="L29" i="3"/>
  <c r="M29" i="3"/>
  <c r="O29" i="3"/>
  <c r="F30" i="3"/>
  <c r="G30" i="3"/>
  <c r="H30" i="3"/>
  <c r="I30" i="3"/>
  <c r="J30" i="3"/>
  <c r="K30" i="3"/>
  <c r="L30" i="3"/>
  <c r="M30" i="3"/>
  <c r="O30" i="3"/>
  <c r="F31" i="3"/>
  <c r="G31" i="3"/>
  <c r="H31" i="3"/>
  <c r="I31" i="3"/>
  <c r="J31" i="3"/>
  <c r="K31" i="3"/>
  <c r="L31" i="3"/>
  <c r="M31" i="3"/>
  <c r="O31" i="3"/>
  <c r="F32" i="3"/>
  <c r="G32" i="3"/>
  <c r="H32" i="3"/>
  <c r="I32" i="3"/>
  <c r="J32" i="3"/>
  <c r="K32" i="3"/>
  <c r="L32" i="3"/>
  <c r="M32" i="3"/>
  <c r="O32" i="3"/>
  <c r="F33" i="3"/>
  <c r="G33" i="3"/>
  <c r="H33" i="3"/>
  <c r="I33" i="3"/>
  <c r="J33" i="3"/>
  <c r="K33" i="3"/>
  <c r="L33" i="3"/>
  <c r="M33" i="3"/>
  <c r="O33" i="3"/>
  <c r="F34" i="3"/>
  <c r="G34" i="3"/>
  <c r="H34" i="3"/>
  <c r="I34" i="3"/>
  <c r="J34" i="3"/>
  <c r="K34" i="3"/>
  <c r="L34" i="3"/>
  <c r="M34" i="3"/>
  <c r="O34" i="3"/>
  <c r="F35" i="3"/>
  <c r="G35" i="3"/>
  <c r="H35" i="3"/>
  <c r="I35" i="3"/>
  <c r="J35" i="3"/>
  <c r="K35" i="3"/>
  <c r="L35" i="3"/>
  <c r="M35" i="3"/>
  <c r="O35" i="3"/>
  <c r="F36" i="3"/>
  <c r="G36" i="3"/>
  <c r="H36" i="3"/>
  <c r="I36" i="3"/>
  <c r="J36" i="3"/>
  <c r="K36" i="3"/>
  <c r="L36" i="3"/>
  <c r="M36" i="3"/>
  <c r="O36" i="3"/>
  <c r="F37" i="3"/>
  <c r="G37" i="3"/>
  <c r="H37" i="3"/>
  <c r="I37" i="3"/>
  <c r="J37" i="3"/>
  <c r="K37" i="3"/>
  <c r="L37" i="3"/>
  <c r="M37" i="3"/>
  <c r="O37" i="3"/>
  <c r="F38" i="3"/>
  <c r="G38" i="3"/>
  <c r="H38" i="3"/>
  <c r="I38" i="3"/>
  <c r="J38" i="3"/>
  <c r="K38" i="3"/>
  <c r="L38" i="3"/>
  <c r="M38" i="3"/>
  <c r="O38" i="3"/>
  <c r="F39" i="3"/>
  <c r="G39" i="3"/>
  <c r="H39" i="3"/>
  <c r="I39" i="3"/>
  <c r="J39" i="3"/>
  <c r="K39" i="3"/>
  <c r="L39" i="3"/>
  <c r="M39" i="3"/>
  <c r="O39" i="3"/>
  <c r="F40" i="3"/>
  <c r="G40" i="3"/>
  <c r="H40" i="3"/>
  <c r="I40" i="3"/>
  <c r="J40" i="3"/>
  <c r="K40" i="3"/>
  <c r="L40" i="3"/>
  <c r="M40" i="3"/>
  <c r="O40" i="3"/>
  <c r="F41" i="3"/>
  <c r="G41" i="3"/>
  <c r="H41" i="3"/>
  <c r="I41" i="3"/>
  <c r="J41" i="3"/>
  <c r="K41" i="3"/>
  <c r="L41" i="3"/>
  <c r="M41" i="3"/>
  <c r="O41" i="3"/>
  <c r="F42" i="3"/>
  <c r="G42" i="3"/>
  <c r="H42" i="3"/>
  <c r="I42" i="3"/>
  <c r="J42" i="3"/>
  <c r="K42" i="3"/>
  <c r="L42" i="3"/>
  <c r="M42" i="3"/>
  <c r="O42" i="3"/>
  <c r="F43" i="3"/>
  <c r="G43" i="3"/>
  <c r="H43" i="3"/>
  <c r="I43" i="3"/>
  <c r="J43" i="3"/>
  <c r="K43" i="3"/>
  <c r="L43" i="3"/>
  <c r="M43" i="3"/>
  <c r="O43" i="3"/>
  <c r="F44" i="3"/>
  <c r="G44" i="3"/>
  <c r="H44" i="3"/>
  <c r="I44" i="3"/>
  <c r="J44" i="3"/>
  <c r="K44" i="3"/>
  <c r="L44" i="3"/>
  <c r="M44" i="3"/>
  <c r="O44" i="3"/>
  <c r="F45" i="3"/>
  <c r="G45" i="3"/>
  <c r="H45" i="3"/>
  <c r="I45" i="3"/>
  <c r="J45" i="3"/>
  <c r="K45" i="3"/>
  <c r="L45" i="3"/>
  <c r="M45" i="3"/>
  <c r="O45" i="3"/>
  <c r="F46" i="3"/>
  <c r="G46" i="3"/>
  <c r="H46" i="3"/>
  <c r="I46" i="3"/>
  <c r="J46" i="3"/>
  <c r="K46" i="3"/>
  <c r="L46" i="3"/>
  <c r="M46" i="3"/>
  <c r="O46" i="3"/>
  <c r="F47" i="3"/>
  <c r="G47" i="3"/>
  <c r="H47" i="3"/>
  <c r="I47" i="3"/>
  <c r="J47" i="3"/>
  <c r="K47" i="3"/>
  <c r="L47" i="3"/>
  <c r="M47" i="3"/>
  <c r="O47" i="3"/>
  <c r="F48" i="3"/>
  <c r="G48" i="3"/>
  <c r="H48" i="3"/>
  <c r="I48" i="3"/>
  <c r="J48" i="3"/>
  <c r="K48" i="3"/>
  <c r="L48" i="3"/>
  <c r="M48" i="3"/>
  <c r="O48" i="3"/>
  <c r="F49" i="3"/>
  <c r="G49" i="3"/>
  <c r="H49" i="3"/>
  <c r="I49" i="3"/>
  <c r="J49" i="3"/>
  <c r="K49" i="3"/>
  <c r="L49" i="3"/>
  <c r="M49" i="3"/>
  <c r="O49" i="3"/>
  <c r="F50" i="3"/>
  <c r="G50" i="3"/>
  <c r="H50" i="3"/>
  <c r="I50" i="3"/>
  <c r="J50" i="3"/>
  <c r="K50" i="3"/>
  <c r="L50" i="3"/>
  <c r="M50" i="3"/>
  <c r="O50" i="3"/>
  <c r="F51" i="3"/>
  <c r="G51" i="3"/>
  <c r="H51" i="3"/>
  <c r="I51" i="3"/>
  <c r="J51" i="3"/>
  <c r="K51" i="3"/>
  <c r="L51" i="3"/>
  <c r="M51" i="3"/>
  <c r="O51" i="3"/>
  <c r="F52" i="3"/>
  <c r="G52" i="3"/>
  <c r="H52" i="3"/>
  <c r="I52" i="3"/>
  <c r="J52" i="3"/>
  <c r="K52" i="3"/>
  <c r="L52" i="3"/>
  <c r="M52" i="3"/>
  <c r="O52" i="3"/>
  <c r="F53" i="3"/>
  <c r="G53" i="3"/>
  <c r="H53" i="3"/>
  <c r="I53" i="3"/>
  <c r="J53" i="3"/>
  <c r="K53" i="3"/>
  <c r="L53" i="3"/>
  <c r="M53" i="3"/>
  <c r="O53" i="3"/>
  <c r="F54" i="3"/>
  <c r="G54" i="3"/>
  <c r="H54" i="3"/>
  <c r="I54" i="3"/>
  <c r="J54" i="3"/>
  <c r="K54" i="3"/>
  <c r="L54" i="3"/>
  <c r="M54" i="3"/>
  <c r="O54" i="3"/>
  <c r="F55" i="3"/>
  <c r="G55" i="3"/>
  <c r="H55" i="3"/>
  <c r="I55" i="3"/>
  <c r="J55" i="3"/>
  <c r="K55" i="3"/>
  <c r="L55" i="3"/>
  <c r="M55" i="3"/>
  <c r="O55" i="3"/>
  <c r="F56" i="3"/>
  <c r="G56" i="3"/>
  <c r="H56" i="3"/>
  <c r="I56" i="3"/>
  <c r="J56" i="3"/>
  <c r="K56" i="3"/>
  <c r="L56" i="3"/>
  <c r="M56" i="3"/>
  <c r="O56" i="3"/>
  <c r="F57" i="3"/>
  <c r="G57" i="3"/>
  <c r="H57" i="3"/>
  <c r="I57" i="3"/>
  <c r="J57" i="3"/>
  <c r="K57" i="3"/>
  <c r="L57" i="3"/>
  <c r="M57" i="3"/>
  <c r="O57" i="3"/>
  <c r="F58" i="3"/>
  <c r="G58" i="3"/>
  <c r="H58" i="3"/>
  <c r="I58" i="3"/>
  <c r="J58" i="3"/>
  <c r="K58" i="3"/>
  <c r="L58" i="3"/>
  <c r="M58" i="3"/>
  <c r="O58" i="3"/>
  <c r="F59" i="3"/>
  <c r="G59" i="3"/>
  <c r="H59" i="3"/>
  <c r="I59" i="3"/>
  <c r="J59" i="3"/>
  <c r="K59" i="3"/>
  <c r="L59" i="3"/>
  <c r="M59" i="3"/>
  <c r="O59" i="3"/>
  <c r="F60" i="3"/>
  <c r="G60" i="3"/>
  <c r="H60" i="3"/>
  <c r="I60" i="3"/>
  <c r="J60" i="3"/>
  <c r="K60" i="3"/>
  <c r="L60" i="3"/>
  <c r="M60" i="3"/>
  <c r="O60" i="3"/>
  <c r="F61" i="3"/>
  <c r="G61" i="3"/>
  <c r="H61" i="3"/>
  <c r="I61" i="3"/>
  <c r="J61" i="3"/>
  <c r="K61" i="3"/>
  <c r="L61" i="3"/>
  <c r="M61" i="3"/>
  <c r="O61" i="3"/>
  <c r="F62" i="3"/>
  <c r="G62" i="3"/>
  <c r="H62" i="3"/>
  <c r="I62" i="3"/>
  <c r="J62" i="3"/>
  <c r="K62" i="3"/>
  <c r="L62" i="3"/>
  <c r="M62" i="3"/>
  <c r="O62" i="3"/>
  <c r="F63" i="3"/>
  <c r="G63" i="3"/>
  <c r="H63" i="3"/>
  <c r="I63" i="3"/>
  <c r="J63" i="3"/>
  <c r="K63" i="3"/>
  <c r="L63" i="3"/>
  <c r="M63" i="3"/>
  <c r="O63" i="3"/>
  <c r="F64" i="3"/>
  <c r="G64" i="3"/>
  <c r="H64" i="3"/>
  <c r="I64" i="3"/>
  <c r="J64" i="3"/>
  <c r="K64" i="3"/>
  <c r="L64" i="3"/>
  <c r="M64" i="3"/>
  <c r="O64" i="3"/>
  <c r="F65" i="3"/>
  <c r="G65" i="3"/>
  <c r="H65" i="3"/>
  <c r="I65" i="3"/>
  <c r="J65" i="3"/>
  <c r="K65" i="3"/>
  <c r="L65" i="3"/>
  <c r="M65" i="3"/>
  <c r="O65" i="3"/>
  <c r="F66" i="3"/>
  <c r="G66" i="3"/>
  <c r="H66" i="3"/>
  <c r="I66" i="3"/>
  <c r="J66" i="3"/>
  <c r="K66" i="3"/>
  <c r="L66" i="3"/>
  <c r="M66" i="3"/>
  <c r="O66" i="3"/>
  <c r="F67" i="3"/>
  <c r="G67" i="3"/>
  <c r="H67" i="3"/>
  <c r="I67" i="3"/>
  <c r="J67" i="3"/>
  <c r="K67" i="3"/>
  <c r="L67" i="3"/>
  <c r="M67" i="3"/>
  <c r="O67" i="3"/>
  <c r="F68" i="3"/>
  <c r="G68" i="3"/>
  <c r="H68" i="3"/>
  <c r="I68" i="3"/>
  <c r="J68" i="3"/>
  <c r="K68" i="3"/>
  <c r="L68" i="3"/>
  <c r="M68" i="3"/>
  <c r="O68" i="3"/>
  <c r="F69" i="3"/>
  <c r="G69" i="3"/>
  <c r="H69" i="3"/>
  <c r="I69" i="3"/>
  <c r="J69" i="3"/>
  <c r="K69" i="3"/>
  <c r="L69" i="3"/>
  <c r="M69" i="3"/>
  <c r="O69" i="3"/>
  <c r="F70" i="3"/>
  <c r="G70" i="3"/>
  <c r="H70" i="3"/>
  <c r="I70" i="3"/>
  <c r="J70" i="3"/>
  <c r="K70" i="3"/>
  <c r="L70" i="3"/>
  <c r="M70" i="3"/>
  <c r="O70" i="3"/>
  <c r="F71" i="3"/>
  <c r="G71" i="3"/>
  <c r="H71" i="3"/>
  <c r="I71" i="3"/>
  <c r="J71" i="3"/>
  <c r="K71" i="3"/>
  <c r="L71" i="3"/>
  <c r="M71" i="3"/>
  <c r="O71" i="3"/>
  <c r="F72" i="3"/>
  <c r="G72" i="3"/>
  <c r="H72" i="3"/>
  <c r="I72" i="3"/>
  <c r="J72" i="3"/>
  <c r="K72" i="3"/>
  <c r="L72" i="3"/>
  <c r="M72" i="3"/>
  <c r="O72" i="3"/>
  <c r="F73" i="3"/>
  <c r="G73" i="3"/>
  <c r="H73" i="3"/>
  <c r="I73" i="3"/>
  <c r="J73" i="3"/>
  <c r="K73" i="3"/>
  <c r="L73" i="3"/>
  <c r="M73" i="3"/>
  <c r="O73" i="3"/>
  <c r="F74" i="3"/>
  <c r="G74" i="3"/>
  <c r="H74" i="3"/>
  <c r="I74" i="3"/>
  <c r="J74" i="3"/>
  <c r="K74" i="3"/>
  <c r="L74" i="3"/>
  <c r="M74" i="3"/>
  <c r="O74" i="3"/>
  <c r="F75" i="3"/>
  <c r="G75" i="3"/>
  <c r="H75" i="3"/>
  <c r="I75" i="3"/>
  <c r="J75" i="3"/>
  <c r="K75" i="3"/>
  <c r="L75" i="3"/>
  <c r="M75" i="3"/>
  <c r="O75" i="3"/>
  <c r="F76" i="3"/>
  <c r="G76" i="3"/>
  <c r="H76" i="3"/>
  <c r="I76" i="3"/>
  <c r="J76" i="3"/>
  <c r="K76" i="3"/>
  <c r="L76" i="3"/>
  <c r="M76" i="3"/>
  <c r="O76" i="3"/>
  <c r="F77" i="3"/>
  <c r="G77" i="3"/>
  <c r="H77" i="3"/>
  <c r="I77" i="3"/>
  <c r="J77" i="3"/>
  <c r="K77" i="3"/>
  <c r="L77" i="3"/>
  <c r="M77" i="3"/>
  <c r="O77" i="3"/>
  <c r="F78" i="3"/>
  <c r="G78" i="3"/>
  <c r="H78" i="3"/>
  <c r="I78" i="3"/>
  <c r="J78" i="3"/>
  <c r="K78" i="3"/>
  <c r="L78" i="3"/>
  <c r="M78" i="3"/>
  <c r="O78" i="3"/>
  <c r="F79" i="3"/>
  <c r="G79" i="3"/>
  <c r="H79" i="3"/>
  <c r="I79" i="3"/>
  <c r="J79" i="3"/>
  <c r="K79" i="3"/>
  <c r="L79" i="3"/>
  <c r="M79" i="3"/>
  <c r="O79" i="3"/>
  <c r="F80" i="3"/>
  <c r="G80" i="3"/>
  <c r="H80" i="3"/>
  <c r="I80" i="3"/>
  <c r="J80" i="3"/>
  <c r="K80" i="3"/>
  <c r="L80" i="3"/>
  <c r="M80" i="3"/>
  <c r="O80" i="3"/>
  <c r="F81" i="3"/>
  <c r="G81" i="3"/>
  <c r="H81" i="3"/>
  <c r="I81" i="3"/>
  <c r="J81" i="3"/>
  <c r="K81" i="3"/>
  <c r="L81" i="3"/>
  <c r="M81" i="3"/>
  <c r="O81" i="3"/>
  <c r="F82" i="3"/>
  <c r="G82" i="3"/>
  <c r="H82" i="3"/>
  <c r="I82" i="3"/>
  <c r="J82" i="3"/>
  <c r="K82" i="3"/>
  <c r="L82" i="3"/>
  <c r="M82" i="3"/>
  <c r="O82" i="3"/>
  <c r="F83" i="3"/>
  <c r="G83" i="3"/>
  <c r="H83" i="3"/>
  <c r="I83" i="3"/>
  <c r="J83" i="3"/>
  <c r="K83" i="3"/>
  <c r="L83" i="3"/>
  <c r="M83" i="3"/>
  <c r="O83" i="3"/>
  <c r="F84" i="3"/>
  <c r="G84" i="3"/>
  <c r="H84" i="3"/>
  <c r="I84" i="3"/>
  <c r="J84" i="3"/>
  <c r="K84" i="3"/>
  <c r="L84" i="3"/>
  <c r="M84" i="3"/>
  <c r="O84" i="3"/>
  <c r="F85" i="3"/>
  <c r="G85" i="3"/>
  <c r="H85" i="3"/>
  <c r="I85" i="3"/>
  <c r="J85" i="3"/>
  <c r="K85" i="3"/>
  <c r="L85" i="3"/>
  <c r="M85" i="3"/>
  <c r="O85" i="3"/>
  <c r="O2" i="3"/>
  <c r="M2" i="3"/>
  <c r="L2" i="3"/>
  <c r="K2" i="3"/>
  <c r="J2" i="3"/>
  <c r="I2" i="3"/>
  <c r="H2" i="3"/>
  <c r="G2" i="3"/>
  <c r="F2" i="3"/>
</calcChain>
</file>

<file path=xl/sharedStrings.xml><?xml version="1.0" encoding="utf-8"?>
<sst xmlns="http://schemas.openxmlformats.org/spreadsheetml/2006/main" count="534" uniqueCount="203">
  <si>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</si>
  <si>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</si>
  <si>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</si>
  <si>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</si>
  <si>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</si>
  <si>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</si>
  <si>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</si>
  <si>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</si>
  <si>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</si>
  <si>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</si>
  <si>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</si>
  <si>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</si>
  <si>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</si>
  <si>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</si>
  <si>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</si>
  <si>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</si>
  <si>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</si>
  <si>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</si>
  <si>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</si>
  <si>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</si>
  <si>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</si>
  <si>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</si>
  <si>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</si>
  <si>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</si>
  <si>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</si>
  <si>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</si>
  <si>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</si>
  <si>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</si>
  <si>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</si>
  <si>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</si>
  <si>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</si>
  <si>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</si>
  <si>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</si>
  <si>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</si>
  <si>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</si>
  <si>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</si>
  <si>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</si>
  <si>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</si>
  <si>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</si>
  <si>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</si>
  <si>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</si>
  <si>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</si>
  <si>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</si>
  <si>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</si>
  <si>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</si>
  <si>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</si>
  <si>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</si>
  <si>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</si>
  <si>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</si>
  <si>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</si>
  <si>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</si>
  <si>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</si>
  <si>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</si>
  <si>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</si>
  <si>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</si>
  <si>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</si>
  <si>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</si>
  <si>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</si>
  <si>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</si>
  <si>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</si>
  <si>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</si>
  <si>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</si>
  <si>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</si>
  <si>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</si>
  <si>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</si>
  <si>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</si>
  <si>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</si>
  <si>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</si>
  <si>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</si>
  <si>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</si>
  <si>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</si>
  <si>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</si>
  <si>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</si>
  <si>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</si>
  <si>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</si>
  <si>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</si>
  <si>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</si>
  <si>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</si>
  <si>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</si>
  <si>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</si>
  <si>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</si>
  <si>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</si>
  <si>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</si>
  <si>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</si>
  <si>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</si>
  <si>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</si>
  <si>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</si>
  <si>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</si>
  <si>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</si>
  <si>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</si>
  <si>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</si>
  <si>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</si>
  <si>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</si>
  <si>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</si>
  <si>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</si>
  <si>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</si>
  <si>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</si>
  <si>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</si>
  <si>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</si>
  <si>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</si>
  <si>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</si>
  <si>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</si>
  <si>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</si>
  <si>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</si>
  <si>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</si>
  <si>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</si>
  <si>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</si>
  <si>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</si>
  <si>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</si>
  <si>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</si>
  <si>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</si>
  <si>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</si>
  <si>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</si>
  <si>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</si>
  <si>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</si>
  <si>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</si>
  <si>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</si>
  <si>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</si>
  <si>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</si>
  <si>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</si>
  <si>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</si>
  <si>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</si>
  <si>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</si>
  <si>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</si>
  <si>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</si>
  <si>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</si>
  <si>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</si>
  <si>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</si>
  <si>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</si>
  <si>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</si>
  <si>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</si>
  <si>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</si>
  <si>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</si>
  <si>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</si>
  <si>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</si>
  <si>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</si>
  <si>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</si>
  <si>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</si>
  <si>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</si>
  <si>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</si>
  <si>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</si>
  <si>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</si>
  <si>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</si>
  <si>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</si>
  <si>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</si>
  <si>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</si>
  <si>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</si>
  <si>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</si>
  <si>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</si>
  <si>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</si>
  <si>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</si>
  <si>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</si>
  <si>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</si>
  <si>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</si>
  <si>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</si>
  <si>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</si>
  <si>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</si>
  <si>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</si>
  <si>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</si>
  <si>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</si>
  <si>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</si>
  <si>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</si>
  <si>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</si>
  <si>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</si>
  <si>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</si>
  <si>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</si>
  <si>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</si>
  <si>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</si>
  <si>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</si>
  <si>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</si>
  <si>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</si>
  <si>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</si>
  <si>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</si>
  <si>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</si>
  <si>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</si>
  <si>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</si>
  <si>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</si>
  <si>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</si>
  <si>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</si>
  <si>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</si>
  <si>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</si>
  <si>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</si>
  <si>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</si>
  <si>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</si>
  <si>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</si>
  <si>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</si>
  <si>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</si>
  <si>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</si>
  <si>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</si>
  <si>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</si>
  <si>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</si>
  <si>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</si>
  <si>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</si>
  <si>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</si>
  <si>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</si>
  <si>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</si>
  <si>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</si>
  <si>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</si>
  <si>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RGU GA TRADE</t>
  </si>
  <si>
    <t>Sum of FWA VLR</t>
  </si>
  <si>
    <t>Sum of VLR SUBS</t>
  </si>
  <si>
    <t>Sum of PREPAID REVENUE NETT</t>
  </si>
  <si>
    <t>20BEK0049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</si>
</sst>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85"/>
  <sheetViews>
    <sheetView tabSelected="1" workbookViewId="0">
      <pane xSplit="1" ySplit="1" topLeftCell="K2" activePane="bottomRight" state="frozen"/>
      <selection pane="topRight" activeCell="C1" sqref="C1"/>
      <selection pane="bottomLeft" activeCell="A2" sqref="A2"/>
      <selection pane="bottomRight" activeCell="P2" sqref="P2:P85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7" width="18.26953125" customWidth="1"/>
    <col min="8" max="8" width="12.08984375" bestFit="1" customWidth="1"/>
    <col min="9" max="9" width="12.08984375" customWidth="1"/>
    <col min="10" max="10" width="16.54296875" bestFit="1" customWidth="1"/>
    <col min="11" max="11" width="16.54296875" customWidth="1"/>
    <col min="12" max="12" width="17" style="1" bestFit="1" customWidth="1"/>
    <col min="13" max="13" width="17" style="1" customWidth="1"/>
    <col min="14" max="14" width="17.81640625" style="1" bestFit="1" customWidth="1"/>
    <col min="15" max="15" width="18.54296875" bestFit="1" customWidth="1"/>
    <col min="16" max="16" width="17" bestFit="1" customWidth="1"/>
  </cols>
  <sheetData>
    <row r="1" spans="1:16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3" t="s">
        <v>188</v>
      </c>
      <c r="I1" s="3" t="s">
        <v>187</v>
      </c>
      <c r="J1" s="3" t="s">
        <v>189</v>
      </c>
      <c r="K1" s="3" t="s">
        <v>184</v>
      </c>
      <c r="L1" s="5" t="s">
        <v>190</v>
      </c>
      <c r="M1" s="5" t="s">
        <v>191</v>
      </c>
      <c r="N1" s="5" t="s">
        <v>193</v>
      </c>
      <c r="O1" s="5" t="s">
        <v>192</v>
      </c>
      <c r="P1" s="6" t="s">
        <v>185</v>
      </c>
    </row>
    <row r="2" spans="1:16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8148583.395282384</v>
      </c>
      <c r="G2" s="1">
        <f>VLOOKUP(A:A,MASTER!A:K,11,0)</f>
        <v>7383118.5990972444</v>
      </c>
      <c r="H2" s="2">
        <f>VLOOKUP(A:A,MASTER!A:E,5,0)</f>
        <v>357</v>
      </c>
      <c r="I2" s="2">
        <f>VLOOKUP(A:A,MASTER!A:J,10,0)</f>
        <v>339</v>
      </c>
      <c r="J2" s="2">
        <f>VLOOKUP(A:A,MASTER!A:D,4,0)</f>
        <v>2</v>
      </c>
      <c r="K2" s="2">
        <f>VLOOKUP(A:A,MASTER!A:I,9,0)</f>
        <v>2</v>
      </c>
      <c r="L2" s="1">
        <f>VLOOKUP(A:A,MASTER!A:C,3,0)</f>
        <v>3</v>
      </c>
      <c r="M2" s="1">
        <f>VLOOKUP(A:A,MASTER!A:H,8,0)</f>
        <v>0</v>
      </c>
      <c r="N2" s="1">
        <f>VLOOKUP(A:A,MASTER!A:B,2,0)</f>
        <v>410</v>
      </c>
      <c r="O2">
        <f>VLOOKUP(A:A,MASTER!A:G,7,0)</f>
        <v>418</v>
      </c>
      <c r="P2">
        <v>3</v>
      </c>
    </row>
    <row r="3" spans="1:16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10074713.131280864</v>
      </c>
      <c r="G3" s="1">
        <f>VLOOKUP(A:A,MASTER!A:K,11,0)</f>
        <v>8806603.2716049217</v>
      </c>
      <c r="H3" s="2">
        <f>VLOOKUP(A:A,MASTER!A:E,5,0)</f>
        <v>635</v>
      </c>
      <c r="I3" s="2">
        <f>VLOOKUP(A:A,MASTER!A:J,10,0)</f>
        <v>495</v>
      </c>
      <c r="J3" s="2">
        <f>VLOOKUP(A:A,MASTER!A:D,4,0)</f>
        <v>1</v>
      </c>
      <c r="K3" s="2">
        <f>VLOOKUP(A:A,MASTER!A:I,9,0)</f>
        <v>2</v>
      </c>
      <c r="L3" s="1">
        <f>VLOOKUP(A:A,MASTER!A:C,3,0)</f>
        <v>1</v>
      </c>
      <c r="M3" s="1">
        <f>VLOOKUP(A:A,MASTER!A:H,8,0)</f>
        <v>2</v>
      </c>
      <c r="N3" s="1">
        <f>VLOOKUP(A:A,MASTER!A:B,2,0)</f>
        <v>676</v>
      </c>
      <c r="O3">
        <f>VLOOKUP(A:A,MASTER!A:G,7,0)</f>
        <v>649</v>
      </c>
      <c r="P3">
        <v>2</v>
      </c>
    </row>
    <row r="4" spans="1:16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9579603.6779472157</v>
      </c>
      <c r="G4" s="1">
        <f>VLOOKUP(A:A,MASTER!A:K,11,0)</f>
        <v>10474601.900855821</v>
      </c>
      <c r="H4" s="2">
        <f>VLOOKUP(A:A,MASTER!A:E,5,0)</f>
        <v>703</v>
      </c>
      <c r="I4" s="2">
        <f>VLOOKUP(A:A,MASTER!A:J,10,0)</f>
        <v>690</v>
      </c>
      <c r="J4" s="2">
        <f>VLOOKUP(A:A,MASTER!A:D,4,0)</f>
        <v>2</v>
      </c>
      <c r="K4" s="2">
        <f>VLOOKUP(A:A,MASTER!A:I,9,0)</f>
        <v>1</v>
      </c>
      <c r="L4" s="1">
        <f>VLOOKUP(A:A,MASTER!A:C,3,0)</f>
        <v>2</v>
      </c>
      <c r="M4" s="1">
        <f>VLOOKUP(A:A,MASTER!A:H,8,0)</f>
        <v>5</v>
      </c>
      <c r="N4" s="1">
        <f>VLOOKUP(A:A,MASTER!A:B,2,0)</f>
        <v>685</v>
      </c>
      <c r="O4">
        <f>VLOOKUP(A:A,MASTER!A:G,7,0)</f>
        <v>733</v>
      </c>
      <c r="P4">
        <v>4</v>
      </c>
    </row>
    <row r="5" spans="1:16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18772595.596177574</v>
      </c>
      <c r="G5" s="1">
        <f>VLOOKUP(A:A,MASTER!A:K,11,0)</f>
        <v>19007257.264013216</v>
      </c>
      <c r="H5" s="2">
        <f>VLOOKUP(A:A,MASTER!A:E,5,0)</f>
        <v>1251</v>
      </c>
      <c r="I5" s="2">
        <f>VLOOKUP(A:A,MASTER!A:J,10,0)</f>
        <v>1021</v>
      </c>
      <c r="J5" s="2">
        <f>VLOOKUP(A:A,MASTER!A:D,4,0)</f>
        <v>3</v>
      </c>
      <c r="K5" s="2">
        <f>VLOOKUP(A:A,MASTER!A:I,9,0)</f>
        <v>3</v>
      </c>
      <c r="L5" s="1">
        <f>VLOOKUP(A:A,MASTER!A:C,3,0)</f>
        <v>3</v>
      </c>
      <c r="M5" s="1">
        <f>VLOOKUP(A:A,MASTER!A:H,8,0)</f>
        <v>4</v>
      </c>
      <c r="N5" s="1">
        <f>VLOOKUP(A:A,MASTER!A:B,2,0)</f>
        <v>1194</v>
      </c>
      <c r="O5">
        <f>VLOOKUP(A:A,MASTER!A:G,7,0)</f>
        <v>1215</v>
      </c>
      <c r="P5">
        <v>3</v>
      </c>
    </row>
    <row r="6" spans="1:16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7351981.8698023772</v>
      </c>
      <c r="G6" s="1">
        <f>VLOOKUP(A:A,MASTER!A:K,11,0)</f>
        <v>8379190.2540950719</v>
      </c>
      <c r="H6" s="2">
        <f>VLOOKUP(A:A,MASTER!A:E,5,0)</f>
        <v>350</v>
      </c>
      <c r="I6" s="2">
        <f>VLOOKUP(A:A,MASTER!A:J,10,0)</f>
        <v>363</v>
      </c>
      <c r="J6" s="2">
        <f>VLOOKUP(A:A,MASTER!A:D,4,0)</f>
        <v>1</v>
      </c>
      <c r="K6" s="2">
        <f>VLOOKUP(A:A,MASTER!A:I,9,0)</f>
        <v>1</v>
      </c>
      <c r="L6" s="1">
        <f>VLOOKUP(A:A,MASTER!A:C,3,0)</f>
        <v>1</v>
      </c>
      <c r="M6" s="1">
        <f>VLOOKUP(A:A,MASTER!A:H,8,0)</f>
        <v>1</v>
      </c>
      <c r="N6" s="1">
        <f>VLOOKUP(A:A,MASTER!A:B,2,0)</f>
        <v>401</v>
      </c>
      <c r="O6">
        <f>VLOOKUP(A:A,MASTER!A:G,7,0)</f>
        <v>405</v>
      </c>
      <c r="P6">
        <v>3</v>
      </c>
    </row>
    <row r="7" spans="1:16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7102539.9786560358</v>
      </c>
      <c r="G7" s="1">
        <f>VLOOKUP(A:A,MASTER!A:K,11,0)</f>
        <v>7143934.4550414039</v>
      </c>
      <c r="H7" s="2">
        <f>VLOOKUP(A:A,MASTER!A:E,5,0)</f>
        <v>315</v>
      </c>
      <c r="I7" s="2">
        <f>VLOOKUP(A:A,MASTER!A:J,10,0)</f>
        <v>283</v>
      </c>
      <c r="J7" s="2">
        <f>VLOOKUP(A:A,MASTER!A:D,4,0)</f>
        <v>2</v>
      </c>
      <c r="K7" s="2">
        <f>VLOOKUP(A:A,MASTER!A:I,9,0)</f>
        <v>2</v>
      </c>
      <c r="L7" s="1">
        <f>VLOOKUP(A:A,MASTER!A:C,3,0)</f>
        <v>2</v>
      </c>
      <c r="M7" s="1">
        <f>VLOOKUP(A:A,MASTER!A:H,8,0)</f>
        <v>2</v>
      </c>
      <c r="N7" s="1">
        <f>VLOOKUP(A:A,MASTER!A:B,2,0)</f>
        <v>368</v>
      </c>
      <c r="O7">
        <f>VLOOKUP(A:A,MASTER!A:G,7,0)</f>
        <v>383</v>
      </c>
      <c r="P7">
        <v>2</v>
      </c>
    </row>
    <row r="8" spans="1:16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8274433.0801868876</v>
      </c>
      <c r="G8" s="1">
        <f>VLOOKUP(A:A,MASTER!A:K,11,0)</f>
        <v>8338127.2616301412</v>
      </c>
      <c r="H8" s="2">
        <f>VLOOKUP(A:A,MASTER!A:E,5,0)</f>
        <v>504</v>
      </c>
      <c r="I8" s="2">
        <f>VLOOKUP(A:A,MASTER!A:J,10,0)</f>
        <v>501</v>
      </c>
      <c r="J8" s="2">
        <f>VLOOKUP(A:A,MASTER!A:D,4,0)</f>
        <v>1</v>
      </c>
      <c r="K8" s="2">
        <f>VLOOKUP(A:A,MASTER!A:I,9,0)</f>
        <v>3</v>
      </c>
      <c r="L8" s="1">
        <f>VLOOKUP(A:A,MASTER!A:C,3,0)</f>
        <v>0</v>
      </c>
      <c r="M8" s="1">
        <f>VLOOKUP(A:A,MASTER!A:H,8,0)</f>
        <v>1</v>
      </c>
      <c r="N8" s="1">
        <f>VLOOKUP(A:A,MASTER!A:B,2,0)</f>
        <v>605</v>
      </c>
      <c r="O8">
        <f>VLOOKUP(A:A,MASTER!A:G,7,0)</f>
        <v>603</v>
      </c>
      <c r="P8">
        <v>9</v>
      </c>
    </row>
    <row r="9" spans="1:16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3656016.5393009051</v>
      </c>
      <c r="G9" s="1">
        <f>VLOOKUP(A:A,MASTER!A:K,11,0)</f>
        <v>3746619.7807002808</v>
      </c>
      <c r="H9" s="2">
        <f>VLOOKUP(A:A,MASTER!A:E,5,0)</f>
        <v>158</v>
      </c>
      <c r="I9" s="2">
        <f>VLOOKUP(A:A,MASTER!A:J,10,0)</f>
        <v>131</v>
      </c>
      <c r="J9" s="2">
        <f>VLOOKUP(A:A,MASTER!A:D,4,0)</f>
        <v>1</v>
      </c>
      <c r="K9" s="2">
        <f>VLOOKUP(A:A,MASTER!A:I,9,0)</f>
        <v>1</v>
      </c>
      <c r="L9" s="1">
        <f>VLOOKUP(A:A,MASTER!A:C,3,0)</f>
        <v>0</v>
      </c>
      <c r="M9" s="1">
        <f>VLOOKUP(A:A,MASTER!A:H,8,0)</f>
        <v>0</v>
      </c>
      <c r="N9" s="1">
        <f>VLOOKUP(A:A,MASTER!A:B,2,0)</f>
        <v>169</v>
      </c>
      <c r="O9">
        <f>VLOOKUP(A:A,MASTER!A:G,7,0)</f>
        <v>167</v>
      </c>
      <c r="P9">
        <v>1</v>
      </c>
    </row>
    <row r="10" spans="1:16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3662736.030057156</v>
      </c>
      <c r="G10" s="1">
        <f>VLOOKUP(A:A,MASTER!A:K,11,0)</f>
        <v>586274.09262576199</v>
      </c>
      <c r="H10" s="2">
        <f>VLOOKUP(A:A,MASTER!A:E,5,0)</f>
        <v>234</v>
      </c>
      <c r="I10" s="2">
        <f>VLOOKUP(A:A,MASTER!A:J,10,0)</f>
        <v>130</v>
      </c>
      <c r="J10" s="2">
        <f>VLOOKUP(A:A,MASTER!A:D,4,0)</f>
        <v>0</v>
      </c>
      <c r="K10" s="2">
        <f>VLOOKUP(A:A,MASTER!A:I,9,0)</f>
        <v>1</v>
      </c>
      <c r="L10" s="1">
        <f>VLOOKUP(A:A,MASTER!A:C,3,0)</f>
        <v>1</v>
      </c>
      <c r="M10" s="1">
        <f>VLOOKUP(A:A,MASTER!A:H,8,0)</f>
        <v>0</v>
      </c>
      <c r="N10" s="1">
        <f>VLOOKUP(A:A,MASTER!A:B,2,0)</f>
        <v>205</v>
      </c>
      <c r="O10">
        <f>VLOOKUP(A:A,MASTER!A:G,7,0)</f>
        <v>183</v>
      </c>
      <c r="P10">
        <v>1</v>
      </c>
    </row>
    <row r="11" spans="1:16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5886575.0213002944</v>
      </c>
      <c r="G11" s="1">
        <f>VLOOKUP(A:A,MASTER!A:K,11,0)</f>
        <v>7938415.2501511136</v>
      </c>
      <c r="H11" s="2">
        <f>VLOOKUP(A:A,MASTER!A:E,5,0)</f>
        <v>341</v>
      </c>
      <c r="I11" s="2">
        <f>VLOOKUP(A:A,MASTER!A:J,10,0)</f>
        <v>329</v>
      </c>
      <c r="J11" s="2">
        <f>VLOOKUP(A:A,MASTER!A:D,4,0)</f>
        <v>0</v>
      </c>
      <c r="K11" s="2">
        <f>VLOOKUP(A:A,MASTER!A:I,9,0)</f>
        <v>1</v>
      </c>
      <c r="L11" s="1">
        <f>VLOOKUP(A:A,MASTER!A:C,3,0)</f>
        <v>0</v>
      </c>
      <c r="M11" s="1">
        <f>VLOOKUP(A:A,MASTER!A:H,8,0)</f>
        <v>1</v>
      </c>
      <c r="N11" s="1">
        <f>VLOOKUP(A:A,MASTER!A:B,2,0)</f>
        <v>352</v>
      </c>
      <c r="O11">
        <f>VLOOKUP(A:A,MASTER!A:G,7,0)</f>
        <v>369</v>
      </c>
      <c r="P11">
        <v>4</v>
      </c>
    </row>
    <row r="12" spans="1:16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2763314.70019016</v>
      </c>
      <c r="G12" s="1">
        <f>VLOOKUP(A:A,MASTER!A:K,11,0)</f>
        <v>3605141.5898137731</v>
      </c>
      <c r="H12" s="2">
        <f>VLOOKUP(A:A,MASTER!A:E,5,0)</f>
        <v>274</v>
      </c>
      <c r="I12" s="2">
        <f>VLOOKUP(A:A,MASTER!A:J,10,0)</f>
        <v>253</v>
      </c>
      <c r="J12" s="2">
        <f>VLOOKUP(A:A,MASTER!A:D,4,0)</f>
        <v>1</v>
      </c>
      <c r="K12" s="2">
        <f>VLOOKUP(A:A,MASTER!A:I,9,0)</f>
        <v>2</v>
      </c>
      <c r="L12" s="1">
        <f>VLOOKUP(A:A,MASTER!A:C,3,0)</f>
        <v>0</v>
      </c>
      <c r="M12" s="1">
        <f>VLOOKUP(A:A,MASTER!A:H,8,0)</f>
        <v>0</v>
      </c>
      <c r="N12" s="1">
        <f>VLOOKUP(A:A,MASTER!A:B,2,0)</f>
        <v>212</v>
      </c>
      <c r="O12">
        <f>VLOOKUP(A:A,MASTER!A:G,7,0)</f>
        <v>205</v>
      </c>
      <c r="P12">
        <v>3</v>
      </c>
    </row>
    <row r="13" spans="1:16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3731770.761003104</v>
      </c>
      <c r="G13" s="1">
        <f>VLOOKUP(A:A,MASTER!A:K,11,0)</f>
        <v>3976103.8294773069</v>
      </c>
      <c r="H13" s="2">
        <f>VLOOKUP(A:A,MASTER!A:E,5,0)</f>
        <v>198</v>
      </c>
      <c r="I13" s="2">
        <f>VLOOKUP(A:A,MASTER!A:J,10,0)</f>
        <v>1029</v>
      </c>
      <c r="J13" s="2">
        <f>VLOOKUP(A:A,MASTER!A:D,4,0)</f>
        <v>0</v>
      </c>
      <c r="K13" s="2">
        <f>VLOOKUP(A:A,MASTER!A:I,9,0)</f>
        <v>2</v>
      </c>
      <c r="L13" s="1">
        <f>VLOOKUP(A:A,MASTER!A:C,3,0)</f>
        <v>7</v>
      </c>
      <c r="M13" s="1">
        <f>VLOOKUP(A:A,MASTER!A:H,8,0)</f>
        <v>1</v>
      </c>
      <c r="N13" s="1">
        <f>VLOOKUP(A:A,MASTER!A:B,2,0)</f>
        <v>260</v>
      </c>
      <c r="O13">
        <f>VLOOKUP(A:A,MASTER!A:G,7,0)</f>
        <v>242</v>
      </c>
      <c r="P13">
        <v>5</v>
      </c>
    </row>
    <row r="14" spans="1:16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7512211.1851744372</v>
      </c>
      <c r="G14" s="1">
        <f>VLOOKUP(A:A,MASTER!A:K,11,0)</f>
        <v>13395441.917632751</v>
      </c>
      <c r="H14" s="2">
        <f>VLOOKUP(A:A,MASTER!A:E,5,0)</f>
        <v>41</v>
      </c>
      <c r="I14" s="2">
        <f>VLOOKUP(A:A,MASTER!A:J,10,0)</f>
        <v>1622</v>
      </c>
      <c r="J14" s="2">
        <f>VLOOKUP(A:A,MASTER!A:D,4,0)</f>
        <v>2</v>
      </c>
      <c r="K14" s="2">
        <f>VLOOKUP(A:A,MASTER!A:I,9,0)</f>
        <v>3</v>
      </c>
      <c r="L14" s="1">
        <f>VLOOKUP(A:A,MASTER!A:C,3,0)</f>
        <v>0</v>
      </c>
      <c r="M14" s="1">
        <f>VLOOKUP(A:A,MASTER!A:H,8,0)</f>
        <v>2</v>
      </c>
      <c r="N14" s="1">
        <f>VLOOKUP(A:A,MASTER!A:B,2,0)</f>
        <v>1428</v>
      </c>
      <c r="O14">
        <f>VLOOKUP(A:A,MASTER!A:G,7,0)</f>
        <v>1430</v>
      </c>
      <c r="P14">
        <v>3</v>
      </c>
    </row>
    <row r="15" spans="1:16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27027994.608759265</v>
      </c>
      <c r="G15" s="1">
        <f>VLOOKUP(A:A,MASTER!A:K,11,0)</f>
        <v>26636902.010980774</v>
      </c>
      <c r="H15" s="2">
        <f>VLOOKUP(A:A,MASTER!A:E,5,0)</f>
        <v>1196</v>
      </c>
      <c r="I15" s="2">
        <f>VLOOKUP(A:A,MASTER!A:J,10,0)</f>
        <v>881</v>
      </c>
      <c r="J15" s="2">
        <f>VLOOKUP(A:A,MASTER!A:D,4,0)</f>
        <v>2</v>
      </c>
      <c r="K15" s="2">
        <f>VLOOKUP(A:A,MASTER!A:I,9,0)</f>
        <v>3</v>
      </c>
      <c r="L15" s="1">
        <f>VLOOKUP(A:A,MASTER!A:C,3,0)</f>
        <v>0</v>
      </c>
      <c r="M15" s="1">
        <f>VLOOKUP(A:A,MASTER!A:H,8,0)</f>
        <v>1</v>
      </c>
      <c r="N15" s="1">
        <f>VLOOKUP(A:A,MASTER!A:B,2,0)</f>
        <v>1287</v>
      </c>
      <c r="O15">
        <f>VLOOKUP(A:A,MASTER!A:G,7,0)</f>
        <v>1235</v>
      </c>
      <c r="P15">
        <v>4</v>
      </c>
    </row>
    <row r="16" spans="1:16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15102559.791172484</v>
      </c>
      <c r="G16" s="1">
        <f>VLOOKUP(A:A,MASTER!A:K,11,0)</f>
        <v>15824748.753173972</v>
      </c>
      <c r="H16" s="2">
        <f>VLOOKUP(A:A,MASTER!A:E,5,0)</f>
        <v>941</v>
      </c>
      <c r="I16" s="2">
        <f>VLOOKUP(A:A,MASTER!A:J,10,0)</f>
        <v>966</v>
      </c>
      <c r="J16" s="2">
        <f>VLOOKUP(A:A,MASTER!A:D,4,0)</f>
        <v>3</v>
      </c>
      <c r="K16" s="2">
        <f>VLOOKUP(A:A,MASTER!A:I,9,0)</f>
        <v>5</v>
      </c>
      <c r="L16" s="1">
        <f>VLOOKUP(A:A,MASTER!A:C,3,0)</f>
        <v>1</v>
      </c>
      <c r="M16" s="1">
        <f>VLOOKUP(A:A,MASTER!A:H,8,0)</f>
        <v>2</v>
      </c>
      <c r="N16" s="1">
        <f>VLOOKUP(A:A,MASTER!A:B,2,0)</f>
        <v>1031</v>
      </c>
      <c r="O16">
        <f>VLOOKUP(A:A,MASTER!A:G,7,0)</f>
        <v>1030</v>
      </c>
      <c r="P16">
        <v>4</v>
      </c>
    </row>
    <row r="17" spans="1:16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15734908.735146243</v>
      </c>
      <c r="G17" s="1">
        <f>VLOOKUP(A:A,MASTER!A:K,11,0)</f>
        <v>10910855.575781677</v>
      </c>
      <c r="H17" s="2">
        <f>VLOOKUP(A:A,MASTER!A:E,5,0)</f>
        <v>607</v>
      </c>
      <c r="I17" s="2">
        <f>VLOOKUP(A:A,MASTER!A:J,10,0)</f>
        <v>657</v>
      </c>
      <c r="J17" s="2">
        <f>VLOOKUP(A:A,MASTER!A:D,4,0)</f>
        <v>2</v>
      </c>
      <c r="K17" s="2">
        <f>VLOOKUP(A:A,MASTER!A:I,9,0)</f>
        <v>3</v>
      </c>
      <c r="L17" s="1">
        <f>VLOOKUP(A:A,MASTER!A:C,3,0)</f>
        <v>0</v>
      </c>
      <c r="M17" s="1">
        <f>VLOOKUP(A:A,MASTER!A:H,8,0)</f>
        <v>3</v>
      </c>
      <c r="N17" s="1">
        <f>VLOOKUP(A:A,MASTER!A:B,2,0)</f>
        <v>954</v>
      </c>
      <c r="O17">
        <f>VLOOKUP(A:A,MASTER!A:G,7,0)</f>
        <v>911</v>
      </c>
      <c r="P17">
        <v>4</v>
      </c>
    </row>
    <row r="18" spans="1:16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52792789.530242719</v>
      </c>
      <c r="G18" s="1">
        <f>VLOOKUP(A:A,MASTER!A:K,11,0)</f>
        <v>58761430.803304039</v>
      </c>
      <c r="H18" s="2">
        <f>VLOOKUP(A:A,MASTER!A:E,5,0)</f>
        <v>1911</v>
      </c>
      <c r="I18" s="2">
        <f>VLOOKUP(A:A,MASTER!A:J,10,0)</f>
        <v>2097</v>
      </c>
      <c r="J18" s="2">
        <f>VLOOKUP(A:A,MASTER!A:D,4,0)</f>
        <v>10</v>
      </c>
      <c r="K18" s="2">
        <f>VLOOKUP(A:A,MASTER!A:I,9,0)</f>
        <v>10</v>
      </c>
      <c r="L18" s="1">
        <f>VLOOKUP(A:A,MASTER!A:C,3,0)</f>
        <v>116</v>
      </c>
      <c r="M18" s="1">
        <f>VLOOKUP(A:A,MASTER!A:H,8,0)</f>
        <v>171</v>
      </c>
      <c r="N18" s="1">
        <f>VLOOKUP(A:A,MASTER!A:B,2,0)</f>
        <v>2784</v>
      </c>
      <c r="O18">
        <f>VLOOKUP(A:A,MASTER!A:G,7,0)</f>
        <v>2902</v>
      </c>
      <c r="P18">
        <v>5</v>
      </c>
    </row>
    <row r="19" spans="1:16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29359803.28090911</v>
      </c>
      <c r="G19" s="1">
        <f>VLOOKUP(A:A,MASTER!A:K,11,0)</f>
        <v>11582816.775124433</v>
      </c>
      <c r="H19" s="2">
        <f>VLOOKUP(A:A,MASTER!A:E,5,0)</f>
        <v>1146</v>
      </c>
      <c r="I19" s="2">
        <f>VLOOKUP(A:A,MASTER!A:J,10,0)</f>
        <v>1135</v>
      </c>
      <c r="J19" s="2">
        <f>VLOOKUP(A:A,MASTER!A:D,4,0)</f>
        <v>2</v>
      </c>
      <c r="K19" s="2">
        <f>VLOOKUP(A:A,MASTER!A:I,9,0)</f>
        <v>1</v>
      </c>
      <c r="L19" s="1">
        <f>VLOOKUP(A:A,MASTER!A:C,3,0)</f>
        <v>0</v>
      </c>
      <c r="M19" s="1">
        <f>VLOOKUP(A:A,MASTER!A:H,8,0)</f>
        <v>3</v>
      </c>
      <c r="N19" s="1">
        <f>VLOOKUP(A:A,MASTER!A:B,2,0)</f>
        <v>1445</v>
      </c>
      <c r="O19">
        <f>VLOOKUP(A:A,MASTER!A:G,7,0)</f>
        <v>1368</v>
      </c>
      <c r="P19">
        <v>1</v>
      </c>
    </row>
    <row r="20" spans="1:16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57514764.250181429</v>
      </c>
      <c r="G20" s="1">
        <f>VLOOKUP(A:A,MASTER!A:K,11,0)</f>
        <v>57579834.233493693</v>
      </c>
      <c r="H20" s="2">
        <f>VLOOKUP(A:A,MASTER!A:E,5,0)</f>
        <v>2495</v>
      </c>
      <c r="I20" s="2">
        <f>VLOOKUP(A:A,MASTER!A:J,10,0)</f>
        <v>2229</v>
      </c>
      <c r="J20" s="2">
        <f>VLOOKUP(A:A,MASTER!A:D,4,0)</f>
        <v>12</v>
      </c>
      <c r="K20" s="2">
        <f>VLOOKUP(A:A,MASTER!A:I,9,0)</f>
        <v>10</v>
      </c>
      <c r="L20" s="1">
        <f>VLOOKUP(A:A,MASTER!A:C,3,0)</f>
        <v>9</v>
      </c>
      <c r="M20" s="1">
        <f>VLOOKUP(A:A,MASTER!A:H,8,0)</f>
        <v>14</v>
      </c>
      <c r="N20" s="1">
        <f>VLOOKUP(A:A,MASTER!A:B,2,0)</f>
        <v>2991</v>
      </c>
      <c r="O20">
        <f>VLOOKUP(A:A,MASTER!A:G,7,0)</f>
        <v>2969</v>
      </c>
      <c r="P20">
        <v>8</v>
      </c>
    </row>
    <row r="21" spans="1:16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8321119.8683109106</v>
      </c>
      <c r="G21" s="1">
        <f>VLOOKUP(A:A,MASTER!A:K,11,0)</f>
        <v>9053768.2708089184</v>
      </c>
      <c r="H21" s="2">
        <f>VLOOKUP(A:A,MASTER!A:E,5,0)</f>
        <v>453</v>
      </c>
      <c r="I21" s="2">
        <f>VLOOKUP(A:A,MASTER!A:J,10,0)</f>
        <v>501</v>
      </c>
      <c r="J21" s="2">
        <f>VLOOKUP(A:A,MASTER!A:D,4,0)</f>
        <v>1</v>
      </c>
      <c r="K21" s="2">
        <f>VLOOKUP(A:A,MASTER!A:I,9,0)</f>
        <v>1</v>
      </c>
      <c r="L21" s="1">
        <f>VLOOKUP(A:A,MASTER!A:C,3,0)</f>
        <v>3</v>
      </c>
      <c r="M21" s="1">
        <f>VLOOKUP(A:A,MASTER!A:H,8,0)</f>
        <v>4</v>
      </c>
      <c r="N21" s="1">
        <f>VLOOKUP(A:A,MASTER!A:B,2,0)</f>
        <v>555</v>
      </c>
      <c r="O21">
        <f>VLOOKUP(A:A,MASTER!A:G,7,0)</f>
        <v>544</v>
      </c>
      <c r="P21">
        <v>1</v>
      </c>
    </row>
    <row r="22" spans="1:16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22879391.702904098</v>
      </c>
      <c r="G22" s="1">
        <f>VLOOKUP(A:A,MASTER!A:K,11,0)</f>
        <v>23681600.887948416</v>
      </c>
      <c r="H22" s="2">
        <f>VLOOKUP(A:A,MASTER!A:E,5,0)</f>
        <v>1248</v>
      </c>
      <c r="I22" s="2">
        <f>VLOOKUP(A:A,MASTER!A:J,10,0)</f>
        <v>1298</v>
      </c>
      <c r="J22" s="2">
        <f>VLOOKUP(A:A,MASTER!A:D,4,0)</f>
        <v>1</v>
      </c>
      <c r="K22" s="2">
        <f>VLOOKUP(A:A,MASTER!A:I,9,0)</f>
        <v>2</v>
      </c>
      <c r="L22" s="1">
        <f>VLOOKUP(A:A,MASTER!A:C,3,0)</f>
        <v>6</v>
      </c>
      <c r="M22" s="1">
        <f>VLOOKUP(A:A,MASTER!A:H,8,0)</f>
        <v>11</v>
      </c>
      <c r="N22" s="1">
        <f>VLOOKUP(A:A,MASTER!A:B,2,0)</f>
        <v>1705</v>
      </c>
      <c r="O22">
        <f>VLOOKUP(A:A,MASTER!A:G,7,0)</f>
        <v>1739</v>
      </c>
      <c r="P22">
        <v>7</v>
      </c>
    </row>
    <row r="23" spans="1:16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10369757.486323014</v>
      </c>
      <c r="G23" s="1">
        <f>VLOOKUP(A:A,MASTER!A:K,11,0)</f>
        <v>9476804.7699170522</v>
      </c>
      <c r="H23" s="2">
        <f>VLOOKUP(A:A,MASTER!A:E,5,0)</f>
        <v>806</v>
      </c>
      <c r="I23" s="2">
        <f>VLOOKUP(A:A,MASTER!A:J,10,0)</f>
        <v>740</v>
      </c>
      <c r="J23" s="2">
        <f>VLOOKUP(A:A,MASTER!A:D,4,0)</f>
        <v>1</v>
      </c>
      <c r="K23" s="2">
        <f>VLOOKUP(A:A,MASTER!A:I,9,0)</f>
        <v>1</v>
      </c>
      <c r="L23" s="1">
        <f>VLOOKUP(A:A,MASTER!A:C,3,0)</f>
        <v>4</v>
      </c>
      <c r="M23" s="1">
        <f>VLOOKUP(A:A,MASTER!A:H,8,0)</f>
        <v>8</v>
      </c>
      <c r="N23" s="1">
        <f>VLOOKUP(A:A,MASTER!A:B,2,0)</f>
        <v>860</v>
      </c>
      <c r="O23">
        <f>VLOOKUP(A:A,MASTER!A:G,7,0)</f>
        <v>878</v>
      </c>
      <c r="P23">
        <v>1</v>
      </c>
    </row>
    <row r="24" spans="1:16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10593685.684289929</v>
      </c>
      <c r="G24" s="1">
        <f>VLOOKUP(A:A,MASTER!A:K,11,0)</f>
        <v>12126669.665737486</v>
      </c>
      <c r="H24" s="2">
        <f>VLOOKUP(A:A,MASTER!A:E,5,0)</f>
        <v>671</v>
      </c>
      <c r="I24" s="2">
        <f>VLOOKUP(A:A,MASTER!A:J,10,0)</f>
        <v>837</v>
      </c>
      <c r="J24" s="2">
        <f>VLOOKUP(A:A,MASTER!A:D,4,0)</f>
        <v>1</v>
      </c>
      <c r="K24" s="2">
        <f>VLOOKUP(A:A,MASTER!A:I,9,0)</f>
        <v>1</v>
      </c>
      <c r="L24" s="1">
        <f>VLOOKUP(A:A,MASTER!A:C,3,0)</f>
        <v>1</v>
      </c>
      <c r="M24" s="1">
        <f>VLOOKUP(A:A,MASTER!A:H,8,0)</f>
        <v>5</v>
      </c>
      <c r="N24" s="1">
        <f>VLOOKUP(A:A,MASTER!A:B,2,0)</f>
        <v>893</v>
      </c>
      <c r="O24">
        <f>VLOOKUP(A:A,MASTER!A:G,7,0)</f>
        <v>888</v>
      </c>
      <c r="P24">
        <v>3</v>
      </c>
    </row>
    <row r="25" spans="1:16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3161051.6615617769</v>
      </c>
      <c r="G25" s="1">
        <f>VLOOKUP(A:A,MASTER!A:K,11,0)</f>
        <v>2535906.26679195</v>
      </c>
      <c r="H25" s="2">
        <f>VLOOKUP(A:A,MASTER!A:E,5,0)</f>
        <v>183</v>
      </c>
      <c r="I25" s="2">
        <f>VLOOKUP(A:A,MASTER!A:J,10,0)</f>
        <v>176</v>
      </c>
      <c r="J25" s="2">
        <f>VLOOKUP(A:A,MASTER!A:D,4,0)</f>
        <v>0</v>
      </c>
      <c r="K25" s="2">
        <f>VLOOKUP(A:A,MASTER!A:I,9,0)</f>
        <v>2</v>
      </c>
      <c r="L25" s="1">
        <f>VLOOKUP(A:A,MASTER!A:C,3,0)</f>
        <v>1</v>
      </c>
      <c r="M25" s="1">
        <f>VLOOKUP(A:A,MASTER!A:H,8,0)</f>
        <v>1</v>
      </c>
      <c r="N25" s="1">
        <f>VLOOKUP(A:A,MASTER!A:B,2,0)</f>
        <v>236</v>
      </c>
      <c r="O25">
        <f>VLOOKUP(A:A,MASTER!A:G,7,0)</f>
        <v>231</v>
      </c>
      <c r="P25">
        <v>1</v>
      </c>
    </row>
    <row r="26" spans="1:16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26915593.394559879</v>
      </c>
      <c r="G26" s="1">
        <f>VLOOKUP(A:A,MASTER!A:K,11,0)</f>
        <v>22506648.705730204</v>
      </c>
      <c r="H26" s="2">
        <f>VLOOKUP(A:A,MASTER!A:E,5,0)</f>
        <v>1411</v>
      </c>
      <c r="I26" s="2">
        <f>VLOOKUP(A:A,MASTER!A:J,10,0)</f>
        <v>1297</v>
      </c>
      <c r="J26" s="2">
        <f>VLOOKUP(A:A,MASTER!A:D,4,0)</f>
        <v>5</v>
      </c>
      <c r="K26" s="2">
        <f>VLOOKUP(A:A,MASTER!A:I,9,0)</f>
        <v>6</v>
      </c>
      <c r="L26" s="1">
        <f>VLOOKUP(A:A,MASTER!A:C,3,0)</f>
        <v>1</v>
      </c>
      <c r="M26" s="1">
        <f>VLOOKUP(A:A,MASTER!A:H,8,0)</f>
        <v>9</v>
      </c>
      <c r="N26" s="1">
        <f>VLOOKUP(A:A,MASTER!A:B,2,0)</f>
        <v>1672</v>
      </c>
      <c r="O26">
        <f>VLOOKUP(A:A,MASTER!A:G,7,0)</f>
        <v>1663</v>
      </c>
      <c r="P26">
        <v>1</v>
      </c>
    </row>
    <row r="27" spans="1:16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17367448.012160983</v>
      </c>
      <c r="G27" s="1">
        <f>VLOOKUP(A:A,MASTER!A:K,11,0)</f>
        <v>18114098.002767928</v>
      </c>
      <c r="H27" s="2">
        <f>VLOOKUP(A:A,MASTER!A:E,5,0)</f>
        <v>725</v>
      </c>
      <c r="I27" s="2">
        <f>VLOOKUP(A:A,MASTER!A:J,10,0)</f>
        <v>624</v>
      </c>
      <c r="J27" s="2">
        <f>VLOOKUP(A:A,MASTER!A:D,4,0)</f>
        <v>1</v>
      </c>
      <c r="K27" s="2">
        <f>VLOOKUP(A:A,MASTER!A:I,9,0)</f>
        <v>1</v>
      </c>
      <c r="L27" s="1">
        <f>VLOOKUP(A:A,MASTER!A:C,3,0)</f>
        <v>1</v>
      </c>
      <c r="M27" s="1">
        <f>VLOOKUP(A:A,MASTER!A:H,8,0)</f>
        <v>1</v>
      </c>
      <c r="N27" s="1">
        <f>VLOOKUP(A:A,MASTER!A:B,2,0)</f>
        <v>873</v>
      </c>
      <c r="O27">
        <f>VLOOKUP(A:A,MASTER!A:G,7,0)</f>
        <v>870</v>
      </c>
      <c r="P27">
        <v>1</v>
      </c>
    </row>
    <row r="28" spans="1:16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19051561.870875113</v>
      </c>
      <c r="G28" s="1">
        <f>VLOOKUP(A:A,MASTER!A:K,11,0)</f>
        <v>17747943.348565217</v>
      </c>
      <c r="H28" s="2">
        <f>VLOOKUP(A:A,MASTER!A:E,5,0)</f>
        <v>662</v>
      </c>
      <c r="I28" s="2">
        <f>VLOOKUP(A:A,MASTER!A:J,10,0)</f>
        <v>827</v>
      </c>
      <c r="J28" s="2">
        <f>VLOOKUP(A:A,MASTER!A:D,4,0)</f>
        <v>1</v>
      </c>
      <c r="K28" s="2">
        <f>VLOOKUP(A:A,MASTER!A:I,9,0)</f>
        <v>1</v>
      </c>
      <c r="L28" s="1">
        <f>VLOOKUP(A:A,MASTER!A:C,3,0)</f>
        <v>0</v>
      </c>
      <c r="M28" s="1">
        <f>VLOOKUP(A:A,MASTER!A:H,8,0)</f>
        <v>2</v>
      </c>
      <c r="N28" s="1">
        <f>VLOOKUP(A:A,MASTER!A:B,2,0)</f>
        <v>1133</v>
      </c>
      <c r="O28">
        <f>VLOOKUP(A:A,MASTER!A:G,7,0)</f>
        <v>1065</v>
      </c>
      <c r="P28">
        <v>1</v>
      </c>
    </row>
    <row r="29" spans="1:16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24407338.796157703</v>
      </c>
      <c r="G29" s="1">
        <f>VLOOKUP(A:A,MASTER!A:K,11,0)</f>
        <v>24181368.527279563</v>
      </c>
      <c r="H29" s="2">
        <f>VLOOKUP(A:A,MASTER!A:E,5,0)</f>
        <v>970</v>
      </c>
      <c r="I29" s="2">
        <f>VLOOKUP(A:A,MASTER!A:J,10,0)</f>
        <v>832</v>
      </c>
      <c r="J29" s="2">
        <f>VLOOKUP(A:A,MASTER!A:D,4,0)</f>
        <v>3</v>
      </c>
      <c r="K29" s="2">
        <f>VLOOKUP(A:A,MASTER!A:I,9,0)</f>
        <v>2</v>
      </c>
      <c r="L29" s="1">
        <f>VLOOKUP(A:A,MASTER!A:C,3,0)</f>
        <v>0</v>
      </c>
      <c r="M29" s="1">
        <f>VLOOKUP(A:A,MASTER!A:H,8,0)</f>
        <v>2</v>
      </c>
      <c r="N29" s="1">
        <f>VLOOKUP(A:A,MASTER!A:B,2,0)</f>
        <v>1119</v>
      </c>
      <c r="O29">
        <f>VLOOKUP(A:A,MASTER!A:G,7,0)</f>
        <v>1117</v>
      </c>
      <c r="P29">
        <v>1</v>
      </c>
    </row>
    <row r="30" spans="1:16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36449833.351521991</v>
      </c>
      <c r="G30" s="1">
        <f>VLOOKUP(A:A,MASTER!A:K,11,0)</f>
        <v>34386413.695715845</v>
      </c>
      <c r="H30" s="2">
        <f>VLOOKUP(A:A,MASTER!A:E,5,0)</f>
        <v>1121</v>
      </c>
      <c r="I30" s="2">
        <f>VLOOKUP(A:A,MASTER!A:J,10,0)</f>
        <v>1185</v>
      </c>
      <c r="J30" s="2">
        <f>VLOOKUP(A:A,MASTER!A:D,4,0)</f>
        <v>5</v>
      </c>
      <c r="K30" s="2">
        <f>VLOOKUP(A:A,MASTER!A:I,9,0)</f>
        <v>5</v>
      </c>
      <c r="L30" s="1">
        <f>VLOOKUP(A:A,MASTER!A:C,3,0)</f>
        <v>1</v>
      </c>
      <c r="M30" s="1">
        <f>VLOOKUP(A:A,MASTER!A:H,8,0)</f>
        <v>4</v>
      </c>
      <c r="N30" s="1">
        <f>VLOOKUP(A:A,MASTER!A:B,2,0)</f>
        <v>1500</v>
      </c>
      <c r="O30">
        <f>VLOOKUP(A:A,MASTER!A:G,7,0)</f>
        <v>1459</v>
      </c>
      <c r="P30">
        <v>4</v>
      </c>
    </row>
    <row r="31" spans="1:16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13310870.256587757</v>
      </c>
      <c r="G31" s="1">
        <f>VLOOKUP(A:A,MASTER!A:K,11,0)</f>
        <v>14130527.972239308</v>
      </c>
      <c r="H31" s="2">
        <f>VLOOKUP(A:A,MASTER!A:E,5,0)</f>
        <v>479</v>
      </c>
      <c r="I31" s="2">
        <f>VLOOKUP(A:A,MASTER!A:J,10,0)</f>
        <v>520</v>
      </c>
      <c r="J31" s="2">
        <f>VLOOKUP(A:A,MASTER!A:D,4,0)</f>
        <v>2</v>
      </c>
      <c r="K31" s="2">
        <f>VLOOKUP(A:A,MASTER!A:I,9,0)</f>
        <v>5</v>
      </c>
      <c r="L31" s="1">
        <f>VLOOKUP(A:A,MASTER!A:C,3,0)</f>
        <v>0</v>
      </c>
      <c r="M31" s="1">
        <f>VLOOKUP(A:A,MASTER!A:H,8,0)</f>
        <v>0</v>
      </c>
      <c r="N31" s="1">
        <f>VLOOKUP(A:A,MASTER!A:B,2,0)</f>
        <v>693</v>
      </c>
      <c r="O31">
        <f>VLOOKUP(A:A,MASTER!A:G,7,0)</f>
        <v>679</v>
      </c>
      <c r="P31">
        <v>3</v>
      </c>
    </row>
    <row r="32" spans="1:16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42702953.094052374</v>
      </c>
      <c r="G32" s="1">
        <f>VLOOKUP(A:A,MASTER!A:K,11,0)</f>
        <v>42991561.47800532</v>
      </c>
      <c r="H32" s="2">
        <f>VLOOKUP(A:A,MASTER!A:E,5,0)</f>
        <v>1549</v>
      </c>
      <c r="I32" s="2">
        <f>VLOOKUP(A:A,MASTER!A:J,10,0)</f>
        <v>1571</v>
      </c>
      <c r="J32" s="2">
        <f>VLOOKUP(A:A,MASTER!A:D,4,0)</f>
        <v>10</v>
      </c>
      <c r="K32" s="2">
        <f>VLOOKUP(A:A,MASTER!A:I,9,0)</f>
        <v>11</v>
      </c>
      <c r="L32" s="1">
        <f>VLOOKUP(A:A,MASTER!A:C,3,0)</f>
        <v>0</v>
      </c>
      <c r="M32" s="1">
        <f>VLOOKUP(A:A,MASTER!A:H,8,0)</f>
        <v>6</v>
      </c>
      <c r="N32" s="1">
        <f>VLOOKUP(A:A,MASTER!A:B,2,0)</f>
        <v>1963</v>
      </c>
      <c r="O32">
        <f>VLOOKUP(A:A,MASTER!A:G,7,0)</f>
        <v>1943</v>
      </c>
      <c r="P32">
        <v>5</v>
      </c>
    </row>
    <row r="33" spans="1:16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14955957.56824052</v>
      </c>
      <c r="G33" s="1">
        <f>VLOOKUP(A:A,MASTER!A:K,11,0)</f>
        <v>14128877.58695925</v>
      </c>
      <c r="H33" s="2">
        <f>VLOOKUP(A:A,MASTER!A:E,5,0)</f>
        <v>657</v>
      </c>
      <c r="I33" s="2">
        <f>VLOOKUP(A:A,MASTER!A:J,10,0)</f>
        <v>887</v>
      </c>
      <c r="J33" s="2">
        <f>VLOOKUP(A:A,MASTER!A:D,4,0)</f>
        <v>1</v>
      </c>
      <c r="K33" s="2">
        <f>VLOOKUP(A:A,MASTER!A:I,9,0)</f>
        <v>2</v>
      </c>
      <c r="L33" s="1">
        <f>VLOOKUP(A:A,MASTER!A:C,3,0)</f>
        <v>2</v>
      </c>
      <c r="M33" s="1">
        <f>VLOOKUP(A:A,MASTER!A:H,8,0)</f>
        <v>1</v>
      </c>
      <c r="N33" s="1">
        <f>VLOOKUP(A:A,MASTER!A:B,2,0)</f>
        <v>845</v>
      </c>
      <c r="O33">
        <f>VLOOKUP(A:A,MASTER!A:G,7,0)</f>
        <v>840</v>
      </c>
      <c r="P33">
        <v>3</v>
      </c>
    </row>
    <row r="34" spans="1:16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11919577.193698112</v>
      </c>
      <c r="G34" s="1">
        <f>VLOOKUP(A:A,MASTER!A:K,11,0)</f>
        <v>13624004.505409231</v>
      </c>
      <c r="H34" s="2">
        <f>VLOOKUP(A:A,MASTER!A:E,5,0)</f>
        <v>423</v>
      </c>
      <c r="I34" s="2">
        <f>VLOOKUP(A:A,MASTER!A:J,10,0)</f>
        <v>746</v>
      </c>
      <c r="J34" s="2">
        <f>VLOOKUP(A:A,MASTER!A:D,4,0)</f>
        <v>1</v>
      </c>
      <c r="K34" s="2">
        <f>VLOOKUP(A:A,MASTER!A:I,9,0)</f>
        <v>1</v>
      </c>
      <c r="L34" s="1">
        <f>VLOOKUP(A:A,MASTER!A:C,3,0)</f>
        <v>0</v>
      </c>
      <c r="M34" s="1">
        <f>VLOOKUP(A:A,MASTER!A:H,8,0)</f>
        <v>1</v>
      </c>
      <c r="N34" s="1">
        <f>VLOOKUP(A:A,MASTER!A:B,2,0)</f>
        <v>689</v>
      </c>
      <c r="O34">
        <f>VLOOKUP(A:A,MASTER!A:G,7,0)</f>
        <v>745</v>
      </c>
      <c r="P34">
        <v>4</v>
      </c>
    </row>
    <row r="35" spans="1:16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21458136.24003084</v>
      </c>
      <c r="G35" s="1">
        <f>VLOOKUP(A:A,MASTER!A:K,11,0)</f>
        <v>20541227.171415836</v>
      </c>
      <c r="H35" s="2">
        <f>VLOOKUP(A:A,MASTER!A:E,5,0)</f>
        <v>861</v>
      </c>
      <c r="I35" s="2">
        <f>VLOOKUP(A:A,MASTER!A:J,10,0)</f>
        <v>465</v>
      </c>
      <c r="J35" s="2">
        <f>VLOOKUP(A:A,MASTER!A:D,4,0)</f>
        <v>2</v>
      </c>
      <c r="K35" s="2">
        <f>VLOOKUP(A:A,MASTER!A:I,9,0)</f>
        <v>1</v>
      </c>
      <c r="L35" s="1">
        <f>VLOOKUP(A:A,MASTER!A:C,3,0)</f>
        <v>6</v>
      </c>
      <c r="M35" s="1">
        <f>VLOOKUP(A:A,MASTER!A:H,8,0)</f>
        <v>7</v>
      </c>
      <c r="N35" s="1">
        <f>VLOOKUP(A:A,MASTER!A:B,2,0)</f>
        <v>1106</v>
      </c>
      <c r="O35">
        <f>VLOOKUP(A:A,MASTER!A:G,7,0)</f>
        <v>1164</v>
      </c>
      <c r="P35">
        <v>13</v>
      </c>
    </row>
    <row r="36" spans="1:16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21107464.808607873</v>
      </c>
      <c r="G36" s="1">
        <f>VLOOKUP(A:A,MASTER!A:K,11,0)</f>
        <v>19115642.615416333</v>
      </c>
      <c r="H36" s="2">
        <f>VLOOKUP(A:A,MASTER!A:E,5,0)</f>
        <v>803</v>
      </c>
      <c r="I36" s="2">
        <f>VLOOKUP(A:A,MASTER!A:J,10,0)</f>
        <v>811</v>
      </c>
      <c r="J36" s="2">
        <f>VLOOKUP(A:A,MASTER!A:D,4,0)</f>
        <v>1</v>
      </c>
      <c r="K36" s="2">
        <f>VLOOKUP(A:A,MASTER!A:I,9,0)</f>
        <v>1</v>
      </c>
      <c r="L36" s="1">
        <f>VLOOKUP(A:A,MASTER!A:C,3,0)</f>
        <v>38</v>
      </c>
      <c r="M36" s="1">
        <f>VLOOKUP(A:A,MASTER!A:H,8,0)</f>
        <v>120</v>
      </c>
      <c r="N36" s="1">
        <f>VLOOKUP(A:A,MASTER!A:B,2,0)</f>
        <v>1154</v>
      </c>
      <c r="O36">
        <f>VLOOKUP(A:A,MASTER!A:G,7,0)</f>
        <v>1335</v>
      </c>
      <c r="P36">
        <v>4</v>
      </c>
    </row>
    <row r="37" spans="1:16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32820003.555210747</v>
      </c>
      <c r="G37" s="1">
        <f>VLOOKUP(A:A,MASTER!A:K,11,0)</f>
        <v>34893533.726597093</v>
      </c>
      <c r="H37" s="2">
        <f>VLOOKUP(A:A,MASTER!A:E,5,0)</f>
        <v>1392</v>
      </c>
      <c r="I37" s="2">
        <f>VLOOKUP(A:A,MASTER!A:J,10,0)</f>
        <v>1575</v>
      </c>
      <c r="J37" s="2">
        <f>VLOOKUP(A:A,MASTER!A:D,4,0)</f>
        <v>4</v>
      </c>
      <c r="K37" s="2">
        <f>VLOOKUP(A:A,MASTER!A:I,9,0)</f>
        <v>5</v>
      </c>
      <c r="L37" s="1">
        <f>VLOOKUP(A:A,MASTER!A:C,3,0)</f>
        <v>45</v>
      </c>
      <c r="M37" s="1">
        <f>VLOOKUP(A:A,MASTER!A:H,8,0)</f>
        <v>69</v>
      </c>
      <c r="N37" s="1">
        <f>VLOOKUP(A:A,MASTER!A:B,2,0)</f>
        <v>1824</v>
      </c>
      <c r="O37">
        <f>VLOOKUP(A:A,MASTER!A:G,7,0)</f>
        <v>2418</v>
      </c>
      <c r="P37">
        <v>16</v>
      </c>
    </row>
    <row r="38" spans="1:16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13698654.037510132</v>
      </c>
      <c r="G38" s="1">
        <f>VLOOKUP(A:A,MASTER!A:K,11,0)</f>
        <v>12519238.361120775</v>
      </c>
      <c r="H38" s="2">
        <f>VLOOKUP(A:A,MASTER!A:E,5,0)</f>
        <v>425</v>
      </c>
      <c r="I38" s="2">
        <f>VLOOKUP(A:A,MASTER!A:J,10,0)</f>
        <v>447</v>
      </c>
      <c r="J38" s="2">
        <f>VLOOKUP(A:A,MASTER!A:D,4,0)</f>
        <v>6</v>
      </c>
      <c r="K38" s="2">
        <f>VLOOKUP(A:A,MASTER!A:I,9,0)</f>
        <v>6</v>
      </c>
      <c r="L38" s="1">
        <f>VLOOKUP(A:A,MASTER!A:C,3,0)</f>
        <v>2</v>
      </c>
      <c r="M38" s="1">
        <f>VLOOKUP(A:A,MASTER!A:H,8,0)</f>
        <v>1</v>
      </c>
      <c r="N38" s="1">
        <f>VLOOKUP(A:A,MASTER!A:B,2,0)</f>
        <v>629</v>
      </c>
      <c r="O38">
        <f>VLOOKUP(A:A,MASTER!A:G,7,0)</f>
        <v>621</v>
      </c>
      <c r="P38">
        <v>3</v>
      </c>
    </row>
    <row r="39" spans="1:16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38445948.814468734</v>
      </c>
      <c r="G39" s="1">
        <f>VLOOKUP(A:A,MASTER!A:K,11,0)</f>
        <v>41918196.556400456</v>
      </c>
      <c r="H39" s="2">
        <f>VLOOKUP(A:A,MASTER!A:E,5,0)</f>
        <v>2038</v>
      </c>
      <c r="I39" s="2">
        <f>VLOOKUP(A:A,MASTER!A:J,10,0)</f>
        <v>1950</v>
      </c>
      <c r="J39" s="2">
        <f>VLOOKUP(A:A,MASTER!A:D,4,0)</f>
        <v>6</v>
      </c>
      <c r="K39" s="2">
        <f>VLOOKUP(A:A,MASTER!A:I,9,0)</f>
        <v>6</v>
      </c>
      <c r="L39" s="1">
        <f>VLOOKUP(A:A,MASTER!A:C,3,0)</f>
        <v>2</v>
      </c>
      <c r="M39" s="1">
        <f>VLOOKUP(A:A,MASTER!A:H,8,0)</f>
        <v>2</v>
      </c>
      <c r="N39" s="1">
        <f>VLOOKUP(A:A,MASTER!A:B,2,0)</f>
        <v>1969</v>
      </c>
      <c r="O39">
        <f>VLOOKUP(A:A,MASTER!A:G,7,0)</f>
        <v>2064</v>
      </c>
      <c r="P39">
        <v>4</v>
      </c>
    </row>
    <row r="40" spans="1:16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26462235.347880993</v>
      </c>
      <c r="G40" s="1">
        <f>VLOOKUP(A:A,MASTER!A:K,11,0)</f>
        <v>27157435.659359276</v>
      </c>
      <c r="H40" s="2">
        <f>VLOOKUP(A:A,MASTER!A:E,5,0)</f>
        <v>705</v>
      </c>
      <c r="I40" s="2">
        <f>VLOOKUP(A:A,MASTER!A:J,10,0)</f>
        <v>803</v>
      </c>
      <c r="J40" s="2">
        <f>VLOOKUP(A:A,MASTER!A:D,4,0)</f>
        <v>4</v>
      </c>
      <c r="K40" s="2">
        <f>VLOOKUP(A:A,MASTER!A:I,9,0)</f>
        <v>2</v>
      </c>
      <c r="L40" s="1">
        <f>VLOOKUP(A:A,MASTER!A:C,3,0)</f>
        <v>4</v>
      </c>
      <c r="M40" s="1">
        <f>VLOOKUP(A:A,MASTER!A:H,8,0)</f>
        <v>3</v>
      </c>
      <c r="N40" s="1">
        <f>VLOOKUP(A:A,MASTER!A:B,2,0)</f>
        <v>876</v>
      </c>
      <c r="O40">
        <f>VLOOKUP(A:A,MASTER!A:G,7,0)</f>
        <v>900</v>
      </c>
      <c r="P40">
        <v>3</v>
      </c>
    </row>
    <row r="41" spans="1:16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22902447.746424876</v>
      </c>
      <c r="G41" s="1">
        <f>VLOOKUP(A:A,MASTER!A:K,11,0)</f>
        <v>14174402.098842507</v>
      </c>
      <c r="H41" s="2">
        <f>VLOOKUP(A:A,MASTER!A:E,5,0)</f>
        <v>903</v>
      </c>
      <c r="I41" s="2">
        <f>VLOOKUP(A:A,MASTER!A:J,10,0)</f>
        <v>919</v>
      </c>
      <c r="J41" s="2">
        <f>VLOOKUP(A:A,MASTER!A:D,4,0)</f>
        <v>3</v>
      </c>
      <c r="K41" s="2">
        <f>VLOOKUP(A:A,MASTER!A:I,9,0)</f>
        <v>3</v>
      </c>
      <c r="L41" s="1">
        <f>VLOOKUP(A:A,MASTER!A:C,3,0)</f>
        <v>0</v>
      </c>
      <c r="M41" s="1">
        <f>VLOOKUP(A:A,MASTER!A:H,8,0)</f>
        <v>0</v>
      </c>
      <c r="N41" s="1">
        <f>VLOOKUP(A:A,MASTER!A:B,2,0)</f>
        <v>1153</v>
      </c>
      <c r="O41">
        <f>VLOOKUP(A:A,MASTER!A:G,7,0)</f>
        <v>1082</v>
      </c>
      <c r="P41">
        <v>4</v>
      </c>
    </row>
    <row r="42" spans="1:16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22203549.116332825</v>
      </c>
      <c r="G42" s="1">
        <f>VLOOKUP(A:A,MASTER!A:K,11,0)</f>
        <v>21668424.355895929</v>
      </c>
      <c r="H42" s="2">
        <f>VLOOKUP(A:A,MASTER!A:E,5,0)</f>
        <v>595</v>
      </c>
      <c r="I42" s="2">
        <f>VLOOKUP(A:A,MASTER!A:J,10,0)</f>
        <v>651</v>
      </c>
      <c r="J42" s="2">
        <f>VLOOKUP(A:A,MASTER!A:D,4,0)</f>
        <v>5</v>
      </c>
      <c r="K42" s="2">
        <f>VLOOKUP(A:A,MASTER!A:I,9,0)</f>
        <v>4</v>
      </c>
      <c r="L42" s="1">
        <f>VLOOKUP(A:A,MASTER!A:C,3,0)</f>
        <v>0</v>
      </c>
      <c r="M42" s="1">
        <f>VLOOKUP(A:A,MASTER!A:H,8,0)</f>
        <v>3</v>
      </c>
      <c r="N42" s="1">
        <f>VLOOKUP(A:A,MASTER!A:B,2,0)</f>
        <v>847</v>
      </c>
      <c r="O42">
        <f>VLOOKUP(A:A,MASTER!A:G,7,0)</f>
        <v>825</v>
      </c>
      <c r="P42">
        <v>2</v>
      </c>
    </row>
    <row r="43" spans="1:16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13229112.238779062</v>
      </c>
      <c r="G43" s="1">
        <f>VLOOKUP(A:A,MASTER!A:K,11,0)</f>
        <v>13892344.82190132</v>
      </c>
      <c r="H43" s="2">
        <f>VLOOKUP(A:A,MASTER!A:E,5,0)</f>
        <v>761</v>
      </c>
      <c r="I43" s="2">
        <f>VLOOKUP(A:A,MASTER!A:J,10,0)</f>
        <v>560</v>
      </c>
      <c r="J43" s="2">
        <f>VLOOKUP(A:A,MASTER!A:D,4,0)</f>
        <v>10</v>
      </c>
      <c r="K43" s="2">
        <f>VLOOKUP(A:A,MASTER!A:I,9,0)</f>
        <v>10</v>
      </c>
      <c r="L43" s="1">
        <f>VLOOKUP(A:A,MASTER!A:C,3,0)</f>
        <v>1</v>
      </c>
      <c r="M43" s="1">
        <f>VLOOKUP(A:A,MASTER!A:H,8,0)</f>
        <v>2</v>
      </c>
      <c r="N43" s="1">
        <f>VLOOKUP(A:A,MASTER!A:B,2,0)</f>
        <v>658</v>
      </c>
      <c r="O43">
        <f>VLOOKUP(A:A,MASTER!A:G,7,0)</f>
        <v>707</v>
      </c>
      <c r="P43">
        <v>2</v>
      </c>
    </row>
    <row r="44" spans="1:16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12706768.574557343</v>
      </c>
      <c r="G44" s="1">
        <f>VLOOKUP(A:A,MASTER!A:K,11,0)</f>
        <v>12158153.26136156</v>
      </c>
      <c r="H44" s="2">
        <f>VLOOKUP(A:A,MASTER!A:E,5,0)</f>
        <v>729</v>
      </c>
      <c r="I44" s="2">
        <f>VLOOKUP(A:A,MASTER!A:J,10,0)</f>
        <v>713</v>
      </c>
      <c r="J44" s="2">
        <f>VLOOKUP(A:A,MASTER!A:D,4,0)</f>
        <v>1</v>
      </c>
      <c r="K44" s="2">
        <f>VLOOKUP(A:A,MASTER!A:I,9,0)</f>
        <v>2</v>
      </c>
      <c r="L44" s="1">
        <f>VLOOKUP(A:A,MASTER!A:C,3,0)</f>
        <v>1</v>
      </c>
      <c r="M44" s="1">
        <f>VLOOKUP(A:A,MASTER!A:H,8,0)</f>
        <v>0</v>
      </c>
      <c r="N44" s="1">
        <f>VLOOKUP(A:A,MASTER!A:B,2,0)</f>
        <v>691</v>
      </c>
      <c r="O44">
        <f>VLOOKUP(A:A,MASTER!A:G,7,0)</f>
        <v>688</v>
      </c>
      <c r="P44">
        <v>3</v>
      </c>
    </row>
    <row r="45" spans="1:16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43323385.421304703</v>
      </c>
      <c r="G45" s="1">
        <f>VLOOKUP(A:A,MASTER!A:K,11,0)</f>
        <v>37265260.436432607</v>
      </c>
      <c r="H45" s="2">
        <f>VLOOKUP(A:A,MASTER!A:E,5,0)</f>
        <v>1120</v>
      </c>
      <c r="I45" s="2">
        <f>VLOOKUP(A:A,MASTER!A:J,10,0)</f>
        <v>1078</v>
      </c>
      <c r="J45" s="2">
        <f>VLOOKUP(A:A,MASTER!A:D,4,0)</f>
        <v>6</v>
      </c>
      <c r="K45" s="2">
        <f>VLOOKUP(A:A,MASTER!A:I,9,0)</f>
        <v>4</v>
      </c>
      <c r="L45" s="1">
        <f>VLOOKUP(A:A,MASTER!A:C,3,0)</f>
        <v>8</v>
      </c>
      <c r="M45" s="1">
        <f>VLOOKUP(A:A,MASTER!A:H,8,0)</f>
        <v>0</v>
      </c>
      <c r="N45" s="1">
        <f>VLOOKUP(A:A,MASTER!A:B,2,0)</f>
        <v>1285</v>
      </c>
      <c r="O45">
        <f>VLOOKUP(A:A,MASTER!A:G,7,0)</f>
        <v>1242</v>
      </c>
      <c r="P45">
        <v>5</v>
      </c>
    </row>
    <row r="46" spans="1:16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19117456.997472573</v>
      </c>
      <c r="G46" s="1">
        <f>VLOOKUP(A:A,MASTER!A:K,11,0)</f>
        <v>17869965.656653393</v>
      </c>
      <c r="H46" s="2">
        <f>VLOOKUP(A:A,MASTER!A:E,5,0)</f>
        <v>968</v>
      </c>
      <c r="I46" s="2">
        <f>VLOOKUP(A:A,MASTER!A:J,10,0)</f>
        <v>881</v>
      </c>
      <c r="J46" s="2">
        <f>VLOOKUP(A:A,MASTER!A:D,4,0)</f>
        <v>4</v>
      </c>
      <c r="K46" s="2">
        <f>VLOOKUP(A:A,MASTER!A:I,9,0)</f>
        <v>7</v>
      </c>
      <c r="L46" s="1">
        <f>VLOOKUP(A:A,MASTER!A:C,3,0)</f>
        <v>0</v>
      </c>
      <c r="M46" s="1">
        <f>VLOOKUP(A:A,MASTER!A:H,8,0)</f>
        <v>2</v>
      </c>
      <c r="N46" s="1">
        <f>VLOOKUP(A:A,MASTER!A:B,2,0)</f>
        <v>862</v>
      </c>
      <c r="O46">
        <f>VLOOKUP(A:A,MASTER!A:G,7,0)</f>
        <v>914</v>
      </c>
      <c r="P46">
        <v>4</v>
      </c>
    </row>
    <row r="47" spans="1:16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25734348.457785707</v>
      </c>
      <c r="G47" s="1">
        <f>VLOOKUP(A:A,MASTER!A:K,11,0)</f>
        <v>32049677.103434991</v>
      </c>
      <c r="H47" s="2">
        <f>VLOOKUP(A:A,MASTER!A:E,5,0)</f>
        <v>939</v>
      </c>
      <c r="I47" s="2">
        <f>VLOOKUP(A:A,MASTER!A:J,10,0)</f>
        <v>1045</v>
      </c>
      <c r="J47" s="2">
        <f>VLOOKUP(A:A,MASTER!A:D,4,0)</f>
        <v>12</v>
      </c>
      <c r="K47" s="2">
        <f>VLOOKUP(A:A,MASTER!A:I,9,0)</f>
        <v>12</v>
      </c>
      <c r="L47" s="1">
        <f>VLOOKUP(A:A,MASTER!A:C,3,0)</f>
        <v>4</v>
      </c>
      <c r="M47" s="1">
        <f>VLOOKUP(A:A,MASTER!A:H,8,0)</f>
        <v>3</v>
      </c>
      <c r="N47" s="1">
        <f>VLOOKUP(A:A,MASTER!A:B,2,0)</f>
        <v>1307</v>
      </c>
      <c r="O47">
        <f>VLOOKUP(A:A,MASTER!A:G,7,0)</f>
        <v>1356</v>
      </c>
      <c r="P47">
        <v>6</v>
      </c>
    </row>
    <row r="48" spans="1:16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13719210.446378822</v>
      </c>
      <c r="G48" s="1">
        <f>VLOOKUP(A:A,MASTER!A:K,11,0)</f>
        <v>16535390.401304321</v>
      </c>
      <c r="H48" s="2">
        <f>VLOOKUP(A:A,MASTER!A:E,5,0)</f>
        <v>349</v>
      </c>
      <c r="I48" s="2">
        <f>VLOOKUP(A:A,MASTER!A:J,10,0)</f>
        <v>360</v>
      </c>
      <c r="J48" s="2">
        <f>VLOOKUP(A:A,MASTER!A:D,4,0)</f>
        <v>5</v>
      </c>
      <c r="K48" s="2">
        <f>VLOOKUP(A:A,MASTER!A:I,9,0)</f>
        <v>6</v>
      </c>
      <c r="L48" s="1">
        <f>VLOOKUP(A:A,MASTER!A:C,3,0)</f>
        <v>0</v>
      </c>
      <c r="M48" s="1">
        <f>VLOOKUP(A:A,MASTER!A:H,8,0)</f>
        <v>1</v>
      </c>
      <c r="N48" s="1">
        <f>VLOOKUP(A:A,MASTER!A:B,2,0)</f>
        <v>482</v>
      </c>
      <c r="O48">
        <f>VLOOKUP(A:A,MASTER!A:G,7,0)</f>
        <v>483</v>
      </c>
      <c r="P48">
        <v>1</v>
      </c>
    </row>
    <row r="49" spans="1:16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15256433.802802257</v>
      </c>
      <c r="G49" s="1">
        <f>VLOOKUP(A:A,MASTER!A:K,11,0)</f>
        <v>12078370.394055249</v>
      </c>
      <c r="H49" s="2">
        <f>VLOOKUP(A:A,MASTER!A:E,5,0)</f>
        <v>292</v>
      </c>
      <c r="I49" s="2">
        <f>VLOOKUP(A:A,MASTER!A:J,10,0)</f>
        <v>305</v>
      </c>
      <c r="J49" s="2">
        <f>VLOOKUP(A:A,MASTER!A:D,4,0)</f>
        <v>7</v>
      </c>
      <c r="K49" s="2">
        <f>VLOOKUP(A:A,MASTER!A:I,9,0)</f>
        <v>4</v>
      </c>
      <c r="L49" s="1">
        <f>VLOOKUP(A:A,MASTER!A:C,3,0)</f>
        <v>0</v>
      </c>
      <c r="M49" s="1">
        <f>VLOOKUP(A:A,MASTER!A:H,8,0)</f>
        <v>0</v>
      </c>
      <c r="N49" s="1">
        <f>VLOOKUP(A:A,MASTER!A:B,2,0)</f>
        <v>444</v>
      </c>
      <c r="O49">
        <f>VLOOKUP(A:A,MASTER!A:G,7,0)</f>
        <v>456</v>
      </c>
      <c r="P49">
        <v>5</v>
      </c>
    </row>
    <row r="50" spans="1:16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12039200.120742671</v>
      </c>
      <c r="G50" s="1">
        <f>VLOOKUP(A:A,MASTER!A:K,11,0)</f>
        <v>10518219.170153208</v>
      </c>
      <c r="H50" s="2">
        <f>VLOOKUP(A:A,MASTER!A:E,5,0)</f>
        <v>381</v>
      </c>
      <c r="I50" s="2">
        <f>VLOOKUP(A:A,MASTER!A:J,10,0)</f>
        <v>332</v>
      </c>
      <c r="J50" s="2">
        <f>VLOOKUP(A:A,MASTER!A:D,4,0)</f>
        <v>2</v>
      </c>
      <c r="K50" s="2">
        <f>VLOOKUP(A:A,MASTER!A:I,9,0)</f>
        <v>4</v>
      </c>
      <c r="L50" s="1">
        <f>VLOOKUP(A:A,MASTER!A:C,3,0)</f>
        <v>9</v>
      </c>
      <c r="M50" s="1">
        <f>VLOOKUP(A:A,MASTER!A:H,8,0)</f>
        <v>1</v>
      </c>
      <c r="N50" s="1">
        <f>VLOOKUP(A:A,MASTER!A:B,2,0)</f>
        <v>427</v>
      </c>
      <c r="O50">
        <f>VLOOKUP(A:A,MASTER!A:G,7,0)</f>
        <v>431</v>
      </c>
      <c r="P50">
        <v>4</v>
      </c>
    </row>
    <row r="51" spans="1:16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26234347.209597055</v>
      </c>
      <c r="G51" s="1">
        <f>VLOOKUP(A:A,MASTER!A:K,11,0)</f>
        <v>24717928.535999633</v>
      </c>
      <c r="H51" s="2">
        <f>VLOOKUP(A:A,MASTER!A:E,5,0)</f>
        <v>935</v>
      </c>
      <c r="I51" s="2">
        <f>VLOOKUP(A:A,MASTER!A:J,10,0)</f>
        <v>925</v>
      </c>
      <c r="J51" s="2">
        <f>VLOOKUP(A:A,MASTER!A:D,4,0)</f>
        <v>1</v>
      </c>
      <c r="K51" s="2">
        <f>VLOOKUP(A:A,MASTER!A:I,9,0)</f>
        <v>0</v>
      </c>
      <c r="L51" s="1">
        <f>VLOOKUP(A:A,MASTER!A:C,3,0)</f>
        <v>1</v>
      </c>
      <c r="M51" s="1">
        <f>VLOOKUP(A:A,MASTER!A:H,8,0)</f>
        <v>2</v>
      </c>
      <c r="N51" s="1">
        <f>VLOOKUP(A:A,MASTER!A:B,2,0)</f>
        <v>1130</v>
      </c>
      <c r="O51">
        <f>VLOOKUP(A:A,MASTER!A:G,7,0)</f>
        <v>1104</v>
      </c>
      <c r="P51">
        <v>5</v>
      </c>
    </row>
    <row r="52" spans="1:16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27600521.52657304</v>
      </c>
      <c r="G52" s="1">
        <f>VLOOKUP(A:A,MASTER!A:K,11,0)</f>
        <v>23324427.700908128</v>
      </c>
      <c r="H52" s="2">
        <f>VLOOKUP(A:A,MASTER!A:E,5,0)</f>
        <v>1150</v>
      </c>
      <c r="I52" s="2">
        <f>VLOOKUP(A:A,MASTER!A:J,10,0)</f>
        <v>889</v>
      </c>
      <c r="J52" s="2">
        <f>VLOOKUP(A:A,MASTER!A:D,4,0)</f>
        <v>3</v>
      </c>
      <c r="K52" s="2">
        <f>VLOOKUP(A:A,MASTER!A:I,9,0)</f>
        <v>1</v>
      </c>
      <c r="L52" s="1">
        <f>VLOOKUP(A:A,MASTER!A:C,3,0)</f>
        <v>7</v>
      </c>
      <c r="M52" s="1">
        <f>VLOOKUP(A:A,MASTER!A:H,8,0)</f>
        <v>4</v>
      </c>
      <c r="N52" s="1">
        <f>VLOOKUP(A:A,MASTER!A:B,2,0)</f>
        <v>952</v>
      </c>
      <c r="O52">
        <f>VLOOKUP(A:A,MASTER!A:G,7,0)</f>
        <v>995</v>
      </c>
      <c r="P52">
        <v>4</v>
      </c>
    </row>
    <row r="53" spans="1:16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35787847.640754372</v>
      </c>
      <c r="G53" s="1">
        <f>VLOOKUP(A:A,MASTER!A:K,11,0)</f>
        <v>46682576.652989939</v>
      </c>
      <c r="H53" s="2">
        <f>VLOOKUP(A:A,MASTER!A:E,5,0)</f>
        <v>1251</v>
      </c>
      <c r="I53" s="2">
        <f>VLOOKUP(A:A,MASTER!A:J,10,0)</f>
        <v>1445</v>
      </c>
      <c r="J53" s="2">
        <f>VLOOKUP(A:A,MASTER!A:D,4,0)</f>
        <v>7</v>
      </c>
      <c r="K53" s="2">
        <f>VLOOKUP(A:A,MASTER!A:I,9,0)</f>
        <v>8</v>
      </c>
      <c r="L53" s="1">
        <f>VLOOKUP(A:A,MASTER!A:C,3,0)</f>
        <v>31</v>
      </c>
      <c r="M53" s="1">
        <f>VLOOKUP(A:A,MASTER!A:H,8,0)</f>
        <v>6</v>
      </c>
      <c r="N53" s="1">
        <f>VLOOKUP(A:A,MASTER!A:B,2,0)</f>
        <v>2223</v>
      </c>
      <c r="O53">
        <f>VLOOKUP(A:A,MASTER!A:G,7,0)</f>
        <v>2076</v>
      </c>
      <c r="P53">
        <v>8</v>
      </c>
    </row>
    <row r="54" spans="1:16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12957556.739625184</v>
      </c>
      <c r="G54" s="1">
        <f>VLOOKUP(A:A,MASTER!A:K,11,0)</f>
        <v>11099238.69559554</v>
      </c>
      <c r="H54" s="2">
        <f>VLOOKUP(A:A,MASTER!A:E,5,0)</f>
        <v>547</v>
      </c>
      <c r="I54" s="2">
        <f>VLOOKUP(A:A,MASTER!A:J,10,0)</f>
        <v>534</v>
      </c>
      <c r="J54" s="2">
        <f>VLOOKUP(A:A,MASTER!A:D,4,0)</f>
        <v>0</v>
      </c>
      <c r="K54" s="2">
        <f>VLOOKUP(A:A,MASTER!A:I,9,0)</f>
        <v>0</v>
      </c>
      <c r="L54" s="1">
        <f>VLOOKUP(A:A,MASTER!A:C,3,0)</f>
        <v>1</v>
      </c>
      <c r="M54" s="1">
        <f>VLOOKUP(A:A,MASTER!A:H,8,0)</f>
        <v>3</v>
      </c>
      <c r="N54" s="1">
        <f>VLOOKUP(A:A,MASTER!A:B,2,0)</f>
        <v>681</v>
      </c>
      <c r="O54">
        <f>VLOOKUP(A:A,MASTER!A:G,7,0)</f>
        <v>682</v>
      </c>
      <c r="P54">
        <v>2</v>
      </c>
    </row>
    <row r="55" spans="1:16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18801809.362829365</v>
      </c>
      <c r="G55" s="1">
        <f>VLOOKUP(A:A,MASTER!A:K,11,0)</f>
        <v>19739544.691658638</v>
      </c>
      <c r="H55" s="2">
        <f>VLOOKUP(A:A,MASTER!A:E,5,0)</f>
        <v>674</v>
      </c>
      <c r="I55" s="2">
        <f>VLOOKUP(A:A,MASTER!A:J,10,0)</f>
        <v>695</v>
      </c>
      <c r="J55" s="2">
        <f>VLOOKUP(A:A,MASTER!A:D,4,0)</f>
        <v>5</v>
      </c>
      <c r="K55" s="2">
        <f>VLOOKUP(A:A,MASTER!A:I,9,0)</f>
        <v>5</v>
      </c>
      <c r="L55" s="1">
        <f>VLOOKUP(A:A,MASTER!A:C,3,0)</f>
        <v>2</v>
      </c>
      <c r="M55" s="1">
        <f>VLOOKUP(A:A,MASTER!A:H,8,0)</f>
        <v>4</v>
      </c>
      <c r="N55" s="1">
        <f>VLOOKUP(A:A,MASTER!A:B,2,0)</f>
        <v>873</v>
      </c>
      <c r="O55">
        <f>VLOOKUP(A:A,MASTER!A:G,7,0)</f>
        <v>867</v>
      </c>
      <c r="P55">
        <v>7</v>
      </c>
    </row>
    <row r="56" spans="1:16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15612754.366214955</v>
      </c>
      <c r="G56" s="1">
        <f>VLOOKUP(A:A,MASTER!A:K,11,0)</f>
        <v>12105700.997142749</v>
      </c>
      <c r="H56" s="2">
        <f>VLOOKUP(A:A,MASTER!A:E,5,0)</f>
        <v>665</v>
      </c>
      <c r="I56" s="2">
        <f>VLOOKUP(A:A,MASTER!A:J,10,0)</f>
        <v>636</v>
      </c>
      <c r="J56" s="2">
        <f>VLOOKUP(A:A,MASTER!A:D,4,0)</f>
        <v>1</v>
      </c>
      <c r="K56" s="2">
        <f>VLOOKUP(A:A,MASTER!A:I,9,0)</f>
        <v>1</v>
      </c>
      <c r="L56" s="1">
        <f>VLOOKUP(A:A,MASTER!A:C,3,0)</f>
        <v>1</v>
      </c>
      <c r="M56" s="1">
        <f>VLOOKUP(A:A,MASTER!A:H,8,0)</f>
        <v>3</v>
      </c>
      <c r="N56" s="1">
        <f>VLOOKUP(A:A,MASTER!A:B,2,0)</f>
        <v>791</v>
      </c>
      <c r="O56">
        <f>VLOOKUP(A:A,MASTER!A:G,7,0)</f>
        <v>750</v>
      </c>
      <c r="P56">
        <v>3</v>
      </c>
    </row>
    <row r="57" spans="1:16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26124638.488840576</v>
      </c>
      <c r="G57" s="1">
        <f>VLOOKUP(A:A,MASTER!A:K,11,0)</f>
        <v>25947240.738314714</v>
      </c>
      <c r="H57" s="2">
        <f>VLOOKUP(A:A,MASTER!A:E,5,0)</f>
        <v>1066</v>
      </c>
      <c r="I57" s="2">
        <f>VLOOKUP(A:A,MASTER!A:J,10,0)</f>
        <v>986</v>
      </c>
      <c r="J57" s="2">
        <f>VLOOKUP(A:A,MASTER!A:D,4,0)</f>
        <v>1</v>
      </c>
      <c r="K57" s="2">
        <f>VLOOKUP(A:A,MASTER!A:I,9,0)</f>
        <v>0</v>
      </c>
      <c r="L57" s="1">
        <f>VLOOKUP(A:A,MASTER!A:C,3,0)</f>
        <v>3</v>
      </c>
      <c r="M57" s="1">
        <f>VLOOKUP(A:A,MASTER!A:H,8,0)</f>
        <v>5</v>
      </c>
      <c r="N57" s="1">
        <f>VLOOKUP(A:A,MASTER!A:B,2,0)</f>
        <v>1079</v>
      </c>
      <c r="O57">
        <f>VLOOKUP(A:A,MASTER!A:G,7,0)</f>
        <v>1104</v>
      </c>
      <c r="P57">
        <v>3</v>
      </c>
    </row>
    <row r="58" spans="1:16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32375875.294686958</v>
      </c>
      <c r="G58" s="1">
        <f>VLOOKUP(A:A,MASTER!A:K,11,0)</f>
        <v>31385541.692812439</v>
      </c>
      <c r="H58" s="2">
        <f>VLOOKUP(A:A,MASTER!A:E,5,0)</f>
        <v>1352</v>
      </c>
      <c r="I58" s="2">
        <f>VLOOKUP(A:A,MASTER!A:J,10,0)</f>
        <v>1510</v>
      </c>
      <c r="J58" s="2">
        <f>VLOOKUP(A:A,MASTER!A:D,4,0)</f>
        <v>4</v>
      </c>
      <c r="K58" s="2">
        <f>VLOOKUP(A:A,MASTER!A:I,9,0)</f>
        <v>4</v>
      </c>
      <c r="L58" s="1">
        <f>VLOOKUP(A:A,MASTER!A:C,3,0)</f>
        <v>5</v>
      </c>
      <c r="M58" s="1">
        <f>VLOOKUP(A:A,MASTER!A:H,8,0)</f>
        <v>3</v>
      </c>
      <c r="N58" s="1">
        <f>VLOOKUP(A:A,MASTER!A:B,2,0)</f>
        <v>1337</v>
      </c>
      <c r="O58">
        <f>VLOOKUP(A:A,MASTER!A:G,7,0)</f>
        <v>1425</v>
      </c>
      <c r="P58">
        <v>4</v>
      </c>
    </row>
    <row r="59" spans="1:16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16921073.286912169</v>
      </c>
      <c r="G59" s="1">
        <f>VLOOKUP(A:A,MASTER!A:K,11,0)</f>
        <v>17447941.078375421</v>
      </c>
      <c r="H59" s="2">
        <f>VLOOKUP(A:A,MASTER!A:E,5,0)</f>
        <v>740</v>
      </c>
      <c r="I59" s="2">
        <f>VLOOKUP(A:A,MASTER!A:J,10,0)</f>
        <v>685</v>
      </c>
      <c r="J59" s="2">
        <f>VLOOKUP(A:A,MASTER!A:D,4,0)</f>
        <v>5</v>
      </c>
      <c r="K59" s="2">
        <f>VLOOKUP(A:A,MASTER!A:I,9,0)</f>
        <v>4</v>
      </c>
      <c r="L59" s="1">
        <f>VLOOKUP(A:A,MASTER!A:C,3,0)</f>
        <v>4</v>
      </c>
      <c r="M59" s="1">
        <f>VLOOKUP(A:A,MASTER!A:H,8,0)</f>
        <v>1</v>
      </c>
      <c r="N59" s="1">
        <f>VLOOKUP(A:A,MASTER!A:B,2,0)</f>
        <v>781</v>
      </c>
      <c r="O59">
        <f>VLOOKUP(A:A,MASTER!A:G,7,0)</f>
        <v>771</v>
      </c>
      <c r="P59">
        <v>3</v>
      </c>
    </row>
    <row r="60" spans="1:16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19757041.776899666</v>
      </c>
      <c r="G60" s="1">
        <f>VLOOKUP(A:A,MASTER!A:K,11,0)</f>
        <v>19448677.858427402</v>
      </c>
      <c r="H60" s="2">
        <f>VLOOKUP(A:A,MASTER!A:E,5,0)</f>
        <v>437</v>
      </c>
      <c r="I60" s="2">
        <f>VLOOKUP(A:A,MASTER!A:J,10,0)</f>
        <v>458</v>
      </c>
      <c r="J60" s="2">
        <f>VLOOKUP(A:A,MASTER!A:D,4,0)</f>
        <v>5</v>
      </c>
      <c r="K60" s="2">
        <f>VLOOKUP(A:A,MASTER!A:I,9,0)</f>
        <v>5</v>
      </c>
      <c r="L60" s="1">
        <f>VLOOKUP(A:A,MASTER!A:C,3,0)</f>
        <v>3</v>
      </c>
      <c r="M60" s="1">
        <f>VLOOKUP(A:A,MASTER!A:H,8,0)</f>
        <v>6</v>
      </c>
      <c r="N60" s="1">
        <f>VLOOKUP(A:A,MASTER!A:B,2,0)</f>
        <v>693</v>
      </c>
      <c r="O60">
        <f>VLOOKUP(A:A,MASTER!A:G,7,0)</f>
        <v>651</v>
      </c>
      <c r="P60">
        <v>10</v>
      </c>
    </row>
    <row r="61" spans="1:16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47114478.212284766</v>
      </c>
      <c r="G61" s="1">
        <f>VLOOKUP(A:A,MASTER!A:K,11,0)</f>
        <v>62697973.94385463</v>
      </c>
      <c r="H61" s="2">
        <f>VLOOKUP(A:A,MASTER!A:E,5,0)</f>
        <v>1572</v>
      </c>
      <c r="I61" s="2">
        <f>VLOOKUP(A:A,MASTER!A:J,10,0)</f>
        <v>1606</v>
      </c>
      <c r="J61" s="2">
        <f>VLOOKUP(A:A,MASTER!A:D,4,0)</f>
        <v>9</v>
      </c>
      <c r="K61" s="2">
        <f>VLOOKUP(A:A,MASTER!A:I,9,0)</f>
        <v>10</v>
      </c>
      <c r="L61" s="1">
        <f>VLOOKUP(A:A,MASTER!A:C,3,0)</f>
        <v>5</v>
      </c>
      <c r="M61" s="1">
        <f>VLOOKUP(A:A,MASTER!A:H,8,0)</f>
        <v>4</v>
      </c>
      <c r="N61" s="1">
        <f>VLOOKUP(A:A,MASTER!A:B,2,0)</f>
        <v>2020</v>
      </c>
      <c r="O61">
        <f>VLOOKUP(A:A,MASTER!A:G,7,0)</f>
        <v>1970</v>
      </c>
      <c r="P61">
        <v>10</v>
      </c>
    </row>
    <row r="62" spans="1:16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46229977.312252909</v>
      </c>
      <c r="G62" s="1">
        <f>VLOOKUP(A:A,MASTER!A:K,11,0)</f>
        <v>45449660.687625058</v>
      </c>
      <c r="H62" s="2">
        <f>VLOOKUP(A:A,MASTER!A:E,5,0)</f>
        <v>1081</v>
      </c>
      <c r="I62" s="2">
        <f>VLOOKUP(A:A,MASTER!A:J,10,0)</f>
        <v>1219</v>
      </c>
      <c r="J62" s="2">
        <f>VLOOKUP(A:A,MASTER!A:D,4,0)</f>
        <v>8</v>
      </c>
      <c r="K62" s="2">
        <f>VLOOKUP(A:A,MASTER!A:I,9,0)</f>
        <v>6</v>
      </c>
      <c r="L62" s="1">
        <f>VLOOKUP(A:A,MASTER!A:C,3,0)</f>
        <v>14</v>
      </c>
      <c r="M62" s="1">
        <f>VLOOKUP(A:A,MASTER!A:H,8,0)</f>
        <v>8</v>
      </c>
      <c r="N62" s="1">
        <f>VLOOKUP(A:A,MASTER!A:B,2,0)</f>
        <v>1624</v>
      </c>
      <c r="O62">
        <f>VLOOKUP(A:A,MASTER!A:G,7,0)</f>
        <v>1581</v>
      </c>
      <c r="P62">
        <v>8</v>
      </c>
    </row>
    <row r="63" spans="1:16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29968181.395187031</v>
      </c>
      <c r="G63" s="1">
        <f>VLOOKUP(A:A,MASTER!A:K,11,0)</f>
        <v>30160380.248123996</v>
      </c>
      <c r="H63" s="2">
        <f>VLOOKUP(A:A,MASTER!A:E,5,0)</f>
        <v>688</v>
      </c>
      <c r="I63" s="2">
        <f>VLOOKUP(A:A,MASTER!A:J,10,0)</f>
        <v>730</v>
      </c>
      <c r="J63" s="2">
        <f>VLOOKUP(A:A,MASTER!A:D,4,0)</f>
        <v>1</v>
      </c>
      <c r="K63" s="2">
        <f>VLOOKUP(A:A,MASTER!A:I,9,0)</f>
        <v>1</v>
      </c>
      <c r="L63" s="1">
        <f>VLOOKUP(A:A,MASTER!A:C,3,0)</f>
        <v>2</v>
      </c>
      <c r="M63" s="1">
        <f>VLOOKUP(A:A,MASTER!A:H,8,0)</f>
        <v>3</v>
      </c>
      <c r="N63" s="1">
        <f>VLOOKUP(A:A,MASTER!A:B,2,0)</f>
        <v>863</v>
      </c>
      <c r="O63">
        <f>VLOOKUP(A:A,MASTER!A:G,7,0)</f>
        <v>883</v>
      </c>
      <c r="P63">
        <v>4</v>
      </c>
    </row>
    <row r="64" spans="1:16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42307324.288243957</v>
      </c>
      <c r="G64" s="1">
        <f>VLOOKUP(A:A,MASTER!A:K,11,0)</f>
        <v>45476168.730734654</v>
      </c>
      <c r="H64" s="2">
        <f>VLOOKUP(A:A,MASTER!A:E,5,0)</f>
        <v>1274</v>
      </c>
      <c r="I64" s="2">
        <f>VLOOKUP(A:A,MASTER!A:J,10,0)</f>
        <v>1437</v>
      </c>
      <c r="J64" s="2">
        <f>VLOOKUP(A:A,MASTER!A:D,4,0)</f>
        <v>13</v>
      </c>
      <c r="K64" s="2">
        <f>VLOOKUP(A:A,MASTER!A:I,9,0)</f>
        <v>12</v>
      </c>
      <c r="L64" s="1">
        <f>VLOOKUP(A:A,MASTER!A:C,3,0)</f>
        <v>38</v>
      </c>
      <c r="M64" s="1">
        <f>VLOOKUP(A:A,MASTER!A:H,8,0)</f>
        <v>366</v>
      </c>
      <c r="N64" s="1">
        <f>VLOOKUP(A:A,MASTER!A:B,2,0)</f>
        <v>1862</v>
      </c>
      <c r="O64">
        <f>VLOOKUP(A:A,MASTER!A:G,7,0)</f>
        <v>2335</v>
      </c>
      <c r="P64">
        <v>9</v>
      </c>
    </row>
    <row r="65" spans="1:16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3303333.5893165562</v>
      </c>
      <c r="G65" s="1">
        <f>VLOOKUP(A:A,MASTER!A:K,11,0)</f>
        <v>1088246.2504583341</v>
      </c>
      <c r="H65" s="2">
        <f>VLOOKUP(A:A,MASTER!A:E,5,0)</f>
        <v>249</v>
      </c>
      <c r="I65" s="2">
        <f>VLOOKUP(A:A,MASTER!A:J,10,0)</f>
        <v>415</v>
      </c>
      <c r="J65" s="2">
        <f>VLOOKUP(A:A,MASTER!A:D,4,0)</f>
        <v>1</v>
      </c>
      <c r="K65" s="2">
        <f>VLOOKUP(A:A,MASTER!A:I,9,0)</f>
        <v>1</v>
      </c>
      <c r="L65" s="1">
        <f>VLOOKUP(A:A,MASTER!A:C,3,0)</f>
        <v>1</v>
      </c>
      <c r="M65" s="1">
        <f>VLOOKUP(A:A,MASTER!A:H,8,0)</f>
        <v>0</v>
      </c>
      <c r="N65" s="1">
        <f>VLOOKUP(A:A,MASTER!A:B,2,0)</f>
        <v>264</v>
      </c>
      <c r="O65">
        <f>VLOOKUP(A:A,MASTER!A:G,7,0)</f>
        <v>247</v>
      </c>
      <c r="P65">
        <v>3</v>
      </c>
    </row>
    <row r="66" spans="1:16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33805872.393411718</v>
      </c>
      <c r="G66" s="1">
        <f>VLOOKUP(A:A,MASTER!A:K,11,0)</f>
        <v>32336066.762660287</v>
      </c>
      <c r="H66" s="2">
        <f>VLOOKUP(A:A,MASTER!A:E,5,0)</f>
        <v>1626</v>
      </c>
      <c r="I66" s="2">
        <f>VLOOKUP(A:A,MASTER!A:J,10,0)</f>
        <v>1542</v>
      </c>
      <c r="J66" s="2">
        <f>VLOOKUP(A:A,MASTER!A:D,4,0)</f>
        <v>7</v>
      </c>
      <c r="K66" s="2">
        <f>VLOOKUP(A:A,MASTER!A:I,9,0)</f>
        <v>6</v>
      </c>
      <c r="L66" s="1">
        <f>VLOOKUP(A:A,MASTER!A:C,3,0)</f>
        <v>2</v>
      </c>
      <c r="M66" s="1">
        <f>VLOOKUP(A:A,MASTER!A:H,8,0)</f>
        <v>6</v>
      </c>
      <c r="N66" s="1">
        <f>VLOOKUP(A:A,MASTER!A:B,2,0)</f>
        <v>1755</v>
      </c>
      <c r="O66">
        <f>VLOOKUP(A:A,MASTER!A:G,7,0)</f>
        <v>1674</v>
      </c>
      <c r="P66">
        <v>6</v>
      </c>
    </row>
    <row r="67" spans="1:16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13264992.414578712</v>
      </c>
      <c r="G67" s="1">
        <f>VLOOKUP(A:A,MASTER!A:K,11,0)</f>
        <v>15325394.688526897</v>
      </c>
      <c r="H67" s="2">
        <f>VLOOKUP(A:A,MASTER!A:E,5,0)</f>
        <v>533</v>
      </c>
      <c r="I67" s="2">
        <f>VLOOKUP(A:A,MASTER!A:J,10,0)</f>
        <v>614</v>
      </c>
      <c r="J67" s="2">
        <f>VLOOKUP(A:A,MASTER!A:D,4,0)</f>
        <v>2</v>
      </c>
      <c r="K67" s="2">
        <f>VLOOKUP(A:A,MASTER!A:I,9,0)</f>
        <v>3</v>
      </c>
      <c r="L67" s="1">
        <f>VLOOKUP(A:A,MASTER!A:C,3,0)</f>
        <v>1</v>
      </c>
      <c r="M67" s="1">
        <f>VLOOKUP(A:A,MASTER!A:H,8,0)</f>
        <v>1</v>
      </c>
      <c r="N67" s="1">
        <f>VLOOKUP(A:A,MASTER!A:B,2,0)</f>
        <v>666</v>
      </c>
      <c r="O67">
        <f>VLOOKUP(A:A,MASTER!A:G,7,0)</f>
        <v>732</v>
      </c>
      <c r="P67">
        <v>3</v>
      </c>
    </row>
    <row r="68" spans="1:16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22548489.861411422</v>
      </c>
      <c r="G68" s="1">
        <f>VLOOKUP(A:A,MASTER!A:K,11,0)</f>
        <v>21867582.03235082</v>
      </c>
      <c r="H68" s="2">
        <f>VLOOKUP(A:A,MASTER!A:E,5,0)</f>
        <v>971</v>
      </c>
      <c r="I68" s="2">
        <f>VLOOKUP(A:A,MASTER!A:J,10,0)</f>
        <v>859</v>
      </c>
      <c r="J68" s="2">
        <f>VLOOKUP(A:A,MASTER!A:D,4,0)</f>
        <v>5</v>
      </c>
      <c r="K68" s="2">
        <f>VLOOKUP(A:A,MASTER!A:I,9,0)</f>
        <v>4</v>
      </c>
      <c r="L68" s="1">
        <f>VLOOKUP(A:A,MASTER!A:C,3,0)</f>
        <v>21</v>
      </c>
      <c r="M68" s="1">
        <f>VLOOKUP(A:A,MASTER!A:H,8,0)</f>
        <v>19</v>
      </c>
      <c r="N68" s="1">
        <f>VLOOKUP(A:A,MASTER!A:B,2,0)</f>
        <v>1342</v>
      </c>
      <c r="O68">
        <f>VLOOKUP(A:A,MASTER!A:G,7,0)</f>
        <v>1369</v>
      </c>
      <c r="P68">
        <v>4</v>
      </c>
    </row>
    <row r="69" spans="1:16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12696820.613842988</v>
      </c>
      <c r="G69" s="1">
        <f>VLOOKUP(A:A,MASTER!A:K,11,0)</f>
        <v>14511263.008932166</v>
      </c>
      <c r="H69" s="2">
        <f>VLOOKUP(A:A,MASTER!A:E,5,0)</f>
        <v>1380</v>
      </c>
      <c r="I69" s="2">
        <f>VLOOKUP(A:A,MASTER!A:J,10,0)</f>
        <v>597</v>
      </c>
      <c r="J69" s="2">
        <f>VLOOKUP(A:A,MASTER!A:D,4,0)</f>
        <v>5</v>
      </c>
      <c r="K69" s="2">
        <f>VLOOKUP(A:A,MASTER!A:I,9,0)</f>
        <v>5</v>
      </c>
      <c r="L69" s="1">
        <f>VLOOKUP(A:A,MASTER!A:C,3,0)</f>
        <v>4</v>
      </c>
      <c r="M69" s="1">
        <f>VLOOKUP(A:A,MASTER!A:H,8,0)</f>
        <v>1</v>
      </c>
      <c r="N69" s="1">
        <f>VLOOKUP(A:A,MASTER!A:B,2,0)</f>
        <v>1396</v>
      </c>
      <c r="O69">
        <f>VLOOKUP(A:A,MASTER!A:G,7,0)</f>
        <v>1287</v>
      </c>
      <c r="P69">
        <v>4</v>
      </c>
    </row>
    <row r="70" spans="1:16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38688418.739473499</v>
      </c>
      <c r="G70" s="1">
        <f>VLOOKUP(A:A,MASTER!A:K,11,0)</f>
        <v>39831462.257459968</v>
      </c>
      <c r="H70" s="2">
        <f>VLOOKUP(A:A,MASTER!A:E,5,0)</f>
        <v>1488</v>
      </c>
      <c r="I70" s="2">
        <f>VLOOKUP(A:A,MASTER!A:J,10,0)</f>
        <v>1229</v>
      </c>
      <c r="J70" s="2">
        <f>VLOOKUP(A:A,MASTER!A:D,4,0)</f>
        <v>5</v>
      </c>
      <c r="K70" s="2">
        <f>VLOOKUP(A:A,MASTER!A:I,9,0)</f>
        <v>4</v>
      </c>
      <c r="L70" s="1">
        <f>VLOOKUP(A:A,MASTER!A:C,3,0)</f>
        <v>5</v>
      </c>
      <c r="M70" s="1">
        <f>VLOOKUP(A:A,MASTER!A:H,8,0)</f>
        <v>8</v>
      </c>
      <c r="N70" s="1">
        <f>VLOOKUP(A:A,MASTER!A:B,2,0)</f>
        <v>1745</v>
      </c>
      <c r="O70">
        <f>VLOOKUP(A:A,MASTER!A:G,7,0)</f>
        <v>1737</v>
      </c>
      <c r="P70">
        <v>4</v>
      </c>
    </row>
    <row r="71" spans="1:16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8715480.3903808221</v>
      </c>
      <c r="G71" s="1">
        <f>VLOOKUP(A:A,MASTER!A:K,11,0)</f>
        <v>8057116.8412494138</v>
      </c>
      <c r="H71" s="2">
        <f>VLOOKUP(A:A,MASTER!A:E,5,0)</f>
        <v>514</v>
      </c>
      <c r="I71" s="2">
        <f>VLOOKUP(A:A,MASTER!A:J,10,0)</f>
        <v>433</v>
      </c>
      <c r="J71" s="2">
        <f>VLOOKUP(A:A,MASTER!A:D,4,0)</f>
        <v>2</v>
      </c>
      <c r="K71" s="2">
        <f>VLOOKUP(A:A,MASTER!A:I,9,0)</f>
        <v>1</v>
      </c>
      <c r="L71" s="1">
        <f>VLOOKUP(A:A,MASTER!A:C,3,0)</f>
        <v>2</v>
      </c>
      <c r="M71" s="1">
        <f>VLOOKUP(A:A,MASTER!A:H,8,0)</f>
        <v>2</v>
      </c>
      <c r="N71" s="1">
        <f>VLOOKUP(A:A,MASTER!A:B,2,0)</f>
        <v>490</v>
      </c>
      <c r="O71">
        <f>VLOOKUP(A:A,MASTER!A:G,7,0)</f>
        <v>517</v>
      </c>
      <c r="P71">
        <v>2</v>
      </c>
    </row>
    <row r="72" spans="1:16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13545098.441002436</v>
      </c>
      <c r="G72" s="1">
        <f>VLOOKUP(A:A,MASTER!A:K,11,0)</f>
        <v>12597475.045724921</v>
      </c>
      <c r="H72" s="2">
        <f>VLOOKUP(A:A,MASTER!A:E,5,0)</f>
        <v>845</v>
      </c>
      <c r="I72" s="2">
        <f>VLOOKUP(A:A,MASTER!A:J,10,0)</f>
        <v>999</v>
      </c>
      <c r="J72" s="2">
        <f>VLOOKUP(A:A,MASTER!A:D,4,0)</f>
        <v>1</v>
      </c>
      <c r="K72" s="2">
        <f>VLOOKUP(A:A,MASTER!A:I,9,0)</f>
        <v>1</v>
      </c>
      <c r="L72" s="1">
        <f>VLOOKUP(A:A,MASTER!A:C,3,0)</f>
        <v>1</v>
      </c>
      <c r="M72" s="1">
        <f>VLOOKUP(A:A,MASTER!A:H,8,0)</f>
        <v>2</v>
      </c>
      <c r="N72" s="1">
        <f>VLOOKUP(A:A,MASTER!A:B,2,0)</f>
        <v>897</v>
      </c>
      <c r="O72">
        <f>VLOOKUP(A:A,MASTER!A:G,7,0)</f>
        <v>890</v>
      </c>
      <c r="P72">
        <v>3</v>
      </c>
    </row>
    <row r="73" spans="1:16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8794172.8037036434</v>
      </c>
      <c r="G73" s="1">
        <f>VLOOKUP(A:A,MASTER!A:K,11,0)</f>
        <v>12245132.80994164</v>
      </c>
      <c r="H73" s="2">
        <f>VLOOKUP(A:A,MASTER!A:E,5,0)</f>
        <v>431</v>
      </c>
      <c r="I73" s="2">
        <f>VLOOKUP(A:A,MASTER!A:J,10,0)</f>
        <v>493</v>
      </c>
      <c r="J73" s="2">
        <f>VLOOKUP(A:A,MASTER!A:D,4,0)</f>
        <v>4</v>
      </c>
      <c r="K73" s="2">
        <f>VLOOKUP(A:A,MASTER!A:I,9,0)</f>
        <v>3</v>
      </c>
      <c r="L73" s="1">
        <f>VLOOKUP(A:A,MASTER!A:C,3,0)</f>
        <v>1</v>
      </c>
      <c r="M73" s="1">
        <f>VLOOKUP(A:A,MASTER!A:H,8,0)</f>
        <v>0</v>
      </c>
      <c r="N73" s="1">
        <f>VLOOKUP(A:A,MASTER!A:B,2,0)</f>
        <v>688</v>
      </c>
      <c r="O73">
        <f>VLOOKUP(A:A,MASTER!A:G,7,0)</f>
        <v>654</v>
      </c>
      <c r="P73">
        <v>7</v>
      </c>
    </row>
    <row r="74" spans="1:16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8938535.046445122</v>
      </c>
      <c r="G74" s="1">
        <f>VLOOKUP(A:A,MASTER!A:K,11,0)</f>
        <v>10277085.972706931</v>
      </c>
      <c r="H74" s="2">
        <f>VLOOKUP(A:A,MASTER!A:E,5,0)</f>
        <v>709</v>
      </c>
      <c r="I74" s="2">
        <f>VLOOKUP(A:A,MASTER!A:J,10,0)</f>
        <v>732</v>
      </c>
      <c r="J74" s="2">
        <f>VLOOKUP(A:A,MASTER!A:D,4,0)</f>
        <v>1</v>
      </c>
      <c r="K74" s="2">
        <f>VLOOKUP(A:A,MASTER!A:I,9,0)</f>
        <v>1</v>
      </c>
      <c r="L74" s="1">
        <f>VLOOKUP(A:A,MASTER!A:C,3,0)</f>
        <v>3</v>
      </c>
      <c r="M74" s="1">
        <f>VLOOKUP(A:A,MASTER!A:H,8,0)</f>
        <v>5</v>
      </c>
      <c r="N74" s="1">
        <f>VLOOKUP(A:A,MASTER!A:B,2,0)</f>
        <v>590</v>
      </c>
      <c r="O74">
        <f>VLOOKUP(A:A,MASTER!A:G,7,0)</f>
        <v>599</v>
      </c>
      <c r="P74">
        <v>2</v>
      </c>
    </row>
    <row r="75" spans="1:16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10267447.870031901</v>
      </c>
      <c r="G75" s="1">
        <f>VLOOKUP(A:A,MASTER!A:K,11,0)</f>
        <v>11211811.326490723</v>
      </c>
      <c r="H75" s="2">
        <f>VLOOKUP(A:A,MASTER!A:E,5,0)</f>
        <v>413</v>
      </c>
      <c r="I75" s="2">
        <f>VLOOKUP(A:A,MASTER!A:J,10,0)</f>
        <v>480</v>
      </c>
      <c r="J75" s="2">
        <f>VLOOKUP(A:A,MASTER!A:D,4,0)</f>
        <v>5</v>
      </c>
      <c r="K75" s="2">
        <f>VLOOKUP(A:A,MASTER!A:I,9,0)</f>
        <v>7</v>
      </c>
      <c r="L75" s="1">
        <f>VLOOKUP(A:A,MASTER!A:C,3,0)</f>
        <v>3</v>
      </c>
      <c r="M75" s="1">
        <f>VLOOKUP(A:A,MASTER!A:H,8,0)</f>
        <v>0</v>
      </c>
      <c r="N75" s="1">
        <f>VLOOKUP(A:A,MASTER!A:B,2,0)</f>
        <v>443</v>
      </c>
      <c r="O75">
        <f>VLOOKUP(A:A,MASTER!A:G,7,0)</f>
        <v>449</v>
      </c>
      <c r="P75">
        <v>1</v>
      </c>
    </row>
    <row r="76" spans="1:16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28811381.822914738</v>
      </c>
      <c r="G76" s="1">
        <f>VLOOKUP(A:A,MASTER!A:K,11,0)</f>
        <v>29014112.452576768</v>
      </c>
      <c r="H76" s="2">
        <f>VLOOKUP(A:A,MASTER!A:E,5,0)</f>
        <v>756</v>
      </c>
      <c r="I76" s="2">
        <f>VLOOKUP(A:A,MASTER!A:J,10,0)</f>
        <v>755</v>
      </c>
      <c r="J76" s="2">
        <f>VLOOKUP(A:A,MASTER!A:D,4,0)</f>
        <v>4</v>
      </c>
      <c r="K76" s="2">
        <f>VLOOKUP(A:A,MASTER!A:I,9,0)</f>
        <v>3</v>
      </c>
      <c r="L76" s="1">
        <f>VLOOKUP(A:A,MASTER!A:C,3,0)</f>
        <v>1</v>
      </c>
      <c r="M76" s="1">
        <f>VLOOKUP(A:A,MASTER!A:H,8,0)</f>
        <v>4</v>
      </c>
      <c r="N76" s="1">
        <f>VLOOKUP(A:A,MASTER!A:B,2,0)</f>
        <v>966</v>
      </c>
      <c r="O76">
        <f>VLOOKUP(A:A,MASTER!A:G,7,0)</f>
        <v>953</v>
      </c>
      <c r="P76">
        <v>4</v>
      </c>
    </row>
    <row r="77" spans="1:16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17376373.350340452</v>
      </c>
      <c r="G77" s="1">
        <f>VLOOKUP(A:A,MASTER!A:K,11,0)</f>
        <v>17505873.817607421</v>
      </c>
      <c r="H77" s="2">
        <f>VLOOKUP(A:A,MASTER!A:E,5,0)</f>
        <v>687</v>
      </c>
      <c r="I77" s="2">
        <f>VLOOKUP(A:A,MASTER!A:J,10,0)</f>
        <v>721</v>
      </c>
      <c r="J77" s="2">
        <f>VLOOKUP(A:A,MASTER!A:D,4,0)</f>
        <v>9</v>
      </c>
      <c r="K77" s="2">
        <f>VLOOKUP(A:A,MASTER!A:I,9,0)</f>
        <v>10</v>
      </c>
      <c r="L77" s="1">
        <f>VLOOKUP(A:A,MASTER!A:C,3,0)</f>
        <v>2</v>
      </c>
      <c r="M77" s="1">
        <f>VLOOKUP(A:A,MASTER!A:H,8,0)</f>
        <v>2</v>
      </c>
      <c r="N77" s="1">
        <f>VLOOKUP(A:A,MASTER!A:B,2,0)</f>
        <v>790</v>
      </c>
      <c r="O77">
        <f>VLOOKUP(A:A,MASTER!A:G,7,0)</f>
        <v>772</v>
      </c>
      <c r="P77">
        <v>3</v>
      </c>
    </row>
    <row r="78" spans="1:16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14290245.398241306</v>
      </c>
      <c r="G78" s="1">
        <f>VLOOKUP(A:A,MASTER!A:K,11,0)</f>
        <v>14020057.900462007</v>
      </c>
      <c r="H78" s="2">
        <f>VLOOKUP(A:A,MASTER!A:E,5,0)</f>
        <v>879</v>
      </c>
      <c r="I78" s="2">
        <f>VLOOKUP(A:A,MASTER!A:J,10,0)</f>
        <v>791</v>
      </c>
      <c r="J78" s="2">
        <f>VLOOKUP(A:A,MASTER!A:D,4,0)</f>
        <v>2</v>
      </c>
      <c r="K78" s="2">
        <f>VLOOKUP(A:A,MASTER!A:I,9,0)</f>
        <v>2</v>
      </c>
      <c r="L78" s="1">
        <f>VLOOKUP(A:A,MASTER!A:C,3,0)</f>
        <v>0</v>
      </c>
      <c r="M78" s="1">
        <f>VLOOKUP(A:A,MASTER!A:H,8,0)</f>
        <v>1</v>
      </c>
      <c r="N78" s="1">
        <f>VLOOKUP(A:A,MASTER!A:B,2,0)</f>
        <v>929</v>
      </c>
      <c r="O78">
        <f>VLOOKUP(A:A,MASTER!A:G,7,0)</f>
        <v>964</v>
      </c>
      <c r="P78">
        <v>3</v>
      </c>
    </row>
    <row r="79" spans="1:16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16556444.499608569</v>
      </c>
      <c r="G79" s="1">
        <f>VLOOKUP(A:A,MASTER!A:K,11,0)</f>
        <v>13094329.610911908</v>
      </c>
      <c r="H79" s="2">
        <f>VLOOKUP(A:A,MASTER!A:E,5,0)</f>
        <v>812</v>
      </c>
      <c r="I79" s="2">
        <f>VLOOKUP(A:A,MASTER!A:J,10,0)</f>
        <v>891</v>
      </c>
      <c r="J79" s="2">
        <f>VLOOKUP(A:A,MASTER!A:D,4,0)</f>
        <v>4</v>
      </c>
      <c r="K79" s="2">
        <f>VLOOKUP(A:A,MASTER!A:I,9,0)</f>
        <v>5</v>
      </c>
      <c r="L79" s="1">
        <f>VLOOKUP(A:A,MASTER!A:C,3,0)</f>
        <v>4</v>
      </c>
      <c r="M79" s="1">
        <f>VLOOKUP(A:A,MASTER!A:H,8,0)</f>
        <v>1</v>
      </c>
      <c r="N79" s="1">
        <f>VLOOKUP(A:A,MASTER!A:B,2,0)</f>
        <v>1017</v>
      </c>
      <c r="O79">
        <f>VLOOKUP(A:A,MASTER!A:G,7,0)</f>
        <v>999</v>
      </c>
      <c r="P79">
        <v>3</v>
      </c>
    </row>
    <row r="80" spans="1:16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16880084.510550667</v>
      </c>
      <c r="G80" s="1">
        <f>VLOOKUP(A:A,MASTER!A:K,11,0)</f>
        <v>18305554.193984501</v>
      </c>
      <c r="H80" s="2">
        <f>VLOOKUP(A:A,MASTER!A:E,5,0)</f>
        <v>704</v>
      </c>
      <c r="I80" s="2">
        <f>VLOOKUP(A:A,MASTER!A:J,10,0)</f>
        <v>749</v>
      </c>
      <c r="J80" s="2">
        <f>VLOOKUP(A:A,MASTER!A:D,4,0)</f>
        <v>5</v>
      </c>
      <c r="K80" s="2">
        <f>VLOOKUP(A:A,MASTER!A:I,9,0)</f>
        <v>6</v>
      </c>
      <c r="L80" s="1">
        <f>VLOOKUP(A:A,MASTER!A:C,3,0)</f>
        <v>2</v>
      </c>
      <c r="M80" s="1">
        <f>VLOOKUP(A:A,MASTER!A:H,8,0)</f>
        <v>2</v>
      </c>
      <c r="N80" s="1">
        <f>VLOOKUP(A:A,MASTER!A:B,2,0)</f>
        <v>746</v>
      </c>
      <c r="O80">
        <f>VLOOKUP(A:A,MASTER!A:G,7,0)</f>
        <v>746</v>
      </c>
      <c r="P80">
        <v>3</v>
      </c>
    </row>
    <row r="81" spans="1:16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8199813.1471998431</v>
      </c>
      <c r="G81" s="1">
        <f>VLOOKUP(A:A,MASTER!A:K,11,0)</f>
        <v>8668989.4204564169</v>
      </c>
      <c r="H81" s="2">
        <f>VLOOKUP(A:A,MASTER!A:E,5,0)</f>
        <v>551</v>
      </c>
      <c r="I81" s="2">
        <f>VLOOKUP(A:A,MASTER!A:J,10,0)</f>
        <v>540</v>
      </c>
      <c r="J81" s="2">
        <f>VLOOKUP(A:A,MASTER!A:D,4,0)</f>
        <v>1</v>
      </c>
      <c r="K81" s="2">
        <f>VLOOKUP(A:A,MASTER!A:I,9,0)</f>
        <v>1</v>
      </c>
      <c r="L81" s="1">
        <f>VLOOKUP(A:A,MASTER!A:C,3,0)</f>
        <v>1</v>
      </c>
      <c r="M81" s="1">
        <f>VLOOKUP(A:A,MASTER!A:H,8,0)</f>
        <v>1</v>
      </c>
      <c r="N81" s="1">
        <f>VLOOKUP(A:A,MASTER!A:B,2,0)</f>
        <v>568</v>
      </c>
      <c r="O81">
        <f>VLOOKUP(A:A,MASTER!A:G,7,0)</f>
        <v>568</v>
      </c>
      <c r="P81">
        <v>1</v>
      </c>
    </row>
    <row r="82" spans="1:16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32144265.812579334</v>
      </c>
      <c r="G82" s="1">
        <f>VLOOKUP(A:A,MASTER!A:K,11,0)</f>
        <v>35301547.313618742</v>
      </c>
      <c r="H82" s="2">
        <f>VLOOKUP(A:A,MASTER!A:E,5,0)</f>
        <v>1251</v>
      </c>
      <c r="I82" s="2">
        <f>VLOOKUP(A:A,MASTER!A:J,10,0)</f>
        <v>1290</v>
      </c>
      <c r="J82" s="2">
        <f>VLOOKUP(A:A,MASTER!A:D,4,0)</f>
        <v>10</v>
      </c>
      <c r="K82" s="2">
        <f>VLOOKUP(A:A,MASTER!A:I,9,0)</f>
        <v>10</v>
      </c>
      <c r="L82" s="1">
        <f>VLOOKUP(A:A,MASTER!A:C,3,0)</f>
        <v>5</v>
      </c>
      <c r="M82" s="1">
        <f>VLOOKUP(A:A,MASTER!A:H,8,0)</f>
        <v>0</v>
      </c>
      <c r="N82" s="1">
        <f>VLOOKUP(A:A,MASTER!A:B,2,0)</f>
        <v>1715</v>
      </c>
      <c r="O82">
        <f>VLOOKUP(A:A,MASTER!A:G,7,0)</f>
        <v>1754</v>
      </c>
      <c r="P82">
        <v>2</v>
      </c>
    </row>
    <row r="83" spans="1:16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9037128.4041979909</v>
      </c>
      <c r="G83" s="1">
        <f>VLOOKUP(A:A,MASTER!A:K,11,0)</f>
        <v>7537881.091569989</v>
      </c>
      <c r="H83" s="2">
        <f>VLOOKUP(A:A,MASTER!A:E,5,0)</f>
        <v>937</v>
      </c>
      <c r="I83" s="2">
        <f>VLOOKUP(A:A,MASTER!A:J,10,0)</f>
        <v>872</v>
      </c>
      <c r="J83" s="2">
        <f>VLOOKUP(A:A,MASTER!A:D,4,0)</f>
        <v>3</v>
      </c>
      <c r="K83" s="2">
        <f>VLOOKUP(A:A,MASTER!A:I,9,0)</f>
        <v>3</v>
      </c>
      <c r="L83" s="1">
        <f>VLOOKUP(A:A,MASTER!A:C,3,0)</f>
        <v>3</v>
      </c>
      <c r="M83" s="1">
        <f>VLOOKUP(A:A,MASTER!A:H,8,0)</f>
        <v>0</v>
      </c>
      <c r="N83" s="1">
        <f>VLOOKUP(A:A,MASTER!A:B,2,0)</f>
        <v>662</v>
      </c>
      <c r="O83">
        <f>VLOOKUP(A:A,MASTER!A:G,7,0)</f>
        <v>561</v>
      </c>
      <c r="P83">
        <v>2</v>
      </c>
    </row>
    <row r="84" spans="1:16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15900425.501327815</v>
      </c>
      <c r="G84" s="1">
        <f>VLOOKUP(A:A,MASTER!A:K,11,0)</f>
        <v>16485262.08125736</v>
      </c>
      <c r="H84" s="2">
        <f>VLOOKUP(A:A,MASTER!A:E,5,0)</f>
        <v>570</v>
      </c>
      <c r="I84" s="2">
        <f>VLOOKUP(A:A,MASTER!A:J,10,0)</f>
        <v>580</v>
      </c>
      <c r="J84" s="2">
        <f>VLOOKUP(A:A,MASTER!A:D,4,0)</f>
        <v>6</v>
      </c>
      <c r="K84" s="2">
        <f>VLOOKUP(A:A,MASTER!A:I,9,0)</f>
        <v>7</v>
      </c>
      <c r="L84" s="1">
        <f>VLOOKUP(A:A,MASTER!A:C,3,0)</f>
        <v>10</v>
      </c>
      <c r="M84" s="1">
        <f>VLOOKUP(A:A,MASTER!A:H,8,0)</f>
        <v>4</v>
      </c>
      <c r="N84" s="1">
        <f>VLOOKUP(A:A,MASTER!A:B,2,0)</f>
        <v>622</v>
      </c>
      <c r="O84">
        <f>VLOOKUP(A:A,MASTER!A:G,7,0)</f>
        <v>631</v>
      </c>
      <c r="P84">
        <v>7</v>
      </c>
    </row>
    <row r="85" spans="1:16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4623806.3159846626</v>
      </c>
      <c r="G85" s="1">
        <f>VLOOKUP(A:A,MASTER!A:K,11,0)</f>
        <v>4055469.882370349</v>
      </c>
      <c r="H85" s="2">
        <f>VLOOKUP(A:A,MASTER!A:E,5,0)</f>
        <v>313</v>
      </c>
      <c r="I85" s="2">
        <f>VLOOKUP(A:A,MASTER!A:J,10,0)</f>
        <v>309</v>
      </c>
      <c r="J85" s="2">
        <f>VLOOKUP(A:A,MASTER!A:D,4,0)</f>
        <v>1</v>
      </c>
      <c r="K85" s="2">
        <f>VLOOKUP(A:A,MASTER!A:I,9,0)</f>
        <v>0</v>
      </c>
      <c r="L85" s="1">
        <f>VLOOKUP(A:A,MASTER!A:C,3,0)</f>
        <v>1</v>
      </c>
      <c r="M85" s="1">
        <f>VLOOKUP(A:A,MASTER!A:H,8,0)</f>
        <v>2</v>
      </c>
      <c r="N85" s="1">
        <f>VLOOKUP(A:A,MASTER!A:B,2,0)</f>
        <v>356</v>
      </c>
      <c r="O85">
        <f>VLOOKUP(A:A,MASTER!A:G,7,0)</f>
        <v>366</v>
      </c>
      <c r="P8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0"/>
  <sheetViews>
    <sheetView workbookViewId="0">
      <pane xSplit="1" ySplit="5" topLeftCell="D6" activePane="bottomRight" state="frozen"/>
      <selection pane="topRight" activeCell="B1" sqref="B1"/>
      <selection pane="bottomLeft" activeCell="A6" sqref="A6"/>
      <selection pane="bottomRight" activeCell="K6" sqref="K6:K90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83890</v>
      </c>
      <c r="C3" s="11">
        <f t="shared" si="0"/>
        <v>476</v>
      </c>
      <c r="D3" s="11">
        <f t="shared" si="0"/>
        <v>306</v>
      </c>
      <c r="E3" s="11">
        <f t="shared" si="0"/>
        <v>68778</v>
      </c>
      <c r="F3" s="11">
        <f t="shared" si="0"/>
        <v>1654537154.120717</v>
      </c>
      <c r="G3" s="11">
        <f t="shared" si="0"/>
        <v>84861</v>
      </c>
      <c r="H3" s="11">
        <f t="shared" si="0"/>
        <v>961</v>
      </c>
      <c r="I3" s="11">
        <f t="shared" si="0"/>
        <v>315</v>
      </c>
      <c r="J3" s="11">
        <f t="shared" si="0"/>
        <v>70217</v>
      </c>
      <c r="K3" s="11">
        <f t="shared" si="0"/>
        <v>1652301217.7925961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198</v>
      </c>
      <c r="D5" s="8" t="s">
        <v>199</v>
      </c>
      <c r="E5" s="8" t="s">
        <v>200</v>
      </c>
      <c r="F5" s="8" t="s">
        <v>201</v>
      </c>
      <c r="G5" s="8" t="s">
        <v>197</v>
      </c>
      <c r="H5" s="8" t="s">
        <v>198</v>
      </c>
      <c r="I5" s="8" t="s">
        <v>199</v>
      </c>
      <c r="J5" s="8" t="s">
        <v>200</v>
      </c>
      <c r="K5" s="8" t="s">
        <v>201</v>
      </c>
    </row>
    <row r="6" spans="1:11" x14ac:dyDescent="0.35">
      <c r="A6" s="9" t="s">
        <v>117</v>
      </c>
      <c r="B6" s="10">
        <v>410</v>
      </c>
      <c r="C6" s="10">
        <v>3</v>
      </c>
      <c r="D6" s="10">
        <v>2</v>
      </c>
      <c r="E6" s="10">
        <v>357</v>
      </c>
      <c r="F6" s="10">
        <v>8148583.395282384</v>
      </c>
      <c r="G6" s="10">
        <v>418</v>
      </c>
      <c r="H6" s="10">
        <v>0</v>
      </c>
      <c r="I6" s="10">
        <v>2</v>
      </c>
      <c r="J6" s="10">
        <v>339</v>
      </c>
      <c r="K6" s="10">
        <v>7383118.5990972444</v>
      </c>
    </row>
    <row r="7" spans="1:11" x14ac:dyDescent="0.35">
      <c r="A7" s="9" t="s">
        <v>127</v>
      </c>
      <c r="B7" s="10">
        <v>676</v>
      </c>
      <c r="C7" s="10">
        <v>1</v>
      </c>
      <c r="D7" s="10">
        <v>1</v>
      </c>
      <c r="E7" s="10">
        <v>635</v>
      </c>
      <c r="F7" s="10">
        <v>10074713.131280864</v>
      </c>
      <c r="G7" s="10">
        <v>649</v>
      </c>
      <c r="H7" s="10">
        <v>2</v>
      </c>
      <c r="I7" s="10">
        <v>2</v>
      </c>
      <c r="J7" s="10">
        <v>495</v>
      </c>
      <c r="K7" s="10">
        <v>8806603.2716049217</v>
      </c>
    </row>
    <row r="8" spans="1:11" x14ac:dyDescent="0.35">
      <c r="A8" s="9" t="s">
        <v>119</v>
      </c>
      <c r="B8" s="10">
        <v>685</v>
      </c>
      <c r="C8" s="10">
        <v>2</v>
      </c>
      <c r="D8" s="10">
        <v>2</v>
      </c>
      <c r="E8" s="10">
        <v>703</v>
      </c>
      <c r="F8" s="10">
        <v>9579603.6779472157</v>
      </c>
      <c r="G8" s="10">
        <v>733</v>
      </c>
      <c r="H8" s="10">
        <v>5</v>
      </c>
      <c r="I8" s="10">
        <v>1</v>
      </c>
      <c r="J8" s="10">
        <v>690</v>
      </c>
      <c r="K8" s="10">
        <v>10474601.900855821</v>
      </c>
    </row>
    <row r="9" spans="1:11" x14ac:dyDescent="0.35">
      <c r="A9" s="9" t="s">
        <v>121</v>
      </c>
      <c r="B9" s="10">
        <v>1194</v>
      </c>
      <c r="C9" s="10">
        <v>3</v>
      </c>
      <c r="D9" s="10">
        <v>3</v>
      </c>
      <c r="E9" s="10">
        <v>1251</v>
      </c>
      <c r="F9" s="10">
        <v>18772595.596177574</v>
      </c>
      <c r="G9" s="10">
        <v>1215</v>
      </c>
      <c r="H9" s="10">
        <v>4</v>
      </c>
      <c r="I9" s="10">
        <v>3</v>
      </c>
      <c r="J9" s="10">
        <v>1021</v>
      </c>
      <c r="K9" s="10">
        <v>19007257.264013216</v>
      </c>
    </row>
    <row r="10" spans="1:11" x14ac:dyDescent="0.35">
      <c r="A10" s="9" t="s">
        <v>123</v>
      </c>
      <c r="B10" s="10">
        <v>401</v>
      </c>
      <c r="C10" s="10">
        <v>1</v>
      </c>
      <c r="D10" s="10">
        <v>1</v>
      </c>
      <c r="E10" s="10">
        <v>350</v>
      </c>
      <c r="F10" s="10">
        <v>7351981.8698023772</v>
      </c>
      <c r="G10" s="10">
        <v>405</v>
      </c>
      <c r="H10" s="10">
        <v>1</v>
      </c>
      <c r="I10" s="10">
        <v>1</v>
      </c>
      <c r="J10" s="10">
        <v>363</v>
      </c>
      <c r="K10" s="10">
        <v>8379190.2540950719</v>
      </c>
    </row>
    <row r="11" spans="1:11" x14ac:dyDescent="0.35">
      <c r="A11" s="9" t="s">
        <v>125</v>
      </c>
      <c r="B11" s="10">
        <v>368</v>
      </c>
      <c r="C11" s="10">
        <v>2</v>
      </c>
      <c r="D11" s="10">
        <v>2</v>
      </c>
      <c r="E11" s="10">
        <v>315</v>
      </c>
      <c r="F11" s="10">
        <v>7102539.9786560358</v>
      </c>
      <c r="G11" s="10">
        <v>383</v>
      </c>
      <c r="H11" s="10">
        <v>2</v>
      </c>
      <c r="I11" s="10">
        <v>2</v>
      </c>
      <c r="J11" s="10">
        <v>283</v>
      </c>
      <c r="K11" s="10">
        <v>7143934.4550414039</v>
      </c>
    </row>
    <row r="12" spans="1:11" x14ac:dyDescent="0.35">
      <c r="A12" s="9" t="s">
        <v>131</v>
      </c>
      <c r="B12" s="10">
        <v>605</v>
      </c>
      <c r="C12" s="10">
        <v>0</v>
      </c>
      <c r="D12" s="10">
        <v>1</v>
      </c>
      <c r="E12" s="10">
        <v>504</v>
      </c>
      <c r="F12" s="10">
        <v>8274433.0801868876</v>
      </c>
      <c r="G12" s="10">
        <v>603</v>
      </c>
      <c r="H12" s="10">
        <v>1</v>
      </c>
      <c r="I12" s="10">
        <v>3</v>
      </c>
      <c r="J12" s="10">
        <v>501</v>
      </c>
      <c r="K12" s="10">
        <v>8338127.2616301412</v>
      </c>
    </row>
    <row r="13" spans="1:11" x14ac:dyDescent="0.35">
      <c r="A13" s="9" t="s">
        <v>133</v>
      </c>
      <c r="B13" s="10">
        <v>169</v>
      </c>
      <c r="C13" s="10">
        <v>0</v>
      </c>
      <c r="D13" s="10">
        <v>1</v>
      </c>
      <c r="E13" s="10">
        <v>158</v>
      </c>
      <c r="F13" s="10">
        <v>3656016.5393009051</v>
      </c>
      <c r="G13" s="10">
        <v>167</v>
      </c>
      <c r="H13" s="10">
        <v>0</v>
      </c>
      <c r="I13" s="10">
        <v>1</v>
      </c>
      <c r="J13" s="10">
        <v>131</v>
      </c>
      <c r="K13" s="10">
        <v>3746619.7807002808</v>
      </c>
    </row>
    <row r="14" spans="1:11" x14ac:dyDescent="0.35">
      <c r="A14" s="9" t="s">
        <v>141</v>
      </c>
      <c r="B14" s="10">
        <v>205</v>
      </c>
      <c r="C14" s="10">
        <v>1</v>
      </c>
      <c r="D14" s="10">
        <v>0</v>
      </c>
      <c r="E14" s="10">
        <v>234</v>
      </c>
      <c r="F14" s="10">
        <v>3662736.030057156</v>
      </c>
      <c r="G14" s="10">
        <v>183</v>
      </c>
      <c r="H14" s="10">
        <v>0</v>
      </c>
      <c r="I14" s="10">
        <v>1</v>
      </c>
      <c r="J14" s="10">
        <v>130</v>
      </c>
      <c r="K14" s="10">
        <v>586274.09262576199</v>
      </c>
    </row>
    <row r="15" spans="1:11" x14ac:dyDescent="0.35">
      <c r="A15" s="9" t="s">
        <v>135</v>
      </c>
      <c r="B15" s="10">
        <v>352</v>
      </c>
      <c r="C15" s="10">
        <v>0</v>
      </c>
      <c r="D15" s="10">
        <v>0</v>
      </c>
      <c r="E15" s="10">
        <v>341</v>
      </c>
      <c r="F15" s="10">
        <v>5886575.0213002944</v>
      </c>
      <c r="G15" s="10">
        <v>369</v>
      </c>
      <c r="H15" s="10">
        <v>1</v>
      </c>
      <c r="I15" s="10">
        <v>1</v>
      </c>
      <c r="J15" s="10">
        <v>329</v>
      </c>
      <c r="K15" s="10">
        <v>7938415.2501511136</v>
      </c>
    </row>
    <row r="16" spans="1:11" x14ac:dyDescent="0.35">
      <c r="A16" s="9" t="s">
        <v>143</v>
      </c>
      <c r="B16" s="10">
        <v>212</v>
      </c>
      <c r="C16" s="10">
        <v>0</v>
      </c>
      <c r="D16" s="10">
        <v>1</v>
      </c>
      <c r="E16" s="10">
        <v>274</v>
      </c>
      <c r="F16" s="10">
        <v>2763314.70019016</v>
      </c>
      <c r="G16" s="10">
        <v>205</v>
      </c>
      <c r="H16" s="10">
        <v>0</v>
      </c>
      <c r="I16" s="10">
        <v>2</v>
      </c>
      <c r="J16" s="10">
        <v>253</v>
      </c>
      <c r="K16" s="10">
        <v>3605141.5898137731</v>
      </c>
    </row>
    <row r="17" spans="1:11" x14ac:dyDescent="0.35">
      <c r="A17" s="9" t="s">
        <v>145</v>
      </c>
      <c r="B17" s="10">
        <v>260</v>
      </c>
      <c r="C17" s="10">
        <v>7</v>
      </c>
      <c r="D17" s="10">
        <v>0</v>
      </c>
      <c r="E17" s="10">
        <v>198</v>
      </c>
      <c r="F17" s="10">
        <v>3731770.761003104</v>
      </c>
      <c r="G17" s="10">
        <v>242</v>
      </c>
      <c r="H17" s="10">
        <v>1</v>
      </c>
      <c r="I17" s="10">
        <v>2</v>
      </c>
      <c r="J17" s="10">
        <v>1029</v>
      </c>
      <c r="K17" s="10">
        <v>3976103.8294773069</v>
      </c>
    </row>
    <row r="18" spans="1:11" x14ac:dyDescent="0.35">
      <c r="A18" s="9" t="s">
        <v>20</v>
      </c>
      <c r="B18" s="10">
        <v>1428</v>
      </c>
      <c r="C18" s="10">
        <v>0</v>
      </c>
      <c r="D18" s="10">
        <v>2</v>
      </c>
      <c r="E18" s="10">
        <v>41</v>
      </c>
      <c r="F18" s="10">
        <v>7512211.1851744372</v>
      </c>
      <c r="G18" s="10">
        <v>1430</v>
      </c>
      <c r="H18" s="10">
        <v>2</v>
      </c>
      <c r="I18" s="10">
        <v>3</v>
      </c>
      <c r="J18" s="10">
        <v>1622</v>
      </c>
      <c r="K18" s="10">
        <v>13395441.917632751</v>
      </c>
    </row>
    <row r="19" spans="1:11" x14ac:dyDescent="0.35">
      <c r="A19" s="9" t="s">
        <v>45</v>
      </c>
      <c r="B19" s="10">
        <v>1287</v>
      </c>
      <c r="C19" s="10">
        <v>0</v>
      </c>
      <c r="D19" s="10">
        <v>2</v>
      </c>
      <c r="E19" s="10">
        <v>1196</v>
      </c>
      <c r="F19" s="10">
        <v>27027994.608759265</v>
      </c>
      <c r="G19" s="10">
        <v>1235</v>
      </c>
      <c r="H19" s="10">
        <v>1</v>
      </c>
      <c r="I19" s="10">
        <v>3</v>
      </c>
      <c r="J19" s="10">
        <v>881</v>
      </c>
      <c r="K19" s="10">
        <v>26636902.010980774</v>
      </c>
    </row>
    <row r="20" spans="1:11" x14ac:dyDescent="0.35">
      <c r="A20" s="9" t="s">
        <v>47</v>
      </c>
      <c r="B20" s="10">
        <v>1031</v>
      </c>
      <c r="C20" s="10">
        <v>1</v>
      </c>
      <c r="D20" s="10">
        <v>3</v>
      </c>
      <c r="E20" s="10">
        <v>941</v>
      </c>
      <c r="F20" s="10">
        <v>15102559.791172484</v>
      </c>
      <c r="G20" s="10">
        <v>1030</v>
      </c>
      <c r="H20" s="10">
        <v>2</v>
      </c>
      <c r="I20" s="10">
        <v>5</v>
      </c>
      <c r="J20" s="10">
        <v>966</v>
      </c>
      <c r="K20" s="10">
        <v>15824748.753173972</v>
      </c>
    </row>
    <row r="21" spans="1:11" x14ac:dyDescent="0.35">
      <c r="A21" s="9" t="s">
        <v>49</v>
      </c>
      <c r="B21" s="10">
        <v>954</v>
      </c>
      <c r="C21" s="10">
        <v>0</v>
      </c>
      <c r="D21" s="10">
        <v>2</v>
      </c>
      <c r="E21" s="10">
        <v>607</v>
      </c>
      <c r="F21" s="10">
        <v>15734908.735146243</v>
      </c>
      <c r="G21" s="10">
        <v>911</v>
      </c>
      <c r="H21" s="10">
        <v>3</v>
      </c>
      <c r="I21" s="10">
        <v>3</v>
      </c>
      <c r="J21" s="10">
        <v>657</v>
      </c>
      <c r="K21" s="10">
        <v>10910855.575781677</v>
      </c>
    </row>
    <row r="22" spans="1:11" x14ac:dyDescent="0.35">
      <c r="A22" s="9" t="s">
        <v>51</v>
      </c>
      <c r="B22" s="10">
        <v>2784</v>
      </c>
      <c r="C22" s="10">
        <v>116</v>
      </c>
      <c r="D22" s="10">
        <v>10</v>
      </c>
      <c r="E22" s="10">
        <v>1911</v>
      </c>
      <c r="F22" s="10">
        <v>52792789.530242719</v>
      </c>
      <c r="G22" s="10">
        <v>2902</v>
      </c>
      <c r="H22" s="10">
        <v>171</v>
      </c>
      <c r="I22" s="10">
        <v>10</v>
      </c>
      <c r="J22" s="10">
        <v>2097</v>
      </c>
      <c r="K22" s="10">
        <v>58761430.803304039</v>
      </c>
    </row>
    <row r="23" spans="1:11" x14ac:dyDescent="0.35">
      <c r="A23" s="9" t="s">
        <v>53</v>
      </c>
      <c r="B23" s="10">
        <v>1445</v>
      </c>
      <c r="C23" s="10">
        <v>0</v>
      </c>
      <c r="D23" s="10">
        <v>2</v>
      </c>
      <c r="E23" s="10">
        <v>1146</v>
      </c>
      <c r="F23" s="10">
        <v>29359803.28090911</v>
      </c>
      <c r="G23" s="10">
        <v>1368</v>
      </c>
      <c r="H23" s="10">
        <v>3</v>
      </c>
      <c r="I23" s="10">
        <v>1</v>
      </c>
      <c r="J23" s="10">
        <v>1135</v>
      </c>
      <c r="K23" s="10">
        <v>11582816.775124433</v>
      </c>
    </row>
    <row r="24" spans="1:11" x14ac:dyDescent="0.35">
      <c r="A24" s="9" t="s">
        <v>55</v>
      </c>
      <c r="B24" s="10">
        <v>2991</v>
      </c>
      <c r="C24" s="10">
        <v>9</v>
      </c>
      <c r="D24" s="10">
        <v>12</v>
      </c>
      <c r="E24" s="10">
        <v>2495</v>
      </c>
      <c r="F24" s="10">
        <v>57514764.250181429</v>
      </c>
      <c r="G24" s="10">
        <v>2969</v>
      </c>
      <c r="H24" s="10">
        <v>14</v>
      </c>
      <c r="I24" s="10">
        <v>10</v>
      </c>
      <c r="J24" s="10">
        <v>2229</v>
      </c>
      <c r="K24" s="10">
        <v>57579834.233493693</v>
      </c>
    </row>
    <row r="25" spans="1:11" x14ac:dyDescent="0.35">
      <c r="A25" s="9" t="s">
        <v>67</v>
      </c>
      <c r="B25" s="10">
        <v>555</v>
      </c>
      <c r="C25" s="10">
        <v>3</v>
      </c>
      <c r="D25" s="10">
        <v>1</v>
      </c>
      <c r="E25" s="10">
        <v>453</v>
      </c>
      <c r="F25" s="10">
        <v>8321119.8683109106</v>
      </c>
      <c r="G25" s="10">
        <v>544</v>
      </c>
      <c r="H25" s="10">
        <v>4</v>
      </c>
      <c r="I25" s="10">
        <v>1</v>
      </c>
      <c r="J25" s="10">
        <v>501</v>
      </c>
      <c r="K25" s="10">
        <v>9053768.2708089184</v>
      </c>
    </row>
    <row r="26" spans="1:11" x14ac:dyDescent="0.35">
      <c r="A26" s="9" t="s">
        <v>74</v>
      </c>
      <c r="B26" s="10">
        <v>1705</v>
      </c>
      <c r="C26" s="10">
        <v>6</v>
      </c>
      <c r="D26" s="10">
        <v>1</v>
      </c>
      <c r="E26" s="10">
        <v>1248</v>
      </c>
      <c r="F26" s="10">
        <v>22879391.702904098</v>
      </c>
      <c r="G26" s="10">
        <v>1739</v>
      </c>
      <c r="H26" s="10">
        <v>11</v>
      </c>
      <c r="I26" s="10">
        <v>2</v>
      </c>
      <c r="J26" s="10">
        <v>1298</v>
      </c>
      <c r="K26" s="10">
        <v>23681600.887948416</v>
      </c>
    </row>
    <row r="27" spans="1:11" x14ac:dyDescent="0.35">
      <c r="A27" s="9" t="s">
        <v>70</v>
      </c>
      <c r="B27" s="10">
        <v>860</v>
      </c>
      <c r="C27" s="10">
        <v>4</v>
      </c>
      <c r="D27" s="10">
        <v>1</v>
      </c>
      <c r="E27" s="10">
        <v>806</v>
      </c>
      <c r="F27" s="10">
        <v>10369757.486323014</v>
      </c>
      <c r="G27" s="10">
        <v>878</v>
      </c>
      <c r="H27" s="10">
        <v>8</v>
      </c>
      <c r="I27" s="10">
        <v>1</v>
      </c>
      <c r="J27" s="10">
        <v>740</v>
      </c>
      <c r="K27" s="10">
        <v>9476804.7699170522</v>
      </c>
    </row>
    <row r="28" spans="1:11" x14ac:dyDescent="0.35">
      <c r="A28" s="9" t="s">
        <v>72</v>
      </c>
      <c r="B28" s="10">
        <v>893</v>
      </c>
      <c r="C28" s="10">
        <v>1</v>
      </c>
      <c r="D28" s="10">
        <v>1</v>
      </c>
      <c r="E28" s="10">
        <v>671</v>
      </c>
      <c r="F28" s="10">
        <v>10593685.684289929</v>
      </c>
      <c r="G28" s="10">
        <v>888</v>
      </c>
      <c r="H28" s="10">
        <v>5</v>
      </c>
      <c r="I28" s="10">
        <v>1</v>
      </c>
      <c r="J28" s="10">
        <v>837</v>
      </c>
      <c r="K28" s="10">
        <v>12126669.665737486</v>
      </c>
    </row>
    <row r="29" spans="1:11" x14ac:dyDescent="0.35">
      <c r="A29" s="9" t="s">
        <v>79</v>
      </c>
      <c r="B29" s="10">
        <v>236</v>
      </c>
      <c r="C29" s="10">
        <v>1</v>
      </c>
      <c r="D29" s="10">
        <v>0</v>
      </c>
      <c r="E29" s="10">
        <v>183</v>
      </c>
      <c r="F29" s="10">
        <v>3161051.6615617769</v>
      </c>
      <c r="G29" s="10">
        <v>231</v>
      </c>
      <c r="H29" s="10">
        <v>1</v>
      </c>
      <c r="I29" s="10">
        <v>2</v>
      </c>
      <c r="J29" s="10">
        <v>176</v>
      </c>
      <c r="K29" s="10">
        <v>2535906.26679195</v>
      </c>
    </row>
    <row r="30" spans="1:11" x14ac:dyDescent="0.35">
      <c r="A30" s="9" t="s">
        <v>109</v>
      </c>
      <c r="B30" s="10">
        <v>1672</v>
      </c>
      <c r="C30" s="10">
        <v>1</v>
      </c>
      <c r="D30" s="10">
        <v>5</v>
      </c>
      <c r="E30" s="10">
        <v>1411</v>
      </c>
      <c r="F30" s="10">
        <v>26915593.394559879</v>
      </c>
      <c r="G30" s="10">
        <v>1663</v>
      </c>
      <c r="H30" s="10">
        <v>9</v>
      </c>
      <c r="I30" s="10">
        <v>6</v>
      </c>
      <c r="J30" s="10">
        <v>1297</v>
      </c>
      <c r="K30" s="10">
        <v>22506648.705730204</v>
      </c>
    </row>
    <row r="31" spans="1:11" x14ac:dyDescent="0.35">
      <c r="A31" s="9" t="s">
        <v>111</v>
      </c>
      <c r="B31" s="10">
        <v>873</v>
      </c>
      <c r="C31" s="10">
        <v>1</v>
      </c>
      <c r="D31" s="10">
        <v>1</v>
      </c>
      <c r="E31" s="10">
        <v>725</v>
      </c>
      <c r="F31" s="10">
        <v>17367448.012160983</v>
      </c>
      <c r="G31" s="10">
        <v>870</v>
      </c>
      <c r="H31" s="10">
        <v>1</v>
      </c>
      <c r="I31" s="10">
        <v>1</v>
      </c>
      <c r="J31" s="10">
        <v>624</v>
      </c>
      <c r="K31" s="10">
        <v>18114098.002767928</v>
      </c>
    </row>
    <row r="32" spans="1:11" x14ac:dyDescent="0.35">
      <c r="A32" s="9" t="s">
        <v>113</v>
      </c>
      <c r="B32" s="10">
        <v>1133</v>
      </c>
      <c r="C32" s="10">
        <v>0</v>
      </c>
      <c r="D32" s="10">
        <v>1</v>
      </c>
      <c r="E32" s="10">
        <v>662</v>
      </c>
      <c r="F32" s="10">
        <v>19051561.870875113</v>
      </c>
      <c r="G32" s="10">
        <v>1065</v>
      </c>
      <c r="H32" s="10">
        <v>2</v>
      </c>
      <c r="I32" s="10">
        <v>1</v>
      </c>
      <c r="J32" s="10">
        <v>827</v>
      </c>
      <c r="K32" s="10">
        <v>17747943.348565217</v>
      </c>
    </row>
    <row r="33" spans="1:11" x14ac:dyDescent="0.35">
      <c r="A33" s="9" t="s">
        <v>115</v>
      </c>
      <c r="B33" s="10">
        <v>1119</v>
      </c>
      <c r="C33" s="10">
        <v>0</v>
      </c>
      <c r="D33" s="10">
        <v>3</v>
      </c>
      <c r="E33" s="10">
        <v>970</v>
      </c>
      <c r="F33" s="10">
        <v>24407338.796157703</v>
      </c>
      <c r="G33" s="10">
        <v>1117</v>
      </c>
      <c r="H33" s="10">
        <v>2</v>
      </c>
      <c r="I33" s="10">
        <v>2</v>
      </c>
      <c r="J33" s="10">
        <v>832</v>
      </c>
      <c r="K33" s="10">
        <v>24181368.527279563</v>
      </c>
    </row>
    <row r="34" spans="1:11" x14ac:dyDescent="0.35">
      <c r="A34" s="9" t="s">
        <v>16</v>
      </c>
      <c r="B34" s="10">
        <v>1500</v>
      </c>
      <c r="C34" s="10">
        <v>1</v>
      </c>
      <c r="D34" s="10">
        <v>5</v>
      </c>
      <c r="E34" s="10">
        <v>1121</v>
      </c>
      <c r="F34" s="10">
        <v>36449833.351521991</v>
      </c>
      <c r="G34" s="10">
        <v>1459</v>
      </c>
      <c r="H34" s="10">
        <v>4</v>
      </c>
      <c r="I34" s="10">
        <v>5</v>
      </c>
      <c r="J34" s="10">
        <v>1185</v>
      </c>
      <c r="K34" s="10">
        <v>34386413.695715845</v>
      </c>
    </row>
    <row r="35" spans="1:11" x14ac:dyDescent="0.35">
      <c r="A35" s="9" t="s">
        <v>18</v>
      </c>
      <c r="B35" s="10">
        <v>693</v>
      </c>
      <c r="C35" s="10">
        <v>0</v>
      </c>
      <c r="D35" s="10">
        <v>2</v>
      </c>
      <c r="E35" s="10">
        <v>479</v>
      </c>
      <c r="F35" s="10">
        <v>13310870.256587757</v>
      </c>
      <c r="G35" s="10">
        <v>679</v>
      </c>
      <c r="H35" s="10">
        <v>0</v>
      </c>
      <c r="I35" s="10">
        <v>5</v>
      </c>
      <c r="J35" s="10">
        <v>520</v>
      </c>
      <c r="K35" s="10">
        <v>14130527.972239308</v>
      </c>
    </row>
    <row r="36" spans="1:11" x14ac:dyDescent="0.35">
      <c r="A36" s="9" t="s">
        <v>43</v>
      </c>
      <c r="B36" s="10">
        <v>1963</v>
      </c>
      <c r="C36" s="10">
        <v>0</v>
      </c>
      <c r="D36" s="10">
        <v>10</v>
      </c>
      <c r="E36" s="10">
        <v>1549</v>
      </c>
      <c r="F36" s="10">
        <v>42702953.094052374</v>
      </c>
      <c r="G36" s="10">
        <v>1943</v>
      </c>
      <c r="H36" s="10">
        <v>6</v>
      </c>
      <c r="I36" s="10">
        <v>11</v>
      </c>
      <c r="J36" s="10">
        <v>1571</v>
      </c>
      <c r="K36" s="10">
        <v>42991561.47800532</v>
      </c>
    </row>
    <row r="37" spans="1:11" x14ac:dyDescent="0.35">
      <c r="A37" s="9" t="s">
        <v>152</v>
      </c>
      <c r="B37" s="10">
        <v>845</v>
      </c>
      <c r="C37" s="10">
        <v>2</v>
      </c>
      <c r="D37" s="10">
        <v>1</v>
      </c>
      <c r="E37" s="10">
        <v>657</v>
      </c>
      <c r="F37" s="10">
        <v>14955957.56824052</v>
      </c>
      <c r="G37" s="10">
        <v>840</v>
      </c>
      <c r="H37" s="10">
        <v>1</v>
      </c>
      <c r="I37" s="10">
        <v>2</v>
      </c>
      <c r="J37" s="10">
        <v>887</v>
      </c>
      <c r="K37" s="10">
        <v>14128877.58695925</v>
      </c>
    </row>
    <row r="38" spans="1:11" x14ac:dyDescent="0.35">
      <c r="A38" s="9" t="s">
        <v>149</v>
      </c>
      <c r="B38" s="10">
        <v>689</v>
      </c>
      <c r="C38" s="10">
        <v>0</v>
      </c>
      <c r="D38" s="10">
        <v>1</v>
      </c>
      <c r="E38" s="10">
        <v>423</v>
      </c>
      <c r="F38" s="10">
        <v>11919577.193698112</v>
      </c>
      <c r="G38" s="10">
        <v>745</v>
      </c>
      <c r="H38" s="10">
        <v>1</v>
      </c>
      <c r="I38" s="10">
        <v>1</v>
      </c>
      <c r="J38" s="10">
        <v>746</v>
      </c>
      <c r="K38" s="10">
        <v>13624004.505409231</v>
      </c>
    </row>
    <row r="39" spans="1:11" x14ac:dyDescent="0.35">
      <c r="A39" s="9" t="s">
        <v>154</v>
      </c>
      <c r="B39" s="10">
        <v>1106</v>
      </c>
      <c r="C39" s="10">
        <v>6</v>
      </c>
      <c r="D39" s="10">
        <v>2</v>
      </c>
      <c r="E39" s="10">
        <v>861</v>
      </c>
      <c r="F39" s="10">
        <v>21458136.24003084</v>
      </c>
      <c r="G39" s="10">
        <v>1164</v>
      </c>
      <c r="H39" s="10">
        <v>7</v>
      </c>
      <c r="I39" s="10">
        <v>1</v>
      </c>
      <c r="J39" s="10">
        <v>465</v>
      </c>
      <c r="K39" s="10">
        <v>20541227.171415836</v>
      </c>
    </row>
    <row r="40" spans="1:11" x14ac:dyDescent="0.35">
      <c r="A40" s="9" t="s">
        <v>2</v>
      </c>
      <c r="B40" s="10">
        <v>1154</v>
      </c>
      <c r="C40" s="10">
        <v>38</v>
      </c>
      <c r="D40" s="10">
        <v>1</v>
      </c>
      <c r="E40" s="10">
        <v>803</v>
      </c>
      <c r="F40" s="10">
        <v>21107464.808607873</v>
      </c>
      <c r="G40" s="10">
        <v>1335</v>
      </c>
      <c r="H40" s="10">
        <v>120</v>
      </c>
      <c r="I40" s="10">
        <v>1</v>
      </c>
      <c r="J40" s="10">
        <v>811</v>
      </c>
      <c r="K40" s="10">
        <v>19115642.615416333</v>
      </c>
    </row>
    <row r="41" spans="1:11" x14ac:dyDescent="0.35">
      <c r="A41" s="9" t="s">
        <v>156</v>
      </c>
      <c r="B41" s="10">
        <v>1824</v>
      </c>
      <c r="C41" s="10">
        <v>45</v>
      </c>
      <c r="D41" s="10">
        <v>4</v>
      </c>
      <c r="E41" s="10">
        <v>1392</v>
      </c>
      <c r="F41" s="10">
        <v>32820003.555210747</v>
      </c>
      <c r="G41" s="10">
        <v>2418</v>
      </c>
      <c r="H41" s="10">
        <v>69</v>
      </c>
      <c r="I41" s="10">
        <v>5</v>
      </c>
      <c r="J41" s="10">
        <v>1575</v>
      </c>
      <c r="K41" s="10">
        <v>34893533.726597093</v>
      </c>
    </row>
    <row r="42" spans="1:11" x14ac:dyDescent="0.35">
      <c r="A42" s="9" t="s">
        <v>14</v>
      </c>
      <c r="B42" s="10">
        <v>629</v>
      </c>
      <c r="C42" s="10">
        <v>2</v>
      </c>
      <c r="D42" s="10">
        <v>6</v>
      </c>
      <c r="E42" s="10">
        <v>425</v>
      </c>
      <c r="F42" s="10">
        <v>13698654.037510132</v>
      </c>
      <c r="G42" s="10">
        <v>621</v>
      </c>
      <c r="H42" s="10">
        <v>1</v>
      </c>
      <c r="I42" s="10">
        <v>6</v>
      </c>
      <c r="J42" s="10">
        <v>447</v>
      </c>
      <c r="K42" s="10">
        <v>12519238.361120775</v>
      </c>
    </row>
    <row r="43" spans="1:11" x14ac:dyDescent="0.35">
      <c r="A43" s="9" t="s">
        <v>8</v>
      </c>
      <c r="B43" s="10">
        <v>1969</v>
      </c>
      <c r="C43" s="10">
        <v>2</v>
      </c>
      <c r="D43" s="10">
        <v>6</v>
      </c>
      <c r="E43" s="10">
        <v>2038</v>
      </c>
      <c r="F43" s="10">
        <v>38445948.814468734</v>
      </c>
      <c r="G43" s="10">
        <v>2064</v>
      </c>
      <c r="H43" s="10">
        <v>2</v>
      </c>
      <c r="I43" s="10">
        <v>6</v>
      </c>
      <c r="J43" s="10">
        <v>1950</v>
      </c>
      <c r="K43" s="10">
        <v>41918196.556400456</v>
      </c>
    </row>
    <row r="44" spans="1:11" x14ac:dyDescent="0.35">
      <c r="A44" s="9" t="s">
        <v>39</v>
      </c>
      <c r="B44" s="10">
        <v>876</v>
      </c>
      <c r="C44" s="10">
        <v>4</v>
      </c>
      <c r="D44" s="10">
        <v>4</v>
      </c>
      <c r="E44" s="10">
        <v>705</v>
      </c>
      <c r="F44" s="10">
        <v>26462235.347880993</v>
      </c>
      <c r="G44" s="10">
        <v>900</v>
      </c>
      <c r="H44" s="10">
        <v>3</v>
      </c>
      <c r="I44" s="10">
        <v>2</v>
      </c>
      <c r="J44" s="10">
        <v>803</v>
      </c>
      <c r="K44" s="10">
        <v>27157435.659359276</v>
      </c>
    </row>
    <row r="45" spans="1:11" x14ac:dyDescent="0.35">
      <c r="A45" s="9" t="s">
        <v>6</v>
      </c>
      <c r="B45" s="10">
        <v>1153</v>
      </c>
      <c r="C45" s="10">
        <v>0</v>
      </c>
      <c r="D45" s="10">
        <v>3</v>
      </c>
      <c r="E45" s="10">
        <v>903</v>
      </c>
      <c r="F45" s="10">
        <v>22902447.746424876</v>
      </c>
      <c r="G45" s="10">
        <v>1082</v>
      </c>
      <c r="H45" s="10">
        <v>0</v>
      </c>
      <c r="I45" s="10">
        <v>3</v>
      </c>
      <c r="J45" s="10">
        <v>919</v>
      </c>
      <c r="K45" s="10">
        <v>14174402.098842507</v>
      </c>
    </row>
    <row r="46" spans="1:11" x14ac:dyDescent="0.35">
      <c r="A46" s="9" t="s">
        <v>41</v>
      </c>
      <c r="B46" s="10">
        <v>847</v>
      </c>
      <c r="C46" s="10">
        <v>0</v>
      </c>
      <c r="D46" s="10">
        <v>5</v>
      </c>
      <c r="E46" s="10">
        <v>595</v>
      </c>
      <c r="F46" s="10">
        <v>22203549.116332825</v>
      </c>
      <c r="G46" s="10">
        <v>825</v>
      </c>
      <c r="H46" s="10">
        <v>3</v>
      </c>
      <c r="I46" s="10">
        <v>4</v>
      </c>
      <c r="J46" s="10">
        <v>651</v>
      </c>
      <c r="K46" s="10">
        <v>21668424.355895929</v>
      </c>
    </row>
    <row r="47" spans="1:11" x14ac:dyDescent="0.35">
      <c r="A47" s="9" t="s">
        <v>158</v>
      </c>
      <c r="B47" s="10">
        <v>658</v>
      </c>
      <c r="C47" s="10">
        <v>1</v>
      </c>
      <c r="D47" s="10">
        <v>10</v>
      </c>
      <c r="E47" s="10">
        <v>761</v>
      </c>
      <c r="F47" s="10">
        <v>13229112.238779062</v>
      </c>
      <c r="G47" s="10">
        <v>707</v>
      </c>
      <c r="H47" s="10">
        <v>2</v>
      </c>
      <c r="I47" s="10">
        <v>10</v>
      </c>
      <c r="J47" s="10">
        <v>560</v>
      </c>
      <c r="K47" s="10">
        <v>13892344.82190132</v>
      </c>
    </row>
    <row r="48" spans="1:11" x14ac:dyDescent="0.35">
      <c r="A48" s="9" t="s">
        <v>160</v>
      </c>
      <c r="B48" s="10">
        <v>691</v>
      </c>
      <c r="C48" s="10">
        <v>1</v>
      </c>
      <c r="D48" s="10">
        <v>1</v>
      </c>
      <c r="E48" s="10">
        <v>729</v>
      </c>
      <c r="F48" s="10">
        <v>12706768.574557343</v>
      </c>
      <c r="G48" s="10">
        <v>688</v>
      </c>
      <c r="H48" s="10">
        <v>0</v>
      </c>
      <c r="I48" s="10">
        <v>2</v>
      </c>
      <c r="J48" s="10">
        <v>713</v>
      </c>
      <c r="K48" s="10">
        <v>12158153.26136156</v>
      </c>
    </row>
    <row r="49" spans="1:11" x14ac:dyDescent="0.35">
      <c r="A49" s="9" t="s">
        <v>83</v>
      </c>
      <c r="B49" s="10">
        <v>1285</v>
      </c>
      <c r="C49" s="10">
        <v>8</v>
      </c>
      <c r="D49" s="10">
        <v>6</v>
      </c>
      <c r="E49" s="10">
        <v>1120</v>
      </c>
      <c r="F49" s="10">
        <v>43323385.421304703</v>
      </c>
      <c r="G49" s="10">
        <v>1242</v>
      </c>
      <c r="H49" s="10">
        <v>0</v>
      </c>
      <c r="I49" s="10">
        <v>4</v>
      </c>
      <c r="J49" s="10">
        <v>1078</v>
      </c>
      <c r="K49" s="10">
        <v>37265260.436432607</v>
      </c>
    </row>
    <row r="50" spans="1:11" x14ac:dyDescent="0.35">
      <c r="A50" s="9" t="s">
        <v>202</v>
      </c>
      <c r="B50" s="10">
        <v>427</v>
      </c>
      <c r="C50" s="10">
        <v>0</v>
      </c>
      <c r="D50" s="10">
        <v>2</v>
      </c>
      <c r="E50" s="10">
        <v>451</v>
      </c>
      <c r="F50" s="10">
        <v>7674705.4629659308</v>
      </c>
      <c r="G50" s="10">
        <v>434</v>
      </c>
      <c r="H50" s="10">
        <v>0</v>
      </c>
      <c r="I50" s="10">
        <v>1</v>
      </c>
      <c r="J50" s="10">
        <v>484</v>
      </c>
      <c r="K50" s="10">
        <v>6161407.6858986113</v>
      </c>
    </row>
    <row r="51" spans="1:11" x14ac:dyDescent="0.35">
      <c r="A51" s="9" t="s">
        <v>31</v>
      </c>
      <c r="B51" s="10">
        <v>862</v>
      </c>
      <c r="C51" s="10">
        <v>0</v>
      </c>
      <c r="D51" s="10">
        <v>4</v>
      </c>
      <c r="E51" s="10">
        <v>968</v>
      </c>
      <c r="F51" s="10">
        <v>19117456.997472573</v>
      </c>
      <c r="G51" s="10">
        <v>914</v>
      </c>
      <c r="H51" s="10">
        <v>2</v>
      </c>
      <c r="I51" s="10">
        <v>7</v>
      </c>
      <c r="J51" s="10">
        <v>881</v>
      </c>
      <c r="K51" s="10">
        <v>17869965.656653393</v>
      </c>
    </row>
    <row r="52" spans="1:11" x14ac:dyDescent="0.35">
      <c r="A52" s="9" t="s">
        <v>33</v>
      </c>
      <c r="B52" s="10">
        <v>1307</v>
      </c>
      <c r="C52" s="10">
        <v>4</v>
      </c>
      <c r="D52" s="10">
        <v>12</v>
      </c>
      <c r="E52" s="10">
        <v>939</v>
      </c>
      <c r="F52" s="10">
        <v>25734348.457785707</v>
      </c>
      <c r="G52" s="10">
        <v>1356</v>
      </c>
      <c r="H52" s="10">
        <v>3</v>
      </c>
      <c r="I52" s="10">
        <v>12</v>
      </c>
      <c r="J52" s="10">
        <v>1045</v>
      </c>
      <c r="K52" s="10">
        <v>32049677.103434991</v>
      </c>
    </row>
    <row r="53" spans="1:11" x14ac:dyDescent="0.35">
      <c r="A53" s="9" t="s">
        <v>85</v>
      </c>
      <c r="B53" s="10">
        <v>482</v>
      </c>
      <c r="C53" s="10">
        <v>0</v>
      </c>
      <c r="D53" s="10">
        <v>5</v>
      </c>
      <c r="E53" s="10">
        <v>349</v>
      </c>
      <c r="F53" s="10">
        <v>13719210.446378822</v>
      </c>
      <c r="G53" s="10">
        <v>483</v>
      </c>
      <c r="H53" s="10">
        <v>1</v>
      </c>
      <c r="I53" s="10">
        <v>6</v>
      </c>
      <c r="J53" s="10">
        <v>360</v>
      </c>
      <c r="K53" s="10">
        <v>16535390.401304321</v>
      </c>
    </row>
    <row r="54" spans="1:11" x14ac:dyDescent="0.35">
      <c r="A54" s="9" t="s">
        <v>81</v>
      </c>
      <c r="B54" s="10">
        <v>444</v>
      </c>
      <c r="C54" s="10">
        <v>0</v>
      </c>
      <c r="D54" s="10">
        <v>7</v>
      </c>
      <c r="E54" s="10">
        <v>292</v>
      </c>
      <c r="F54" s="10">
        <v>15256433.802802257</v>
      </c>
      <c r="G54" s="10">
        <v>456</v>
      </c>
      <c r="H54" s="10">
        <v>0</v>
      </c>
      <c r="I54" s="10">
        <v>4</v>
      </c>
      <c r="J54" s="10">
        <v>305</v>
      </c>
      <c r="K54" s="10">
        <v>12078370.394055249</v>
      </c>
    </row>
    <row r="55" spans="1:11" x14ac:dyDescent="0.35">
      <c r="A55" s="9" t="s">
        <v>87</v>
      </c>
      <c r="B55" s="10">
        <v>427</v>
      </c>
      <c r="C55" s="10">
        <v>9</v>
      </c>
      <c r="D55" s="10">
        <v>2</v>
      </c>
      <c r="E55" s="10">
        <v>381</v>
      </c>
      <c r="F55" s="10">
        <v>12039200.120742671</v>
      </c>
      <c r="G55" s="10">
        <v>431</v>
      </c>
      <c r="H55" s="10">
        <v>1</v>
      </c>
      <c r="I55" s="10">
        <v>4</v>
      </c>
      <c r="J55" s="10">
        <v>332</v>
      </c>
      <c r="K55" s="10">
        <v>10518219.170153208</v>
      </c>
    </row>
    <row r="56" spans="1:11" x14ac:dyDescent="0.35">
      <c r="A56" s="9" t="s">
        <v>166</v>
      </c>
      <c r="B56" s="10">
        <v>1130</v>
      </c>
      <c r="C56" s="10">
        <v>1</v>
      </c>
      <c r="D56" s="10">
        <v>1</v>
      </c>
      <c r="E56" s="10">
        <v>935</v>
      </c>
      <c r="F56" s="10">
        <v>26234347.209597055</v>
      </c>
      <c r="G56" s="10">
        <v>1104</v>
      </c>
      <c r="H56" s="10">
        <v>2</v>
      </c>
      <c r="I56" s="10">
        <v>0</v>
      </c>
      <c r="J56" s="10">
        <v>925</v>
      </c>
      <c r="K56" s="10">
        <v>24717928.535999633</v>
      </c>
    </row>
    <row r="57" spans="1:11" x14ac:dyDescent="0.35">
      <c r="A57" s="9" t="s">
        <v>93</v>
      </c>
      <c r="B57" s="10">
        <v>952</v>
      </c>
      <c r="C57" s="10">
        <v>7</v>
      </c>
      <c r="D57" s="10">
        <v>3</v>
      </c>
      <c r="E57" s="10">
        <v>1150</v>
      </c>
      <c r="F57" s="10">
        <v>27600521.52657304</v>
      </c>
      <c r="G57" s="10">
        <v>995</v>
      </c>
      <c r="H57" s="10">
        <v>4</v>
      </c>
      <c r="I57" s="10">
        <v>1</v>
      </c>
      <c r="J57" s="10">
        <v>889</v>
      </c>
      <c r="K57" s="10">
        <v>23324427.700908128</v>
      </c>
    </row>
    <row r="58" spans="1:11" x14ac:dyDescent="0.35">
      <c r="A58" s="9" t="s">
        <v>95</v>
      </c>
      <c r="B58" s="10">
        <v>2223</v>
      </c>
      <c r="C58" s="10">
        <v>31</v>
      </c>
      <c r="D58" s="10">
        <v>7</v>
      </c>
      <c r="E58" s="10">
        <v>1251</v>
      </c>
      <c r="F58" s="10">
        <v>35787847.640754372</v>
      </c>
      <c r="G58" s="10">
        <v>2076</v>
      </c>
      <c r="H58" s="10">
        <v>6</v>
      </c>
      <c r="I58" s="10">
        <v>8</v>
      </c>
      <c r="J58" s="10">
        <v>1445</v>
      </c>
      <c r="K58" s="10">
        <v>46682576.652989939</v>
      </c>
    </row>
    <row r="59" spans="1:11" x14ac:dyDescent="0.35">
      <c r="A59" s="9" t="s">
        <v>174</v>
      </c>
      <c r="B59" s="10">
        <v>681</v>
      </c>
      <c r="C59" s="10">
        <v>1</v>
      </c>
      <c r="D59" s="10">
        <v>0</v>
      </c>
      <c r="E59" s="10">
        <v>547</v>
      </c>
      <c r="F59" s="10">
        <v>12957556.739625184</v>
      </c>
      <c r="G59" s="10">
        <v>682</v>
      </c>
      <c r="H59" s="10">
        <v>3</v>
      </c>
      <c r="I59" s="10">
        <v>0</v>
      </c>
      <c r="J59" s="10">
        <v>534</v>
      </c>
      <c r="K59" s="10">
        <v>11099238.69559554</v>
      </c>
    </row>
    <row r="60" spans="1:11" x14ac:dyDescent="0.35">
      <c r="A60" s="9" t="s">
        <v>99</v>
      </c>
      <c r="B60" s="10">
        <v>873</v>
      </c>
      <c r="C60" s="10">
        <v>2</v>
      </c>
      <c r="D60" s="10">
        <v>5</v>
      </c>
      <c r="E60" s="10">
        <v>674</v>
      </c>
      <c r="F60" s="10">
        <v>18801809.362829365</v>
      </c>
      <c r="G60" s="10">
        <v>867</v>
      </c>
      <c r="H60" s="10">
        <v>4</v>
      </c>
      <c r="I60" s="10">
        <v>5</v>
      </c>
      <c r="J60" s="10">
        <v>695</v>
      </c>
      <c r="K60" s="10">
        <v>19739544.691658638</v>
      </c>
    </row>
    <row r="61" spans="1:11" x14ac:dyDescent="0.35">
      <c r="A61" s="9" t="s">
        <v>172</v>
      </c>
      <c r="B61" s="10">
        <v>791</v>
      </c>
      <c r="C61" s="10">
        <v>1</v>
      </c>
      <c r="D61" s="10">
        <v>1</v>
      </c>
      <c r="E61" s="10">
        <v>665</v>
      </c>
      <c r="F61" s="10">
        <v>15612754.366214955</v>
      </c>
      <c r="G61" s="10">
        <v>750</v>
      </c>
      <c r="H61" s="10">
        <v>3</v>
      </c>
      <c r="I61" s="10">
        <v>1</v>
      </c>
      <c r="J61" s="10">
        <v>636</v>
      </c>
      <c r="K61" s="10">
        <v>12105700.997142749</v>
      </c>
    </row>
    <row r="62" spans="1:11" x14ac:dyDescent="0.35">
      <c r="A62" s="9" t="s">
        <v>168</v>
      </c>
      <c r="B62" s="10">
        <v>1079</v>
      </c>
      <c r="C62" s="10">
        <v>3</v>
      </c>
      <c r="D62" s="10">
        <v>1</v>
      </c>
      <c r="E62" s="10">
        <v>1066</v>
      </c>
      <c r="F62" s="10">
        <v>26124638.488840576</v>
      </c>
      <c r="G62" s="10">
        <v>1104</v>
      </c>
      <c r="H62" s="10">
        <v>5</v>
      </c>
      <c r="I62" s="10">
        <v>0</v>
      </c>
      <c r="J62" s="10">
        <v>986</v>
      </c>
      <c r="K62" s="10">
        <v>25947240.738314714</v>
      </c>
    </row>
    <row r="63" spans="1:11" x14ac:dyDescent="0.35">
      <c r="A63" s="9" t="s">
        <v>101</v>
      </c>
      <c r="B63" s="10">
        <v>1337</v>
      </c>
      <c r="C63" s="10">
        <v>5</v>
      </c>
      <c r="D63" s="10">
        <v>4</v>
      </c>
      <c r="E63" s="10">
        <v>1352</v>
      </c>
      <c r="F63" s="10">
        <v>32375875.294686958</v>
      </c>
      <c r="G63" s="10">
        <v>1425</v>
      </c>
      <c r="H63" s="10">
        <v>3</v>
      </c>
      <c r="I63" s="10">
        <v>4</v>
      </c>
      <c r="J63" s="10">
        <v>1510</v>
      </c>
      <c r="K63" s="10">
        <v>31385541.692812439</v>
      </c>
    </row>
    <row r="64" spans="1:11" x14ac:dyDescent="0.35">
      <c r="A64" s="9" t="s">
        <v>103</v>
      </c>
      <c r="B64" s="10">
        <v>781</v>
      </c>
      <c r="C64" s="10">
        <v>4</v>
      </c>
      <c r="D64" s="10">
        <v>5</v>
      </c>
      <c r="E64" s="10">
        <v>740</v>
      </c>
      <c r="F64" s="10">
        <v>16921073.286912169</v>
      </c>
      <c r="G64" s="10">
        <v>771</v>
      </c>
      <c r="H64" s="10">
        <v>1</v>
      </c>
      <c r="I64" s="10">
        <v>4</v>
      </c>
      <c r="J64" s="10">
        <v>685</v>
      </c>
      <c r="K64" s="10">
        <v>17447941.078375421</v>
      </c>
    </row>
    <row r="65" spans="1:11" x14ac:dyDescent="0.35">
      <c r="A65" s="9" t="s">
        <v>105</v>
      </c>
      <c r="B65" s="10">
        <v>693</v>
      </c>
      <c r="C65" s="10">
        <v>3</v>
      </c>
      <c r="D65" s="10">
        <v>5</v>
      </c>
      <c r="E65" s="10">
        <v>437</v>
      </c>
      <c r="F65" s="10">
        <v>19757041.776899666</v>
      </c>
      <c r="G65" s="10">
        <v>651</v>
      </c>
      <c r="H65" s="10">
        <v>6</v>
      </c>
      <c r="I65" s="10">
        <v>5</v>
      </c>
      <c r="J65" s="10">
        <v>458</v>
      </c>
      <c r="K65" s="10">
        <v>19448677.858427402</v>
      </c>
    </row>
    <row r="66" spans="1:11" x14ac:dyDescent="0.35">
      <c r="A66" s="9" t="s">
        <v>24</v>
      </c>
      <c r="B66" s="10">
        <v>2020</v>
      </c>
      <c r="C66" s="10">
        <v>5</v>
      </c>
      <c r="D66" s="10">
        <v>9</v>
      </c>
      <c r="E66" s="10">
        <v>1572</v>
      </c>
      <c r="F66" s="10">
        <v>47114478.212284766</v>
      </c>
      <c r="G66" s="10">
        <v>1970</v>
      </c>
      <c r="H66" s="10">
        <v>4</v>
      </c>
      <c r="I66" s="10">
        <v>10</v>
      </c>
      <c r="J66" s="10">
        <v>1606</v>
      </c>
      <c r="K66" s="10">
        <v>62697973.94385463</v>
      </c>
    </row>
    <row r="67" spans="1:11" x14ac:dyDescent="0.35">
      <c r="A67" s="9" t="s">
        <v>27</v>
      </c>
      <c r="B67" s="10">
        <v>1624</v>
      </c>
      <c r="C67" s="10">
        <v>14</v>
      </c>
      <c r="D67" s="10">
        <v>8</v>
      </c>
      <c r="E67" s="10">
        <v>1081</v>
      </c>
      <c r="F67" s="10">
        <v>46229977.312252909</v>
      </c>
      <c r="G67" s="10">
        <v>1581</v>
      </c>
      <c r="H67" s="10">
        <v>8</v>
      </c>
      <c r="I67" s="10">
        <v>6</v>
      </c>
      <c r="J67" s="10">
        <v>1219</v>
      </c>
      <c r="K67" s="10">
        <v>45449660.687625058</v>
      </c>
    </row>
    <row r="68" spans="1:11" x14ac:dyDescent="0.35">
      <c r="A68" s="9" t="s">
        <v>29</v>
      </c>
      <c r="B68" s="10">
        <v>863</v>
      </c>
      <c r="C68" s="10">
        <v>2</v>
      </c>
      <c r="D68" s="10">
        <v>1</v>
      </c>
      <c r="E68" s="10">
        <v>688</v>
      </c>
      <c r="F68" s="10">
        <v>29968181.395187031</v>
      </c>
      <c r="G68" s="10">
        <v>883</v>
      </c>
      <c r="H68" s="10">
        <v>3</v>
      </c>
      <c r="I68" s="10">
        <v>1</v>
      </c>
      <c r="J68" s="10">
        <v>730</v>
      </c>
      <c r="K68" s="10">
        <v>30160380.248123996</v>
      </c>
    </row>
    <row r="69" spans="1:11" x14ac:dyDescent="0.35">
      <c r="A69" s="9" t="s">
        <v>57</v>
      </c>
      <c r="B69" s="10">
        <v>1862</v>
      </c>
      <c r="C69" s="10">
        <v>38</v>
      </c>
      <c r="D69" s="10">
        <v>13</v>
      </c>
      <c r="E69" s="10">
        <v>1274</v>
      </c>
      <c r="F69" s="10">
        <v>42307324.288243957</v>
      </c>
      <c r="G69" s="10">
        <v>2335</v>
      </c>
      <c r="H69" s="10">
        <v>366</v>
      </c>
      <c r="I69" s="10">
        <v>12</v>
      </c>
      <c r="J69" s="10">
        <v>1437</v>
      </c>
      <c r="K69" s="10">
        <v>45476168.730734654</v>
      </c>
    </row>
    <row r="70" spans="1:11" x14ac:dyDescent="0.35">
      <c r="A70" s="9" t="s">
        <v>137</v>
      </c>
      <c r="B70" s="10">
        <v>264</v>
      </c>
      <c r="C70" s="10">
        <v>1</v>
      </c>
      <c r="D70" s="10">
        <v>1</v>
      </c>
      <c r="E70" s="10">
        <v>249</v>
      </c>
      <c r="F70" s="10">
        <v>3303333.5893165562</v>
      </c>
      <c r="G70" s="10">
        <v>247</v>
      </c>
      <c r="H70" s="10">
        <v>0</v>
      </c>
      <c r="I70" s="10">
        <v>1</v>
      </c>
      <c r="J70" s="10">
        <v>415</v>
      </c>
      <c r="K70" s="10">
        <v>1088246.2504583341</v>
      </c>
    </row>
    <row r="71" spans="1:11" x14ac:dyDescent="0.35">
      <c r="A71" s="9" t="s">
        <v>10</v>
      </c>
      <c r="B71" s="10">
        <v>1755</v>
      </c>
      <c r="C71" s="10">
        <v>2</v>
      </c>
      <c r="D71" s="10">
        <v>7</v>
      </c>
      <c r="E71" s="10">
        <v>1626</v>
      </c>
      <c r="F71" s="10">
        <v>33805872.393411718</v>
      </c>
      <c r="G71" s="10">
        <v>1674</v>
      </c>
      <c r="H71" s="10">
        <v>6</v>
      </c>
      <c r="I71" s="10">
        <v>6</v>
      </c>
      <c r="J71" s="10">
        <v>1542</v>
      </c>
      <c r="K71" s="10">
        <v>32336066.762660287</v>
      </c>
    </row>
    <row r="72" spans="1:11" x14ac:dyDescent="0.35">
      <c r="A72" s="9" t="s">
        <v>12</v>
      </c>
      <c r="B72" s="10">
        <v>666</v>
      </c>
      <c r="C72" s="10">
        <v>1</v>
      </c>
      <c r="D72" s="10">
        <v>2</v>
      </c>
      <c r="E72" s="10">
        <v>533</v>
      </c>
      <c r="F72" s="10">
        <v>13264992.414578712</v>
      </c>
      <c r="G72" s="10">
        <v>732</v>
      </c>
      <c r="H72" s="10">
        <v>1</v>
      </c>
      <c r="I72" s="10">
        <v>3</v>
      </c>
      <c r="J72" s="10">
        <v>614</v>
      </c>
      <c r="K72" s="10">
        <v>15325394.688526897</v>
      </c>
    </row>
    <row r="73" spans="1:11" x14ac:dyDescent="0.35">
      <c r="A73" s="9" t="s">
        <v>162</v>
      </c>
      <c r="B73" s="10">
        <v>1342</v>
      </c>
      <c r="C73" s="10">
        <v>21</v>
      </c>
      <c r="D73" s="10">
        <v>5</v>
      </c>
      <c r="E73" s="10">
        <v>971</v>
      </c>
      <c r="F73" s="10">
        <v>22548489.861411422</v>
      </c>
      <c r="G73" s="10">
        <v>1369</v>
      </c>
      <c r="H73" s="10">
        <v>19</v>
      </c>
      <c r="I73" s="10">
        <v>4</v>
      </c>
      <c r="J73" s="10">
        <v>859</v>
      </c>
      <c r="K73" s="10">
        <v>21867582.03235082</v>
      </c>
    </row>
    <row r="74" spans="1:11" x14ac:dyDescent="0.35">
      <c r="A74" s="9" t="s">
        <v>63</v>
      </c>
      <c r="B74" s="10">
        <v>1396</v>
      </c>
      <c r="C74" s="10">
        <v>4</v>
      </c>
      <c r="D74" s="10">
        <v>5</v>
      </c>
      <c r="E74" s="10">
        <v>1380</v>
      </c>
      <c r="F74" s="10">
        <v>12696820.613842988</v>
      </c>
      <c r="G74" s="10">
        <v>1287</v>
      </c>
      <c r="H74" s="10">
        <v>1</v>
      </c>
      <c r="I74" s="10">
        <v>5</v>
      </c>
      <c r="J74" s="10">
        <v>597</v>
      </c>
      <c r="K74" s="10">
        <v>14511263.008932166</v>
      </c>
    </row>
    <row r="75" spans="1:11" x14ac:dyDescent="0.35">
      <c r="A75" s="9" t="s">
        <v>59</v>
      </c>
      <c r="B75" s="10">
        <v>1745</v>
      </c>
      <c r="C75" s="10">
        <v>5</v>
      </c>
      <c r="D75" s="10">
        <v>5</v>
      </c>
      <c r="E75" s="10">
        <v>1488</v>
      </c>
      <c r="F75" s="10">
        <v>38688418.739473499</v>
      </c>
      <c r="G75" s="10">
        <v>1737</v>
      </c>
      <c r="H75" s="10">
        <v>8</v>
      </c>
      <c r="I75" s="10">
        <v>4</v>
      </c>
      <c r="J75" s="10">
        <v>1229</v>
      </c>
      <c r="K75" s="10">
        <v>39831462.257459968</v>
      </c>
    </row>
    <row r="76" spans="1:11" x14ac:dyDescent="0.35">
      <c r="A76" s="9" t="s">
        <v>139</v>
      </c>
      <c r="B76" s="10">
        <v>490</v>
      </c>
      <c r="C76" s="10">
        <v>2</v>
      </c>
      <c r="D76" s="10">
        <v>2</v>
      </c>
      <c r="E76" s="10">
        <v>514</v>
      </c>
      <c r="F76" s="10">
        <v>8715480.3903808221</v>
      </c>
      <c r="G76" s="10">
        <v>517</v>
      </c>
      <c r="H76" s="10">
        <v>2</v>
      </c>
      <c r="I76" s="10">
        <v>1</v>
      </c>
      <c r="J76" s="10">
        <v>433</v>
      </c>
      <c r="K76" s="10">
        <v>8057116.8412494138</v>
      </c>
    </row>
    <row r="77" spans="1:11" x14ac:dyDescent="0.35">
      <c r="A77" s="9" t="s">
        <v>170</v>
      </c>
      <c r="B77" s="10">
        <v>897</v>
      </c>
      <c r="C77" s="10">
        <v>1</v>
      </c>
      <c r="D77" s="10">
        <v>1</v>
      </c>
      <c r="E77" s="10">
        <v>845</v>
      </c>
      <c r="F77" s="10">
        <v>13545098.441002436</v>
      </c>
      <c r="G77" s="10">
        <v>890</v>
      </c>
      <c r="H77" s="10">
        <v>2</v>
      </c>
      <c r="I77" s="10">
        <v>1</v>
      </c>
      <c r="J77" s="10">
        <v>999</v>
      </c>
      <c r="K77" s="10">
        <v>12597475.045724921</v>
      </c>
    </row>
    <row r="78" spans="1:11" x14ac:dyDescent="0.35">
      <c r="A78" s="9" t="s">
        <v>61</v>
      </c>
      <c r="B78" s="10">
        <v>688</v>
      </c>
      <c r="C78" s="10">
        <v>1</v>
      </c>
      <c r="D78" s="10">
        <v>4</v>
      </c>
      <c r="E78" s="10">
        <v>431</v>
      </c>
      <c r="F78" s="10">
        <v>8794172.8037036434</v>
      </c>
      <c r="G78" s="10">
        <v>654</v>
      </c>
      <c r="H78" s="10">
        <v>0</v>
      </c>
      <c r="I78" s="10">
        <v>3</v>
      </c>
      <c r="J78" s="10">
        <v>493</v>
      </c>
      <c r="K78" s="10">
        <v>12245132.80994164</v>
      </c>
    </row>
    <row r="79" spans="1:11" x14ac:dyDescent="0.35">
      <c r="A79" s="9" t="s">
        <v>129</v>
      </c>
      <c r="B79" s="10">
        <v>590</v>
      </c>
      <c r="C79" s="10">
        <v>3</v>
      </c>
      <c r="D79" s="10">
        <v>1</v>
      </c>
      <c r="E79" s="10">
        <v>709</v>
      </c>
      <c r="F79" s="10">
        <v>8938535.046445122</v>
      </c>
      <c r="G79" s="10">
        <v>599</v>
      </c>
      <c r="H79" s="10">
        <v>5</v>
      </c>
      <c r="I79" s="10">
        <v>1</v>
      </c>
      <c r="J79" s="10">
        <v>732</v>
      </c>
      <c r="K79" s="10">
        <v>10277085.972706931</v>
      </c>
    </row>
    <row r="80" spans="1:11" x14ac:dyDescent="0.35">
      <c r="A80" s="9" t="s">
        <v>35</v>
      </c>
      <c r="B80" s="10">
        <v>443</v>
      </c>
      <c r="C80" s="10">
        <v>3</v>
      </c>
      <c r="D80" s="10">
        <v>5</v>
      </c>
      <c r="E80" s="10">
        <v>413</v>
      </c>
      <c r="F80" s="10">
        <v>10267447.870031901</v>
      </c>
      <c r="G80" s="10">
        <v>449</v>
      </c>
      <c r="H80" s="10">
        <v>0</v>
      </c>
      <c r="I80" s="10">
        <v>7</v>
      </c>
      <c r="J80" s="10">
        <v>480</v>
      </c>
      <c r="K80" s="10">
        <v>11211811.326490723</v>
      </c>
    </row>
    <row r="81" spans="1:11" x14ac:dyDescent="0.35">
      <c r="A81" s="9" t="s">
        <v>107</v>
      </c>
      <c r="B81" s="10">
        <v>966</v>
      </c>
      <c r="C81" s="10">
        <v>1</v>
      </c>
      <c r="D81" s="10">
        <v>4</v>
      </c>
      <c r="E81" s="10">
        <v>756</v>
      </c>
      <c r="F81" s="10">
        <v>28811381.822914738</v>
      </c>
      <c r="G81" s="10">
        <v>953</v>
      </c>
      <c r="H81" s="10">
        <v>4</v>
      </c>
      <c r="I81" s="10">
        <v>3</v>
      </c>
      <c r="J81" s="10">
        <v>755</v>
      </c>
      <c r="K81" s="10">
        <v>29014112.452576768</v>
      </c>
    </row>
    <row r="82" spans="1:11" x14ac:dyDescent="0.35">
      <c r="A82" s="9" t="s">
        <v>37</v>
      </c>
      <c r="B82" s="10">
        <v>790</v>
      </c>
      <c r="C82" s="10">
        <v>2</v>
      </c>
      <c r="D82" s="10">
        <v>9</v>
      </c>
      <c r="E82" s="10">
        <v>687</v>
      </c>
      <c r="F82" s="10">
        <v>17376373.350340452</v>
      </c>
      <c r="G82" s="10">
        <v>772</v>
      </c>
      <c r="H82" s="10">
        <v>2</v>
      </c>
      <c r="I82" s="10">
        <v>10</v>
      </c>
      <c r="J82" s="10">
        <v>721</v>
      </c>
      <c r="K82" s="10">
        <v>17505873.817607421</v>
      </c>
    </row>
    <row r="83" spans="1:11" x14ac:dyDescent="0.35">
      <c r="A83" s="9" t="s">
        <v>76</v>
      </c>
      <c r="B83" s="10">
        <v>929</v>
      </c>
      <c r="C83" s="10">
        <v>0</v>
      </c>
      <c r="D83" s="10">
        <v>2</v>
      </c>
      <c r="E83" s="10">
        <v>879</v>
      </c>
      <c r="F83" s="10">
        <v>14290245.398241306</v>
      </c>
      <c r="G83" s="10">
        <v>964</v>
      </c>
      <c r="H83" s="10">
        <v>1</v>
      </c>
      <c r="I83" s="10">
        <v>2</v>
      </c>
      <c r="J83" s="10">
        <v>791</v>
      </c>
      <c r="K83" s="10">
        <v>14020057.900462007</v>
      </c>
    </row>
    <row r="84" spans="1:11" x14ac:dyDescent="0.35">
      <c r="A84" s="9" t="s">
        <v>65</v>
      </c>
      <c r="B84" s="10">
        <v>1017</v>
      </c>
      <c r="C84" s="10">
        <v>4</v>
      </c>
      <c r="D84" s="10">
        <v>4</v>
      </c>
      <c r="E84" s="10">
        <v>812</v>
      </c>
      <c r="F84" s="10">
        <v>16556444.499608569</v>
      </c>
      <c r="G84" s="10">
        <v>999</v>
      </c>
      <c r="H84" s="10">
        <v>1</v>
      </c>
      <c r="I84" s="10">
        <v>5</v>
      </c>
      <c r="J84" s="10">
        <v>891</v>
      </c>
      <c r="K84" s="10">
        <v>13094329.610911908</v>
      </c>
    </row>
    <row r="85" spans="1:11" x14ac:dyDescent="0.35">
      <c r="A85" s="9" t="s">
        <v>89</v>
      </c>
      <c r="B85" s="10">
        <v>746</v>
      </c>
      <c r="C85" s="10">
        <v>2</v>
      </c>
      <c r="D85" s="10">
        <v>5</v>
      </c>
      <c r="E85" s="10">
        <v>704</v>
      </c>
      <c r="F85" s="10">
        <v>16880084.510550667</v>
      </c>
      <c r="G85" s="10">
        <v>746</v>
      </c>
      <c r="H85" s="10">
        <v>2</v>
      </c>
      <c r="I85" s="10">
        <v>6</v>
      </c>
      <c r="J85" s="10">
        <v>749</v>
      </c>
      <c r="K85" s="10">
        <v>18305554.193984501</v>
      </c>
    </row>
    <row r="86" spans="1:11" x14ac:dyDescent="0.35">
      <c r="A86" s="9" t="s">
        <v>147</v>
      </c>
      <c r="B86" s="10">
        <v>568</v>
      </c>
      <c r="C86" s="10">
        <v>1</v>
      </c>
      <c r="D86" s="10">
        <v>1</v>
      </c>
      <c r="E86" s="10">
        <v>551</v>
      </c>
      <c r="F86" s="10">
        <v>8199813.1471998431</v>
      </c>
      <c r="G86" s="10">
        <v>568</v>
      </c>
      <c r="H86" s="10">
        <v>1</v>
      </c>
      <c r="I86" s="10">
        <v>1</v>
      </c>
      <c r="J86" s="10">
        <v>540</v>
      </c>
      <c r="K86" s="10">
        <v>8668989.4204564169</v>
      </c>
    </row>
    <row r="87" spans="1:11" x14ac:dyDescent="0.35">
      <c r="A87" s="9" t="s">
        <v>164</v>
      </c>
      <c r="B87" s="10">
        <v>1715</v>
      </c>
      <c r="C87" s="10">
        <v>5</v>
      </c>
      <c r="D87" s="10">
        <v>10</v>
      </c>
      <c r="E87" s="10">
        <v>1251</v>
      </c>
      <c r="F87" s="10">
        <v>32144265.812579334</v>
      </c>
      <c r="G87" s="10">
        <v>1754</v>
      </c>
      <c r="H87" s="10">
        <v>0</v>
      </c>
      <c r="I87" s="10">
        <v>10</v>
      </c>
      <c r="J87" s="10">
        <v>1290</v>
      </c>
      <c r="K87" s="10">
        <v>35301547.313618742</v>
      </c>
    </row>
    <row r="88" spans="1:11" x14ac:dyDescent="0.35">
      <c r="A88" s="9" t="s">
        <v>91</v>
      </c>
      <c r="B88" s="10">
        <v>662</v>
      </c>
      <c r="C88" s="10">
        <v>3</v>
      </c>
      <c r="D88" s="10">
        <v>3</v>
      </c>
      <c r="E88" s="10">
        <v>937</v>
      </c>
      <c r="F88" s="10">
        <v>9037128.4041979909</v>
      </c>
      <c r="G88" s="10">
        <v>561</v>
      </c>
      <c r="H88" s="10">
        <v>0</v>
      </c>
      <c r="I88" s="10">
        <v>3</v>
      </c>
      <c r="J88" s="10">
        <v>872</v>
      </c>
      <c r="K88" s="10">
        <v>7537881.091569989</v>
      </c>
    </row>
    <row r="89" spans="1:11" x14ac:dyDescent="0.35">
      <c r="A89" s="9" t="s">
        <v>97</v>
      </c>
      <c r="B89" s="10">
        <v>622</v>
      </c>
      <c r="C89" s="10">
        <v>10</v>
      </c>
      <c r="D89" s="10">
        <v>6</v>
      </c>
      <c r="E89" s="10">
        <v>570</v>
      </c>
      <c r="F89" s="10">
        <v>15900425.501327815</v>
      </c>
      <c r="G89" s="10">
        <v>631</v>
      </c>
      <c r="H89" s="10">
        <v>4</v>
      </c>
      <c r="I89" s="10">
        <v>7</v>
      </c>
      <c r="J89" s="10">
        <v>580</v>
      </c>
      <c r="K89" s="10">
        <v>16485262.08125736</v>
      </c>
    </row>
    <row r="90" spans="1:11" x14ac:dyDescent="0.35">
      <c r="A90" s="9" t="s">
        <v>78</v>
      </c>
      <c r="B90" s="10">
        <v>356</v>
      </c>
      <c r="C90" s="10">
        <v>1</v>
      </c>
      <c r="D90" s="10">
        <v>1</v>
      </c>
      <c r="E90" s="10">
        <v>313</v>
      </c>
      <c r="F90" s="10">
        <v>4623806.3159846626</v>
      </c>
      <c r="G90" s="10">
        <v>366</v>
      </c>
      <c r="H90" s="10">
        <v>2</v>
      </c>
      <c r="I90" s="10">
        <v>0</v>
      </c>
      <c r="J90" s="10">
        <v>309</v>
      </c>
      <c r="K90" s="10">
        <v>4055469.882370349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2026-08-13T16:24:02Z</dcterms:modified>
</cp:coreProperties>
</file>