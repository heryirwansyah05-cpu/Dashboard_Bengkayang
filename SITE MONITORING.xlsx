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N6" i="3" s="1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N10" i="3" s="1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N14" i="3" s="1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N17" i="3" s="1"/>
  <c r="O17" i="3"/>
  <c r="P17" i="3"/>
  <c r="S17" i="3"/>
  <c r="T17" i="3" s="1"/>
  <c r="F18" i="3"/>
  <c r="G18" i="3"/>
  <c r="I18" i="3"/>
  <c r="J18" i="3"/>
  <c r="L18" i="3"/>
  <c r="M18" i="3"/>
  <c r="N18" i="3" s="1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N21" i="3" s="1"/>
  <c r="O21" i="3"/>
  <c r="P21" i="3"/>
  <c r="S21" i="3"/>
  <c r="T21" i="3" s="1"/>
  <c r="F22" i="3"/>
  <c r="G22" i="3"/>
  <c r="I22" i="3"/>
  <c r="J22" i="3"/>
  <c r="L22" i="3"/>
  <c r="M22" i="3"/>
  <c r="N22" i="3" s="1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N25" i="3" s="1"/>
  <c r="O25" i="3"/>
  <c r="P25" i="3"/>
  <c r="S25" i="3"/>
  <c r="T25" i="3" s="1"/>
  <c r="F26" i="3"/>
  <c r="G26" i="3"/>
  <c r="I26" i="3"/>
  <c r="J26" i="3"/>
  <c r="L26" i="3"/>
  <c r="M26" i="3"/>
  <c r="N26" i="3" s="1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N29" i="3" s="1"/>
  <c r="O29" i="3"/>
  <c r="P29" i="3"/>
  <c r="S29" i="3"/>
  <c r="T29" i="3" s="1"/>
  <c r="F30" i="3"/>
  <c r="G30" i="3"/>
  <c r="I30" i="3"/>
  <c r="J30" i="3"/>
  <c r="L30" i="3"/>
  <c r="M30" i="3"/>
  <c r="N30" i="3" s="1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N33" i="3" s="1"/>
  <c r="O33" i="3"/>
  <c r="P33" i="3"/>
  <c r="S33" i="3"/>
  <c r="T33" i="3" s="1"/>
  <c r="F34" i="3"/>
  <c r="G34" i="3"/>
  <c r="I34" i="3"/>
  <c r="J34" i="3"/>
  <c r="L34" i="3"/>
  <c r="M34" i="3"/>
  <c r="N34" i="3" s="1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N37" i="3" s="1"/>
  <c r="O37" i="3"/>
  <c r="P37" i="3"/>
  <c r="S37" i="3"/>
  <c r="T37" i="3" s="1"/>
  <c r="F38" i="3"/>
  <c r="G38" i="3"/>
  <c r="I38" i="3"/>
  <c r="J38" i="3"/>
  <c r="L38" i="3"/>
  <c r="M38" i="3"/>
  <c r="N38" i="3" s="1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N41" i="3" s="1"/>
  <c r="O41" i="3"/>
  <c r="P41" i="3"/>
  <c r="S41" i="3"/>
  <c r="T41" i="3" s="1"/>
  <c r="F42" i="3"/>
  <c r="G42" i="3"/>
  <c r="I42" i="3"/>
  <c r="J42" i="3"/>
  <c r="L42" i="3"/>
  <c r="M42" i="3"/>
  <c r="N42" i="3" s="1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N45" i="3" s="1"/>
  <c r="O45" i="3"/>
  <c r="P45" i="3"/>
  <c r="S45" i="3"/>
  <c r="T45" i="3" s="1"/>
  <c r="F46" i="3"/>
  <c r="G46" i="3"/>
  <c r="I46" i="3"/>
  <c r="J46" i="3"/>
  <c r="L46" i="3"/>
  <c r="M46" i="3"/>
  <c r="N46" i="3" s="1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N49" i="3" s="1"/>
  <c r="O49" i="3"/>
  <c r="P49" i="3"/>
  <c r="S49" i="3"/>
  <c r="T49" i="3" s="1"/>
  <c r="F50" i="3"/>
  <c r="G50" i="3"/>
  <c r="I50" i="3"/>
  <c r="J50" i="3"/>
  <c r="L50" i="3"/>
  <c r="M50" i="3"/>
  <c r="N50" i="3" s="1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N53" i="3" s="1"/>
  <c r="O53" i="3"/>
  <c r="P53" i="3"/>
  <c r="S53" i="3"/>
  <c r="T53" i="3" s="1"/>
  <c r="F54" i="3"/>
  <c r="G54" i="3"/>
  <c r="I54" i="3"/>
  <c r="J54" i="3"/>
  <c r="L54" i="3"/>
  <c r="M54" i="3"/>
  <c r="N54" i="3" s="1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N57" i="3" s="1"/>
  <c r="O57" i="3"/>
  <c r="P57" i="3"/>
  <c r="S57" i="3"/>
  <c r="T57" i="3" s="1"/>
  <c r="F58" i="3"/>
  <c r="G58" i="3"/>
  <c r="I58" i="3"/>
  <c r="J58" i="3"/>
  <c r="L58" i="3"/>
  <c r="M58" i="3"/>
  <c r="N58" i="3" s="1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N61" i="3" s="1"/>
  <c r="O61" i="3"/>
  <c r="P61" i="3"/>
  <c r="S61" i="3"/>
  <c r="T61" i="3" s="1"/>
  <c r="F62" i="3"/>
  <c r="G62" i="3"/>
  <c r="I62" i="3"/>
  <c r="J62" i="3"/>
  <c r="L62" i="3"/>
  <c r="M62" i="3"/>
  <c r="N62" i="3" s="1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N65" i="3" s="1"/>
  <c r="O65" i="3"/>
  <c r="P65" i="3"/>
  <c r="S65" i="3"/>
  <c r="T65" i="3" s="1"/>
  <c r="F66" i="3"/>
  <c r="G66" i="3"/>
  <c r="I66" i="3"/>
  <c r="J66" i="3"/>
  <c r="L66" i="3"/>
  <c r="M66" i="3"/>
  <c r="N66" i="3" s="1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N69" i="3" s="1"/>
  <c r="O69" i="3"/>
  <c r="P69" i="3"/>
  <c r="S69" i="3"/>
  <c r="T69" i="3" s="1"/>
  <c r="F70" i="3"/>
  <c r="G70" i="3"/>
  <c r="I70" i="3"/>
  <c r="J70" i="3"/>
  <c r="L70" i="3"/>
  <c r="M70" i="3"/>
  <c r="N70" i="3" s="1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N73" i="3" s="1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N77" i="3" s="1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13" i="3" l="1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<sst xmlns="http://schemas.openxmlformats.org/spreadsheetml/2006/main" count="539" uniqueCount="204">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</sst>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sqref="A1:C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13087808.370799534</v>
      </c>
      <c r="G2" s="1">
        <f>VLOOKUP(A:A,MASTER!A:K,11,0)</f>
        <v>12916722.729567273</v>
      </c>
      <c r="H2" s="12">
        <f>IFERROR(G2/F2-1,0)</f>
        <v>-1.307213831262799E-2</v>
      </c>
      <c r="I2" s="2">
        <f>VLOOKUP(A:A,MASTER!A:E,5,0)</f>
        <v>327</v>
      </c>
      <c r="J2" s="2">
        <f>VLOOKUP(A:A,MASTER!A:J,10,0)</f>
        <v>353</v>
      </c>
      <c r="K2" s="12">
        <f>IFERROR(J2/I2-1,0)</f>
        <v>7.9510703363914415E-2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1</v>
      </c>
      <c r="Q2" s="12">
        <f>IFERROR(P2/O2-1,0)</f>
        <v>-0.66666666666666674</v>
      </c>
      <c r="R2" s="1">
        <f>VLOOKUP(A:A,MASTER!A:B,2,0)</f>
        <v>417</v>
      </c>
      <c r="S2">
        <f>VLOOKUP(A:A,MASTER!A:G,7,0)</f>
        <v>414</v>
      </c>
      <c r="T2" s="12">
        <f>IFERROR(S2/R2-1,0)</f>
        <v>-7.194244604316502E-3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15998166.242166299</v>
      </c>
      <c r="G3" s="1">
        <f>VLOOKUP(A:A,MASTER!A:K,11,0)</f>
        <v>15084594.410566358</v>
      </c>
      <c r="H3" s="12">
        <f t="shared" ref="H3:H66" si="0">IFERROR(G3/F3-1,0)</f>
        <v>-5.710478424658727E-2</v>
      </c>
      <c r="I3" s="2">
        <f>VLOOKUP(A:A,MASTER!A:E,5,0)</f>
        <v>492</v>
      </c>
      <c r="J3" s="2">
        <f>VLOOKUP(A:A,MASTER!A:J,10,0)</f>
        <v>500</v>
      </c>
      <c r="K3" s="12">
        <f t="shared" ref="K3:K66" si="1">IFERROR(J3/I3-1,0)</f>
        <v>1.6260162601626105E-2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676</v>
      </c>
      <c r="S3">
        <f>VLOOKUP(A:A,MASTER!A:G,7,0)</f>
        <v>634</v>
      </c>
      <c r="T3" s="12">
        <f t="shared" ref="T3:T66" si="4">IFERROR(S3/R3-1,0)</f>
        <v>-6.2130177514792884E-2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18423447.133026849</v>
      </c>
      <c r="G4" s="1">
        <f>VLOOKUP(A:A,MASTER!A:K,11,0)</f>
        <v>21263351.156662799</v>
      </c>
      <c r="H4" s="12">
        <f t="shared" si="0"/>
        <v>0.1541461813921341</v>
      </c>
      <c r="I4" s="2">
        <f>VLOOKUP(A:A,MASTER!A:E,5,0)</f>
        <v>912</v>
      </c>
      <c r="J4" s="2">
        <f>VLOOKUP(A:A,MASTER!A:J,10,0)</f>
        <v>788</v>
      </c>
      <c r="K4" s="12">
        <f t="shared" si="1"/>
        <v>-0.13596491228070173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7</v>
      </c>
      <c r="P4" s="1">
        <f>VLOOKUP(A:A,MASTER!A:H,8,0)</f>
        <v>9</v>
      </c>
      <c r="Q4" s="12">
        <f t="shared" si="3"/>
        <v>0.28571428571428581</v>
      </c>
      <c r="R4" s="1">
        <f>VLOOKUP(A:A,MASTER!A:B,2,0)</f>
        <v>690</v>
      </c>
      <c r="S4">
        <f>VLOOKUP(A:A,MASTER!A:G,7,0)</f>
        <v>770</v>
      </c>
      <c r="T4" s="12">
        <f t="shared" si="4"/>
        <v>0.11594202898550732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32444786.249515016</v>
      </c>
      <c r="G5" s="1">
        <f>VLOOKUP(A:A,MASTER!A:K,11,0)</f>
        <v>33059806.89004685</v>
      </c>
      <c r="H5" s="12">
        <f t="shared" si="0"/>
        <v>1.8955915930592093E-2</v>
      </c>
      <c r="I5" s="2">
        <f>VLOOKUP(A:A,MASTER!A:E,5,0)</f>
        <v>1484</v>
      </c>
      <c r="J5" s="2">
        <f>VLOOKUP(A:A,MASTER!A:J,10,0)</f>
        <v>1130</v>
      </c>
      <c r="K5" s="12">
        <f t="shared" si="1"/>
        <v>-0.23854447439353099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7</v>
      </c>
      <c r="P5" s="1">
        <f>VLOOKUP(A:A,MASTER!A:H,8,0)</f>
        <v>8</v>
      </c>
      <c r="Q5" s="12">
        <f t="shared" si="3"/>
        <v>0.14285714285714279</v>
      </c>
      <c r="R5" s="1">
        <f>VLOOKUP(A:A,MASTER!A:B,2,0)</f>
        <v>1188</v>
      </c>
      <c r="S5">
        <f>VLOOKUP(A:A,MASTER!A:G,7,0)</f>
        <v>1214</v>
      </c>
      <c r="T5" s="12">
        <f t="shared" si="4"/>
        <v>2.1885521885521841E-2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13426816.547492765</v>
      </c>
      <c r="G6" s="1">
        <f>VLOOKUP(A:A,MASTER!A:K,11,0)</f>
        <v>14740995.052347932</v>
      </c>
      <c r="H6" s="12">
        <f t="shared" si="0"/>
        <v>9.7877147587941637E-2</v>
      </c>
      <c r="I6" s="2">
        <f>VLOOKUP(A:A,MASTER!A:E,5,0)</f>
        <v>425</v>
      </c>
      <c r="J6" s="2">
        <f>VLOOKUP(A:A,MASTER!A:J,10,0)</f>
        <v>377</v>
      </c>
      <c r="K6" s="12">
        <f t="shared" si="1"/>
        <v>-0.11294117647058821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1</v>
      </c>
      <c r="Q6" s="12">
        <f t="shared" si="3"/>
        <v>0</v>
      </c>
      <c r="R6" s="1">
        <f>VLOOKUP(A:A,MASTER!A:B,2,0)</f>
        <v>418</v>
      </c>
      <c r="S6">
        <f>VLOOKUP(A:A,MASTER!A:G,7,0)</f>
        <v>413</v>
      </c>
      <c r="T6" s="12">
        <f t="shared" si="4"/>
        <v>-1.1961722488038284E-2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11608508.537279077</v>
      </c>
      <c r="G7" s="1">
        <f>VLOOKUP(A:A,MASTER!A:K,11,0)</f>
        <v>12076791.011960519</v>
      </c>
      <c r="H7" s="12">
        <f t="shared" si="0"/>
        <v>4.0339589980712853E-2</v>
      </c>
      <c r="I7" s="2">
        <f>VLOOKUP(A:A,MASTER!A:E,5,0)</f>
        <v>359</v>
      </c>
      <c r="J7" s="2">
        <f>VLOOKUP(A:A,MASTER!A:J,10,0)</f>
        <v>268</v>
      </c>
      <c r="K7" s="12">
        <f t="shared" si="1"/>
        <v>-0.25348189415041777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380</v>
      </c>
      <c r="S7">
        <f>VLOOKUP(A:A,MASTER!A:G,7,0)</f>
        <v>387</v>
      </c>
      <c r="T7" s="12">
        <f t="shared" si="4"/>
        <v>1.8421052631578894E-2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13234286.009974919</v>
      </c>
      <c r="G8" s="1">
        <f>VLOOKUP(A:A,MASTER!A:K,11,0)</f>
        <v>14483043.079303995</v>
      </c>
      <c r="H8" s="12">
        <f t="shared" si="0"/>
        <v>9.4357721178752296E-2</v>
      </c>
      <c r="I8" s="2">
        <f>VLOOKUP(A:A,MASTER!A:E,5,0)</f>
        <v>453</v>
      </c>
      <c r="J8" s="2">
        <f>VLOOKUP(A:A,MASTER!A:J,10,0)</f>
        <v>480</v>
      </c>
      <c r="K8" s="12">
        <f t="shared" si="1"/>
        <v>5.9602649006622599E-2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1</v>
      </c>
      <c r="P8" s="1">
        <f>VLOOKUP(A:A,MASTER!A:H,8,0)</f>
        <v>3</v>
      </c>
      <c r="Q8" s="12">
        <f t="shared" si="3"/>
        <v>2</v>
      </c>
      <c r="R8" s="1">
        <f>VLOOKUP(A:A,MASTER!A:B,2,0)</f>
        <v>594</v>
      </c>
      <c r="S8">
        <f>VLOOKUP(A:A,MASTER!A:G,7,0)</f>
        <v>595</v>
      </c>
      <c r="T8" s="12">
        <f t="shared" si="4"/>
        <v>1.6835016835017313E-3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6272122.0239012884</v>
      </c>
      <c r="G9" s="1">
        <f>VLOOKUP(A:A,MASTER!A:K,11,0)</f>
        <v>6320873.6215354437</v>
      </c>
      <c r="H9" s="12">
        <f t="shared" si="0"/>
        <v>7.7727438095713808E-3</v>
      </c>
      <c r="I9" s="2">
        <f>VLOOKUP(A:A,MASTER!A:E,5,0)</f>
        <v>168</v>
      </c>
      <c r="J9" s="2">
        <f>VLOOKUP(A:A,MASTER!A:J,10,0)</f>
        <v>151</v>
      </c>
      <c r="K9" s="12">
        <f t="shared" si="1"/>
        <v>-0.10119047619047616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172</v>
      </c>
      <c r="S9">
        <f>VLOOKUP(A:A,MASTER!A:G,7,0)</f>
        <v>173</v>
      </c>
      <c r="T9" s="12">
        <f t="shared" si="4"/>
        <v>5.8139534883721034E-3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5986210.4536223654</v>
      </c>
      <c r="G10" s="1">
        <f>VLOOKUP(A:A,MASTER!A:K,11,0)</f>
        <v>3146674.465636583</v>
      </c>
      <c r="H10" s="12">
        <f t="shared" si="0"/>
        <v>-0.47434616774415728</v>
      </c>
      <c r="I10" s="2">
        <f>VLOOKUP(A:A,MASTER!A:E,5,0)</f>
        <v>184</v>
      </c>
      <c r="J10" s="2">
        <f>VLOOKUP(A:A,MASTER!A:J,10,0)</f>
        <v>163</v>
      </c>
      <c r="K10" s="12">
        <f t="shared" si="1"/>
        <v>-0.11413043478260865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195</v>
      </c>
      <c r="S10">
        <f>VLOOKUP(A:A,MASTER!A:G,7,0)</f>
        <v>187</v>
      </c>
      <c r="T10" s="12">
        <f t="shared" si="4"/>
        <v>-4.1025641025640991E-2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9371873.1319251489</v>
      </c>
      <c r="G11" s="1">
        <f>VLOOKUP(A:A,MASTER!A:K,11,0)</f>
        <v>12410426.942553291</v>
      </c>
      <c r="H11" s="12">
        <f t="shared" si="0"/>
        <v>0.32422054458647676</v>
      </c>
      <c r="I11" s="2">
        <f>VLOOKUP(A:A,MASTER!A:E,5,0)</f>
        <v>339</v>
      </c>
      <c r="J11" s="2">
        <f>VLOOKUP(A:A,MASTER!A:J,10,0)</f>
        <v>382</v>
      </c>
      <c r="K11" s="12">
        <f t="shared" si="1"/>
        <v>0.12684365781710905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0</v>
      </c>
      <c r="P11" s="1">
        <f>VLOOKUP(A:A,MASTER!A:H,8,0)</f>
        <v>3</v>
      </c>
      <c r="Q11" s="12">
        <f t="shared" si="3"/>
        <v>0</v>
      </c>
      <c r="R11" s="1">
        <f>VLOOKUP(A:A,MASTER!A:B,2,0)</f>
        <v>344</v>
      </c>
      <c r="S11">
        <f>VLOOKUP(A:A,MASTER!A:G,7,0)</f>
        <v>383</v>
      </c>
      <c r="T11" s="12">
        <f t="shared" si="4"/>
        <v>0.11337209302325579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4545722.9148001587</v>
      </c>
      <c r="G12" s="1">
        <f>VLOOKUP(A:A,MASTER!A:K,11,0)</f>
        <v>6532815.7132673627</v>
      </c>
      <c r="H12" s="12">
        <f t="shared" si="0"/>
        <v>0.4371346066865498</v>
      </c>
      <c r="I12" s="2">
        <f>VLOOKUP(A:A,MASTER!A:E,5,0)</f>
        <v>245</v>
      </c>
      <c r="J12" s="2">
        <f>VLOOKUP(A:A,MASTER!A:J,10,0)</f>
        <v>257</v>
      </c>
      <c r="K12" s="12">
        <f t="shared" si="1"/>
        <v>4.8979591836734615E-2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215</v>
      </c>
      <c r="S12">
        <f>VLOOKUP(A:A,MASTER!A:G,7,0)</f>
        <v>226</v>
      </c>
      <c r="T12" s="12">
        <f t="shared" si="4"/>
        <v>5.1162790697674376E-2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6093279.5223717354</v>
      </c>
      <c r="G13" s="1">
        <f>VLOOKUP(A:A,MASTER!A:K,11,0)</f>
        <v>6845794.9533302337</v>
      </c>
      <c r="H13" s="12">
        <f t="shared" si="0"/>
        <v>0.1234992467021423</v>
      </c>
      <c r="I13" s="2">
        <f>VLOOKUP(A:A,MASTER!A:E,5,0)</f>
        <v>213</v>
      </c>
      <c r="J13" s="2">
        <f>VLOOKUP(A:A,MASTER!A:J,10,0)</f>
        <v>230</v>
      </c>
      <c r="K13" s="12">
        <f t="shared" si="1"/>
        <v>7.9812206572769995E-2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256</v>
      </c>
      <c r="S13">
        <f>VLOOKUP(A:A,MASTER!A:G,7,0)</f>
        <v>239</v>
      </c>
      <c r="T13" s="12">
        <f t="shared" si="4"/>
        <v>-6.640625E-2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13443706.666459411</v>
      </c>
      <c r="G14" s="1">
        <f>VLOOKUP(A:A,MASTER!A:K,11,0)</f>
        <v>29022560.368282694</v>
      </c>
      <c r="H14" s="12">
        <f t="shared" si="0"/>
        <v>1.158821304892856</v>
      </c>
      <c r="I14" s="2">
        <f>VLOOKUP(A:A,MASTER!A:E,5,0)</f>
        <v>1494</v>
      </c>
      <c r="J14" s="2">
        <f>VLOOKUP(A:A,MASTER!A:J,10,0)</f>
        <v>1076</v>
      </c>
      <c r="K14" s="12">
        <f t="shared" si="1"/>
        <v>-0.27978580990629187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1427</v>
      </c>
      <c r="S14">
        <f>VLOOKUP(A:A,MASTER!A:G,7,0)</f>
        <v>1384</v>
      </c>
      <c r="T14" s="12">
        <f t="shared" si="4"/>
        <v>-3.0133146461107208E-2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37942760.593333475</v>
      </c>
      <c r="G15" s="1">
        <f>VLOOKUP(A:A,MASTER!A:K,11,0)</f>
        <v>49024095.31867002</v>
      </c>
      <c r="H15" s="12">
        <f t="shared" si="0"/>
        <v>0.29205399269982291</v>
      </c>
      <c r="I15" s="2">
        <f>VLOOKUP(A:A,MASTER!A:E,5,0)</f>
        <v>181</v>
      </c>
      <c r="J15" s="2">
        <f>VLOOKUP(A:A,MASTER!A:J,10,0)</f>
        <v>901</v>
      </c>
      <c r="K15" s="12">
        <f t="shared" si="1"/>
        <v>3.9779005524861875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1</v>
      </c>
      <c r="P15" s="1">
        <f>VLOOKUP(A:A,MASTER!A:H,8,0)</f>
        <v>2</v>
      </c>
      <c r="Q15" s="12">
        <f t="shared" si="3"/>
        <v>1</v>
      </c>
      <c r="R15" s="1">
        <f>VLOOKUP(A:A,MASTER!A:B,2,0)</f>
        <v>1269</v>
      </c>
      <c r="S15">
        <f>VLOOKUP(A:A,MASTER!A:G,7,0)</f>
        <v>1234</v>
      </c>
      <c r="T15" s="12">
        <f t="shared" si="4"/>
        <v>-2.7580772261623365E-2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25808105.930136997</v>
      </c>
      <c r="G16" s="1">
        <f>VLOOKUP(A:A,MASTER!A:K,11,0)</f>
        <v>26071080.14117502</v>
      </c>
      <c r="H16" s="12">
        <f t="shared" si="0"/>
        <v>1.0189597475688483E-2</v>
      </c>
      <c r="I16" s="2">
        <f>VLOOKUP(A:A,MASTER!A:E,5,0)</f>
        <v>922</v>
      </c>
      <c r="J16" s="2">
        <f>VLOOKUP(A:A,MASTER!A:J,10,0)</f>
        <v>859</v>
      </c>
      <c r="K16" s="12">
        <f t="shared" si="1"/>
        <v>-6.8329718004338402E-2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4</v>
      </c>
      <c r="Q16" s="12">
        <f t="shared" si="3"/>
        <v>0</v>
      </c>
      <c r="R16" s="1">
        <f>VLOOKUP(A:A,MASTER!A:B,2,0)</f>
        <v>1018</v>
      </c>
      <c r="S16">
        <f>VLOOKUP(A:A,MASTER!A:G,7,0)</f>
        <v>1021</v>
      </c>
      <c r="T16" s="12">
        <f t="shared" si="4"/>
        <v>2.9469548133596035E-3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25100221.83684345</v>
      </c>
      <c r="G17" s="1">
        <f>VLOOKUP(A:A,MASTER!A:K,11,0)</f>
        <v>21493879.316390663</v>
      </c>
      <c r="H17" s="12">
        <f t="shared" si="0"/>
        <v>-0.14367771503753024</v>
      </c>
      <c r="I17" s="2">
        <f>VLOOKUP(A:A,MASTER!A:E,5,0)</f>
        <v>583</v>
      </c>
      <c r="J17" s="2">
        <f>VLOOKUP(A:A,MASTER!A:J,10,0)</f>
        <v>664</v>
      </c>
      <c r="K17" s="12">
        <f t="shared" si="1"/>
        <v>0.13893653516295035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949</v>
      </c>
      <c r="S17">
        <f>VLOOKUP(A:A,MASTER!A:G,7,0)</f>
        <v>917</v>
      </c>
      <c r="T17" s="12">
        <f t="shared" si="4"/>
        <v>-3.3719704952581697E-2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89403755.644768402</v>
      </c>
      <c r="G18" s="1">
        <f>VLOOKUP(A:A,MASTER!A:K,11,0)</f>
        <v>95903548.545516953</v>
      </c>
      <c r="H18" s="12">
        <f t="shared" si="0"/>
        <v>7.2701564423920173E-2</v>
      </c>
      <c r="I18" s="2">
        <f>VLOOKUP(A:A,MASTER!A:E,5,0)</f>
        <v>2699</v>
      </c>
      <c r="J18" s="2">
        <f>VLOOKUP(A:A,MASTER!A:J,10,0)</f>
        <v>2125</v>
      </c>
      <c r="K18" s="12">
        <f t="shared" si="1"/>
        <v>-0.2126713597628751</v>
      </c>
      <c r="L18" s="2">
        <f>VLOOKUP(A:A,MASTER!A:D,4,0)</f>
        <v>10</v>
      </c>
      <c r="M18" s="2">
        <f>VLOOKUP(A:A,MASTER!A:I,9,0)</f>
        <v>10</v>
      </c>
      <c r="N18" s="12">
        <f t="shared" si="2"/>
        <v>0</v>
      </c>
      <c r="O18" s="1">
        <f>VLOOKUP(A:A,MASTER!A:C,3,0)</f>
        <v>625</v>
      </c>
      <c r="P18" s="1">
        <f>VLOOKUP(A:A,MASTER!A:H,8,0)</f>
        <v>184</v>
      </c>
      <c r="Q18" s="12">
        <f t="shared" si="3"/>
        <v>-0.7056</v>
      </c>
      <c r="R18" s="1">
        <f>VLOOKUP(A:A,MASTER!A:B,2,0)</f>
        <v>3188</v>
      </c>
      <c r="S18">
        <f>VLOOKUP(A:A,MASTER!A:G,7,0)</f>
        <v>2806</v>
      </c>
      <c r="T18" s="12">
        <f t="shared" si="4"/>
        <v>-0.11982434127979924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48127649.671235926</v>
      </c>
      <c r="G19" s="1">
        <f>VLOOKUP(A:A,MASTER!A:K,11,0)</f>
        <v>30944501.324133508</v>
      </c>
      <c r="H19" s="12">
        <f t="shared" si="0"/>
        <v>-0.35703277563899272</v>
      </c>
      <c r="I19" s="2">
        <f>VLOOKUP(A:A,MASTER!A:E,5,0)</f>
        <v>1203</v>
      </c>
      <c r="J19" s="2">
        <f>VLOOKUP(A:A,MASTER!A:J,10,0)</f>
        <v>1172</v>
      </c>
      <c r="K19" s="12">
        <f t="shared" si="1"/>
        <v>-2.5768911055694121E-2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0</v>
      </c>
      <c r="P19" s="1">
        <f>VLOOKUP(A:A,MASTER!A:H,8,0)</f>
        <v>7</v>
      </c>
      <c r="Q19" s="12">
        <f t="shared" si="3"/>
        <v>0</v>
      </c>
      <c r="R19" s="1">
        <f>VLOOKUP(A:A,MASTER!A:B,2,0)</f>
        <v>1441</v>
      </c>
      <c r="S19">
        <f>VLOOKUP(A:A,MASTER!A:G,7,0)</f>
        <v>1387</v>
      </c>
      <c r="T19" s="12">
        <f t="shared" si="4"/>
        <v>-3.7473976405274168E-2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96839659.029765069</v>
      </c>
      <c r="G20" s="1">
        <f>VLOOKUP(A:A,MASTER!A:K,11,0)</f>
        <v>96555492.863442063</v>
      </c>
      <c r="H20" s="12">
        <f t="shared" si="0"/>
        <v>-2.9343986665180122E-3</v>
      </c>
      <c r="I20" s="2">
        <f>VLOOKUP(A:A,MASTER!A:E,5,0)</f>
        <v>2319</v>
      </c>
      <c r="J20" s="2">
        <f>VLOOKUP(A:A,MASTER!A:J,10,0)</f>
        <v>2118</v>
      </c>
      <c r="K20" s="12">
        <f t="shared" si="1"/>
        <v>-8.6675291073738725E-2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16</v>
      </c>
      <c r="P20" s="1">
        <f>VLOOKUP(A:A,MASTER!A:H,8,0)</f>
        <v>21</v>
      </c>
      <c r="Q20" s="12">
        <f t="shared" si="3"/>
        <v>0.3125</v>
      </c>
      <c r="R20" s="1">
        <f>VLOOKUP(A:A,MASTER!A:B,2,0)</f>
        <v>3014</v>
      </c>
      <c r="S20">
        <f>VLOOKUP(A:A,MASTER!A:G,7,0)</f>
        <v>2929</v>
      </c>
      <c r="T20" s="12">
        <f t="shared" si="4"/>
        <v>-2.8201725282017254E-2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13858968.280016633</v>
      </c>
      <c r="G21" s="1">
        <f>VLOOKUP(A:A,MASTER!A:K,11,0)</f>
        <v>14656128.885179391</v>
      </c>
      <c r="H21" s="12">
        <f t="shared" si="0"/>
        <v>5.7519476851115359E-2</v>
      </c>
      <c r="I21" s="2">
        <f>VLOOKUP(A:A,MASTER!A:E,5,0)</f>
        <v>467</v>
      </c>
      <c r="J21" s="2">
        <f>VLOOKUP(A:A,MASTER!A:J,10,0)</f>
        <v>451</v>
      </c>
      <c r="K21" s="12">
        <f t="shared" si="1"/>
        <v>-3.426124197002145E-2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553</v>
      </c>
      <c r="S21">
        <f>VLOOKUP(A:A,MASTER!A:G,7,0)</f>
        <v>539</v>
      </c>
      <c r="T21" s="12">
        <f t="shared" si="4"/>
        <v>-2.5316455696202556E-2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38076981.426078215</v>
      </c>
      <c r="G22" s="1">
        <f>VLOOKUP(A:A,MASTER!A:K,11,0)</f>
        <v>40696450.341174901</v>
      </c>
      <c r="H22" s="12">
        <f t="shared" si="0"/>
        <v>6.8794027703642069E-2</v>
      </c>
      <c r="I22" s="2">
        <f>VLOOKUP(A:A,MASTER!A:E,5,0)</f>
        <v>1285</v>
      </c>
      <c r="J22" s="2">
        <f>VLOOKUP(A:A,MASTER!A:J,10,0)</f>
        <v>1351</v>
      </c>
      <c r="K22" s="12">
        <f t="shared" si="1"/>
        <v>5.1361867704280195E-2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15</v>
      </c>
      <c r="P22" s="1">
        <f>VLOOKUP(A:A,MASTER!A:H,8,0)</f>
        <v>18</v>
      </c>
      <c r="Q22" s="12">
        <f t="shared" si="3"/>
        <v>0.19999999999999996</v>
      </c>
      <c r="R22" s="1">
        <f>VLOOKUP(A:A,MASTER!A:B,2,0)</f>
        <v>1712</v>
      </c>
      <c r="S22">
        <f>VLOOKUP(A:A,MASTER!A:G,7,0)</f>
        <v>1657</v>
      </c>
      <c r="T22" s="12">
        <f t="shared" si="4"/>
        <v>-3.2126168224299034E-2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16999705.014675111</v>
      </c>
      <c r="G23" s="1">
        <f>VLOOKUP(A:A,MASTER!A:K,11,0)</f>
        <v>16848952.521488499</v>
      </c>
      <c r="H23" s="12">
        <f t="shared" si="0"/>
        <v>-8.8679475941773056E-3</v>
      </c>
      <c r="I23" s="2">
        <f>VLOOKUP(A:A,MASTER!A:E,5,0)</f>
        <v>919</v>
      </c>
      <c r="J23" s="2">
        <f>VLOOKUP(A:A,MASTER!A:J,10,0)</f>
        <v>775</v>
      </c>
      <c r="K23" s="12">
        <f t="shared" si="1"/>
        <v>-0.1566920565832427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11</v>
      </c>
      <c r="P23" s="1">
        <f>VLOOKUP(A:A,MASTER!A:H,8,0)</f>
        <v>10</v>
      </c>
      <c r="Q23" s="12">
        <f t="shared" si="3"/>
        <v>-9.0909090909090939E-2</v>
      </c>
      <c r="R23" s="1">
        <f>VLOOKUP(A:A,MASTER!A:B,2,0)</f>
        <v>872</v>
      </c>
      <c r="S23">
        <f>VLOOKUP(A:A,MASTER!A:G,7,0)</f>
        <v>864</v>
      </c>
      <c r="T23" s="12">
        <f t="shared" si="4"/>
        <v>-9.1743119266054496E-3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18823380.21238241</v>
      </c>
      <c r="G24" s="1">
        <f>VLOOKUP(A:A,MASTER!A:K,11,0)</f>
        <v>20465850.794823397</v>
      </c>
      <c r="H24" s="12">
        <f t="shared" si="0"/>
        <v>8.725694130964512E-2</v>
      </c>
      <c r="I24" s="2">
        <f>VLOOKUP(A:A,MASTER!A:E,5,0)</f>
        <v>870</v>
      </c>
      <c r="J24" s="2">
        <f>VLOOKUP(A:A,MASTER!A:J,10,0)</f>
        <v>678</v>
      </c>
      <c r="K24" s="12">
        <f t="shared" si="1"/>
        <v>-0.22068965517241379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2</v>
      </c>
      <c r="P24" s="1">
        <f>VLOOKUP(A:A,MASTER!A:H,8,0)</f>
        <v>6</v>
      </c>
      <c r="Q24" s="12">
        <f t="shared" si="3"/>
        <v>2</v>
      </c>
      <c r="R24" s="1">
        <f>VLOOKUP(A:A,MASTER!A:B,2,0)</f>
        <v>886</v>
      </c>
      <c r="S24">
        <f>VLOOKUP(A:A,MASTER!A:G,7,0)</f>
        <v>878</v>
      </c>
      <c r="T24" s="12">
        <f t="shared" si="4"/>
        <v>-9.0293453724604733E-3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5565632.8976637917</v>
      </c>
      <c r="G25" s="1">
        <f>VLOOKUP(A:A,MASTER!A:K,11,0)</f>
        <v>4723558.2871565996</v>
      </c>
      <c r="H25" s="12">
        <f t="shared" si="0"/>
        <v>-0.15129898539672959</v>
      </c>
      <c r="I25" s="2">
        <f>VLOOKUP(A:A,MASTER!A:E,5,0)</f>
        <v>196</v>
      </c>
      <c r="J25" s="2">
        <f>VLOOKUP(A:A,MASTER!A:J,10,0)</f>
        <v>185</v>
      </c>
      <c r="K25" s="12">
        <f t="shared" si="1"/>
        <v>-5.6122448979591844E-2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229</v>
      </c>
      <c r="S25">
        <f>VLOOKUP(A:A,MASTER!A:G,7,0)</f>
        <v>228</v>
      </c>
      <c r="T25" s="12">
        <f t="shared" si="4"/>
        <v>-4.366812227074246E-3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42168566.16250097</v>
      </c>
      <c r="G26" s="1">
        <f>VLOOKUP(A:A,MASTER!A:K,11,0)</f>
        <v>38683079.315449901</v>
      </c>
      <c r="H26" s="12">
        <f t="shared" si="0"/>
        <v>-8.265604368949564E-2</v>
      </c>
      <c r="I26" s="2">
        <f>VLOOKUP(A:A,MASTER!A:E,5,0)</f>
        <v>1388</v>
      </c>
      <c r="J26" s="2">
        <f>VLOOKUP(A:A,MASTER!A:J,10,0)</f>
        <v>1322</v>
      </c>
      <c r="K26" s="12">
        <f t="shared" si="1"/>
        <v>-4.7550432276657006E-2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4</v>
      </c>
      <c r="P26" s="1">
        <f>VLOOKUP(A:A,MASTER!A:H,8,0)</f>
        <v>12</v>
      </c>
      <c r="Q26" s="12">
        <f t="shared" si="3"/>
        <v>2</v>
      </c>
      <c r="R26" s="1">
        <f>VLOOKUP(A:A,MASTER!A:B,2,0)</f>
        <v>1649</v>
      </c>
      <c r="S26">
        <f>VLOOKUP(A:A,MASTER!A:G,7,0)</f>
        <v>1653</v>
      </c>
      <c r="T26" s="12">
        <f t="shared" si="4"/>
        <v>2.4257125530624535E-3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29823023.385615569</v>
      </c>
      <c r="G27" s="1">
        <f>VLOOKUP(A:A,MASTER!A:K,11,0)</f>
        <v>32617935.380541101</v>
      </c>
      <c r="H27" s="12">
        <f t="shared" si="0"/>
        <v>9.3716587979258748E-2</v>
      </c>
      <c r="I27" s="2">
        <f>VLOOKUP(A:A,MASTER!A:E,5,0)</f>
        <v>616</v>
      </c>
      <c r="J27" s="2">
        <f>VLOOKUP(A:A,MASTER!A:J,10,0)</f>
        <v>618</v>
      </c>
      <c r="K27" s="12">
        <f t="shared" si="1"/>
        <v>3.2467532467532756E-3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5</v>
      </c>
      <c r="Q27" s="12">
        <f t="shared" si="3"/>
        <v>0</v>
      </c>
      <c r="R27" s="1">
        <f>VLOOKUP(A:A,MASTER!A:B,2,0)</f>
        <v>862</v>
      </c>
      <c r="S27">
        <f>VLOOKUP(A:A,MASTER!A:G,7,0)</f>
        <v>884</v>
      </c>
      <c r="T27" s="12">
        <f t="shared" si="4"/>
        <v>2.5522041763341052E-2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32601221.645448308</v>
      </c>
      <c r="G28" s="1">
        <f>VLOOKUP(A:A,MASTER!A:K,11,0)</f>
        <v>30351804.513628267</v>
      </c>
      <c r="H28" s="12">
        <f t="shared" si="0"/>
        <v>-6.8997939901865535E-2</v>
      </c>
      <c r="I28" s="2">
        <f>VLOOKUP(A:A,MASTER!A:E,5,0)</f>
        <v>789</v>
      </c>
      <c r="J28" s="2">
        <f>VLOOKUP(A:A,MASTER!A:J,10,0)</f>
        <v>764</v>
      </c>
      <c r="K28" s="12">
        <f t="shared" si="1"/>
        <v>-3.1685678073510748E-2</v>
      </c>
      <c r="L28" s="2">
        <f>VLOOKUP(A:A,MASTER!A:D,4,0)</f>
        <v>1</v>
      </c>
      <c r="M28" s="2">
        <f>VLOOKUP(A:A,MASTER!A:I,9,0)</f>
        <v>1</v>
      </c>
      <c r="N28" s="12">
        <f t="shared" si="2"/>
        <v>0</v>
      </c>
      <c r="O28" s="1">
        <f>VLOOKUP(A:A,MASTER!A:C,3,0)</f>
        <v>2</v>
      </c>
      <c r="P28" s="1">
        <f>VLOOKUP(A:A,MASTER!A:H,8,0)</f>
        <v>2</v>
      </c>
      <c r="Q28" s="12">
        <f t="shared" si="3"/>
        <v>0</v>
      </c>
      <c r="R28" s="1">
        <f>VLOOKUP(A:A,MASTER!A:B,2,0)</f>
        <v>1120</v>
      </c>
      <c r="S28">
        <f>VLOOKUP(A:A,MASTER!A:G,7,0)</f>
        <v>1042</v>
      </c>
      <c r="T28" s="12">
        <f t="shared" si="4"/>
        <v>-6.9642857142857117E-2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41893976.926671989</v>
      </c>
      <c r="G29" s="1">
        <f>VLOOKUP(A:A,MASTER!A:K,11,0)</f>
        <v>43282975.098104343</v>
      </c>
      <c r="H29" s="12">
        <f t="shared" si="0"/>
        <v>3.3155080355907751E-2</v>
      </c>
      <c r="I29" s="2">
        <f>VLOOKUP(A:A,MASTER!A:E,5,0)</f>
        <v>952</v>
      </c>
      <c r="J29" s="2">
        <f>VLOOKUP(A:A,MASTER!A:J,10,0)</f>
        <v>900</v>
      </c>
      <c r="K29" s="12">
        <f t="shared" si="1"/>
        <v>-5.4621848739495826E-2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1134</v>
      </c>
      <c r="S29">
        <f>VLOOKUP(A:A,MASTER!A:G,7,0)</f>
        <v>1126</v>
      </c>
      <c r="T29" s="12">
        <f t="shared" si="4"/>
        <v>-7.0546737213403876E-3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60948510.020695314</v>
      </c>
      <c r="G30" s="1">
        <f>VLOOKUP(A:A,MASTER!A:K,11,0)</f>
        <v>55959396.977800012</v>
      </c>
      <c r="H30" s="12">
        <f t="shared" si="0"/>
        <v>-8.1857834444209243E-2</v>
      </c>
      <c r="I30" s="2">
        <f>VLOOKUP(A:A,MASTER!A:E,5,0)</f>
        <v>1167</v>
      </c>
      <c r="J30" s="2">
        <f>VLOOKUP(A:A,MASTER!A:J,10,0)</f>
        <v>1151</v>
      </c>
      <c r="K30" s="12">
        <f t="shared" si="1"/>
        <v>-1.3710368466152478E-2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3</v>
      </c>
      <c r="P30" s="1">
        <f>VLOOKUP(A:A,MASTER!A:H,8,0)</f>
        <v>4</v>
      </c>
      <c r="Q30" s="12">
        <f t="shared" si="3"/>
        <v>0.33333333333333326</v>
      </c>
      <c r="R30" s="1">
        <f>VLOOKUP(A:A,MASTER!A:B,2,0)</f>
        <v>1504</v>
      </c>
      <c r="S30">
        <f>VLOOKUP(A:A,MASTER!A:G,7,0)</f>
        <v>1456</v>
      </c>
      <c r="T30" s="12">
        <f t="shared" si="4"/>
        <v>-3.1914893617021267E-2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23188488.13637552</v>
      </c>
      <c r="G31" s="1">
        <f>VLOOKUP(A:A,MASTER!A:K,11,0)</f>
        <v>25047854.91353824</v>
      </c>
      <c r="H31" s="12">
        <f t="shared" si="0"/>
        <v>8.0184907538062067E-2</v>
      </c>
      <c r="I31" s="2">
        <f>VLOOKUP(A:A,MASTER!A:E,5,0)</f>
        <v>615</v>
      </c>
      <c r="J31" s="2">
        <f>VLOOKUP(A:A,MASTER!A:J,10,0)</f>
        <v>508</v>
      </c>
      <c r="K31" s="12">
        <f t="shared" si="1"/>
        <v>-0.17398373983739834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1</v>
      </c>
      <c r="Q31" s="12">
        <f t="shared" si="3"/>
        <v>-0.66666666666666674</v>
      </c>
      <c r="R31" s="1">
        <f>VLOOKUP(A:A,MASTER!A:B,2,0)</f>
        <v>696</v>
      </c>
      <c r="S31">
        <f>VLOOKUP(A:A,MASTER!A:G,7,0)</f>
        <v>698</v>
      </c>
      <c r="T31" s="12">
        <f t="shared" si="4"/>
        <v>2.8735632183907178E-3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72283101.544206813</v>
      </c>
      <c r="G32" s="1">
        <f>VLOOKUP(A:A,MASTER!A:K,11,0)</f>
        <v>62386024.992774226</v>
      </c>
      <c r="H32" s="12">
        <f t="shared" si="0"/>
        <v>-0.13692102773674897</v>
      </c>
      <c r="I32" s="2">
        <f>VLOOKUP(A:A,MASTER!A:E,5,0)</f>
        <v>2045</v>
      </c>
      <c r="J32" s="2">
        <f>VLOOKUP(A:A,MASTER!A:J,10,0)</f>
        <v>1572</v>
      </c>
      <c r="K32" s="12">
        <f t="shared" si="1"/>
        <v>-0.23129584352078236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10</v>
      </c>
      <c r="Q32" s="12">
        <f t="shared" si="3"/>
        <v>-0.41176470588235292</v>
      </c>
      <c r="R32" s="1">
        <f>VLOOKUP(A:A,MASTER!A:B,2,0)</f>
        <v>1967</v>
      </c>
      <c r="S32">
        <f>VLOOKUP(A:A,MASTER!A:G,7,0)</f>
        <v>1913</v>
      </c>
      <c r="T32" s="12">
        <f t="shared" si="4"/>
        <v>-2.7452974072191161E-2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24522885.913414594</v>
      </c>
      <c r="G33" s="1">
        <f>VLOOKUP(A:A,MASTER!A:K,11,0)</f>
        <v>24921846.100234803</v>
      </c>
      <c r="H33" s="12">
        <f t="shared" si="0"/>
        <v>1.6268892178060046E-2</v>
      </c>
      <c r="I33" s="2">
        <f>VLOOKUP(A:A,MASTER!A:E,5,0)</f>
        <v>693</v>
      </c>
      <c r="J33" s="2">
        <f>VLOOKUP(A:A,MASTER!A:J,10,0)</f>
        <v>741</v>
      </c>
      <c r="K33" s="12">
        <f t="shared" si="1"/>
        <v>6.9264069264069361E-2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2</v>
      </c>
      <c r="P33" s="1">
        <f>VLOOKUP(A:A,MASTER!A:H,8,0)</f>
        <v>3</v>
      </c>
      <c r="Q33" s="12">
        <f t="shared" si="3"/>
        <v>0.5</v>
      </c>
      <c r="R33" s="1">
        <f>VLOOKUP(A:A,MASTER!A:B,2,0)</f>
        <v>845</v>
      </c>
      <c r="S33">
        <f>VLOOKUP(A:A,MASTER!A:G,7,0)</f>
        <v>860</v>
      </c>
      <c r="T33" s="12">
        <f t="shared" si="4"/>
        <v>1.7751479289940919E-2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20703555.59535294</v>
      </c>
      <c r="G34" s="1">
        <f>VLOOKUP(A:A,MASTER!A:K,11,0)</f>
        <v>23049754.684711441</v>
      </c>
      <c r="H34" s="12">
        <f t="shared" si="0"/>
        <v>0.11332348584052498</v>
      </c>
      <c r="I34" s="2">
        <f>VLOOKUP(A:A,MASTER!A:E,5,0)</f>
        <v>582</v>
      </c>
      <c r="J34" s="2">
        <f>VLOOKUP(A:A,MASTER!A:J,10,0)</f>
        <v>609</v>
      </c>
      <c r="K34" s="12">
        <f t="shared" si="1"/>
        <v>4.6391752577319645E-2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4</v>
      </c>
      <c r="P34" s="1">
        <f>VLOOKUP(A:A,MASTER!A:H,8,0)</f>
        <v>3</v>
      </c>
      <c r="Q34" s="12">
        <f t="shared" si="3"/>
        <v>-0.25</v>
      </c>
      <c r="R34" s="1">
        <f>VLOOKUP(A:A,MASTER!A:B,2,0)</f>
        <v>694</v>
      </c>
      <c r="S34">
        <f>VLOOKUP(A:A,MASTER!A:G,7,0)</f>
        <v>758</v>
      </c>
      <c r="T34" s="12">
        <f t="shared" si="4"/>
        <v>9.2219020172910726E-2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36053259.761528894</v>
      </c>
      <c r="G35" s="1">
        <f>VLOOKUP(A:A,MASTER!A:K,11,0)</f>
        <v>35754529.012632072</v>
      </c>
      <c r="H35" s="12">
        <f t="shared" si="0"/>
        <v>-8.285818005715706E-3</v>
      </c>
      <c r="I35" s="2">
        <f>VLOOKUP(A:A,MASTER!A:E,5,0)</f>
        <v>865</v>
      </c>
      <c r="J35" s="2">
        <f>VLOOKUP(A:A,MASTER!A:J,10,0)</f>
        <v>893</v>
      </c>
      <c r="K35" s="12">
        <f t="shared" si="1"/>
        <v>3.2369942196531776E-2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14</v>
      </c>
      <c r="P35" s="1">
        <f>VLOOKUP(A:A,MASTER!A:H,8,0)</f>
        <v>18</v>
      </c>
      <c r="Q35" s="12">
        <f t="shared" si="3"/>
        <v>0.28571428571428581</v>
      </c>
      <c r="R35" s="1">
        <f>VLOOKUP(A:A,MASTER!A:B,2,0)</f>
        <v>1108</v>
      </c>
      <c r="S35">
        <f>VLOOKUP(A:A,MASTER!A:G,7,0)</f>
        <v>1151</v>
      </c>
      <c r="T35" s="12">
        <f t="shared" si="4"/>
        <v>3.8808664259927905E-2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34761818.863370262</v>
      </c>
      <c r="G36" s="1">
        <f>VLOOKUP(A:A,MASTER!A:K,11,0)</f>
        <v>33981946.736486293</v>
      </c>
      <c r="H36" s="12">
        <f t="shared" si="0"/>
        <v>-2.2434733060120338E-2</v>
      </c>
      <c r="I36" s="2">
        <f>VLOOKUP(A:A,MASTER!A:E,5,0)</f>
        <v>861</v>
      </c>
      <c r="J36" s="2">
        <f>VLOOKUP(A:A,MASTER!A:J,10,0)</f>
        <v>876</v>
      </c>
      <c r="K36" s="12">
        <f t="shared" si="1"/>
        <v>1.7421602787456525E-2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41</v>
      </c>
      <c r="P36" s="1">
        <f>VLOOKUP(A:A,MASTER!A:H,8,0)</f>
        <v>272</v>
      </c>
      <c r="Q36" s="12">
        <f t="shared" si="3"/>
        <v>5.6341463414634143</v>
      </c>
      <c r="R36" s="1">
        <f>VLOOKUP(A:A,MASTER!A:B,2,0)</f>
        <v>1085</v>
      </c>
      <c r="S36">
        <f>VLOOKUP(A:A,MASTER!A:G,7,0)</f>
        <v>1381</v>
      </c>
      <c r="T36" s="12">
        <f t="shared" si="4"/>
        <v>0.27281105990783416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54910655.209512085</v>
      </c>
      <c r="G37" s="1">
        <f>VLOOKUP(A:A,MASTER!A:K,11,0)</f>
        <v>60889043.762123182</v>
      </c>
      <c r="H37" s="12">
        <f t="shared" si="0"/>
        <v>0.10887483549049826</v>
      </c>
      <c r="I37" s="2">
        <f>VLOOKUP(A:A,MASTER!A:E,5,0)</f>
        <v>1385</v>
      </c>
      <c r="J37" s="2">
        <f>VLOOKUP(A:A,MASTER!A:J,10,0)</f>
        <v>1310</v>
      </c>
      <c r="K37" s="12">
        <f t="shared" si="1"/>
        <v>-5.4151624548736454E-2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57</v>
      </c>
      <c r="P37" s="1">
        <f>VLOOKUP(A:A,MASTER!A:H,8,0)</f>
        <v>123</v>
      </c>
      <c r="Q37" s="12">
        <f t="shared" si="3"/>
        <v>1.1578947368421053</v>
      </c>
      <c r="R37" s="1">
        <f>VLOOKUP(A:A,MASTER!A:B,2,0)</f>
        <v>1795</v>
      </c>
      <c r="S37">
        <f>VLOOKUP(A:A,MASTER!A:G,7,0)</f>
        <v>2277</v>
      </c>
      <c r="T37" s="12">
        <f t="shared" si="4"/>
        <v>0.26852367688022283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17501175.59762124</v>
      </c>
      <c r="G38" s="1">
        <f>VLOOKUP(A:A,MASTER!A:K,11,0)</f>
        <v>21690653.82312274</v>
      </c>
      <c r="H38" s="12">
        <f t="shared" si="0"/>
        <v>0.23938267473134389</v>
      </c>
      <c r="I38" s="2">
        <f>VLOOKUP(A:A,MASTER!A:E,5,0)</f>
        <v>5</v>
      </c>
      <c r="J38" s="2">
        <f>VLOOKUP(A:A,MASTER!A:J,10,0)</f>
        <v>454</v>
      </c>
      <c r="K38" s="12">
        <f t="shared" si="1"/>
        <v>89.8</v>
      </c>
      <c r="L38" s="2">
        <f>VLOOKUP(A:A,MASTER!A:D,4,0)</f>
        <v>4</v>
      </c>
      <c r="M38" s="2">
        <f>VLOOKUP(A:A,MASTER!A:I,9,0)</f>
        <v>6</v>
      </c>
      <c r="N38" s="12">
        <f t="shared" si="2"/>
        <v>0.5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608</v>
      </c>
      <c r="S38">
        <f>VLOOKUP(A:A,MASTER!A:G,7,0)</f>
        <v>619</v>
      </c>
      <c r="T38" s="12">
        <f t="shared" si="4"/>
        <v>1.8092105263157965E-2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63981776.356715463</v>
      </c>
      <c r="G39" s="1">
        <f>VLOOKUP(A:A,MASTER!A:K,11,0)</f>
        <v>70387346.462206155</v>
      </c>
      <c r="H39" s="12">
        <f t="shared" si="0"/>
        <v>0.10011554024036351</v>
      </c>
      <c r="I39" s="2">
        <f>VLOOKUP(A:A,MASTER!A:E,5,0)</f>
        <v>1854</v>
      </c>
      <c r="J39" s="2">
        <f>VLOOKUP(A:A,MASTER!A:J,10,0)</f>
        <v>1948</v>
      </c>
      <c r="K39" s="12">
        <f t="shared" si="1"/>
        <v>5.0701186623516747E-2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7</v>
      </c>
      <c r="Q39" s="12">
        <f t="shared" si="3"/>
        <v>-0.5</v>
      </c>
      <c r="R39" s="1">
        <f>VLOOKUP(A:A,MASTER!A:B,2,0)</f>
        <v>2048</v>
      </c>
      <c r="S39">
        <f>VLOOKUP(A:A,MASTER!A:G,7,0)</f>
        <v>2066</v>
      </c>
      <c r="T39" s="12">
        <f t="shared" si="4"/>
        <v>8.7890625E-3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45081578.612316735</v>
      </c>
      <c r="G40" s="1">
        <f>VLOOKUP(A:A,MASTER!A:K,11,0)</f>
        <v>48694697.570638672</v>
      </c>
      <c r="H40" s="12">
        <f t="shared" si="0"/>
        <v>8.0146238653115764E-2</v>
      </c>
      <c r="I40" s="2">
        <f>VLOOKUP(A:A,MASTER!A:E,5,0)</f>
        <v>783</v>
      </c>
      <c r="J40" s="2">
        <f>VLOOKUP(A:A,MASTER!A:J,10,0)</f>
        <v>838</v>
      </c>
      <c r="K40" s="12">
        <f t="shared" si="1"/>
        <v>7.0242656449553076E-2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6</v>
      </c>
      <c r="P40" s="1">
        <f>VLOOKUP(A:A,MASTER!A:H,8,0)</f>
        <v>5</v>
      </c>
      <c r="Q40" s="12">
        <f t="shared" si="3"/>
        <v>-0.16666666666666663</v>
      </c>
      <c r="R40" s="1">
        <f>VLOOKUP(A:A,MASTER!A:B,2,0)</f>
        <v>881</v>
      </c>
      <c r="S40">
        <f>VLOOKUP(A:A,MASTER!A:G,7,0)</f>
        <v>893</v>
      </c>
      <c r="T40" s="12">
        <f t="shared" si="4"/>
        <v>1.3620885357548351E-2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36951327.241868146</v>
      </c>
      <c r="G41" s="1">
        <f>VLOOKUP(A:A,MASTER!A:K,11,0)</f>
        <v>28817713.877122149</v>
      </c>
      <c r="H41" s="12">
        <f t="shared" si="0"/>
        <v>-0.22011694766758227</v>
      </c>
      <c r="I41" s="2">
        <f>VLOOKUP(A:A,MASTER!A:E,5,0)</f>
        <v>935</v>
      </c>
      <c r="J41" s="2">
        <f>VLOOKUP(A:A,MASTER!A:J,10,0)</f>
        <v>1035</v>
      </c>
      <c r="K41" s="12">
        <f t="shared" si="1"/>
        <v>0.10695187165775399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7</v>
      </c>
      <c r="Q41" s="12">
        <f t="shared" si="3"/>
        <v>1.3333333333333335</v>
      </c>
      <c r="R41" s="1">
        <f>VLOOKUP(A:A,MASTER!A:B,2,0)</f>
        <v>1100</v>
      </c>
      <c r="S41">
        <f>VLOOKUP(A:A,MASTER!A:G,7,0)</f>
        <v>1098</v>
      </c>
      <c r="T41" s="12">
        <f t="shared" si="4"/>
        <v>-1.8181818181818299E-3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36616468.703792453</v>
      </c>
      <c r="G42" s="1">
        <f>VLOOKUP(A:A,MASTER!A:K,11,0)</f>
        <v>36351905.914852493</v>
      </c>
      <c r="H42" s="12">
        <f t="shared" si="0"/>
        <v>-7.2252403987979053E-3</v>
      </c>
      <c r="I42" s="2">
        <f>VLOOKUP(A:A,MASTER!A:E,5,0)</f>
        <v>646</v>
      </c>
      <c r="J42" s="2">
        <f>VLOOKUP(A:A,MASTER!A:J,10,0)</f>
        <v>616</v>
      </c>
      <c r="K42" s="12">
        <f t="shared" si="1"/>
        <v>-4.6439628482972117E-2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6</v>
      </c>
      <c r="Q42" s="12">
        <f t="shared" si="3"/>
        <v>0</v>
      </c>
      <c r="R42" s="1">
        <f>VLOOKUP(A:A,MASTER!A:B,2,0)</f>
        <v>858</v>
      </c>
      <c r="S42">
        <f>VLOOKUP(A:A,MASTER!A:G,7,0)</f>
        <v>835</v>
      </c>
      <c r="T42" s="12">
        <f t="shared" si="4"/>
        <v>-2.6806526806526842E-2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22704753.056662936</v>
      </c>
      <c r="G43" s="1">
        <f>VLOOKUP(A:A,MASTER!A:K,11,0)</f>
        <v>22763455.27254276</v>
      </c>
      <c r="H43" s="12">
        <f t="shared" si="0"/>
        <v>2.5854593411926974E-3</v>
      </c>
      <c r="I43" s="2">
        <f>VLOOKUP(A:A,MASTER!A:E,5,0)</f>
        <v>576</v>
      </c>
      <c r="J43" s="2">
        <f>VLOOKUP(A:A,MASTER!A:J,10,0)</f>
        <v>623</v>
      </c>
      <c r="K43" s="12">
        <f t="shared" si="1"/>
        <v>8.1597222222222321E-2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3</v>
      </c>
      <c r="P43" s="1">
        <f>VLOOKUP(A:A,MASTER!A:H,8,0)</f>
        <v>3</v>
      </c>
      <c r="Q43" s="12">
        <f t="shared" si="3"/>
        <v>0</v>
      </c>
      <c r="R43" s="1">
        <f>VLOOKUP(A:A,MASTER!A:B,2,0)</f>
        <v>663</v>
      </c>
      <c r="S43">
        <f>VLOOKUP(A:A,MASTER!A:G,7,0)</f>
        <v>698</v>
      </c>
      <c r="T43" s="12">
        <f t="shared" si="4"/>
        <v>5.2790346907994001E-2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21905672.652470183</v>
      </c>
      <c r="G44" s="1">
        <f>VLOOKUP(A:A,MASTER!A:K,11,0)</f>
        <v>19508855.302097976</v>
      </c>
      <c r="H44" s="12">
        <f t="shared" si="0"/>
        <v>-0.10941537328697049</v>
      </c>
      <c r="I44" s="2">
        <f>VLOOKUP(A:A,MASTER!A:E,5,0)</f>
        <v>768</v>
      </c>
      <c r="J44" s="2">
        <f>VLOOKUP(A:A,MASTER!A:J,10,0)</f>
        <v>708</v>
      </c>
      <c r="K44" s="12">
        <f t="shared" si="1"/>
        <v>-7.8125E-2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0</v>
      </c>
      <c r="Q44" s="12">
        <f t="shared" si="3"/>
        <v>-1</v>
      </c>
      <c r="R44" s="1">
        <f>VLOOKUP(A:A,MASTER!A:B,2,0)</f>
        <v>710</v>
      </c>
      <c r="S44">
        <f>VLOOKUP(A:A,MASTER!A:G,7,0)</f>
        <v>687</v>
      </c>
      <c r="T44" s="12">
        <f t="shared" si="4"/>
        <v>-3.2394366197183055E-2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68951901.83255586</v>
      </c>
      <c r="G45" s="1">
        <f>VLOOKUP(A:A,MASTER!A:K,11,0)</f>
        <v>65624769.39583008</v>
      </c>
      <c r="H45" s="12">
        <f t="shared" si="0"/>
        <v>-4.8252946594648738E-2</v>
      </c>
      <c r="I45" s="2">
        <f>VLOOKUP(A:A,MASTER!A:E,5,0)</f>
        <v>1058</v>
      </c>
      <c r="J45" s="2">
        <f>VLOOKUP(A:A,MASTER!A:J,10,0)</f>
        <v>1375</v>
      </c>
      <c r="K45" s="12">
        <f t="shared" si="1"/>
        <v>0.29962192816635169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12</v>
      </c>
      <c r="P45" s="1">
        <f>VLOOKUP(A:A,MASTER!A:H,8,0)</f>
        <v>3</v>
      </c>
      <c r="Q45" s="12">
        <f t="shared" si="3"/>
        <v>-0.75</v>
      </c>
      <c r="R45" s="1">
        <f>VLOOKUP(A:A,MASTER!A:B,2,0)</f>
        <v>1272</v>
      </c>
      <c r="S45">
        <f>VLOOKUP(A:A,MASTER!A:G,7,0)</f>
        <v>1250</v>
      </c>
      <c r="T45" s="12">
        <f t="shared" si="4"/>
        <v>-1.7295597484276781E-2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31224174.820838396</v>
      </c>
      <c r="G46" s="1">
        <f>VLOOKUP(A:A,MASTER!A:K,11,0)</f>
        <v>30416321.719961289</v>
      </c>
      <c r="H46" s="12">
        <f t="shared" si="0"/>
        <v>-2.5872680559614336E-2</v>
      </c>
      <c r="I46" s="2">
        <f>VLOOKUP(A:A,MASTER!A:E,5,0)</f>
        <v>922</v>
      </c>
      <c r="J46" s="2">
        <f>VLOOKUP(A:A,MASTER!A:J,10,0)</f>
        <v>946</v>
      </c>
      <c r="K46" s="12">
        <f t="shared" si="1"/>
        <v>2.6030368763557465E-2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2</v>
      </c>
      <c r="P46" s="1">
        <f>VLOOKUP(A:A,MASTER!A:H,8,0)</f>
        <v>3</v>
      </c>
      <c r="Q46" s="12">
        <f t="shared" si="3"/>
        <v>0.5</v>
      </c>
      <c r="R46" s="1">
        <f>VLOOKUP(A:A,MASTER!A:B,2,0)</f>
        <v>884</v>
      </c>
      <c r="S46">
        <f>VLOOKUP(A:A,MASTER!A:G,7,0)</f>
        <v>912</v>
      </c>
      <c r="T46" s="12">
        <f t="shared" si="4"/>
        <v>3.167420814479649E-2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46284776.708795786</v>
      </c>
      <c r="G47" s="1">
        <f>VLOOKUP(A:A,MASTER!A:K,11,0)</f>
        <v>53489987.771002561</v>
      </c>
      <c r="H47" s="12">
        <f t="shared" si="0"/>
        <v>0.15567129355595499</v>
      </c>
      <c r="I47" s="2">
        <f>VLOOKUP(A:A,MASTER!A:E,5,0)</f>
        <v>996</v>
      </c>
      <c r="J47" s="2">
        <f>VLOOKUP(A:A,MASTER!A:J,10,0)</f>
        <v>1025</v>
      </c>
      <c r="K47" s="12">
        <f t="shared" si="1"/>
        <v>2.9116465863453733E-2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17</v>
      </c>
      <c r="P47" s="1">
        <f>VLOOKUP(A:A,MASTER!A:H,8,0)</f>
        <v>6</v>
      </c>
      <c r="Q47" s="12">
        <f t="shared" si="3"/>
        <v>-0.64705882352941169</v>
      </c>
      <c r="R47" s="1">
        <f>VLOOKUP(A:A,MASTER!A:B,2,0)</f>
        <v>1301</v>
      </c>
      <c r="S47">
        <f>VLOOKUP(A:A,MASTER!A:G,7,0)</f>
        <v>1338</v>
      </c>
      <c r="T47" s="12">
        <f t="shared" si="4"/>
        <v>2.8439661798616456E-2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24156172.660815898</v>
      </c>
      <c r="G48" s="1">
        <f>VLOOKUP(A:A,MASTER!A:K,11,0)</f>
        <v>27405554.935270023</v>
      </c>
      <c r="H48" s="12">
        <f t="shared" si="0"/>
        <v>0.13451560891204406</v>
      </c>
      <c r="I48" s="2">
        <f>VLOOKUP(A:A,MASTER!A:E,5,0)</f>
        <v>361</v>
      </c>
      <c r="J48" s="2">
        <f>VLOOKUP(A:A,MASTER!A:J,10,0)</f>
        <v>380</v>
      </c>
      <c r="K48" s="12">
        <f t="shared" si="1"/>
        <v>5.2631578947368363E-2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7</v>
      </c>
      <c r="P48" s="1">
        <f>VLOOKUP(A:A,MASTER!A:H,8,0)</f>
        <v>2</v>
      </c>
      <c r="Q48" s="12">
        <f t="shared" si="3"/>
        <v>-0.7142857142857143</v>
      </c>
      <c r="R48" s="1">
        <f>VLOOKUP(A:A,MASTER!A:B,2,0)</f>
        <v>484</v>
      </c>
      <c r="S48">
        <f>VLOOKUP(A:A,MASTER!A:G,7,0)</f>
        <v>489</v>
      </c>
      <c r="T48" s="12">
        <f t="shared" si="4"/>
        <v>1.0330578512396604E-2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23676615.185974032</v>
      </c>
      <c r="G49" s="1">
        <f>VLOOKUP(A:A,MASTER!A:K,11,0)</f>
        <v>20136026.2156309</v>
      </c>
      <c r="H49" s="12">
        <f t="shared" si="0"/>
        <v>-0.14953949044374248</v>
      </c>
      <c r="I49" s="2">
        <f>VLOOKUP(A:A,MASTER!A:E,5,0)</f>
        <v>323</v>
      </c>
      <c r="J49" s="2">
        <f>VLOOKUP(A:A,MASTER!A:J,10,0)</f>
        <v>319</v>
      </c>
      <c r="K49" s="12">
        <f t="shared" si="1"/>
        <v>-1.2383900928792602E-2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0</v>
      </c>
      <c r="Q49" s="12">
        <f t="shared" si="3"/>
        <v>-1</v>
      </c>
      <c r="R49" s="1">
        <f>VLOOKUP(A:A,MASTER!A:B,2,0)</f>
        <v>444</v>
      </c>
      <c r="S49">
        <f>VLOOKUP(A:A,MASTER!A:G,7,0)</f>
        <v>458</v>
      </c>
      <c r="T49" s="12">
        <f t="shared" si="4"/>
        <v>3.1531531531531432E-2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19565337.991295934</v>
      </c>
      <c r="G50" s="1">
        <f>VLOOKUP(A:A,MASTER!A:K,11,0)</f>
        <v>17633388.891193338</v>
      </c>
      <c r="H50" s="12">
        <f t="shared" si="0"/>
        <v>-9.8743456461731771E-2</v>
      </c>
      <c r="I50" s="2">
        <f>VLOOKUP(A:A,MASTER!A:E,5,0)</f>
        <v>384</v>
      </c>
      <c r="J50" s="2">
        <f>VLOOKUP(A:A,MASTER!A:J,10,0)</f>
        <v>341</v>
      </c>
      <c r="K50" s="12">
        <f t="shared" si="1"/>
        <v>-0.11197916666666663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11</v>
      </c>
      <c r="P50" s="1">
        <f>VLOOKUP(A:A,MASTER!A:H,8,0)</f>
        <v>2</v>
      </c>
      <c r="Q50" s="12">
        <f t="shared" si="3"/>
        <v>-0.81818181818181812</v>
      </c>
      <c r="R50" s="1">
        <f>VLOOKUP(A:A,MASTER!A:B,2,0)</f>
        <v>427</v>
      </c>
      <c r="S50">
        <f>VLOOKUP(A:A,MASTER!A:G,7,0)</f>
        <v>424</v>
      </c>
      <c r="T50" s="12">
        <f t="shared" si="4"/>
        <v>-7.0257611241217877E-3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42465575.241866045</v>
      </c>
      <c r="G51" s="1">
        <f>VLOOKUP(A:A,MASTER!A:K,11,0)</f>
        <v>41199724.440495275</v>
      </c>
      <c r="H51" s="12">
        <f t="shared" si="0"/>
        <v>-2.980886975299446E-2</v>
      </c>
      <c r="I51" s="2">
        <f>VLOOKUP(A:A,MASTER!A:E,5,0)</f>
        <v>947</v>
      </c>
      <c r="J51" s="2">
        <f>VLOOKUP(A:A,MASTER!A:J,10,0)</f>
        <v>941</v>
      </c>
      <c r="K51" s="12">
        <f t="shared" si="1"/>
        <v>-6.3357972544878516E-3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4</v>
      </c>
      <c r="P51" s="1">
        <f>VLOOKUP(A:A,MASTER!A:H,8,0)</f>
        <v>5</v>
      </c>
      <c r="Q51" s="12">
        <f t="shared" si="3"/>
        <v>0.25</v>
      </c>
      <c r="R51" s="1">
        <f>VLOOKUP(A:A,MASTER!A:B,2,0)</f>
        <v>1127</v>
      </c>
      <c r="S51">
        <f>VLOOKUP(A:A,MASTER!A:G,7,0)</f>
        <v>1094</v>
      </c>
      <c r="T51" s="12">
        <f t="shared" si="4"/>
        <v>-2.9281277728482658E-2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45055941.481699936</v>
      </c>
      <c r="G52" s="1">
        <f>VLOOKUP(A:A,MASTER!A:K,11,0)</f>
        <v>43110471.737202205</v>
      </c>
      <c r="H52" s="12">
        <f t="shared" si="0"/>
        <v>-4.3178983293200246E-2</v>
      </c>
      <c r="I52" s="2">
        <f>VLOOKUP(A:A,MASTER!A:E,5,0)</f>
        <v>810</v>
      </c>
      <c r="J52" s="2">
        <f>VLOOKUP(A:A,MASTER!A:J,10,0)</f>
        <v>817</v>
      </c>
      <c r="K52" s="12">
        <f t="shared" si="1"/>
        <v>8.6419753086419693E-3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10</v>
      </c>
      <c r="P52" s="1">
        <f>VLOOKUP(A:A,MASTER!A:H,8,0)</f>
        <v>7</v>
      </c>
      <c r="Q52" s="12">
        <f t="shared" si="3"/>
        <v>-0.30000000000000004</v>
      </c>
      <c r="R52" s="1">
        <f>VLOOKUP(A:A,MASTER!A:B,2,0)</f>
        <v>971</v>
      </c>
      <c r="S52">
        <f>VLOOKUP(A:A,MASTER!A:G,7,0)</f>
        <v>1011</v>
      </c>
      <c r="T52" s="12">
        <f t="shared" si="4"/>
        <v>4.1194644696189497E-2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63893921.779931098</v>
      </c>
      <c r="G53" s="1">
        <f>VLOOKUP(A:A,MASTER!A:K,11,0)</f>
        <v>77451228.109518692</v>
      </c>
      <c r="H53" s="12">
        <f t="shared" si="0"/>
        <v>0.21218460147559615</v>
      </c>
      <c r="I53" s="2">
        <f>VLOOKUP(A:A,MASTER!A:E,5,0)</f>
        <v>1508</v>
      </c>
      <c r="J53" s="2">
        <f>VLOOKUP(A:A,MASTER!A:J,10,0)</f>
        <v>1783</v>
      </c>
      <c r="K53" s="12">
        <f t="shared" si="1"/>
        <v>0.18236074270557023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37</v>
      </c>
      <c r="P53" s="1">
        <f>VLOOKUP(A:A,MASTER!A:H,8,0)</f>
        <v>10</v>
      </c>
      <c r="Q53" s="12">
        <f t="shared" si="3"/>
        <v>-0.72972972972972971</v>
      </c>
      <c r="R53" s="1">
        <f>VLOOKUP(A:A,MASTER!A:B,2,0)</f>
        <v>2122</v>
      </c>
      <c r="S53">
        <f>VLOOKUP(A:A,MASTER!A:G,7,0)</f>
        <v>2048</v>
      </c>
      <c r="T53" s="12">
        <f t="shared" si="4"/>
        <v>-3.4872761545711617E-2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20534534.922981523</v>
      </c>
      <c r="G54" s="1">
        <f>VLOOKUP(A:A,MASTER!A:K,11,0)</f>
        <v>19415132.028813072</v>
      </c>
      <c r="H54" s="12">
        <f t="shared" si="0"/>
        <v>-5.4513184660230918E-2</v>
      </c>
      <c r="I54" s="2">
        <f>VLOOKUP(A:A,MASTER!A:E,5,0)</f>
        <v>549</v>
      </c>
      <c r="J54" s="2">
        <f>VLOOKUP(A:A,MASTER!A:J,10,0)</f>
        <v>582</v>
      </c>
      <c r="K54" s="12">
        <f t="shared" si="1"/>
        <v>6.0109289617486406E-2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4</v>
      </c>
      <c r="Q54" s="12">
        <f t="shared" si="3"/>
        <v>0.33333333333333326</v>
      </c>
      <c r="R54" s="1">
        <f>VLOOKUP(A:A,MASTER!A:B,2,0)</f>
        <v>691</v>
      </c>
      <c r="S54">
        <f>VLOOKUP(A:A,MASTER!A:G,7,0)</f>
        <v>690</v>
      </c>
      <c r="T54" s="12">
        <f t="shared" si="4"/>
        <v>-1.4471780028944004E-3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32408420.627318345</v>
      </c>
      <c r="G55" s="1">
        <f>VLOOKUP(A:A,MASTER!A:K,11,0)</f>
        <v>33783028.370750755</v>
      </c>
      <c r="H55" s="12">
        <f t="shared" si="0"/>
        <v>4.2415141399198442E-2</v>
      </c>
      <c r="I55" s="2">
        <f>VLOOKUP(A:A,MASTER!A:E,5,0)</f>
        <v>742</v>
      </c>
      <c r="J55" s="2">
        <f>VLOOKUP(A:A,MASTER!A:J,10,0)</f>
        <v>763</v>
      </c>
      <c r="K55" s="12">
        <f t="shared" si="1"/>
        <v>2.8301886792452935E-2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6</v>
      </c>
      <c r="P55" s="1">
        <f>VLOOKUP(A:A,MASTER!A:H,8,0)</f>
        <v>7</v>
      </c>
      <c r="Q55" s="12">
        <f t="shared" si="3"/>
        <v>0.16666666666666674</v>
      </c>
      <c r="R55" s="1">
        <f>VLOOKUP(A:A,MASTER!A:B,2,0)</f>
        <v>889</v>
      </c>
      <c r="S55">
        <f>VLOOKUP(A:A,MASTER!A:G,7,0)</f>
        <v>863</v>
      </c>
      <c r="T55" s="12">
        <f t="shared" si="4"/>
        <v>-2.924634420697414E-2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24757924.64762653</v>
      </c>
      <c r="G56" s="1">
        <f>VLOOKUP(A:A,MASTER!A:K,11,0)</f>
        <v>21302689.942315493</v>
      </c>
      <c r="H56" s="12">
        <f t="shared" si="0"/>
        <v>-0.1395607569894709</v>
      </c>
      <c r="I56" s="2">
        <f>VLOOKUP(A:A,MASTER!A:E,5,0)</f>
        <v>595</v>
      </c>
      <c r="J56" s="2">
        <f>VLOOKUP(A:A,MASTER!A:J,10,0)</f>
        <v>603</v>
      </c>
      <c r="K56" s="12">
        <f t="shared" si="1"/>
        <v>1.3445378151260456E-2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782</v>
      </c>
      <c r="S56">
        <f>VLOOKUP(A:A,MASTER!A:G,7,0)</f>
        <v>729</v>
      </c>
      <c r="T56" s="12">
        <f t="shared" si="4"/>
        <v>-6.7774936061381075E-2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42696543.090585358</v>
      </c>
      <c r="G57" s="1">
        <f>VLOOKUP(A:A,MASTER!A:K,11,0)</f>
        <v>43034612.716141865</v>
      </c>
      <c r="H57" s="12">
        <f t="shared" si="0"/>
        <v>7.9179624645315805E-3</v>
      </c>
      <c r="I57" s="2">
        <f>VLOOKUP(A:A,MASTER!A:E,5,0)</f>
        <v>1031</v>
      </c>
      <c r="J57" s="2">
        <f>VLOOKUP(A:A,MASTER!A:J,10,0)</f>
        <v>1001</v>
      </c>
      <c r="K57" s="12">
        <f t="shared" si="1"/>
        <v>-2.9097963142580063E-2</v>
      </c>
      <c r="L57" s="2">
        <f>VLOOKUP(A:A,MASTER!A:D,4,0)</f>
        <v>1</v>
      </c>
      <c r="M57" s="2">
        <f>VLOOKUP(A:A,MASTER!A:I,9,0)</f>
        <v>0</v>
      </c>
      <c r="N57" s="12">
        <f t="shared" si="2"/>
        <v>-1</v>
      </c>
      <c r="O57" s="1">
        <f>VLOOKUP(A:A,MASTER!A:C,3,0)</f>
        <v>8</v>
      </c>
      <c r="P57" s="1">
        <f>VLOOKUP(A:A,MASTER!A:H,8,0)</f>
        <v>7</v>
      </c>
      <c r="Q57" s="12">
        <f t="shared" si="3"/>
        <v>-0.125</v>
      </c>
      <c r="R57" s="1">
        <f>VLOOKUP(A:A,MASTER!A:B,2,0)</f>
        <v>1093</v>
      </c>
      <c r="S57">
        <f>VLOOKUP(A:A,MASTER!A:G,7,0)</f>
        <v>1107</v>
      </c>
      <c r="T57" s="12">
        <f t="shared" si="4"/>
        <v>1.2808783165599191E-2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54590695.006662175</v>
      </c>
      <c r="G58" s="1">
        <f>VLOOKUP(A:A,MASTER!A:K,11,0)</f>
        <v>53108125.971225314</v>
      </c>
      <c r="H58" s="12">
        <f t="shared" si="0"/>
        <v>-2.7157907318379637E-2</v>
      </c>
      <c r="I58" s="2">
        <f>VLOOKUP(A:A,MASTER!A:E,5,0)</f>
        <v>1372</v>
      </c>
      <c r="J58" s="2">
        <f>VLOOKUP(A:A,MASTER!A:J,10,0)</f>
        <v>1546</v>
      </c>
      <c r="K58" s="12">
        <f t="shared" si="1"/>
        <v>0.12682215743440239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12</v>
      </c>
      <c r="P58" s="1">
        <f>VLOOKUP(A:A,MASTER!A:H,8,0)</f>
        <v>10</v>
      </c>
      <c r="Q58" s="12">
        <f t="shared" si="3"/>
        <v>-0.16666666666666663</v>
      </c>
      <c r="R58" s="1">
        <f>VLOOKUP(A:A,MASTER!A:B,2,0)</f>
        <v>1363</v>
      </c>
      <c r="S58">
        <f>VLOOKUP(A:A,MASTER!A:G,7,0)</f>
        <v>1516</v>
      </c>
      <c r="T58" s="12">
        <f t="shared" si="4"/>
        <v>0.11225238444607477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27563613.08958514</v>
      </c>
      <c r="G59" s="1">
        <f>VLOOKUP(A:A,MASTER!A:K,11,0)</f>
        <v>29166523.35953356</v>
      </c>
      <c r="H59" s="12">
        <f t="shared" si="0"/>
        <v>5.8153126179023129E-2</v>
      </c>
      <c r="I59" s="2">
        <f>VLOOKUP(A:A,MASTER!A:E,5,0)</f>
        <v>693</v>
      </c>
      <c r="J59" s="2">
        <f>VLOOKUP(A:A,MASTER!A:J,10,0)</f>
        <v>1398</v>
      </c>
      <c r="K59" s="12">
        <f t="shared" si="1"/>
        <v>1.0173160173160172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5</v>
      </c>
      <c r="P59" s="1">
        <f>VLOOKUP(A:A,MASTER!A:H,8,0)</f>
        <v>3</v>
      </c>
      <c r="Q59" s="12">
        <f t="shared" si="3"/>
        <v>-0.4</v>
      </c>
      <c r="R59" s="1">
        <f>VLOOKUP(A:A,MASTER!A:B,2,0)</f>
        <v>769</v>
      </c>
      <c r="S59">
        <f>VLOOKUP(A:A,MASTER!A:G,7,0)</f>
        <v>771</v>
      </c>
      <c r="T59" s="12">
        <f t="shared" si="4"/>
        <v>2.6007802340701769E-3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32225585.880645122</v>
      </c>
      <c r="G60" s="1">
        <f>VLOOKUP(A:A,MASTER!A:K,11,0)</f>
        <v>32666251.142069764</v>
      </c>
      <c r="H60" s="12">
        <f t="shared" si="0"/>
        <v>1.3674390996543773E-2</v>
      </c>
      <c r="I60" s="2">
        <f>VLOOKUP(A:A,MASTER!A:E,5,0)</f>
        <v>451</v>
      </c>
      <c r="J60" s="2">
        <f>VLOOKUP(A:A,MASTER!A:J,10,0)</f>
        <v>471</v>
      </c>
      <c r="K60" s="12">
        <f t="shared" si="1"/>
        <v>4.434589800443467E-2</v>
      </c>
      <c r="L60" s="2">
        <f>VLOOKUP(A:A,MASTER!A:D,4,0)</f>
        <v>5</v>
      </c>
      <c r="M60" s="2">
        <f>VLOOKUP(A:A,MASTER!A:I,9,0)</f>
        <v>5</v>
      </c>
      <c r="N60" s="12">
        <f t="shared" si="2"/>
        <v>0</v>
      </c>
      <c r="O60" s="1">
        <f>VLOOKUP(A:A,MASTER!A:C,3,0)</f>
        <v>6</v>
      </c>
      <c r="P60" s="1">
        <f>VLOOKUP(A:A,MASTER!A:H,8,0)</f>
        <v>9</v>
      </c>
      <c r="Q60" s="12">
        <f t="shared" si="3"/>
        <v>0.5</v>
      </c>
      <c r="R60" s="1">
        <f>VLOOKUP(A:A,MASTER!A:B,2,0)</f>
        <v>692</v>
      </c>
      <c r="S60">
        <f>VLOOKUP(A:A,MASTER!A:G,7,0)</f>
        <v>624</v>
      </c>
      <c r="T60" s="12">
        <f t="shared" si="4"/>
        <v>-9.8265895953757232E-2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85317689.138641283</v>
      </c>
      <c r="G61" s="1">
        <f>VLOOKUP(A:A,MASTER!A:K,11,0)</f>
        <v>104957958.57839498</v>
      </c>
      <c r="H61" s="12">
        <f t="shared" si="0"/>
        <v>0.23020161045194576</v>
      </c>
      <c r="I61" s="2">
        <f>VLOOKUP(A:A,MASTER!A:E,5,0)</f>
        <v>1668</v>
      </c>
      <c r="J61" s="2">
        <f>VLOOKUP(A:A,MASTER!A:J,10,0)</f>
        <v>1722</v>
      </c>
      <c r="K61" s="12">
        <f t="shared" si="1"/>
        <v>3.2374100719424481E-2</v>
      </c>
      <c r="L61" s="2">
        <f>VLOOKUP(A:A,MASTER!A:D,4,0)</f>
        <v>9</v>
      </c>
      <c r="M61" s="2">
        <f>VLOOKUP(A:A,MASTER!A:I,9,0)</f>
        <v>11</v>
      </c>
      <c r="N61" s="12">
        <f t="shared" si="2"/>
        <v>0.22222222222222232</v>
      </c>
      <c r="O61" s="1">
        <f>VLOOKUP(A:A,MASTER!A:C,3,0)</f>
        <v>20</v>
      </c>
      <c r="P61" s="1">
        <f>VLOOKUP(A:A,MASTER!A:H,8,0)</f>
        <v>15</v>
      </c>
      <c r="Q61" s="12">
        <f t="shared" si="3"/>
        <v>-0.25</v>
      </c>
      <c r="R61" s="1">
        <f>VLOOKUP(A:A,MASTER!A:B,2,0)</f>
        <v>2048</v>
      </c>
      <c r="S61">
        <f>VLOOKUP(A:A,MASTER!A:G,7,0)</f>
        <v>2010</v>
      </c>
      <c r="T61" s="12">
        <f t="shared" si="4"/>
        <v>-1.85546875E-2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78408477.996826321</v>
      </c>
      <c r="G62" s="1">
        <f>VLOOKUP(A:A,MASTER!A:K,11,0)</f>
        <v>79258311.448570415</v>
      </c>
      <c r="H62" s="12">
        <f t="shared" si="0"/>
        <v>1.0838540339712877E-2</v>
      </c>
      <c r="I62" s="2">
        <f>VLOOKUP(A:A,MASTER!A:E,5,0)</f>
        <v>1181</v>
      </c>
      <c r="J62" s="2">
        <f>VLOOKUP(A:A,MASTER!A:J,10,0)</f>
        <v>1222</v>
      </c>
      <c r="K62" s="12">
        <f t="shared" si="1"/>
        <v>3.4716342082980578E-2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19</v>
      </c>
      <c r="P62" s="1">
        <f>VLOOKUP(A:A,MASTER!A:H,8,0)</f>
        <v>16</v>
      </c>
      <c r="Q62" s="12">
        <f t="shared" si="3"/>
        <v>-0.15789473684210531</v>
      </c>
      <c r="R62" s="1">
        <f>VLOOKUP(A:A,MASTER!A:B,2,0)</f>
        <v>1587</v>
      </c>
      <c r="S62">
        <f>VLOOKUP(A:A,MASTER!A:G,7,0)</f>
        <v>1589</v>
      </c>
      <c r="T62" s="12">
        <f t="shared" si="4"/>
        <v>1.260239445494582E-3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48727801.593974993</v>
      </c>
      <c r="G63" s="1">
        <f>VLOOKUP(A:A,MASTER!A:K,11,0)</f>
        <v>50766777.004490346</v>
      </c>
      <c r="H63" s="12">
        <f t="shared" si="0"/>
        <v>4.1844190458357744E-2</v>
      </c>
      <c r="I63" s="2">
        <f>VLOOKUP(A:A,MASTER!A:E,5,0)</f>
        <v>655</v>
      </c>
      <c r="J63" s="2">
        <f>VLOOKUP(A:A,MASTER!A:J,10,0)</f>
        <v>734</v>
      </c>
      <c r="K63" s="12">
        <f t="shared" si="1"/>
        <v>0.12061068702290068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7</v>
      </c>
      <c r="Q63" s="12">
        <f t="shared" si="3"/>
        <v>2.5</v>
      </c>
      <c r="R63" s="1">
        <f>VLOOKUP(A:A,MASTER!A:B,2,0)</f>
        <v>855</v>
      </c>
      <c r="S63">
        <f>VLOOKUP(A:A,MASTER!A:G,7,0)</f>
        <v>893</v>
      </c>
      <c r="T63" s="12">
        <f t="shared" si="4"/>
        <v>4.4444444444444509E-2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71373716.671775326</v>
      </c>
      <c r="G64" s="1">
        <f>VLOOKUP(A:A,MASTER!A:K,11,0)</f>
        <v>75539145.629662246</v>
      </c>
      <c r="H64" s="12">
        <f t="shared" si="0"/>
        <v>5.8360824574154924E-2</v>
      </c>
      <c r="I64" s="2">
        <f>VLOOKUP(A:A,MASTER!A:E,5,0)</f>
        <v>1370</v>
      </c>
      <c r="J64" s="2">
        <f>VLOOKUP(A:A,MASTER!A:J,10,0)</f>
        <v>1362</v>
      </c>
      <c r="K64" s="12">
        <f t="shared" si="1"/>
        <v>-5.839416058394109E-3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244</v>
      </c>
      <c r="P64" s="1">
        <f>VLOOKUP(A:A,MASTER!A:H,8,0)</f>
        <v>476</v>
      </c>
      <c r="Q64" s="12">
        <f t="shared" si="3"/>
        <v>0.95081967213114749</v>
      </c>
      <c r="R64" s="1">
        <f>VLOOKUP(A:A,MASTER!A:B,2,0)</f>
        <v>1984</v>
      </c>
      <c r="S64">
        <f>VLOOKUP(A:A,MASTER!A:G,7,0)</f>
        <v>2259</v>
      </c>
      <c r="T64" s="12">
        <f t="shared" si="4"/>
        <v>0.13860887096774199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5369530.2958202437</v>
      </c>
      <c r="G65" s="1">
        <f>VLOOKUP(A:A,MASTER!A:K,11,0)</f>
        <v>3163370.7771156929</v>
      </c>
      <c r="H65" s="12">
        <f t="shared" si="0"/>
        <v>-0.41086638814979259</v>
      </c>
      <c r="I65" s="2">
        <f>VLOOKUP(A:A,MASTER!A:E,5,0)</f>
        <v>268</v>
      </c>
      <c r="J65" s="2">
        <f>VLOOKUP(A:A,MASTER!A:J,10,0)</f>
        <v>242</v>
      </c>
      <c r="K65" s="12">
        <f t="shared" si="1"/>
        <v>-9.7014925373134275E-2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0</v>
      </c>
      <c r="Q65" s="12">
        <f t="shared" si="3"/>
        <v>-1</v>
      </c>
      <c r="R65" s="1">
        <f>VLOOKUP(A:A,MASTER!A:B,2,0)</f>
        <v>261</v>
      </c>
      <c r="S65">
        <f>VLOOKUP(A:A,MASTER!A:G,7,0)</f>
        <v>254</v>
      </c>
      <c r="T65" s="12">
        <f t="shared" si="4"/>
        <v>-2.6819923371647514E-2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56257298.48234468</v>
      </c>
      <c r="G66" s="1">
        <f>VLOOKUP(A:A,MASTER!A:K,11,0)</f>
        <v>54652536.380899057</v>
      </c>
      <c r="H66" s="12">
        <f t="shared" si="0"/>
        <v>-2.8525402831940938E-2</v>
      </c>
      <c r="I66" s="2">
        <f>VLOOKUP(A:A,MASTER!A:E,5,0)</f>
        <v>1598</v>
      </c>
      <c r="J66" s="2">
        <f>VLOOKUP(A:A,MASTER!A:J,10,0)</f>
        <v>1580</v>
      </c>
      <c r="K66" s="12">
        <f t="shared" si="1"/>
        <v>-1.126408010012514E-2</v>
      </c>
      <c r="L66" s="2">
        <f>VLOOKUP(A:A,MASTER!A:D,4,0)</f>
        <v>8</v>
      </c>
      <c r="M66" s="2">
        <f>VLOOKUP(A:A,MASTER!A:I,9,0)</f>
        <v>6</v>
      </c>
      <c r="N66" s="12">
        <f t="shared" si="2"/>
        <v>-0.25</v>
      </c>
      <c r="O66" s="1">
        <f>VLOOKUP(A:A,MASTER!A:C,3,0)</f>
        <v>6</v>
      </c>
      <c r="P66" s="1">
        <f>VLOOKUP(A:A,MASTER!A:H,8,0)</f>
        <v>10</v>
      </c>
      <c r="Q66" s="12">
        <f t="shared" si="3"/>
        <v>0.66666666666666674</v>
      </c>
      <c r="R66" s="1">
        <f>VLOOKUP(A:A,MASTER!A:B,2,0)</f>
        <v>1797</v>
      </c>
      <c r="S66">
        <f>VLOOKUP(A:A,MASTER!A:G,7,0)</f>
        <v>1672</v>
      </c>
      <c r="T66" s="12">
        <f t="shared" si="4"/>
        <v>-6.9560378408458523E-2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22953791.33224605</v>
      </c>
      <c r="G67" s="1">
        <f>VLOOKUP(A:A,MASTER!A:K,11,0)</f>
        <v>25985617.40753483</v>
      </c>
      <c r="H67" s="12">
        <f t="shared" ref="H67:H85" si="5">IFERROR(G67/F67-1,0)</f>
        <v>0.13208389112737096</v>
      </c>
      <c r="I67" s="2">
        <f>VLOOKUP(A:A,MASTER!A:E,5,0)</f>
        <v>590</v>
      </c>
      <c r="J67" s="2">
        <f>VLOOKUP(A:A,MASTER!A:J,10,0)</f>
        <v>646</v>
      </c>
      <c r="K67" s="12">
        <f t="shared" ref="K67:K85" si="6">IFERROR(J67/I67-1,0)</f>
        <v>9.4915254237288194E-2</v>
      </c>
      <c r="L67" s="2">
        <f>VLOOKUP(A:A,MASTER!A:D,4,0)</f>
        <v>2</v>
      </c>
      <c r="M67" s="2">
        <f>VLOOKUP(A:A,MASTER!A:I,9,0)</f>
        <v>3</v>
      </c>
      <c r="N67" s="12">
        <f t="shared" ref="N67:N85" si="7">IFERROR(M67/L67-1,0)</f>
        <v>0.5</v>
      </c>
      <c r="O67" s="1">
        <f>VLOOKUP(A:A,MASTER!A:C,3,0)</f>
        <v>3</v>
      </c>
      <c r="P67" s="1">
        <f>VLOOKUP(A:A,MASTER!A:H,8,0)</f>
        <v>4</v>
      </c>
      <c r="Q67" s="12">
        <f t="shared" ref="Q67:Q85" si="8">IFERROR(P67/O67-1,0)</f>
        <v>0.33333333333333326</v>
      </c>
      <c r="R67" s="1">
        <f>VLOOKUP(A:A,MASTER!A:B,2,0)</f>
        <v>667</v>
      </c>
      <c r="S67">
        <f>VLOOKUP(A:A,MASTER!A:G,7,0)</f>
        <v>740</v>
      </c>
      <c r="T67" s="12">
        <f t="shared" ref="T67:T85" si="9">IFERROR(S67/R67-1,0)</f>
        <v>0.10944527736131926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38152542.670676976</v>
      </c>
      <c r="G68" s="1">
        <f>VLOOKUP(A:A,MASTER!A:K,11,0)</f>
        <v>39573153.64074301</v>
      </c>
      <c r="H68" s="12">
        <f t="shared" si="5"/>
        <v>3.7235027356587569E-2</v>
      </c>
      <c r="I68" s="2">
        <f>VLOOKUP(A:A,MASTER!A:E,5,0)</f>
        <v>1027</v>
      </c>
      <c r="J68" s="2">
        <f>VLOOKUP(A:A,MASTER!A:J,10,0)</f>
        <v>987</v>
      </c>
      <c r="K68" s="12">
        <f t="shared" si="6"/>
        <v>-3.8948393378773094E-2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45</v>
      </c>
      <c r="P68" s="1">
        <f>VLOOKUP(A:A,MASTER!A:H,8,0)</f>
        <v>73</v>
      </c>
      <c r="Q68" s="12">
        <f t="shared" si="8"/>
        <v>0.62222222222222223</v>
      </c>
      <c r="R68" s="1">
        <f>VLOOKUP(A:A,MASTER!A:B,2,0)</f>
        <v>1321</v>
      </c>
      <c r="S68">
        <f>VLOOKUP(A:A,MASTER!A:G,7,0)</f>
        <v>1433</v>
      </c>
      <c r="T68" s="12">
        <f t="shared" si="9"/>
        <v>8.4784254352763044E-2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18265551.76599412</v>
      </c>
      <c r="G69" s="1">
        <f>VLOOKUP(A:A,MASTER!A:K,11,0)</f>
        <v>25656378.209861528</v>
      </c>
      <c r="H69" s="12">
        <f t="shared" si="5"/>
        <v>0.40463198366814601</v>
      </c>
      <c r="I69" s="2">
        <f>VLOOKUP(A:A,MASTER!A:E,5,0)</f>
        <v>597</v>
      </c>
      <c r="J69" s="2">
        <f>VLOOKUP(A:A,MASTER!A:J,10,0)</f>
        <v>1253</v>
      </c>
      <c r="K69" s="12">
        <f t="shared" si="6"/>
        <v>1.0988274706867673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7</v>
      </c>
      <c r="P69" s="1">
        <f>VLOOKUP(A:A,MASTER!A:H,8,0)</f>
        <v>9</v>
      </c>
      <c r="Q69" s="12">
        <f t="shared" si="8"/>
        <v>0.28571428571428581</v>
      </c>
      <c r="R69" s="1">
        <f>VLOOKUP(A:A,MASTER!A:B,2,0)</f>
        <v>1345</v>
      </c>
      <c r="S69">
        <f>VLOOKUP(A:A,MASTER!A:G,7,0)</f>
        <v>1259</v>
      </c>
      <c r="T69" s="12">
        <f t="shared" si="9"/>
        <v>-6.394052044609666E-2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67202251.554740682</v>
      </c>
      <c r="G70" s="1">
        <f>VLOOKUP(A:A,MASTER!A:K,11,0)</f>
        <v>68457996.802198336</v>
      </c>
      <c r="H70" s="12">
        <f t="shared" si="5"/>
        <v>1.8686059148401712E-2</v>
      </c>
      <c r="I70" s="2">
        <f>VLOOKUP(A:A,MASTER!A:E,5,0)</f>
        <v>1236</v>
      </c>
      <c r="J70" s="2">
        <f>VLOOKUP(A:A,MASTER!A:J,10,0)</f>
        <v>1225</v>
      </c>
      <c r="K70" s="12">
        <f t="shared" si="6"/>
        <v>-8.8996763754045638E-3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8</v>
      </c>
      <c r="P70" s="1">
        <f>VLOOKUP(A:A,MASTER!A:H,8,0)</f>
        <v>13</v>
      </c>
      <c r="Q70" s="12">
        <f t="shared" si="8"/>
        <v>0.625</v>
      </c>
      <c r="R70" s="1">
        <f>VLOOKUP(A:A,MASTER!A:B,2,0)</f>
        <v>1745</v>
      </c>
      <c r="S70">
        <f>VLOOKUP(A:A,MASTER!A:G,7,0)</f>
        <v>1732</v>
      </c>
      <c r="T70" s="12">
        <f t="shared" si="9"/>
        <v>-7.4498567335243848E-3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14429554.57921656</v>
      </c>
      <c r="G71" s="1">
        <f>VLOOKUP(A:A,MASTER!A:K,11,0)</f>
        <v>13727240.991854239</v>
      </c>
      <c r="H71" s="12">
        <f t="shared" si="5"/>
        <v>-4.8671882663231303E-2</v>
      </c>
      <c r="I71" s="2">
        <f>VLOOKUP(A:A,MASTER!A:E,5,0)</f>
        <v>628</v>
      </c>
      <c r="J71" s="2">
        <f>VLOOKUP(A:A,MASTER!A:J,10,0)</f>
        <v>439</v>
      </c>
      <c r="K71" s="12">
        <f t="shared" si="6"/>
        <v>-0.30095541401273884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3</v>
      </c>
      <c r="P71" s="1">
        <f>VLOOKUP(A:A,MASTER!A:H,8,0)</f>
        <v>2</v>
      </c>
      <c r="Q71" s="12">
        <f t="shared" si="8"/>
        <v>-0.33333333333333337</v>
      </c>
      <c r="R71" s="1">
        <f>VLOOKUP(A:A,MASTER!A:B,2,0)</f>
        <v>497</v>
      </c>
      <c r="S71">
        <f>VLOOKUP(A:A,MASTER!A:G,7,0)</f>
        <v>517</v>
      </c>
      <c r="T71" s="12">
        <f t="shared" si="9"/>
        <v>4.0241448692152959E-2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22171799.827533696</v>
      </c>
      <c r="G72" s="1">
        <f>VLOOKUP(A:A,MASTER!A:K,11,0)</f>
        <v>22253625.293895539</v>
      </c>
      <c r="H72" s="12">
        <f t="shared" si="5"/>
        <v>3.690519804361081E-3</v>
      </c>
      <c r="I72" s="2">
        <f>VLOOKUP(A:A,MASTER!A:E,5,0)</f>
        <v>852</v>
      </c>
      <c r="J72" s="2">
        <f>VLOOKUP(A:A,MASTER!A:J,10,0)</f>
        <v>788</v>
      </c>
      <c r="K72" s="12">
        <f t="shared" si="6"/>
        <v>-7.5117370892018753E-2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5</v>
      </c>
      <c r="P72" s="1">
        <f>VLOOKUP(A:A,MASTER!A:H,8,0)</f>
        <v>4</v>
      </c>
      <c r="Q72" s="12">
        <f t="shared" si="8"/>
        <v>-0.19999999999999996</v>
      </c>
      <c r="R72" s="1">
        <f>VLOOKUP(A:A,MASTER!A:B,2,0)</f>
        <v>889</v>
      </c>
      <c r="S72">
        <f>VLOOKUP(A:A,MASTER!A:G,7,0)</f>
        <v>882</v>
      </c>
      <c r="T72" s="12">
        <f t="shared" si="9"/>
        <v>-7.8740157480314821E-3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15045724.399837304</v>
      </c>
      <c r="G73" s="1">
        <f>VLOOKUP(A:A,MASTER!A:K,11,0)</f>
        <v>22077326.343890451</v>
      </c>
      <c r="H73" s="12">
        <f t="shared" si="5"/>
        <v>0.46734884656860931</v>
      </c>
      <c r="I73" s="2">
        <f>VLOOKUP(A:A,MASTER!A:E,5,0)</f>
        <v>633</v>
      </c>
      <c r="J73" s="2">
        <f>VLOOKUP(A:A,MASTER!A:J,10,0)</f>
        <v>470</v>
      </c>
      <c r="K73" s="12">
        <f t="shared" si="6"/>
        <v>-0.25750394944707744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669</v>
      </c>
      <c r="S73">
        <f>VLOOKUP(A:A,MASTER!A:G,7,0)</f>
        <v>646</v>
      </c>
      <c r="T73" s="12">
        <f t="shared" si="9"/>
        <v>-3.4379671150971625E-2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13803246.696355209</v>
      </c>
      <c r="G74" s="1">
        <f>VLOOKUP(A:A,MASTER!A:K,11,0)</f>
        <v>16036060.553102637</v>
      </c>
      <c r="H74" s="12">
        <f t="shared" si="5"/>
        <v>0.16176004862225701</v>
      </c>
      <c r="I74" s="2">
        <f>VLOOKUP(A:A,MASTER!A:E,5,0)</f>
        <v>13</v>
      </c>
      <c r="J74" s="2">
        <f>VLOOKUP(A:A,MASTER!A:J,10,0)</f>
        <v>513</v>
      </c>
      <c r="K74" s="12">
        <f t="shared" si="6"/>
        <v>38.46153846153846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592</v>
      </c>
      <c r="S74">
        <f>VLOOKUP(A:A,MASTER!A:G,7,0)</f>
        <v>621</v>
      </c>
      <c r="T74" s="12">
        <f t="shared" si="9"/>
        <v>4.8986486486486402E-2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17050229.600482032</v>
      </c>
      <c r="G75" s="1">
        <f>VLOOKUP(A:A,MASTER!A:K,11,0)</f>
        <v>18475041.61702498</v>
      </c>
      <c r="H75" s="12">
        <f t="shared" si="5"/>
        <v>8.3565561868015337E-2</v>
      </c>
      <c r="I75" s="2">
        <f>VLOOKUP(A:A,MASTER!A:E,5,0)</f>
        <v>426</v>
      </c>
      <c r="J75" s="2">
        <f>VLOOKUP(A:A,MASTER!A:J,10,0)</f>
        <v>499</v>
      </c>
      <c r="K75" s="12">
        <f t="shared" si="6"/>
        <v>0.17136150234741776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433</v>
      </c>
      <c r="S75">
        <f>VLOOKUP(A:A,MASTER!A:G,7,0)</f>
        <v>445</v>
      </c>
      <c r="T75" s="12">
        <f t="shared" si="9"/>
        <v>2.7713625866050862E-2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49208948.078755222</v>
      </c>
      <c r="G76" s="1">
        <f>VLOOKUP(A:A,MASTER!A:K,11,0)</f>
        <v>49281799.342978746</v>
      </c>
      <c r="H76" s="12">
        <f t="shared" si="5"/>
        <v>1.4804475012741847E-3</v>
      </c>
      <c r="I76" s="2">
        <f>VLOOKUP(A:A,MASTER!A:E,5,0)</f>
        <v>788</v>
      </c>
      <c r="J76" s="2">
        <f>VLOOKUP(A:A,MASTER!A:J,10,0)</f>
        <v>610</v>
      </c>
      <c r="K76" s="12">
        <f t="shared" si="6"/>
        <v>-0.2258883248730964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11</v>
      </c>
      <c r="P76" s="1">
        <f>VLOOKUP(A:A,MASTER!A:H,8,0)</f>
        <v>8</v>
      </c>
      <c r="Q76" s="12">
        <f t="shared" si="8"/>
        <v>-0.27272727272727271</v>
      </c>
      <c r="R76" s="1">
        <f>VLOOKUP(A:A,MASTER!A:B,2,0)</f>
        <v>952</v>
      </c>
      <c r="S76">
        <f>VLOOKUP(A:A,MASTER!A:G,7,0)</f>
        <v>896</v>
      </c>
      <c r="T76" s="12">
        <f t="shared" si="9"/>
        <v>-5.8823529411764719E-2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29405507.483340576</v>
      </c>
      <c r="G77" s="1">
        <f>VLOOKUP(A:A,MASTER!A:K,11,0)</f>
        <v>28529057.216889117</v>
      </c>
      <c r="H77" s="12">
        <f t="shared" si="5"/>
        <v>-2.9805650079258283E-2</v>
      </c>
      <c r="I77" s="2">
        <f>VLOOKUP(A:A,MASTER!A:E,5,0)</f>
        <v>744</v>
      </c>
      <c r="J77" s="2">
        <f>VLOOKUP(A:A,MASTER!A:J,10,0)</f>
        <v>724</v>
      </c>
      <c r="K77" s="12">
        <f t="shared" si="6"/>
        <v>-2.6881720430107503E-2</v>
      </c>
      <c r="L77" s="2">
        <f>VLOOKUP(A:A,MASTER!A:D,4,0)</f>
        <v>9</v>
      </c>
      <c r="M77" s="2">
        <f>VLOOKUP(A:A,MASTER!A:I,9,0)</f>
        <v>10</v>
      </c>
      <c r="N77" s="12">
        <f t="shared" si="7"/>
        <v>0.11111111111111116</v>
      </c>
      <c r="O77" s="1">
        <f>VLOOKUP(A:A,MASTER!A:C,3,0)</f>
        <v>4</v>
      </c>
      <c r="P77" s="1">
        <f>VLOOKUP(A:A,MASTER!A:H,8,0)</f>
        <v>4</v>
      </c>
      <c r="Q77" s="12">
        <f t="shared" si="8"/>
        <v>0</v>
      </c>
      <c r="R77" s="1">
        <f>VLOOKUP(A:A,MASTER!A:B,2,0)</f>
        <v>786</v>
      </c>
      <c r="S77">
        <f>VLOOKUP(A:A,MASTER!A:G,7,0)</f>
        <v>774</v>
      </c>
      <c r="T77" s="12">
        <f t="shared" si="9"/>
        <v>-1.5267175572519109E-2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23976905.020967472</v>
      </c>
      <c r="G78" s="1">
        <f>VLOOKUP(A:A,MASTER!A:K,11,0)</f>
        <v>24304206.202539802</v>
      </c>
      <c r="H78" s="12">
        <f t="shared" si="5"/>
        <v>1.3650685160829124E-2</v>
      </c>
      <c r="I78" s="2">
        <f>VLOOKUP(A:A,MASTER!A:E,5,0)</f>
        <v>1049</v>
      </c>
      <c r="J78" s="2">
        <f>VLOOKUP(A:A,MASTER!A:J,10,0)</f>
        <v>1171</v>
      </c>
      <c r="K78" s="12">
        <f t="shared" si="6"/>
        <v>0.11630123927550051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3</v>
      </c>
      <c r="Q78" s="12">
        <f t="shared" si="8"/>
        <v>2</v>
      </c>
      <c r="R78" s="1">
        <f>VLOOKUP(A:A,MASTER!A:B,2,0)</f>
        <v>951</v>
      </c>
      <c r="S78">
        <f>VLOOKUP(A:A,MASTER!A:G,7,0)</f>
        <v>960</v>
      </c>
      <c r="T78" s="12">
        <f t="shared" si="9"/>
        <v>9.4637223974762819E-3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27051046.84657656</v>
      </c>
      <c r="G79" s="1">
        <f>VLOOKUP(A:A,MASTER!A:K,11,0)</f>
        <v>25200040.858496305</v>
      </c>
      <c r="H79" s="12">
        <f t="shared" si="5"/>
        <v>-6.8426408729335697E-2</v>
      </c>
      <c r="I79" s="2">
        <f>VLOOKUP(A:A,MASTER!A:E,5,0)</f>
        <v>818</v>
      </c>
      <c r="J79" s="2">
        <f>VLOOKUP(A:A,MASTER!A:J,10,0)</f>
        <v>828</v>
      </c>
      <c r="K79" s="12">
        <f t="shared" si="6"/>
        <v>1.2224938875305513E-2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6</v>
      </c>
      <c r="P79" s="1">
        <f>VLOOKUP(A:A,MASTER!A:H,8,0)</f>
        <v>3</v>
      </c>
      <c r="Q79" s="12">
        <f t="shared" si="8"/>
        <v>-0.5</v>
      </c>
      <c r="R79" s="1">
        <f>VLOOKUP(A:A,MASTER!A:B,2,0)</f>
        <v>1016</v>
      </c>
      <c r="S79">
        <f>VLOOKUP(A:A,MASTER!A:G,7,0)</f>
        <v>991</v>
      </c>
      <c r="T79" s="12">
        <f t="shared" si="9"/>
        <v>-2.4606299212598381E-2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29446746.70471419</v>
      </c>
      <c r="G80" s="1">
        <f>VLOOKUP(A:A,MASTER!A:K,11,0)</f>
        <v>32219102.200047638</v>
      </c>
      <c r="H80" s="12">
        <f t="shared" si="5"/>
        <v>9.4148108214942905E-2</v>
      </c>
      <c r="I80" s="2">
        <f>VLOOKUP(A:A,MASTER!A:E,5,0)</f>
        <v>756</v>
      </c>
      <c r="J80" s="2">
        <f>VLOOKUP(A:A,MASTER!A:J,10,0)</f>
        <v>772</v>
      </c>
      <c r="K80" s="12">
        <f t="shared" si="6"/>
        <v>2.1164021164021163E-2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5</v>
      </c>
      <c r="P80" s="1">
        <f>VLOOKUP(A:A,MASTER!A:H,8,0)</f>
        <v>2</v>
      </c>
      <c r="Q80" s="12">
        <f t="shared" si="8"/>
        <v>-0.6</v>
      </c>
      <c r="R80" s="1">
        <f>VLOOKUP(A:A,MASTER!A:B,2,0)</f>
        <v>755</v>
      </c>
      <c r="S80">
        <f>VLOOKUP(A:A,MASTER!A:G,7,0)</f>
        <v>756</v>
      </c>
      <c r="T80" s="12">
        <f t="shared" si="9"/>
        <v>1.3245033112583293E-3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12890849.296891289</v>
      </c>
      <c r="G81" s="1">
        <f>VLOOKUP(A:A,MASTER!A:K,11,0)</f>
        <v>14575510.609984348</v>
      </c>
      <c r="H81" s="12">
        <f t="shared" si="5"/>
        <v>0.13068660367469542</v>
      </c>
      <c r="I81" s="2">
        <f>VLOOKUP(A:A,MASTER!A:E,5,0)</f>
        <v>679</v>
      </c>
      <c r="J81" s="2">
        <f>VLOOKUP(A:A,MASTER!A:J,10,0)</f>
        <v>589</v>
      </c>
      <c r="K81" s="12">
        <f t="shared" si="6"/>
        <v>-0.13254786450662737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3</v>
      </c>
      <c r="Q81" s="12">
        <f t="shared" si="8"/>
        <v>0.5</v>
      </c>
      <c r="R81" s="1">
        <f>VLOOKUP(A:A,MASTER!A:B,2,0)</f>
        <v>567</v>
      </c>
      <c r="S81">
        <f>VLOOKUP(A:A,MASTER!A:G,7,0)</f>
        <v>568</v>
      </c>
      <c r="T81" s="12">
        <f t="shared" si="9"/>
        <v>1.7636684303350414E-3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55870676.347908162</v>
      </c>
      <c r="G82" s="1">
        <f>VLOOKUP(A:A,MASTER!A:K,11,0)</f>
        <v>60561873.35205964</v>
      </c>
      <c r="H82" s="12">
        <f t="shared" si="5"/>
        <v>8.3965280372467088E-2</v>
      </c>
      <c r="I82" s="2">
        <f>VLOOKUP(A:A,MASTER!A:E,5,0)</f>
        <v>1385</v>
      </c>
      <c r="J82" s="2">
        <f>VLOOKUP(A:A,MASTER!A:J,10,0)</f>
        <v>1394</v>
      </c>
      <c r="K82" s="12">
        <f t="shared" si="6"/>
        <v>6.4981949458484678E-3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7</v>
      </c>
      <c r="Q82" s="12">
        <f t="shared" si="8"/>
        <v>-0.30000000000000004</v>
      </c>
      <c r="R82" s="1">
        <f>VLOOKUP(A:A,MASTER!A:B,2,0)</f>
        <v>1696</v>
      </c>
      <c r="S82">
        <f>VLOOKUP(A:A,MASTER!A:G,7,0)</f>
        <v>1768</v>
      </c>
      <c r="T82" s="12">
        <f t="shared" si="9"/>
        <v>4.2452830188679291E-2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15216982.418813448</v>
      </c>
      <c r="G83" s="1">
        <f>VLOOKUP(A:A,MASTER!A:K,11,0)</f>
        <v>13821141.409075508</v>
      </c>
      <c r="H83" s="12">
        <f t="shared" si="5"/>
        <v>-9.1729159653375025E-2</v>
      </c>
      <c r="I83" s="2">
        <f>VLOOKUP(A:A,MASTER!A:E,5,0)</f>
        <v>903</v>
      </c>
      <c r="J83" s="2">
        <f>VLOOKUP(A:A,MASTER!A:J,10,0)</f>
        <v>648</v>
      </c>
      <c r="K83" s="12">
        <f t="shared" si="6"/>
        <v>-0.28239202657807305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5</v>
      </c>
      <c r="P83" s="1">
        <f>VLOOKUP(A:A,MASTER!A:H,8,0)</f>
        <v>0</v>
      </c>
      <c r="Q83" s="12">
        <f t="shared" si="8"/>
        <v>-1</v>
      </c>
      <c r="R83" s="1">
        <f>VLOOKUP(A:A,MASTER!A:B,2,0)</f>
        <v>600</v>
      </c>
      <c r="S83">
        <f>VLOOKUP(A:A,MASTER!A:G,7,0)</f>
        <v>566</v>
      </c>
      <c r="T83" s="12">
        <f t="shared" si="9"/>
        <v>-5.6666666666666643E-2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26078100.101177879</v>
      </c>
      <c r="G84" s="1">
        <f>VLOOKUP(A:A,MASTER!A:K,11,0)</f>
        <v>27183832.475523256</v>
      </c>
      <c r="H84" s="12">
        <f t="shared" si="5"/>
        <v>4.2400802591268327E-2</v>
      </c>
      <c r="I84" s="2">
        <f>VLOOKUP(A:A,MASTER!A:E,5,0)</f>
        <v>521</v>
      </c>
      <c r="J84" s="2">
        <f>VLOOKUP(A:A,MASTER!A:J,10,0)</f>
        <v>522</v>
      </c>
      <c r="K84" s="12">
        <f t="shared" si="6"/>
        <v>1.9193857965451588E-3</v>
      </c>
      <c r="L84" s="2">
        <f>VLOOKUP(A:A,MASTER!A:D,4,0)</f>
        <v>6</v>
      </c>
      <c r="M84" s="2">
        <f>VLOOKUP(A:A,MASTER!A:I,9,0)</f>
        <v>7</v>
      </c>
      <c r="N84" s="12">
        <f t="shared" si="7"/>
        <v>0.16666666666666674</v>
      </c>
      <c r="O84" s="1">
        <f>VLOOKUP(A:A,MASTER!A:C,3,0)</f>
        <v>13</v>
      </c>
      <c r="P84" s="1">
        <f>VLOOKUP(A:A,MASTER!A:H,8,0)</f>
        <v>4</v>
      </c>
      <c r="Q84" s="12">
        <f t="shared" si="8"/>
        <v>-0.69230769230769229</v>
      </c>
      <c r="R84" s="1">
        <f>VLOOKUP(A:A,MASTER!A:B,2,0)</f>
        <v>600</v>
      </c>
      <c r="S84">
        <f>VLOOKUP(A:A,MASTER!A:G,7,0)</f>
        <v>632</v>
      </c>
      <c r="T84" s="12">
        <f t="shared" si="9"/>
        <v>5.3333333333333233E-2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7162107.3929737266</v>
      </c>
      <c r="G85" s="1">
        <f>VLOOKUP(A:A,MASTER!A:K,11,0)</f>
        <v>6488168.8620083621</v>
      </c>
      <c r="H85" s="12">
        <f t="shared" si="5"/>
        <v>-9.4097797475994449E-2</v>
      </c>
      <c r="I85" s="2">
        <f>VLOOKUP(A:A,MASTER!A:E,5,0)</f>
        <v>328</v>
      </c>
      <c r="J85" s="2">
        <f>VLOOKUP(A:A,MASTER!A:J,10,0)</f>
        <v>304</v>
      </c>
      <c r="K85" s="12">
        <f t="shared" si="6"/>
        <v>-7.3170731707317027E-2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2</v>
      </c>
      <c r="Q85" s="12">
        <f t="shared" si="8"/>
        <v>-0.33333333333333337</v>
      </c>
      <c r="R85" s="1">
        <f>VLOOKUP(A:A,MASTER!A:B,2,0)</f>
        <v>363</v>
      </c>
      <c r="S85">
        <f>VLOOKUP(A:A,MASTER!A:G,7,0)</f>
        <v>358</v>
      </c>
      <c r="T85" s="12">
        <f t="shared" si="9"/>
        <v>-1.377410468319562E-2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84155</v>
      </c>
      <c r="C3" s="11">
        <f t="shared" si="0"/>
        <v>1484</v>
      </c>
      <c r="D3" s="11">
        <f t="shared" si="0"/>
        <v>307</v>
      </c>
      <c r="E3" s="11">
        <f t="shared" si="0"/>
        <v>70150</v>
      </c>
      <c r="F3" s="11">
        <f t="shared" si="0"/>
        <v>2762661133.2590084</v>
      </c>
      <c r="G3" s="11">
        <f t="shared" si="0"/>
        <v>84561</v>
      </c>
      <c r="H3" s="11">
        <f t="shared" si="0"/>
        <v>1547</v>
      </c>
      <c r="I3" s="11">
        <f t="shared" si="0"/>
        <v>314</v>
      </c>
      <c r="J3" s="11">
        <f t="shared" si="0"/>
        <v>70937</v>
      </c>
      <c r="K3" s="11">
        <f t="shared" si="0"/>
        <v>2842605836.7440019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417</v>
      </c>
      <c r="C6" s="10">
        <v>3</v>
      </c>
      <c r="D6" s="10">
        <v>2</v>
      </c>
      <c r="E6" s="10">
        <v>327</v>
      </c>
      <c r="F6" s="10">
        <v>13087808.370799534</v>
      </c>
      <c r="G6" s="10">
        <v>414</v>
      </c>
      <c r="H6" s="10">
        <v>1</v>
      </c>
      <c r="I6" s="10">
        <v>2</v>
      </c>
      <c r="J6" s="10">
        <v>353</v>
      </c>
      <c r="K6" s="10">
        <v>12916722.729567273</v>
      </c>
    </row>
    <row r="7" spans="1:11" x14ac:dyDescent="0.35">
      <c r="A7" s="9" t="s">
        <v>127</v>
      </c>
      <c r="B7" s="10">
        <v>676</v>
      </c>
      <c r="C7" s="10">
        <v>2</v>
      </c>
      <c r="D7" s="10">
        <v>1</v>
      </c>
      <c r="E7" s="10">
        <v>492</v>
      </c>
      <c r="F7" s="10">
        <v>15998166.242166299</v>
      </c>
      <c r="G7" s="10">
        <v>634</v>
      </c>
      <c r="H7" s="10">
        <v>6</v>
      </c>
      <c r="I7" s="10">
        <v>2</v>
      </c>
      <c r="J7" s="10">
        <v>500</v>
      </c>
      <c r="K7" s="10">
        <v>15084594.410566358</v>
      </c>
    </row>
    <row r="8" spans="1:11" x14ac:dyDescent="0.35">
      <c r="A8" s="9" t="s">
        <v>119</v>
      </c>
      <c r="B8" s="10">
        <v>690</v>
      </c>
      <c r="C8" s="10">
        <v>7</v>
      </c>
      <c r="D8" s="10">
        <v>2</v>
      </c>
      <c r="E8" s="10">
        <v>912</v>
      </c>
      <c r="F8" s="10">
        <v>18423447.133026849</v>
      </c>
      <c r="G8" s="10">
        <v>770</v>
      </c>
      <c r="H8" s="10">
        <v>9</v>
      </c>
      <c r="I8" s="10">
        <v>1</v>
      </c>
      <c r="J8" s="10">
        <v>788</v>
      </c>
      <c r="K8" s="10">
        <v>21263351.156662799</v>
      </c>
    </row>
    <row r="9" spans="1:11" x14ac:dyDescent="0.35">
      <c r="A9" s="9" t="s">
        <v>121</v>
      </c>
      <c r="B9" s="10">
        <v>1188</v>
      </c>
      <c r="C9" s="10">
        <v>7</v>
      </c>
      <c r="D9" s="10">
        <v>3</v>
      </c>
      <c r="E9" s="10">
        <v>1484</v>
      </c>
      <c r="F9" s="10">
        <v>32444786.249515016</v>
      </c>
      <c r="G9" s="10">
        <v>1214</v>
      </c>
      <c r="H9" s="10">
        <v>8</v>
      </c>
      <c r="I9" s="10">
        <v>3</v>
      </c>
      <c r="J9" s="10">
        <v>1130</v>
      </c>
      <c r="K9" s="10">
        <v>33059806.89004685</v>
      </c>
    </row>
    <row r="10" spans="1:11" x14ac:dyDescent="0.35">
      <c r="A10" s="9" t="s">
        <v>123</v>
      </c>
      <c r="B10" s="10">
        <v>418</v>
      </c>
      <c r="C10" s="10">
        <v>1</v>
      </c>
      <c r="D10" s="10">
        <v>1</v>
      </c>
      <c r="E10" s="10">
        <v>425</v>
      </c>
      <c r="F10" s="10">
        <v>13426816.547492765</v>
      </c>
      <c r="G10" s="10">
        <v>413</v>
      </c>
      <c r="H10" s="10">
        <v>1</v>
      </c>
      <c r="I10" s="10">
        <v>1</v>
      </c>
      <c r="J10" s="10">
        <v>377</v>
      </c>
      <c r="K10" s="10">
        <v>14740995.052347932</v>
      </c>
    </row>
    <row r="11" spans="1:11" x14ac:dyDescent="0.35">
      <c r="A11" s="9" t="s">
        <v>125</v>
      </c>
      <c r="B11" s="10">
        <v>380</v>
      </c>
      <c r="C11" s="10">
        <v>3</v>
      </c>
      <c r="D11" s="10">
        <v>2</v>
      </c>
      <c r="E11" s="10">
        <v>359</v>
      </c>
      <c r="F11" s="10">
        <v>11608508.537279077</v>
      </c>
      <c r="G11" s="10">
        <v>387</v>
      </c>
      <c r="H11" s="10">
        <v>3</v>
      </c>
      <c r="I11" s="10">
        <v>2</v>
      </c>
      <c r="J11" s="10">
        <v>268</v>
      </c>
      <c r="K11" s="10">
        <v>12076791.011960519</v>
      </c>
    </row>
    <row r="12" spans="1:11" x14ac:dyDescent="0.35">
      <c r="A12" s="9" t="s">
        <v>131</v>
      </c>
      <c r="B12" s="10">
        <v>594</v>
      </c>
      <c r="C12" s="10">
        <v>1</v>
      </c>
      <c r="D12" s="10">
        <v>1</v>
      </c>
      <c r="E12" s="10">
        <v>453</v>
      </c>
      <c r="F12" s="10">
        <v>13234286.009974919</v>
      </c>
      <c r="G12" s="10">
        <v>595</v>
      </c>
      <c r="H12" s="10">
        <v>3</v>
      </c>
      <c r="I12" s="10">
        <v>2</v>
      </c>
      <c r="J12" s="10">
        <v>480</v>
      </c>
      <c r="K12" s="10">
        <v>14483043.079303995</v>
      </c>
    </row>
    <row r="13" spans="1:11" x14ac:dyDescent="0.35">
      <c r="A13" s="9" t="s">
        <v>133</v>
      </c>
      <c r="B13" s="10">
        <v>172</v>
      </c>
      <c r="C13" s="10">
        <v>0</v>
      </c>
      <c r="D13" s="10">
        <v>1</v>
      </c>
      <c r="E13" s="10">
        <v>168</v>
      </c>
      <c r="F13" s="10">
        <v>6272122.0239012884</v>
      </c>
      <c r="G13" s="10">
        <v>173</v>
      </c>
      <c r="H13" s="10">
        <v>0</v>
      </c>
      <c r="I13" s="10">
        <v>1</v>
      </c>
      <c r="J13" s="10">
        <v>151</v>
      </c>
      <c r="K13" s="10">
        <v>6320873.6215354437</v>
      </c>
    </row>
    <row r="14" spans="1:11" x14ac:dyDescent="0.35">
      <c r="A14" s="9" t="s">
        <v>141</v>
      </c>
      <c r="B14" s="10">
        <v>195</v>
      </c>
      <c r="C14" s="10">
        <v>1</v>
      </c>
      <c r="D14" s="10">
        <v>0</v>
      </c>
      <c r="E14" s="10">
        <v>184</v>
      </c>
      <c r="F14" s="10">
        <v>5986210.4536223654</v>
      </c>
      <c r="G14" s="10">
        <v>187</v>
      </c>
      <c r="H14" s="10">
        <v>1</v>
      </c>
      <c r="I14" s="10">
        <v>1</v>
      </c>
      <c r="J14" s="10">
        <v>163</v>
      </c>
      <c r="K14" s="10">
        <v>3146674.465636583</v>
      </c>
    </row>
    <row r="15" spans="1:11" x14ac:dyDescent="0.35">
      <c r="A15" s="9" t="s">
        <v>135</v>
      </c>
      <c r="B15" s="10">
        <v>344</v>
      </c>
      <c r="C15" s="10">
        <v>0</v>
      </c>
      <c r="D15" s="10">
        <v>1</v>
      </c>
      <c r="E15" s="10">
        <v>339</v>
      </c>
      <c r="F15" s="10">
        <v>9371873.1319251489</v>
      </c>
      <c r="G15" s="10">
        <v>383</v>
      </c>
      <c r="H15" s="10">
        <v>3</v>
      </c>
      <c r="I15" s="10">
        <v>1</v>
      </c>
      <c r="J15" s="10">
        <v>382</v>
      </c>
      <c r="K15" s="10">
        <v>12410426.942553291</v>
      </c>
    </row>
    <row r="16" spans="1:11" x14ac:dyDescent="0.35">
      <c r="A16" s="9" t="s">
        <v>143</v>
      </c>
      <c r="B16" s="10">
        <v>215</v>
      </c>
      <c r="C16" s="10">
        <v>0</v>
      </c>
      <c r="D16" s="10">
        <v>2</v>
      </c>
      <c r="E16" s="10">
        <v>245</v>
      </c>
      <c r="F16" s="10">
        <v>4545722.9148001587</v>
      </c>
      <c r="G16" s="10">
        <v>226</v>
      </c>
      <c r="H16" s="10">
        <v>0</v>
      </c>
      <c r="I16" s="10">
        <v>2</v>
      </c>
      <c r="J16" s="10">
        <v>257</v>
      </c>
      <c r="K16" s="10">
        <v>6532815.7132673627</v>
      </c>
    </row>
    <row r="17" spans="1:11" x14ac:dyDescent="0.35">
      <c r="A17" s="9" t="s">
        <v>145</v>
      </c>
      <c r="B17" s="10">
        <v>256</v>
      </c>
      <c r="C17" s="10">
        <v>7</v>
      </c>
      <c r="D17" s="10">
        <v>1</v>
      </c>
      <c r="E17" s="10">
        <v>213</v>
      </c>
      <c r="F17" s="10">
        <v>6093279.5223717354</v>
      </c>
      <c r="G17" s="10">
        <v>239</v>
      </c>
      <c r="H17" s="10">
        <v>2</v>
      </c>
      <c r="I17" s="10">
        <v>1</v>
      </c>
      <c r="J17" s="10">
        <v>230</v>
      </c>
      <c r="K17" s="10">
        <v>6845794.9533302337</v>
      </c>
    </row>
    <row r="18" spans="1:11" x14ac:dyDescent="0.35">
      <c r="A18" s="9" t="s">
        <v>20</v>
      </c>
      <c r="B18" s="10">
        <v>1427</v>
      </c>
      <c r="C18" s="10">
        <v>0</v>
      </c>
      <c r="D18" s="10">
        <v>2</v>
      </c>
      <c r="E18" s="10">
        <v>1494</v>
      </c>
      <c r="F18" s="10">
        <v>13443706.666459411</v>
      </c>
      <c r="G18" s="10">
        <v>1384</v>
      </c>
      <c r="H18" s="10">
        <v>4</v>
      </c>
      <c r="I18" s="10">
        <v>3</v>
      </c>
      <c r="J18" s="10">
        <v>1076</v>
      </c>
      <c r="K18" s="10">
        <v>29022560.368282694</v>
      </c>
    </row>
    <row r="19" spans="1:11" x14ac:dyDescent="0.35">
      <c r="A19" s="9" t="s">
        <v>45</v>
      </c>
      <c r="B19" s="10">
        <v>1269</v>
      </c>
      <c r="C19" s="10">
        <v>1</v>
      </c>
      <c r="D19" s="10">
        <v>2</v>
      </c>
      <c r="E19" s="10">
        <v>181</v>
      </c>
      <c r="F19" s="10">
        <v>37942760.593333475</v>
      </c>
      <c r="G19" s="10">
        <v>1234</v>
      </c>
      <c r="H19" s="10">
        <v>2</v>
      </c>
      <c r="I19" s="10">
        <v>3</v>
      </c>
      <c r="J19" s="10">
        <v>901</v>
      </c>
      <c r="K19" s="10">
        <v>49024095.31867002</v>
      </c>
    </row>
    <row r="20" spans="1:11" x14ac:dyDescent="0.35">
      <c r="A20" s="9" t="s">
        <v>47</v>
      </c>
      <c r="B20" s="10">
        <v>1018</v>
      </c>
      <c r="C20" s="10">
        <v>4</v>
      </c>
      <c r="D20" s="10">
        <v>4</v>
      </c>
      <c r="E20" s="10">
        <v>922</v>
      </c>
      <c r="F20" s="10">
        <v>25808105.930136997</v>
      </c>
      <c r="G20" s="10">
        <v>1021</v>
      </c>
      <c r="H20" s="10">
        <v>4</v>
      </c>
      <c r="I20" s="10">
        <v>5</v>
      </c>
      <c r="J20" s="10">
        <v>859</v>
      </c>
      <c r="K20" s="10">
        <v>26071080.14117502</v>
      </c>
    </row>
    <row r="21" spans="1:11" x14ac:dyDescent="0.35">
      <c r="A21" s="9" t="s">
        <v>49</v>
      </c>
      <c r="B21" s="10">
        <v>949</v>
      </c>
      <c r="C21" s="10">
        <v>1</v>
      </c>
      <c r="D21" s="10">
        <v>3</v>
      </c>
      <c r="E21" s="10">
        <v>583</v>
      </c>
      <c r="F21" s="10">
        <v>25100221.83684345</v>
      </c>
      <c r="G21" s="10">
        <v>917</v>
      </c>
      <c r="H21" s="10">
        <v>4</v>
      </c>
      <c r="I21" s="10">
        <v>3</v>
      </c>
      <c r="J21" s="10">
        <v>664</v>
      </c>
      <c r="K21" s="10">
        <v>21493879.316390663</v>
      </c>
    </row>
    <row r="22" spans="1:11" x14ac:dyDescent="0.35">
      <c r="A22" s="9" t="s">
        <v>51</v>
      </c>
      <c r="B22" s="10">
        <v>3188</v>
      </c>
      <c r="C22" s="10">
        <v>625</v>
      </c>
      <c r="D22" s="10">
        <v>10</v>
      </c>
      <c r="E22" s="10">
        <v>2699</v>
      </c>
      <c r="F22" s="10">
        <v>89403755.644768402</v>
      </c>
      <c r="G22" s="10">
        <v>2806</v>
      </c>
      <c r="H22" s="10">
        <v>184</v>
      </c>
      <c r="I22" s="10">
        <v>10</v>
      </c>
      <c r="J22" s="10">
        <v>2125</v>
      </c>
      <c r="K22" s="10">
        <v>95903548.545516953</v>
      </c>
    </row>
    <row r="23" spans="1:11" x14ac:dyDescent="0.35">
      <c r="A23" s="9" t="s">
        <v>53</v>
      </c>
      <c r="B23" s="10">
        <v>1441</v>
      </c>
      <c r="C23" s="10">
        <v>0</v>
      </c>
      <c r="D23" s="10">
        <v>2</v>
      </c>
      <c r="E23" s="10">
        <v>1203</v>
      </c>
      <c r="F23" s="10">
        <v>48127649.671235926</v>
      </c>
      <c r="G23" s="10">
        <v>1387</v>
      </c>
      <c r="H23" s="10">
        <v>7</v>
      </c>
      <c r="I23" s="10">
        <v>2</v>
      </c>
      <c r="J23" s="10">
        <v>1172</v>
      </c>
      <c r="K23" s="10">
        <v>30944501.324133508</v>
      </c>
    </row>
    <row r="24" spans="1:11" x14ac:dyDescent="0.35">
      <c r="A24" s="9" t="s">
        <v>55</v>
      </c>
      <c r="B24" s="10">
        <v>3014</v>
      </c>
      <c r="C24" s="10">
        <v>16</v>
      </c>
      <c r="D24" s="10">
        <v>11</v>
      </c>
      <c r="E24" s="10">
        <v>2319</v>
      </c>
      <c r="F24" s="10">
        <v>96839659.029765069</v>
      </c>
      <c r="G24" s="10">
        <v>2929</v>
      </c>
      <c r="H24" s="10">
        <v>21</v>
      </c>
      <c r="I24" s="10">
        <v>10</v>
      </c>
      <c r="J24" s="10">
        <v>2118</v>
      </c>
      <c r="K24" s="10">
        <v>96555492.863442063</v>
      </c>
    </row>
    <row r="25" spans="1:11" x14ac:dyDescent="0.35">
      <c r="A25" s="9" t="s">
        <v>67</v>
      </c>
      <c r="B25" s="10">
        <v>553</v>
      </c>
      <c r="C25" s="10">
        <v>6</v>
      </c>
      <c r="D25" s="10">
        <v>1</v>
      </c>
      <c r="E25" s="10">
        <v>467</v>
      </c>
      <c r="F25" s="10">
        <v>13858968.280016633</v>
      </c>
      <c r="G25" s="10">
        <v>539</v>
      </c>
      <c r="H25" s="10">
        <v>5</v>
      </c>
      <c r="I25" s="10">
        <v>1</v>
      </c>
      <c r="J25" s="10">
        <v>451</v>
      </c>
      <c r="K25" s="10">
        <v>14656128.885179391</v>
      </c>
    </row>
    <row r="26" spans="1:11" x14ac:dyDescent="0.35">
      <c r="A26" s="9" t="s">
        <v>74</v>
      </c>
      <c r="B26" s="10">
        <v>1712</v>
      </c>
      <c r="C26" s="10">
        <v>15</v>
      </c>
      <c r="D26" s="10">
        <v>1</v>
      </c>
      <c r="E26" s="10">
        <v>1285</v>
      </c>
      <c r="F26" s="10">
        <v>38076981.426078215</v>
      </c>
      <c r="G26" s="10">
        <v>1657</v>
      </c>
      <c r="H26" s="10">
        <v>18</v>
      </c>
      <c r="I26" s="10">
        <v>2</v>
      </c>
      <c r="J26" s="10">
        <v>1351</v>
      </c>
      <c r="K26" s="10">
        <v>40696450.341174901</v>
      </c>
    </row>
    <row r="27" spans="1:11" x14ac:dyDescent="0.35">
      <c r="A27" s="9" t="s">
        <v>70</v>
      </c>
      <c r="B27" s="10">
        <v>872</v>
      </c>
      <c r="C27" s="10">
        <v>11</v>
      </c>
      <c r="D27" s="10">
        <v>1</v>
      </c>
      <c r="E27" s="10">
        <v>919</v>
      </c>
      <c r="F27" s="10">
        <v>16999705.014675111</v>
      </c>
      <c r="G27" s="10">
        <v>864</v>
      </c>
      <c r="H27" s="10">
        <v>10</v>
      </c>
      <c r="I27" s="10">
        <v>1</v>
      </c>
      <c r="J27" s="10">
        <v>775</v>
      </c>
      <c r="K27" s="10">
        <v>16848952.521488499</v>
      </c>
    </row>
    <row r="28" spans="1:11" x14ac:dyDescent="0.35">
      <c r="A28" s="9" t="s">
        <v>72</v>
      </c>
      <c r="B28" s="10">
        <v>886</v>
      </c>
      <c r="C28" s="10">
        <v>2</v>
      </c>
      <c r="D28" s="10">
        <v>1</v>
      </c>
      <c r="E28" s="10">
        <v>870</v>
      </c>
      <c r="F28" s="10">
        <v>18823380.21238241</v>
      </c>
      <c r="G28" s="10">
        <v>878</v>
      </c>
      <c r="H28" s="10">
        <v>6</v>
      </c>
      <c r="I28" s="10">
        <v>1</v>
      </c>
      <c r="J28" s="10">
        <v>678</v>
      </c>
      <c r="K28" s="10">
        <v>20465850.794823397</v>
      </c>
    </row>
    <row r="29" spans="1:11" x14ac:dyDescent="0.35">
      <c r="A29" s="9" t="s">
        <v>79</v>
      </c>
      <c r="B29" s="10">
        <v>229</v>
      </c>
      <c r="C29" s="10">
        <v>1</v>
      </c>
      <c r="D29" s="10">
        <v>0</v>
      </c>
      <c r="E29" s="10">
        <v>196</v>
      </c>
      <c r="F29" s="10">
        <v>5565632.8976637917</v>
      </c>
      <c r="G29" s="10">
        <v>228</v>
      </c>
      <c r="H29" s="10">
        <v>1</v>
      </c>
      <c r="I29" s="10">
        <v>1</v>
      </c>
      <c r="J29" s="10">
        <v>185</v>
      </c>
      <c r="K29" s="10">
        <v>4723558.2871565996</v>
      </c>
    </row>
    <row r="30" spans="1:11" x14ac:dyDescent="0.35">
      <c r="A30" s="9" t="s">
        <v>109</v>
      </c>
      <c r="B30" s="10">
        <v>1649</v>
      </c>
      <c r="C30" s="10">
        <v>4</v>
      </c>
      <c r="D30" s="10">
        <v>5</v>
      </c>
      <c r="E30" s="10">
        <v>1388</v>
      </c>
      <c r="F30" s="10">
        <v>42168566.16250097</v>
      </c>
      <c r="G30" s="10">
        <v>1653</v>
      </c>
      <c r="H30" s="10">
        <v>12</v>
      </c>
      <c r="I30" s="10">
        <v>5</v>
      </c>
      <c r="J30" s="10">
        <v>1322</v>
      </c>
      <c r="K30" s="10">
        <v>38683079.315449901</v>
      </c>
    </row>
    <row r="31" spans="1:11" x14ac:dyDescent="0.35">
      <c r="A31" s="9" t="s">
        <v>111</v>
      </c>
      <c r="B31" s="10">
        <v>862</v>
      </c>
      <c r="C31" s="10">
        <v>5</v>
      </c>
      <c r="D31" s="10">
        <v>1</v>
      </c>
      <c r="E31" s="10">
        <v>616</v>
      </c>
      <c r="F31" s="10">
        <v>29823023.385615569</v>
      </c>
      <c r="G31" s="10">
        <v>884</v>
      </c>
      <c r="H31" s="10">
        <v>5</v>
      </c>
      <c r="I31" s="10">
        <v>1</v>
      </c>
      <c r="J31" s="10">
        <v>618</v>
      </c>
      <c r="K31" s="10">
        <v>32617935.380541101</v>
      </c>
    </row>
    <row r="32" spans="1:11" x14ac:dyDescent="0.35">
      <c r="A32" s="9" t="s">
        <v>113</v>
      </c>
      <c r="B32" s="10">
        <v>1120</v>
      </c>
      <c r="C32" s="10">
        <v>2</v>
      </c>
      <c r="D32" s="10">
        <v>1</v>
      </c>
      <c r="E32" s="10">
        <v>789</v>
      </c>
      <c r="F32" s="10">
        <v>32601221.645448308</v>
      </c>
      <c r="G32" s="10">
        <v>1042</v>
      </c>
      <c r="H32" s="10">
        <v>2</v>
      </c>
      <c r="I32" s="10">
        <v>1</v>
      </c>
      <c r="J32" s="10">
        <v>764</v>
      </c>
      <c r="K32" s="10">
        <v>30351804.513628267</v>
      </c>
    </row>
    <row r="33" spans="1:11" x14ac:dyDescent="0.35">
      <c r="A33" s="9" t="s">
        <v>115</v>
      </c>
      <c r="B33" s="10">
        <v>1134</v>
      </c>
      <c r="C33" s="10">
        <v>3</v>
      </c>
      <c r="D33" s="10">
        <v>2</v>
      </c>
      <c r="E33" s="10">
        <v>952</v>
      </c>
      <c r="F33" s="10">
        <v>41893976.926671989</v>
      </c>
      <c r="G33" s="10">
        <v>1126</v>
      </c>
      <c r="H33" s="10">
        <v>4</v>
      </c>
      <c r="I33" s="10">
        <v>2</v>
      </c>
      <c r="J33" s="10">
        <v>900</v>
      </c>
      <c r="K33" s="10">
        <v>43282975.098104343</v>
      </c>
    </row>
    <row r="34" spans="1:11" x14ac:dyDescent="0.35">
      <c r="A34" s="9" t="s">
        <v>16</v>
      </c>
      <c r="B34" s="10">
        <v>1504</v>
      </c>
      <c r="C34" s="10">
        <v>3</v>
      </c>
      <c r="D34" s="10">
        <v>5</v>
      </c>
      <c r="E34" s="10">
        <v>1167</v>
      </c>
      <c r="F34" s="10">
        <v>60948510.020695314</v>
      </c>
      <c r="G34" s="10">
        <v>1456</v>
      </c>
      <c r="H34" s="10">
        <v>4</v>
      </c>
      <c r="I34" s="10">
        <v>4</v>
      </c>
      <c r="J34" s="10">
        <v>1151</v>
      </c>
      <c r="K34" s="10">
        <v>55959396.977800012</v>
      </c>
    </row>
    <row r="35" spans="1:11" x14ac:dyDescent="0.35">
      <c r="A35" s="9" t="s">
        <v>18</v>
      </c>
      <c r="B35" s="10">
        <v>696</v>
      </c>
      <c r="C35" s="10">
        <v>3</v>
      </c>
      <c r="D35" s="10">
        <v>3</v>
      </c>
      <c r="E35" s="10">
        <v>615</v>
      </c>
      <c r="F35" s="10">
        <v>23188488.13637552</v>
      </c>
      <c r="G35" s="10">
        <v>698</v>
      </c>
      <c r="H35" s="10">
        <v>1</v>
      </c>
      <c r="I35" s="10">
        <v>5</v>
      </c>
      <c r="J35" s="10">
        <v>508</v>
      </c>
      <c r="K35" s="10">
        <v>25047854.91353824</v>
      </c>
    </row>
    <row r="36" spans="1:11" x14ac:dyDescent="0.35">
      <c r="A36" s="9" t="s">
        <v>43</v>
      </c>
      <c r="B36" s="10">
        <v>1967</v>
      </c>
      <c r="C36" s="10">
        <v>17</v>
      </c>
      <c r="D36" s="10">
        <v>11</v>
      </c>
      <c r="E36" s="10">
        <v>2045</v>
      </c>
      <c r="F36" s="10">
        <v>72283101.544206813</v>
      </c>
      <c r="G36" s="10">
        <v>1913</v>
      </c>
      <c r="H36" s="10">
        <v>10</v>
      </c>
      <c r="I36" s="10">
        <v>9</v>
      </c>
      <c r="J36" s="10">
        <v>1572</v>
      </c>
      <c r="K36" s="10">
        <v>62386024.992774226</v>
      </c>
    </row>
    <row r="37" spans="1:11" x14ac:dyDescent="0.35">
      <c r="A37" s="9" t="s">
        <v>152</v>
      </c>
      <c r="B37" s="10">
        <v>845</v>
      </c>
      <c r="C37" s="10">
        <v>2</v>
      </c>
      <c r="D37" s="10">
        <v>2</v>
      </c>
      <c r="E37" s="10">
        <v>693</v>
      </c>
      <c r="F37" s="10">
        <v>24522885.913414594</v>
      </c>
      <c r="G37" s="10">
        <v>860</v>
      </c>
      <c r="H37" s="10">
        <v>3</v>
      </c>
      <c r="I37" s="10">
        <v>2</v>
      </c>
      <c r="J37" s="10">
        <v>741</v>
      </c>
      <c r="K37" s="10">
        <v>24921846.100234803</v>
      </c>
    </row>
    <row r="38" spans="1:11" x14ac:dyDescent="0.35">
      <c r="A38" s="9" t="s">
        <v>149</v>
      </c>
      <c r="B38" s="10">
        <v>694</v>
      </c>
      <c r="C38" s="10">
        <v>4</v>
      </c>
      <c r="D38" s="10">
        <v>1</v>
      </c>
      <c r="E38" s="10">
        <v>582</v>
      </c>
      <c r="F38" s="10">
        <v>20703555.59535294</v>
      </c>
      <c r="G38" s="10">
        <v>758</v>
      </c>
      <c r="H38" s="10">
        <v>3</v>
      </c>
      <c r="I38" s="10">
        <v>1</v>
      </c>
      <c r="J38" s="10">
        <v>609</v>
      </c>
      <c r="K38" s="10">
        <v>23049754.684711441</v>
      </c>
    </row>
    <row r="39" spans="1:11" x14ac:dyDescent="0.35">
      <c r="A39" s="9" t="s">
        <v>154</v>
      </c>
      <c r="B39" s="10">
        <v>1108</v>
      </c>
      <c r="C39" s="10">
        <v>14</v>
      </c>
      <c r="D39" s="10">
        <v>2</v>
      </c>
      <c r="E39" s="10">
        <v>865</v>
      </c>
      <c r="F39" s="10">
        <v>36053259.761528894</v>
      </c>
      <c r="G39" s="10">
        <v>1151</v>
      </c>
      <c r="H39" s="10">
        <v>18</v>
      </c>
      <c r="I39" s="10">
        <v>1</v>
      </c>
      <c r="J39" s="10">
        <v>893</v>
      </c>
      <c r="K39" s="10">
        <v>35754529.012632072</v>
      </c>
    </row>
    <row r="40" spans="1:11" x14ac:dyDescent="0.35">
      <c r="A40" s="9" t="s">
        <v>2</v>
      </c>
      <c r="B40" s="10">
        <v>1085</v>
      </c>
      <c r="C40" s="10">
        <v>41</v>
      </c>
      <c r="D40" s="10">
        <v>1</v>
      </c>
      <c r="E40" s="10">
        <v>861</v>
      </c>
      <c r="F40" s="10">
        <v>34761818.863370262</v>
      </c>
      <c r="G40" s="10">
        <v>1381</v>
      </c>
      <c r="H40" s="10">
        <v>272</v>
      </c>
      <c r="I40" s="10">
        <v>1</v>
      </c>
      <c r="J40" s="10">
        <v>876</v>
      </c>
      <c r="K40" s="10">
        <v>33981946.736486293</v>
      </c>
    </row>
    <row r="41" spans="1:11" x14ac:dyDescent="0.35">
      <c r="A41" s="9" t="s">
        <v>156</v>
      </c>
      <c r="B41" s="10">
        <v>1795</v>
      </c>
      <c r="C41" s="10">
        <v>57</v>
      </c>
      <c r="D41" s="10">
        <v>4</v>
      </c>
      <c r="E41" s="10">
        <v>1385</v>
      </c>
      <c r="F41" s="10">
        <v>54910655.209512085</v>
      </c>
      <c r="G41" s="10">
        <v>2277</v>
      </c>
      <c r="H41" s="10">
        <v>123</v>
      </c>
      <c r="I41" s="10">
        <v>5</v>
      </c>
      <c r="J41" s="10">
        <v>1310</v>
      </c>
      <c r="K41" s="10">
        <v>60889043.762123182</v>
      </c>
    </row>
    <row r="42" spans="1:11" x14ac:dyDescent="0.35">
      <c r="A42" s="9" t="s">
        <v>14</v>
      </c>
      <c r="B42" s="10">
        <v>608</v>
      </c>
      <c r="C42" s="10">
        <v>2</v>
      </c>
      <c r="D42" s="10">
        <v>4</v>
      </c>
      <c r="E42" s="10">
        <v>5</v>
      </c>
      <c r="F42" s="10">
        <v>17501175.59762124</v>
      </c>
      <c r="G42" s="10">
        <v>619</v>
      </c>
      <c r="H42" s="10">
        <v>1</v>
      </c>
      <c r="I42" s="10">
        <v>6</v>
      </c>
      <c r="J42" s="10">
        <v>454</v>
      </c>
      <c r="K42" s="10">
        <v>21690653.82312274</v>
      </c>
    </row>
    <row r="43" spans="1:11" x14ac:dyDescent="0.35">
      <c r="A43" s="9" t="s">
        <v>8</v>
      </c>
      <c r="B43" s="10">
        <v>2048</v>
      </c>
      <c r="C43" s="10">
        <v>14</v>
      </c>
      <c r="D43" s="10">
        <v>5</v>
      </c>
      <c r="E43" s="10">
        <v>1854</v>
      </c>
      <c r="F43" s="10">
        <v>63981776.356715463</v>
      </c>
      <c r="G43" s="10">
        <v>2066</v>
      </c>
      <c r="H43" s="10">
        <v>7</v>
      </c>
      <c r="I43" s="10">
        <v>6</v>
      </c>
      <c r="J43" s="10">
        <v>1948</v>
      </c>
      <c r="K43" s="10">
        <v>70387346.462206155</v>
      </c>
    </row>
    <row r="44" spans="1:11" x14ac:dyDescent="0.35">
      <c r="A44" s="9" t="s">
        <v>39</v>
      </c>
      <c r="B44" s="10">
        <v>881</v>
      </c>
      <c r="C44" s="10">
        <v>6</v>
      </c>
      <c r="D44" s="10">
        <v>4</v>
      </c>
      <c r="E44" s="10">
        <v>783</v>
      </c>
      <c r="F44" s="10">
        <v>45081578.612316735</v>
      </c>
      <c r="G44" s="10">
        <v>893</v>
      </c>
      <c r="H44" s="10">
        <v>5</v>
      </c>
      <c r="I44" s="10">
        <v>4</v>
      </c>
      <c r="J44" s="10">
        <v>838</v>
      </c>
      <c r="K44" s="10">
        <v>48694697.570638672</v>
      </c>
    </row>
    <row r="45" spans="1:11" x14ac:dyDescent="0.35">
      <c r="A45" s="9" t="s">
        <v>6</v>
      </c>
      <c r="B45" s="10">
        <v>1100</v>
      </c>
      <c r="C45" s="10">
        <v>3</v>
      </c>
      <c r="D45" s="10">
        <v>3</v>
      </c>
      <c r="E45" s="10">
        <v>935</v>
      </c>
      <c r="F45" s="10">
        <v>36951327.241868146</v>
      </c>
      <c r="G45" s="10">
        <v>1098</v>
      </c>
      <c r="H45" s="10">
        <v>7</v>
      </c>
      <c r="I45" s="10">
        <v>3</v>
      </c>
      <c r="J45" s="10">
        <v>1035</v>
      </c>
      <c r="K45" s="10">
        <v>28817713.877122149</v>
      </c>
    </row>
    <row r="46" spans="1:11" x14ac:dyDescent="0.35">
      <c r="A46" s="9" t="s">
        <v>41</v>
      </c>
      <c r="B46" s="10">
        <v>858</v>
      </c>
      <c r="C46" s="10">
        <v>0</v>
      </c>
      <c r="D46" s="10">
        <v>5</v>
      </c>
      <c r="E46" s="10">
        <v>646</v>
      </c>
      <c r="F46" s="10">
        <v>36616468.703792453</v>
      </c>
      <c r="G46" s="10">
        <v>835</v>
      </c>
      <c r="H46" s="10">
        <v>6</v>
      </c>
      <c r="I46" s="10">
        <v>4</v>
      </c>
      <c r="J46" s="10">
        <v>616</v>
      </c>
      <c r="K46" s="10">
        <v>36351905.914852493</v>
      </c>
    </row>
    <row r="47" spans="1:11" x14ac:dyDescent="0.35">
      <c r="A47" s="9" t="s">
        <v>158</v>
      </c>
      <c r="B47" s="10">
        <v>663</v>
      </c>
      <c r="C47" s="10">
        <v>3</v>
      </c>
      <c r="D47" s="10">
        <v>10</v>
      </c>
      <c r="E47" s="10">
        <v>576</v>
      </c>
      <c r="F47" s="10">
        <v>22704753.056662936</v>
      </c>
      <c r="G47" s="10">
        <v>698</v>
      </c>
      <c r="H47" s="10">
        <v>3</v>
      </c>
      <c r="I47" s="10">
        <v>10</v>
      </c>
      <c r="J47" s="10">
        <v>623</v>
      </c>
      <c r="K47" s="10">
        <v>22763455.27254276</v>
      </c>
    </row>
    <row r="48" spans="1:11" x14ac:dyDescent="0.35">
      <c r="A48" s="9" t="s">
        <v>160</v>
      </c>
      <c r="B48" s="10">
        <v>710</v>
      </c>
      <c r="C48" s="10">
        <v>2</v>
      </c>
      <c r="D48" s="10">
        <v>1</v>
      </c>
      <c r="E48" s="10">
        <v>768</v>
      </c>
      <c r="F48" s="10">
        <v>21905672.652470183</v>
      </c>
      <c r="G48" s="10">
        <v>687</v>
      </c>
      <c r="H48" s="10">
        <v>0</v>
      </c>
      <c r="I48" s="10">
        <v>1</v>
      </c>
      <c r="J48" s="10">
        <v>708</v>
      </c>
      <c r="K48" s="10">
        <v>19508855.302097976</v>
      </c>
    </row>
    <row r="49" spans="1:11" x14ac:dyDescent="0.35">
      <c r="A49" s="9" t="s">
        <v>83</v>
      </c>
      <c r="B49" s="10">
        <v>1272</v>
      </c>
      <c r="C49" s="10">
        <v>12</v>
      </c>
      <c r="D49" s="10">
        <v>5</v>
      </c>
      <c r="E49" s="10">
        <v>1058</v>
      </c>
      <c r="F49" s="10">
        <v>68951901.83255586</v>
      </c>
      <c r="G49" s="10">
        <v>1250</v>
      </c>
      <c r="H49" s="10">
        <v>3</v>
      </c>
      <c r="I49" s="10">
        <v>5</v>
      </c>
      <c r="J49" s="10">
        <v>1375</v>
      </c>
      <c r="K49" s="10">
        <v>65624769.39583008</v>
      </c>
    </row>
    <row r="50" spans="1:11" x14ac:dyDescent="0.35">
      <c r="A50" s="9" t="s">
        <v>202</v>
      </c>
      <c r="B50" s="10">
        <v>438</v>
      </c>
      <c r="C50" s="10">
        <v>3</v>
      </c>
      <c r="D50" s="10">
        <v>2</v>
      </c>
      <c r="E50" s="10">
        <v>431</v>
      </c>
      <c r="F50" s="10">
        <v>12686952.26487137</v>
      </c>
      <c r="G50" s="10">
        <v>442</v>
      </c>
      <c r="H50" s="10">
        <v>1</v>
      </c>
      <c r="I50" s="10">
        <v>1</v>
      </c>
      <c r="J50" s="10">
        <v>482</v>
      </c>
      <c r="K50" s="10">
        <v>10487918.343386697</v>
      </c>
    </row>
    <row r="51" spans="1:11" x14ac:dyDescent="0.35">
      <c r="A51" s="9" t="s">
        <v>31</v>
      </c>
      <c r="B51" s="10">
        <v>884</v>
      </c>
      <c r="C51" s="10">
        <v>2</v>
      </c>
      <c r="D51" s="10">
        <v>5</v>
      </c>
      <c r="E51" s="10">
        <v>922</v>
      </c>
      <c r="F51" s="10">
        <v>31224174.820838396</v>
      </c>
      <c r="G51" s="10">
        <v>912</v>
      </c>
      <c r="H51" s="10">
        <v>3</v>
      </c>
      <c r="I51" s="10">
        <v>6</v>
      </c>
      <c r="J51" s="10">
        <v>946</v>
      </c>
      <c r="K51" s="10">
        <v>30416321.719961289</v>
      </c>
    </row>
    <row r="52" spans="1:11" x14ac:dyDescent="0.35">
      <c r="A52" s="9" t="s">
        <v>33</v>
      </c>
      <c r="B52" s="10">
        <v>1301</v>
      </c>
      <c r="C52" s="10">
        <v>17</v>
      </c>
      <c r="D52" s="10">
        <v>12</v>
      </c>
      <c r="E52" s="10">
        <v>996</v>
      </c>
      <c r="F52" s="10">
        <v>46284776.708795786</v>
      </c>
      <c r="G52" s="10">
        <v>1338</v>
      </c>
      <c r="H52" s="10">
        <v>6</v>
      </c>
      <c r="I52" s="10">
        <v>12</v>
      </c>
      <c r="J52" s="10">
        <v>1025</v>
      </c>
      <c r="K52" s="10">
        <v>53489987.771002561</v>
      </c>
    </row>
    <row r="53" spans="1:11" x14ac:dyDescent="0.35">
      <c r="A53" s="9" t="s">
        <v>85</v>
      </c>
      <c r="B53" s="10">
        <v>484</v>
      </c>
      <c r="C53" s="10">
        <v>7</v>
      </c>
      <c r="D53" s="10">
        <v>5</v>
      </c>
      <c r="E53" s="10">
        <v>361</v>
      </c>
      <c r="F53" s="10">
        <v>24156172.660815898</v>
      </c>
      <c r="G53" s="10">
        <v>489</v>
      </c>
      <c r="H53" s="10">
        <v>2</v>
      </c>
      <c r="I53" s="10">
        <v>6</v>
      </c>
      <c r="J53" s="10">
        <v>380</v>
      </c>
      <c r="K53" s="10">
        <v>27405554.935270023</v>
      </c>
    </row>
    <row r="54" spans="1:11" x14ac:dyDescent="0.35">
      <c r="A54" s="9" t="s">
        <v>81</v>
      </c>
      <c r="B54" s="10">
        <v>444</v>
      </c>
      <c r="C54" s="10">
        <v>2</v>
      </c>
      <c r="D54" s="10">
        <v>6</v>
      </c>
      <c r="E54" s="10">
        <v>323</v>
      </c>
      <c r="F54" s="10">
        <v>23676615.185974032</v>
      </c>
      <c r="G54" s="10">
        <v>458</v>
      </c>
      <c r="H54" s="10">
        <v>0</v>
      </c>
      <c r="I54" s="10">
        <v>4</v>
      </c>
      <c r="J54" s="10">
        <v>319</v>
      </c>
      <c r="K54" s="10">
        <v>20136026.2156309</v>
      </c>
    </row>
    <row r="55" spans="1:11" x14ac:dyDescent="0.35">
      <c r="A55" s="9" t="s">
        <v>87</v>
      </c>
      <c r="B55" s="10">
        <v>427</v>
      </c>
      <c r="C55" s="10">
        <v>11</v>
      </c>
      <c r="D55" s="10">
        <v>2</v>
      </c>
      <c r="E55" s="10">
        <v>384</v>
      </c>
      <c r="F55" s="10">
        <v>19565337.991295934</v>
      </c>
      <c r="G55" s="10">
        <v>424</v>
      </c>
      <c r="H55" s="10">
        <v>2</v>
      </c>
      <c r="I55" s="10">
        <v>3</v>
      </c>
      <c r="J55" s="10">
        <v>341</v>
      </c>
      <c r="K55" s="10">
        <v>17633388.891193338</v>
      </c>
    </row>
    <row r="56" spans="1:11" x14ac:dyDescent="0.35">
      <c r="A56" s="9" t="s">
        <v>166</v>
      </c>
      <c r="B56" s="10">
        <v>1127</v>
      </c>
      <c r="C56" s="10">
        <v>4</v>
      </c>
      <c r="D56" s="10">
        <v>1</v>
      </c>
      <c r="E56" s="10">
        <v>947</v>
      </c>
      <c r="F56" s="10">
        <v>42465575.241866045</v>
      </c>
      <c r="G56" s="10">
        <v>1094</v>
      </c>
      <c r="H56" s="10">
        <v>5</v>
      </c>
      <c r="I56" s="10">
        <v>1</v>
      </c>
      <c r="J56" s="10">
        <v>941</v>
      </c>
      <c r="K56" s="10">
        <v>41199724.440495275</v>
      </c>
    </row>
    <row r="57" spans="1:11" x14ac:dyDescent="0.35">
      <c r="A57" s="9" t="s">
        <v>93</v>
      </c>
      <c r="B57" s="10">
        <v>971</v>
      </c>
      <c r="C57" s="10">
        <v>10</v>
      </c>
      <c r="D57" s="10">
        <v>2</v>
      </c>
      <c r="E57" s="10">
        <v>810</v>
      </c>
      <c r="F57" s="10">
        <v>45055941.481699936</v>
      </c>
      <c r="G57" s="10">
        <v>1011</v>
      </c>
      <c r="H57" s="10">
        <v>7</v>
      </c>
      <c r="I57" s="10">
        <v>1</v>
      </c>
      <c r="J57" s="10">
        <v>817</v>
      </c>
      <c r="K57" s="10">
        <v>43110471.737202205</v>
      </c>
    </row>
    <row r="58" spans="1:11" x14ac:dyDescent="0.35">
      <c r="A58" s="9" t="s">
        <v>95</v>
      </c>
      <c r="B58" s="10">
        <v>2122</v>
      </c>
      <c r="C58" s="10">
        <v>37</v>
      </c>
      <c r="D58" s="10">
        <v>7</v>
      </c>
      <c r="E58" s="10">
        <v>1508</v>
      </c>
      <c r="F58" s="10">
        <v>63893921.779931098</v>
      </c>
      <c r="G58" s="10">
        <v>2048</v>
      </c>
      <c r="H58" s="10">
        <v>10</v>
      </c>
      <c r="I58" s="10">
        <v>8</v>
      </c>
      <c r="J58" s="10">
        <v>1783</v>
      </c>
      <c r="K58" s="10">
        <v>77451228.109518692</v>
      </c>
    </row>
    <row r="59" spans="1:11" x14ac:dyDescent="0.35">
      <c r="A59" s="9" t="s">
        <v>174</v>
      </c>
      <c r="B59" s="10">
        <v>691</v>
      </c>
      <c r="C59" s="10">
        <v>3</v>
      </c>
      <c r="D59" s="10">
        <v>0</v>
      </c>
      <c r="E59" s="10">
        <v>549</v>
      </c>
      <c r="F59" s="10">
        <v>20534534.922981523</v>
      </c>
      <c r="G59" s="10">
        <v>690</v>
      </c>
      <c r="H59" s="10">
        <v>4</v>
      </c>
      <c r="I59" s="10">
        <v>0</v>
      </c>
      <c r="J59" s="10">
        <v>582</v>
      </c>
      <c r="K59" s="10">
        <v>19415132.028813072</v>
      </c>
    </row>
    <row r="60" spans="1:11" x14ac:dyDescent="0.35">
      <c r="A60" s="9" t="s">
        <v>99</v>
      </c>
      <c r="B60" s="10">
        <v>889</v>
      </c>
      <c r="C60" s="10">
        <v>6</v>
      </c>
      <c r="D60" s="10">
        <v>5</v>
      </c>
      <c r="E60" s="10">
        <v>742</v>
      </c>
      <c r="F60" s="10">
        <v>32408420.627318345</v>
      </c>
      <c r="G60" s="10">
        <v>863</v>
      </c>
      <c r="H60" s="10">
        <v>7</v>
      </c>
      <c r="I60" s="10">
        <v>5</v>
      </c>
      <c r="J60" s="10">
        <v>763</v>
      </c>
      <c r="K60" s="10">
        <v>33783028.370750755</v>
      </c>
    </row>
    <row r="61" spans="1:11" x14ac:dyDescent="0.35">
      <c r="A61" s="9" t="s">
        <v>172</v>
      </c>
      <c r="B61" s="10">
        <v>782</v>
      </c>
      <c r="C61" s="10">
        <v>3</v>
      </c>
      <c r="D61" s="10">
        <v>1</v>
      </c>
      <c r="E61" s="10">
        <v>595</v>
      </c>
      <c r="F61" s="10">
        <v>24757924.64762653</v>
      </c>
      <c r="G61" s="10">
        <v>729</v>
      </c>
      <c r="H61" s="10">
        <v>4</v>
      </c>
      <c r="I61" s="10">
        <v>1</v>
      </c>
      <c r="J61" s="10">
        <v>603</v>
      </c>
      <c r="K61" s="10">
        <v>21302689.942315493</v>
      </c>
    </row>
    <row r="62" spans="1:11" x14ac:dyDescent="0.35">
      <c r="A62" s="9" t="s">
        <v>168</v>
      </c>
      <c r="B62" s="10">
        <v>1093</v>
      </c>
      <c r="C62" s="10">
        <v>8</v>
      </c>
      <c r="D62" s="10">
        <v>1</v>
      </c>
      <c r="E62" s="10">
        <v>1031</v>
      </c>
      <c r="F62" s="10">
        <v>42696543.090585358</v>
      </c>
      <c r="G62" s="10">
        <v>1107</v>
      </c>
      <c r="H62" s="10">
        <v>7</v>
      </c>
      <c r="I62" s="10">
        <v>0</v>
      </c>
      <c r="J62" s="10">
        <v>1001</v>
      </c>
      <c r="K62" s="10">
        <v>43034612.716141865</v>
      </c>
    </row>
    <row r="63" spans="1:11" x14ac:dyDescent="0.35">
      <c r="A63" s="9" t="s">
        <v>101</v>
      </c>
      <c r="B63" s="10">
        <v>1363</v>
      </c>
      <c r="C63" s="10">
        <v>12</v>
      </c>
      <c r="D63" s="10">
        <v>4</v>
      </c>
      <c r="E63" s="10">
        <v>1372</v>
      </c>
      <c r="F63" s="10">
        <v>54590695.006662175</v>
      </c>
      <c r="G63" s="10">
        <v>1516</v>
      </c>
      <c r="H63" s="10">
        <v>10</v>
      </c>
      <c r="I63" s="10">
        <v>4</v>
      </c>
      <c r="J63" s="10">
        <v>1546</v>
      </c>
      <c r="K63" s="10">
        <v>53108125.971225314</v>
      </c>
    </row>
    <row r="64" spans="1:11" x14ac:dyDescent="0.35">
      <c r="A64" s="9" t="s">
        <v>103</v>
      </c>
      <c r="B64" s="10">
        <v>769</v>
      </c>
      <c r="C64" s="10">
        <v>5</v>
      </c>
      <c r="D64" s="10">
        <v>5</v>
      </c>
      <c r="E64" s="10">
        <v>693</v>
      </c>
      <c r="F64" s="10">
        <v>27563613.08958514</v>
      </c>
      <c r="G64" s="10">
        <v>771</v>
      </c>
      <c r="H64" s="10">
        <v>3</v>
      </c>
      <c r="I64" s="10">
        <v>4</v>
      </c>
      <c r="J64" s="10">
        <v>1398</v>
      </c>
      <c r="K64" s="10">
        <v>29166523.35953356</v>
      </c>
    </row>
    <row r="65" spans="1:11" x14ac:dyDescent="0.35">
      <c r="A65" s="9" t="s">
        <v>105</v>
      </c>
      <c r="B65" s="10">
        <v>692</v>
      </c>
      <c r="C65" s="10">
        <v>6</v>
      </c>
      <c r="D65" s="10">
        <v>5</v>
      </c>
      <c r="E65" s="10">
        <v>451</v>
      </c>
      <c r="F65" s="10">
        <v>32225585.880645122</v>
      </c>
      <c r="G65" s="10">
        <v>624</v>
      </c>
      <c r="H65" s="10">
        <v>9</v>
      </c>
      <c r="I65" s="10">
        <v>5</v>
      </c>
      <c r="J65" s="10">
        <v>471</v>
      </c>
      <c r="K65" s="10">
        <v>32666251.142069764</v>
      </c>
    </row>
    <row r="66" spans="1:11" x14ac:dyDescent="0.35">
      <c r="A66" s="9" t="s">
        <v>24</v>
      </c>
      <c r="B66" s="10">
        <v>2048</v>
      </c>
      <c r="C66" s="10">
        <v>20</v>
      </c>
      <c r="D66" s="10">
        <v>9</v>
      </c>
      <c r="E66" s="10">
        <v>1668</v>
      </c>
      <c r="F66" s="10">
        <v>85317689.138641283</v>
      </c>
      <c r="G66" s="10">
        <v>2010</v>
      </c>
      <c r="H66" s="10">
        <v>15</v>
      </c>
      <c r="I66" s="10">
        <v>11</v>
      </c>
      <c r="J66" s="10">
        <v>1722</v>
      </c>
      <c r="K66" s="10">
        <v>104957958.57839498</v>
      </c>
    </row>
    <row r="67" spans="1:11" x14ac:dyDescent="0.35">
      <c r="A67" s="9" t="s">
        <v>27</v>
      </c>
      <c r="B67" s="10">
        <v>1587</v>
      </c>
      <c r="C67" s="10">
        <v>19</v>
      </c>
      <c r="D67" s="10">
        <v>7</v>
      </c>
      <c r="E67" s="10">
        <v>1181</v>
      </c>
      <c r="F67" s="10">
        <v>78408477.996826321</v>
      </c>
      <c r="G67" s="10">
        <v>1589</v>
      </c>
      <c r="H67" s="10">
        <v>16</v>
      </c>
      <c r="I67" s="10">
        <v>6</v>
      </c>
      <c r="J67" s="10">
        <v>1222</v>
      </c>
      <c r="K67" s="10">
        <v>79258311.448570415</v>
      </c>
    </row>
    <row r="68" spans="1:11" x14ac:dyDescent="0.35">
      <c r="A68" s="9" t="s">
        <v>29</v>
      </c>
      <c r="B68" s="10">
        <v>855</v>
      </c>
      <c r="C68" s="10">
        <v>2</v>
      </c>
      <c r="D68" s="10">
        <v>1</v>
      </c>
      <c r="E68" s="10">
        <v>655</v>
      </c>
      <c r="F68" s="10">
        <v>48727801.593974993</v>
      </c>
      <c r="G68" s="10">
        <v>893</v>
      </c>
      <c r="H68" s="10">
        <v>7</v>
      </c>
      <c r="I68" s="10">
        <v>1</v>
      </c>
      <c r="J68" s="10">
        <v>734</v>
      </c>
      <c r="K68" s="10">
        <v>50766777.004490346</v>
      </c>
    </row>
    <row r="69" spans="1:11" x14ac:dyDescent="0.35">
      <c r="A69" s="9" t="s">
        <v>57</v>
      </c>
      <c r="B69" s="10">
        <v>1984</v>
      </c>
      <c r="C69" s="10">
        <v>244</v>
      </c>
      <c r="D69" s="10">
        <v>13</v>
      </c>
      <c r="E69" s="10">
        <v>1370</v>
      </c>
      <c r="F69" s="10">
        <v>71373716.671775326</v>
      </c>
      <c r="G69" s="10">
        <v>2259</v>
      </c>
      <c r="H69" s="10">
        <v>476</v>
      </c>
      <c r="I69" s="10">
        <v>12</v>
      </c>
      <c r="J69" s="10">
        <v>1362</v>
      </c>
      <c r="K69" s="10">
        <v>75539145.629662246</v>
      </c>
    </row>
    <row r="70" spans="1:11" x14ac:dyDescent="0.35">
      <c r="A70" s="9" t="s">
        <v>137</v>
      </c>
      <c r="B70" s="10">
        <v>261</v>
      </c>
      <c r="C70" s="10">
        <v>2</v>
      </c>
      <c r="D70" s="10">
        <v>1</v>
      </c>
      <c r="E70" s="10">
        <v>268</v>
      </c>
      <c r="F70" s="10">
        <v>5369530.2958202437</v>
      </c>
      <c r="G70" s="10">
        <v>254</v>
      </c>
      <c r="H70" s="10">
        <v>0</v>
      </c>
      <c r="I70" s="10">
        <v>1</v>
      </c>
      <c r="J70" s="10">
        <v>242</v>
      </c>
      <c r="K70" s="10">
        <v>3163370.7771156929</v>
      </c>
    </row>
    <row r="71" spans="1:11" x14ac:dyDescent="0.35">
      <c r="A71" s="9" t="s">
        <v>10</v>
      </c>
      <c r="B71" s="10">
        <v>1797</v>
      </c>
      <c r="C71" s="10">
        <v>6</v>
      </c>
      <c r="D71" s="10">
        <v>8</v>
      </c>
      <c r="E71" s="10">
        <v>1598</v>
      </c>
      <c r="F71" s="10">
        <v>56257298.48234468</v>
      </c>
      <c r="G71" s="10">
        <v>1672</v>
      </c>
      <c r="H71" s="10">
        <v>10</v>
      </c>
      <c r="I71" s="10">
        <v>6</v>
      </c>
      <c r="J71" s="10">
        <v>1580</v>
      </c>
      <c r="K71" s="10">
        <v>54652536.380899057</v>
      </c>
    </row>
    <row r="72" spans="1:11" x14ac:dyDescent="0.35">
      <c r="A72" s="9" t="s">
        <v>12</v>
      </c>
      <c r="B72" s="10">
        <v>667</v>
      </c>
      <c r="C72" s="10">
        <v>3</v>
      </c>
      <c r="D72" s="10">
        <v>2</v>
      </c>
      <c r="E72" s="10">
        <v>590</v>
      </c>
      <c r="F72" s="10">
        <v>22953791.33224605</v>
      </c>
      <c r="G72" s="10">
        <v>740</v>
      </c>
      <c r="H72" s="10">
        <v>4</v>
      </c>
      <c r="I72" s="10">
        <v>3</v>
      </c>
      <c r="J72" s="10">
        <v>646</v>
      </c>
      <c r="K72" s="10">
        <v>25985617.40753483</v>
      </c>
    </row>
    <row r="73" spans="1:11" x14ac:dyDescent="0.35">
      <c r="A73" s="9" t="s">
        <v>162</v>
      </c>
      <c r="B73" s="10">
        <v>1321</v>
      </c>
      <c r="C73" s="10">
        <v>45</v>
      </c>
      <c r="D73" s="10">
        <v>5</v>
      </c>
      <c r="E73" s="10">
        <v>1027</v>
      </c>
      <c r="F73" s="10">
        <v>38152542.670676976</v>
      </c>
      <c r="G73" s="10">
        <v>1433</v>
      </c>
      <c r="H73" s="10">
        <v>73</v>
      </c>
      <c r="I73" s="10">
        <v>5</v>
      </c>
      <c r="J73" s="10">
        <v>987</v>
      </c>
      <c r="K73" s="10">
        <v>39573153.64074301</v>
      </c>
    </row>
    <row r="74" spans="1:11" x14ac:dyDescent="0.35">
      <c r="A74" s="9" t="s">
        <v>63</v>
      </c>
      <c r="B74" s="10">
        <v>1345</v>
      </c>
      <c r="C74" s="10">
        <v>7</v>
      </c>
      <c r="D74" s="10">
        <v>5</v>
      </c>
      <c r="E74" s="10">
        <v>597</v>
      </c>
      <c r="F74" s="10">
        <v>18265551.76599412</v>
      </c>
      <c r="G74" s="10">
        <v>1259</v>
      </c>
      <c r="H74" s="10">
        <v>9</v>
      </c>
      <c r="I74" s="10">
        <v>5</v>
      </c>
      <c r="J74" s="10">
        <v>1253</v>
      </c>
      <c r="K74" s="10">
        <v>25656378.209861528</v>
      </c>
    </row>
    <row r="75" spans="1:11" x14ac:dyDescent="0.35">
      <c r="A75" s="9" t="s">
        <v>59</v>
      </c>
      <c r="B75" s="10">
        <v>1745</v>
      </c>
      <c r="C75" s="10">
        <v>8</v>
      </c>
      <c r="D75" s="10">
        <v>5</v>
      </c>
      <c r="E75" s="10">
        <v>1236</v>
      </c>
      <c r="F75" s="10">
        <v>67202251.554740682</v>
      </c>
      <c r="G75" s="10">
        <v>1732</v>
      </c>
      <c r="H75" s="10">
        <v>13</v>
      </c>
      <c r="I75" s="10">
        <v>5</v>
      </c>
      <c r="J75" s="10">
        <v>1225</v>
      </c>
      <c r="K75" s="10">
        <v>68457996.802198336</v>
      </c>
    </row>
    <row r="76" spans="1:11" x14ac:dyDescent="0.35">
      <c r="A76" s="9" t="s">
        <v>139</v>
      </c>
      <c r="B76" s="10">
        <v>497</v>
      </c>
      <c r="C76" s="10">
        <v>3</v>
      </c>
      <c r="D76" s="10">
        <v>2</v>
      </c>
      <c r="E76" s="10">
        <v>628</v>
      </c>
      <c r="F76" s="10">
        <v>14429554.57921656</v>
      </c>
      <c r="G76" s="10">
        <v>517</v>
      </c>
      <c r="H76" s="10">
        <v>2</v>
      </c>
      <c r="I76" s="10">
        <v>1</v>
      </c>
      <c r="J76" s="10">
        <v>439</v>
      </c>
      <c r="K76" s="10">
        <v>13727240.991854239</v>
      </c>
    </row>
    <row r="77" spans="1:11" x14ac:dyDescent="0.35">
      <c r="A77" s="9" t="s">
        <v>170</v>
      </c>
      <c r="B77" s="10">
        <v>889</v>
      </c>
      <c r="C77" s="10">
        <v>5</v>
      </c>
      <c r="D77" s="10">
        <v>1</v>
      </c>
      <c r="E77" s="10">
        <v>852</v>
      </c>
      <c r="F77" s="10">
        <v>22171799.827533696</v>
      </c>
      <c r="G77" s="10">
        <v>882</v>
      </c>
      <c r="H77" s="10">
        <v>4</v>
      </c>
      <c r="I77" s="10">
        <v>1</v>
      </c>
      <c r="J77" s="10">
        <v>788</v>
      </c>
      <c r="K77" s="10">
        <v>22253625.293895539</v>
      </c>
    </row>
    <row r="78" spans="1:11" x14ac:dyDescent="0.35">
      <c r="A78" s="9" t="s">
        <v>61</v>
      </c>
      <c r="B78" s="10">
        <v>669</v>
      </c>
      <c r="C78" s="10">
        <v>2</v>
      </c>
      <c r="D78" s="10">
        <v>4</v>
      </c>
      <c r="E78" s="10">
        <v>633</v>
      </c>
      <c r="F78" s="10">
        <v>15045724.399837304</v>
      </c>
      <c r="G78" s="10">
        <v>646</v>
      </c>
      <c r="H78" s="10">
        <v>2</v>
      </c>
      <c r="I78" s="10">
        <v>3</v>
      </c>
      <c r="J78" s="10">
        <v>470</v>
      </c>
      <c r="K78" s="10">
        <v>22077326.343890451</v>
      </c>
    </row>
    <row r="79" spans="1:11" x14ac:dyDescent="0.35">
      <c r="A79" s="9" t="s">
        <v>129</v>
      </c>
      <c r="B79" s="10">
        <v>592</v>
      </c>
      <c r="C79" s="10">
        <v>5</v>
      </c>
      <c r="D79" s="10">
        <v>1</v>
      </c>
      <c r="E79" s="10">
        <v>13</v>
      </c>
      <c r="F79" s="10">
        <v>13803246.696355209</v>
      </c>
      <c r="G79" s="10">
        <v>621</v>
      </c>
      <c r="H79" s="10">
        <v>6</v>
      </c>
      <c r="I79" s="10">
        <v>1</v>
      </c>
      <c r="J79" s="10">
        <v>513</v>
      </c>
      <c r="K79" s="10">
        <v>16036060.553102637</v>
      </c>
    </row>
    <row r="80" spans="1:11" x14ac:dyDescent="0.35">
      <c r="A80" s="9" t="s">
        <v>35</v>
      </c>
      <c r="B80" s="10">
        <v>433</v>
      </c>
      <c r="C80" s="10">
        <v>6</v>
      </c>
      <c r="D80" s="10">
        <v>6</v>
      </c>
      <c r="E80" s="10">
        <v>426</v>
      </c>
      <c r="F80" s="10">
        <v>17050229.600482032</v>
      </c>
      <c r="G80" s="10">
        <v>445</v>
      </c>
      <c r="H80" s="10">
        <v>2</v>
      </c>
      <c r="I80" s="10">
        <v>7</v>
      </c>
      <c r="J80" s="10">
        <v>499</v>
      </c>
      <c r="K80" s="10">
        <v>18475041.61702498</v>
      </c>
    </row>
    <row r="81" spans="1:11" x14ac:dyDescent="0.35">
      <c r="A81" s="9" t="s">
        <v>107</v>
      </c>
      <c r="B81" s="10">
        <v>952</v>
      </c>
      <c r="C81" s="10">
        <v>11</v>
      </c>
      <c r="D81" s="10">
        <v>3</v>
      </c>
      <c r="E81" s="10">
        <v>788</v>
      </c>
      <c r="F81" s="10">
        <v>49208948.078755222</v>
      </c>
      <c r="G81" s="10">
        <v>896</v>
      </c>
      <c r="H81" s="10">
        <v>8</v>
      </c>
      <c r="I81" s="10">
        <v>3</v>
      </c>
      <c r="J81" s="10">
        <v>610</v>
      </c>
      <c r="K81" s="10">
        <v>49281799.342978746</v>
      </c>
    </row>
    <row r="82" spans="1:11" x14ac:dyDescent="0.35">
      <c r="A82" s="9" t="s">
        <v>37</v>
      </c>
      <c r="B82" s="10">
        <v>786</v>
      </c>
      <c r="C82" s="10">
        <v>4</v>
      </c>
      <c r="D82" s="10">
        <v>9</v>
      </c>
      <c r="E82" s="10">
        <v>744</v>
      </c>
      <c r="F82" s="10">
        <v>29405507.483340576</v>
      </c>
      <c r="G82" s="10">
        <v>774</v>
      </c>
      <c r="H82" s="10">
        <v>4</v>
      </c>
      <c r="I82" s="10">
        <v>10</v>
      </c>
      <c r="J82" s="10">
        <v>724</v>
      </c>
      <c r="K82" s="10">
        <v>28529057.216889117</v>
      </c>
    </row>
    <row r="83" spans="1:11" x14ac:dyDescent="0.35">
      <c r="A83" s="9" t="s">
        <v>76</v>
      </c>
      <c r="B83" s="10">
        <v>951</v>
      </c>
      <c r="C83" s="10">
        <v>1</v>
      </c>
      <c r="D83" s="10">
        <v>2</v>
      </c>
      <c r="E83" s="10">
        <v>1049</v>
      </c>
      <c r="F83" s="10">
        <v>23976905.020967472</v>
      </c>
      <c r="G83" s="10">
        <v>960</v>
      </c>
      <c r="H83" s="10">
        <v>3</v>
      </c>
      <c r="I83" s="10">
        <v>2</v>
      </c>
      <c r="J83" s="10">
        <v>1171</v>
      </c>
      <c r="K83" s="10">
        <v>24304206.202539802</v>
      </c>
    </row>
    <row r="84" spans="1:11" x14ac:dyDescent="0.35">
      <c r="A84" s="9" t="s">
        <v>65</v>
      </c>
      <c r="B84" s="10">
        <v>1016</v>
      </c>
      <c r="C84" s="10">
        <v>6</v>
      </c>
      <c r="D84" s="10">
        <v>4</v>
      </c>
      <c r="E84" s="10">
        <v>818</v>
      </c>
      <c r="F84" s="10">
        <v>27051046.84657656</v>
      </c>
      <c r="G84" s="10">
        <v>991</v>
      </c>
      <c r="H84" s="10">
        <v>3</v>
      </c>
      <c r="I84" s="10">
        <v>5</v>
      </c>
      <c r="J84" s="10">
        <v>828</v>
      </c>
      <c r="K84" s="10">
        <v>25200040.858496305</v>
      </c>
    </row>
    <row r="85" spans="1:11" x14ac:dyDescent="0.35">
      <c r="A85" s="9" t="s">
        <v>89</v>
      </c>
      <c r="B85" s="10">
        <v>755</v>
      </c>
      <c r="C85" s="10">
        <v>5</v>
      </c>
      <c r="D85" s="10">
        <v>5</v>
      </c>
      <c r="E85" s="10">
        <v>756</v>
      </c>
      <c r="F85" s="10">
        <v>29446746.70471419</v>
      </c>
      <c r="G85" s="10">
        <v>756</v>
      </c>
      <c r="H85" s="10">
        <v>2</v>
      </c>
      <c r="I85" s="10">
        <v>6</v>
      </c>
      <c r="J85" s="10">
        <v>772</v>
      </c>
      <c r="K85" s="10">
        <v>32219102.200047638</v>
      </c>
    </row>
    <row r="86" spans="1:11" x14ac:dyDescent="0.35">
      <c r="A86" s="9" t="s">
        <v>147</v>
      </c>
      <c r="B86" s="10">
        <v>567</v>
      </c>
      <c r="C86" s="10">
        <v>2</v>
      </c>
      <c r="D86" s="10">
        <v>1</v>
      </c>
      <c r="E86" s="10">
        <v>679</v>
      </c>
      <c r="F86" s="10">
        <v>12890849.296891289</v>
      </c>
      <c r="G86" s="10">
        <v>568</v>
      </c>
      <c r="H86" s="10">
        <v>3</v>
      </c>
      <c r="I86" s="10">
        <v>1</v>
      </c>
      <c r="J86" s="10">
        <v>589</v>
      </c>
      <c r="K86" s="10">
        <v>14575510.609984348</v>
      </c>
    </row>
    <row r="87" spans="1:11" x14ac:dyDescent="0.35">
      <c r="A87" s="9" t="s">
        <v>164</v>
      </c>
      <c r="B87" s="10">
        <v>1696</v>
      </c>
      <c r="C87" s="10">
        <v>10</v>
      </c>
      <c r="D87" s="10">
        <v>10</v>
      </c>
      <c r="E87" s="10">
        <v>1385</v>
      </c>
      <c r="F87" s="10">
        <v>55870676.347908162</v>
      </c>
      <c r="G87" s="10">
        <v>1768</v>
      </c>
      <c r="H87" s="10">
        <v>7</v>
      </c>
      <c r="I87" s="10">
        <v>10</v>
      </c>
      <c r="J87" s="10">
        <v>1394</v>
      </c>
      <c r="K87" s="10">
        <v>60561873.35205964</v>
      </c>
    </row>
    <row r="88" spans="1:11" x14ac:dyDescent="0.35">
      <c r="A88" s="9" t="s">
        <v>91</v>
      </c>
      <c r="B88" s="10">
        <v>600</v>
      </c>
      <c r="C88" s="10">
        <v>5</v>
      </c>
      <c r="D88" s="10">
        <v>3</v>
      </c>
      <c r="E88" s="10">
        <v>903</v>
      </c>
      <c r="F88" s="10">
        <v>15216982.418813448</v>
      </c>
      <c r="G88" s="10">
        <v>566</v>
      </c>
      <c r="H88" s="10">
        <v>0</v>
      </c>
      <c r="I88" s="10">
        <v>3</v>
      </c>
      <c r="J88" s="10">
        <v>648</v>
      </c>
      <c r="K88" s="10">
        <v>13821141.409075508</v>
      </c>
    </row>
    <row r="89" spans="1:11" x14ac:dyDescent="0.35">
      <c r="A89" s="9" t="s">
        <v>97</v>
      </c>
      <c r="B89" s="10">
        <v>600</v>
      </c>
      <c r="C89" s="10">
        <v>13</v>
      </c>
      <c r="D89" s="10">
        <v>6</v>
      </c>
      <c r="E89" s="10">
        <v>521</v>
      </c>
      <c r="F89" s="10">
        <v>26078100.101177879</v>
      </c>
      <c r="G89" s="10">
        <v>632</v>
      </c>
      <c r="H89" s="10">
        <v>4</v>
      </c>
      <c r="I89" s="10">
        <v>7</v>
      </c>
      <c r="J89" s="10">
        <v>522</v>
      </c>
      <c r="K89" s="10">
        <v>27183832.475523256</v>
      </c>
    </row>
    <row r="90" spans="1:11" x14ac:dyDescent="0.35">
      <c r="A90" s="9" t="s">
        <v>78</v>
      </c>
      <c r="B90" s="10">
        <v>363</v>
      </c>
      <c r="C90" s="10">
        <v>3</v>
      </c>
      <c r="D90" s="10">
        <v>1</v>
      </c>
      <c r="E90" s="10">
        <v>328</v>
      </c>
      <c r="F90" s="10">
        <v>7162107.3929737266</v>
      </c>
      <c r="G90" s="10">
        <v>358</v>
      </c>
      <c r="H90" s="10">
        <v>2</v>
      </c>
      <c r="I90" s="10">
        <v>1</v>
      </c>
      <c r="J90" s="10">
        <v>304</v>
      </c>
      <c r="K90" s="10">
        <v>6488168.8620083621</v>
      </c>
    </row>
    <row r="91" spans="1:11" x14ac:dyDescent="0.35">
      <c r="B91" s="13">
        <v>84155</v>
      </c>
      <c r="C91" s="13">
        <v>1484</v>
      </c>
      <c r="D91" s="13">
        <v>307</v>
      </c>
      <c r="E91" s="13">
        <v>70150</v>
      </c>
      <c r="F91" s="13">
        <v>2762661133.2590084</v>
      </c>
      <c r="G91" s="13">
        <v>84561</v>
      </c>
      <c r="H91" s="13">
        <v>1547</v>
      </c>
      <c r="I91" s="13">
        <v>314</v>
      </c>
      <c r="J91" s="13">
        <v>70937</v>
      </c>
      <c r="K91" s="13">
        <v>2842605836.7440019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2026-08-21T13:08:37Z</dcterms:modified>
</cp:coreProperties>
</file>