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<sst xmlns="http://schemas.openxmlformats.org/spreadsheetml/2006/main" count="540" uniqueCount="205">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</sst>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19398960.154571161</v>
      </c>
      <c r="G2" s="1">
        <f>VLOOKUP(A:A,MASTER!A:K,11,0)</f>
        <v>19781043.714737657</v>
      </c>
      <c r="H2" s="12">
        <f>IFERROR(G2/F2-1,0)</f>
        <v>1.9696084590207441E-2</v>
      </c>
      <c r="I2" s="2">
        <f>VLOOKUP(A:A,MASTER!A:E,5,0)</f>
        <v>342</v>
      </c>
      <c r="J2" s="2">
        <f>VLOOKUP(A:A,MASTER!A:J,10,0)</f>
        <v>521</v>
      </c>
      <c r="K2" s="12">
        <f>IFERROR(J2/I2-1,0)</f>
        <v>0.52339181286549707</v>
      </c>
      <c r="L2" s="2">
        <f>VLOOKUP(A:A,MASTER!A:D,4,0)</f>
        <v>1</v>
      </c>
      <c r="M2" s="2">
        <f>VLOOKUP(A:A,MASTER!A:I,9,0)</f>
        <v>2</v>
      </c>
      <c r="N2" s="12">
        <f>IFERROR(M2/L2-1,0)</f>
        <v>1</v>
      </c>
      <c r="O2" s="1">
        <f>VLOOKUP(A:A,MASTER!A:C,3,0)</f>
        <v>4</v>
      </c>
      <c r="P2" s="1">
        <f>VLOOKUP(A:A,MASTER!A:H,8,0)</f>
        <v>4</v>
      </c>
      <c r="Q2" s="12">
        <f>IFERROR(P2/O2-1,0)</f>
        <v>0</v>
      </c>
      <c r="R2" s="1">
        <f>VLOOKUP(A:A,MASTER!A:B,2,0)</f>
        <v>409</v>
      </c>
      <c r="S2">
        <f>VLOOKUP(A:A,MASTER!A:G,7,0)</f>
        <v>424</v>
      </c>
      <c r="T2" s="12">
        <f>IFERROR(S2/R2-1,0)</f>
        <v>3.6674816625916762E-2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23262318.873089775</v>
      </c>
      <c r="G3" s="1">
        <f>VLOOKUP(A:A,MASTER!A:K,11,0)</f>
        <v>22782750.899860404</v>
      </c>
      <c r="H3" s="12">
        <f t="shared" ref="H3:H66" si="0">IFERROR(G3/F3-1,0)</f>
        <v>-2.0615656411800964E-2</v>
      </c>
      <c r="I3" s="2">
        <f>VLOOKUP(A:A,MASTER!A:E,5,0)</f>
        <v>497</v>
      </c>
      <c r="J3" s="2">
        <f>VLOOKUP(A:A,MASTER!A:J,10,0)</f>
        <v>621</v>
      </c>
      <c r="K3" s="12">
        <f t="shared" ref="K3:K66" si="1">IFERROR(J3/I3-1,0)</f>
        <v>0.24949698189134817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3</v>
      </c>
      <c r="P3" s="1">
        <f>VLOOKUP(A:A,MASTER!A:H,8,0)</f>
        <v>6</v>
      </c>
      <c r="Q3" s="12">
        <f t="shared" ref="Q3:Q66" si="3">IFERROR(P3/O3-1,0)</f>
        <v>1</v>
      </c>
      <c r="R3" s="1">
        <f>VLOOKUP(A:A,MASTER!A:B,2,0)</f>
        <v>655</v>
      </c>
      <c r="S3">
        <f>VLOOKUP(A:A,MASTER!A:G,7,0)</f>
        <v>586</v>
      </c>
      <c r="T3" s="12">
        <f t="shared" ref="T3:T66" si="4">IFERROR(S3/R3-1,0)</f>
        <v>-0.10534351145038168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30320033.332381163</v>
      </c>
      <c r="G4" s="1">
        <f>VLOOKUP(A:A,MASTER!A:K,11,0)</f>
        <v>34655203.688990586</v>
      </c>
      <c r="H4" s="12">
        <f t="shared" si="0"/>
        <v>0.1429803954727038</v>
      </c>
      <c r="I4" s="2">
        <f>VLOOKUP(A:A,MASTER!A:E,5,0)</f>
        <v>716</v>
      </c>
      <c r="J4" s="2">
        <f>VLOOKUP(A:A,MASTER!A:J,10,0)</f>
        <v>1510</v>
      </c>
      <c r="K4" s="12">
        <f t="shared" si="1"/>
        <v>1.1089385474860336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14</v>
      </c>
      <c r="P4" s="1">
        <f>VLOOKUP(A:A,MASTER!A:H,8,0)</f>
        <v>13</v>
      </c>
      <c r="Q4" s="12">
        <f t="shared" si="3"/>
        <v>-7.1428571428571397E-2</v>
      </c>
      <c r="R4" s="1">
        <f>VLOOKUP(A:A,MASTER!A:B,2,0)</f>
        <v>711</v>
      </c>
      <c r="S4">
        <f>VLOOKUP(A:A,MASTER!A:G,7,0)</f>
        <v>782</v>
      </c>
      <c r="T4" s="12">
        <f t="shared" si="4"/>
        <v>9.9859353023910025E-2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50881068.964322858</v>
      </c>
      <c r="G5" s="1">
        <f>VLOOKUP(A:A,MASTER!A:K,11,0)</f>
        <v>52976465.973146543</v>
      </c>
      <c r="H5" s="12">
        <f t="shared" si="0"/>
        <v>4.1182252092481608E-2</v>
      </c>
      <c r="I5" s="2">
        <f>VLOOKUP(A:A,MASTER!A:E,5,0)</f>
        <v>988</v>
      </c>
      <c r="J5" s="2">
        <f>VLOOKUP(A:A,MASTER!A:J,10,0)</f>
        <v>1623</v>
      </c>
      <c r="K5" s="12">
        <f t="shared" si="1"/>
        <v>0.64271255060728749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10</v>
      </c>
      <c r="P5" s="1">
        <f>VLOOKUP(A:A,MASTER!A:H,8,0)</f>
        <v>13</v>
      </c>
      <c r="Q5" s="12">
        <f t="shared" si="3"/>
        <v>0.30000000000000004</v>
      </c>
      <c r="R5" s="1">
        <f>VLOOKUP(A:A,MASTER!A:B,2,0)</f>
        <v>1211</v>
      </c>
      <c r="S5">
        <f>VLOOKUP(A:A,MASTER!A:G,7,0)</f>
        <v>1259</v>
      </c>
      <c r="T5" s="12">
        <f t="shared" si="4"/>
        <v>3.9636663914120573E-2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20177997.824257709</v>
      </c>
      <c r="G6" s="1">
        <f>VLOOKUP(A:A,MASTER!A:K,11,0)</f>
        <v>22418722.137980822</v>
      </c>
      <c r="H6" s="12">
        <f t="shared" si="0"/>
        <v>0.11104790144388588</v>
      </c>
      <c r="I6" s="2">
        <f>VLOOKUP(A:A,MASTER!A:E,5,0)</f>
        <v>312</v>
      </c>
      <c r="J6" s="2">
        <f>VLOOKUP(A:A,MASTER!A:J,10,0)</f>
        <v>947</v>
      </c>
      <c r="K6" s="12">
        <f t="shared" si="1"/>
        <v>2.0352564102564101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4</v>
      </c>
      <c r="P6" s="1">
        <f>VLOOKUP(A:A,MASTER!A:H,8,0)</f>
        <v>1</v>
      </c>
      <c r="Q6" s="12">
        <f t="shared" si="3"/>
        <v>-0.75</v>
      </c>
      <c r="R6" s="1">
        <f>VLOOKUP(A:A,MASTER!A:B,2,0)</f>
        <v>400</v>
      </c>
      <c r="S6">
        <f>VLOOKUP(A:A,MASTER!A:G,7,0)</f>
        <v>384</v>
      </c>
      <c r="T6" s="12">
        <f t="shared" si="4"/>
        <v>-4.0000000000000036E-2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17052253.757422388</v>
      </c>
      <c r="G7" s="1">
        <f>VLOOKUP(A:A,MASTER!A:K,11,0)</f>
        <v>18811287.897410676</v>
      </c>
      <c r="H7" s="12">
        <f t="shared" si="0"/>
        <v>0.10315552213868662</v>
      </c>
      <c r="I7" s="2">
        <f>VLOOKUP(A:A,MASTER!A:E,5,0)</f>
        <v>264</v>
      </c>
      <c r="J7" s="2">
        <f>VLOOKUP(A:A,MASTER!A:J,10,0)</f>
        <v>609</v>
      </c>
      <c r="K7" s="12">
        <f t="shared" si="1"/>
        <v>1.3068181818181817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5</v>
      </c>
      <c r="Q7" s="12">
        <f t="shared" si="3"/>
        <v>0.66666666666666674</v>
      </c>
      <c r="R7" s="1">
        <f>VLOOKUP(A:A,MASTER!A:B,2,0)</f>
        <v>368</v>
      </c>
      <c r="S7">
        <f>VLOOKUP(A:A,MASTER!A:G,7,0)</f>
        <v>388</v>
      </c>
      <c r="T7" s="12">
        <f t="shared" si="4"/>
        <v>5.4347826086956541E-2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19489946.431201424</v>
      </c>
      <c r="G8" s="1">
        <f>VLOOKUP(A:A,MASTER!A:K,11,0)</f>
        <v>24350399.326345153</v>
      </c>
      <c r="H8" s="12">
        <f t="shared" si="0"/>
        <v>0.24938256820258053</v>
      </c>
      <c r="I8" s="2">
        <f>VLOOKUP(A:A,MASTER!A:E,5,0)</f>
        <v>470</v>
      </c>
      <c r="J8" s="2">
        <f>VLOOKUP(A:A,MASTER!A:J,10,0)</f>
        <v>858</v>
      </c>
      <c r="K8" s="12">
        <f t="shared" si="1"/>
        <v>0.8255319148936171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3</v>
      </c>
      <c r="P8" s="1">
        <f>VLOOKUP(A:A,MASTER!A:H,8,0)</f>
        <v>3</v>
      </c>
      <c r="Q8" s="12">
        <f t="shared" si="3"/>
        <v>0</v>
      </c>
      <c r="R8" s="1">
        <f>VLOOKUP(A:A,MASTER!A:B,2,0)</f>
        <v>592</v>
      </c>
      <c r="S8">
        <f>VLOOKUP(A:A,MASTER!A:G,7,0)</f>
        <v>627</v>
      </c>
      <c r="T8" s="12">
        <f t="shared" si="4"/>
        <v>5.9121621621621712E-2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10106417.35327002</v>
      </c>
      <c r="G9" s="1">
        <f>VLOOKUP(A:A,MASTER!A:K,11,0)</f>
        <v>9613190.5801170431</v>
      </c>
      <c r="H9" s="12">
        <f t="shared" si="0"/>
        <v>-4.8803325244963225E-2</v>
      </c>
      <c r="I9" s="2">
        <f>VLOOKUP(A:A,MASTER!A:E,5,0)</f>
        <v>160</v>
      </c>
      <c r="J9" s="2">
        <f>VLOOKUP(A:A,MASTER!A:J,10,0)</f>
        <v>494</v>
      </c>
      <c r="K9" s="12">
        <f t="shared" si="1"/>
        <v>2.0874999999999999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174</v>
      </c>
      <c r="S9">
        <f>VLOOKUP(A:A,MASTER!A:G,7,0)</f>
        <v>188</v>
      </c>
      <c r="T9" s="12">
        <f t="shared" si="4"/>
        <v>8.0459770114942541E-2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8687630.2744501438</v>
      </c>
      <c r="G10" s="1">
        <f>VLOOKUP(A:A,MASTER!A:K,11,0)</f>
        <v>6956940.048965726</v>
      </c>
      <c r="H10" s="12">
        <f t="shared" si="0"/>
        <v>-0.19921315373817017</v>
      </c>
      <c r="I10" s="2">
        <f>VLOOKUP(A:A,MASTER!A:E,5,0)</f>
        <v>35</v>
      </c>
      <c r="J10" s="2">
        <f>VLOOKUP(A:A,MASTER!A:J,10,0)</f>
        <v>487</v>
      </c>
      <c r="K10" s="12">
        <f t="shared" si="1"/>
        <v>12.914285714285715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199</v>
      </c>
      <c r="S10">
        <f>VLOOKUP(A:A,MASTER!A:G,7,0)</f>
        <v>190</v>
      </c>
      <c r="T10" s="12">
        <f t="shared" si="4"/>
        <v>-4.5226130653266305E-2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14215123.21770074</v>
      </c>
      <c r="G11" s="1">
        <f>VLOOKUP(A:A,MASTER!A:K,11,0)</f>
        <v>19343275.422514278</v>
      </c>
      <c r="H11" s="12">
        <f t="shared" si="0"/>
        <v>0.36075327144740732</v>
      </c>
      <c r="I11" s="2">
        <f>VLOOKUP(A:A,MASTER!A:E,5,0)</f>
        <v>455</v>
      </c>
      <c r="J11" s="2">
        <f>VLOOKUP(A:A,MASTER!A:J,10,0)</f>
        <v>831</v>
      </c>
      <c r="K11" s="12">
        <f t="shared" si="1"/>
        <v>0.82637362637362632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5</v>
      </c>
      <c r="Q11" s="12">
        <f t="shared" si="3"/>
        <v>1.5</v>
      </c>
      <c r="R11" s="1">
        <f>VLOOKUP(A:A,MASTER!A:B,2,0)</f>
        <v>351</v>
      </c>
      <c r="S11">
        <f>VLOOKUP(A:A,MASTER!A:G,7,0)</f>
        <v>379</v>
      </c>
      <c r="T11" s="12">
        <f t="shared" si="4"/>
        <v>7.9772079772079785E-2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6844827.399931021</v>
      </c>
      <c r="G12" s="1">
        <f>VLOOKUP(A:A,MASTER!A:K,11,0)</f>
        <v>10402147.686083637</v>
      </c>
      <c r="H12" s="12">
        <f t="shared" si="0"/>
        <v>0.51970927509267284</v>
      </c>
      <c r="I12" s="2">
        <f>VLOOKUP(A:A,MASTER!A:E,5,0)</f>
        <v>251</v>
      </c>
      <c r="J12" s="2">
        <f>VLOOKUP(A:A,MASTER!A:J,10,0)</f>
        <v>837</v>
      </c>
      <c r="K12" s="12">
        <f t="shared" si="1"/>
        <v>2.3346613545816735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194</v>
      </c>
      <c r="S12">
        <f>VLOOKUP(A:A,MASTER!A:G,7,0)</f>
        <v>247</v>
      </c>
      <c r="T12" s="12">
        <f t="shared" si="4"/>
        <v>0.27319587628865971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9367591.4486591611</v>
      </c>
      <c r="G13" s="1">
        <f>VLOOKUP(A:A,MASTER!A:K,11,0)</f>
        <v>10777888.335758485</v>
      </c>
      <c r="H13" s="12">
        <f t="shared" si="0"/>
        <v>0.15055063991942008</v>
      </c>
      <c r="I13" s="2">
        <f>VLOOKUP(A:A,MASTER!A:E,5,0)</f>
        <v>227</v>
      </c>
      <c r="J13" s="2">
        <f>VLOOKUP(A:A,MASTER!A:J,10,0)</f>
        <v>583</v>
      </c>
      <c r="K13" s="12">
        <f t="shared" si="1"/>
        <v>1.5682819383259914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8</v>
      </c>
      <c r="P13" s="1">
        <f>VLOOKUP(A:A,MASTER!A:H,8,0)</f>
        <v>3</v>
      </c>
      <c r="Q13" s="12">
        <f t="shared" si="3"/>
        <v>-0.625</v>
      </c>
      <c r="R13" s="1">
        <f>VLOOKUP(A:A,MASTER!A:B,2,0)</f>
        <v>248</v>
      </c>
      <c r="S13">
        <f>VLOOKUP(A:A,MASTER!A:G,7,0)</f>
        <v>249</v>
      </c>
      <c r="T13" s="12">
        <f t="shared" si="4"/>
        <v>4.0322580645162365E-3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30288914.758705486</v>
      </c>
      <c r="G14" s="1">
        <f>VLOOKUP(A:A,MASTER!A:K,11,0)</f>
        <v>48645993.757762209</v>
      </c>
      <c r="H14" s="12">
        <f t="shared" si="0"/>
        <v>0.60606592033082407</v>
      </c>
      <c r="I14" s="2">
        <f>VLOOKUP(A:A,MASTER!A:E,5,0)</f>
        <v>1149</v>
      </c>
      <c r="J14" s="2">
        <f>VLOOKUP(A:A,MASTER!A:J,10,0)</f>
        <v>1210</v>
      </c>
      <c r="K14" s="12">
        <f t="shared" si="1"/>
        <v>5.3089643167972156E-2</v>
      </c>
      <c r="L14" s="2">
        <f>VLOOKUP(A:A,MASTER!A:D,4,0)</f>
        <v>2</v>
      </c>
      <c r="M14" s="2">
        <f>VLOOKUP(A:A,MASTER!A:I,9,0)</f>
        <v>4</v>
      </c>
      <c r="N14" s="12">
        <f t="shared" si="2"/>
        <v>1</v>
      </c>
      <c r="O14" s="1">
        <f>VLOOKUP(A:A,MASTER!A:C,3,0)</f>
        <v>1</v>
      </c>
      <c r="P14" s="1">
        <f>VLOOKUP(A:A,MASTER!A:H,8,0)</f>
        <v>6</v>
      </c>
      <c r="Q14" s="12">
        <f t="shared" si="3"/>
        <v>5</v>
      </c>
      <c r="R14" s="1">
        <f>VLOOKUP(A:A,MASTER!A:B,2,0)</f>
        <v>1460</v>
      </c>
      <c r="S14">
        <f>VLOOKUP(A:A,MASTER!A:G,7,0)</f>
        <v>1306</v>
      </c>
      <c r="T14" s="12">
        <f t="shared" si="4"/>
        <v>-0.10547945205479448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58411827.166871645</v>
      </c>
      <c r="G15" s="1">
        <f>VLOOKUP(A:A,MASTER!A:K,11,0)</f>
        <v>76546047.989397213</v>
      </c>
      <c r="H15" s="12">
        <f t="shared" si="0"/>
        <v>0.31045460657684099</v>
      </c>
      <c r="I15" s="2">
        <f>VLOOKUP(A:A,MASTER!A:E,5,0)</f>
        <v>920</v>
      </c>
      <c r="J15" s="2">
        <f>VLOOKUP(A:A,MASTER!A:J,10,0)</f>
        <v>995</v>
      </c>
      <c r="K15" s="12">
        <f t="shared" si="1"/>
        <v>8.1521739130434812E-2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4</v>
      </c>
      <c r="P15" s="1">
        <f>VLOOKUP(A:A,MASTER!A:H,8,0)</f>
        <v>5</v>
      </c>
      <c r="Q15" s="12">
        <f t="shared" si="3"/>
        <v>0.25</v>
      </c>
      <c r="R15" s="1">
        <f>VLOOKUP(A:A,MASTER!A:B,2,0)</f>
        <v>1264</v>
      </c>
      <c r="S15">
        <f>VLOOKUP(A:A,MASTER!A:G,7,0)</f>
        <v>1208</v>
      </c>
      <c r="T15" s="12">
        <f t="shared" si="4"/>
        <v>-4.4303797468354444E-2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39765451.495621122</v>
      </c>
      <c r="G16" s="1">
        <f>VLOOKUP(A:A,MASTER!A:K,11,0)</f>
        <v>40261239.191043273</v>
      </c>
      <c r="H16" s="12">
        <f t="shared" si="0"/>
        <v>1.2467799981517702E-2</v>
      </c>
      <c r="I16" s="2">
        <f>VLOOKUP(A:A,MASTER!A:E,5,0)</f>
        <v>932</v>
      </c>
      <c r="J16" s="2">
        <f>VLOOKUP(A:A,MASTER!A:J,10,0)</f>
        <v>1281</v>
      </c>
      <c r="K16" s="12">
        <f t="shared" si="1"/>
        <v>0.37446351931330479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5</v>
      </c>
      <c r="P16" s="1">
        <f>VLOOKUP(A:A,MASTER!A:H,8,0)</f>
        <v>6</v>
      </c>
      <c r="Q16" s="12">
        <f t="shared" si="3"/>
        <v>0.19999999999999996</v>
      </c>
      <c r="R16" s="1">
        <f>VLOOKUP(A:A,MASTER!A:B,2,0)</f>
        <v>1025</v>
      </c>
      <c r="S16">
        <f>VLOOKUP(A:A,MASTER!A:G,7,0)</f>
        <v>1007</v>
      </c>
      <c r="T16" s="12">
        <f t="shared" si="4"/>
        <v>-1.7560975609756113E-2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35845855.215088911</v>
      </c>
      <c r="G17" s="1">
        <f>VLOOKUP(A:A,MASTER!A:K,11,0)</f>
        <v>33881414.154530056</v>
      </c>
      <c r="H17" s="12">
        <f t="shared" si="0"/>
        <v>-5.4802460389672736E-2</v>
      </c>
      <c r="I17" s="2">
        <f>VLOOKUP(A:A,MASTER!A:E,5,0)</f>
        <v>576</v>
      </c>
      <c r="J17" s="2">
        <f>VLOOKUP(A:A,MASTER!A:J,10,0)</f>
        <v>678</v>
      </c>
      <c r="K17" s="12">
        <f t="shared" si="1"/>
        <v>0.17708333333333326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5</v>
      </c>
      <c r="Q17" s="12">
        <f t="shared" si="3"/>
        <v>4</v>
      </c>
      <c r="R17" s="1">
        <f>VLOOKUP(A:A,MASTER!A:B,2,0)</f>
        <v>925</v>
      </c>
      <c r="S17">
        <f>VLOOKUP(A:A,MASTER!A:G,7,0)</f>
        <v>919</v>
      </c>
      <c r="T17" s="12">
        <f t="shared" si="4"/>
        <v>-6.4864864864865313E-3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136798122.59280482</v>
      </c>
      <c r="G18" s="1">
        <f>VLOOKUP(A:A,MASTER!A:K,11,0)</f>
        <v>142166856.25153127</v>
      </c>
      <c r="H18" s="12">
        <f t="shared" si="0"/>
        <v>3.9245667681471863E-2</v>
      </c>
      <c r="I18" s="2">
        <f>VLOOKUP(A:A,MASTER!A:E,5,0)</f>
        <v>2178</v>
      </c>
      <c r="J18" s="2">
        <f>VLOOKUP(A:A,MASTER!A:J,10,0)</f>
        <v>2278</v>
      </c>
      <c r="K18" s="12">
        <f t="shared" si="1"/>
        <v>4.5913682277318735E-2</v>
      </c>
      <c r="L18" s="2">
        <f>VLOOKUP(A:A,MASTER!A:D,4,0)</f>
        <v>10</v>
      </c>
      <c r="M18" s="2">
        <f>VLOOKUP(A:A,MASTER!A:I,9,0)</f>
        <v>10</v>
      </c>
      <c r="N18" s="12">
        <f t="shared" si="2"/>
        <v>0</v>
      </c>
      <c r="O18" s="1">
        <f>VLOOKUP(A:A,MASTER!A:C,3,0)</f>
        <v>762</v>
      </c>
      <c r="P18" s="1">
        <f>VLOOKUP(A:A,MASTER!A:H,8,0)</f>
        <v>193</v>
      </c>
      <c r="Q18" s="12">
        <f t="shared" si="3"/>
        <v>-0.74671916010498696</v>
      </c>
      <c r="R18" s="1">
        <f>VLOOKUP(A:A,MASTER!A:B,2,0)</f>
        <v>2942</v>
      </c>
      <c r="S18">
        <f>VLOOKUP(A:A,MASTER!A:G,7,0)</f>
        <v>2707</v>
      </c>
      <c r="T18" s="12">
        <f t="shared" si="4"/>
        <v>-7.9877634262406572E-2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71554561.414202556</v>
      </c>
      <c r="G19" s="1">
        <f>VLOOKUP(A:A,MASTER!A:K,11,0)</f>
        <v>55866695.96777425</v>
      </c>
      <c r="H19" s="12">
        <f t="shared" si="0"/>
        <v>-0.21924340162770517</v>
      </c>
      <c r="I19" s="2">
        <f>VLOOKUP(A:A,MASTER!A:E,5,0)</f>
        <v>1220</v>
      </c>
      <c r="J19" s="2">
        <f>VLOOKUP(A:A,MASTER!A:J,10,0)</f>
        <v>1389</v>
      </c>
      <c r="K19" s="12">
        <f t="shared" si="1"/>
        <v>0.13852459016393448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3</v>
      </c>
      <c r="P19" s="1">
        <f>VLOOKUP(A:A,MASTER!A:H,8,0)</f>
        <v>10</v>
      </c>
      <c r="Q19" s="12">
        <f t="shared" si="3"/>
        <v>2.3333333333333335</v>
      </c>
      <c r="R19" s="1">
        <f>VLOOKUP(A:A,MASTER!A:B,2,0)</f>
        <v>1416</v>
      </c>
      <c r="S19">
        <f>VLOOKUP(A:A,MASTER!A:G,7,0)</f>
        <v>1299</v>
      </c>
      <c r="T19" s="12">
        <f t="shared" si="4"/>
        <v>-8.2627118644067798E-2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145110489.51875758</v>
      </c>
      <c r="G20" s="1">
        <f>VLOOKUP(A:A,MASTER!A:K,11,0)</f>
        <v>151046010.26584131</v>
      </c>
      <c r="H20" s="12">
        <f t="shared" si="0"/>
        <v>4.0903457543064015E-2</v>
      </c>
      <c r="I20" s="2">
        <f>VLOOKUP(A:A,MASTER!A:E,5,0)</f>
        <v>2203</v>
      </c>
      <c r="J20" s="2">
        <f>VLOOKUP(A:A,MASTER!A:J,10,0)</f>
        <v>2155</v>
      </c>
      <c r="K20" s="12">
        <f t="shared" si="1"/>
        <v>-2.1788470267816606E-2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28</v>
      </c>
      <c r="P20" s="1">
        <f>VLOOKUP(A:A,MASTER!A:H,8,0)</f>
        <v>28</v>
      </c>
      <c r="Q20" s="12">
        <f t="shared" si="3"/>
        <v>0</v>
      </c>
      <c r="R20" s="1">
        <f>VLOOKUP(A:A,MASTER!A:B,2,0)</f>
        <v>2966</v>
      </c>
      <c r="S20">
        <f>VLOOKUP(A:A,MASTER!A:G,7,0)</f>
        <v>2791</v>
      </c>
      <c r="T20" s="12">
        <f t="shared" si="4"/>
        <v>-5.9002022926500364E-2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20297497.639715653</v>
      </c>
      <c r="G21" s="1">
        <f>VLOOKUP(A:A,MASTER!A:K,11,0)</f>
        <v>21511936.102741946</v>
      </c>
      <c r="H21" s="12">
        <f t="shared" si="0"/>
        <v>5.9831930249866216E-2</v>
      </c>
      <c r="I21" s="2">
        <f>VLOOKUP(A:A,MASTER!A:E,5,0)</f>
        <v>466</v>
      </c>
      <c r="J21" s="2">
        <f>VLOOKUP(A:A,MASTER!A:J,10,0)</f>
        <v>519</v>
      </c>
      <c r="K21" s="12">
        <f t="shared" si="1"/>
        <v>0.11373390557939911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7</v>
      </c>
      <c r="Q21" s="12">
        <f t="shared" si="3"/>
        <v>0.16666666666666674</v>
      </c>
      <c r="R21" s="1">
        <f>VLOOKUP(A:A,MASTER!A:B,2,0)</f>
        <v>532</v>
      </c>
      <c r="S21">
        <f>VLOOKUP(A:A,MASTER!A:G,7,0)</f>
        <v>498</v>
      </c>
      <c r="T21" s="12">
        <f t="shared" si="4"/>
        <v>-6.390977443609025E-2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59219798.1023008</v>
      </c>
      <c r="G22" s="1">
        <f>VLOOKUP(A:A,MASTER!A:K,11,0)</f>
        <v>60500166.183589257</v>
      </c>
      <c r="H22" s="12">
        <f t="shared" si="0"/>
        <v>2.1620608686923504E-2</v>
      </c>
      <c r="I22" s="2">
        <f>VLOOKUP(A:A,MASTER!A:E,5,0)</f>
        <v>1325</v>
      </c>
      <c r="J22" s="2">
        <f>VLOOKUP(A:A,MASTER!A:J,10,0)</f>
        <v>1728</v>
      </c>
      <c r="K22" s="12">
        <f t="shared" si="1"/>
        <v>0.30415094339622639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25</v>
      </c>
      <c r="P22" s="1">
        <f>VLOOKUP(A:A,MASTER!A:H,8,0)</f>
        <v>29</v>
      </c>
      <c r="Q22" s="12">
        <f t="shared" si="3"/>
        <v>0.15999999999999992</v>
      </c>
      <c r="R22" s="1">
        <f>VLOOKUP(A:A,MASTER!A:B,2,0)</f>
        <v>1760</v>
      </c>
      <c r="S22">
        <f>VLOOKUP(A:A,MASTER!A:G,7,0)</f>
        <v>1768</v>
      </c>
      <c r="T22" s="12">
        <f t="shared" si="4"/>
        <v>4.5454545454546302E-3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25197858.651107904</v>
      </c>
      <c r="G23" s="1">
        <f>VLOOKUP(A:A,MASTER!A:K,11,0)</f>
        <v>25855038.683046423</v>
      </c>
      <c r="H23" s="12">
        <f t="shared" si="0"/>
        <v>2.6080788889163209E-2</v>
      </c>
      <c r="I23" s="2">
        <f>VLOOKUP(A:A,MASTER!A:E,5,0)</f>
        <v>757</v>
      </c>
      <c r="J23" s="2">
        <f>VLOOKUP(A:A,MASTER!A:J,10,0)</f>
        <v>922</v>
      </c>
      <c r="K23" s="12">
        <f t="shared" si="1"/>
        <v>0.21796565389696165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17</v>
      </c>
      <c r="P23" s="1">
        <f>VLOOKUP(A:A,MASTER!A:H,8,0)</f>
        <v>21</v>
      </c>
      <c r="Q23" s="12">
        <f t="shared" si="3"/>
        <v>0.23529411764705888</v>
      </c>
      <c r="R23" s="1">
        <f>VLOOKUP(A:A,MASTER!A:B,2,0)</f>
        <v>876</v>
      </c>
      <c r="S23">
        <f>VLOOKUP(A:A,MASTER!A:G,7,0)</f>
        <v>868</v>
      </c>
      <c r="T23" s="12">
        <f t="shared" si="4"/>
        <v>-9.1324200913242004E-3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29458560.508762401</v>
      </c>
      <c r="G24" s="1">
        <f>VLOOKUP(A:A,MASTER!A:K,11,0)</f>
        <v>30792539.191919893</v>
      </c>
      <c r="H24" s="12">
        <f t="shared" si="0"/>
        <v>4.528322701853349E-2</v>
      </c>
      <c r="I24" s="2">
        <f>VLOOKUP(A:A,MASTER!A:E,5,0)</f>
        <v>874</v>
      </c>
      <c r="J24" s="2">
        <f>VLOOKUP(A:A,MASTER!A:J,10,0)</f>
        <v>774</v>
      </c>
      <c r="K24" s="12">
        <f t="shared" si="1"/>
        <v>-0.11441647597254001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8</v>
      </c>
      <c r="P24" s="1">
        <f>VLOOKUP(A:A,MASTER!A:H,8,0)</f>
        <v>10</v>
      </c>
      <c r="Q24" s="12">
        <f t="shared" si="3"/>
        <v>0.25</v>
      </c>
      <c r="R24" s="1">
        <f>VLOOKUP(A:A,MASTER!A:B,2,0)</f>
        <v>877</v>
      </c>
      <c r="S24">
        <f>VLOOKUP(A:A,MASTER!A:G,7,0)</f>
        <v>887</v>
      </c>
      <c r="T24" s="12">
        <f t="shared" si="4"/>
        <v>1.1402508551881407E-2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8667790.2122814171</v>
      </c>
      <c r="G25" s="1">
        <f>VLOOKUP(A:A,MASTER!A:K,11,0)</f>
        <v>7676474.5734484699</v>
      </c>
      <c r="H25" s="12">
        <f t="shared" si="0"/>
        <v>-0.11436774709064246</v>
      </c>
      <c r="I25" s="2">
        <f>VLOOKUP(A:A,MASTER!A:E,5,0)</f>
        <v>141</v>
      </c>
      <c r="J25" s="2">
        <f>VLOOKUP(A:A,MASTER!A:J,10,0)</f>
        <v>194</v>
      </c>
      <c r="K25" s="12">
        <f t="shared" si="1"/>
        <v>0.37588652482269502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250</v>
      </c>
      <c r="S25">
        <f>VLOOKUP(A:A,MASTER!A:G,7,0)</f>
        <v>211</v>
      </c>
      <c r="T25" s="12">
        <f t="shared" si="4"/>
        <v>-0.15600000000000003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60919445.194015883</v>
      </c>
      <c r="G26" s="1">
        <f>VLOOKUP(A:A,MASTER!A:K,11,0)</f>
        <v>58456462.967695154</v>
      </c>
      <c r="H26" s="12">
        <f t="shared" si="0"/>
        <v>-4.0430148673820665E-2</v>
      </c>
      <c r="I26" s="2">
        <f>VLOOKUP(A:A,MASTER!A:E,5,0)</f>
        <v>1307</v>
      </c>
      <c r="J26" s="2">
        <f>VLOOKUP(A:A,MASTER!A:J,10,0)</f>
        <v>1690</v>
      </c>
      <c r="K26" s="12">
        <f t="shared" si="1"/>
        <v>0.29303749043611327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7</v>
      </c>
      <c r="P26" s="1">
        <f>VLOOKUP(A:A,MASTER!A:H,8,0)</f>
        <v>15</v>
      </c>
      <c r="Q26" s="12">
        <f t="shared" si="3"/>
        <v>1.1428571428571428</v>
      </c>
      <c r="R26" s="1">
        <f>VLOOKUP(A:A,MASTER!A:B,2,0)</f>
        <v>1640</v>
      </c>
      <c r="S26">
        <f>VLOOKUP(A:A,MASTER!A:G,7,0)</f>
        <v>1613</v>
      </c>
      <c r="T26" s="12">
        <f t="shared" si="4"/>
        <v>-1.6463414634146356E-2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44803824.424445488</v>
      </c>
      <c r="G27" s="1">
        <f>VLOOKUP(A:A,MASTER!A:K,11,0)</f>
        <v>50169994.361237466</v>
      </c>
      <c r="H27" s="12">
        <f t="shared" si="0"/>
        <v>0.11977035455625384</v>
      </c>
      <c r="I27" s="2">
        <f>VLOOKUP(A:A,MASTER!A:E,5,0)</f>
        <v>602</v>
      </c>
      <c r="J27" s="2">
        <f>VLOOKUP(A:A,MASTER!A:J,10,0)</f>
        <v>712</v>
      </c>
      <c r="K27" s="12">
        <f t="shared" si="1"/>
        <v>0.18272425249169433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8</v>
      </c>
      <c r="P27" s="1">
        <f>VLOOKUP(A:A,MASTER!A:H,8,0)</f>
        <v>10</v>
      </c>
      <c r="Q27" s="12">
        <f t="shared" si="3"/>
        <v>0.25</v>
      </c>
      <c r="R27" s="1">
        <f>VLOOKUP(A:A,MASTER!A:B,2,0)</f>
        <v>861</v>
      </c>
      <c r="S27">
        <f>VLOOKUP(A:A,MASTER!A:G,7,0)</f>
        <v>902</v>
      </c>
      <c r="T27" s="12">
        <f t="shared" si="4"/>
        <v>4.7619047619047672E-2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48581728.365952343</v>
      </c>
      <c r="G28" s="1">
        <f>VLOOKUP(A:A,MASTER!A:K,11,0)</f>
        <v>47203464.09979637</v>
      </c>
      <c r="H28" s="12">
        <f t="shared" si="0"/>
        <v>-2.8370013017525841E-2</v>
      </c>
      <c r="I28" s="2">
        <f>VLOOKUP(A:A,MASTER!A:E,5,0)</f>
        <v>774</v>
      </c>
      <c r="J28" s="2">
        <f>VLOOKUP(A:A,MASTER!A:J,10,0)</f>
        <v>757</v>
      </c>
      <c r="K28" s="12">
        <f t="shared" si="1"/>
        <v>-2.1963824289405687E-2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10</v>
      </c>
      <c r="P28" s="1">
        <f>VLOOKUP(A:A,MASTER!A:H,8,0)</f>
        <v>4</v>
      </c>
      <c r="Q28" s="12">
        <f t="shared" si="3"/>
        <v>-0.6</v>
      </c>
      <c r="R28" s="1">
        <f>VLOOKUP(A:A,MASTER!A:B,2,0)</f>
        <v>1068</v>
      </c>
      <c r="S28">
        <f>VLOOKUP(A:A,MASTER!A:G,7,0)</f>
        <v>1002</v>
      </c>
      <c r="T28" s="12">
        <f t="shared" si="4"/>
        <v>-6.1797752808988804E-2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62530279.366480142</v>
      </c>
      <c r="G29" s="1">
        <f>VLOOKUP(A:A,MASTER!A:K,11,0)</f>
        <v>65076038.774214529</v>
      </c>
      <c r="H29" s="12">
        <f t="shared" si="0"/>
        <v>4.0712426579994743E-2</v>
      </c>
      <c r="I29" s="2">
        <f>VLOOKUP(A:A,MASTER!A:E,5,0)</f>
        <v>889</v>
      </c>
      <c r="J29" s="2">
        <f>VLOOKUP(A:A,MASTER!A:J,10,0)</f>
        <v>1236</v>
      </c>
      <c r="K29" s="12">
        <f t="shared" si="1"/>
        <v>0.39032620922384709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3</v>
      </c>
      <c r="P29" s="1">
        <f>VLOOKUP(A:A,MASTER!A:H,8,0)</f>
        <v>4</v>
      </c>
      <c r="Q29" s="12">
        <f t="shared" si="3"/>
        <v>0.33333333333333326</v>
      </c>
      <c r="R29" s="1">
        <f>VLOOKUP(A:A,MASTER!A:B,2,0)</f>
        <v>1093</v>
      </c>
      <c r="S29">
        <f>VLOOKUP(A:A,MASTER!A:G,7,0)</f>
        <v>1127</v>
      </c>
      <c r="T29" s="12">
        <f t="shared" si="4"/>
        <v>3.1107044830741115E-2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90991062.812777236</v>
      </c>
      <c r="G30" s="1">
        <f>VLOOKUP(A:A,MASTER!A:K,11,0)</f>
        <v>86801870.240247473</v>
      </c>
      <c r="H30" s="12">
        <f t="shared" si="0"/>
        <v>-4.6039604803269851E-2</v>
      </c>
      <c r="I30" s="2">
        <f>VLOOKUP(A:A,MASTER!A:E,5,0)</f>
        <v>1127</v>
      </c>
      <c r="J30" s="2">
        <f>VLOOKUP(A:A,MASTER!A:J,10,0)</f>
        <v>1210</v>
      </c>
      <c r="K30" s="12">
        <f t="shared" si="1"/>
        <v>7.3646850044365664E-2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5</v>
      </c>
      <c r="P30" s="1">
        <f>VLOOKUP(A:A,MASTER!A:H,8,0)</f>
        <v>7</v>
      </c>
      <c r="Q30" s="12">
        <f t="shared" si="3"/>
        <v>0.39999999999999991</v>
      </c>
      <c r="R30" s="1">
        <f>VLOOKUP(A:A,MASTER!A:B,2,0)</f>
        <v>1451</v>
      </c>
      <c r="S30">
        <f>VLOOKUP(A:A,MASTER!A:G,7,0)</f>
        <v>1393</v>
      </c>
      <c r="T30" s="12">
        <f t="shared" si="4"/>
        <v>-3.9972432804962099E-2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36242606.970537424</v>
      </c>
      <c r="G31" s="1">
        <f>VLOOKUP(A:A,MASTER!A:K,11,0)</f>
        <v>38337108.668008581</v>
      </c>
      <c r="H31" s="12">
        <f t="shared" si="0"/>
        <v>5.7791143423369995E-2</v>
      </c>
      <c r="I31" s="2">
        <f>VLOOKUP(A:A,MASTER!A:E,5,0)</f>
        <v>606</v>
      </c>
      <c r="J31" s="2">
        <f>VLOOKUP(A:A,MASTER!A:J,10,0)</f>
        <v>618</v>
      </c>
      <c r="K31" s="12">
        <f t="shared" si="1"/>
        <v>1.980198019801982E-2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4</v>
      </c>
      <c r="Q31" s="12">
        <f t="shared" si="3"/>
        <v>0.33333333333333326</v>
      </c>
      <c r="R31" s="1">
        <f>VLOOKUP(A:A,MASTER!A:B,2,0)</f>
        <v>696</v>
      </c>
      <c r="S31">
        <f>VLOOKUP(A:A,MASTER!A:G,7,0)</f>
        <v>663</v>
      </c>
      <c r="T31" s="12">
        <f t="shared" si="4"/>
        <v>-4.7413793103448287E-2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108532292.35017043</v>
      </c>
      <c r="G32" s="1">
        <f>VLOOKUP(A:A,MASTER!A:K,11,0)</f>
        <v>98260582.39468734</v>
      </c>
      <c r="H32" s="12">
        <f t="shared" si="0"/>
        <v>-9.4641969989376795E-2</v>
      </c>
      <c r="I32" s="2">
        <f>VLOOKUP(A:A,MASTER!A:E,5,0)</f>
        <v>1637</v>
      </c>
      <c r="J32" s="2">
        <f>VLOOKUP(A:A,MASTER!A:J,10,0)</f>
        <v>1530</v>
      </c>
      <c r="K32" s="12">
        <f t="shared" si="1"/>
        <v>-6.536346976175933E-2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18</v>
      </c>
      <c r="P32" s="1">
        <f>VLOOKUP(A:A,MASTER!A:H,8,0)</f>
        <v>14</v>
      </c>
      <c r="Q32" s="12">
        <f t="shared" si="3"/>
        <v>-0.22222222222222221</v>
      </c>
      <c r="R32" s="1">
        <f>VLOOKUP(A:A,MASTER!A:B,2,0)</f>
        <v>1960</v>
      </c>
      <c r="S32">
        <f>VLOOKUP(A:A,MASTER!A:G,7,0)</f>
        <v>1833</v>
      </c>
      <c r="T32" s="12">
        <f t="shared" si="4"/>
        <v>-6.4795918367346994E-2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37320575.725948349</v>
      </c>
      <c r="G33" s="1">
        <f>VLOOKUP(A:A,MASTER!A:K,11,0)</f>
        <v>37894355.842432186</v>
      </c>
      <c r="H33" s="12">
        <f t="shared" si="0"/>
        <v>1.5374364015635855E-2</v>
      </c>
      <c r="I33" s="2">
        <f>VLOOKUP(A:A,MASTER!A:E,5,0)</f>
        <v>709</v>
      </c>
      <c r="J33" s="2">
        <f>VLOOKUP(A:A,MASTER!A:J,10,0)</f>
        <v>944</v>
      </c>
      <c r="K33" s="12">
        <f t="shared" si="1"/>
        <v>0.33145275035260924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6</v>
      </c>
      <c r="P33" s="1">
        <f>VLOOKUP(A:A,MASTER!A:H,8,0)</f>
        <v>5</v>
      </c>
      <c r="Q33" s="12">
        <f t="shared" si="3"/>
        <v>-0.16666666666666663</v>
      </c>
      <c r="R33" s="1">
        <f>VLOOKUP(A:A,MASTER!A:B,2,0)</f>
        <v>848</v>
      </c>
      <c r="S33">
        <f>VLOOKUP(A:A,MASTER!A:G,7,0)</f>
        <v>858</v>
      </c>
      <c r="T33" s="12">
        <f t="shared" si="4"/>
        <v>1.1792452830188704E-2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32911656.851534713</v>
      </c>
      <c r="G34" s="1">
        <f>VLOOKUP(A:A,MASTER!A:K,11,0)</f>
        <v>34565487.893721186</v>
      </c>
      <c r="H34" s="12">
        <f t="shared" si="0"/>
        <v>5.0250616359028832E-2</v>
      </c>
      <c r="I34" s="2">
        <f>VLOOKUP(A:A,MASTER!A:E,5,0)</f>
        <v>608</v>
      </c>
      <c r="J34" s="2">
        <f>VLOOKUP(A:A,MASTER!A:J,10,0)</f>
        <v>891</v>
      </c>
      <c r="K34" s="12">
        <f t="shared" si="1"/>
        <v>0.46546052631578938</v>
      </c>
      <c r="L34" s="2">
        <f>VLOOKUP(A:A,MASTER!A:D,4,0)</f>
        <v>2</v>
      </c>
      <c r="M34" s="2">
        <f>VLOOKUP(A:A,MASTER!A:I,9,0)</f>
        <v>1</v>
      </c>
      <c r="N34" s="12">
        <f t="shared" si="2"/>
        <v>-0.5</v>
      </c>
      <c r="O34" s="1">
        <f>VLOOKUP(A:A,MASTER!A:C,3,0)</f>
        <v>24</v>
      </c>
      <c r="P34" s="1">
        <f>VLOOKUP(A:A,MASTER!A:H,8,0)</f>
        <v>6</v>
      </c>
      <c r="Q34" s="12">
        <f t="shared" si="3"/>
        <v>-0.75</v>
      </c>
      <c r="R34" s="1">
        <f>VLOOKUP(A:A,MASTER!A:B,2,0)</f>
        <v>723</v>
      </c>
      <c r="S34">
        <f>VLOOKUP(A:A,MASTER!A:G,7,0)</f>
        <v>683</v>
      </c>
      <c r="T34" s="12">
        <f t="shared" si="4"/>
        <v>-5.5325034578146637E-2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54638105.497340813</v>
      </c>
      <c r="G35" s="1">
        <f>VLOOKUP(A:A,MASTER!A:K,11,0)</f>
        <v>55212943.223061807</v>
      </c>
      <c r="H35" s="12">
        <f t="shared" si="0"/>
        <v>1.0520820963475286E-2</v>
      </c>
      <c r="I35" s="2">
        <f>VLOOKUP(A:A,MASTER!A:E,5,0)</f>
        <v>814</v>
      </c>
      <c r="J35" s="2">
        <f>VLOOKUP(A:A,MASTER!A:J,10,0)</f>
        <v>1608</v>
      </c>
      <c r="K35" s="12">
        <f t="shared" si="1"/>
        <v>0.97542997542997534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25</v>
      </c>
      <c r="P35" s="1">
        <f>VLOOKUP(A:A,MASTER!A:H,8,0)</f>
        <v>26</v>
      </c>
      <c r="Q35" s="12">
        <f t="shared" si="3"/>
        <v>4.0000000000000036E-2</v>
      </c>
      <c r="R35" s="1">
        <f>VLOOKUP(A:A,MASTER!A:B,2,0)</f>
        <v>1164</v>
      </c>
      <c r="S35">
        <f>VLOOKUP(A:A,MASTER!A:G,7,0)</f>
        <v>1190</v>
      </c>
      <c r="T35" s="12">
        <f t="shared" si="4"/>
        <v>2.2336769759450092E-2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52814341.477953658</v>
      </c>
      <c r="G36" s="1">
        <f>VLOOKUP(A:A,MASTER!A:K,11,0)</f>
        <v>51717887.399712071</v>
      </c>
      <c r="H36" s="12">
        <f t="shared" si="0"/>
        <v>-2.076053677009837E-2</v>
      </c>
      <c r="I36" s="2">
        <f>VLOOKUP(A:A,MASTER!A:E,5,0)</f>
        <v>919</v>
      </c>
      <c r="J36" s="2">
        <f>VLOOKUP(A:A,MASTER!A:J,10,0)</f>
        <v>1056</v>
      </c>
      <c r="K36" s="12">
        <f t="shared" si="1"/>
        <v>0.14907508161044625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374</v>
      </c>
      <c r="P36" s="1">
        <f>VLOOKUP(A:A,MASTER!A:H,8,0)</f>
        <v>468</v>
      </c>
      <c r="Q36" s="12">
        <f t="shared" si="3"/>
        <v>0.25133689839572182</v>
      </c>
      <c r="R36" s="1">
        <f>VLOOKUP(A:A,MASTER!A:B,2,0)</f>
        <v>1270</v>
      </c>
      <c r="S36">
        <f>VLOOKUP(A:A,MASTER!A:G,7,0)</f>
        <v>1296</v>
      </c>
      <c r="T36" s="12">
        <f t="shared" si="4"/>
        <v>2.0472440944881987E-2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83809193.967443451</v>
      </c>
      <c r="G37" s="1">
        <f>VLOOKUP(A:A,MASTER!A:K,11,0)</f>
        <v>90682863.198932528</v>
      </c>
      <c r="H37" s="12">
        <f t="shared" si="0"/>
        <v>8.201569429434219E-2</v>
      </c>
      <c r="I37" s="2">
        <f>VLOOKUP(A:A,MASTER!A:E,5,0)</f>
        <v>1592</v>
      </c>
      <c r="J37" s="2">
        <f>VLOOKUP(A:A,MASTER!A:J,10,0)</f>
        <v>2183</v>
      </c>
      <c r="K37" s="12">
        <f t="shared" si="1"/>
        <v>0.37123115577889454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835</v>
      </c>
      <c r="P37" s="1">
        <f>VLOOKUP(A:A,MASTER!A:H,8,0)</f>
        <v>201</v>
      </c>
      <c r="Q37" s="12">
        <f t="shared" si="3"/>
        <v>-0.75928143712574847</v>
      </c>
      <c r="R37" s="1">
        <f>VLOOKUP(A:A,MASTER!A:B,2,0)</f>
        <v>2605</v>
      </c>
      <c r="S37">
        <f>VLOOKUP(A:A,MASTER!A:G,7,0)</f>
        <v>2224</v>
      </c>
      <c r="T37" s="12">
        <f t="shared" si="4"/>
        <v>-0.14625719769673706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27312442.624750383</v>
      </c>
      <c r="G38" s="1">
        <f>VLOOKUP(A:A,MASTER!A:K,11,0)</f>
        <v>33118164.564125162</v>
      </c>
      <c r="H38" s="12">
        <f t="shared" si="0"/>
        <v>0.21256692486792317</v>
      </c>
      <c r="I38" s="2">
        <f>VLOOKUP(A:A,MASTER!A:E,5,0)</f>
        <v>429</v>
      </c>
      <c r="J38" s="2">
        <f>VLOOKUP(A:A,MASTER!A:J,10,0)</f>
        <v>472</v>
      </c>
      <c r="K38" s="12">
        <f t="shared" si="1"/>
        <v>0.10023310023310028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2</v>
      </c>
      <c r="Q38" s="12">
        <f t="shared" si="3"/>
        <v>0</v>
      </c>
      <c r="R38" s="1">
        <f>VLOOKUP(A:A,MASTER!A:B,2,0)</f>
        <v>607</v>
      </c>
      <c r="S38">
        <f>VLOOKUP(A:A,MASTER!A:G,7,0)</f>
        <v>592</v>
      </c>
      <c r="T38" s="12">
        <f t="shared" si="4"/>
        <v>-2.4711696869851751E-2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100600974.65803839</v>
      </c>
      <c r="G39" s="1">
        <f>VLOOKUP(A:A,MASTER!A:K,11,0)</f>
        <v>105755188.84931171</v>
      </c>
      <c r="H39" s="12">
        <f t="shared" si="0"/>
        <v>5.123423713133457E-2</v>
      </c>
      <c r="I39" s="2">
        <f>VLOOKUP(A:A,MASTER!A:E,5,0)</f>
        <v>2418</v>
      </c>
      <c r="J39" s="2">
        <f>VLOOKUP(A:A,MASTER!A:J,10,0)</f>
        <v>2089</v>
      </c>
      <c r="K39" s="12">
        <f t="shared" si="1"/>
        <v>-0.13606286186931349</v>
      </c>
      <c r="L39" s="2">
        <f>VLOOKUP(A:A,MASTER!A:D,4,0)</f>
        <v>5</v>
      </c>
      <c r="M39" s="2">
        <f>VLOOKUP(A:A,MASTER!A:I,9,0)</f>
        <v>5</v>
      </c>
      <c r="N39" s="12">
        <f t="shared" si="2"/>
        <v>0</v>
      </c>
      <c r="O39" s="1">
        <f>VLOOKUP(A:A,MASTER!A:C,3,0)</f>
        <v>14</v>
      </c>
      <c r="P39" s="1">
        <f>VLOOKUP(A:A,MASTER!A:H,8,0)</f>
        <v>13</v>
      </c>
      <c r="Q39" s="12">
        <f t="shared" si="3"/>
        <v>-7.1428571428571397E-2</v>
      </c>
      <c r="R39" s="1">
        <f>VLOOKUP(A:A,MASTER!A:B,2,0)</f>
        <v>2068</v>
      </c>
      <c r="S39">
        <f>VLOOKUP(A:A,MASTER!A:G,7,0)</f>
        <v>2075</v>
      </c>
      <c r="T39" s="12">
        <f t="shared" si="4"/>
        <v>3.3849129593810368E-3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69200958.810459167</v>
      </c>
      <c r="G40" s="1">
        <f>VLOOKUP(A:A,MASTER!A:K,11,0)</f>
        <v>74089777.110698476</v>
      </c>
      <c r="H40" s="12">
        <f t="shared" si="0"/>
        <v>7.0646684443054442E-2</v>
      </c>
      <c r="I40" s="2">
        <f>VLOOKUP(A:A,MASTER!A:E,5,0)</f>
        <v>750</v>
      </c>
      <c r="J40" s="2">
        <f>VLOOKUP(A:A,MASTER!A:J,10,0)</f>
        <v>1005</v>
      </c>
      <c r="K40" s="12">
        <f t="shared" si="1"/>
        <v>0.34000000000000008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9</v>
      </c>
      <c r="P40" s="1">
        <f>VLOOKUP(A:A,MASTER!A:H,8,0)</f>
        <v>15</v>
      </c>
      <c r="Q40" s="12">
        <f t="shared" si="3"/>
        <v>0.66666666666666674</v>
      </c>
      <c r="R40" s="1">
        <f>VLOOKUP(A:A,MASTER!A:B,2,0)</f>
        <v>886</v>
      </c>
      <c r="S40">
        <f>VLOOKUP(A:A,MASTER!A:G,7,0)</f>
        <v>935</v>
      </c>
      <c r="T40" s="12">
        <f t="shared" si="4"/>
        <v>5.5304740406320496E-2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58650019.274167448</v>
      </c>
      <c r="G41" s="1">
        <f>VLOOKUP(A:A,MASTER!A:K,11,0)</f>
        <v>46952711.095741242</v>
      </c>
      <c r="H41" s="12">
        <f t="shared" si="0"/>
        <v>-0.1994425291447145</v>
      </c>
      <c r="I41" s="2">
        <f>VLOOKUP(A:A,MASTER!A:E,5,0)</f>
        <v>1897</v>
      </c>
      <c r="J41" s="2">
        <f>VLOOKUP(A:A,MASTER!A:J,10,0)</f>
        <v>1364</v>
      </c>
      <c r="K41" s="12">
        <f t="shared" si="1"/>
        <v>-0.28096995255666846</v>
      </c>
      <c r="L41" s="2">
        <f>VLOOKUP(A:A,MASTER!A:D,4,0)</f>
        <v>4</v>
      </c>
      <c r="M41" s="2">
        <f>VLOOKUP(A:A,MASTER!A:I,9,0)</f>
        <v>4</v>
      </c>
      <c r="N41" s="12">
        <f t="shared" si="2"/>
        <v>0</v>
      </c>
      <c r="O41" s="1">
        <f>VLOOKUP(A:A,MASTER!A:C,3,0)</f>
        <v>5</v>
      </c>
      <c r="P41" s="1">
        <f>VLOOKUP(A:A,MASTER!A:H,8,0)</f>
        <v>10</v>
      </c>
      <c r="Q41" s="12">
        <f t="shared" si="3"/>
        <v>1</v>
      </c>
      <c r="R41" s="1">
        <f>VLOOKUP(A:A,MASTER!A:B,2,0)</f>
        <v>1128</v>
      </c>
      <c r="S41">
        <f>VLOOKUP(A:A,MASTER!A:G,7,0)</f>
        <v>1061</v>
      </c>
      <c r="T41" s="12">
        <f t="shared" si="4"/>
        <v>-5.939716312056742E-2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53704478.39769461</v>
      </c>
      <c r="G42" s="1">
        <f>VLOOKUP(A:A,MASTER!A:K,11,0)</f>
        <v>55108927.707610063</v>
      </c>
      <c r="H42" s="12">
        <f t="shared" si="0"/>
        <v>2.6151437493074026E-2</v>
      </c>
      <c r="I42" s="2">
        <f>VLOOKUP(A:A,MASTER!A:E,5,0)</f>
        <v>658</v>
      </c>
      <c r="J42" s="2">
        <f>VLOOKUP(A:A,MASTER!A:J,10,0)</f>
        <v>764</v>
      </c>
      <c r="K42" s="12">
        <f t="shared" si="1"/>
        <v>0.16109422492401215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1</v>
      </c>
      <c r="P42" s="1">
        <f>VLOOKUP(A:A,MASTER!A:H,8,0)</f>
        <v>11</v>
      </c>
      <c r="Q42" s="12">
        <f t="shared" si="3"/>
        <v>10</v>
      </c>
      <c r="R42" s="1">
        <f>VLOOKUP(A:A,MASTER!A:B,2,0)</f>
        <v>847</v>
      </c>
      <c r="S42">
        <f>VLOOKUP(A:A,MASTER!A:G,7,0)</f>
        <v>806</v>
      </c>
      <c r="T42" s="12">
        <f t="shared" si="4"/>
        <v>-4.840613931523019E-2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33709224.483532123</v>
      </c>
      <c r="G43" s="1">
        <f>VLOOKUP(A:A,MASTER!A:K,11,0)</f>
        <v>34886428.659862414</v>
      </c>
      <c r="H43" s="12">
        <f t="shared" si="0"/>
        <v>3.4922315608458598E-2</v>
      </c>
      <c r="I43" s="2">
        <f>VLOOKUP(A:A,MASTER!A:E,5,0)</f>
        <v>576</v>
      </c>
      <c r="J43" s="2">
        <f>VLOOKUP(A:A,MASTER!A:J,10,0)</f>
        <v>806</v>
      </c>
      <c r="K43" s="12">
        <f t="shared" si="1"/>
        <v>0.39930555555555558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6</v>
      </c>
      <c r="P43" s="1">
        <f>VLOOKUP(A:A,MASTER!A:H,8,0)</f>
        <v>5</v>
      </c>
      <c r="Q43" s="12">
        <f t="shared" si="3"/>
        <v>-0.16666666666666663</v>
      </c>
      <c r="R43" s="1">
        <f>VLOOKUP(A:A,MASTER!A:B,2,0)</f>
        <v>677</v>
      </c>
      <c r="S43">
        <f>VLOOKUP(A:A,MASTER!A:G,7,0)</f>
        <v>727</v>
      </c>
      <c r="T43" s="12">
        <f t="shared" si="4"/>
        <v>7.3855243722304342E-2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32955601.091640808</v>
      </c>
      <c r="G44" s="1">
        <f>VLOOKUP(A:A,MASTER!A:K,11,0)</f>
        <v>30550486.080897015</v>
      </c>
      <c r="H44" s="12">
        <f t="shared" si="0"/>
        <v>-7.2980462533692059E-2</v>
      </c>
      <c r="I44" s="2">
        <f>VLOOKUP(A:A,MASTER!A:E,5,0)</f>
        <v>669</v>
      </c>
      <c r="J44" s="2">
        <f>VLOOKUP(A:A,MASTER!A:J,10,0)</f>
        <v>838</v>
      </c>
      <c r="K44" s="12">
        <f t="shared" si="1"/>
        <v>0.25261584454409558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3</v>
      </c>
      <c r="P44" s="1">
        <f>VLOOKUP(A:A,MASTER!A:H,8,0)</f>
        <v>3</v>
      </c>
      <c r="Q44" s="12">
        <f t="shared" si="3"/>
        <v>0</v>
      </c>
      <c r="R44" s="1">
        <f>VLOOKUP(A:A,MASTER!A:B,2,0)</f>
        <v>699</v>
      </c>
      <c r="S44">
        <f>VLOOKUP(A:A,MASTER!A:G,7,0)</f>
        <v>705</v>
      </c>
      <c r="T44" s="12">
        <f t="shared" si="4"/>
        <v>8.5836909871244149E-3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100894075.64793615</v>
      </c>
      <c r="G45" s="1">
        <f>VLOOKUP(A:A,MASTER!A:K,11,0)</f>
        <v>100110938.5220733</v>
      </c>
      <c r="H45" s="12">
        <f t="shared" si="0"/>
        <v>-7.7619733451502748E-3</v>
      </c>
      <c r="I45" s="2">
        <f>VLOOKUP(A:A,MASTER!A:E,5,0)</f>
        <v>1063</v>
      </c>
      <c r="J45" s="2">
        <f>VLOOKUP(A:A,MASTER!A:J,10,0)</f>
        <v>1114</v>
      </c>
      <c r="K45" s="12">
        <f t="shared" si="1"/>
        <v>4.7977422389463786E-2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14</v>
      </c>
      <c r="P45" s="1">
        <f>VLOOKUP(A:A,MASTER!A:H,8,0)</f>
        <v>11</v>
      </c>
      <c r="Q45" s="12">
        <f t="shared" si="3"/>
        <v>-0.2142857142857143</v>
      </c>
      <c r="R45" s="1">
        <f>VLOOKUP(A:A,MASTER!A:B,2,0)</f>
        <v>1247</v>
      </c>
      <c r="S45">
        <f>VLOOKUP(A:A,MASTER!A:G,7,0)</f>
        <v>1260</v>
      </c>
      <c r="T45" s="12">
        <f t="shared" si="4"/>
        <v>1.0425020048115519E-2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45620319.146612741</v>
      </c>
      <c r="G46" s="1">
        <f>VLOOKUP(A:A,MASTER!A:K,11,0)</f>
        <v>45866673.807650395</v>
      </c>
      <c r="H46" s="12">
        <f t="shared" si="0"/>
        <v>5.4001082334809158E-3</v>
      </c>
      <c r="I46" s="2">
        <f>VLOOKUP(A:A,MASTER!A:E,5,0)</f>
        <v>870</v>
      </c>
      <c r="J46" s="2">
        <f>VLOOKUP(A:A,MASTER!A:J,10,0)</f>
        <v>945</v>
      </c>
      <c r="K46" s="12">
        <f t="shared" si="1"/>
        <v>8.6206896551724199E-2</v>
      </c>
      <c r="L46" s="2">
        <f>VLOOKUP(A:A,MASTER!A:D,4,0)</f>
        <v>5</v>
      </c>
      <c r="M46" s="2">
        <f>VLOOKUP(A:A,MASTER!A:I,9,0)</f>
        <v>5</v>
      </c>
      <c r="N46" s="12">
        <f t="shared" si="2"/>
        <v>0</v>
      </c>
      <c r="O46" s="1">
        <f>VLOOKUP(A:A,MASTER!A:C,3,0)</f>
        <v>5</v>
      </c>
      <c r="P46" s="1">
        <f>VLOOKUP(A:A,MASTER!A:H,8,0)</f>
        <v>5</v>
      </c>
      <c r="Q46" s="12">
        <f t="shared" si="3"/>
        <v>0</v>
      </c>
      <c r="R46" s="1">
        <f>VLOOKUP(A:A,MASTER!A:B,2,0)</f>
        <v>900</v>
      </c>
      <c r="S46">
        <f>VLOOKUP(A:A,MASTER!A:G,7,0)</f>
        <v>918</v>
      </c>
      <c r="T46" s="12">
        <f t="shared" si="4"/>
        <v>2.0000000000000018E-2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72992476.810700476</v>
      </c>
      <c r="G47" s="1">
        <f>VLOOKUP(A:A,MASTER!A:K,11,0)</f>
        <v>81990538.035252914</v>
      </c>
      <c r="H47" s="12">
        <f t="shared" si="0"/>
        <v>0.1232738169426435</v>
      </c>
      <c r="I47" s="2">
        <f>VLOOKUP(A:A,MASTER!A:E,5,0)</f>
        <v>1026</v>
      </c>
      <c r="J47" s="2">
        <f>VLOOKUP(A:A,MASTER!A:J,10,0)</f>
        <v>1466</v>
      </c>
      <c r="K47" s="12">
        <f t="shared" si="1"/>
        <v>0.42884990253411304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23</v>
      </c>
      <c r="P47" s="1">
        <f>VLOOKUP(A:A,MASTER!A:H,8,0)</f>
        <v>8</v>
      </c>
      <c r="Q47" s="12">
        <f t="shared" si="3"/>
        <v>-0.65217391304347827</v>
      </c>
      <c r="R47" s="1">
        <f>VLOOKUP(A:A,MASTER!A:B,2,0)</f>
        <v>1321</v>
      </c>
      <c r="S47">
        <f>VLOOKUP(A:A,MASTER!A:G,7,0)</f>
        <v>1411</v>
      </c>
      <c r="T47" s="12">
        <f t="shared" si="4"/>
        <v>6.8130204390613125E-2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38148328.237221688</v>
      </c>
      <c r="G48" s="1">
        <f>VLOOKUP(A:A,MASTER!A:K,11,0)</f>
        <v>41222423.411827423</v>
      </c>
      <c r="H48" s="12">
        <f t="shared" si="0"/>
        <v>8.0582696979269119E-2</v>
      </c>
      <c r="I48" s="2">
        <f>VLOOKUP(A:A,MASTER!A:E,5,0)</f>
        <v>397</v>
      </c>
      <c r="J48" s="2">
        <f>VLOOKUP(A:A,MASTER!A:J,10,0)</f>
        <v>398</v>
      </c>
      <c r="K48" s="12">
        <f t="shared" si="1"/>
        <v>2.5188916876575096E-3</v>
      </c>
      <c r="L48" s="2">
        <f>VLOOKUP(A:A,MASTER!A:D,4,0)</f>
        <v>5</v>
      </c>
      <c r="M48" s="2">
        <f>VLOOKUP(A:A,MASTER!A:I,9,0)</f>
        <v>5</v>
      </c>
      <c r="N48" s="12">
        <f t="shared" si="2"/>
        <v>0</v>
      </c>
      <c r="O48" s="1">
        <f>VLOOKUP(A:A,MASTER!A:C,3,0)</f>
        <v>10</v>
      </c>
      <c r="P48" s="1">
        <f>VLOOKUP(A:A,MASTER!A:H,8,0)</f>
        <v>4</v>
      </c>
      <c r="Q48" s="12">
        <f t="shared" si="3"/>
        <v>-0.6</v>
      </c>
      <c r="R48" s="1">
        <f>VLOOKUP(A:A,MASTER!A:B,2,0)</f>
        <v>477</v>
      </c>
      <c r="S48">
        <f>VLOOKUP(A:A,MASTER!A:G,7,0)</f>
        <v>468</v>
      </c>
      <c r="T48" s="12">
        <f t="shared" si="4"/>
        <v>-1.8867924528301883E-2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33842039.226665229</v>
      </c>
      <c r="G49" s="1">
        <f>VLOOKUP(A:A,MASTER!A:K,11,0)</f>
        <v>31417598.072369609</v>
      </c>
      <c r="H49" s="12">
        <f t="shared" si="0"/>
        <v>-7.1639925066493193E-2</v>
      </c>
      <c r="I49" s="2">
        <f>VLOOKUP(A:A,MASTER!A:E,5,0)</f>
        <v>346</v>
      </c>
      <c r="J49" s="2">
        <f>VLOOKUP(A:A,MASTER!A:J,10,0)</f>
        <v>388</v>
      </c>
      <c r="K49" s="12">
        <f t="shared" si="1"/>
        <v>0.12138728323699421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4</v>
      </c>
      <c r="P49" s="1">
        <f>VLOOKUP(A:A,MASTER!A:H,8,0)</f>
        <v>4</v>
      </c>
      <c r="Q49" s="12">
        <f t="shared" si="3"/>
        <v>0</v>
      </c>
      <c r="R49" s="1">
        <f>VLOOKUP(A:A,MASTER!A:B,2,0)</f>
        <v>452</v>
      </c>
      <c r="S49">
        <f>VLOOKUP(A:A,MASTER!A:G,7,0)</f>
        <v>466</v>
      </c>
      <c r="T49" s="12">
        <f t="shared" si="4"/>
        <v>3.0973451327433565E-2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28802813.835757617</v>
      </c>
      <c r="G50" s="1">
        <f>VLOOKUP(A:A,MASTER!A:K,11,0)</f>
        <v>27718800.758572392</v>
      </c>
      <c r="H50" s="12">
        <f t="shared" si="0"/>
        <v>-3.7635665854266698E-2</v>
      </c>
      <c r="I50" s="2">
        <f>VLOOKUP(A:A,MASTER!A:E,5,0)</f>
        <v>352</v>
      </c>
      <c r="J50" s="2">
        <f>VLOOKUP(A:A,MASTER!A:J,10,0)</f>
        <v>563</v>
      </c>
      <c r="K50" s="12">
        <f t="shared" si="1"/>
        <v>0.59943181818181812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13</v>
      </c>
      <c r="P50" s="1">
        <f>VLOOKUP(A:A,MASTER!A:H,8,0)</f>
        <v>5</v>
      </c>
      <c r="Q50" s="12">
        <f t="shared" si="3"/>
        <v>-0.61538461538461542</v>
      </c>
      <c r="R50" s="1">
        <f>VLOOKUP(A:A,MASTER!A:B,2,0)</f>
        <v>425</v>
      </c>
      <c r="S50">
        <f>VLOOKUP(A:A,MASTER!A:G,7,0)</f>
        <v>401</v>
      </c>
      <c r="T50" s="12">
        <f t="shared" si="4"/>
        <v>-5.6470588235294161E-2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62928185.881820671</v>
      </c>
      <c r="G51" s="1">
        <f>VLOOKUP(A:A,MASTER!A:K,11,0)</f>
        <v>62451239.396022461</v>
      </c>
      <c r="H51" s="12">
        <f t="shared" si="0"/>
        <v>-7.5792187414065459E-3</v>
      </c>
      <c r="I51" s="2">
        <f>VLOOKUP(A:A,MASTER!A:E,5,0)</f>
        <v>938</v>
      </c>
      <c r="J51" s="2">
        <f>VLOOKUP(A:A,MASTER!A:J,10,0)</f>
        <v>951</v>
      </c>
      <c r="K51" s="12">
        <f t="shared" si="1"/>
        <v>1.3859275053304865E-2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7</v>
      </c>
      <c r="P51" s="1">
        <f>VLOOKUP(A:A,MASTER!A:H,8,0)</f>
        <v>11</v>
      </c>
      <c r="Q51" s="12">
        <f t="shared" si="3"/>
        <v>0.5714285714285714</v>
      </c>
      <c r="R51" s="1">
        <f>VLOOKUP(A:A,MASTER!A:B,2,0)</f>
        <v>1119</v>
      </c>
      <c r="S51">
        <f>VLOOKUP(A:A,MASTER!A:G,7,0)</f>
        <v>1086</v>
      </c>
      <c r="T51" s="12">
        <f t="shared" si="4"/>
        <v>-2.9490616621983934E-2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65088285.724307768</v>
      </c>
      <c r="G52" s="1">
        <f>VLOOKUP(A:A,MASTER!A:K,11,0)</f>
        <v>56387039.338193074</v>
      </c>
      <c r="H52" s="12">
        <f t="shared" si="0"/>
        <v>-0.13368375413926659</v>
      </c>
      <c r="I52" s="2">
        <f>VLOOKUP(A:A,MASTER!A:E,5,0)</f>
        <v>801</v>
      </c>
      <c r="J52" s="2">
        <f>VLOOKUP(A:A,MASTER!A:J,10,0)</f>
        <v>1354</v>
      </c>
      <c r="K52" s="12">
        <f t="shared" si="1"/>
        <v>0.69038701622971277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15</v>
      </c>
      <c r="P52" s="1">
        <f>VLOOKUP(A:A,MASTER!A:H,8,0)</f>
        <v>8</v>
      </c>
      <c r="Q52" s="12">
        <f t="shared" si="3"/>
        <v>-0.46666666666666667</v>
      </c>
      <c r="R52" s="1">
        <f>VLOOKUP(A:A,MASTER!A:B,2,0)</f>
        <v>963</v>
      </c>
      <c r="S52">
        <f>VLOOKUP(A:A,MASTER!A:G,7,0)</f>
        <v>964</v>
      </c>
      <c r="T52" s="12">
        <f t="shared" si="4"/>
        <v>1.0384215991692258E-3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100536735.8377966</v>
      </c>
      <c r="G53" s="1">
        <f>VLOOKUP(A:A,MASTER!A:K,11,0)</f>
        <v>123202331.88599823</v>
      </c>
      <c r="H53" s="12">
        <f t="shared" si="0"/>
        <v>0.22544591148025472</v>
      </c>
      <c r="I53" s="2">
        <f>VLOOKUP(A:A,MASTER!A:E,5,0)</f>
        <v>1684</v>
      </c>
      <c r="J53" s="2">
        <f>VLOOKUP(A:A,MASTER!A:J,10,0)</f>
        <v>1954</v>
      </c>
      <c r="K53" s="12">
        <f t="shared" si="1"/>
        <v>0.16033254156769594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43</v>
      </c>
      <c r="P53" s="1">
        <f>VLOOKUP(A:A,MASTER!A:H,8,0)</f>
        <v>17</v>
      </c>
      <c r="Q53" s="12">
        <f t="shared" si="3"/>
        <v>-0.60465116279069764</v>
      </c>
      <c r="R53" s="1">
        <f>VLOOKUP(A:A,MASTER!A:B,2,0)</f>
        <v>1999</v>
      </c>
      <c r="S53">
        <f>VLOOKUP(A:A,MASTER!A:G,7,0)</f>
        <v>2014</v>
      </c>
      <c r="T53" s="12">
        <f t="shared" si="4"/>
        <v>7.5037518759379918E-3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29428046.827670094</v>
      </c>
      <c r="G54" s="1">
        <f>VLOOKUP(A:A,MASTER!A:K,11,0)</f>
        <v>29871294.304079521</v>
      </c>
      <c r="H54" s="12">
        <f t="shared" si="0"/>
        <v>1.5062075951050247E-2</v>
      </c>
      <c r="I54" s="2">
        <f>VLOOKUP(A:A,MASTER!A:E,5,0)</f>
        <v>573</v>
      </c>
      <c r="J54" s="2">
        <f>VLOOKUP(A:A,MASTER!A:J,10,0)</f>
        <v>606</v>
      </c>
      <c r="K54" s="12">
        <f t="shared" si="1"/>
        <v>5.7591623036649109E-2</v>
      </c>
      <c r="L54" s="2">
        <f>VLOOKUP(A:A,MASTER!A:D,4,0)</f>
        <v>0</v>
      </c>
      <c r="M54" s="2">
        <f>VLOOKUP(A:A,MASTER!A:I,9,0)</f>
        <v>1</v>
      </c>
      <c r="N54" s="12">
        <f t="shared" si="2"/>
        <v>0</v>
      </c>
      <c r="O54" s="1">
        <f>VLOOKUP(A:A,MASTER!A:C,3,0)</f>
        <v>3</v>
      </c>
      <c r="P54" s="1">
        <f>VLOOKUP(A:A,MASTER!A:H,8,0)</f>
        <v>5</v>
      </c>
      <c r="Q54" s="12">
        <f t="shared" si="3"/>
        <v>0.66666666666666674</v>
      </c>
      <c r="R54" s="1">
        <f>VLOOKUP(A:A,MASTER!A:B,2,0)</f>
        <v>682</v>
      </c>
      <c r="S54">
        <f>VLOOKUP(A:A,MASTER!A:G,7,0)</f>
        <v>645</v>
      </c>
      <c r="T54" s="12">
        <f t="shared" si="4"/>
        <v>-5.4252199413489688E-2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47355988.463045664</v>
      </c>
      <c r="G55" s="1">
        <f>VLOOKUP(A:A,MASTER!A:K,11,0)</f>
        <v>52450074.600798152</v>
      </c>
      <c r="H55" s="12">
        <f t="shared" si="0"/>
        <v>0.10757005192126168</v>
      </c>
      <c r="I55" s="2">
        <f>VLOOKUP(A:A,MASTER!A:E,5,0)</f>
        <v>769</v>
      </c>
      <c r="J55" s="2">
        <f>VLOOKUP(A:A,MASTER!A:J,10,0)</f>
        <v>854</v>
      </c>
      <c r="K55" s="12">
        <f t="shared" si="1"/>
        <v>0.11053315994798441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12</v>
      </c>
      <c r="P55" s="1">
        <f>VLOOKUP(A:A,MASTER!A:H,8,0)</f>
        <v>9</v>
      </c>
      <c r="Q55" s="12">
        <f t="shared" si="3"/>
        <v>-0.25</v>
      </c>
      <c r="R55" s="1">
        <f>VLOOKUP(A:A,MASTER!A:B,2,0)</f>
        <v>867</v>
      </c>
      <c r="S55">
        <f>VLOOKUP(A:A,MASTER!A:G,7,0)</f>
        <v>890</v>
      </c>
      <c r="T55" s="12">
        <f t="shared" si="4"/>
        <v>2.6528258362168433E-2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35719278.07655599</v>
      </c>
      <c r="G56" s="1">
        <f>VLOOKUP(A:A,MASTER!A:K,11,0)</f>
        <v>31085137.84360965</v>
      </c>
      <c r="H56" s="12">
        <f t="shared" si="0"/>
        <v>-0.12973779097702187</v>
      </c>
      <c r="I56" s="2">
        <f>VLOOKUP(A:A,MASTER!A:E,5,0)</f>
        <v>575</v>
      </c>
      <c r="J56" s="2">
        <f>VLOOKUP(A:A,MASTER!A:J,10,0)</f>
        <v>669</v>
      </c>
      <c r="K56" s="12">
        <f t="shared" si="1"/>
        <v>0.1634782608695653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4</v>
      </c>
      <c r="P56" s="1">
        <f>VLOOKUP(A:A,MASTER!A:H,8,0)</f>
        <v>4</v>
      </c>
      <c r="Q56" s="12">
        <f t="shared" si="3"/>
        <v>0</v>
      </c>
      <c r="R56" s="1">
        <f>VLOOKUP(A:A,MASTER!A:B,2,0)</f>
        <v>774</v>
      </c>
      <c r="S56">
        <f>VLOOKUP(A:A,MASTER!A:G,7,0)</f>
        <v>678</v>
      </c>
      <c r="T56" s="12">
        <f t="shared" si="4"/>
        <v>-0.12403100775193798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63555142.767648906</v>
      </c>
      <c r="G57" s="1">
        <f>VLOOKUP(A:A,MASTER!A:K,11,0)</f>
        <v>66616916.557979755</v>
      </c>
      <c r="H57" s="12">
        <f t="shared" si="0"/>
        <v>4.8175075328276362E-2</v>
      </c>
      <c r="I57" s="2">
        <f>VLOOKUP(A:A,MASTER!A:E,5,0)</f>
        <v>1035</v>
      </c>
      <c r="J57" s="2">
        <f>VLOOKUP(A:A,MASTER!A:J,10,0)</f>
        <v>1036</v>
      </c>
      <c r="K57" s="12">
        <f t="shared" si="1"/>
        <v>9.6618357487932016E-4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15</v>
      </c>
      <c r="P57" s="1">
        <f>VLOOKUP(A:A,MASTER!A:H,8,0)</f>
        <v>11</v>
      </c>
      <c r="Q57" s="12">
        <f t="shared" si="3"/>
        <v>-0.26666666666666672</v>
      </c>
      <c r="R57" s="1">
        <f>VLOOKUP(A:A,MASTER!A:B,2,0)</f>
        <v>1092</v>
      </c>
      <c r="S57">
        <f>VLOOKUP(A:A,MASTER!A:G,7,0)</f>
        <v>1094</v>
      </c>
      <c r="T57" s="12">
        <f t="shared" si="4"/>
        <v>1.831501831501825E-3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82430510.404370427</v>
      </c>
      <c r="G58" s="1">
        <f>VLOOKUP(A:A,MASTER!A:K,11,0)</f>
        <v>85534788.664606422</v>
      </c>
      <c r="H58" s="12">
        <f t="shared" si="0"/>
        <v>3.7659335663550619E-2</v>
      </c>
      <c r="I58" s="2">
        <f>VLOOKUP(A:A,MASTER!A:E,5,0)</f>
        <v>1441</v>
      </c>
      <c r="J58" s="2">
        <f>VLOOKUP(A:A,MASTER!A:J,10,0)</f>
        <v>1511</v>
      </c>
      <c r="K58" s="12">
        <f t="shared" si="1"/>
        <v>4.857737682165153E-2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20</v>
      </c>
      <c r="P58" s="1">
        <f>VLOOKUP(A:A,MASTER!A:H,8,0)</f>
        <v>17</v>
      </c>
      <c r="Q58" s="12">
        <f t="shared" si="3"/>
        <v>-0.15000000000000002</v>
      </c>
      <c r="R58" s="1">
        <f>VLOOKUP(A:A,MASTER!A:B,2,0)</f>
        <v>1359</v>
      </c>
      <c r="S58">
        <f>VLOOKUP(A:A,MASTER!A:G,7,0)</f>
        <v>1571</v>
      </c>
      <c r="T58" s="12">
        <f t="shared" si="4"/>
        <v>0.1559970566593083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41464549.083276398</v>
      </c>
      <c r="G59" s="1">
        <f>VLOOKUP(A:A,MASTER!A:K,11,0)</f>
        <v>45295926.010840073</v>
      </c>
      <c r="H59" s="12">
        <f t="shared" si="0"/>
        <v>9.2401268367077405E-2</v>
      </c>
      <c r="I59" s="2">
        <f>VLOOKUP(A:A,MASTER!A:E,5,0)</f>
        <v>704</v>
      </c>
      <c r="J59" s="2">
        <f>VLOOKUP(A:A,MASTER!A:J,10,0)</f>
        <v>755</v>
      </c>
      <c r="K59" s="12">
        <f t="shared" si="1"/>
        <v>7.2443181818181879E-2</v>
      </c>
      <c r="L59" s="2">
        <f>VLOOKUP(A:A,MASTER!A:D,4,0)</f>
        <v>4</v>
      </c>
      <c r="M59" s="2">
        <f>VLOOKUP(A:A,MASTER!A:I,9,0)</f>
        <v>4</v>
      </c>
      <c r="N59" s="12">
        <f t="shared" si="2"/>
        <v>0</v>
      </c>
      <c r="O59" s="1">
        <f>VLOOKUP(A:A,MASTER!A:C,3,0)</f>
        <v>7</v>
      </c>
      <c r="P59" s="1">
        <f>VLOOKUP(A:A,MASTER!A:H,8,0)</f>
        <v>6</v>
      </c>
      <c r="Q59" s="12">
        <f t="shared" si="3"/>
        <v>-0.1428571428571429</v>
      </c>
      <c r="R59" s="1">
        <f>VLOOKUP(A:A,MASTER!A:B,2,0)</f>
        <v>778</v>
      </c>
      <c r="S59">
        <f>VLOOKUP(A:A,MASTER!A:G,7,0)</f>
        <v>773</v>
      </c>
      <c r="T59" s="12">
        <f t="shared" si="4"/>
        <v>-6.4267352185090054E-3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48386631.329953678</v>
      </c>
      <c r="G60" s="1">
        <f>VLOOKUP(A:A,MASTER!A:K,11,0)</f>
        <v>48735968.675192624</v>
      </c>
      <c r="H60" s="12">
        <f t="shared" si="0"/>
        <v>7.2197079159483923E-3</v>
      </c>
      <c r="I60" s="2">
        <f>VLOOKUP(A:A,MASTER!A:E,5,0)</f>
        <v>449</v>
      </c>
      <c r="J60" s="2">
        <f>VLOOKUP(A:A,MASTER!A:J,10,0)</f>
        <v>452</v>
      </c>
      <c r="K60" s="12">
        <f t="shared" si="1"/>
        <v>6.6815144766148027E-3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10</v>
      </c>
      <c r="P60" s="1">
        <f>VLOOKUP(A:A,MASTER!A:H,8,0)</f>
        <v>14</v>
      </c>
      <c r="Q60" s="12">
        <f t="shared" si="3"/>
        <v>0.39999999999999991</v>
      </c>
      <c r="R60" s="1">
        <f>VLOOKUP(A:A,MASTER!A:B,2,0)</f>
        <v>668</v>
      </c>
      <c r="S60">
        <f>VLOOKUP(A:A,MASTER!A:G,7,0)</f>
        <v>635</v>
      </c>
      <c r="T60" s="12">
        <f t="shared" si="4"/>
        <v>-4.9401197604790448E-2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135732552.74313027</v>
      </c>
      <c r="G61" s="1">
        <f>VLOOKUP(A:A,MASTER!A:K,11,0)</f>
        <v>160934359.47536471</v>
      </c>
      <c r="H61" s="12">
        <f t="shared" si="0"/>
        <v>0.18567253192333388</v>
      </c>
      <c r="I61" s="2">
        <f>VLOOKUP(A:A,MASTER!A:E,5,0)</f>
        <v>1622</v>
      </c>
      <c r="J61" s="2">
        <f>VLOOKUP(A:A,MASTER!A:J,10,0)</f>
        <v>1908</v>
      </c>
      <c r="K61" s="12">
        <f t="shared" si="1"/>
        <v>0.17632552404438973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34</v>
      </c>
      <c r="P61" s="1">
        <f>VLOOKUP(A:A,MASTER!A:H,8,0)</f>
        <v>19</v>
      </c>
      <c r="Q61" s="12">
        <f t="shared" si="3"/>
        <v>-0.44117647058823528</v>
      </c>
      <c r="R61" s="1">
        <f>VLOOKUP(A:A,MASTER!A:B,2,0)</f>
        <v>2030</v>
      </c>
      <c r="S61">
        <f>VLOOKUP(A:A,MASTER!A:G,7,0)</f>
        <v>1986</v>
      </c>
      <c r="T61" s="12">
        <f t="shared" si="4"/>
        <v>-2.1674876847290636E-2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113296770.91732782</v>
      </c>
      <c r="G62" s="1">
        <f>VLOOKUP(A:A,MASTER!A:K,11,0)</f>
        <v>122368414.90212773</v>
      </c>
      <c r="H62" s="12">
        <f t="shared" si="0"/>
        <v>8.0069748778801797E-2</v>
      </c>
      <c r="I62" s="2">
        <f>VLOOKUP(A:A,MASTER!A:E,5,0)</f>
        <v>1171</v>
      </c>
      <c r="J62" s="2">
        <f>VLOOKUP(A:A,MASTER!A:J,10,0)</f>
        <v>1302</v>
      </c>
      <c r="K62" s="12">
        <f t="shared" si="1"/>
        <v>0.11187019641332197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30</v>
      </c>
      <c r="P62" s="1">
        <f>VLOOKUP(A:A,MASTER!A:H,8,0)</f>
        <v>30</v>
      </c>
      <c r="Q62" s="12">
        <f t="shared" si="3"/>
        <v>0</v>
      </c>
      <c r="R62" s="1">
        <f>VLOOKUP(A:A,MASTER!A:B,2,0)</f>
        <v>1561</v>
      </c>
      <c r="S62">
        <f>VLOOKUP(A:A,MASTER!A:G,7,0)</f>
        <v>1573</v>
      </c>
      <c r="T62" s="12">
        <f t="shared" si="4"/>
        <v>7.6873798846892605E-3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72558231.988704979</v>
      </c>
      <c r="G63" s="1">
        <f>VLOOKUP(A:A,MASTER!A:K,11,0)</f>
        <v>79028007.494134247</v>
      </c>
      <c r="H63" s="12">
        <f t="shared" si="0"/>
        <v>8.9166664182727118E-2</v>
      </c>
      <c r="I63" s="2">
        <f>VLOOKUP(A:A,MASTER!A:E,5,0)</f>
        <v>747</v>
      </c>
      <c r="J63" s="2">
        <f>VLOOKUP(A:A,MASTER!A:J,10,0)</f>
        <v>742</v>
      </c>
      <c r="K63" s="12">
        <f t="shared" si="1"/>
        <v>-6.6934404283801596E-3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4</v>
      </c>
      <c r="P63" s="1">
        <f>VLOOKUP(A:A,MASTER!A:H,8,0)</f>
        <v>13</v>
      </c>
      <c r="Q63" s="12">
        <f t="shared" si="3"/>
        <v>2.25</v>
      </c>
      <c r="R63" s="1">
        <f>VLOOKUP(A:A,MASTER!A:B,2,0)</f>
        <v>865</v>
      </c>
      <c r="S63">
        <f>VLOOKUP(A:A,MASTER!A:G,7,0)</f>
        <v>909</v>
      </c>
      <c r="T63" s="12">
        <f t="shared" si="4"/>
        <v>5.0867052023121362E-2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109551709.58618939</v>
      </c>
      <c r="G64" s="1">
        <f>VLOOKUP(A:A,MASTER!A:K,11,0)</f>
        <v>112038197.19984058</v>
      </c>
      <c r="H64" s="12">
        <f t="shared" si="0"/>
        <v>2.269693118476579E-2</v>
      </c>
      <c r="I64" s="2">
        <f>VLOOKUP(A:A,MASTER!A:E,5,0)</f>
        <v>1328</v>
      </c>
      <c r="J64" s="2">
        <f>VLOOKUP(A:A,MASTER!A:J,10,0)</f>
        <v>1348</v>
      </c>
      <c r="K64" s="12">
        <f t="shared" si="1"/>
        <v>1.5060240963855387E-2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481</v>
      </c>
      <c r="P64" s="1">
        <f>VLOOKUP(A:A,MASTER!A:H,8,0)</f>
        <v>691</v>
      </c>
      <c r="Q64" s="12">
        <f t="shared" si="3"/>
        <v>0.4365904365904365</v>
      </c>
      <c r="R64" s="1">
        <f>VLOOKUP(A:A,MASTER!A:B,2,0)</f>
        <v>2068</v>
      </c>
      <c r="S64">
        <f>VLOOKUP(A:A,MASTER!A:G,7,0)</f>
        <v>2278</v>
      </c>
      <c r="T64" s="12">
        <f t="shared" si="4"/>
        <v>0.10154738878143132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8144438.7187857833</v>
      </c>
      <c r="G65" s="1">
        <f>VLOOKUP(A:A,MASTER!A:K,11,0)</f>
        <v>5948050.6202850351</v>
      </c>
      <c r="H65" s="12">
        <f t="shared" si="0"/>
        <v>-0.26967949226932086</v>
      </c>
      <c r="I65" s="2">
        <f>VLOOKUP(A:A,MASTER!A:E,5,0)</f>
        <v>53</v>
      </c>
      <c r="J65" s="2">
        <f>VLOOKUP(A:A,MASTER!A:J,10,0)</f>
        <v>391</v>
      </c>
      <c r="K65" s="12">
        <f t="shared" si="1"/>
        <v>6.3773584905660377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1</v>
      </c>
      <c r="Q65" s="12">
        <f t="shared" si="3"/>
        <v>-0.5</v>
      </c>
      <c r="R65" s="1">
        <f>VLOOKUP(A:A,MASTER!A:B,2,0)</f>
        <v>266</v>
      </c>
      <c r="S65">
        <f>VLOOKUP(A:A,MASTER!A:G,7,0)</f>
        <v>231</v>
      </c>
      <c r="T65" s="12">
        <f t="shared" si="4"/>
        <v>-0.13157894736842102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76126383.024535611</v>
      </c>
      <c r="G66" s="1">
        <f>VLOOKUP(A:A,MASTER!A:K,11,0)</f>
        <v>81530954.936065257</v>
      </c>
      <c r="H66" s="12">
        <f t="shared" si="0"/>
        <v>7.0994728723519529E-2</v>
      </c>
      <c r="I66" s="2">
        <f>VLOOKUP(A:A,MASTER!A:E,5,0)</f>
        <v>17</v>
      </c>
      <c r="J66" s="2">
        <f>VLOOKUP(A:A,MASTER!A:J,10,0)</f>
        <v>1809</v>
      </c>
      <c r="K66" s="12">
        <f t="shared" si="1"/>
        <v>105.41176470588235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7</v>
      </c>
      <c r="P66" s="1">
        <f>VLOOKUP(A:A,MASTER!A:H,8,0)</f>
        <v>19</v>
      </c>
      <c r="Q66" s="12">
        <f t="shared" si="3"/>
        <v>1.7142857142857144</v>
      </c>
      <c r="R66" s="1">
        <f>VLOOKUP(A:A,MASTER!A:B,2,0)</f>
        <v>1683</v>
      </c>
      <c r="S66">
        <f>VLOOKUP(A:A,MASTER!A:G,7,0)</f>
        <v>1604</v>
      </c>
      <c r="T66" s="12">
        <f t="shared" si="4"/>
        <v>-4.693998811645872E-2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35888892.363280766</v>
      </c>
      <c r="G67" s="1">
        <f>VLOOKUP(A:A,MASTER!A:K,11,0)</f>
        <v>37906901.390315287</v>
      </c>
      <c r="H67" s="12">
        <f t="shared" ref="H67:H85" si="5">IFERROR(G67/F67-1,0)</f>
        <v>5.6229348250915079E-2</v>
      </c>
      <c r="I67" s="2">
        <f>VLOOKUP(A:A,MASTER!A:E,5,0)</f>
        <v>610</v>
      </c>
      <c r="J67" s="2">
        <f>VLOOKUP(A:A,MASTER!A:J,10,0)</f>
        <v>740</v>
      </c>
      <c r="K67" s="12">
        <f t="shared" ref="K67:K85" si="6">IFERROR(J67/I67-1,0)</f>
        <v>0.21311475409836067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3</v>
      </c>
      <c r="P67" s="1">
        <f>VLOOKUP(A:A,MASTER!A:H,8,0)</f>
        <v>6</v>
      </c>
      <c r="Q67" s="12">
        <f t="shared" ref="Q67:Q85" si="8">IFERROR(P67/O67-1,0)</f>
        <v>1</v>
      </c>
      <c r="R67" s="1">
        <f>VLOOKUP(A:A,MASTER!A:B,2,0)</f>
        <v>673</v>
      </c>
      <c r="S67">
        <f>VLOOKUP(A:A,MASTER!A:G,7,0)</f>
        <v>788</v>
      </c>
      <c r="T67" s="12">
        <f t="shared" ref="T67:T85" si="9">IFERROR(S67/R67-1,0)</f>
        <v>0.17087667161961373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56956218.834503502</v>
      </c>
      <c r="G68" s="1">
        <f>VLOOKUP(A:A,MASTER!A:K,11,0)</f>
        <v>60059776.135515966</v>
      </c>
      <c r="H68" s="12">
        <f t="shared" si="5"/>
        <v>5.4490227134466274E-2</v>
      </c>
      <c r="I68" s="2">
        <f>VLOOKUP(A:A,MASTER!A:E,5,0)</f>
        <v>1056</v>
      </c>
      <c r="J68" s="2">
        <f>VLOOKUP(A:A,MASTER!A:J,10,0)</f>
        <v>1714</v>
      </c>
      <c r="K68" s="12">
        <f t="shared" si="6"/>
        <v>0.62310606060606055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69</v>
      </c>
      <c r="P68" s="1">
        <f>VLOOKUP(A:A,MASTER!A:H,8,0)</f>
        <v>210</v>
      </c>
      <c r="Q68" s="12">
        <f t="shared" si="8"/>
        <v>2.0434782608695654</v>
      </c>
      <c r="R68" s="1">
        <f>VLOOKUP(A:A,MASTER!A:B,2,0)</f>
        <v>1354</v>
      </c>
      <c r="S68">
        <f>VLOOKUP(A:A,MASTER!A:G,7,0)</f>
        <v>1598</v>
      </c>
      <c r="T68" s="12">
        <f t="shared" si="9"/>
        <v>0.1802067946824224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30507059.981730662</v>
      </c>
      <c r="G69" s="1">
        <f>VLOOKUP(A:A,MASTER!A:K,11,0)</f>
        <v>42508766.760465883</v>
      </c>
      <c r="H69" s="12">
        <f t="shared" si="5"/>
        <v>0.39340751897831239</v>
      </c>
      <c r="I69" s="2">
        <f>VLOOKUP(A:A,MASTER!A:E,5,0)</f>
        <v>1332</v>
      </c>
      <c r="J69" s="2">
        <f>VLOOKUP(A:A,MASTER!A:J,10,0)</f>
        <v>1331</v>
      </c>
      <c r="K69" s="12">
        <f t="shared" si="6"/>
        <v>-7.5075075075070608E-4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15</v>
      </c>
      <c r="P69" s="1">
        <f>VLOOKUP(A:A,MASTER!A:H,8,0)</f>
        <v>14</v>
      </c>
      <c r="Q69" s="12">
        <f t="shared" si="8"/>
        <v>-6.6666666666666652E-2</v>
      </c>
      <c r="R69" s="1">
        <f>VLOOKUP(A:A,MASTER!A:B,2,0)</f>
        <v>1304</v>
      </c>
      <c r="S69">
        <f>VLOOKUP(A:A,MASTER!A:G,7,0)</f>
        <v>1266</v>
      </c>
      <c r="T69" s="12">
        <f t="shared" si="9"/>
        <v>-2.9141104294478581E-2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100845295.00418502</v>
      </c>
      <c r="G70" s="1">
        <f>VLOOKUP(A:A,MASTER!A:K,11,0)</f>
        <v>104369775.98885293</v>
      </c>
      <c r="H70" s="12">
        <f t="shared" si="5"/>
        <v>3.4949384445964071E-2</v>
      </c>
      <c r="I70" s="2">
        <f>VLOOKUP(A:A,MASTER!A:E,5,0)</f>
        <v>1120</v>
      </c>
      <c r="J70" s="2">
        <f>VLOOKUP(A:A,MASTER!A:J,10,0)</f>
        <v>1208</v>
      </c>
      <c r="K70" s="12">
        <f t="shared" si="6"/>
        <v>7.8571428571428514E-2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16</v>
      </c>
      <c r="P70" s="1">
        <f>VLOOKUP(A:A,MASTER!A:H,8,0)</f>
        <v>20</v>
      </c>
      <c r="Q70" s="12">
        <f t="shared" si="8"/>
        <v>0.25</v>
      </c>
      <c r="R70" s="1">
        <f>VLOOKUP(A:A,MASTER!A:B,2,0)</f>
        <v>1754</v>
      </c>
      <c r="S70">
        <f>VLOOKUP(A:A,MASTER!A:G,7,0)</f>
        <v>1726</v>
      </c>
      <c r="T70" s="12">
        <f t="shared" si="9"/>
        <v>-1.5963511972634015E-2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20226567.734192647</v>
      </c>
      <c r="G71" s="1">
        <f>VLOOKUP(A:A,MASTER!A:K,11,0)</f>
        <v>21472273.071276274</v>
      </c>
      <c r="H71" s="12">
        <f t="shared" si="5"/>
        <v>6.158757894340039E-2</v>
      </c>
      <c r="I71" s="2">
        <f>VLOOKUP(A:A,MASTER!A:E,5,0)</f>
        <v>442</v>
      </c>
      <c r="J71" s="2">
        <f>VLOOKUP(A:A,MASTER!A:J,10,0)</f>
        <v>799</v>
      </c>
      <c r="K71" s="12">
        <f t="shared" si="6"/>
        <v>0.80769230769230771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6</v>
      </c>
      <c r="P71" s="1">
        <f>VLOOKUP(A:A,MASTER!A:H,8,0)</f>
        <v>5</v>
      </c>
      <c r="Q71" s="12">
        <f t="shared" si="8"/>
        <v>-0.16666666666666663</v>
      </c>
      <c r="R71" s="1">
        <f>VLOOKUP(A:A,MASTER!A:B,2,0)</f>
        <v>497</v>
      </c>
      <c r="S71">
        <f>VLOOKUP(A:A,MASTER!A:G,7,0)</f>
        <v>514</v>
      </c>
      <c r="T71" s="12">
        <f t="shared" si="9"/>
        <v>3.4205231388329871E-2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33202657.061675176</v>
      </c>
      <c r="G72" s="1">
        <f>VLOOKUP(A:A,MASTER!A:K,11,0)</f>
        <v>34354170.311885484</v>
      </c>
      <c r="H72" s="12">
        <f t="shared" si="5"/>
        <v>3.4681358424758946E-2</v>
      </c>
      <c r="I72" s="2">
        <f>VLOOKUP(A:A,MASTER!A:E,5,0)</f>
        <v>791</v>
      </c>
      <c r="J72" s="2">
        <f>VLOOKUP(A:A,MASTER!A:J,10,0)</f>
        <v>838</v>
      </c>
      <c r="K72" s="12">
        <f t="shared" si="6"/>
        <v>5.9418457648546141E-2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7</v>
      </c>
      <c r="P72" s="1">
        <f>VLOOKUP(A:A,MASTER!A:H,8,0)</f>
        <v>7</v>
      </c>
      <c r="Q72" s="12">
        <f t="shared" si="8"/>
        <v>0</v>
      </c>
      <c r="R72" s="1">
        <f>VLOOKUP(A:A,MASTER!A:B,2,0)</f>
        <v>900</v>
      </c>
      <c r="S72">
        <f>VLOOKUP(A:A,MASTER!A:G,7,0)</f>
        <v>881</v>
      </c>
      <c r="T72" s="12">
        <f t="shared" si="9"/>
        <v>-2.1111111111111081E-2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22333744.56379788</v>
      </c>
      <c r="G73" s="1">
        <f>VLOOKUP(A:A,MASTER!A:K,11,0)</f>
        <v>34017203.768851109</v>
      </c>
      <c r="H73" s="12">
        <f t="shared" si="5"/>
        <v>0.52313033184733637</v>
      </c>
      <c r="I73" s="2">
        <f>VLOOKUP(A:A,MASTER!A:E,5,0)</f>
        <v>476</v>
      </c>
      <c r="J73" s="2">
        <f>VLOOKUP(A:A,MASTER!A:J,10,0)</f>
        <v>537</v>
      </c>
      <c r="K73" s="12">
        <f t="shared" si="6"/>
        <v>0.12815126050420167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643</v>
      </c>
      <c r="S73">
        <f>VLOOKUP(A:A,MASTER!A:G,7,0)</f>
        <v>629</v>
      </c>
      <c r="T73" s="12">
        <f t="shared" si="9"/>
        <v>-2.1772939346811793E-2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17008770.236799341</v>
      </c>
      <c r="G74" s="1">
        <f>VLOOKUP(A:A,MASTER!A:K,11,0)</f>
        <v>21728342.461506572</v>
      </c>
      <c r="H74" s="12">
        <f t="shared" si="5"/>
        <v>0.27747874531788286</v>
      </c>
      <c r="I74" s="2">
        <f>VLOOKUP(A:A,MASTER!A:E,5,0)</f>
        <v>668</v>
      </c>
      <c r="J74" s="2">
        <f>VLOOKUP(A:A,MASTER!A:J,10,0)</f>
        <v>643</v>
      </c>
      <c r="K74" s="12">
        <f t="shared" si="6"/>
        <v>-3.7425149700598848E-2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7</v>
      </c>
      <c r="Q74" s="12">
        <f t="shared" si="8"/>
        <v>0.16666666666666674</v>
      </c>
      <c r="R74" s="1">
        <f>VLOOKUP(A:A,MASTER!A:B,2,0)</f>
        <v>567</v>
      </c>
      <c r="S74">
        <f>VLOOKUP(A:A,MASTER!A:G,7,0)</f>
        <v>580</v>
      </c>
      <c r="T74" s="12">
        <f t="shared" si="9"/>
        <v>2.2927689594356204E-2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25617334.385758311</v>
      </c>
      <c r="G75" s="1">
        <f>VLOOKUP(A:A,MASTER!A:K,11,0)</f>
        <v>27543891.003978785</v>
      </c>
      <c r="H75" s="12">
        <f t="shared" si="5"/>
        <v>7.5205194623665594E-2</v>
      </c>
      <c r="I75" s="2">
        <f>VLOOKUP(A:A,MASTER!A:E,5,0)</f>
        <v>458</v>
      </c>
      <c r="J75" s="2">
        <f>VLOOKUP(A:A,MASTER!A:J,10,0)</f>
        <v>489</v>
      </c>
      <c r="K75" s="12">
        <f t="shared" si="6"/>
        <v>6.7685589519650646E-2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434</v>
      </c>
      <c r="S75">
        <f>VLOOKUP(A:A,MASTER!A:G,7,0)</f>
        <v>447</v>
      </c>
      <c r="T75" s="12">
        <f t="shared" si="9"/>
        <v>2.9953917050691281E-2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73773675.486029804</v>
      </c>
      <c r="G76" s="1">
        <f>VLOOKUP(A:A,MASTER!A:K,11,0)</f>
        <v>71996167.390257403</v>
      </c>
      <c r="H76" s="12">
        <f t="shared" si="5"/>
        <v>-2.4094069924833872E-2</v>
      </c>
      <c r="I76" s="2">
        <f>VLOOKUP(A:A,MASTER!A:E,5,0)</f>
        <v>747</v>
      </c>
      <c r="J76" s="2">
        <f>VLOOKUP(A:A,MASTER!A:J,10,0)</f>
        <v>650</v>
      </c>
      <c r="K76" s="12">
        <f t="shared" si="6"/>
        <v>-0.12985274431057559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19</v>
      </c>
      <c r="P76" s="1">
        <f>VLOOKUP(A:A,MASTER!A:H,8,0)</f>
        <v>14</v>
      </c>
      <c r="Q76" s="12">
        <f t="shared" si="8"/>
        <v>-0.26315789473684215</v>
      </c>
      <c r="R76" s="1">
        <f>VLOOKUP(A:A,MASTER!A:B,2,0)</f>
        <v>960</v>
      </c>
      <c r="S76">
        <f>VLOOKUP(A:A,MASTER!A:G,7,0)</f>
        <v>906</v>
      </c>
      <c r="T76" s="12">
        <f t="shared" si="9"/>
        <v>-5.6250000000000022E-2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43252081.379539505</v>
      </c>
      <c r="G77" s="1">
        <f>VLOOKUP(A:A,MASTER!A:K,11,0)</f>
        <v>43165117.098888941</v>
      </c>
      <c r="H77" s="12">
        <f t="shared" si="5"/>
        <v>-2.01063805201529E-3</v>
      </c>
      <c r="I77" s="2">
        <f>VLOOKUP(A:A,MASTER!A:E,5,0)</f>
        <v>714</v>
      </c>
      <c r="J77" s="2">
        <f>VLOOKUP(A:A,MASTER!A:J,10,0)</f>
        <v>728</v>
      </c>
      <c r="K77" s="12">
        <f t="shared" si="6"/>
        <v>1.9607843137254832E-2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8</v>
      </c>
      <c r="P77" s="1">
        <f>VLOOKUP(A:A,MASTER!A:H,8,0)</f>
        <v>6</v>
      </c>
      <c r="Q77" s="12">
        <f t="shared" si="8"/>
        <v>-0.25</v>
      </c>
      <c r="R77" s="1">
        <f>VLOOKUP(A:A,MASTER!A:B,2,0)</f>
        <v>787</v>
      </c>
      <c r="S77">
        <f>VLOOKUP(A:A,MASTER!A:G,7,0)</f>
        <v>785</v>
      </c>
      <c r="T77" s="12">
        <f t="shared" si="9"/>
        <v>-2.5412960609910717E-3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36731752.185462572</v>
      </c>
      <c r="G78" s="1">
        <f>VLOOKUP(A:A,MASTER!A:K,11,0)</f>
        <v>37427050.145238265</v>
      </c>
      <c r="H78" s="12">
        <f t="shared" si="5"/>
        <v>1.8929071400271447E-2</v>
      </c>
      <c r="I78" s="2">
        <f>VLOOKUP(A:A,MASTER!A:E,5,0)</f>
        <v>900</v>
      </c>
      <c r="J78" s="2">
        <f>VLOOKUP(A:A,MASTER!A:J,10,0)</f>
        <v>962</v>
      </c>
      <c r="K78" s="12">
        <f t="shared" si="6"/>
        <v>6.8888888888888999E-2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8</v>
      </c>
      <c r="Q78" s="12">
        <f t="shared" si="8"/>
        <v>1.6666666666666665</v>
      </c>
      <c r="R78" s="1">
        <f>VLOOKUP(A:A,MASTER!A:B,2,0)</f>
        <v>941</v>
      </c>
      <c r="S78">
        <f>VLOOKUP(A:A,MASTER!A:G,7,0)</f>
        <v>948</v>
      </c>
      <c r="T78" s="12">
        <f t="shared" si="9"/>
        <v>7.4388947927737092E-3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40521568.697104067</v>
      </c>
      <c r="G79" s="1">
        <f>VLOOKUP(A:A,MASTER!A:K,11,0)</f>
        <v>40773490.063008733</v>
      </c>
      <c r="H79" s="12">
        <f t="shared" si="5"/>
        <v>6.2169697275977764E-3</v>
      </c>
      <c r="I79" s="2">
        <f>VLOOKUP(A:A,MASTER!A:E,5,0)</f>
        <v>870</v>
      </c>
      <c r="J79" s="2">
        <f>VLOOKUP(A:A,MASTER!A:J,10,0)</f>
        <v>862</v>
      </c>
      <c r="K79" s="12">
        <f t="shared" si="6"/>
        <v>-9.1954022988506301E-3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9</v>
      </c>
      <c r="P79" s="1">
        <f>VLOOKUP(A:A,MASTER!A:H,8,0)</f>
        <v>5</v>
      </c>
      <c r="Q79" s="12">
        <f t="shared" si="8"/>
        <v>-0.44444444444444442</v>
      </c>
      <c r="R79" s="1">
        <f>VLOOKUP(A:A,MASTER!A:B,2,0)</f>
        <v>1007</v>
      </c>
      <c r="S79">
        <f>VLOOKUP(A:A,MASTER!A:G,7,0)</f>
        <v>944</v>
      </c>
      <c r="T79" s="12">
        <f t="shared" si="9"/>
        <v>-6.2562065541211465E-2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44874111.853644915</v>
      </c>
      <c r="G80" s="1">
        <f>VLOOKUP(A:A,MASTER!A:K,11,0)</f>
        <v>50036351.497209594</v>
      </c>
      <c r="H80" s="12">
        <f t="shared" si="5"/>
        <v>0.11503825770192644</v>
      </c>
      <c r="I80" s="2">
        <f>VLOOKUP(A:A,MASTER!A:E,5,0)</f>
        <v>707</v>
      </c>
      <c r="J80" s="2">
        <f>VLOOKUP(A:A,MASTER!A:J,10,0)</f>
        <v>736</v>
      </c>
      <c r="K80" s="12">
        <f t="shared" si="6"/>
        <v>4.1018387553040991E-2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11</v>
      </c>
      <c r="P80" s="1">
        <f>VLOOKUP(A:A,MASTER!A:H,8,0)</f>
        <v>4</v>
      </c>
      <c r="Q80" s="12">
        <f t="shared" si="8"/>
        <v>-0.63636363636363635</v>
      </c>
      <c r="R80" s="1">
        <f>VLOOKUP(A:A,MASTER!A:B,2,0)</f>
        <v>758</v>
      </c>
      <c r="S80">
        <f>VLOOKUP(A:A,MASTER!A:G,7,0)</f>
        <v>756</v>
      </c>
      <c r="T80" s="12">
        <f t="shared" si="9"/>
        <v>-2.6385224274406704E-3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19005987.663762063</v>
      </c>
      <c r="G81" s="1">
        <f>VLOOKUP(A:A,MASTER!A:K,11,0)</f>
        <v>22469127.670708016</v>
      </c>
      <c r="H81" s="12">
        <f t="shared" si="5"/>
        <v>0.1822131040076902</v>
      </c>
      <c r="I81" s="2">
        <f>VLOOKUP(A:A,MASTER!A:E,5,0)</f>
        <v>673</v>
      </c>
      <c r="J81" s="2">
        <f>VLOOKUP(A:A,MASTER!A:J,10,0)</f>
        <v>724</v>
      </c>
      <c r="K81" s="12">
        <f t="shared" si="6"/>
        <v>7.5780089153046015E-2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5</v>
      </c>
      <c r="Q81" s="12">
        <f t="shared" si="8"/>
        <v>1.5</v>
      </c>
      <c r="R81" s="1">
        <f>VLOOKUP(A:A,MASTER!A:B,2,0)</f>
        <v>565</v>
      </c>
      <c r="S81">
        <f>VLOOKUP(A:A,MASTER!A:G,7,0)</f>
        <v>586</v>
      </c>
      <c r="T81" s="12">
        <f t="shared" si="9"/>
        <v>3.7168141592920367E-2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85159589.073159456</v>
      </c>
      <c r="G82" s="1">
        <f>VLOOKUP(A:A,MASTER!A:K,11,0)</f>
        <v>97907599.985699475</v>
      </c>
      <c r="H82" s="12">
        <f t="shared" si="5"/>
        <v>0.14969554281888775</v>
      </c>
      <c r="I82" s="2">
        <f>VLOOKUP(A:A,MASTER!A:E,5,0)</f>
        <v>1300</v>
      </c>
      <c r="J82" s="2">
        <f>VLOOKUP(A:A,MASTER!A:J,10,0)</f>
        <v>1426</v>
      </c>
      <c r="K82" s="12">
        <f t="shared" si="6"/>
        <v>9.692307692307689E-2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10</v>
      </c>
      <c r="P82" s="1">
        <f>VLOOKUP(A:A,MASTER!A:H,8,0)</f>
        <v>14</v>
      </c>
      <c r="Q82" s="12">
        <f t="shared" si="8"/>
        <v>0.39999999999999991</v>
      </c>
      <c r="R82" s="1">
        <f>VLOOKUP(A:A,MASTER!A:B,2,0)</f>
        <v>1714</v>
      </c>
      <c r="S82">
        <f>VLOOKUP(A:A,MASTER!A:G,7,0)</f>
        <v>1752</v>
      </c>
      <c r="T82" s="12">
        <f t="shared" si="9"/>
        <v>2.2170361726954413E-2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24438521.194245949</v>
      </c>
      <c r="G83" s="1">
        <f>VLOOKUP(A:A,MASTER!A:K,11,0)</f>
        <v>23028013.685707822</v>
      </c>
      <c r="H83" s="12">
        <f t="shared" si="5"/>
        <v>-5.7716565471655046E-2</v>
      </c>
      <c r="I83" s="2">
        <f>VLOOKUP(A:A,MASTER!A:E,5,0)</f>
        <v>808</v>
      </c>
      <c r="J83" s="2">
        <f>VLOOKUP(A:A,MASTER!A:J,10,0)</f>
        <v>1041</v>
      </c>
      <c r="K83" s="12">
        <f t="shared" si="6"/>
        <v>0.28836633663366329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9</v>
      </c>
      <c r="P83" s="1">
        <f>VLOOKUP(A:A,MASTER!A:H,8,0)</f>
        <v>2</v>
      </c>
      <c r="Q83" s="12">
        <f t="shared" si="8"/>
        <v>-0.77777777777777779</v>
      </c>
      <c r="R83" s="1">
        <f>VLOOKUP(A:A,MASTER!A:B,2,0)</f>
        <v>616</v>
      </c>
      <c r="S83">
        <f>VLOOKUP(A:A,MASTER!A:G,7,0)</f>
        <v>637</v>
      </c>
      <c r="T83" s="12">
        <f t="shared" si="9"/>
        <v>3.4090909090909172E-2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38953400.777981319</v>
      </c>
      <c r="G84" s="1">
        <f>VLOOKUP(A:A,MASTER!A:K,11,0)</f>
        <v>42224351.725976318</v>
      </c>
      <c r="H84" s="12">
        <f t="shared" si="5"/>
        <v>8.3970869877012744E-2</v>
      </c>
      <c r="I84" s="2">
        <f>VLOOKUP(A:A,MASTER!A:E,5,0)</f>
        <v>532</v>
      </c>
      <c r="J84" s="2">
        <f>VLOOKUP(A:A,MASTER!A:J,10,0)</f>
        <v>757</v>
      </c>
      <c r="K84" s="12">
        <f t="shared" si="6"/>
        <v>0.4229323308270676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18</v>
      </c>
      <c r="P84" s="1">
        <f>VLOOKUP(A:A,MASTER!A:H,8,0)</f>
        <v>8</v>
      </c>
      <c r="Q84" s="12">
        <f t="shared" si="8"/>
        <v>-0.55555555555555558</v>
      </c>
      <c r="R84" s="1">
        <f>VLOOKUP(A:A,MASTER!A:B,2,0)</f>
        <v>583</v>
      </c>
      <c r="S84">
        <f>VLOOKUP(A:A,MASTER!A:G,7,0)</f>
        <v>675</v>
      </c>
      <c r="T84" s="12">
        <f t="shared" si="9"/>
        <v>0.15780445969125223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10002201.938997222</v>
      </c>
      <c r="G85" s="1">
        <f>VLOOKUP(A:A,MASTER!A:K,11,0)</f>
        <v>9618978.6071194392</v>
      </c>
      <c r="H85" s="12">
        <f t="shared" si="5"/>
        <v>-3.8313896701450023E-2</v>
      </c>
      <c r="I85" s="2">
        <f>VLOOKUP(A:A,MASTER!A:E,5,0)</f>
        <v>307</v>
      </c>
      <c r="J85" s="2">
        <f>VLOOKUP(A:A,MASTER!A:J,10,0)</f>
        <v>360</v>
      </c>
      <c r="K85" s="12">
        <f t="shared" si="6"/>
        <v>0.17263843648208477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2</v>
      </c>
      <c r="Q85" s="12">
        <f t="shared" si="8"/>
        <v>-0.33333333333333337</v>
      </c>
      <c r="R85" s="1">
        <f>VLOOKUP(A:A,MASTER!A:B,2,0)</f>
        <v>352</v>
      </c>
      <c r="S85">
        <f>VLOOKUP(A:A,MASTER!A:G,7,0)</f>
        <v>363</v>
      </c>
      <c r="T85" s="12">
        <f t="shared" si="9"/>
        <v>3.125E-2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84552</v>
      </c>
      <c r="C3" s="11">
        <f t="shared" si="0"/>
        <v>3260</v>
      </c>
      <c r="D3" s="11">
        <f t="shared" si="0"/>
        <v>309</v>
      </c>
      <c r="E3" s="11">
        <f t="shared" si="0"/>
        <v>69338</v>
      </c>
      <c r="F3" s="11">
        <f t="shared" si="0"/>
        <v>4171011415.6679773</v>
      </c>
      <c r="G3" s="11">
        <f t="shared" si="0"/>
        <v>83935</v>
      </c>
      <c r="H3" s="11">
        <f t="shared" si="0"/>
        <v>2453</v>
      </c>
      <c r="I3" s="11">
        <f t="shared" si="0"/>
        <v>318</v>
      </c>
      <c r="J3" s="11">
        <f t="shared" si="0"/>
        <v>85372</v>
      </c>
      <c r="K3" s="11">
        <f t="shared" si="0"/>
        <v>4373194023.8037062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409</v>
      </c>
      <c r="C6" s="10">
        <v>4</v>
      </c>
      <c r="D6" s="10">
        <v>1</v>
      </c>
      <c r="E6" s="10">
        <v>342</v>
      </c>
      <c r="F6" s="10">
        <v>19398960.154571161</v>
      </c>
      <c r="G6" s="10">
        <v>424</v>
      </c>
      <c r="H6" s="10">
        <v>4</v>
      </c>
      <c r="I6" s="10">
        <v>2</v>
      </c>
      <c r="J6" s="10">
        <v>521</v>
      </c>
      <c r="K6" s="10">
        <v>19781043.714737657</v>
      </c>
    </row>
    <row r="7" spans="1:11" x14ac:dyDescent="0.35">
      <c r="A7" s="9" t="s">
        <v>127</v>
      </c>
      <c r="B7" s="10">
        <v>655</v>
      </c>
      <c r="C7" s="10">
        <v>3</v>
      </c>
      <c r="D7" s="10">
        <v>1</v>
      </c>
      <c r="E7" s="10">
        <v>497</v>
      </c>
      <c r="F7" s="10">
        <v>23262318.873089775</v>
      </c>
      <c r="G7" s="10">
        <v>586</v>
      </c>
      <c r="H7" s="10">
        <v>6</v>
      </c>
      <c r="I7" s="10">
        <v>2</v>
      </c>
      <c r="J7" s="10">
        <v>621</v>
      </c>
      <c r="K7" s="10">
        <v>22782750.899860404</v>
      </c>
    </row>
    <row r="8" spans="1:11" x14ac:dyDescent="0.35">
      <c r="A8" s="9" t="s">
        <v>119</v>
      </c>
      <c r="B8" s="10">
        <v>711</v>
      </c>
      <c r="C8" s="10">
        <v>14</v>
      </c>
      <c r="D8" s="10">
        <v>2</v>
      </c>
      <c r="E8" s="10">
        <v>716</v>
      </c>
      <c r="F8" s="10">
        <v>30320033.332381163</v>
      </c>
      <c r="G8" s="10">
        <v>782</v>
      </c>
      <c r="H8" s="10">
        <v>13</v>
      </c>
      <c r="I8" s="10">
        <v>1</v>
      </c>
      <c r="J8" s="10">
        <v>1510</v>
      </c>
      <c r="K8" s="10">
        <v>34655203.688990586</v>
      </c>
    </row>
    <row r="9" spans="1:11" x14ac:dyDescent="0.35">
      <c r="A9" s="9" t="s">
        <v>121</v>
      </c>
      <c r="B9" s="10">
        <v>1211</v>
      </c>
      <c r="C9" s="10">
        <v>10</v>
      </c>
      <c r="D9" s="10">
        <v>3</v>
      </c>
      <c r="E9" s="10">
        <v>988</v>
      </c>
      <c r="F9" s="10">
        <v>50881068.964322858</v>
      </c>
      <c r="G9" s="10">
        <v>1259</v>
      </c>
      <c r="H9" s="10">
        <v>13</v>
      </c>
      <c r="I9" s="10">
        <v>3</v>
      </c>
      <c r="J9" s="10">
        <v>1623</v>
      </c>
      <c r="K9" s="10">
        <v>52976465.973146543</v>
      </c>
    </row>
    <row r="10" spans="1:11" x14ac:dyDescent="0.35">
      <c r="A10" s="9" t="s">
        <v>123</v>
      </c>
      <c r="B10" s="10">
        <v>400</v>
      </c>
      <c r="C10" s="10">
        <v>4</v>
      </c>
      <c r="D10" s="10">
        <v>1</v>
      </c>
      <c r="E10" s="10">
        <v>312</v>
      </c>
      <c r="F10" s="10">
        <v>20177997.824257709</v>
      </c>
      <c r="G10" s="10">
        <v>384</v>
      </c>
      <c r="H10" s="10">
        <v>1</v>
      </c>
      <c r="I10" s="10">
        <v>1</v>
      </c>
      <c r="J10" s="10">
        <v>947</v>
      </c>
      <c r="K10" s="10">
        <v>22418722.137980822</v>
      </c>
    </row>
    <row r="11" spans="1:11" x14ac:dyDescent="0.35">
      <c r="A11" s="9" t="s">
        <v>125</v>
      </c>
      <c r="B11" s="10">
        <v>368</v>
      </c>
      <c r="C11" s="10">
        <v>3</v>
      </c>
      <c r="D11" s="10">
        <v>2</v>
      </c>
      <c r="E11" s="10">
        <v>264</v>
      </c>
      <c r="F11" s="10">
        <v>17052253.757422388</v>
      </c>
      <c r="G11" s="10">
        <v>388</v>
      </c>
      <c r="H11" s="10">
        <v>5</v>
      </c>
      <c r="I11" s="10">
        <v>2</v>
      </c>
      <c r="J11" s="10">
        <v>609</v>
      </c>
      <c r="K11" s="10">
        <v>18811287.897410676</v>
      </c>
    </row>
    <row r="12" spans="1:11" x14ac:dyDescent="0.35">
      <c r="A12" s="9" t="s">
        <v>131</v>
      </c>
      <c r="B12" s="10">
        <v>592</v>
      </c>
      <c r="C12" s="10">
        <v>3</v>
      </c>
      <c r="D12" s="10">
        <v>1</v>
      </c>
      <c r="E12" s="10">
        <v>470</v>
      </c>
      <c r="F12" s="10">
        <v>19489946.431201424</v>
      </c>
      <c r="G12" s="10">
        <v>627</v>
      </c>
      <c r="H12" s="10">
        <v>3</v>
      </c>
      <c r="I12" s="10">
        <v>2</v>
      </c>
      <c r="J12" s="10">
        <v>858</v>
      </c>
      <c r="K12" s="10">
        <v>24350399.326345153</v>
      </c>
    </row>
    <row r="13" spans="1:11" x14ac:dyDescent="0.35">
      <c r="A13" s="9" t="s">
        <v>133</v>
      </c>
      <c r="B13" s="10">
        <v>174</v>
      </c>
      <c r="C13" s="10">
        <v>1</v>
      </c>
      <c r="D13" s="10">
        <v>1</v>
      </c>
      <c r="E13" s="10">
        <v>160</v>
      </c>
      <c r="F13" s="10">
        <v>10106417.35327002</v>
      </c>
      <c r="G13" s="10">
        <v>188</v>
      </c>
      <c r="H13" s="10">
        <v>0</v>
      </c>
      <c r="I13" s="10">
        <v>1</v>
      </c>
      <c r="J13" s="10">
        <v>494</v>
      </c>
      <c r="K13" s="10">
        <v>9613190.5801170431</v>
      </c>
    </row>
    <row r="14" spans="1:11" x14ac:dyDescent="0.35">
      <c r="A14" s="9" t="s">
        <v>141</v>
      </c>
      <c r="B14" s="10">
        <v>199</v>
      </c>
      <c r="C14" s="10">
        <v>1</v>
      </c>
      <c r="D14" s="10">
        <v>1</v>
      </c>
      <c r="E14" s="10">
        <v>35</v>
      </c>
      <c r="F14" s="10">
        <v>8687630.2744501438</v>
      </c>
      <c r="G14" s="10">
        <v>190</v>
      </c>
      <c r="H14" s="10">
        <v>1</v>
      </c>
      <c r="I14" s="10">
        <v>1</v>
      </c>
      <c r="J14" s="10">
        <v>487</v>
      </c>
      <c r="K14" s="10">
        <v>6956940.048965726</v>
      </c>
    </row>
    <row r="15" spans="1:11" x14ac:dyDescent="0.35">
      <c r="A15" s="9" t="s">
        <v>135</v>
      </c>
      <c r="B15" s="10">
        <v>351</v>
      </c>
      <c r="C15" s="10">
        <v>2</v>
      </c>
      <c r="D15" s="10">
        <v>1</v>
      </c>
      <c r="E15" s="10">
        <v>455</v>
      </c>
      <c r="F15" s="10">
        <v>14215123.21770074</v>
      </c>
      <c r="G15" s="10">
        <v>379</v>
      </c>
      <c r="H15" s="10">
        <v>5</v>
      </c>
      <c r="I15" s="10">
        <v>1</v>
      </c>
      <c r="J15" s="10">
        <v>831</v>
      </c>
      <c r="K15" s="10">
        <v>19343275.422514278</v>
      </c>
    </row>
    <row r="16" spans="1:11" x14ac:dyDescent="0.35">
      <c r="A16" s="9" t="s">
        <v>143</v>
      </c>
      <c r="B16" s="10">
        <v>194</v>
      </c>
      <c r="C16" s="10">
        <v>0</v>
      </c>
      <c r="D16" s="10">
        <v>1</v>
      </c>
      <c r="E16" s="10">
        <v>251</v>
      </c>
      <c r="F16" s="10">
        <v>6844827.399931021</v>
      </c>
      <c r="G16" s="10">
        <v>247</v>
      </c>
      <c r="H16" s="10">
        <v>0</v>
      </c>
      <c r="I16" s="10">
        <v>2</v>
      </c>
      <c r="J16" s="10">
        <v>837</v>
      </c>
      <c r="K16" s="10">
        <v>10402147.686083637</v>
      </c>
    </row>
    <row r="17" spans="1:11" x14ac:dyDescent="0.35">
      <c r="A17" s="9" t="s">
        <v>145</v>
      </c>
      <c r="B17" s="10">
        <v>248</v>
      </c>
      <c r="C17" s="10">
        <v>8</v>
      </c>
      <c r="D17" s="10">
        <v>1</v>
      </c>
      <c r="E17" s="10">
        <v>227</v>
      </c>
      <c r="F17" s="10">
        <v>9367591.4486591611</v>
      </c>
      <c r="G17" s="10">
        <v>249</v>
      </c>
      <c r="H17" s="10">
        <v>3</v>
      </c>
      <c r="I17" s="10">
        <v>1</v>
      </c>
      <c r="J17" s="10">
        <v>583</v>
      </c>
      <c r="K17" s="10">
        <v>10777888.335758485</v>
      </c>
    </row>
    <row r="18" spans="1:11" x14ac:dyDescent="0.35">
      <c r="A18" s="9" t="s">
        <v>20</v>
      </c>
      <c r="B18" s="10">
        <v>1460</v>
      </c>
      <c r="C18" s="10">
        <v>1</v>
      </c>
      <c r="D18" s="10">
        <v>2</v>
      </c>
      <c r="E18" s="10">
        <v>1149</v>
      </c>
      <c r="F18" s="10">
        <v>30288914.758705486</v>
      </c>
      <c r="G18" s="10">
        <v>1306</v>
      </c>
      <c r="H18" s="10">
        <v>6</v>
      </c>
      <c r="I18" s="10">
        <v>4</v>
      </c>
      <c r="J18" s="10">
        <v>1210</v>
      </c>
      <c r="K18" s="10">
        <v>48645993.757762209</v>
      </c>
    </row>
    <row r="19" spans="1:11" x14ac:dyDescent="0.35">
      <c r="A19" s="9" t="s">
        <v>45</v>
      </c>
      <c r="B19" s="10">
        <v>1264</v>
      </c>
      <c r="C19" s="10">
        <v>4</v>
      </c>
      <c r="D19" s="10">
        <v>3</v>
      </c>
      <c r="E19" s="10">
        <v>920</v>
      </c>
      <c r="F19" s="10">
        <v>58411827.166871645</v>
      </c>
      <c r="G19" s="10">
        <v>1208</v>
      </c>
      <c r="H19" s="10">
        <v>5</v>
      </c>
      <c r="I19" s="10">
        <v>3</v>
      </c>
      <c r="J19" s="10">
        <v>995</v>
      </c>
      <c r="K19" s="10">
        <v>76546047.989397213</v>
      </c>
    </row>
    <row r="20" spans="1:11" x14ac:dyDescent="0.35">
      <c r="A20" s="9" t="s">
        <v>47</v>
      </c>
      <c r="B20" s="10">
        <v>1025</v>
      </c>
      <c r="C20" s="10">
        <v>5</v>
      </c>
      <c r="D20" s="10">
        <v>4</v>
      </c>
      <c r="E20" s="10">
        <v>932</v>
      </c>
      <c r="F20" s="10">
        <v>39765451.495621122</v>
      </c>
      <c r="G20" s="10">
        <v>1007</v>
      </c>
      <c r="H20" s="10">
        <v>6</v>
      </c>
      <c r="I20" s="10">
        <v>5</v>
      </c>
      <c r="J20" s="10">
        <v>1281</v>
      </c>
      <c r="K20" s="10">
        <v>40261239.191043273</v>
      </c>
    </row>
    <row r="21" spans="1:11" x14ac:dyDescent="0.35">
      <c r="A21" s="9" t="s">
        <v>49</v>
      </c>
      <c r="B21" s="10">
        <v>925</v>
      </c>
      <c r="C21" s="10">
        <v>1</v>
      </c>
      <c r="D21" s="10">
        <v>3</v>
      </c>
      <c r="E21" s="10">
        <v>576</v>
      </c>
      <c r="F21" s="10">
        <v>35845855.215088911</v>
      </c>
      <c r="G21" s="10">
        <v>919</v>
      </c>
      <c r="H21" s="10">
        <v>5</v>
      </c>
      <c r="I21" s="10">
        <v>3</v>
      </c>
      <c r="J21" s="10">
        <v>678</v>
      </c>
      <c r="K21" s="10">
        <v>33881414.154530056</v>
      </c>
    </row>
    <row r="22" spans="1:11" x14ac:dyDescent="0.35">
      <c r="A22" s="9" t="s">
        <v>51</v>
      </c>
      <c r="B22" s="10">
        <v>2942</v>
      </c>
      <c r="C22" s="10">
        <v>762</v>
      </c>
      <c r="D22" s="10">
        <v>10</v>
      </c>
      <c r="E22" s="10">
        <v>2178</v>
      </c>
      <c r="F22" s="10">
        <v>136798122.59280482</v>
      </c>
      <c r="G22" s="10">
        <v>2707</v>
      </c>
      <c r="H22" s="10">
        <v>193</v>
      </c>
      <c r="I22" s="10">
        <v>10</v>
      </c>
      <c r="J22" s="10">
        <v>2278</v>
      </c>
      <c r="K22" s="10">
        <v>142166856.25153127</v>
      </c>
    </row>
    <row r="23" spans="1:11" x14ac:dyDescent="0.35">
      <c r="A23" s="9" t="s">
        <v>53</v>
      </c>
      <c r="B23" s="10">
        <v>1416</v>
      </c>
      <c r="C23" s="10">
        <v>3</v>
      </c>
      <c r="D23" s="10">
        <v>2</v>
      </c>
      <c r="E23" s="10">
        <v>1220</v>
      </c>
      <c r="F23" s="10">
        <v>71554561.414202556</v>
      </c>
      <c r="G23" s="10">
        <v>1299</v>
      </c>
      <c r="H23" s="10">
        <v>10</v>
      </c>
      <c r="I23" s="10">
        <v>2</v>
      </c>
      <c r="J23" s="10">
        <v>1389</v>
      </c>
      <c r="K23" s="10">
        <v>55866695.96777425</v>
      </c>
    </row>
    <row r="24" spans="1:11" x14ac:dyDescent="0.35">
      <c r="A24" s="9" t="s">
        <v>55</v>
      </c>
      <c r="B24" s="10">
        <v>2966</v>
      </c>
      <c r="C24" s="10">
        <v>28</v>
      </c>
      <c r="D24" s="10">
        <v>11</v>
      </c>
      <c r="E24" s="10">
        <v>2203</v>
      </c>
      <c r="F24" s="10">
        <v>145110489.51875758</v>
      </c>
      <c r="G24" s="10">
        <v>2791</v>
      </c>
      <c r="H24" s="10">
        <v>28</v>
      </c>
      <c r="I24" s="10">
        <v>10</v>
      </c>
      <c r="J24" s="10">
        <v>2155</v>
      </c>
      <c r="K24" s="10">
        <v>151046010.26584131</v>
      </c>
    </row>
    <row r="25" spans="1:11" x14ac:dyDescent="0.35">
      <c r="A25" s="9" t="s">
        <v>67</v>
      </c>
      <c r="B25" s="10">
        <v>532</v>
      </c>
      <c r="C25" s="10">
        <v>6</v>
      </c>
      <c r="D25" s="10">
        <v>1</v>
      </c>
      <c r="E25" s="10">
        <v>466</v>
      </c>
      <c r="F25" s="10">
        <v>20297497.639715653</v>
      </c>
      <c r="G25" s="10">
        <v>498</v>
      </c>
      <c r="H25" s="10">
        <v>7</v>
      </c>
      <c r="I25" s="10">
        <v>1</v>
      </c>
      <c r="J25" s="10">
        <v>519</v>
      </c>
      <c r="K25" s="10">
        <v>21511936.102741946</v>
      </c>
    </row>
    <row r="26" spans="1:11" x14ac:dyDescent="0.35">
      <c r="A26" s="9" t="s">
        <v>74</v>
      </c>
      <c r="B26" s="10">
        <v>1760</v>
      </c>
      <c r="C26" s="10">
        <v>25</v>
      </c>
      <c r="D26" s="10">
        <v>1</v>
      </c>
      <c r="E26" s="10">
        <v>1325</v>
      </c>
      <c r="F26" s="10">
        <v>59219798.1023008</v>
      </c>
      <c r="G26" s="10">
        <v>1768</v>
      </c>
      <c r="H26" s="10">
        <v>29</v>
      </c>
      <c r="I26" s="10">
        <v>2</v>
      </c>
      <c r="J26" s="10">
        <v>1728</v>
      </c>
      <c r="K26" s="10">
        <v>60500166.183589257</v>
      </c>
    </row>
    <row r="27" spans="1:11" x14ac:dyDescent="0.35">
      <c r="A27" s="9" t="s">
        <v>70</v>
      </c>
      <c r="B27" s="10">
        <v>876</v>
      </c>
      <c r="C27" s="10">
        <v>17</v>
      </c>
      <c r="D27" s="10">
        <v>1</v>
      </c>
      <c r="E27" s="10">
        <v>757</v>
      </c>
      <c r="F27" s="10">
        <v>25197858.651107904</v>
      </c>
      <c r="G27" s="10">
        <v>868</v>
      </c>
      <c r="H27" s="10">
        <v>21</v>
      </c>
      <c r="I27" s="10">
        <v>1</v>
      </c>
      <c r="J27" s="10">
        <v>922</v>
      </c>
      <c r="K27" s="10">
        <v>25855038.683046423</v>
      </c>
    </row>
    <row r="28" spans="1:11" x14ac:dyDescent="0.35">
      <c r="A28" s="9" t="s">
        <v>72</v>
      </c>
      <c r="B28" s="10">
        <v>877</v>
      </c>
      <c r="C28" s="10">
        <v>8</v>
      </c>
      <c r="D28" s="10">
        <v>1</v>
      </c>
      <c r="E28" s="10">
        <v>874</v>
      </c>
      <c r="F28" s="10">
        <v>29458560.508762401</v>
      </c>
      <c r="G28" s="10">
        <v>887</v>
      </c>
      <c r="H28" s="10">
        <v>10</v>
      </c>
      <c r="I28" s="10">
        <v>1</v>
      </c>
      <c r="J28" s="10">
        <v>774</v>
      </c>
      <c r="K28" s="10">
        <v>30792539.191919893</v>
      </c>
    </row>
    <row r="29" spans="1:11" x14ac:dyDescent="0.35">
      <c r="A29" s="9" t="s">
        <v>79</v>
      </c>
      <c r="B29" s="10">
        <v>250</v>
      </c>
      <c r="C29" s="10">
        <v>1</v>
      </c>
      <c r="D29" s="10">
        <v>0</v>
      </c>
      <c r="E29" s="10">
        <v>141</v>
      </c>
      <c r="F29" s="10">
        <v>8667790.2122814171</v>
      </c>
      <c r="G29" s="10">
        <v>211</v>
      </c>
      <c r="H29" s="10">
        <v>1</v>
      </c>
      <c r="I29" s="10">
        <v>1</v>
      </c>
      <c r="J29" s="10">
        <v>194</v>
      </c>
      <c r="K29" s="10">
        <v>7676474.5734484699</v>
      </c>
    </row>
    <row r="30" spans="1:11" x14ac:dyDescent="0.35">
      <c r="A30" s="9" t="s">
        <v>109</v>
      </c>
      <c r="B30" s="10">
        <v>1640</v>
      </c>
      <c r="C30" s="10">
        <v>7</v>
      </c>
      <c r="D30" s="10">
        <v>5</v>
      </c>
      <c r="E30" s="10">
        <v>1307</v>
      </c>
      <c r="F30" s="10">
        <v>60919445.194015883</v>
      </c>
      <c r="G30" s="10">
        <v>1613</v>
      </c>
      <c r="H30" s="10">
        <v>15</v>
      </c>
      <c r="I30" s="10">
        <v>5</v>
      </c>
      <c r="J30" s="10">
        <v>1690</v>
      </c>
      <c r="K30" s="10">
        <v>58456462.967695154</v>
      </c>
    </row>
    <row r="31" spans="1:11" x14ac:dyDescent="0.35">
      <c r="A31" s="9" t="s">
        <v>111</v>
      </c>
      <c r="B31" s="10">
        <v>861</v>
      </c>
      <c r="C31" s="10">
        <v>8</v>
      </c>
      <c r="D31" s="10">
        <v>1</v>
      </c>
      <c r="E31" s="10">
        <v>602</v>
      </c>
      <c r="F31" s="10">
        <v>44803824.424445488</v>
      </c>
      <c r="G31" s="10">
        <v>902</v>
      </c>
      <c r="H31" s="10">
        <v>10</v>
      </c>
      <c r="I31" s="10">
        <v>1</v>
      </c>
      <c r="J31" s="10">
        <v>712</v>
      </c>
      <c r="K31" s="10">
        <v>50169994.361237466</v>
      </c>
    </row>
    <row r="32" spans="1:11" x14ac:dyDescent="0.35">
      <c r="A32" s="9" t="s">
        <v>113</v>
      </c>
      <c r="B32" s="10">
        <v>1068</v>
      </c>
      <c r="C32" s="10">
        <v>10</v>
      </c>
      <c r="D32" s="10">
        <v>1</v>
      </c>
      <c r="E32" s="10">
        <v>774</v>
      </c>
      <c r="F32" s="10">
        <v>48581728.365952343</v>
      </c>
      <c r="G32" s="10">
        <v>1002</v>
      </c>
      <c r="H32" s="10">
        <v>4</v>
      </c>
      <c r="I32" s="10">
        <v>2</v>
      </c>
      <c r="J32" s="10">
        <v>757</v>
      </c>
      <c r="K32" s="10">
        <v>47203464.09979637</v>
      </c>
    </row>
    <row r="33" spans="1:11" x14ac:dyDescent="0.35">
      <c r="A33" s="9" t="s">
        <v>115</v>
      </c>
      <c r="B33" s="10">
        <v>1093</v>
      </c>
      <c r="C33" s="10">
        <v>3</v>
      </c>
      <c r="D33" s="10">
        <v>2</v>
      </c>
      <c r="E33" s="10">
        <v>889</v>
      </c>
      <c r="F33" s="10">
        <v>62530279.366480142</v>
      </c>
      <c r="G33" s="10">
        <v>1127</v>
      </c>
      <c r="H33" s="10">
        <v>4</v>
      </c>
      <c r="I33" s="10">
        <v>2</v>
      </c>
      <c r="J33" s="10">
        <v>1236</v>
      </c>
      <c r="K33" s="10">
        <v>65076038.774214529</v>
      </c>
    </row>
    <row r="34" spans="1:11" x14ac:dyDescent="0.35">
      <c r="A34" s="9" t="s">
        <v>16</v>
      </c>
      <c r="B34" s="10">
        <v>1451</v>
      </c>
      <c r="C34" s="10">
        <v>5</v>
      </c>
      <c r="D34" s="10">
        <v>5</v>
      </c>
      <c r="E34" s="10">
        <v>1127</v>
      </c>
      <c r="F34" s="10">
        <v>90991062.812777236</v>
      </c>
      <c r="G34" s="10">
        <v>1393</v>
      </c>
      <c r="H34" s="10">
        <v>7</v>
      </c>
      <c r="I34" s="10">
        <v>4</v>
      </c>
      <c r="J34" s="10">
        <v>1210</v>
      </c>
      <c r="K34" s="10">
        <v>86801870.240247473</v>
      </c>
    </row>
    <row r="35" spans="1:11" x14ac:dyDescent="0.35">
      <c r="A35" s="9" t="s">
        <v>18</v>
      </c>
      <c r="B35" s="10">
        <v>696</v>
      </c>
      <c r="C35" s="10">
        <v>3</v>
      </c>
      <c r="D35" s="10">
        <v>3</v>
      </c>
      <c r="E35" s="10">
        <v>606</v>
      </c>
      <c r="F35" s="10">
        <v>36242606.970537424</v>
      </c>
      <c r="G35" s="10">
        <v>663</v>
      </c>
      <c r="H35" s="10">
        <v>4</v>
      </c>
      <c r="I35" s="10">
        <v>5</v>
      </c>
      <c r="J35" s="10">
        <v>618</v>
      </c>
      <c r="K35" s="10">
        <v>38337108.668008581</v>
      </c>
    </row>
    <row r="36" spans="1:11" x14ac:dyDescent="0.35">
      <c r="A36" s="9" t="s">
        <v>43</v>
      </c>
      <c r="B36" s="10">
        <v>1960</v>
      </c>
      <c r="C36" s="10">
        <v>18</v>
      </c>
      <c r="D36" s="10">
        <v>11</v>
      </c>
      <c r="E36" s="10">
        <v>1637</v>
      </c>
      <c r="F36" s="10">
        <v>108532292.35017043</v>
      </c>
      <c r="G36" s="10">
        <v>1833</v>
      </c>
      <c r="H36" s="10">
        <v>14</v>
      </c>
      <c r="I36" s="10">
        <v>9</v>
      </c>
      <c r="J36" s="10">
        <v>1530</v>
      </c>
      <c r="K36" s="10">
        <v>98260582.39468734</v>
      </c>
    </row>
    <row r="37" spans="1:11" x14ac:dyDescent="0.35">
      <c r="A37" s="9" t="s">
        <v>152</v>
      </c>
      <c r="B37" s="10">
        <v>848</v>
      </c>
      <c r="C37" s="10">
        <v>6</v>
      </c>
      <c r="D37" s="10">
        <v>2</v>
      </c>
      <c r="E37" s="10">
        <v>709</v>
      </c>
      <c r="F37" s="10">
        <v>37320575.725948349</v>
      </c>
      <c r="G37" s="10">
        <v>858</v>
      </c>
      <c r="H37" s="10">
        <v>5</v>
      </c>
      <c r="I37" s="10">
        <v>2</v>
      </c>
      <c r="J37" s="10">
        <v>944</v>
      </c>
      <c r="K37" s="10">
        <v>37894355.842432186</v>
      </c>
    </row>
    <row r="38" spans="1:11" x14ac:dyDescent="0.35">
      <c r="A38" s="9" t="s">
        <v>149</v>
      </c>
      <c r="B38" s="10">
        <v>723</v>
      </c>
      <c r="C38" s="10">
        <v>24</v>
      </c>
      <c r="D38" s="10">
        <v>2</v>
      </c>
      <c r="E38" s="10">
        <v>608</v>
      </c>
      <c r="F38" s="10">
        <v>32911656.851534713</v>
      </c>
      <c r="G38" s="10">
        <v>683</v>
      </c>
      <c r="H38" s="10">
        <v>6</v>
      </c>
      <c r="I38" s="10">
        <v>1</v>
      </c>
      <c r="J38" s="10">
        <v>891</v>
      </c>
      <c r="K38" s="10">
        <v>34565487.893721186</v>
      </c>
    </row>
    <row r="39" spans="1:11" x14ac:dyDescent="0.35">
      <c r="A39" s="9" t="s">
        <v>154</v>
      </c>
      <c r="B39" s="10">
        <v>1164</v>
      </c>
      <c r="C39" s="10">
        <v>25</v>
      </c>
      <c r="D39" s="10">
        <v>2</v>
      </c>
      <c r="E39" s="10">
        <v>814</v>
      </c>
      <c r="F39" s="10">
        <v>54638105.497340813</v>
      </c>
      <c r="G39" s="10">
        <v>1190</v>
      </c>
      <c r="H39" s="10">
        <v>26</v>
      </c>
      <c r="I39" s="10">
        <v>1</v>
      </c>
      <c r="J39" s="10">
        <v>1608</v>
      </c>
      <c r="K39" s="10">
        <v>55212943.223061807</v>
      </c>
    </row>
    <row r="40" spans="1:11" x14ac:dyDescent="0.35">
      <c r="A40" s="9" t="s">
        <v>2</v>
      </c>
      <c r="B40" s="10">
        <v>1270</v>
      </c>
      <c r="C40" s="10">
        <v>374</v>
      </c>
      <c r="D40" s="10">
        <v>1</v>
      </c>
      <c r="E40" s="10">
        <v>919</v>
      </c>
      <c r="F40" s="10">
        <v>52814341.477953658</v>
      </c>
      <c r="G40" s="10">
        <v>1296</v>
      </c>
      <c r="H40" s="10">
        <v>468</v>
      </c>
      <c r="I40" s="10">
        <v>1</v>
      </c>
      <c r="J40" s="10">
        <v>1056</v>
      </c>
      <c r="K40" s="10">
        <v>51717887.399712071</v>
      </c>
    </row>
    <row r="41" spans="1:11" x14ac:dyDescent="0.35">
      <c r="A41" s="9" t="s">
        <v>156</v>
      </c>
      <c r="B41" s="10">
        <v>2605</v>
      </c>
      <c r="C41" s="10">
        <v>835</v>
      </c>
      <c r="D41" s="10">
        <v>4</v>
      </c>
      <c r="E41" s="10">
        <v>1592</v>
      </c>
      <c r="F41" s="10">
        <v>83809193.967443451</v>
      </c>
      <c r="G41" s="10">
        <v>2224</v>
      </c>
      <c r="H41" s="10">
        <v>201</v>
      </c>
      <c r="I41" s="10">
        <v>5</v>
      </c>
      <c r="J41" s="10">
        <v>2183</v>
      </c>
      <c r="K41" s="10">
        <v>90682863.198932528</v>
      </c>
    </row>
    <row r="42" spans="1:11" x14ac:dyDescent="0.35">
      <c r="A42" s="9" t="s">
        <v>14</v>
      </c>
      <c r="B42" s="10">
        <v>607</v>
      </c>
      <c r="C42" s="10">
        <v>2</v>
      </c>
      <c r="D42" s="10">
        <v>5</v>
      </c>
      <c r="E42" s="10">
        <v>429</v>
      </c>
      <c r="F42" s="10">
        <v>27312442.624750383</v>
      </c>
      <c r="G42" s="10">
        <v>592</v>
      </c>
      <c r="H42" s="10">
        <v>2</v>
      </c>
      <c r="I42" s="10">
        <v>6</v>
      </c>
      <c r="J42" s="10">
        <v>472</v>
      </c>
      <c r="K42" s="10">
        <v>33118164.564125162</v>
      </c>
    </row>
    <row r="43" spans="1:11" x14ac:dyDescent="0.35">
      <c r="A43" s="9" t="s">
        <v>8</v>
      </c>
      <c r="B43" s="10">
        <v>2068</v>
      </c>
      <c r="C43" s="10">
        <v>14</v>
      </c>
      <c r="D43" s="10">
        <v>5</v>
      </c>
      <c r="E43" s="10">
        <v>2418</v>
      </c>
      <c r="F43" s="10">
        <v>100600974.65803839</v>
      </c>
      <c r="G43" s="10">
        <v>2075</v>
      </c>
      <c r="H43" s="10">
        <v>13</v>
      </c>
      <c r="I43" s="10">
        <v>5</v>
      </c>
      <c r="J43" s="10">
        <v>2089</v>
      </c>
      <c r="K43" s="10">
        <v>105755188.84931171</v>
      </c>
    </row>
    <row r="44" spans="1:11" x14ac:dyDescent="0.35">
      <c r="A44" s="9" t="s">
        <v>39</v>
      </c>
      <c r="B44" s="10">
        <v>886</v>
      </c>
      <c r="C44" s="10">
        <v>9</v>
      </c>
      <c r="D44" s="10">
        <v>4</v>
      </c>
      <c r="E44" s="10">
        <v>750</v>
      </c>
      <c r="F44" s="10">
        <v>69200958.810459167</v>
      </c>
      <c r="G44" s="10">
        <v>935</v>
      </c>
      <c r="H44" s="10">
        <v>15</v>
      </c>
      <c r="I44" s="10">
        <v>4</v>
      </c>
      <c r="J44" s="10">
        <v>1005</v>
      </c>
      <c r="K44" s="10">
        <v>74089777.110698476</v>
      </c>
    </row>
    <row r="45" spans="1:11" x14ac:dyDescent="0.35">
      <c r="A45" s="9" t="s">
        <v>6</v>
      </c>
      <c r="B45" s="10">
        <v>1128</v>
      </c>
      <c r="C45" s="10">
        <v>5</v>
      </c>
      <c r="D45" s="10">
        <v>4</v>
      </c>
      <c r="E45" s="10">
        <v>1897</v>
      </c>
      <c r="F45" s="10">
        <v>58650019.274167448</v>
      </c>
      <c r="G45" s="10">
        <v>1061</v>
      </c>
      <c r="H45" s="10">
        <v>10</v>
      </c>
      <c r="I45" s="10">
        <v>4</v>
      </c>
      <c r="J45" s="10">
        <v>1364</v>
      </c>
      <c r="K45" s="10">
        <v>46952711.095741242</v>
      </c>
    </row>
    <row r="46" spans="1:11" x14ac:dyDescent="0.35">
      <c r="A46" s="9" t="s">
        <v>41</v>
      </c>
      <c r="B46" s="10">
        <v>847</v>
      </c>
      <c r="C46" s="10">
        <v>1</v>
      </c>
      <c r="D46" s="10">
        <v>4</v>
      </c>
      <c r="E46" s="10">
        <v>658</v>
      </c>
      <c r="F46" s="10">
        <v>53704478.39769461</v>
      </c>
      <c r="G46" s="10">
        <v>806</v>
      </c>
      <c r="H46" s="10">
        <v>11</v>
      </c>
      <c r="I46" s="10">
        <v>4</v>
      </c>
      <c r="J46" s="10">
        <v>764</v>
      </c>
      <c r="K46" s="10">
        <v>55108927.707610063</v>
      </c>
    </row>
    <row r="47" spans="1:11" x14ac:dyDescent="0.35">
      <c r="A47" s="9" t="s">
        <v>158</v>
      </c>
      <c r="B47" s="10">
        <v>677</v>
      </c>
      <c r="C47" s="10">
        <v>6</v>
      </c>
      <c r="D47" s="10">
        <v>10</v>
      </c>
      <c r="E47" s="10">
        <v>576</v>
      </c>
      <c r="F47" s="10">
        <v>33709224.483532123</v>
      </c>
      <c r="G47" s="10">
        <v>727</v>
      </c>
      <c r="H47" s="10">
        <v>5</v>
      </c>
      <c r="I47" s="10">
        <v>10</v>
      </c>
      <c r="J47" s="10">
        <v>806</v>
      </c>
      <c r="K47" s="10">
        <v>34886428.659862414</v>
      </c>
    </row>
    <row r="48" spans="1:11" x14ac:dyDescent="0.35">
      <c r="A48" s="9" t="s">
        <v>160</v>
      </c>
      <c r="B48" s="10">
        <v>699</v>
      </c>
      <c r="C48" s="10">
        <v>3</v>
      </c>
      <c r="D48" s="10">
        <v>1</v>
      </c>
      <c r="E48" s="10">
        <v>669</v>
      </c>
      <c r="F48" s="10">
        <v>32955601.091640808</v>
      </c>
      <c r="G48" s="10">
        <v>705</v>
      </c>
      <c r="H48" s="10">
        <v>3</v>
      </c>
      <c r="I48" s="10">
        <v>1</v>
      </c>
      <c r="J48" s="10">
        <v>838</v>
      </c>
      <c r="K48" s="10">
        <v>30550486.080897015</v>
      </c>
    </row>
    <row r="49" spans="1:11" x14ac:dyDescent="0.35">
      <c r="A49" s="9" t="s">
        <v>83</v>
      </c>
      <c r="B49" s="10">
        <v>1247</v>
      </c>
      <c r="C49" s="10">
        <v>14</v>
      </c>
      <c r="D49" s="10">
        <v>5</v>
      </c>
      <c r="E49" s="10">
        <v>1063</v>
      </c>
      <c r="F49" s="10">
        <v>100894075.64793615</v>
      </c>
      <c r="G49" s="10">
        <v>1260</v>
      </c>
      <c r="H49" s="10">
        <v>11</v>
      </c>
      <c r="I49" s="10">
        <v>5</v>
      </c>
      <c r="J49" s="10">
        <v>1114</v>
      </c>
      <c r="K49" s="10">
        <v>100110938.5220733</v>
      </c>
    </row>
    <row r="50" spans="1:11" x14ac:dyDescent="0.35">
      <c r="A50" s="9" t="s">
        <v>201</v>
      </c>
      <c r="B50" s="10">
        <v>451</v>
      </c>
      <c r="C50" s="10">
        <v>3</v>
      </c>
      <c r="D50" s="10">
        <v>2</v>
      </c>
      <c r="E50" s="10">
        <v>427</v>
      </c>
      <c r="F50" s="10">
        <v>18458782.319753215</v>
      </c>
      <c r="G50" s="10">
        <v>442</v>
      </c>
      <c r="H50" s="10">
        <v>2</v>
      </c>
      <c r="I50" s="10">
        <v>1</v>
      </c>
      <c r="J50" s="10">
        <v>494</v>
      </c>
      <c r="K50" s="10">
        <v>16320529.371830372</v>
      </c>
    </row>
    <row r="51" spans="1:11" x14ac:dyDescent="0.35">
      <c r="A51" s="9" t="s">
        <v>31</v>
      </c>
      <c r="B51" s="10">
        <v>900</v>
      </c>
      <c r="C51" s="10">
        <v>5</v>
      </c>
      <c r="D51" s="10">
        <v>5</v>
      </c>
      <c r="E51" s="10">
        <v>870</v>
      </c>
      <c r="F51" s="10">
        <v>45620319.146612741</v>
      </c>
      <c r="G51" s="10">
        <v>918</v>
      </c>
      <c r="H51" s="10">
        <v>5</v>
      </c>
      <c r="I51" s="10">
        <v>5</v>
      </c>
      <c r="J51" s="10">
        <v>945</v>
      </c>
      <c r="K51" s="10">
        <v>45866673.807650395</v>
      </c>
    </row>
    <row r="52" spans="1:11" x14ac:dyDescent="0.35">
      <c r="A52" s="9" t="s">
        <v>33</v>
      </c>
      <c r="B52" s="10">
        <v>1321</v>
      </c>
      <c r="C52" s="10">
        <v>23</v>
      </c>
      <c r="D52" s="10">
        <v>12</v>
      </c>
      <c r="E52" s="10">
        <v>1026</v>
      </c>
      <c r="F52" s="10">
        <v>72992476.810700476</v>
      </c>
      <c r="G52" s="10">
        <v>1411</v>
      </c>
      <c r="H52" s="10">
        <v>8</v>
      </c>
      <c r="I52" s="10">
        <v>12</v>
      </c>
      <c r="J52" s="10">
        <v>1466</v>
      </c>
      <c r="K52" s="10">
        <v>81990538.035252914</v>
      </c>
    </row>
    <row r="53" spans="1:11" x14ac:dyDescent="0.35">
      <c r="A53" s="9" t="s">
        <v>85</v>
      </c>
      <c r="B53" s="10">
        <v>477</v>
      </c>
      <c r="C53" s="10">
        <v>10</v>
      </c>
      <c r="D53" s="10">
        <v>5</v>
      </c>
      <c r="E53" s="10">
        <v>397</v>
      </c>
      <c r="F53" s="10">
        <v>38148328.237221688</v>
      </c>
      <c r="G53" s="10">
        <v>468</v>
      </c>
      <c r="H53" s="10">
        <v>4</v>
      </c>
      <c r="I53" s="10">
        <v>5</v>
      </c>
      <c r="J53" s="10">
        <v>398</v>
      </c>
      <c r="K53" s="10">
        <v>41222423.411827423</v>
      </c>
    </row>
    <row r="54" spans="1:11" x14ac:dyDescent="0.35">
      <c r="A54" s="9" t="s">
        <v>81</v>
      </c>
      <c r="B54" s="10">
        <v>452</v>
      </c>
      <c r="C54" s="10">
        <v>4</v>
      </c>
      <c r="D54" s="10">
        <v>6</v>
      </c>
      <c r="E54" s="10">
        <v>346</v>
      </c>
      <c r="F54" s="10">
        <v>33842039.226665229</v>
      </c>
      <c r="G54" s="10">
        <v>466</v>
      </c>
      <c r="H54" s="10">
        <v>4</v>
      </c>
      <c r="I54" s="10">
        <v>4</v>
      </c>
      <c r="J54" s="10">
        <v>388</v>
      </c>
      <c r="K54" s="10">
        <v>31417598.072369609</v>
      </c>
    </row>
    <row r="55" spans="1:11" x14ac:dyDescent="0.35">
      <c r="A55" s="9" t="s">
        <v>87</v>
      </c>
      <c r="B55" s="10">
        <v>425</v>
      </c>
      <c r="C55" s="10">
        <v>13</v>
      </c>
      <c r="D55" s="10">
        <v>2</v>
      </c>
      <c r="E55" s="10">
        <v>352</v>
      </c>
      <c r="F55" s="10">
        <v>28802813.835757617</v>
      </c>
      <c r="G55" s="10">
        <v>401</v>
      </c>
      <c r="H55" s="10">
        <v>5</v>
      </c>
      <c r="I55" s="10">
        <v>3</v>
      </c>
      <c r="J55" s="10">
        <v>563</v>
      </c>
      <c r="K55" s="10">
        <v>27718800.758572392</v>
      </c>
    </row>
    <row r="56" spans="1:11" x14ac:dyDescent="0.35">
      <c r="A56" s="9" t="s">
        <v>166</v>
      </c>
      <c r="B56" s="10">
        <v>1119</v>
      </c>
      <c r="C56" s="10">
        <v>7</v>
      </c>
      <c r="D56" s="10">
        <v>1</v>
      </c>
      <c r="E56" s="10">
        <v>938</v>
      </c>
      <c r="F56" s="10">
        <v>62928185.881820671</v>
      </c>
      <c r="G56" s="10">
        <v>1086</v>
      </c>
      <c r="H56" s="10">
        <v>11</v>
      </c>
      <c r="I56" s="10">
        <v>1</v>
      </c>
      <c r="J56" s="10">
        <v>951</v>
      </c>
      <c r="K56" s="10">
        <v>62451239.396022461</v>
      </c>
    </row>
    <row r="57" spans="1:11" x14ac:dyDescent="0.35">
      <c r="A57" s="9" t="s">
        <v>93</v>
      </c>
      <c r="B57" s="10">
        <v>963</v>
      </c>
      <c r="C57" s="10">
        <v>15</v>
      </c>
      <c r="D57" s="10">
        <v>2</v>
      </c>
      <c r="E57" s="10">
        <v>801</v>
      </c>
      <c r="F57" s="10">
        <v>65088285.724307768</v>
      </c>
      <c r="G57" s="10">
        <v>964</v>
      </c>
      <c r="H57" s="10">
        <v>8</v>
      </c>
      <c r="I57" s="10">
        <v>1</v>
      </c>
      <c r="J57" s="10">
        <v>1354</v>
      </c>
      <c r="K57" s="10">
        <v>56387039.338193074</v>
      </c>
    </row>
    <row r="58" spans="1:11" x14ac:dyDescent="0.35">
      <c r="A58" s="9" t="s">
        <v>95</v>
      </c>
      <c r="B58" s="10">
        <v>1999</v>
      </c>
      <c r="C58" s="10">
        <v>43</v>
      </c>
      <c r="D58" s="10">
        <v>7</v>
      </c>
      <c r="E58" s="10">
        <v>1684</v>
      </c>
      <c r="F58" s="10">
        <v>100536735.8377966</v>
      </c>
      <c r="G58" s="10">
        <v>2014</v>
      </c>
      <c r="H58" s="10">
        <v>17</v>
      </c>
      <c r="I58" s="10">
        <v>8</v>
      </c>
      <c r="J58" s="10">
        <v>1954</v>
      </c>
      <c r="K58" s="10">
        <v>123202331.88599823</v>
      </c>
    </row>
    <row r="59" spans="1:11" x14ac:dyDescent="0.35">
      <c r="A59" s="9" t="s">
        <v>174</v>
      </c>
      <c r="B59" s="10">
        <v>682</v>
      </c>
      <c r="C59" s="10">
        <v>3</v>
      </c>
      <c r="D59" s="10">
        <v>0</v>
      </c>
      <c r="E59" s="10">
        <v>573</v>
      </c>
      <c r="F59" s="10">
        <v>29428046.827670094</v>
      </c>
      <c r="G59" s="10">
        <v>645</v>
      </c>
      <c r="H59" s="10">
        <v>5</v>
      </c>
      <c r="I59" s="10">
        <v>1</v>
      </c>
      <c r="J59" s="10">
        <v>606</v>
      </c>
      <c r="K59" s="10">
        <v>29871294.304079521</v>
      </c>
    </row>
    <row r="60" spans="1:11" x14ac:dyDescent="0.35">
      <c r="A60" s="9" t="s">
        <v>99</v>
      </c>
      <c r="B60" s="10">
        <v>867</v>
      </c>
      <c r="C60" s="10">
        <v>12</v>
      </c>
      <c r="D60" s="10">
        <v>5</v>
      </c>
      <c r="E60" s="10">
        <v>769</v>
      </c>
      <c r="F60" s="10">
        <v>47355988.463045664</v>
      </c>
      <c r="G60" s="10">
        <v>890</v>
      </c>
      <c r="H60" s="10">
        <v>9</v>
      </c>
      <c r="I60" s="10">
        <v>5</v>
      </c>
      <c r="J60" s="10">
        <v>854</v>
      </c>
      <c r="K60" s="10">
        <v>52450074.600798152</v>
      </c>
    </row>
    <row r="61" spans="1:11" x14ac:dyDescent="0.35">
      <c r="A61" s="9" t="s">
        <v>172</v>
      </c>
      <c r="B61" s="10">
        <v>774</v>
      </c>
      <c r="C61" s="10">
        <v>4</v>
      </c>
      <c r="D61" s="10">
        <v>1</v>
      </c>
      <c r="E61" s="10">
        <v>575</v>
      </c>
      <c r="F61" s="10">
        <v>35719278.07655599</v>
      </c>
      <c r="G61" s="10">
        <v>678</v>
      </c>
      <c r="H61" s="10">
        <v>4</v>
      </c>
      <c r="I61" s="10">
        <v>1</v>
      </c>
      <c r="J61" s="10">
        <v>669</v>
      </c>
      <c r="K61" s="10">
        <v>31085137.84360965</v>
      </c>
    </row>
    <row r="62" spans="1:11" x14ac:dyDescent="0.35">
      <c r="A62" s="9" t="s">
        <v>168</v>
      </c>
      <c r="B62" s="10">
        <v>1092</v>
      </c>
      <c r="C62" s="10">
        <v>15</v>
      </c>
      <c r="D62" s="10">
        <v>1</v>
      </c>
      <c r="E62" s="10">
        <v>1035</v>
      </c>
      <c r="F62" s="10">
        <v>63555142.767648906</v>
      </c>
      <c r="G62" s="10">
        <v>1094</v>
      </c>
      <c r="H62" s="10">
        <v>11</v>
      </c>
      <c r="I62" s="10">
        <v>1</v>
      </c>
      <c r="J62" s="10">
        <v>1036</v>
      </c>
      <c r="K62" s="10">
        <v>66616916.557979755</v>
      </c>
    </row>
    <row r="63" spans="1:11" x14ac:dyDescent="0.35">
      <c r="A63" s="9" t="s">
        <v>101</v>
      </c>
      <c r="B63" s="10">
        <v>1359</v>
      </c>
      <c r="C63" s="10">
        <v>20</v>
      </c>
      <c r="D63" s="10">
        <v>4</v>
      </c>
      <c r="E63" s="10">
        <v>1441</v>
      </c>
      <c r="F63" s="10">
        <v>82430510.404370427</v>
      </c>
      <c r="G63" s="10">
        <v>1571</v>
      </c>
      <c r="H63" s="10">
        <v>17</v>
      </c>
      <c r="I63" s="10">
        <v>5</v>
      </c>
      <c r="J63" s="10">
        <v>1511</v>
      </c>
      <c r="K63" s="10">
        <v>85534788.664606422</v>
      </c>
    </row>
    <row r="64" spans="1:11" x14ac:dyDescent="0.35">
      <c r="A64" s="9" t="s">
        <v>103</v>
      </c>
      <c r="B64" s="10">
        <v>778</v>
      </c>
      <c r="C64" s="10">
        <v>7</v>
      </c>
      <c r="D64" s="10">
        <v>4</v>
      </c>
      <c r="E64" s="10">
        <v>704</v>
      </c>
      <c r="F64" s="10">
        <v>41464549.083276398</v>
      </c>
      <c r="G64" s="10">
        <v>773</v>
      </c>
      <c r="H64" s="10">
        <v>6</v>
      </c>
      <c r="I64" s="10">
        <v>4</v>
      </c>
      <c r="J64" s="10">
        <v>755</v>
      </c>
      <c r="K64" s="10">
        <v>45295926.010840073</v>
      </c>
    </row>
    <row r="65" spans="1:11" x14ac:dyDescent="0.35">
      <c r="A65" s="9" t="s">
        <v>105</v>
      </c>
      <c r="B65" s="10">
        <v>668</v>
      </c>
      <c r="C65" s="10">
        <v>10</v>
      </c>
      <c r="D65" s="10">
        <v>5</v>
      </c>
      <c r="E65" s="10">
        <v>449</v>
      </c>
      <c r="F65" s="10">
        <v>48386631.329953678</v>
      </c>
      <c r="G65" s="10">
        <v>635</v>
      </c>
      <c r="H65" s="10">
        <v>14</v>
      </c>
      <c r="I65" s="10">
        <v>6</v>
      </c>
      <c r="J65" s="10">
        <v>452</v>
      </c>
      <c r="K65" s="10">
        <v>48735968.675192624</v>
      </c>
    </row>
    <row r="66" spans="1:11" x14ac:dyDescent="0.35">
      <c r="A66" s="9" t="s">
        <v>24</v>
      </c>
      <c r="B66" s="10">
        <v>2030</v>
      </c>
      <c r="C66" s="10">
        <v>34</v>
      </c>
      <c r="D66" s="10">
        <v>10</v>
      </c>
      <c r="E66" s="10">
        <v>1622</v>
      </c>
      <c r="F66" s="10">
        <v>135732552.74313027</v>
      </c>
      <c r="G66" s="10">
        <v>1986</v>
      </c>
      <c r="H66" s="10">
        <v>19</v>
      </c>
      <c r="I66" s="10">
        <v>11</v>
      </c>
      <c r="J66" s="10">
        <v>1908</v>
      </c>
      <c r="K66" s="10">
        <v>160934359.47536471</v>
      </c>
    </row>
    <row r="67" spans="1:11" x14ac:dyDescent="0.35">
      <c r="A67" s="9" t="s">
        <v>27</v>
      </c>
      <c r="B67" s="10">
        <v>1561</v>
      </c>
      <c r="C67" s="10">
        <v>30</v>
      </c>
      <c r="D67" s="10">
        <v>7</v>
      </c>
      <c r="E67" s="10">
        <v>1171</v>
      </c>
      <c r="F67" s="10">
        <v>113296770.91732782</v>
      </c>
      <c r="G67" s="10">
        <v>1573</v>
      </c>
      <c r="H67" s="10">
        <v>30</v>
      </c>
      <c r="I67" s="10">
        <v>6</v>
      </c>
      <c r="J67" s="10">
        <v>1302</v>
      </c>
      <c r="K67" s="10">
        <v>122368414.90212773</v>
      </c>
    </row>
    <row r="68" spans="1:11" x14ac:dyDescent="0.35">
      <c r="A68" s="9" t="s">
        <v>29</v>
      </c>
      <c r="B68" s="10">
        <v>865</v>
      </c>
      <c r="C68" s="10">
        <v>4</v>
      </c>
      <c r="D68" s="10">
        <v>1</v>
      </c>
      <c r="E68" s="10">
        <v>747</v>
      </c>
      <c r="F68" s="10">
        <v>72558231.988704979</v>
      </c>
      <c r="G68" s="10">
        <v>909</v>
      </c>
      <c r="H68" s="10">
        <v>13</v>
      </c>
      <c r="I68" s="10">
        <v>1</v>
      </c>
      <c r="J68" s="10">
        <v>742</v>
      </c>
      <c r="K68" s="10">
        <v>79028007.494134247</v>
      </c>
    </row>
    <row r="69" spans="1:11" x14ac:dyDescent="0.35">
      <c r="A69" s="9" t="s">
        <v>57</v>
      </c>
      <c r="B69" s="10">
        <v>2068</v>
      </c>
      <c r="C69" s="10">
        <v>481</v>
      </c>
      <c r="D69" s="10">
        <v>13</v>
      </c>
      <c r="E69" s="10">
        <v>1328</v>
      </c>
      <c r="F69" s="10">
        <v>109551709.58618939</v>
      </c>
      <c r="G69" s="10">
        <v>2278</v>
      </c>
      <c r="H69" s="10">
        <v>691</v>
      </c>
      <c r="I69" s="10">
        <v>12</v>
      </c>
      <c r="J69" s="10">
        <v>1348</v>
      </c>
      <c r="K69" s="10">
        <v>112038197.19984058</v>
      </c>
    </row>
    <row r="70" spans="1:11" x14ac:dyDescent="0.35">
      <c r="A70" s="9" t="s">
        <v>137</v>
      </c>
      <c r="B70" s="10">
        <v>266</v>
      </c>
      <c r="C70" s="10">
        <v>2</v>
      </c>
      <c r="D70" s="10">
        <v>1</v>
      </c>
      <c r="E70" s="10">
        <v>53</v>
      </c>
      <c r="F70" s="10">
        <v>8144438.7187857833</v>
      </c>
      <c r="G70" s="10">
        <v>231</v>
      </c>
      <c r="H70" s="10">
        <v>1</v>
      </c>
      <c r="I70" s="10">
        <v>1</v>
      </c>
      <c r="J70" s="10">
        <v>391</v>
      </c>
      <c r="K70" s="10">
        <v>5948050.6202850351</v>
      </c>
    </row>
    <row r="71" spans="1:11" x14ac:dyDescent="0.35">
      <c r="A71" s="9" t="s">
        <v>10</v>
      </c>
      <c r="B71" s="10">
        <v>1683</v>
      </c>
      <c r="C71" s="10">
        <v>7</v>
      </c>
      <c r="D71" s="10">
        <v>7</v>
      </c>
      <c r="E71" s="10">
        <v>17</v>
      </c>
      <c r="F71" s="10">
        <v>76126383.024535611</v>
      </c>
      <c r="G71" s="10">
        <v>1604</v>
      </c>
      <c r="H71" s="10">
        <v>19</v>
      </c>
      <c r="I71" s="10">
        <v>6</v>
      </c>
      <c r="J71" s="10">
        <v>1809</v>
      </c>
      <c r="K71" s="10">
        <v>81530954.936065257</v>
      </c>
    </row>
    <row r="72" spans="1:11" x14ac:dyDescent="0.35">
      <c r="A72" s="9" t="s">
        <v>12</v>
      </c>
      <c r="B72" s="10">
        <v>673</v>
      </c>
      <c r="C72" s="10">
        <v>3</v>
      </c>
      <c r="D72" s="10">
        <v>2</v>
      </c>
      <c r="E72" s="10">
        <v>610</v>
      </c>
      <c r="F72" s="10">
        <v>35888892.363280766</v>
      </c>
      <c r="G72" s="10">
        <v>788</v>
      </c>
      <c r="H72" s="10">
        <v>6</v>
      </c>
      <c r="I72" s="10">
        <v>3</v>
      </c>
      <c r="J72" s="10">
        <v>740</v>
      </c>
      <c r="K72" s="10">
        <v>37906901.390315287</v>
      </c>
    </row>
    <row r="73" spans="1:11" x14ac:dyDescent="0.35">
      <c r="A73" s="9" t="s">
        <v>162</v>
      </c>
      <c r="B73" s="10">
        <v>1354</v>
      </c>
      <c r="C73" s="10">
        <v>69</v>
      </c>
      <c r="D73" s="10">
        <v>5</v>
      </c>
      <c r="E73" s="10">
        <v>1056</v>
      </c>
      <c r="F73" s="10">
        <v>56956218.834503502</v>
      </c>
      <c r="G73" s="10">
        <v>1598</v>
      </c>
      <c r="H73" s="10">
        <v>210</v>
      </c>
      <c r="I73" s="10">
        <v>5</v>
      </c>
      <c r="J73" s="10">
        <v>1714</v>
      </c>
      <c r="K73" s="10">
        <v>60059776.135515966</v>
      </c>
    </row>
    <row r="74" spans="1:11" x14ac:dyDescent="0.35">
      <c r="A74" s="9" t="s">
        <v>63</v>
      </c>
      <c r="B74" s="10">
        <v>1304</v>
      </c>
      <c r="C74" s="10">
        <v>15</v>
      </c>
      <c r="D74" s="10">
        <v>5</v>
      </c>
      <c r="E74" s="10">
        <v>1332</v>
      </c>
      <c r="F74" s="10">
        <v>30507059.981730662</v>
      </c>
      <c r="G74" s="10">
        <v>1266</v>
      </c>
      <c r="H74" s="10">
        <v>14</v>
      </c>
      <c r="I74" s="10">
        <v>5</v>
      </c>
      <c r="J74" s="10">
        <v>1331</v>
      </c>
      <c r="K74" s="10">
        <v>42508766.760465883</v>
      </c>
    </row>
    <row r="75" spans="1:11" x14ac:dyDescent="0.35">
      <c r="A75" s="9" t="s">
        <v>59</v>
      </c>
      <c r="B75" s="10">
        <v>1754</v>
      </c>
      <c r="C75" s="10">
        <v>16</v>
      </c>
      <c r="D75" s="10">
        <v>5</v>
      </c>
      <c r="E75" s="10">
        <v>1120</v>
      </c>
      <c r="F75" s="10">
        <v>100845295.00418502</v>
      </c>
      <c r="G75" s="10">
        <v>1726</v>
      </c>
      <c r="H75" s="10">
        <v>20</v>
      </c>
      <c r="I75" s="10">
        <v>5</v>
      </c>
      <c r="J75" s="10">
        <v>1208</v>
      </c>
      <c r="K75" s="10">
        <v>104369775.98885293</v>
      </c>
    </row>
    <row r="76" spans="1:11" x14ac:dyDescent="0.35">
      <c r="A76" s="9" t="s">
        <v>139</v>
      </c>
      <c r="B76" s="10">
        <v>497</v>
      </c>
      <c r="C76" s="10">
        <v>6</v>
      </c>
      <c r="D76" s="10">
        <v>2</v>
      </c>
      <c r="E76" s="10">
        <v>442</v>
      </c>
      <c r="F76" s="10">
        <v>20226567.734192647</v>
      </c>
      <c r="G76" s="10">
        <v>514</v>
      </c>
      <c r="H76" s="10">
        <v>5</v>
      </c>
      <c r="I76" s="10">
        <v>1</v>
      </c>
      <c r="J76" s="10">
        <v>799</v>
      </c>
      <c r="K76" s="10">
        <v>21472273.071276274</v>
      </c>
    </row>
    <row r="77" spans="1:11" x14ac:dyDescent="0.35">
      <c r="A77" s="9" t="s">
        <v>170</v>
      </c>
      <c r="B77" s="10">
        <v>900</v>
      </c>
      <c r="C77" s="10">
        <v>7</v>
      </c>
      <c r="D77" s="10">
        <v>1</v>
      </c>
      <c r="E77" s="10">
        <v>791</v>
      </c>
      <c r="F77" s="10">
        <v>33202657.061675176</v>
      </c>
      <c r="G77" s="10">
        <v>881</v>
      </c>
      <c r="H77" s="10">
        <v>7</v>
      </c>
      <c r="I77" s="10">
        <v>1</v>
      </c>
      <c r="J77" s="10">
        <v>838</v>
      </c>
      <c r="K77" s="10">
        <v>34354170.311885484</v>
      </c>
    </row>
    <row r="78" spans="1:11" x14ac:dyDescent="0.35">
      <c r="A78" s="9" t="s">
        <v>61</v>
      </c>
      <c r="B78" s="10">
        <v>643</v>
      </c>
      <c r="C78" s="10">
        <v>2</v>
      </c>
      <c r="D78" s="10">
        <v>4</v>
      </c>
      <c r="E78" s="10">
        <v>476</v>
      </c>
      <c r="F78" s="10">
        <v>22333744.56379788</v>
      </c>
      <c r="G78" s="10">
        <v>629</v>
      </c>
      <c r="H78" s="10">
        <v>2</v>
      </c>
      <c r="I78" s="10">
        <v>3</v>
      </c>
      <c r="J78" s="10">
        <v>537</v>
      </c>
      <c r="K78" s="10">
        <v>34017203.768851109</v>
      </c>
    </row>
    <row r="79" spans="1:11" x14ac:dyDescent="0.35">
      <c r="A79" s="9" t="s">
        <v>129</v>
      </c>
      <c r="B79" s="10">
        <v>567</v>
      </c>
      <c r="C79" s="10">
        <v>6</v>
      </c>
      <c r="D79" s="10">
        <v>1</v>
      </c>
      <c r="E79" s="10">
        <v>668</v>
      </c>
      <c r="F79" s="10">
        <v>17008770.236799341</v>
      </c>
      <c r="G79" s="10">
        <v>580</v>
      </c>
      <c r="H79" s="10">
        <v>7</v>
      </c>
      <c r="I79" s="10">
        <v>1</v>
      </c>
      <c r="J79" s="10">
        <v>643</v>
      </c>
      <c r="K79" s="10">
        <v>21728342.461506572</v>
      </c>
    </row>
    <row r="80" spans="1:11" x14ac:dyDescent="0.35">
      <c r="A80" s="9" t="s">
        <v>35</v>
      </c>
      <c r="B80" s="10">
        <v>434</v>
      </c>
      <c r="C80" s="10">
        <v>6</v>
      </c>
      <c r="D80" s="10">
        <v>6</v>
      </c>
      <c r="E80" s="10">
        <v>458</v>
      </c>
      <c r="F80" s="10">
        <v>25617334.385758311</v>
      </c>
      <c r="G80" s="10">
        <v>447</v>
      </c>
      <c r="H80" s="10">
        <v>2</v>
      </c>
      <c r="I80" s="10">
        <v>7</v>
      </c>
      <c r="J80" s="10">
        <v>489</v>
      </c>
      <c r="K80" s="10">
        <v>27543891.003978785</v>
      </c>
    </row>
    <row r="81" spans="1:11" x14ac:dyDescent="0.35">
      <c r="A81" s="9" t="s">
        <v>107</v>
      </c>
      <c r="B81" s="10">
        <v>960</v>
      </c>
      <c r="C81" s="10">
        <v>19</v>
      </c>
      <c r="D81" s="10">
        <v>3</v>
      </c>
      <c r="E81" s="10">
        <v>747</v>
      </c>
      <c r="F81" s="10">
        <v>73773675.486029804</v>
      </c>
      <c r="G81" s="10">
        <v>906</v>
      </c>
      <c r="H81" s="10">
        <v>14</v>
      </c>
      <c r="I81" s="10">
        <v>3</v>
      </c>
      <c r="J81" s="10">
        <v>650</v>
      </c>
      <c r="K81" s="10">
        <v>71996167.390257403</v>
      </c>
    </row>
    <row r="82" spans="1:11" x14ac:dyDescent="0.35">
      <c r="A82" s="9" t="s">
        <v>37</v>
      </c>
      <c r="B82" s="10">
        <v>787</v>
      </c>
      <c r="C82" s="10">
        <v>8</v>
      </c>
      <c r="D82" s="10">
        <v>10</v>
      </c>
      <c r="E82" s="10">
        <v>714</v>
      </c>
      <c r="F82" s="10">
        <v>43252081.379539505</v>
      </c>
      <c r="G82" s="10">
        <v>785</v>
      </c>
      <c r="H82" s="10">
        <v>6</v>
      </c>
      <c r="I82" s="10">
        <v>9</v>
      </c>
      <c r="J82" s="10">
        <v>728</v>
      </c>
      <c r="K82" s="10">
        <v>43165117.098888941</v>
      </c>
    </row>
    <row r="83" spans="1:11" x14ac:dyDescent="0.35">
      <c r="A83" s="9" t="s">
        <v>76</v>
      </c>
      <c r="B83" s="10">
        <v>941</v>
      </c>
      <c r="C83" s="10">
        <v>3</v>
      </c>
      <c r="D83" s="10">
        <v>2</v>
      </c>
      <c r="E83" s="10">
        <v>900</v>
      </c>
      <c r="F83" s="10">
        <v>36731752.185462572</v>
      </c>
      <c r="G83" s="10">
        <v>948</v>
      </c>
      <c r="H83" s="10">
        <v>8</v>
      </c>
      <c r="I83" s="10">
        <v>2</v>
      </c>
      <c r="J83" s="10">
        <v>962</v>
      </c>
      <c r="K83" s="10">
        <v>37427050.145238265</v>
      </c>
    </row>
    <row r="84" spans="1:11" x14ac:dyDescent="0.35">
      <c r="A84" s="9" t="s">
        <v>65</v>
      </c>
      <c r="B84" s="10">
        <v>1007</v>
      </c>
      <c r="C84" s="10">
        <v>9</v>
      </c>
      <c r="D84" s="10">
        <v>4</v>
      </c>
      <c r="E84" s="10">
        <v>870</v>
      </c>
      <c r="F84" s="10">
        <v>40521568.697104067</v>
      </c>
      <c r="G84" s="10">
        <v>944</v>
      </c>
      <c r="H84" s="10">
        <v>5</v>
      </c>
      <c r="I84" s="10">
        <v>5</v>
      </c>
      <c r="J84" s="10">
        <v>862</v>
      </c>
      <c r="K84" s="10">
        <v>40773490.063008733</v>
      </c>
    </row>
    <row r="85" spans="1:11" x14ac:dyDescent="0.35">
      <c r="A85" s="9" t="s">
        <v>89</v>
      </c>
      <c r="B85" s="10">
        <v>758</v>
      </c>
      <c r="C85" s="10">
        <v>11</v>
      </c>
      <c r="D85" s="10">
        <v>5</v>
      </c>
      <c r="E85" s="10">
        <v>707</v>
      </c>
      <c r="F85" s="10">
        <v>44874111.853644915</v>
      </c>
      <c r="G85" s="10">
        <v>756</v>
      </c>
      <c r="H85" s="10">
        <v>4</v>
      </c>
      <c r="I85" s="10">
        <v>6</v>
      </c>
      <c r="J85" s="10">
        <v>736</v>
      </c>
      <c r="K85" s="10">
        <v>50036351.497209594</v>
      </c>
    </row>
    <row r="86" spans="1:11" x14ac:dyDescent="0.35">
      <c r="A86" s="9" t="s">
        <v>147</v>
      </c>
      <c r="B86" s="10">
        <v>565</v>
      </c>
      <c r="C86" s="10">
        <v>2</v>
      </c>
      <c r="D86" s="10">
        <v>1</v>
      </c>
      <c r="E86" s="10">
        <v>673</v>
      </c>
      <c r="F86" s="10">
        <v>19005987.663762063</v>
      </c>
      <c r="G86" s="10">
        <v>586</v>
      </c>
      <c r="H86" s="10">
        <v>5</v>
      </c>
      <c r="I86" s="10">
        <v>1</v>
      </c>
      <c r="J86" s="10">
        <v>724</v>
      </c>
      <c r="K86" s="10">
        <v>22469127.670708016</v>
      </c>
    </row>
    <row r="87" spans="1:11" x14ac:dyDescent="0.35">
      <c r="A87" s="9" t="s">
        <v>164</v>
      </c>
      <c r="B87" s="10">
        <v>1714</v>
      </c>
      <c r="C87" s="10">
        <v>10</v>
      </c>
      <c r="D87" s="10">
        <v>10</v>
      </c>
      <c r="E87" s="10">
        <v>1300</v>
      </c>
      <c r="F87" s="10">
        <v>85159589.073159456</v>
      </c>
      <c r="G87" s="10">
        <v>1752</v>
      </c>
      <c r="H87" s="10">
        <v>14</v>
      </c>
      <c r="I87" s="10">
        <v>10</v>
      </c>
      <c r="J87" s="10">
        <v>1426</v>
      </c>
      <c r="K87" s="10">
        <v>97907599.985699475</v>
      </c>
    </row>
    <row r="88" spans="1:11" x14ac:dyDescent="0.35">
      <c r="A88" s="9" t="s">
        <v>91</v>
      </c>
      <c r="B88" s="10">
        <v>616</v>
      </c>
      <c r="C88" s="10">
        <v>9</v>
      </c>
      <c r="D88" s="10">
        <v>3</v>
      </c>
      <c r="E88" s="10">
        <v>808</v>
      </c>
      <c r="F88" s="10">
        <v>24438521.194245949</v>
      </c>
      <c r="G88" s="10">
        <v>637</v>
      </c>
      <c r="H88" s="10">
        <v>2</v>
      </c>
      <c r="I88" s="10">
        <v>3</v>
      </c>
      <c r="J88" s="10">
        <v>1041</v>
      </c>
      <c r="K88" s="10">
        <v>23028013.685707822</v>
      </c>
    </row>
    <row r="89" spans="1:11" x14ac:dyDescent="0.35">
      <c r="A89" s="9" t="s">
        <v>97</v>
      </c>
      <c r="B89" s="10">
        <v>583</v>
      </c>
      <c r="C89" s="10">
        <v>18</v>
      </c>
      <c r="D89" s="10">
        <v>6</v>
      </c>
      <c r="E89" s="10">
        <v>532</v>
      </c>
      <c r="F89" s="10">
        <v>38953400.777981319</v>
      </c>
      <c r="G89" s="10">
        <v>675</v>
      </c>
      <c r="H89" s="10">
        <v>8</v>
      </c>
      <c r="I89" s="10">
        <v>8</v>
      </c>
      <c r="J89" s="10">
        <v>757</v>
      </c>
      <c r="K89" s="10">
        <v>42224351.725976318</v>
      </c>
    </row>
    <row r="90" spans="1:11" x14ac:dyDescent="0.35">
      <c r="A90" s="9" t="s">
        <v>78</v>
      </c>
      <c r="B90" s="10">
        <v>352</v>
      </c>
      <c r="C90" s="10">
        <v>3</v>
      </c>
      <c r="D90" s="10">
        <v>1</v>
      </c>
      <c r="E90" s="10">
        <v>307</v>
      </c>
      <c r="F90" s="10">
        <v>10002201.938997222</v>
      </c>
      <c r="G90" s="10">
        <v>363</v>
      </c>
      <c r="H90" s="10">
        <v>2</v>
      </c>
      <c r="I90" s="10">
        <v>1</v>
      </c>
      <c r="J90" s="10">
        <v>360</v>
      </c>
      <c r="K90" s="10">
        <v>9618978.6071194392</v>
      </c>
    </row>
    <row r="91" spans="1:11" x14ac:dyDescent="0.35">
      <c r="A91" s="14" t="s">
        <v>203</v>
      </c>
      <c r="B91" s="13">
        <v>84552</v>
      </c>
      <c r="C91" s="13">
        <v>3260</v>
      </c>
      <c r="D91" s="13">
        <v>309</v>
      </c>
      <c r="E91" s="13">
        <v>69338</v>
      </c>
      <c r="F91" s="13">
        <v>4171011415.6679773</v>
      </c>
      <c r="G91" s="13">
        <v>83935</v>
      </c>
      <c r="H91" s="13">
        <v>2453</v>
      </c>
      <c r="I91" s="13">
        <v>318</v>
      </c>
      <c r="J91" s="13">
        <v>85372</v>
      </c>
      <c r="K91" s="13">
        <v>4373194023.8037062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2026-08-31T07:27:16Z</dcterms:modified>
</cp:coreProperties>
</file>