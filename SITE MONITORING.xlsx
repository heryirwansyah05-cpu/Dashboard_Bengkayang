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28" i="3" l="1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<sst xmlns="http://schemas.openxmlformats.org/spreadsheetml/2006/main" count="540" uniqueCount="205">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</sst>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696092.32296935795</v>
      </c>
      <c r="G2" s="1">
        <f>VLOOKUP(A:A,MASTER!A:K,11,0)</f>
        <v>0</v>
      </c>
      <c r="H2" s="12">
        <f>IFERROR(G2/F2-1,0)</f>
        <v>-1</v>
      </c>
      <c r="I2" s="2">
        <f>VLOOKUP(A:A,MASTER!A:E,5,0)</f>
        <v>350</v>
      </c>
      <c r="J2" s="2">
        <f>VLOOKUP(A:A,MASTER!A:J,10,0)</f>
        <v>0</v>
      </c>
      <c r="K2" s="12">
        <f>IFERROR(J2/I2-1,0)</f>
        <v>-1</v>
      </c>
      <c r="L2" s="2">
        <f>VLOOKUP(A:A,MASTER!A:D,4,0)</f>
        <v>2</v>
      </c>
      <c r="M2" s="2">
        <f>VLOOKUP(A:A,MASTER!A:I,9,0)</f>
        <v>0</v>
      </c>
      <c r="N2" s="12">
        <f>IFERROR(M2/L2-1,0)</f>
        <v>-1</v>
      </c>
      <c r="O2" s="1">
        <f>VLOOKUP(A:A,MASTER!A:C,3,0)</f>
        <v>0</v>
      </c>
      <c r="P2" s="1">
        <f>VLOOKUP(A:A,MASTER!A:H,8,0)</f>
        <v>0</v>
      </c>
      <c r="Q2" s="12">
        <f>IFERROR(P2/O2-1,0)</f>
        <v>0</v>
      </c>
      <c r="R2" s="1">
        <f>VLOOKUP(A:A,MASTER!A:B,2,0)</f>
        <v>398</v>
      </c>
      <c r="S2">
        <f>VLOOKUP(A:A,MASTER!A:G,7,0)</f>
        <v>0</v>
      </c>
      <c r="T2" s="12">
        <f>IFERROR(S2/R2-1,0)</f>
        <v>-1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808291.79174990195</v>
      </c>
      <c r="G3" s="1">
        <f>VLOOKUP(A:A,MASTER!A:K,11,0)</f>
        <v>0</v>
      </c>
      <c r="H3" s="12">
        <f t="shared" ref="H3:H66" si="0">IFERROR(G3/F3-1,0)</f>
        <v>-1</v>
      </c>
      <c r="I3" s="2">
        <f>VLOOKUP(A:A,MASTER!A:E,5,0)</f>
        <v>526</v>
      </c>
      <c r="J3" s="2">
        <f>VLOOKUP(A:A,MASTER!A:J,10,0)</f>
        <v>0</v>
      </c>
      <c r="K3" s="12">
        <f t="shared" ref="K3:K66" si="1">IFERROR(J3/I3-1,0)</f>
        <v>-1</v>
      </c>
      <c r="L3" s="2">
        <f>VLOOKUP(A:A,MASTER!A:D,4,0)</f>
        <v>0</v>
      </c>
      <c r="M3" s="2">
        <f>VLOOKUP(A:A,MASTER!A:I,9,0)</f>
        <v>0</v>
      </c>
      <c r="N3" s="12">
        <f t="shared" ref="N3:N66" si="2">IFERROR(M3/L3-1,0)</f>
        <v>0</v>
      </c>
      <c r="O3" s="1">
        <f>VLOOKUP(A:A,MASTER!A:C,3,0)</f>
        <v>0</v>
      </c>
      <c r="P3" s="1">
        <f>VLOOKUP(A:A,MASTER!A:H,8,0)</f>
        <v>0</v>
      </c>
      <c r="Q3" s="12">
        <f t="shared" ref="Q3:Q66" si="3">IFERROR(P3/O3-1,0)</f>
        <v>0</v>
      </c>
      <c r="R3" s="1">
        <f>VLOOKUP(A:A,MASTER!A:B,2,0)</f>
        <v>641</v>
      </c>
      <c r="S3">
        <f>VLOOKUP(A:A,MASTER!A:G,7,0)</f>
        <v>0</v>
      </c>
      <c r="T3" s="12">
        <f t="shared" ref="T3:T66" si="4">IFERROR(S3/R3-1,0)</f>
        <v>-1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1370730.200225625</v>
      </c>
      <c r="G4" s="1">
        <f>VLOOKUP(A:A,MASTER!A:K,11,0)</f>
        <v>0</v>
      </c>
      <c r="H4" s="12">
        <f t="shared" si="0"/>
        <v>-1</v>
      </c>
      <c r="I4" s="2">
        <f>VLOOKUP(A:A,MASTER!A:E,5,0)</f>
        <v>757</v>
      </c>
      <c r="J4" s="2">
        <f>VLOOKUP(A:A,MASTER!A:J,10,0)</f>
        <v>0</v>
      </c>
      <c r="K4" s="12">
        <f t="shared" si="1"/>
        <v>-1</v>
      </c>
      <c r="L4" s="2">
        <f>VLOOKUP(A:A,MASTER!A:D,4,0)</f>
        <v>0</v>
      </c>
      <c r="M4" s="2">
        <f>VLOOKUP(A:A,MASTER!A:I,9,0)</f>
        <v>0</v>
      </c>
      <c r="N4" s="12">
        <f t="shared" si="2"/>
        <v>0</v>
      </c>
      <c r="O4" s="1">
        <f>VLOOKUP(A:A,MASTER!A:C,3,0)</f>
        <v>0</v>
      </c>
      <c r="P4" s="1">
        <f>VLOOKUP(A:A,MASTER!A:H,8,0)</f>
        <v>0</v>
      </c>
      <c r="Q4" s="12">
        <f t="shared" si="3"/>
        <v>0</v>
      </c>
      <c r="R4" s="1">
        <f>VLOOKUP(A:A,MASTER!A:B,2,0)</f>
        <v>726</v>
      </c>
      <c r="S4">
        <f>VLOOKUP(A:A,MASTER!A:G,7,0)</f>
        <v>0</v>
      </c>
      <c r="T4" s="12">
        <f t="shared" si="4"/>
        <v>-1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1808203.4657892811</v>
      </c>
      <c r="G5" s="1">
        <f>VLOOKUP(A:A,MASTER!A:K,11,0)</f>
        <v>0</v>
      </c>
      <c r="H5" s="12">
        <f t="shared" si="0"/>
        <v>-1</v>
      </c>
      <c r="I5" s="2">
        <f>VLOOKUP(A:A,MASTER!A:E,5,0)</f>
        <v>991</v>
      </c>
      <c r="J5" s="2">
        <f>VLOOKUP(A:A,MASTER!A:J,10,0)</f>
        <v>0</v>
      </c>
      <c r="K5" s="12">
        <f t="shared" si="1"/>
        <v>-1</v>
      </c>
      <c r="L5" s="2">
        <f>VLOOKUP(A:A,MASTER!A:D,4,0)</f>
        <v>4</v>
      </c>
      <c r="M5" s="2">
        <f>VLOOKUP(A:A,MASTER!A:I,9,0)</f>
        <v>0</v>
      </c>
      <c r="N5" s="12">
        <f t="shared" si="2"/>
        <v>-1</v>
      </c>
      <c r="O5" s="1">
        <f>VLOOKUP(A:A,MASTER!A:C,3,0)</f>
        <v>0</v>
      </c>
      <c r="P5" s="1">
        <f>VLOOKUP(A:A,MASTER!A:H,8,0)</f>
        <v>0</v>
      </c>
      <c r="Q5" s="12">
        <f t="shared" si="3"/>
        <v>0</v>
      </c>
      <c r="R5" s="1">
        <f>VLOOKUP(A:A,MASTER!A:B,2,0)</f>
        <v>1218</v>
      </c>
      <c r="S5">
        <f>VLOOKUP(A:A,MASTER!A:G,7,0)</f>
        <v>0</v>
      </c>
      <c r="T5" s="12">
        <f t="shared" si="4"/>
        <v>-1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605034.10920116503</v>
      </c>
      <c r="G6" s="1">
        <f>VLOOKUP(A:A,MASTER!A:K,11,0)</f>
        <v>0</v>
      </c>
      <c r="H6" s="12">
        <f t="shared" si="0"/>
        <v>-1</v>
      </c>
      <c r="I6" s="2">
        <f>VLOOKUP(A:A,MASTER!A:E,5,0)</f>
        <v>296</v>
      </c>
      <c r="J6" s="2">
        <f>VLOOKUP(A:A,MASTER!A:J,10,0)</f>
        <v>0</v>
      </c>
      <c r="K6" s="12">
        <f t="shared" si="1"/>
        <v>-1</v>
      </c>
      <c r="L6" s="2">
        <f>VLOOKUP(A:A,MASTER!A:D,4,0)</f>
        <v>0</v>
      </c>
      <c r="M6" s="2">
        <f>VLOOKUP(A:A,MASTER!A:I,9,0)</f>
        <v>0</v>
      </c>
      <c r="N6" s="12">
        <f t="shared" si="2"/>
        <v>0</v>
      </c>
      <c r="O6" s="1">
        <f>VLOOKUP(A:A,MASTER!A:C,3,0)</f>
        <v>0</v>
      </c>
      <c r="P6" s="1">
        <f>VLOOKUP(A:A,MASTER!A:H,8,0)</f>
        <v>0</v>
      </c>
      <c r="Q6" s="12">
        <f t="shared" si="3"/>
        <v>0</v>
      </c>
      <c r="R6" s="1">
        <f>VLOOKUP(A:A,MASTER!A:B,2,0)</f>
        <v>397</v>
      </c>
      <c r="S6">
        <f>VLOOKUP(A:A,MASTER!A:G,7,0)</f>
        <v>0</v>
      </c>
      <c r="T6" s="12">
        <f t="shared" si="4"/>
        <v>-1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537044.24103648798</v>
      </c>
      <c r="G7" s="1">
        <f>VLOOKUP(A:A,MASTER!A:K,11,0)</f>
        <v>0</v>
      </c>
      <c r="H7" s="12">
        <f t="shared" si="0"/>
        <v>-1</v>
      </c>
      <c r="I7" s="2">
        <f>VLOOKUP(A:A,MASTER!A:E,5,0)</f>
        <v>259</v>
      </c>
      <c r="J7" s="2">
        <f>VLOOKUP(A:A,MASTER!A:J,10,0)</f>
        <v>0</v>
      </c>
      <c r="K7" s="12">
        <f t="shared" si="1"/>
        <v>-1</v>
      </c>
      <c r="L7" s="2">
        <f>VLOOKUP(A:A,MASTER!A:D,4,0)</f>
        <v>2</v>
      </c>
      <c r="M7" s="2">
        <f>VLOOKUP(A:A,MASTER!A:I,9,0)</f>
        <v>0</v>
      </c>
      <c r="N7" s="12">
        <f t="shared" si="2"/>
        <v>-1</v>
      </c>
      <c r="O7" s="1">
        <f>VLOOKUP(A:A,MASTER!A:C,3,0)</f>
        <v>0</v>
      </c>
      <c r="P7" s="1">
        <f>VLOOKUP(A:A,MASTER!A:H,8,0)</f>
        <v>0</v>
      </c>
      <c r="Q7" s="12">
        <f t="shared" si="3"/>
        <v>0</v>
      </c>
      <c r="R7" s="1">
        <f>VLOOKUP(A:A,MASTER!A:B,2,0)</f>
        <v>369</v>
      </c>
      <c r="S7">
        <f>VLOOKUP(A:A,MASTER!A:G,7,0)</f>
        <v>0</v>
      </c>
      <c r="T7" s="12">
        <f t="shared" si="4"/>
        <v>-1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838373.75816792203</v>
      </c>
      <c r="G8" s="1">
        <f>VLOOKUP(A:A,MASTER!A:K,11,0)</f>
        <v>0</v>
      </c>
      <c r="H8" s="12">
        <f t="shared" si="0"/>
        <v>-1</v>
      </c>
      <c r="I8" s="2">
        <f>VLOOKUP(A:A,MASTER!A:E,5,0)</f>
        <v>513</v>
      </c>
      <c r="J8" s="2">
        <f>VLOOKUP(A:A,MASTER!A:J,10,0)</f>
        <v>0</v>
      </c>
      <c r="K8" s="12">
        <f t="shared" si="1"/>
        <v>-1</v>
      </c>
      <c r="L8" s="2">
        <f>VLOOKUP(A:A,MASTER!A:D,4,0)</f>
        <v>1</v>
      </c>
      <c r="M8" s="2">
        <f>VLOOKUP(A:A,MASTER!A:I,9,0)</f>
        <v>0</v>
      </c>
      <c r="N8" s="12">
        <f t="shared" si="2"/>
        <v>-1</v>
      </c>
      <c r="O8" s="1">
        <f>VLOOKUP(A:A,MASTER!A:C,3,0)</f>
        <v>0</v>
      </c>
      <c r="P8" s="1">
        <f>VLOOKUP(A:A,MASTER!A:H,8,0)</f>
        <v>0</v>
      </c>
      <c r="Q8" s="12">
        <f t="shared" si="3"/>
        <v>0</v>
      </c>
      <c r="R8" s="1">
        <f>VLOOKUP(A:A,MASTER!A:B,2,0)</f>
        <v>596</v>
      </c>
      <c r="S8">
        <f>VLOOKUP(A:A,MASTER!A:G,7,0)</f>
        <v>0</v>
      </c>
      <c r="T8" s="12">
        <f t="shared" si="4"/>
        <v>-1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404742.48262980598</v>
      </c>
      <c r="G9" s="1">
        <f>VLOOKUP(A:A,MASTER!A:K,11,0)</f>
        <v>0</v>
      </c>
      <c r="H9" s="12">
        <f t="shared" si="0"/>
        <v>-1</v>
      </c>
      <c r="I9" s="2">
        <f>VLOOKUP(A:A,MASTER!A:E,5,0)</f>
        <v>145</v>
      </c>
      <c r="J9" s="2">
        <f>VLOOKUP(A:A,MASTER!A:J,10,0)</f>
        <v>0</v>
      </c>
      <c r="K9" s="12">
        <f t="shared" si="1"/>
        <v>-1</v>
      </c>
      <c r="L9" s="2">
        <f>VLOOKUP(A:A,MASTER!A:D,4,0)</f>
        <v>0</v>
      </c>
      <c r="M9" s="2">
        <f>VLOOKUP(A:A,MASTER!A:I,9,0)</f>
        <v>0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170</v>
      </c>
      <c r="S9">
        <f>VLOOKUP(A:A,MASTER!A:G,7,0)</f>
        <v>0</v>
      </c>
      <c r="T9" s="12">
        <f t="shared" si="4"/>
        <v>-1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22.486592934000001</v>
      </c>
      <c r="G10" s="1">
        <f>VLOOKUP(A:A,MASTER!A:K,11,0)</f>
        <v>0</v>
      </c>
      <c r="H10" s="12">
        <f t="shared" si="0"/>
        <v>-1</v>
      </c>
      <c r="I10" s="2">
        <f>VLOOKUP(A:A,MASTER!A:E,5,0)</f>
        <v>1</v>
      </c>
      <c r="J10" s="2">
        <f>VLOOKUP(A:A,MASTER!A:J,10,0)</f>
        <v>0</v>
      </c>
      <c r="K10" s="12">
        <f t="shared" si="1"/>
        <v>-1</v>
      </c>
      <c r="L10" s="2">
        <f>VLOOKUP(A:A,MASTER!A:D,4,0)</f>
        <v>0</v>
      </c>
      <c r="M10" s="2">
        <f>VLOOKUP(A:A,MASTER!A:I,9,0)</f>
        <v>0</v>
      </c>
      <c r="N10" s="12">
        <f t="shared" si="2"/>
        <v>0</v>
      </c>
      <c r="O10" s="1">
        <f>VLOOKUP(A:A,MASTER!A:C,3,0)</f>
        <v>0</v>
      </c>
      <c r="P10" s="1">
        <f>VLOOKUP(A:A,MASTER!A:H,8,0)</f>
        <v>0</v>
      </c>
      <c r="Q10" s="12">
        <f t="shared" si="3"/>
        <v>0</v>
      </c>
      <c r="R10" s="1">
        <f>VLOOKUP(A:A,MASTER!A:B,2,0)</f>
        <v>197</v>
      </c>
      <c r="S10">
        <f>VLOOKUP(A:A,MASTER!A:G,7,0)</f>
        <v>0</v>
      </c>
      <c r="T10" s="12">
        <f t="shared" si="4"/>
        <v>-1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845158.77877030603</v>
      </c>
      <c r="G11" s="1">
        <f>VLOOKUP(A:A,MASTER!A:K,11,0)</f>
        <v>0</v>
      </c>
      <c r="H11" s="12">
        <f t="shared" si="0"/>
        <v>-1</v>
      </c>
      <c r="I11" s="2">
        <f>VLOOKUP(A:A,MASTER!A:E,5,0)</f>
        <v>545</v>
      </c>
      <c r="J11" s="2">
        <f>VLOOKUP(A:A,MASTER!A:J,10,0)</f>
        <v>0</v>
      </c>
      <c r="K11" s="12">
        <f t="shared" si="1"/>
        <v>-1</v>
      </c>
      <c r="L11" s="2">
        <f>VLOOKUP(A:A,MASTER!A:D,4,0)</f>
        <v>0</v>
      </c>
      <c r="M11" s="2">
        <f>VLOOKUP(A:A,MASTER!A:I,9,0)</f>
        <v>0</v>
      </c>
      <c r="N11" s="12">
        <f t="shared" si="2"/>
        <v>0</v>
      </c>
      <c r="O11" s="1">
        <f>VLOOKUP(A:A,MASTER!A:C,3,0)</f>
        <v>0</v>
      </c>
      <c r="P11" s="1">
        <f>VLOOKUP(A:A,MASTER!A:H,8,0)</f>
        <v>0</v>
      </c>
      <c r="Q11" s="12">
        <f t="shared" si="3"/>
        <v>0</v>
      </c>
      <c r="R11" s="1">
        <f>VLOOKUP(A:A,MASTER!A:B,2,0)</f>
        <v>350</v>
      </c>
      <c r="S11">
        <f>VLOOKUP(A:A,MASTER!A:G,7,0)</f>
        <v>0</v>
      </c>
      <c r="T11" s="12">
        <f t="shared" si="4"/>
        <v>-1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307689.98482151597</v>
      </c>
      <c r="G12" s="1">
        <f>VLOOKUP(A:A,MASTER!A:K,11,0)</f>
        <v>0</v>
      </c>
      <c r="H12" s="12">
        <f t="shared" si="0"/>
        <v>-1</v>
      </c>
      <c r="I12" s="2">
        <f>VLOOKUP(A:A,MASTER!A:E,5,0)</f>
        <v>276</v>
      </c>
      <c r="J12" s="2">
        <f>VLOOKUP(A:A,MASTER!A:J,10,0)</f>
        <v>0</v>
      </c>
      <c r="K12" s="12">
        <f t="shared" si="1"/>
        <v>-1</v>
      </c>
      <c r="L12" s="2">
        <f>VLOOKUP(A:A,MASTER!A:D,4,0)</f>
        <v>2</v>
      </c>
      <c r="M12" s="2">
        <f>VLOOKUP(A:A,MASTER!A:I,9,0)</f>
        <v>0</v>
      </c>
      <c r="N12" s="12">
        <f t="shared" si="2"/>
        <v>-1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199</v>
      </c>
      <c r="S12">
        <f>VLOOKUP(A:A,MASTER!A:G,7,0)</f>
        <v>0</v>
      </c>
      <c r="T12" s="12">
        <f t="shared" si="4"/>
        <v>-1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384204.64217334799</v>
      </c>
      <c r="G13" s="1">
        <f>VLOOKUP(A:A,MASTER!A:K,11,0)</f>
        <v>0</v>
      </c>
      <c r="H13" s="12">
        <f t="shared" si="0"/>
        <v>-1</v>
      </c>
      <c r="I13" s="2">
        <f>VLOOKUP(A:A,MASTER!A:E,5,0)</f>
        <v>271</v>
      </c>
      <c r="J13" s="2">
        <f>VLOOKUP(A:A,MASTER!A:J,10,0)</f>
        <v>0</v>
      </c>
      <c r="K13" s="12">
        <f t="shared" si="1"/>
        <v>-1</v>
      </c>
      <c r="L13" s="2">
        <f>VLOOKUP(A:A,MASTER!A:D,4,0)</f>
        <v>0</v>
      </c>
      <c r="M13" s="2">
        <f>VLOOKUP(A:A,MASTER!A:I,9,0)</f>
        <v>0</v>
      </c>
      <c r="N13" s="12">
        <f t="shared" si="2"/>
        <v>0</v>
      </c>
      <c r="O13" s="1">
        <f>VLOOKUP(A:A,MASTER!A:C,3,0)</f>
        <v>0</v>
      </c>
      <c r="P13" s="1">
        <f>VLOOKUP(A:A,MASTER!A:H,8,0)</f>
        <v>0</v>
      </c>
      <c r="Q13" s="12">
        <f t="shared" si="3"/>
        <v>0</v>
      </c>
      <c r="R13" s="1">
        <f>VLOOKUP(A:A,MASTER!A:B,2,0)</f>
        <v>246</v>
      </c>
      <c r="S13">
        <f>VLOOKUP(A:A,MASTER!A:G,7,0)</f>
        <v>0</v>
      </c>
      <c r="T13" s="12">
        <f t="shared" si="4"/>
        <v>-1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2387423.083762663</v>
      </c>
      <c r="G14" s="1">
        <f>VLOOKUP(A:A,MASTER!A:K,11,0)</f>
        <v>0</v>
      </c>
      <c r="H14" s="12">
        <f t="shared" si="0"/>
        <v>-1</v>
      </c>
      <c r="I14" s="2">
        <f>VLOOKUP(A:A,MASTER!A:E,5,0)</f>
        <v>1144</v>
      </c>
      <c r="J14" s="2">
        <f>VLOOKUP(A:A,MASTER!A:J,10,0)</f>
        <v>0</v>
      </c>
      <c r="K14" s="12">
        <f t="shared" si="1"/>
        <v>-1</v>
      </c>
      <c r="L14" s="2">
        <f>VLOOKUP(A:A,MASTER!A:D,4,0)</f>
        <v>3</v>
      </c>
      <c r="M14" s="2">
        <f>VLOOKUP(A:A,MASTER!A:I,9,0)</f>
        <v>0</v>
      </c>
      <c r="N14" s="12">
        <f t="shared" si="2"/>
        <v>-1</v>
      </c>
      <c r="O14" s="1">
        <f>VLOOKUP(A:A,MASTER!A:C,3,0)</f>
        <v>1</v>
      </c>
      <c r="P14" s="1">
        <f>VLOOKUP(A:A,MASTER!A:H,8,0)</f>
        <v>0</v>
      </c>
      <c r="Q14" s="12">
        <f t="shared" si="3"/>
        <v>-1</v>
      </c>
      <c r="R14" s="1">
        <f>VLOOKUP(A:A,MASTER!A:B,2,0)</f>
        <v>1479</v>
      </c>
      <c r="S14">
        <f>VLOOKUP(A:A,MASTER!A:G,7,0)</f>
        <v>0</v>
      </c>
      <c r="T14" s="12">
        <f t="shared" si="4"/>
        <v>-1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2729624.23950763</v>
      </c>
      <c r="G15" s="1">
        <f>VLOOKUP(A:A,MASTER!A:K,11,0)</f>
        <v>0</v>
      </c>
      <c r="H15" s="12">
        <f t="shared" si="0"/>
        <v>-1</v>
      </c>
      <c r="I15" s="2">
        <f>VLOOKUP(A:A,MASTER!A:E,5,0)</f>
        <v>859</v>
      </c>
      <c r="J15" s="2">
        <f>VLOOKUP(A:A,MASTER!A:J,10,0)</f>
        <v>0</v>
      </c>
      <c r="K15" s="12">
        <f t="shared" si="1"/>
        <v>-1</v>
      </c>
      <c r="L15" s="2">
        <f>VLOOKUP(A:A,MASTER!A:D,4,0)</f>
        <v>3</v>
      </c>
      <c r="M15" s="2">
        <f>VLOOKUP(A:A,MASTER!A:I,9,0)</f>
        <v>0</v>
      </c>
      <c r="N15" s="12">
        <f t="shared" si="2"/>
        <v>-1</v>
      </c>
      <c r="O15" s="1">
        <f>VLOOKUP(A:A,MASTER!A:C,3,0)</f>
        <v>0</v>
      </c>
      <c r="P15" s="1">
        <f>VLOOKUP(A:A,MASTER!A:H,8,0)</f>
        <v>0</v>
      </c>
      <c r="Q15" s="12">
        <f t="shared" si="3"/>
        <v>0</v>
      </c>
      <c r="R15" s="1">
        <f>VLOOKUP(A:A,MASTER!A:B,2,0)</f>
        <v>1253</v>
      </c>
      <c r="S15">
        <f>VLOOKUP(A:A,MASTER!A:G,7,0)</f>
        <v>0</v>
      </c>
      <c r="T15" s="12">
        <f t="shared" si="4"/>
        <v>-1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1586887.2945363561</v>
      </c>
      <c r="G16" s="1">
        <f>VLOOKUP(A:A,MASTER!A:K,11,0)</f>
        <v>0</v>
      </c>
      <c r="H16" s="12">
        <f t="shared" si="0"/>
        <v>-1</v>
      </c>
      <c r="I16" s="2">
        <f>VLOOKUP(A:A,MASTER!A:E,5,0)</f>
        <v>900</v>
      </c>
      <c r="J16" s="2">
        <f>VLOOKUP(A:A,MASTER!A:J,10,0)</f>
        <v>0</v>
      </c>
      <c r="K16" s="12">
        <f t="shared" si="1"/>
        <v>-1</v>
      </c>
      <c r="L16" s="2">
        <f>VLOOKUP(A:A,MASTER!A:D,4,0)</f>
        <v>4</v>
      </c>
      <c r="M16" s="2">
        <f>VLOOKUP(A:A,MASTER!A:I,9,0)</f>
        <v>0</v>
      </c>
      <c r="N16" s="12">
        <f t="shared" si="2"/>
        <v>-1</v>
      </c>
      <c r="O16" s="1">
        <f>VLOOKUP(A:A,MASTER!A:C,3,0)</f>
        <v>0</v>
      </c>
      <c r="P16" s="1">
        <f>VLOOKUP(A:A,MASTER!A:H,8,0)</f>
        <v>0</v>
      </c>
      <c r="Q16" s="12">
        <f t="shared" si="3"/>
        <v>0</v>
      </c>
      <c r="R16" s="1">
        <f>VLOOKUP(A:A,MASTER!A:B,2,0)</f>
        <v>1034</v>
      </c>
      <c r="S16">
        <f>VLOOKUP(A:A,MASTER!A:G,7,0)</f>
        <v>0</v>
      </c>
      <c r="T16" s="12">
        <f t="shared" si="4"/>
        <v>-1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994390.61679420096</v>
      </c>
      <c r="G17" s="1">
        <f>VLOOKUP(A:A,MASTER!A:K,11,0)</f>
        <v>0</v>
      </c>
      <c r="H17" s="12">
        <f t="shared" si="0"/>
        <v>-1</v>
      </c>
      <c r="I17" s="2">
        <f>VLOOKUP(A:A,MASTER!A:E,5,0)</f>
        <v>500</v>
      </c>
      <c r="J17" s="2">
        <f>VLOOKUP(A:A,MASTER!A:J,10,0)</f>
        <v>0</v>
      </c>
      <c r="K17" s="12">
        <f t="shared" si="1"/>
        <v>-1</v>
      </c>
      <c r="L17" s="2">
        <f>VLOOKUP(A:A,MASTER!A:D,4,0)</f>
        <v>1</v>
      </c>
      <c r="M17" s="2">
        <f>VLOOKUP(A:A,MASTER!A:I,9,0)</f>
        <v>0</v>
      </c>
      <c r="N17" s="12">
        <f t="shared" si="2"/>
        <v>-1</v>
      </c>
      <c r="O17" s="1">
        <f>VLOOKUP(A:A,MASTER!A:C,3,0)</f>
        <v>0</v>
      </c>
      <c r="P17" s="1">
        <f>VLOOKUP(A:A,MASTER!A:H,8,0)</f>
        <v>0</v>
      </c>
      <c r="Q17" s="12">
        <f t="shared" si="3"/>
        <v>0</v>
      </c>
      <c r="R17" s="1">
        <f>VLOOKUP(A:A,MASTER!A:B,2,0)</f>
        <v>924</v>
      </c>
      <c r="S17">
        <f>VLOOKUP(A:A,MASTER!A:G,7,0)</f>
        <v>0</v>
      </c>
      <c r="T17" s="12">
        <f t="shared" si="4"/>
        <v>-1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5057106.6994473161</v>
      </c>
      <c r="G18" s="1">
        <f>VLOOKUP(A:A,MASTER!A:K,11,0)</f>
        <v>0</v>
      </c>
      <c r="H18" s="12">
        <f t="shared" si="0"/>
        <v>-1</v>
      </c>
      <c r="I18" s="2">
        <f>VLOOKUP(A:A,MASTER!A:E,5,0)</f>
        <v>2126</v>
      </c>
      <c r="J18" s="2">
        <f>VLOOKUP(A:A,MASTER!A:J,10,0)</f>
        <v>0</v>
      </c>
      <c r="K18" s="12">
        <f t="shared" si="1"/>
        <v>-1</v>
      </c>
      <c r="L18" s="2">
        <f>VLOOKUP(A:A,MASTER!A:D,4,0)</f>
        <v>7</v>
      </c>
      <c r="M18" s="2">
        <f>VLOOKUP(A:A,MASTER!A:I,9,0)</f>
        <v>0</v>
      </c>
      <c r="N18" s="12">
        <f t="shared" si="2"/>
        <v>-1</v>
      </c>
      <c r="O18" s="1">
        <f>VLOOKUP(A:A,MASTER!A:C,3,0)</f>
        <v>0</v>
      </c>
      <c r="P18" s="1">
        <f>VLOOKUP(A:A,MASTER!A:H,8,0)</f>
        <v>0</v>
      </c>
      <c r="Q18" s="12">
        <f t="shared" si="3"/>
        <v>0</v>
      </c>
      <c r="R18" s="1">
        <f>VLOOKUP(A:A,MASTER!A:B,2,0)</f>
        <v>2868</v>
      </c>
      <c r="S18">
        <f>VLOOKUP(A:A,MASTER!A:G,7,0)</f>
        <v>0</v>
      </c>
      <c r="T18" s="12">
        <f t="shared" si="4"/>
        <v>-1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2898661.7310785181</v>
      </c>
      <c r="G19" s="1">
        <f>VLOOKUP(A:A,MASTER!A:K,11,0)</f>
        <v>0</v>
      </c>
      <c r="H19" s="12">
        <f t="shared" si="0"/>
        <v>-1</v>
      </c>
      <c r="I19" s="2">
        <f>VLOOKUP(A:A,MASTER!A:E,5,0)</f>
        <v>1162</v>
      </c>
      <c r="J19" s="2">
        <f>VLOOKUP(A:A,MASTER!A:J,10,0)</f>
        <v>0</v>
      </c>
      <c r="K19" s="12">
        <f t="shared" si="1"/>
        <v>-1</v>
      </c>
      <c r="L19" s="2">
        <f>VLOOKUP(A:A,MASTER!A:D,4,0)</f>
        <v>2</v>
      </c>
      <c r="M19" s="2">
        <f>VLOOKUP(A:A,MASTER!A:I,9,0)</f>
        <v>0</v>
      </c>
      <c r="N19" s="12">
        <f t="shared" si="2"/>
        <v>-1</v>
      </c>
      <c r="O19" s="1">
        <f>VLOOKUP(A:A,MASTER!A:C,3,0)</f>
        <v>0</v>
      </c>
      <c r="P19" s="1">
        <f>VLOOKUP(A:A,MASTER!A:H,8,0)</f>
        <v>0</v>
      </c>
      <c r="Q19" s="12">
        <f t="shared" si="3"/>
        <v>0</v>
      </c>
      <c r="R19" s="1">
        <f>VLOOKUP(A:A,MASTER!A:B,2,0)</f>
        <v>1414</v>
      </c>
      <c r="S19">
        <f>VLOOKUP(A:A,MASTER!A:G,7,0)</f>
        <v>0</v>
      </c>
      <c r="T19" s="12">
        <f t="shared" si="4"/>
        <v>-1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5316756.0232842062</v>
      </c>
      <c r="G20" s="1">
        <f>VLOOKUP(A:A,MASTER!A:K,11,0)</f>
        <v>0</v>
      </c>
      <c r="H20" s="12">
        <f t="shared" si="0"/>
        <v>-1</v>
      </c>
      <c r="I20" s="2">
        <f>VLOOKUP(A:A,MASTER!A:E,5,0)</f>
        <v>2239</v>
      </c>
      <c r="J20" s="2">
        <f>VLOOKUP(A:A,MASTER!A:J,10,0)</f>
        <v>0</v>
      </c>
      <c r="K20" s="12">
        <f t="shared" si="1"/>
        <v>-1</v>
      </c>
      <c r="L20" s="2">
        <f>VLOOKUP(A:A,MASTER!A:D,4,0)</f>
        <v>10</v>
      </c>
      <c r="M20" s="2">
        <f>VLOOKUP(A:A,MASTER!A:I,9,0)</f>
        <v>0</v>
      </c>
      <c r="N20" s="12">
        <f t="shared" si="2"/>
        <v>-1</v>
      </c>
      <c r="O20" s="1">
        <f>VLOOKUP(A:A,MASTER!A:C,3,0)</f>
        <v>0</v>
      </c>
      <c r="P20" s="1">
        <f>VLOOKUP(A:A,MASTER!A:H,8,0)</f>
        <v>0</v>
      </c>
      <c r="Q20" s="12">
        <f t="shared" si="3"/>
        <v>0</v>
      </c>
      <c r="R20" s="1">
        <f>VLOOKUP(A:A,MASTER!A:B,2,0)</f>
        <v>2960</v>
      </c>
      <c r="S20">
        <f>VLOOKUP(A:A,MASTER!A:G,7,0)</f>
        <v>0</v>
      </c>
      <c r="T20" s="12">
        <f t="shared" si="4"/>
        <v>-1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777070.68205565796</v>
      </c>
      <c r="G21" s="1">
        <f>VLOOKUP(A:A,MASTER!A:K,11,0)</f>
        <v>0</v>
      </c>
      <c r="H21" s="12">
        <f t="shared" si="0"/>
        <v>-1</v>
      </c>
      <c r="I21" s="2">
        <f>VLOOKUP(A:A,MASTER!A:E,5,0)</f>
        <v>456</v>
      </c>
      <c r="J21" s="2">
        <f>VLOOKUP(A:A,MASTER!A:J,10,0)</f>
        <v>0</v>
      </c>
      <c r="K21" s="12">
        <f t="shared" si="1"/>
        <v>-1</v>
      </c>
      <c r="L21" s="2">
        <f>VLOOKUP(A:A,MASTER!A:D,4,0)</f>
        <v>0</v>
      </c>
      <c r="M21" s="2">
        <f>VLOOKUP(A:A,MASTER!A:I,9,0)</f>
        <v>0</v>
      </c>
      <c r="N21" s="12">
        <f t="shared" si="2"/>
        <v>0</v>
      </c>
      <c r="O21" s="1">
        <f>VLOOKUP(A:A,MASTER!A:C,3,0)</f>
        <v>0</v>
      </c>
      <c r="P21" s="1">
        <f>VLOOKUP(A:A,MASTER!A:H,8,0)</f>
        <v>0</v>
      </c>
      <c r="Q21" s="12">
        <f t="shared" si="3"/>
        <v>0</v>
      </c>
      <c r="R21" s="1">
        <f>VLOOKUP(A:A,MASTER!A:B,2,0)</f>
        <v>529</v>
      </c>
      <c r="S21">
        <f>VLOOKUP(A:A,MASTER!A:G,7,0)</f>
        <v>0</v>
      </c>
      <c r="T21" s="12">
        <f t="shared" si="4"/>
        <v>-1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2072701.2037139861</v>
      </c>
      <c r="G22" s="1">
        <f>VLOOKUP(A:A,MASTER!A:K,11,0)</f>
        <v>0</v>
      </c>
      <c r="H22" s="12">
        <f t="shared" si="0"/>
        <v>-1</v>
      </c>
      <c r="I22" s="2">
        <f>VLOOKUP(A:A,MASTER!A:E,5,0)</f>
        <v>1246</v>
      </c>
      <c r="J22" s="2">
        <f>VLOOKUP(A:A,MASTER!A:J,10,0)</f>
        <v>0</v>
      </c>
      <c r="K22" s="12">
        <f t="shared" si="1"/>
        <v>-1</v>
      </c>
      <c r="L22" s="2">
        <f>VLOOKUP(A:A,MASTER!A:D,4,0)</f>
        <v>1</v>
      </c>
      <c r="M22" s="2">
        <f>VLOOKUP(A:A,MASTER!A:I,9,0)</f>
        <v>0</v>
      </c>
      <c r="N22" s="12">
        <f t="shared" si="2"/>
        <v>-1</v>
      </c>
      <c r="O22" s="1">
        <f>VLOOKUP(A:A,MASTER!A:C,3,0)</f>
        <v>0</v>
      </c>
      <c r="P22" s="1">
        <f>VLOOKUP(A:A,MASTER!A:H,8,0)</f>
        <v>0</v>
      </c>
      <c r="Q22" s="12">
        <f t="shared" si="3"/>
        <v>0</v>
      </c>
      <c r="R22" s="1">
        <f>VLOOKUP(A:A,MASTER!A:B,2,0)</f>
        <v>1763</v>
      </c>
      <c r="S22">
        <f>VLOOKUP(A:A,MASTER!A:G,7,0)</f>
        <v>0</v>
      </c>
      <c r="T22" s="12">
        <f t="shared" si="4"/>
        <v>-1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1084655.156536326</v>
      </c>
      <c r="G23" s="1">
        <f>VLOOKUP(A:A,MASTER!A:K,11,0)</f>
        <v>0</v>
      </c>
      <c r="H23" s="12">
        <f t="shared" si="0"/>
        <v>-1</v>
      </c>
      <c r="I23" s="2">
        <f>VLOOKUP(A:A,MASTER!A:E,5,0)</f>
        <v>939</v>
      </c>
      <c r="J23" s="2">
        <f>VLOOKUP(A:A,MASTER!A:J,10,0)</f>
        <v>0</v>
      </c>
      <c r="K23" s="12">
        <f t="shared" si="1"/>
        <v>-1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1</v>
      </c>
      <c r="P23" s="1">
        <f>VLOOKUP(A:A,MASTER!A:H,8,0)</f>
        <v>0</v>
      </c>
      <c r="Q23" s="12">
        <f t="shared" si="3"/>
        <v>-1</v>
      </c>
      <c r="R23" s="1">
        <f>VLOOKUP(A:A,MASTER!A:B,2,0)</f>
        <v>887</v>
      </c>
      <c r="S23">
        <f>VLOOKUP(A:A,MASTER!A:G,7,0)</f>
        <v>0</v>
      </c>
      <c r="T23" s="12">
        <f t="shared" si="4"/>
        <v>-1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1313383.8746008719</v>
      </c>
      <c r="G24" s="1">
        <f>VLOOKUP(A:A,MASTER!A:K,11,0)</f>
        <v>0</v>
      </c>
      <c r="H24" s="12">
        <f t="shared" si="0"/>
        <v>-1</v>
      </c>
      <c r="I24" s="2">
        <f>VLOOKUP(A:A,MASTER!A:E,5,0)</f>
        <v>712</v>
      </c>
      <c r="J24" s="2">
        <f>VLOOKUP(A:A,MASTER!A:J,10,0)</f>
        <v>0</v>
      </c>
      <c r="K24" s="12">
        <f t="shared" si="1"/>
        <v>-1</v>
      </c>
      <c r="L24" s="2">
        <f>VLOOKUP(A:A,MASTER!A:D,4,0)</f>
        <v>0</v>
      </c>
      <c r="M24" s="2">
        <f>VLOOKUP(A:A,MASTER!A:I,9,0)</f>
        <v>0</v>
      </c>
      <c r="N24" s="12">
        <f t="shared" si="2"/>
        <v>0</v>
      </c>
      <c r="O24" s="1">
        <f>VLOOKUP(A:A,MASTER!A:C,3,0)</f>
        <v>0</v>
      </c>
      <c r="P24" s="1">
        <f>VLOOKUP(A:A,MASTER!A:H,8,0)</f>
        <v>0</v>
      </c>
      <c r="Q24" s="12">
        <f t="shared" si="3"/>
        <v>0</v>
      </c>
      <c r="R24" s="1">
        <f>VLOOKUP(A:A,MASTER!A:B,2,0)</f>
        <v>876</v>
      </c>
      <c r="S24">
        <f>VLOOKUP(A:A,MASTER!A:G,7,0)</f>
        <v>0</v>
      </c>
      <c r="T24" s="12">
        <f t="shared" si="4"/>
        <v>-1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258464.70989267601</v>
      </c>
      <c r="G25" s="1">
        <f>VLOOKUP(A:A,MASTER!A:K,11,0)</f>
        <v>0</v>
      </c>
      <c r="H25" s="12">
        <f t="shared" si="0"/>
        <v>-1</v>
      </c>
      <c r="I25" s="2">
        <f>VLOOKUP(A:A,MASTER!A:E,5,0)</f>
        <v>155</v>
      </c>
      <c r="J25" s="2">
        <f>VLOOKUP(A:A,MASTER!A:J,10,0)</f>
        <v>0</v>
      </c>
      <c r="K25" s="12">
        <f t="shared" si="1"/>
        <v>-1</v>
      </c>
      <c r="L25" s="2">
        <f>VLOOKUP(A:A,MASTER!A:D,4,0)</f>
        <v>0</v>
      </c>
      <c r="M25" s="2">
        <f>VLOOKUP(A:A,MASTER!A:I,9,0)</f>
        <v>0</v>
      </c>
      <c r="N25" s="12">
        <f t="shared" si="2"/>
        <v>0</v>
      </c>
      <c r="O25" s="1">
        <f>VLOOKUP(A:A,MASTER!A:C,3,0)</f>
        <v>0</v>
      </c>
      <c r="P25" s="1">
        <f>VLOOKUP(A:A,MASTER!A:H,8,0)</f>
        <v>0</v>
      </c>
      <c r="Q25" s="12">
        <f t="shared" si="3"/>
        <v>0</v>
      </c>
      <c r="R25" s="1">
        <f>VLOOKUP(A:A,MASTER!A:B,2,0)</f>
        <v>242</v>
      </c>
      <c r="S25">
        <f>VLOOKUP(A:A,MASTER!A:G,7,0)</f>
        <v>0</v>
      </c>
      <c r="T25" s="12">
        <f t="shared" si="4"/>
        <v>-1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2178603.1102301362</v>
      </c>
      <c r="G26" s="1">
        <f>VLOOKUP(A:A,MASTER!A:K,11,0)</f>
        <v>0</v>
      </c>
      <c r="H26" s="12">
        <f t="shared" si="0"/>
        <v>-1</v>
      </c>
      <c r="I26" s="2">
        <f>VLOOKUP(A:A,MASTER!A:E,5,0)</f>
        <v>1263</v>
      </c>
      <c r="J26" s="2">
        <f>VLOOKUP(A:A,MASTER!A:J,10,0)</f>
        <v>0</v>
      </c>
      <c r="K26" s="12">
        <f t="shared" si="1"/>
        <v>-1</v>
      </c>
      <c r="L26" s="2">
        <f>VLOOKUP(A:A,MASTER!A:D,4,0)</f>
        <v>5</v>
      </c>
      <c r="M26" s="2">
        <f>VLOOKUP(A:A,MASTER!A:I,9,0)</f>
        <v>0</v>
      </c>
      <c r="N26" s="12">
        <f t="shared" si="2"/>
        <v>-1</v>
      </c>
      <c r="O26" s="1">
        <f>VLOOKUP(A:A,MASTER!A:C,3,0)</f>
        <v>1</v>
      </c>
      <c r="P26" s="1">
        <f>VLOOKUP(A:A,MASTER!A:H,8,0)</f>
        <v>0</v>
      </c>
      <c r="Q26" s="12">
        <f t="shared" si="3"/>
        <v>-1</v>
      </c>
      <c r="R26" s="1">
        <f>VLOOKUP(A:A,MASTER!A:B,2,0)</f>
        <v>1609</v>
      </c>
      <c r="S26">
        <f>VLOOKUP(A:A,MASTER!A:G,7,0)</f>
        <v>0</v>
      </c>
      <c r="T26" s="12">
        <f t="shared" si="4"/>
        <v>-1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1724245.279462755</v>
      </c>
      <c r="G27" s="1">
        <f>VLOOKUP(A:A,MASTER!A:K,11,0)</f>
        <v>0</v>
      </c>
      <c r="H27" s="12">
        <f t="shared" si="0"/>
        <v>-1</v>
      </c>
      <c r="I27" s="2">
        <f>VLOOKUP(A:A,MASTER!A:E,5,0)</f>
        <v>588</v>
      </c>
      <c r="J27" s="2">
        <f>VLOOKUP(A:A,MASTER!A:J,10,0)</f>
        <v>0</v>
      </c>
      <c r="K27" s="12">
        <f t="shared" si="1"/>
        <v>-1</v>
      </c>
      <c r="L27" s="2">
        <f>VLOOKUP(A:A,MASTER!A:D,4,0)</f>
        <v>0</v>
      </c>
      <c r="M27" s="2">
        <f>VLOOKUP(A:A,MASTER!A:I,9,0)</f>
        <v>0</v>
      </c>
      <c r="N27" s="12">
        <f t="shared" si="2"/>
        <v>0</v>
      </c>
      <c r="O27" s="1">
        <f>VLOOKUP(A:A,MASTER!A:C,3,0)</f>
        <v>0</v>
      </c>
      <c r="P27" s="1">
        <f>VLOOKUP(A:A,MASTER!A:H,8,0)</f>
        <v>0</v>
      </c>
      <c r="Q27" s="12">
        <f t="shared" si="3"/>
        <v>0</v>
      </c>
      <c r="R27" s="1">
        <f>VLOOKUP(A:A,MASTER!A:B,2,0)</f>
        <v>876</v>
      </c>
      <c r="S27">
        <f>VLOOKUP(A:A,MASTER!A:G,7,0)</f>
        <v>0</v>
      </c>
      <c r="T27" s="12">
        <f t="shared" si="4"/>
        <v>-1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1734129.6783451431</v>
      </c>
      <c r="G28" s="1">
        <f>VLOOKUP(A:A,MASTER!A:K,11,0)</f>
        <v>0</v>
      </c>
      <c r="H28" s="12">
        <f t="shared" si="0"/>
        <v>-1</v>
      </c>
      <c r="I28" s="2">
        <f>VLOOKUP(A:A,MASTER!A:E,5,0)</f>
        <v>826</v>
      </c>
      <c r="J28" s="2">
        <f>VLOOKUP(A:A,MASTER!A:J,10,0)</f>
        <v>0</v>
      </c>
      <c r="K28" s="12">
        <f t="shared" si="1"/>
        <v>-1</v>
      </c>
      <c r="L28" s="2">
        <f>VLOOKUP(A:A,MASTER!A:D,4,0)</f>
        <v>1</v>
      </c>
      <c r="M28" s="2">
        <f>VLOOKUP(A:A,MASTER!A:I,9,0)</f>
        <v>0</v>
      </c>
      <c r="N28" s="12">
        <f t="shared" si="2"/>
        <v>-1</v>
      </c>
      <c r="O28" s="1">
        <f>VLOOKUP(A:A,MASTER!A:C,3,0)</f>
        <v>1</v>
      </c>
      <c r="P28" s="1">
        <f>VLOOKUP(A:A,MASTER!A:H,8,0)</f>
        <v>0</v>
      </c>
      <c r="Q28" s="12">
        <f t="shared" si="3"/>
        <v>-1</v>
      </c>
      <c r="R28" s="1">
        <f>VLOOKUP(A:A,MASTER!A:B,2,0)</f>
        <v>1063</v>
      </c>
      <c r="S28">
        <f>VLOOKUP(A:A,MASTER!A:G,7,0)</f>
        <v>0</v>
      </c>
      <c r="T28" s="12">
        <f t="shared" si="4"/>
        <v>-1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2407777.5416504992</v>
      </c>
      <c r="G29" s="1">
        <f>VLOOKUP(A:A,MASTER!A:K,11,0)</f>
        <v>0</v>
      </c>
      <c r="H29" s="12">
        <f t="shared" si="0"/>
        <v>-1</v>
      </c>
      <c r="I29" s="2">
        <f>VLOOKUP(A:A,MASTER!A:E,5,0)</f>
        <v>830</v>
      </c>
      <c r="J29" s="2">
        <f>VLOOKUP(A:A,MASTER!A:J,10,0)</f>
        <v>0</v>
      </c>
      <c r="K29" s="12">
        <f t="shared" si="1"/>
        <v>-1</v>
      </c>
      <c r="L29" s="2">
        <f>VLOOKUP(A:A,MASTER!A:D,4,0)</f>
        <v>1</v>
      </c>
      <c r="M29" s="2">
        <f>VLOOKUP(A:A,MASTER!A:I,9,0)</f>
        <v>0</v>
      </c>
      <c r="N29" s="12">
        <f t="shared" si="2"/>
        <v>-1</v>
      </c>
      <c r="O29" s="1">
        <f>VLOOKUP(A:A,MASTER!A:C,3,0)</f>
        <v>0</v>
      </c>
      <c r="P29" s="1">
        <f>VLOOKUP(A:A,MASTER!A:H,8,0)</f>
        <v>0</v>
      </c>
      <c r="Q29" s="12">
        <f t="shared" si="3"/>
        <v>0</v>
      </c>
      <c r="R29" s="1">
        <f>VLOOKUP(A:A,MASTER!A:B,2,0)</f>
        <v>1094</v>
      </c>
      <c r="S29">
        <f>VLOOKUP(A:A,MASTER!A:G,7,0)</f>
        <v>0</v>
      </c>
      <c r="T29" s="12">
        <f t="shared" si="4"/>
        <v>-1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3501667.9966453449</v>
      </c>
      <c r="G30" s="1">
        <f>VLOOKUP(A:A,MASTER!A:K,11,0)</f>
        <v>0</v>
      </c>
      <c r="H30" s="12">
        <f t="shared" si="0"/>
        <v>-1</v>
      </c>
      <c r="I30" s="2">
        <f>VLOOKUP(A:A,MASTER!A:E,5,0)</f>
        <v>1080</v>
      </c>
      <c r="J30" s="2">
        <f>VLOOKUP(A:A,MASTER!A:J,10,0)</f>
        <v>0</v>
      </c>
      <c r="K30" s="12">
        <f t="shared" si="1"/>
        <v>-1</v>
      </c>
      <c r="L30" s="2">
        <f>VLOOKUP(A:A,MASTER!A:D,4,0)</f>
        <v>5</v>
      </c>
      <c r="M30" s="2">
        <f>VLOOKUP(A:A,MASTER!A:I,9,0)</f>
        <v>0</v>
      </c>
      <c r="N30" s="12">
        <f t="shared" si="2"/>
        <v>-1</v>
      </c>
      <c r="O30" s="1">
        <f>VLOOKUP(A:A,MASTER!A:C,3,0)</f>
        <v>0</v>
      </c>
      <c r="P30" s="1">
        <f>VLOOKUP(A:A,MASTER!A:H,8,0)</f>
        <v>0</v>
      </c>
      <c r="Q30" s="12">
        <f t="shared" si="3"/>
        <v>0</v>
      </c>
      <c r="R30" s="1">
        <f>VLOOKUP(A:A,MASTER!A:B,2,0)</f>
        <v>1459</v>
      </c>
      <c r="S30">
        <f>VLOOKUP(A:A,MASTER!A:G,7,0)</f>
        <v>0</v>
      </c>
      <c r="T30" s="12">
        <f t="shared" si="4"/>
        <v>-1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1316339.75073881</v>
      </c>
      <c r="G31" s="1">
        <f>VLOOKUP(A:A,MASTER!A:K,11,0)</f>
        <v>0</v>
      </c>
      <c r="H31" s="12">
        <f t="shared" si="0"/>
        <v>-1</v>
      </c>
      <c r="I31" s="2">
        <f>VLOOKUP(A:A,MASTER!A:E,5,0)</f>
        <v>518</v>
      </c>
      <c r="J31" s="2">
        <f>VLOOKUP(A:A,MASTER!A:J,10,0)</f>
        <v>0</v>
      </c>
      <c r="K31" s="12">
        <f t="shared" si="1"/>
        <v>-1</v>
      </c>
      <c r="L31" s="2">
        <f>VLOOKUP(A:A,MASTER!A:D,4,0)</f>
        <v>4</v>
      </c>
      <c r="M31" s="2">
        <f>VLOOKUP(A:A,MASTER!A:I,9,0)</f>
        <v>0</v>
      </c>
      <c r="N31" s="12">
        <f t="shared" si="2"/>
        <v>-1</v>
      </c>
      <c r="O31" s="1">
        <f>VLOOKUP(A:A,MASTER!A:C,3,0)</f>
        <v>0</v>
      </c>
      <c r="P31" s="1">
        <f>VLOOKUP(A:A,MASTER!A:H,8,0)</f>
        <v>0</v>
      </c>
      <c r="Q31" s="12">
        <f t="shared" si="3"/>
        <v>0</v>
      </c>
      <c r="R31" s="1">
        <f>VLOOKUP(A:A,MASTER!A:B,2,0)</f>
        <v>687</v>
      </c>
      <c r="S31">
        <f>VLOOKUP(A:A,MASTER!A:G,7,0)</f>
        <v>0</v>
      </c>
      <c r="T31" s="12">
        <f t="shared" si="4"/>
        <v>-1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4155396.447544747</v>
      </c>
      <c r="G32" s="1">
        <f>VLOOKUP(A:A,MASTER!A:K,11,0)</f>
        <v>0</v>
      </c>
      <c r="H32" s="12">
        <f t="shared" si="0"/>
        <v>-1</v>
      </c>
      <c r="I32" s="2">
        <f>VLOOKUP(A:A,MASTER!A:E,5,0)</f>
        <v>1604</v>
      </c>
      <c r="J32" s="2">
        <f>VLOOKUP(A:A,MASTER!A:J,10,0)</f>
        <v>0</v>
      </c>
      <c r="K32" s="12">
        <f t="shared" si="1"/>
        <v>-1</v>
      </c>
      <c r="L32" s="2">
        <f>VLOOKUP(A:A,MASTER!A:D,4,0)</f>
        <v>10</v>
      </c>
      <c r="M32" s="2">
        <f>VLOOKUP(A:A,MASTER!A:I,9,0)</f>
        <v>0</v>
      </c>
      <c r="N32" s="12">
        <f t="shared" si="2"/>
        <v>-1</v>
      </c>
      <c r="O32" s="1">
        <f>VLOOKUP(A:A,MASTER!A:C,3,0)</f>
        <v>1</v>
      </c>
      <c r="P32" s="1">
        <f>VLOOKUP(A:A,MASTER!A:H,8,0)</f>
        <v>0</v>
      </c>
      <c r="Q32" s="12">
        <f t="shared" si="3"/>
        <v>-1</v>
      </c>
      <c r="R32" s="1">
        <f>VLOOKUP(A:A,MASTER!A:B,2,0)</f>
        <v>1954</v>
      </c>
      <c r="S32">
        <f>VLOOKUP(A:A,MASTER!A:G,7,0)</f>
        <v>0</v>
      </c>
      <c r="T32" s="12">
        <f t="shared" si="4"/>
        <v>-1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1439119.66207845</v>
      </c>
      <c r="G33" s="1">
        <f>VLOOKUP(A:A,MASTER!A:K,11,0)</f>
        <v>0</v>
      </c>
      <c r="H33" s="12">
        <f t="shared" si="0"/>
        <v>-1</v>
      </c>
      <c r="I33" s="2">
        <f>VLOOKUP(A:A,MASTER!A:E,5,0)</f>
        <v>680</v>
      </c>
      <c r="J33" s="2">
        <f>VLOOKUP(A:A,MASTER!A:J,10,0)</f>
        <v>0</v>
      </c>
      <c r="K33" s="12">
        <f t="shared" si="1"/>
        <v>-1</v>
      </c>
      <c r="L33" s="2">
        <f>VLOOKUP(A:A,MASTER!A:D,4,0)</f>
        <v>0</v>
      </c>
      <c r="M33" s="2">
        <f>VLOOKUP(A:A,MASTER!A:I,9,0)</f>
        <v>0</v>
      </c>
      <c r="N33" s="12">
        <f t="shared" si="2"/>
        <v>0</v>
      </c>
      <c r="O33" s="1">
        <f>VLOOKUP(A:A,MASTER!A:C,3,0)</f>
        <v>0</v>
      </c>
      <c r="P33" s="1">
        <f>VLOOKUP(A:A,MASTER!A:H,8,0)</f>
        <v>0</v>
      </c>
      <c r="Q33" s="12">
        <f t="shared" si="3"/>
        <v>0</v>
      </c>
      <c r="R33" s="1">
        <f>VLOOKUP(A:A,MASTER!A:B,2,0)</f>
        <v>837</v>
      </c>
      <c r="S33">
        <f>VLOOKUP(A:A,MASTER!A:G,7,0)</f>
        <v>0</v>
      </c>
      <c r="T33" s="12">
        <f t="shared" si="4"/>
        <v>-1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1346009.8774035301</v>
      </c>
      <c r="G34" s="1">
        <f>VLOOKUP(A:A,MASTER!A:K,11,0)</f>
        <v>0</v>
      </c>
      <c r="H34" s="12">
        <f t="shared" si="0"/>
        <v>-1</v>
      </c>
      <c r="I34" s="2">
        <f>VLOOKUP(A:A,MASTER!A:E,5,0)</f>
        <v>559</v>
      </c>
      <c r="J34" s="2">
        <f>VLOOKUP(A:A,MASTER!A:J,10,0)</f>
        <v>0</v>
      </c>
      <c r="K34" s="12">
        <f t="shared" si="1"/>
        <v>-1</v>
      </c>
      <c r="L34" s="2">
        <f>VLOOKUP(A:A,MASTER!A:D,4,0)</f>
        <v>1</v>
      </c>
      <c r="M34" s="2">
        <f>VLOOKUP(A:A,MASTER!A:I,9,0)</f>
        <v>0</v>
      </c>
      <c r="N34" s="12">
        <f t="shared" si="2"/>
        <v>-1</v>
      </c>
      <c r="O34" s="1">
        <f>VLOOKUP(A:A,MASTER!A:C,3,0)</f>
        <v>0</v>
      </c>
      <c r="P34" s="1">
        <f>VLOOKUP(A:A,MASTER!A:H,8,0)</f>
        <v>0</v>
      </c>
      <c r="Q34" s="12">
        <f t="shared" si="3"/>
        <v>0</v>
      </c>
      <c r="R34" s="1">
        <f>VLOOKUP(A:A,MASTER!A:B,2,0)</f>
        <v>714</v>
      </c>
      <c r="S34">
        <f>VLOOKUP(A:A,MASTER!A:G,7,0)</f>
        <v>0</v>
      </c>
      <c r="T34" s="12">
        <f t="shared" si="4"/>
        <v>-1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2060747.5662985251</v>
      </c>
      <c r="G35" s="1">
        <f>VLOOKUP(A:A,MASTER!A:K,11,0)</f>
        <v>0</v>
      </c>
      <c r="H35" s="12">
        <f t="shared" si="0"/>
        <v>-1</v>
      </c>
      <c r="I35" s="2">
        <f>VLOOKUP(A:A,MASTER!A:E,5,0)</f>
        <v>819</v>
      </c>
      <c r="J35" s="2">
        <f>VLOOKUP(A:A,MASTER!A:J,10,0)</f>
        <v>0</v>
      </c>
      <c r="K35" s="12">
        <f t="shared" si="1"/>
        <v>-1</v>
      </c>
      <c r="L35" s="2">
        <f>VLOOKUP(A:A,MASTER!A:D,4,0)</f>
        <v>1</v>
      </c>
      <c r="M35" s="2">
        <f>VLOOKUP(A:A,MASTER!A:I,9,0)</f>
        <v>0</v>
      </c>
      <c r="N35" s="12">
        <f t="shared" si="2"/>
        <v>-1</v>
      </c>
      <c r="O35" s="1">
        <f>VLOOKUP(A:A,MASTER!A:C,3,0)</f>
        <v>0</v>
      </c>
      <c r="P35" s="1">
        <f>VLOOKUP(A:A,MASTER!A:H,8,0)</f>
        <v>0</v>
      </c>
      <c r="Q35" s="12">
        <f t="shared" si="3"/>
        <v>0</v>
      </c>
      <c r="R35" s="1">
        <f>VLOOKUP(A:A,MASTER!A:B,2,0)</f>
        <v>1180</v>
      </c>
      <c r="S35">
        <f>VLOOKUP(A:A,MASTER!A:G,7,0)</f>
        <v>0</v>
      </c>
      <c r="T35" s="12">
        <f t="shared" si="4"/>
        <v>-1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1840936.3527239191</v>
      </c>
      <c r="G36" s="1">
        <f>VLOOKUP(A:A,MASTER!A:K,11,0)</f>
        <v>0</v>
      </c>
      <c r="H36" s="12">
        <f t="shared" si="0"/>
        <v>-1</v>
      </c>
      <c r="I36" s="2">
        <f>VLOOKUP(A:A,MASTER!A:E,5,0)</f>
        <v>799</v>
      </c>
      <c r="J36" s="2">
        <f>VLOOKUP(A:A,MASTER!A:J,10,0)</f>
        <v>0</v>
      </c>
      <c r="K36" s="12">
        <f t="shared" si="1"/>
        <v>-1</v>
      </c>
      <c r="L36" s="2">
        <f>VLOOKUP(A:A,MASTER!A:D,4,0)</f>
        <v>1</v>
      </c>
      <c r="M36" s="2">
        <f>VLOOKUP(A:A,MASTER!A:I,9,0)</f>
        <v>0</v>
      </c>
      <c r="N36" s="12">
        <f t="shared" si="2"/>
        <v>-1</v>
      </c>
      <c r="O36" s="1">
        <f>VLOOKUP(A:A,MASTER!A:C,3,0)</f>
        <v>0</v>
      </c>
      <c r="P36" s="1">
        <f>VLOOKUP(A:A,MASTER!A:H,8,0)</f>
        <v>0</v>
      </c>
      <c r="Q36" s="12">
        <f t="shared" si="3"/>
        <v>0</v>
      </c>
      <c r="R36" s="1">
        <f>VLOOKUP(A:A,MASTER!A:B,2,0)</f>
        <v>1325</v>
      </c>
      <c r="S36">
        <f>VLOOKUP(A:A,MASTER!A:G,7,0)</f>
        <v>0</v>
      </c>
      <c r="T36" s="12">
        <f t="shared" si="4"/>
        <v>-1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3366774.179034201</v>
      </c>
      <c r="G37" s="1">
        <f>VLOOKUP(A:A,MASTER!A:K,11,0)</f>
        <v>0</v>
      </c>
      <c r="H37" s="12">
        <f t="shared" si="0"/>
        <v>-1</v>
      </c>
      <c r="I37" s="2">
        <f>VLOOKUP(A:A,MASTER!A:E,5,0)</f>
        <v>1509</v>
      </c>
      <c r="J37" s="2">
        <f>VLOOKUP(A:A,MASTER!A:J,10,0)</f>
        <v>0</v>
      </c>
      <c r="K37" s="12">
        <f t="shared" si="1"/>
        <v>-1</v>
      </c>
      <c r="L37" s="2">
        <f>VLOOKUP(A:A,MASTER!A:D,4,0)</f>
        <v>3</v>
      </c>
      <c r="M37" s="2">
        <f>VLOOKUP(A:A,MASTER!A:I,9,0)</f>
        <v>0</v>
      </c>
      <c r="N37" s="12">
        <f t="shared" si="2"/>
        <v>-1</v>
      </c>
      <c r="O37" s="1">
        <f>VLOOKUP(A:A,MASTER!A:C,3,0)</f>
        <v>1</v>
      </c>
      <c r="P37" s="1">
        <f>VLOOKUP(A:A,MASTER!A:H,8,0)</f>
        <v>0</v>
      </c>
      <c r="Q37" s="12">
        <f t="shared" si="3"/>
        <v>-1</v>
      </c>
      <c r="R37" s="1">
        <f>VLOOKUP(A:A,MASTER!A:B,2,0)</f>
        <v>2602</v>
      </c>
      <c r="S37">
        <f>VLOOKUP(A:A,MASTER!A:G,7,0)</f>
        <v>0</v>
      </c>
      <c r="T37" s="12">
        <f t="shared" si="4"/>
        <v>-1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1209305.970163479</v>
      </c>
      <c r="G38" s="1">
        <f>VLOOKUP(A:A,MASTER!A:K,11,0)</f>
        <v>0</v>
      </c>
      <c r="H38" s="12">
        <f t="shared" si="0"/>
        <v>-1</v>
      </c>
      <c r="I38" s="2">
        <f>VLOOKUP(A:A,MASTER!A:E,5,0)</f>
        <v>435</v>
      </c>
      <c r="J38" s="2">
        <f>VLOOKUP(A:A,MASTER!A:J,10,0)</f>
        <v>0</v>
      </c>
      <c r="K38" s="12">
        <f t="shared" si="1"/>
        <v>-1</v>
      </c>
      <c r="L38" s="2">
        <f>VLOOKUP(A:A,MASTER!A:D,4,0)</f>
        <v>5</v>
      </c>
      <c r="M38" s="2">
        <f>VLOOKUP(A:A,MASTER!A:I,9,0)</f>
        <v>0</v>
      </c>
      <c r="N38" s="12">
        <f t="shared" si="2"/>
        <v>-1</v>
      </c>
      <c r="O38" s="1">
        <f>VLOOKUP(A:A,MASTER!A:C,3,0)</f>
        <v>0</v>
      </c>
      <c r="P38" s="1">
        <f>VLOOKUP(A:A,MASTER!A:H,8,0)</f>
        <v>0</v>
      </c>
      <c r="Q38" s="12">
        <f t="shared" si="3"/>
        <v>0</v>
      </c>
      <c r="R38" s="1">
        <f>VLOOKUP(A:A,MASTER!A:B,2,0)</f>
        <v>606</v>
      </c>
      <c r="S38">
        <f>VLOOKUP(A:A,MASTER!A:G,7,0)</f>
        <v>0</v>
      </c>
      <c r="T38" s="12">
        <f t="shared" si="4"/>
        <v>-1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4278464.3482154487</v>
      </c>
      <c r="G39" s="1">
        <f>VLOOKUP(A:A,MASTER!A:K,11,0)</f>
        <v>0</v>
      </c>
      <c r="H39" s="12">
        <f t="shared" si="0"/>
        <v>-1</v>
      </c>
      <c r="I39" s="2">
        <f>VLOOKUP(A:A,MASTER!A:E,5,0)</f>
        <v>1972</v>
      </c>
      <c r="J39" s="2">
        <f>VLOOKUP(A:A,MASTER!A:J,10,0)</f>
        <v>0</v>
      </c>
      <c r="K39" s="12">
        <f t="shared" si="1"/>
        <v>-1</v>
      </c>
      <c r="L39" s="2">
        <f>VLOOKUP(A:A,MASTER!A:D,4,0)</f>
        <v>6</v>
      </c>
      <c r="M39" s="2">
        <f>VLOOKUP(A:A,MASTER!A:I,9,0)</f>
        <v>0</v>
      </c>
      <c r="N39" s="12">
        <f t="shared" si="2"/>
        <v>-1</v>
      </c>
      <c r="O39" s="1">
        <f>VLOOKUP(A:A,MASTER!A:C,3,0)</f>
        <v>1</v>
      </c>
      <c r="P39" s="1">
        <f>VLOOKUP(A:A,MASTER!A:H,8,0)</f>
        <v>0</v>
      </c>
      <c r="Q39" s="12">
        <f t="shared" si="3"/>
        <v>-1</v>
      </c>
      <c r="R39" s="1">
        <f>VLOOKUP(A:A,MASTER!A:B,2,0)</f>
        <v>2052</v>
      </c>
      <c r="S39">
        <f>VLOOKUP(A:A,MASTER!A:G,7,0)</f>
        <v>0</v>
      </c>
      <c r="T39" s="12">
        <f t="shared" si="4"/>
        <v>-1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2774714.3506167838</v>
      </c>
      <c r="G40" s="1">
        <f>VLOOKUP(A:A,MASTER!A:K,11,0)</f>
        <v>0</v>
      </c>
      <c r="H40" s="12">
        <f t="shared" si="0"/>
        <v>-1</v>
      </c>
      <c r="I40" s="2">
        <f>VLOOKUP(A:A,MASTER!A:E,5,0)</f>
        <v>726</v>
      </c>
      <c r="J40" s="2">
        <f>VLOOKUP(A:A,MASTER!A:J,10,0)</f>
        <v>0</v>
      </c>
      <c r="K40" s="12">
        <f t="shared" si="1"/>
        <v>-1</v>
      </c>
      <c r="L40" s="2">
        <f>VLOOKUP(A:A,MASTER!A:D,4,0)</f>
        <v>2</v>
      </c>
      <c r="M40" s="2">
        <f>VLOOKUP(A:A,MASTER!A:I,9,0)</f>
        <v>0</v>
      </c>
      <c r="N40" s="12">
        <f t="shared" si="2"/>
        <v>-1</v>
      </c>
      <c r="O40" s="1">
        <f>VLOOKUP(A:A,MASTER!A:C,3,0)</f>
        <v>0</v>
      </c>
      <c r="P40" s="1">
        <f>VLOOKUP(A:A,MASTER!A:H,8,0)</f>
        <v>0</v>
      </c>
      <c r="Q40" s="12">
        <f t="shared" si="3"/>
        <v>0</v>
      </c>
      <c r="R40" s="1">
        <f>VLOOKUP(A:A,MASTER!A:B,2,0)</f>
        <v>892</v>
      </c>
      <c r="S40">
        <f>VLOOKUP(A:A,MASTER!A:G,7,0)</f>
        <v>0</v>
      </c>
      <c r="T40" s="12">
        <f t="shared" si="4"/>
        <v>-1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1731092.5885053079</v>
      </c>
      <c r="G41" s="1">
        <f>VLOOKUP(A:A,MASTER!A:K,11,0)</f>
        <v>0</v>
      </c>
      <c r="H41" s="12">
        <f t="shared" si="0"/>
        <v>-1</v>
      </c>
      <c r="I41" s="2">
        <f>VLOOKUP(A:A,MASTER!A:E,5,0)</f>
        <v>972</v>
      </c>
      <c r="J41" s="2">
        <f>VLOOKUP(A:A,MASTER!A:J,10,0)</f>
        <v>0</v>
      </c>
      <c r="K41" s="12">
        <f t="shared" si="1"/>
        <v>-1</v>
      </c>
      <c r="L41" s="2">
        <f>VLOOKUP(A:A,MASTER!A:D,4,0)</f>
        <v>5</v>
      </c>
      <c r="M41" s="2">
        <f>VLOOKUP(A:A,MASTER!A:I,9,0)</f>
        <v>0</v>
      </c>
      <c r="N41" s="12">
        <f t="shared" si="2"/>
        <v>-1</v>
      </c>
      <c r="O41" s="1">
        <f>VLOOKUP(A:A,MASTER!A:C,3,0)</f>
        <v>0</v>
      </c>
      <c r="P41" s="1">
        <f>VLOOKUP(A:A,MASTER!A:H,8,0)</f>
        <v>0</v>
      </c>
      <c r="Q41" s="12">
        <f t="shared" si="3"/>
        <v>0</v>
      </c>
      <c r="R41" s="1">
        <f>VLOOKUP(A:A,MASTER!A:B,2,0)</f>
        <v>1115</v>
      </c>
      <c r="S41">
        <f>VLOOKUP(A:A,MASTER!A:G,7,0)</f>
        <v>0</v>
      </c>
      <c r="T41" s="12">
        <f t="shared" si="4"/>
        <v>-1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2169368.0810964699</v>
      </c>
      <c r="G42" s="1">
        <f>VLOOKUP(A:A,MASTER!A:K,11,0)</f>
        <v>0</v>
      </c>
      <c r="H42" s="12">
        <f t="shared" si="0"/>
        <v>-1</v>
      </c>
      <c r="I42" s="2">
        <f>VLOOKUP(A:A,MASTER!A:E,5,0)</f>
        <v>612</v>
      </c>
      <c r="J42" s="2">
        <f>VLOOKUP(A:A,MASTER!A:J,10,0)</f>
        <v>0</v>
      </c>
      <c r="K42" s="12">
        <f t="shared" si="1"/>
        <v>-1</v>
      </c>
      <c r="L42" s="2">
        <f>VLOOKUP(A:A,MASTER!A:D,4,0)</f>
        <v>4</v>
      </c>
      <c r="M42" s="2">
        <f>VLOOKUP(A:A,MASTER!A:I,9,0)</f>
        <v>0</v>
      </c>
      <c r="N42" s="12">
        <f t="shared" si="2"/>
        <v>-1</v>
      </c>
      <c r="O42" s="1">
        <f>VLOOKUP(A:A,MASTER!A:C,3,0)</f>
        <v>0</v>
      </c>
      <c r="P42" s="1">
        <f>VLOOKUP(A:A,MASTER!A:H,8,0)</f>
        <v>0</v>
      </c>
      <c r="Q42" s="12">
        <f t="shared" si="3"/>
        <v>0</v>
      </c>
      <c r="R42" s="1">
        <f>VLOOKUP(A:A,MASTER!A:B,2,0)</f>
        <v>831</v>
      </c>
      <c r="S42">
        <f>VLOOKUP(A:A,MASTER!A:G,7,0)</f>
        <v>0</v>
      </c>
      <c r="T42" s="12">
        <f t="shared" si="4"/>
        <v>-1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1501647.8344148649</v>
      </c>
      <c r="G43" s="1">
        <f>VLOOKUP(A:A,MASTER!A:K,11,0)</f>
        <v>0</v>
      </c>
      <c r="H43" s="12">
        <f t="shared" si="0"/>
        <v>-1</v>
      </c>
      <c r="I43" s="2">
        <f>VLOOKUP(A:A,MASTER!A:E,5,0)</f>
        <v>850</v>
      </c>
      <c r="J43" s="2">
        <f>VLOOKUP(A:A,MASTER!A:J,10,0)</f>
        <v>0</v>
      </c>
      <c r="K43" s="12">
        <f t="shared" si="1"/>
        <v>-1</v>
      </c>
      <c r="L43" s="2">
        <f>VLOOKUP(A:A,MASTER!A:D,4,0)</f>
        <v>9</v>
      </c>
      <c r="M43" s="2">
        <f>VLOOKUP(A:A,MASTER!A:I,9,0)</f>
        <v>0</v>
      </c>
      <c r="N43" s="12">
        <f t="shared" si="2"/>
        <v>-1</v>
      </c>
      <c r="O43" s="1">
        <f>VLOOKUP(A:A,MASTER!A:C,3,0)</f>
        <v>0</v>
      </c>
      <c r="P43" s="1">
        <f>VLOOKUP(A:A,MASTER!A:H,8,0)</f>
        <v>0</v>
      </c>
      <c r="Q43" s="12">
        <f t="shared" si="3"/>
        <v>0</v>
      </c>
      <c r="R43" s="1">
        <f>VLOOKUP(A:A,MASTER!A:B,2,0)</f>
        <v>674</v>
      </c>
      <c r="S43">
        <f>VLOOKUP(A:A,MASTER!A:G,7,0)</f>
        <v>0</v>
      </c>
      <c r="T43" s="12">
        <f t="shared" si="4"/>
        <v>-1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1214565.207749011</v>
      </c>
      <c r="G44" s="1">
        <f>VLOOKUP(A:A,MASTER!A:K,11,0)</f>
        <v>0</v>
      </c>
      <c r="H44" s="12">
        <f t="shared" si="0"/>
        <v>-1</v>
      </c>
      <c r="I44" s="2">
        <f>VLOOKUP(A:A,MASTER!A:E,5,0)</f>
        <v>689</v>
      </c>
      <c r="J44" s="2">
        <f>VLOOKUP(A:A,MASTER!A:J,10,0)</f>
        <v>0</v>
      </c>
      <c r="K44" s="12">
        <f t="shared" si="1"/>
        <v>-1</v>
      </c>
      <c r="L44" s="2">
        <f>VLOOKUP(A:A,MASTER!A:D,4,0)</f>
        <v>0</v>
      </c>
      <c r="M44" s="2">
        <f>VLOOKUP(A:A,MASTER!A:I,9,0)</f>
        <v>0</v>
      </c>
      <c r="N44" s="12">
        <f t="shared" si="2"/>
        <v>0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692</v>
      </c>
      <c r="S44">
        <f>VLOOKUP(A:A,MASTER!A:G,7,0)</f>
        <v>0</v>
      </c>
      <c r="T44" s="12">
        <f t="shared" si="4"/>
        <v>-1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3797102.8675774592</v>
      </c>
      <c r="G45" s="1">
        <f>VLOOKUP(A:A,MASTER!A:K,11,0)</f>
        <v>0</v>
      </c>
      <c r="H45" s="12">
        <f t="shared" si="0"/>
        <v>-1</v>
      </c>
      <c r="I45" s="2">
        <f>VLOOKUP(A:A,MASTER!A:E,5,0)</f>
        <v>1057</v>
      </c>
      <c r="J45" s="2">
        <f>VLOOKUP(A:A,MASTER!A:J,10,0)</f>
        <v>0</v>
      </c>
      <c r="K45" s="12">
        <f t="shared" si="1"/>
        <v>-1</v>
      </c>
      <c r="L45" s="2">
        <f>VLOOKUP(A:A,MASTER!A:D,4,0)</f>
        <v>5</v>
      </c>
      <c r="M45" s="2">
        <f>VLOOKUP(A:A,MASTER!A:I,9,0)</f>
        <v>0</v>
      </c>
      <c r="N45" s="12">
        <f t="shared" si="2"/>
        <v>-1</v>
      </c>
      <c r="O45" s="1">
        <f>VLOOKUP(A:A,MASTER!A:C,3,0)</f>
        <v>0</v>
      </c>
      <c r="P45" s="1">
        <f>VLOOKUP(A:A,MASTER!A:H,8,0)</f>
        <v>0</v>
      </c>
      <c r="Q45" s="12">
        <f t="shared" si="3"/>
        <v>0</v>
      </c>
      <c r="R45" s="1">
        <f>VLOOKUP(A:A,MASTER!A:B,2,0)</f>
        <v>1244</v>
      </c>
      <c r="S45">
        <f>VLOOKUP(A:A,MASTER!A:G,7,0)</f>
        <v>0</v>
      </c>
      <c r="T45" s="12">
        <f t="shared" si="4"/>
        <v>-1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1783241.8434522089</v>
      </c>
      <c r="G46" s="1">
        <f>VLOOKUP(A:A,MASTER!A:K,11,0)</f>
        <v>0</v>
      </c>
      <c r="H46" s="12">
        <f t="shared" si="0"/>
        <v>-1</v>
      </c>
      <c r="I46" s="2">
        <f>VLOOKUP(A:A,MASTER!A:E,5,0)</f>
        <v>936</v>
      </c>
      <c r="J46" s="2">
        <f>VLOOKUP(A:A,MASTER!A:J,10,0)</f>
        <v>0</v>
      </c>
      <c r="K46" s="12">
        <f t="shared" si="1"/>
        <v>-1</v>
      </c>
      <c r="L46" s="2">
        <f>VLOOKUP(A:A,MASTER!A:D,4,0)</f>
        <v>5</v>
      </c>
      <c r="M46" s="2">
        <f>VLOOKUP(A:A,MASTER!A:I,9,0)</f>
        <v>0</v>
      </c>
      <c r="N46" s="12">
        <f t="shared" si="2"/>
        <v>-1</v>
      </c>
      <c r="O46" s="1">
        <f>VLOOKUP(A:A,MASTER!A:C,3,0)</f>
        <v>0</v>
      </c>
      <c r="P46" s="1">
        <f>VLOOKUP(A:A,MASTER!A:H,8,0)</f>
        <v>0</v>
      </c>
      <c r="Q46" s="12">
        <f t="shared" si="3"/>
        <v>0</v>
      </c>
      <c r="R46" s="1">
        <f>VLOOKUP(A:A,MASTER!A:B,2,0)</f>
        <v>903</v>
      </c>
      <c r="S46">
        <f>VLOOKUP(A:A,MASTER!A:G,7,0)</f>
        <v>0</v>
      </c>
      <c r="T46" s="12">
        <f t="shared" si="4"/>
        <v>-1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3027734.7848902522</v>
      </c>
      <c r="G47" s="1">
        <f>VLOOKUP(A:A,MASTER!A:K,11,0)</f>
        <v>0</v>
      </c>
      <c r="H47" s="12">
        <f t="shared" si="0"/>
        <v>-1</v>
      </c>
      <c r="I47" s="2">
        <f>VLOOKUP(A:A,MASTER!A:E,5,0)</f>
        <v>998</v>
      </c>
      <c r="J47" s="2">
        <f>VLOOKUP(A:A,MASTER!A:J,10,0)</f>
        <v>0</v>
      </c>
      <c r="K47" s="12">
        <f t="shared" si="1"/>
        <v>-1</v>
      </c>
      <c r="L47" s="2">
        <f>VLOOKUP(A:A,MASTER!A:D,4,0)</f>
        <v>12</v>
      </c>
      <c r="M47" s="2">
        <f>VLOOKUP(A:A,MASTER!A:I,9,0)</f>
        <v>0</v>
      </c>
      <c r="N47" s="12">
        <f t="shared" si="2"/>
        <v>-1</v>
      </c>
      <c r="O47" s="1">
        <f>VLOOKUP(A:A,MASTER!A:C,3,0)</f>
        <v>0</v>
      </c>
      <c r="P47" s="1">
        <f>VLOOKUP(A:A,MASTER!A:H,8,0)</f>
        <v>0</v>
      </c>
      <c r="Q47" s="12">
        <f t="shared" si="3"/>
        <v>0</v>
      </c>
      <c r="R47" s="1">
        <f>VLOOKUP(A:A,MASTER!A:B,2,0)</f>
        <v>1326</v>
      </c>
      <c r="S47">
        <f>VLOOKUP(A:A,MASTER!A:G,7,0)</f>
        <v>0</v>
      </c>
      <c r="T47" s="12">
        <f t="shared" si="4"/>
        <v>-1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1729759.588256903</v>
      </c>
      <c r="G48" s="1">
        <f>VLOOKUP(A:A,MASTER!A:K,11,0)</f>
        <v>0</v>
      </c>
      <c r="H48" s="12">
        <f t="shared" si="0"/>
        <v>-1</v>
      </c>
      <c r="I48" s="2">
        <f>VLOOKUP(A:A,MASTER!A:E,5,0)</f>
        <v>370</v>
      </c>
      <c r="J48" s="2">
        <f>VLOOKUP(A:A,MASTER!A:J,10,0)</f>
        <v>0</v>
      </c>
      <c r="K48" s="12">
        <f t="shared" si="1"/>
        <v>-1</v>
      </c>
      <c r="L48" s="2">
        <f>VLOOKUP(A:A,MASTER!A:D,4,0)</f>
        <v>4</v>
      </c>
      <c r="M48" s="2">
        <f>VLOOKUP(A:A,MASTER!A:I,9,0)</f>
        <v>0</v>
      </c>
      <c r="N48" s="12">
        <f t="shared" si="2"/>
        <v>-1</v>
      </c>
      <c r="O48" s="1">
        <f>VLOOKUP(A:A,MASTER!A:C,3,0)</f>
        <v>0</v>
      </c>
      <c r="P48" s="1">
        <f>VLOOKUP(A:A,MASTER!A:H,8,0)</f>
        <v>0</v>
      </c>
      <c r="Q48" s="12">
        <f t="shared" si="3"/>
        <v>0</v>
      </c>
      <c r="R48" s="1">
        <f>VLOOKUP(A:A,MASTER!A:B,2,0)</f>
        <v>476</v>
      </c>
      <c r="S48">
        <f>VLOOKUP(A:A,MASTER!A:G,7,0)</f>
        <v>0</v>
      </c>
      <c r="T48" s="12">
        <f t="shared" si="4"/>
        <v>-1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1393741.4557678441</v>
      </c>
      <c r="G49" s="1">
        <f>VLOOKUP(A:A,MASTER!A:K,11,0)</f>
        <v>0</v>
      </c>
      <c r="H49" s="12">
        <f t="shared" si="0"/>
        <v>-1</v>
      </c>
      <c r="I49" s="2">
        <f>VLOOKUP(A:A,MASTER!A:E,5,0)</f>
        <v>349</v>
      </c>
      <c r="J49" s="2">
        <f>VLOOKUP(A:A,MASTER!A:J,10,0)</f>
        <v>0</v>
      </c>
      <c r="K49" s="12">
        <f t="shared" si="1"/>
        <v>-1</v>
      </c>
      <c r="L49" s="2">
        <f>VLOOKUP(A:A,MASTER!A:D,4,0)</f>
        <v>6</v>
      </c>
      <c r="M49" s="2">
        <f>VLOOKUP(A:A,MASTER!A:I,9,0)</f>
        <v>0</v>
      </c>
      <c r="N49" s="12">
        <f t="shared" si="2"/>
        <v>-1</v>
      </c>
      <c r="O49" s="1">
        <f>VLOOKUP(A:A,MASTER!A:C,3,0)</f>
        <v>0</v>
      </c>
      <c r="P49" s="1">
        <f>VLOOKUP(A:A,MASTER!A:H,8,0)</f>
        <v>0</v>
      </c>
      <c r="Q49" s="12">
        <f t="shared" si="3"/>
        <v>0</v>
      </c>
      <c r="R49" s="1">
        <f>VLOOKUP(A:A,MASTER!A:B,2,0)</f>
        <v>455</v>
      </c>
      <c r="S49">
        <f>VLOOKUP(A:A,MASTER!A:G,7,0)</f>
        <v>0</v>
      </c>
      <c r="T49" s="12">
        <f t="shared" si="4"/>
        <v>-1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1191490.8234450771</v>
      </c>
      <c r="G50" s="1">
        <f>VLOOKUP(A:A,MASTER!A:K,11,0)</f>
        <v>0</v>
      </c>
      <c r="H50" s="12">
        <f t="shared" si="0"/>
        <v>-1</v>
      </c>
      <c r="I50" s="2">
        <f>VLOOKUP(A:A,MASTER!A:E,5,0)</f>
        <v>439</v>
      </c>
      <c r="J50" s="2">
        <f>VLOOKUP(A:A,MASTER!A:J,10,0)</f>
        <v>0</v>
      </c>
      <c r="K50" s="12">
        <f t="shared" si="1"/>
        <v>-1</v>
      </c>
      <c r="L50" s="2">
        <f>VLOOKUP(A:A,MASTER!A:D,4,0)</f>
        <v>4</v>
      </c>
      <c r="M50" s="2">
        <f>VLOOKUP(A:A,MASTER!A:I,9,0)</f>
        <v>0</v>
      </c>
      <c r="N50" s="12">
        <f t="shared" si="2"/>
        <v>-1</v>
      </c>
      <c r="O50" s="1">
        <f>VLOOKUP(A:A,MASTER!A:C,3,0)</f>
        <v>0</v>
      </c>
      <c r="P50" s="1">
        <f>VLOOKUP(A:A,MASTER!A:H,8,0)</f>
        <v>0</v>
      </c>
      <c r="Q50" s="12">
        <f t="shared" si="3"/>
        <v>0</v>
      </c>
      <c r="R50" s="1">
        <f>VLOOKUP(A:A,MASTER!A:B,2,0)</f>
        <v>422</v>
      </c>
      <c r="S50">
        <f>VLOOKUP(A:A,MASTER!A:G,7,0)</f>
        <v>0</v>
      </c>
      <c r="T50" s="12">
        <f t="shared" si="4"/>
        <v>-1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2472926.580826411</v>
      </c>
      <c r="G51" s="1">
        <f>VLOOKUP(A:A,MASTER!A:K,11,0)</f>
        <v>0</v>
      </c>
      <c r="H51" s="12">
        <f t="shared" si="0"/>
        <v>-1</v>
      </c>
      <c r="I51" s="2">
        <f>VLOOKUP(A:A,MASTER!A:E,5,0)</f>
        <v>965</v>
      </c>
      <c r="J51" s="2">
        <f>VLOOKUP(A:A,MASTER!A:J,10,0)</f>
        <v>0</v>
      </c>
      <c r="K51" s="12">
        <f t="shared" si="1"/>
        <v>-1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0</v>
      </c>
      <c r="P51" s="1">
        <f>VLOOKUP(A:A,MASTER!A:H,8,0)</f>
        <v>0</v>
      </c>
      <c r="Q51" s="12">
        <f t="shared" si="3"/>
        <v>0</v>
      </c>
      <c r="R51" s="1">
        <f>VLOOKUP(A:A,MASTER!A:B,2,0)</f>
        <v>1115</v>
      </c>
      <c r="S51">
        <f>VLOOKUP(A:A,MASTER!A:G,7,0)</f>
        <v>0</v>
      </c>
      <c r="T51" s="12">
        <f t="shared" si="4"/>
        <v>-1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1842282.817660179</v>
      </c>
      <c r="G52" s="1">
        <f>VLOOKUP(A:A,MASTER!A:K,11,0)</f>
        <v>0</v>
      </c>
      <c r="H52" s="12">
        <f t="shared" si="0"/>
        <v>-1</v>
      </c>
      <c r="I52" s="2">
        <f>VLOOKUP(A:A,MASTER!A:E,5,0)</f>
        <v>688</v>
      </c>
      <c r="J52" s="2">
        <f>VLOOKUP(A:A,MASTER!A:J,10,0)</f>
        <v>0</v>
      </c>
      <c r="K52" s="12">
        <f t="shared" si="1"/>
        <v>-1</v>
      </c>
      <c r="L52" s="2">
        <f>VLOOKUP(A:A,MASTER!A:D,4,0)</f>
        <v>1</v>
      </c>
      <c r="M52" s="2">
        <f>VLOOKUP(A:A,MASTER!A:I,9,0)</f>
        <v>0</v>
      </c>
      <c r="N52" s="12">
        <f t="shared" si="2"/>
        <v>-1</v>
      </c>
      <c r="O52" s="1">
        <f>VLOOKUP(A:A,MASTER!A:C,3,0)</f>
        <v>0</v>
      </c>
      <c r="P52" s="1">
        <f>VLOOKUP(A:A,MASTER!A:H,8,0)</f>
        <v>0</v>
      </c>
      <c r="Q52" s="12">
        <f t="shared" si="3"/>
        <v>0</v>
      </c>
      <c r="R52" s="1">
        <f>VLOOKUP(A:A,MASTER!A:B,2,0)</f>
        <v>949</v>
      </c>
      <c r="S52">
        <f>VLOOKUP(A:A,MASTER!A:G,7,0)</f>
        <v>0</v>
      </c>
      <c r="T52" s="12">
        <f t="shared" si="4"/>
        <v>-1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5020812.0404420467</v>
      </c>
      <c r="G53" s="1">
        <f>VLOOKUP(A:A,MASTER!A:K,11,0)</f>
        <v>0</v>
      </c>
      <c r="H53" s="12">
        <f t="shared" si="0"/>
        <v>-1</v>
      </c>
      <c r="I53" s="2">
        <f>VLOOKUP(A:A,MASTER!A:E,5,0)</f>
        <v>1819</v>
      </c>
      <c r="J53" s="2">
        <f>VLOOKUP(A:A,MASTER!A:J,10,0)</f>
        <v>0</v>
      </c>
      <c r="K53" s="12">
        <f t="shared" si="1"/>
        <v>-1</v>
      </c>
      <c r="L53" s="2">
        <f>VLOOKUP(A:A,MASTER!A:D,4,0)</f>
        <v>7</v>
      </c>
      <c r="M53" s="2">
        <f>VLOOKUP(A:A,MASTER!A:I,9,0)</f>
        <v>0</v>
      </c>
      <c r="N53" s="12">
        <f t="shared" si="2"/>
        <v>-1</v>
      </c>
      <c r="O53" s="1">
        <f>VLOOKUP(A:A,MASTER!A:C,3,0)</f>
        <v>1</v>
      </c>
      <c r="P53" s="1">
        <f>VLOOKUP(A:A,MASTER!A:H,8,0)</f>
        <v>0</v>
      </c>
      <c r="Q53" s="12">
        <f t="shared" si="3"/>
        <v>-1</v>
      </c>
      <c r="R53" s="1">
        <f>VLOOKUP(A:A,MASTER!A:B,2,0)</f>
        <v>2011</v>
      </c>
      <c r="S53">
        <f>VLOOKUP(A:A,MASTER!A:G,7,0)</f>
        <v>0</v>
      </c>
      <c r="T53" s="12">
        <f t="shared" si="4"/>
        <v>-1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1040271.355689719</v>
      </c>
      <c r="G54" s="1">
        <f>VLOOKUP(A:A,MASTER!A:K,11,0)</f>
        <v>0</v>
      </c>
      <c r="H54" s="12">
        <f t="shared" si="0"/>
        <v>-1</v>
      </c>
      <c r="I54" s="2">
        <f>VLOOKUP(A:A,MASTER!A:E,5,0)</f>
        <v>559</v>
      </c>
      <c r="J54" s="2">
        <f>VLOOKUP(A:A,MASTER!A:J,10,0)</f>
        <v>0</v>
      </c>
      <c r="K54" s="12">
        <f t="shared" si="1"/>
        <v>-1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0</v>
      </c>
      <c r="P54" s="1">
        <f>VLOOKUP(A:A,MASTER!A:H,8,0)</f>
        <v>0</v>
      </c>
      <c r="Q54" s="12">
        <f t="shared" si="3"/>
        <v>0</v>
      </c>
      <c r="R54" s="1">
        <f>VLOOKUP(A:A,MASTER!A:B,2,0)</f>
        <v>675</v>
      </c>
      <c r="S54">
        <f>VLOOKUP(A:A,MASTER!A:G,7,0)</f>
        <v>0</v>
      </c>
      <c r="T54" s="12">
        <f t="shared" si="4"/>
        <v>-1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1778920.1757622601</v>
      </c>
      <c r="G55" s="1">
        <f>VLOOKUP(A:A,MASTER!A:K,11,0)</f>
        <v>0</v>
      </c>
      <c r="H55" s="12">
        <f t="shared" si="0"/>
        <v>-1</v>
      </c>
      <c r="I55" s="2">
        <f>VLOOKUP(A:A,MASTER!A:E,5,0)</f>
        <v>717</v>
      </c>
      <c r="J55" s="2">
        <f>VLOOKUP(A:A,MASTER!A:J,10,0)</f>
        <v>0</v>
      </c>
      <c r="K55" s="12">
        <f t="shared" si="1"/>
        <v>-1</v>
      </c>
      <c r="L55" s="2">
        <f>VLOOKUP(A:A,MASTER!A:D,4,0)</f>
        <v>5</v>
      </c>
      <c r="M55" s="2">
        <f>VLOOKUP(A:A,MASTER!A:I,9,0)</f>
        <v>0</v>
      </c>
      <c r="N55" s="12">
        <f t="shared" si="2"/>
        <v>-1</v>
      </c>
      <c r="O55" s="1">
        <f>VLOOKUP(A:A,MASTER!A:C,3,0)</f>
        <v>0</v>
      </c>
      <c r="P55" s="1">
        <f>VLOOKUP(A:A,MASTER!A:H,8,0)</f>
        <v>0</v>
      </c>
      <c r="Q55" s="12">
        <f t="shared" si="3"/>
        <v>0</v>
      </c>
      <c r="R55" s="1">
        <f>VLOOKUP(A:A,MASTER!A:B,2,0)</f>
        <v>868</v>
      </c>
      <c r="S55">
        <f>VLOOKUP(A:A,MASTER!A:G,7,0)</f>
        <v>0</v>
      </c>
      <c r="T55" s="12">
        <f t="shared" si="4"/>
        <v>-1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1278064.715559372</v>
      </c>
      <c r="G56" s="1">
        <f>VLOOKUP(A:A,MASTER!A:K,11,0)</f>
        <v>0</v>
      </c>
      <c r="H56" s="12">
        <f t="shared" si="0"/>
        <v>-1</v>
      </c>
      <c r="I56" s="2">
        <f>VLOOKUP(A:A,MASTER!A:E,5,0)</f>
        <v>628</v>
      </c>
      <c r="J56" s="2">
        <f>VLOOKUP(A:A,MASTER!A:J,10,0)</f>
        <v>0</v>
      </c>
      <c r="K56" s="12">
        <f t="shared" si="1"/>
        <v>-1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0</v>
      </c>
      <c r="P56" s="1">
        <f>VLOOKUP(A:A,MASTER!A:H,8,0)</f>
        <v>0</v>
      </c>
      <c r="Q56" s="12">
        <f t="shared" si="3"/>
        <v>0</v>
      </c>
      <c r="R56" s="1">
        <f>VLOOKUP(A:A,MASTER!A:B,2,0)</f>
        <v>764</v>
      </c>
      <c r="S56">
        <f>VLOOKUP(A:A,MASTER!A:G,7,0)</f>
        <v>0</v>
      </c>
      <c r="T56" s="12">
        <f t="shared" si="4"/>
        <v>-1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2664418.5130016878</v>
      </c>
      <c r="G57" s="1">
        <f>VLOOKUP(A:A,MASTER!A:K,11,0)</f>
        <v>0</v>
      </c>
      <c r="H57" s="12">
        <f t="shared" si="0"/>
        <v>-1</v>
      </c>
      <c r="I57" s="2">
        <f>VLOOKUP(A:A,MASTER!A:E,5,0)</f>
        <v>1117</v>
      </c>
      <c r="J57" s="2">
        <f>VLOOKUP(A:A,MASTER!A:J,10,0)</f>
        <v>0</v>
      </c>
      <c r="K57" s="12">
        <f t="shared" si="1"/>
        <v>-1</v>
      </c>
      <c r="L57" s="2">
        <f>VLOOKUP(A:A,MASTER!A:D,4,0)</f>
        <v>0</v>
      </c>
      <c r="M57" s="2">
        <f>VLOOKUP(A:A,MASTER!A:I,9,0)</f>
        <v>0</v>
      </c>
      <c r="N57" s="12">
        <f t="shared" si="2"/>
        <v>0</v>
      </c>
      <c r="O57" s="1">
        <f>VLOOKUP(A:A,MASTER!A:C,3,0)</f>
        <v>1</v>
      </c>
      <c r="P57" s="1">
        <f>VLOOKUP(A:A,MASTER!A:H,8,0)</f>
        <v>0</v>
      </c>
      <c r="Q57" s="12">
        <f t="shared" si="3"/>
        <v>-1</v>
      </c>
      <c r="R57" s="1">
        <f>VLOOKUP(A:A,MASTER!A:B,2,0)</f>
        <v>1095</v>
      </c>
      <c r="S57">
        <f>VLOOKUP(A:A,MASTER!A:G,7,0)</f>
        <v>0</v>
      </c>
      <c r="T57" s="12">
        <f t="shared" si="4"/>
        <v>-1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3133108.0262878281</v>
      </c>
      <c r="G58" s="1">
        <f>VLOOKUP(A:A,MASTER!A:K,11,0)</f>
        <v>0</v>
      </c>
      <c r="H58" s="12">
        <f t="shared" si="0"/>
        <v>-1</v>
      </c>
      <c r="I58" s="2">
        <f>VLOOKUP(A:A,MASTER!A:E,5,0)</f>
        <v>1333</v>
      </c>
      <c r="J58" s="2">
        <f>VLOOKUP(A:A,MASTER!A:J,10,0)</f>
        <v>0</v>
      </c>
      <c r="K58" s="12">
        <f t="shared" si="1"/>
        <v>-1</v>
      </c>
      <c r="L58" s="2">
        <f>VLOOKUP(A:A,MASTER!A:D,4,0)</f>
        <v>4</v>
      </c>
      <c r="M58" s="2">
        <f>VLOOKUP(A:A,MASTER!A:I,9,0)</f>
        <v>0</v>
      </c>
      <c r="N58" s="12">
        <f t="shared" si="2"/>
        <v>-1</v>
      </c>
      <c r="O58" s="1">
        <f>VLOOKUP(A:A,MASTER!A:C,3,0)</f>
        <v>0</v>
      </c>
      <c r="P58" s="1">
        <f>VLOOKUP(A:A,MASTER!A:H,8,0)</f>
        <v>0</v>
      </c>
      <c r="Q58" s="12">
        <f t="shared" si="3"/>
        <v>0</v>
      </c>
      <c r="R58" s="1">
        <f>VLOOKUP(A:A,MASTER!A:B,2,0)</f>
        <v>1338</v>
      </c>
      <c r="S58">
        <f>VLOOKUP(A:A,MASTER!A:G,7,0)</f>
        <v>0</v>
      </c>
      <c r="T58" s="12">
        <f t="shared" si="4"/>
        <v>-1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1627496.9061220919</v>
      </c>
      <c r="G59" s="1">
        <f>VLOOKUP(A:A,MASTER!A:K,11,0)</f>
        <v>0</v>
      </c>
      <c r="H59" s="12">
        <f t="shared" si="0"/>
        <v>-1</v>
      </c>
      <c r="I59" s="2">
        <f>VLOOKUP(A:A,MASTER!A:E,5,0)</f>
        <v>658</v>
      </c>
      <c r="J59" s="2">
        <f>VLOOKUP(A:A,MASTER!A:J,10,0)</f>
        <v>0</v>
      </c>
      <c r="K59" s="12">
        <f t="shared" si="1"/>
        <v>-1</v>
      </c>
      <c r="L59" s="2">
        <f>VLOOKUP(A:A,MASTER!A:D,4,0)</f>
        <v>2</v>
      </c>
      <c r="M59" s="2">
        <f>VLOOKUP(A:A,MASTER!A:I,9,0)</f>
        <v>0</v>
      </c>
      <c r="N59" s="12">
        <f t="shared" si="2"/>
        <v>-1</v>
      </c>
      <c r="O59" s="1">
        <f>VLOOKUP(A:A,MASTER!A:C,3,0)</f>
        <v>0</v>
      </c>
      <c r="P59" s="1">
        <f>VLOOKUP(A:A,MASTER!A:H,8,0)</f>
        <v>0</v>
      </c>
      <c r="Q59" s="12">
        <f t="shared" si="3"/>
        <v>0</v>
      </c>
      <c r="R59" s="1">
        <f>VLOOKUP(A:A,MASTER!A:B,2,0)</f>
        <v>784</v>
      </c>
      <c r="S59">
        <f>VLOOKUP(A:A,MASTER!A:G,7,0)</f>
        <v>0</v>
      </c>
      <c r="T59" s="12">
        <f t="shared" si="4"/>
        <v>-1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1817434.8642332279</v>
      </c>
      <c r="G60" s="1">
        <f>VLOOKUP(A:A,MASTER!A:K,11,0)</f>
        <v>0</v>
      </c>
      <c r="H60" s="12">
        <f t="shared" si="0"/>
        <v>-1</v>
      </c>
      <c r="I60" s="2">
        <f>VLOOKUP(A:A,MASTER!A:E,5,0)</f>
        <v>441</v>
      </c>
      <c r="J60" s="2">
        <f>VLOOKUP(A:A,MASTER!A:J,10,0)</f>
        <v>0</v>
      </c>
      <c r="K60" s="12">
        <f t="shared" si="1"/>
        <v>-1</v>
      </c>
      <c r="L60" s="2">
        <f>VLOOKUP(A:A,MASTER!A:D,4,0)</f>
        <v>4</v>
      </c>
      <c r="M60" s="2">
        <f>VLOOKUP(A:A,MASTER!A:I,9,0)</f>
        <v>0</v>
      </c>
      <c r="N60" s="12">
        <f t="shared" si="2"/>
        <v>-1</v>
      </c>
      <c r="O60" s="1">
        <f>VLOOKUP(A:A,MASTER!A:C,3,0)</f>
        <v>1</v>
      </c>
      <c r="P60" s="1">
        <f>VLOOKUP(A:A,MASTER!A:H,8,0)</f>
        <v>0</v>
      </c>
      <c r="Q60" s="12">
        <f t="shared" si="3"/>
        <v>-1</v>
      </c>
      <c r="R60" s="1">
        <f>VLOOKUP(A:A,MASTER!A:B,2,0)</f>
        <v>669</v>
      </c>
      <c r="S60">
        <f>VLOOKUP(A:A,MASTER!A:G,7,0)</f>
        <v>0</v>
      </c>
      <c r="T60" s="12">
        <f t="shared" si="4"/>
        <v>-1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5673303.6061277613</v>
      </c>
      <c r="G61" s="1">
        <f>VLOOKUP(A:A,MASTER!A:K,11,0)</f>
        <v>0</v>
      </c>
      <c r="H61" s="12">
        <f t="shared" si="0"/>
        <v>-1</v>
      </c>
      <c r="I61" s="2">
        <f>VLOOKUP(A:A,MASTER!A:E,5,0)</f>
        <v>1923</v>
      </c>
      <c r="J61" s="2">
        <f>VLOOKUP(A:A,MASTER!A:J,10,0)</f>
        <v>0</v>
      </c>
      <c r="K61" s="12">
        <f t="shared" si="1"/>
        <v>-1</v>
      </c>
      <c r="L61" s="2">
        <f>VLOOKUP(A:A,MASTER!A:D,4,0)</f>
        <v>10</v>
      </c>
      <c r="M61" s="2">
        <f>VLOOKUP(A:A,MASTER!A:I,9,0)</f>
        <v>0</v>
      </c>
      <c r="N61" s="12">
        <f t="shared" si="2"/>
        <v>-1</v>
      </c>
      <c r="O61" s="1">
        <f>VLOOKUP(A:A,MASTER!A:C,3,0)</f>
        <v>0</v>
      </c>
      <c r="P61" s="1">
        <f>VLOOKUP(A:A,MASTER!A:H,8,0)</f>
        <v>0</v>
      </c>
      <c r="Q61" s="12">
        <f t="shared" si="3"/>
        <v>0</v>
      </c>
      <c r="R61" s="1">
        <f>VLOOKUP(A:A,MASTER!A:B,2,0)</f>
        <v>2030</v>
      </c>
      <c r="S61">
        <f>VLOOKUP(A:A,MASTER!A:G,7,0)</f>
        <v>0</v>
      </c>
      <c r="T61" s="12">
        <f t="shared" si="4"/>
        <v>-1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3806610.765844903</v>
      </c>
      <c r="G62" s="1">
        <f>VLOOKUP(A:A,MASTER!A:K,11,0)</f>
        <v>0</v>
      </c>
      <c r="H62" s="12">
        <f t="shared" si="0"/>
        <v>-1</v>
      </c>
      <c r="I62" s="2">
        <f>VLOOKUP(A:A,MASTER!A:E,5,0)</f>
        <v>1112</v>
      </c>
      <c r="J62" s="2">
        <f>VLOOKUP(A:A,MASTER!A:J,10,0)</f>
        <v>0</v>
      </c>
      <c r="K62" s="12">
        <f t="shared" si="1"/>
        <v>-1</v>
      </c>
      <c r="L62" s="2">
        <f>VLOOKUP(A:A,MASTER!A:D,4,0)</f>
        <v>6</v>
      </c>
      <c r="M62" s="2">
        <f>VLOOKUP(A:A,MASTER!A:I,9,0)</f>
        <v>0</v>
      </c>
      <c r="N62" s="12">
        <f t="shared" si="2"/>
        <v>-1</v>
      </c>
      <c r="O62" s="1">
        <f>VLOOKUP(A:A,MASTER!A:C,3,0)</f>
        <v>0</v>
      </c>
      <c r="P62" s="1">
        <f>VLOOKUP(A:A,MASTER!A:H,8,0)</f>
        <v>0</v>
      </c>
      <c r="Q62" s="12">
        <f t="shared" si="3"/>
        <v>0</v>
      </c>
      <c r="R62" s="1">
        <f>VLOOKUP(A:A,MASTER!A:B,2,0)</f>
        <v>1559</v>
      </c>
      <c r="S62">
        <f>VLOOKUP(A:A,MASTER!A:G,7,0)</f>
        <v>0</v>
      </c>
      <c r="T62" s="12">
        <f t="shared" si="4"/>
        <v>-1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2774331.0421229349</v>
      </c>
      <c r="G63" s="1">
        <f>VLOOKUP(A:A,MASTER!A:K,11,0)</f>
        <v>0</v>
      </c>
      <c r="H63" s="12">
        <f t="shared" si="0"/>
        <v>-1</v>
      </c>
      <c r="I63" s="2">
        <f>VLOOKUP(A:A,MASTER!A:E,5,0)</f>
        <v>703</v>
      </c>
      <c r="J63" s="2">
        <f>VLOOKUP(A:A,MASTER!A:J,10,0)</f>
        <v>0</v>
      </c>
      <c r="K63" s="12">
        <f t="shared" si="1"/>
        <v>-1</v>
      </c>
      <c r="L63" s="2">
        <f>VLOOKUP(A:A,MASTER!A:D,4,0)</f>
        <v>0</v>
      </c>
      <c r="M63" s="2">
        <f>VLOOKUP(A:A,MASTER!A:I,9,0)</f>
        <v>0</v>
      </c>
      <c r="N63" s="12">
        <f t="shared" si="2"/>
        <v>0</v>
      </c>
      <c r="O63" s="1">
        <f>VLOOKUP(A:A,MASTER!A:C,3,0)</f>
        <v>0</v>
      </c>
      <c r="P63" s="1">
        <f>VLOOKUP(A:A,MASTER!A:H,8,0)</f>
        <v>0</v>
      </c>
      <c r="Q63" s="12">
        <f t="shared" si="3"/>
        <v>0</v>
      </c>
      <c r="R63" s="1">
        <f>VLOOKUP(A:A,MASTER!A:B,2,0)</f>
        <v>871</v>
      </c>
      <c r="S63">
        <f>VLOOKUP(A:A,MASTER!A:G,7,0)</f>
        <v>0</v>
      </c>
      <c r="T63" s="12">
        <f t="shared" si="4"/>
        <v>-1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4013232.2456140881</v>
      </c>
      <c r="G64" s="1">
        <f>VLOOKUP(A:A,MASTER!A:K,11,0)</f>
        <v>0</v>
      </c>
      <c r="H64" s="12">
        <f t="shared" si="0"/>
        <v>-1</v>
      </c>
      <c r="I64" s="2">
        <f>VLOOKUP(A:A,MASTER!A:E,5,0)</f>
        <v>1480</v>
      </c>
      <c r="J64" s="2">
        <f>VLOOKUP(A:A,MASTER!A:J,10,0)</f>
        <v>0</v>
      </c>
      <c r="K64" s="12">
        <f t="shared" si="1"/>
        <v>-1</v>
      </c>
      <c r="L64" s="2">
        <f>VLOOKUP(A:A,MASTER!A:D,4,0)</f>
        <v>12</v>
      </c>
      <c r="M64" s="2">
        <f>VLOOKUP(A:A,MASTER!A:I,9,0)</f>
        <v>0</v>
      </c>
      <c r="N64" s="12">
        <f t="shared" si="2"/>
        <v>-1</v>
      </c>
      <c r="O64" s="1">
        <f>VLOOKUP(A:A,MASTER!A:C,3,0)</f>
        <v>1</v>
      </c>
      <c r="P64" s="1">
        <f>VLOOKUP(A:A,MASTER!A:H,8,0)</f>
        <v>0</v>
      </c>
      <c r="Q64" s="12">
        <f t="shared" si="3"/>
        <v>-1</v>
      </c>
      <c r="R64" s="1">
        <f>VLOOKUP(A:A,MASTER!A:B,2,0)</f>
        <v>2110</v>
      </c>
      <c r="S64">
        <f>VLOOKUP(A:A,MASTER!A:G,7,0)</f>
        <v>0</v>
      </c>
      <c r="T64" s="12">
        <f t="shared" si="4"/>
        <v>-1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1.0707901399999999</v>
      </c>
      <c r="G65" s="1">
        <f>VLOOKUP(A:A,MASTER!A:K,11,0)</f>
        <v>0</v>
      </c>
      <c r="H65" s="12">
        <f t="shared" si="0"/>
        <v>-1</v>
      </c>
      <c r="I65" s="2">
        <f>VLOOKUP(A:A,MASTER!A:E,5,0)</f>
        <v>2</v>
      </c>
      <c r="J65" s="2">
        <f>VLOOKUP(A:A,MASTER!A:J,10,0)</f>
        <v>0</v>
      </c>
      <c r="K65" s="12">
        <f t="shared" si="1"/>
        <v>-1</v>
      </c>
      <c r="L65" s="2">
        <f>VLOOKUP(A:A,MASTER!A:D,4,0)</f>
        <v>0</v>
      </c>
      <c r="M65" s="2">
        <f>VLOOKUP(A:A,MASTER!A:I,9,0)</f>
        <v>0</v>
      </c>
      <c r="N65" s="12">
        <f t="shared" si="2"/>
        <v>0</v>
      </c>
      <c r="O65" s="1">
        <f>VLOOKUP(A:A,MASTER!A:C,3,0)</f>
        <v>0</v>
      </c>
      <c r="P65" s="1">
        <f>VLOOKUP(A:A,MASTER!A:H,8,0)</f>
        <v>0</v>
      </c>
      <c r="Q65" s="12">
        <f t="shared" si="3"/>
        <v>0</v>
      </c>
      <c r="R65" s="1">
        <f>VLOOKUP(A:A,MASTER!A:B,2,0)</f>
        <v>262</v>
      </c>
      <c r="S65">
        <f>VLOOKUP(A:A,MASTER!A:G,7,0)</f>
        <v>0</v>
      </c>
      <c r="T65" s="12">
        <f t="shared" si="4"/>
        <v>-1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2905099.7796098478</v>
      </c>
      <c r="G66" s="1">
        <f>VLOOKUP(A:A,MASTER!A:K,11,0)</f>
        <v>0</v>
      </c>
      <c r="H66" s="12">
        <f t="shared" si="0"/>
        <v>-1</v>
      </c>
      <c r="I66" s="2">
        <f>VLOOKUP(A:A,MASTER!A:E,5,0)</f>
        <v>1325</v>
      </c>
      <c r="J66" s="2">
        <f>VLOOKUP(A:A,MASTER!A:J,10,0)</f>
        <v>0</v>
      </c>
      <c r="K66" s="12">
        <f t="shared" si="1"/>
        <v>-1</v>
      </c>
      <c r="L66" s="2">
        <f>VLOOKUP(A:A,MASTER!A:D,4,0)</f>
        <v>5</v>
      </c>
      <c r="M66" s="2">
        <f>VLOOKUP(A:A,MASTER!A:I,9,0)</f>
        <v>0</v>
      </c>
      <c r="N66" s="12">
        <f t="shared" si="2"/>
        <v>-1</v>
      </c>
      <c r="O66" s="1">
        <f>VLOOKUP(A:A,MASTER!A:C,3,0)</f>
        <v>0</v>
      </c>
      <c r="P66" s="1">
        <f>VLOOKUP(A:A,MASTER!A:H,8,0)</f>
        <v>0</v>
      </c>
      <c r="Q66" s="12">
        <f t="shared" si="3"/>
        <v>0</v>
      </c>
      <c r="R66" s="1">
        <f>VLOOKUP(A:A,MASTER!A:B,2,0)</f>
        <v>1683</v>
      </c>
      <c r="S66">
        <f>VLOOKUP(A:A,MASTER!A:G,7,0)</f>
        <v>0</v>
      </c>
      <c r="T66" s="12">
        <f t="shared" si="4"/>
        <v>-1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1198690.763104446</v>
      </c>
      <c r="G67" s="1">
        <f>VLOOKUP(A:A,MASTER!A:K,11,0)</f>
        <v>0</v>
      </c>
      <c r="H67" s="12">
        <f t="shared" ref="H67:H85" si="5">IFERROR(G67/F67-1,0)</f>
        <v>-1</v>
      </c>
      <c r="I67" s="2">
        <f>VLOOKUP(A:A,MASTER!A:E,5,0)</f>
        <v>564</v>
      </c>
      <c r="J67" s="2">
        <f>VLOOKUP(A:A,MASTER!A:J,10,0)</f>
        <v>0</v>
      </c>
      <c r="K67" s="12">
        <f t="shared" ref="K67:K85" si="6">IFERROR(J67/I67-1,0)</f>
        <v>-1</v>
      </c>
      <c r="L67" s="2">
        <f>VLOOKUP(A:A,MASTER!A:D,4,0)</f>
        <v>2</v>
      </c>
      <c r="M67" s="2">
        <f>VLOOKUP(A:A,MASTER!A:I,9,0)</f>
        <v>0</v>
      </c>
      <c r="N67" s="12">
        <f t="shared" ref="N67:N85" si="7">IFERROR(M67/L67-1,0)</f>
        <v>-1</v>
      </c>
      <c r="O67" s="1">
        <f>VLOOKUP(A:A,MASTER!A:C,3,0)</f>
        <v>0</v>
      </c>
      <c r="P67" s="1">
        <f>VLOOKUP(A:A,MASTER!A:H,8,0)</f>
        <v>0</v>
      </c>
      <c r="Q67" s="12">
        <f t="shared" ref="Q67:Q85" si="8">IFERROR(P67/O67-1,0)</f>
        <v>0</v>
      </c>
      <c r="R67" s="1">
        <f>VLOOKUP(A:A,MASTER!A:B,2,0)</f>
        <v>689</v>
      </c>
      <c r="S67">
        <f>VLOOKUP(A:A,MASTER!A:G,7,0)</f>
        <v>0</v>
      </c>
      <c r="T67" s="12">
        <f t="shared" ref="T67:T85" si="9">IFERROR(S67/R67-1,0)</f>
        <v>-1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2246691.7673195591</v>
      </c>
      <c r="G68" s="1">
        <f>VLOOKUP(A:A,MASTER!A:K,11,0)</f>
        <v>0</v>
      </c>
      <c r="H68" s="12">
        <f t="shared" si="5"/>
        <v>-1</v>
      </c>
      <c r="I68" s="2">
        <f>VLOOKUP(A:A,MASTER!A:E,5,0)</f>
        <v>898</v>
      </c>
      <c r="J68" s="2">
        <f>VLOOKUP(A:A,MASTER!A:J,10,0)</f>
        <v>0</v>
      </c>
      <c r="K68" s="12">
        <f t="shared" si="6"/>
        <v>-1</v>
      </c>
      <c r="L68" s="2">
        <f>VLOOKUP(A:A,MASTER!A:D,4,0)</f>
        <v>4</v>
      </c>
      <c r="M68" s="2">
        <f>VLOOKUP(A:A,MASTER!A:I,9,0)</f>
        <v>0</v>
      </c>
      <c r="N68" s="12">
        <f t="shared" si="7"/>
        <v>-1</v>
      </c>
      <c r="O68" s="1">
        <f>VLOOKUP(A:A,MASTER!A:C,3,0)</f>
        <v>0</v>
      </c>
      <c r="P68" s="1">
        <f>VLOOKUP(A:A,MASTER!A:H,8,0)</f>
        <v>0</v>
      </c>
      <c r="Q68" s="12">
        <f t="shared" si="8"/>
        <v>0</v>
      </c>
      <c r="R68" s="1">
        <f>VLOOKUP(A:A,MASTER!A:B,2,0)</f>
        <v>1360</v>
      </c>
      <c r="S68">
        <f>VLOOKUP(A:A,MASTER!A:G,7,0)</f>
        <v>0</v>
      </c>
      <c r="T68" s="12">
        <f t="shared" si="9"/>
        <v>-1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1323190.1840932791</v>
      </c>
      <c r="G69" s="1">
        <f>VLOOKUP(A:A,MASTER!A:K,11,0)</f>
        <v>0</v>
      </c>
      <c r="H69" s="12">
        <f t="shared" si="5"/>
        <v>-1</v>
      </c>
      <c r="I69" s="2">
        <f>VLOOKUP(A:A,MASTER!A:E,5,0)</f>
        <v>1048</v>
      </c>
      <c r="J69" s="2">
        <f>VLOOKUP(A:A,MASTER!A:J,10,0)</f>
        <v>0</v>
      </c>
      <c r="K69" s="12">
        <f t="shared" si="6"/>
        <v>-1</v>
      </c>
      <c r="L69" s="2">
        <f>VLOOKUP(A:A,MASTER!A:D,4,0)</f>
        <v>3</v>
      </c>
      <c r="M69" s="2">
        <f>VLOOKUP(A:A,MASTER!A:I,9,0)</f>
        <v>0</v>
      </c>
      <c r="N69" s="12">
        <f t="shared" si="7"/>
        <v>-1</v>
      </c>
      <c r="O69" s="1">
        <f>VLOOKUP(A:A,MASTER!A:C,3,0)</f>
        <v>0</v>
      </c>
      <c r="P69" s="1">
        <f>VLOOKUP(A:A,MASTER!A:H,8,0)</f>
        <v>0</v>
      </c>
      <c r="Q69" s="12">
        <f t="shared" si="8"/>
        <v>0</v>
      </c>
      <c r="R69" s="1">
        <f>VLOOKUP(A:A,MASTER!A:B,2,0)</f>
        <v>1308</v>
      </c>
      <c r="S69">
        <f>VLOOKUP(A:A,MASTER!A:G,7,0)</f>
        <v>0</v>
      </c>
      <c r="T69" s="12">
        <f t="shared" si="9"/>
        <v>-1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4088809.224786967</v>
      </c>
      <c r="G70" s="1">
        <f>VLOOKUP(A:A,MASTER!A:K,11,0)</f>
        <v>0</v>
      </c>
      <c r="H70" s="12">
        <f t="shared" si="5"/>
        <v>-1</v>
      </c>
      <c r="I70" s="2">
        <f>VLOOKUP(A:A,MASTER!A:E,5,0)</f>
        <v>1136</v>
      </c>
      <c r="J70" s="2">
        <f>VLOOKUP(A:A,MASTER!A:J,10,0)</f>
        <v>0</v>
      </c>
      <c r="K70" s="12">
        <f t="shared" si="6"/>
        <v>-1</v>
      </c>
      <c r="L70" s="2">
        <f>VLOOKUP(A:A,MASTER!A:D,4,0)</f>
        <v>4</v>
      </c>
      <c r="M70" s="2">
        <f>VLOOKUP(A:A,MASTER!A:I,9,0)</f>
        <v>0</v>
      </c>
      <c r="N70" s="12">
        <f t="shared" si="7"/>
        <v>-1</v>
      </c>
      <c r="O70" s="1">
        <f>VLOOKUP(A:A,MASTER!A:C,3,0)</f>
        <v>0</v>
      </c>
      <c r="P70" s="1">
        <f>VLOOKUP(A:A,MASTER!A:H,8,0)</f>
        <v>0</v>
      </c>
      <c r="Q70" s="12">
        <f t="shared" si="8"/>
        <v>0</v>
      </c>
      <c r="R70" s="1">
        <f>VLOOKUP(A:A,MASTER!A:B,2,0)</f>
        <v>1753</v>
      </c>
      <c r="S70">
        <f>VLOOKUP(A:A,MASTER!A:G,7,0)</f>
        <v>0</v>
      </c>
      <c r="T70" s="12">
        <f t="shared" si="9"/>
        <v>-1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659679.492249256</v>
      </c>
      <c r="G71" s="1">
        <f>VLOOKUP(A:A,MASTER!A:K,11,0)</f>
        <v>0</v>
      </c>
      <c r="H71" s="12">
        <f t="shared" si="5"/>
        <v>-1</v>
      </c>
      <c r="I71" s="2">
        <f>VLOOKUP(A:A,MASTER!A:E,5,0)</f>
        <v>423</v>
      </c>
      <c r="J71" s="2">
        <f>VLOOKUP(A:A,MASTER!A:J,10,0)</f>
        <v>0</v>
      </c>
      <c r="K71" s="12">
        <f t="shared" si="6"/>
        <v>-1</v>
      </c>
      <c r="L71" s="2">
        <f>VLOOKUP(A:A,MASTER!A:D,4,0)</f>
        <v>0</v>
      </c>
      <c r="M71" s="2">
        <f>VLOOKUP(A:A,MASTER!A:I,9,0)</f>
        <v>0</v>
      </c>
      <c r="N71" s="12">
        <f t="shared" si="7"/>
        <v>0</v>
      </c>
      <c r="O71" s="1">
        <f>VLOOKUP(A:A,MASTER!A:C,3,0)</f>
        <v>0</v>
      </c>
      <c r="P71" s="1">
        <f>VLOOKUP(A:A,MASTER!A:H,8,0)</f>
        <v>0</v>
      </c>
      <c r="Q71" s="12">
        <f t="shared" si="8"/>
        <v>0</v>
      </c>
      <c r="R71" s="1">
        <f>VLOOKUP(A:A,MASTER!A:B,2,0)</f>
        <v>488</v>
      </c>
      <c r="S71">
        <f>VLOOKUP(A:A,MASTER!A:G,7,0)</f>
        <v>0</v>
      </c>
      <c r="T71" s="12">
        <f t="shared" si="9"/>
        <v>-1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1124717.484177609</v>
      </c>
      <c r="G72" s="1">
        <f>VLOOKUP(A:A,MASTER!A:K,11,0)</f>
        <v>0</v>
      </c>
      <c r="H72" s="12">
        <f t="shared" si="5"/>
        <v>-1</v>
      </c>
      <c r="I72" s="2">
        <f>VLOOKUP(A:A,MASTER!A:E,5,0)</f>
        <v>792</v>
      </c>
      <c r="J72" s="2">
        <f>VLOOKUP(A:A,MASTER!A:J,10,0)</f>
        <v>0</v>
      </c>
      <c r="K72" s="12">
        <f t="shared" si="6"/>
        <v>-1</v>
      </c>
      <c r="L72" s="2">
        <f>VLOOKUP(A:A,MASTER!A:D,4,0)</f>
        <v>0</v>
      </c>
      <c r="M72" s="2">
        <f>VLOOKUP(A:A,MASTER!A:I,9,0)</f>
        <v>0</v>
      </c>
      <c r="N72" s="12">
        <f t="shared" si="7"/>
        <v>0</v>
      </c>
      <c r="O72" s="1">
        <f>VLOOKUP(A:A,MASTER!A:C,3,0)</f>
        <v>1</v>
      </c>
      <c r="P72" s="1">
        <f>VLOOKUP(A:A,MASTER!A:H,8,0)</f>
        <v>0</v>
      </c>
      <c r="Q72" s="12">
        <f t="shared" si="8"/>
        <v>-1</v>
      </c>
      <c r="R72" s="1">
        <f>VLOOKUP(A:A,MASTER!A:B,2,0)</f>
        <v>900</v>
      </c>
      <c r="S72">
        <f>VLOOKUP(A:A,MASTER!A:G,7,0)</f>
        <v>0</v>
      </c>
      <c r="T72" s="12">
        <f t="shared" si="9"/>
        <v>-1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1214775.9650538131</v>
      </c>
      <c r="G73" s="1">
        <f>VLOOKUP(A:A,MASTER!A:K,11,0)</f>
        <v>0</v>
      </c>
      <c r="H73" s="12">
        <f t="shared" si="5"/>
        <v>-1</v>
      </c>
      <c r="I73" s="2">
        <f>VLOOKUP(A:A,MASTER!A:E,5,0)</f>
        <v>496</v>
      </c>
      <c r="J73" s="2">
        <f>VLOOKUP(A:A,MASTER!A:J,10,0)</f>
        <v>0</v>
      </c>
      <c r="K73" s="12">
        <f t="shared" si="6"/>
        <v>-1</v>
      </c>
      <c r="L73" s="2">
        <f>VLOOKUP(A:A,MASTER!A:D,4,0)</f>
        <v>3</v>
      </c>
      <c r="M73" s="2">
        <f>VLOOKUP(A:A,MASTER!A:I,9,0)</f>
        <v>0</v>
      </c>
      <c r="N73" s="12">
        <f t="shared" si="7"/>
        <v>-1</v>
      </c>
      <c r="O73" s="1">
        <f>VLOOKUP(A:A,MASTER!A:C,3,0)</f>
        <v>0</v>
      </c>
      <c r="P73" s="1">
        <f>VLOOKUP(A:A,MASTER!A:H,8,0)</f>
        <v>0</v>
      </c>
      <c r="Q73" s="12">
        <f t="shared" si="8"/>
        <v>0</v>
      </c>
      <c r="R73" s="1">
        <f>VLOOKUP(A:A,MASTER!A:B,2,0)</f>
        <v>649</v>
      </c>
      <c r="S73">
        <f>VLOOKUP(A:A,MASTER!A:G,7,0)</f>
        <v>0</v>
      </c>
      <c r="T73" s="12">
        <f t="shared" si="9"/>
        <v>-1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903980.39547394495</v>
      </c>
      <c r="G74" s="1">
        <f>VLOOKUP(A:A,MASTER!A:K,11,0)</f>
        <v>0</v>
      </c>
      <c r="H74" s="12">
        <f t="shared" si="5"/>
        <v>-1</v>
      </c>
      <c r="I74" s="2">
        <f>VLOOKUP(A:A,MASTER!A:E,5,0)</f>
        <v>712</v>
      </c>
      <c r="J74" s="2">
        <f>VLOOKUP(A:A,MASTER!A:J,10,0)</f>
        <v>0</v>
      </c>
      <c r="K74" s="12">
        <f t="shared" si="6"/>
        <v>-1</v>
      </c>
      <c r="L74" s="2">
        <f>VLOOKUP(A:A,MASTER!A:D,4,0)</f>
        <v>0</v>
      </c>
      <c r="M74" s="2">
        <f>VLOOKUP(A:A,MASTER!A:I,9,0)</f>
        <v>0</v>
      </c>
      <c r="N74" s="12">
        <f t="shared" si="7"/>
        <v>0</v>
      </c>
      <c r="O74" s="1">
        <f>VLOOKUP(A:A,MASTER!A:C,3,0)</f>
        <v>0</v>
      </c>
      <c r="P74" s="1">
        <f>VLOOKUP(A:A,MASTER!A:H,8,0)</f>
        <v>0</v>
      </c>
      <c r="Q74" s="12">
        <f t="shared" si="8"/>
        <v>0</v>
      </c>
      <c r="R74" s="1">
        <f>VLOOKUP(A:A,MASTER!A:B,2,0)</f>
        <v>573</v>
      </c>
      <c r="S74">
        <f>VLOOKUP(A:A,MASTER!A:G,7,0)</f>
        <v>0</v>
      </c>
      <c r="T74" s="12">
        <f t="shared" si="9"/>
        <v>-1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1172049.2919997959</v>
      </c>
      <c r="G75" s="1">
        <f>VLOOKUP(A:A,MASTER!A:K,11,0)</f>
        <v>0</v>
      </c>
      <c r="H75" s="12">
        <f t="shared" si="5"/>
        <v>-1</v>
      </c>
      <c r="I75" s="2">
        <f>VLOOKUP(A:A,MASTER!A:E,5,0)</f>
        <v>743</v>
      </c>
      <c r="J75" s="2">
        <f>VLOOKUP(A:A,MASTER!A:J,10,0)</f>
        <v>0</v>
      </c>
      <c r="K75" s="12">
        <f t="shared" si="6"/>
        <v>-1</v>
      </c>
      <c r="L75" s="2">
        <f>VLOOKUP(A:A,MASTER!A:D,4,0)</f>
        <v>7</v>
      </c>
      <c r="M75" s="2">
        <f>VLOOKUP(A:A,MASTER!A:I,9,0)</f>
        <v>0</v>
      </c>
      <c r="N75" s="12">
        <f t="shared" si="7"/>
        <v>-1</v>
      </c>
      <c r="O75" s="1">
        <f>VLOOKUP(A:A,MASTER!A:C,3,0)</f>
        <v>0</v>
      </c>
      <c r="P75" s="1">
        <f>VLOOKUP(A:A,MASTER!A:H,8,0)</f>
        <v>0</v>
      </c>
      <c r="Q75" s="12">
        <f t="shared" si="8"/>
        <v>0</v>
      </c>
      <c r="R75" s="1">
        <f>VLOOKUP(A:A,MASTER!A:B,2,0)</f>
        <v>441</v>
      </c>
      <c r="S75">
        <f>VLOOKUP(A:A,MASTER!A:G,7,0)</f>
        <v>0</v>
      </c>
      <c r="T75" s="12">
        <f t="shared" si="9"/>
        <v>-1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2730863.210231855</v>
      </c>
      <c r="G76" s="1">
        <f>VLOOKUP(A:A,MASTER!A:K,11,0)</f>
        <v>0</v>
      </c>
      <c r="H76" s="12">
        <f t="shared" si="5"/>
        <v>-1</v>
      </c>
      <c r="I76" s="2">
        <f>VLOOKUP(A:A,MASTER!A:E,5,0)</f>
        <v>700</v>
      </c>
      <c r="J76" s="2">
        <f>VLOOKUP(A:A,MASTER!A:J,10,0)</f>
        <v>0</v>
      </c>
      <c r="K76" s="12">
        <f t="shared" si="6"/>
        <v>-1</v>
      </c>
      <c r="L76" s="2">
        <f>VLOOKUP(A:A,MASTER!A:D,4,0)</f>
        <v>2</v>
      </c>
      <c r="M76" s="2">
        <f>VLOOKUP(A:A,MASTER!A:I,9,0)</f>
        <v>0</v>
      </c>
      <c r="N76" s="12">
        <f t="shared" si="7"/>
        <v>-1</v>
      </c>
      <c r="O76" s="1">
        <f>VLOOKUP(A:A,MASTER!A:C,3,0)</f>
        <v>0</v>
      </c>
      <c r="P76" s="1">
        <f>VLOOKUP(A:A,MASTER!A:H,8,0)</f>
        <v>0</v>
      </c>
      <c r="Q76" s="12">
        <f t="shared" si="8"/>
        <v>0</v>
      </c>
      <c r="R76" s="1">
        <f>VLOOKUP(A:A,MASTER!A:B,2,0)</f>
        <v>963</v>
      </c>
      <c r="S76">
        <f>VLOOKUP(A:A,MASTER!A:G,7,0)</f>
        <v>0</v>
      </c>
      <c r="T76" s="12">
        <f t="shared" si="9"/>
        <v>-1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1745654.8107094599</v>
      </c>
      <c r="G77" s="1">
        <f>VLOOKUP(A:A,MASTER!A:K,11,0)</f>
        <v>0</v>
      </c>
      <c r="H77" s="12">
        <f t="shared" si="5"/>
        <v>-1</v>
      </c>
      <c r="I77" s="2">
        <f>VLOOKUP(A:A,MASTER!A:E,5,0)</f>
        <v>761</v>
      </c>
      <c r="J77" s="2">
        <f>VLOOKUP(A:A,MASTER!A:J,10,0)</f>
        <v>0</v>
      </c>
      <c r="K77" s="12">
        <f t="shared" si="6"/>
        <v>-1</v>
      </c>
      <c r="L77" s="2">
        <f>VLOOKUP(A:A,MASTER!A:D,4,0)</f>
        <v>10</v>
      </c>
      <c r="M77" s="2">
        <f>VLOOKUP(A:A,MASTER!A:I,9,0)</f>
        <v>0</v>
      </c>
      <c r="N77" s="12">
        <f t="shared" si="7"/>
        <v>-1</v>
      </c>
      <c r="O77" s="1">
        <f>VLOOKUP(A:A,MASTER!A:C,3,0)</f>
        <v>0</v>
      </c>
      <c r="P77" s="1">
        <f>VLOOKUP(A:A,MASTER!A:H,8,0)</f>
        <v>0</v>
      </c>
      <c r="Q77" s="12">
        <f t="shared" si="8"/>
        <v>0</v>
      </c>
      <c r="R77" s="1">
        <f>VLOOKUP(A:A,MASTER!A:B,2,0)</f>
        <v>782</v>
      </c>
      <c r="S77">
        <f>VLOOKUP(A:A,MASTER!A:G,7,0)</f>
        <v>0</v>
      </c>
      <c r="T77" s="12">
        <f t="shared" si="9"/>
        <v>-1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1450077.0221492541</v>
      </c>
      <c r="G78" s="1">
        <f>VLOOKUP(A:A,MASTER!A:K,11,0)</f>
        <v>0</v>
      </c>
      <c r="H78" s="12">
        <f t="shared" si="5"/>
        <v>-1</v>
      </c>
      <c r="I78" s="2">
        <f>VLOOKUP(A:A,MASTER!A:E,5,0)</f>
        <v>929</v>
      </c>
      <c r="J78" s="2">
        <f>VLOOKUP(A:A,MASTER!A:J,10,0)</f>
        <v>0</v>
      </c>
      <c r="K78" s="12">
        <f t="shared" si="6"/>
        <v>-1</v>
      </c>
      <c r="L78" s="2">
        <f>VLOOKUP(A:A,MASTER!A:D,4,0)</f>
        <v>1</v>
      </c>
      <c r="M78" s="2">
        <f>VLOOKUP(A:A,MASTER!A:I,9,0)</f>
        <v>0</v>
      </c>
      <c r="N78" s="12">
        <f t="shared" si="7"/>
        <v>-1</v>
      </c>
      <c r="O78" s="1">
        <f>VLOOKUP(A:A,MASTER!A:C,3,0)</f>
        <v>0</v>
      </c>
      <c r="P78" s="1">
        <f>VLOOKUP(A:A,MASTER!A:H,8,0)</f>
        <v>0</v>
      </c>
      <c r="Q78" s="12">
        <f t="shared" si="8"/>
        <v>0</v>
      </c>
      <c r="R78" s="1">
        <f>VLOOKUP(A:A,MASTER!A:B,2,0)</f>
        <v>945</v>
      </c>
      <c r="S78">
        <f>VLOOKUP(A:A,MASTER!A:G,7,0)</f>
        <v>0</v>
      </c>
      <c r="T78" s="12">
        <f t="shared" si="9"/>
        <v>-1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1675377.884076444</v>
      </c>
      <c r="G79" s="1">
        <f>VLOOKUP(A:A,MASTER!A:K,11,0)</f>
        <v>0</v>
      </c>
      <c r="H79" s="12">
        <f t="shared" si="5"/>
        <v>-1</v>
      </c>
      <c r="I79" s="2">
        <f>VLOOKUP(A:A,MASTER!A:E,5,0)</f>
        <v>918</v>
      </c>
      <c r="J79" s="2">
        <f>VLOOKUP(A:A,MASTER!A:J,10,0)</f>
        <v>0</v>
      </c>
      <c r="K79" s="12">
        <f t="shared" si="6"/>
        <v>-1</v>
      </c>
      <c r="L79" s="2">
        <f>VLOOKUP(A:A,MASTER!A:D,4,0)</f>
        <v>5</v>
      </c>
      <c r="M79" s="2">
        <f>VLOOKUP(A:A,MASTER!A:I,9,0)</f>
        <v>0</v>
      </c>
      <c r="N79" s="12">
        <f t="shared" si="7"/>
        <v>-1</v>
      </c>
      <c r="O79" s="1">
        <f>VLOOKUP(A:A,MASTER!A:C,3,0)</f>
        <v>0</v>
      </c>
      <c r="P79" s="1">
        <f>VLOOKUP(A:A,MASTER!A:H,8,0)</f>
        <v>0</v>
      </c>
      <c r="Q79" s="12">
        <f t="shared" si="8"/>
        <v>0</v>
      </c>
      <c r="R79" s="1">
        <f>VLOOKUP(A:A,MASTER!A:B,2,0)</f>
        <v>1008</v>
      </c>
      <c r="S79">
        <f>VLOOKUP(A:A,MASTER!A:G,7,0)</f>
        <v>0</v>
      </c>
      <c r="T79" s="12">
        <f t="shared" si="9"/>
        <v>-1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828692.824833942</v>
      </c>
      <c r="G80" s="1">
        <f>VLOOKUP(A:A,MASTER!A:K,11,0)</f>
        <v>0</v>
      </c>
      <c r="H80" s="12">
        <f t="shared" si="5"/>
        <v>-1</v>
      </c>
      <c r="I80" s="2">
        <f>VLOOKUP(A:A,MASTER!A:E,5,0)</f>
        <v>51</v>
      </c>
      <c r="J80" s="2">
        <f>VLOOKUP(A:A,MASTER!A:J,10,0)</f>
        <v>0</v>
      </c>
      <c r="K80" s="12">
        <f t="shared" si="6"/>
        <v>-1</v>
      </c>
      <c r="L80" s="2">
        <f>VLOOKUP(A:A,MASTER!A:D,4,0)</f>
        <v>0</v>
      </c>
      <c r="M80" s="2">
        <f>VLOOKUP(A:A,MASTER!A:I,9,0)</f>
        <v>0</v>
      </c>
      <c r="N80" s="12">
        <f t="shared" si="7"/>
        <v>0</v>
      </c>
      <c r="O80" s="1">
        <f>VLOOKUP(A:A,MASTER!A:C,3,0)</f>
        <v>0</v>
      </c>
      <c r="P80" s="1">
        <f>VLOOKUP(A:A,MASTER!A:H,8,0)</f>
        <v>0</v>
      </c>
      <c r="Q80" s="12">
        <f t="shared" si="8"/>
        <v>0</v>
      </c>
      <c r="R80" s="1">
        <f>VLOOKUP(A:A,MASTER!A:B,2,0)</f>
        <v>751</v>
      </c>
      <c r="S80">
        <f>VLOOKUP(A:A,MASTER!A:G,7,0)</f>
        <v>0</v>
      </c>
      <c r="T80" s="12">
        <f t="shared" si="9"/>
        <v>-1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883697.75508064299</v>
      </c>
      <c r="G81" s="1">
        <f>VLOOKUP(A:A,MASTER!A:K,11,0)</f>
        <v>0</v>
      </c>
      <c r="H81" s="12">
        <f t="shared" si="5"/>
        <v>-1</v>
      </c>
      <c r="I81" s="2">
        <f>VLOOKUP(A:A,MASTER!A:E,5,0)</f>
        <v>777</v>
      </c>
      <c r="J81" s="2">
        <f>VLOOKUP(A:A,MASTER!A:J,10,0)</f>
        <v>0</v>
      </c>
      <c r="K81" s="12">
        <f t="shared" si="6"/>
        <v>-1</v>
      </c>
      <c r="L81" s="2">
        <f>VLOOKUP(A:A,MASTER!A:D,4,0)</f>
        <v>0</v>
      </c>
      <c r="M81" s="2">
        <f>VLOOKUP(A:A,MASTER!A:I,9,0)</f>
        <v>0</v>
      </c>
      <c r="N81" s="12">
        <f t="shared" si="7"/>
        <v>0</v>
      </c>
      <c r="O81" s="1">
        <f>VLOOKUP(A:A,MASTER!A:C,3,0)</f>
        <v>0</v>
      </c>
      <c r="P81" s="1">
        <f>VLOOKUP(A:A,MASTER!A:H,8,0)</f>
        <v>0</v>
      </c>
      <c r="Q81" s="12">
        <f t="shared" si="8"/>
        <v>0</v>
      </c>
      <c r="R81" s="1">
        <f>VLOOKUP(A:A,MASTER!A:B,2,0)</f>
        <v>572</v>
      </c>
      <c r="S81">
        <f>VLOOKUP(A:A,MASTER!A:G,7,0)</f>
        <v>0</v>
      </c>
      <c r="T81" s="12">
        <f t="shared" si="9"/>
        <v>-1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3378012.4421087978</v>
      </c>
      <c r="G82" s="1">
        <f>VLOOKUP(A:A,MASTER!A:K,11,0)</f>
        <v>0</v>
      </c>
      <c r="H82" s="12">
        <f t="shared" si="5"/>
        <v>-1</v>
      </c>
      <c r="I82" s="2">
        <f>VLOOKUP(A:A,MASTER!A:E,5,0)</f>
        <v>1235</v>
      </c>
      <c r="J82" s="2">
        <f>VLOOKUP(A:A,MASTER!A:J,10,0)</f>
        <v>0</v>
      </c>
      <c r="K82" s="12">
        <f t="shared" si="6"/>
        <v>-1</v>
      </c>
      <c r="L82" s="2">
        <f>VLOOKUP(A:A,MASTER!A:D,4,0)</f>
        <v>9</v>
      </c>
      <c r="M82" s="2">
        <f>VLOOKUP(A:A,MASTER!A:I,9,0)</f>
        <v>0</v>
      </c>
      <c r="N82" s="12">
        <f t="shared" si="7"/>
        <v>-1</v>
      </c>
      <c r="O82" s="1">
        <f>VLOOKUP(A:A,MASTER!A:C,3,0)</f>
        <v>0</v>
      </c>
      <c r="P82" s="1">
        <f>VLOOKUP(A:A,MASTER!A:H,8,0)</f>
        <v>0</v>
      </c>
      <c r="Q82" s="12">
        <f t="shared" si="8"/>
        <v>0</v>
      </c>
      <c r="R82" s="1">
        <f>VLOOKUP(A:A,MASTER!A:B,2,0)</f>
        <v>1720</v>
      </c>
      <c r="S82">
        <f>VLOOKUP(A:A,MASTER!A:G,7,0)</f>
        <v>0</v>
      </c>
      <c r="T82" s="12">
        <f t="shared" si="9"/>
        <v>-1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652143.06577337498</v>
      </c>
      <c r="G83" s="1">
        <f>VLOOKUP(A:A,MASTER!A:K,11,0)</f>
        <v>0</v>
      </c>
      <c r="H83" s="12">
        <f t="shared" si="5"/>
        <v>-1</v>
      </c>
      <c r="I83" s="2">
        <f>VLOOKUP(A:A,MASTER!A:E,5,0)</f>
        <v>721</v>
      </c>
      <c r="J83" s="2">
        <f>VLOOKUP(A:A,MASTER!A:J,10,0)</f>
        <v>0</v>
      </c>
      <c r="K83" s="12">
        <f t="shared" si="6"/>
        <v>-1</v>
      </c>
      <c r="L83" s="2">
        <f>VLOOKUP(A:A,MASTER!A:D,4,0)</f>
        <v>4</v>
      </c>
      <c r="M83" s="2">
        <f>VLOOKUP(A:A,MASTER!A:I,9,0)</f>
        <v>0</v>
      </c>
      <c r="N83" s="12">
        <f t="shared" si="7"/>
        <v>-1</v>
      </c>
      <c r="O83" s="1">
        <f>VLOOKUP(A:A,MASTER!A:C,3,0)</f>
        <v>0</v>
      </c>
      <c r="P83" s="1">
        <f>VLOOKUP(A:A,MASTER!A:H,8,0)</f>
        <v>0</v>
      </c>
      <c r="Q83" s="12">
        <f t="shared" si="8"/>
        <v>0</v>
      </c>
      <c r="R83" s="1">
        <f>VLOOKUP(A:A,MASTER!A:B,2,0)</f>
        <v>612</v>
      </c>
      <c r="S83">
        <f>VLOOKUP(A:A,MASTER!A:G,7,0)</f>
        <v>0</v>
      </c>
      <c r="T83" s="12">
        <f t="shared" si="9"/>
        <v>-1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1804000.6776906841</v>
      </c>
      <c r="G84" s="1">
        <f>VLOOKUP(A:A,MASTER!A:K,11,0)</f>
        <v>0</v>
      </c>
      <c r="H84" s="12">
        <f t="shared" si="5"/>
        <v>-1</v>
      </c>
      <c r="I84" s="2">
        <f>VLOOKUP(A:A,MASTER!A:E,5,0)</f>
        <v>682</v>
      </c>
      <c r="J84" s="2">
        <f>VLOOKUP(A:A,MASTER!A:J,10,0)</f>
        <v>0</v>
      </c>
      <c r="K84" s="12">
        <f t="shared" si="6"/>
        <v>-1</v>
      </c>
      <c r="L84" s="2">
        <f>VLOOKUP(A:A,MASTER!A:D,4,0)</f>
        <v>6</v>
      </c>
      <c r="M84" s="2">
        <f>VLOOKUP(A:A,MASTER!A:I,9,0)</f>
        <v>0</v>
      </c>
      <c r="N84" s="12">
        <f t="shared" si="7"/>
        <v>-1</v>
      </c>
      <c r="O84" s="1">
        <f>VLOOKUP(A:A,MASTER!A:C,3,0)</f>
        <v>1</v>
      </c>
      <c r="P84" s="1">
        <f>VLOOKUP(A:A,MASTER!A:H,8,0)</f>
        <v>0</v>
      </c>
      <c r="Q84" s="12">
        <f t="shared" si="8"/>
        <v>-1</v>
      </c>
      <c r="R84" s="1">
        <f>VLOOKUP(A:A,MASTER!A:B,2,0)</f>
        <v>595</v>
      </c>
      <c r="S84">
        <f>VLOOKUP(A:A,MASTER!A:G,7,0)</f>
        <v>0</v>
      </c>
      <c r="T84" s="12">
        <f t="shared" si="9"/>
        <v>-1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391142.18356181402</v>
      </c>
      <c r="G85" s="1">
        <f>VLOOKUP(A:A,MASTER!A:K,11,0)</f>
        <v>0</v>
      </c>
      <c r="H85" s="12">
        <f t="shared" si="5"/>
        <v>-1</v>
      </c>
      <c r="I85" s="2">
        <f>VLOOKUP(A:A,MASTER!A:E,5,0)</f>
        <v>326</v>
      </c>
      <c r="J85" s="2">
        <f>VLOOKUP(A:A,MASTER!A:J,10,0)</f>
        <v>0</v>
      </c>
      <c r="K85" s="12">
        <f t="shared" si="6"/>
        <v>-1</v>
      </c>
      <c r="L85" s="2">
        <f>VLOOKUP(A:A,MASTER!A:D,4,0)</f>
        <v>0</v>
      </c>
      <c r="M85" s="2">
        <f>VLOOKUP(A:A,MASTER!A:I,9,0)</f>
        <v>0</v>
      </c>
      <c r="N85" s="12">
        <f t="shared" si="7"/>
        <v>0</v>
      </c>
      <c r="O85" s="1">
        <f>VLOOKUP(A:A,MASTER!A:C,3,0)</f>
        <v>0</v>
      </c>
      <c r="P85" s="1">
        <f>VLOOKUP(A:A,MASTER!A:H,8,0)</f>
        <v>0</v>
      </c>
      <c r="Q85" s="12">
        <f t="shared" si="8"/>
        <v>0</v>
      </c>
      <c r="R85" s="1">
        <f>VLOOKUP(A:A,MASTER!A:B,2,0)</f>
        <v>358</v>
      </c>
      <c r="S85">
        <f>VLOOKUP(A:A,MASTER!A:G,7,0)</f>
        <v>0</v>
      </c>
      <c r="T85" s="12">
        <f t="shared" si="9"/>
        <v>-1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E78" activePane="bottomRight" state="frozen"/>
      <selection pane="topRight" activeCell="B1" sqref="B1"/>
      <selection pane="bottomLeft" activeCell="A6" sqref="A6"/>
      <selection pane="bottomRight" activeCell="G6" sqref="G6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84519</v>
      </c>
      <c r="C3" s="11">
        <f t="shared" si="0"/>
        <v>13</v>
      </c>
      <c r="D3" s="11">
        <f t="shared" si="0"/>
        <v>260</v>
      </c>
      <c r="E3" s="11">
        <f t="shared" si="0"/>
        <v>68691</v>
      </c>
      <c r="F3" s="11">
        <f t="shared" si="0"/>
        <v>161967561.36798379</v>
      </c>
      <c r="G3" s="11">
        <f t="shared" si="0"/>
        <v>0</v>
      </c>
      <c r="H3" s="11">
        <f t="shared" si="0"/>
        <v>0</v>
      </c>
      <c r="I3" s="11">
        <f t="shared" si="0"/>
        <v>0</v>
      </c>
      <c r="J3" s="11">
        <f t="shared" si="0"/>
        <v>0</v>
      </c>
      <c r="K3" s="11">
        <f t="shared" si="0"/>
        <v>0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398</v>
      </c>
      <c r="C6" s="10">
        <v>0</v>
      </c>
      <c r="D6" s="10">
        <v>2</v>
      </c>
      <c r="E6" s="10">
        <v>350</v>
      </c>
      <c r="F6" s="10">
        <v>696092.32296935795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35">
      <c r="A7" s="9" t="s">
        <v>127</v>
      </c>
      <c r="B7" s="10">
        <v>641</v>
      </c>
      <c r="C7" s="10">
        <v>0</v>
      </c>
      <c r="D7" s="10">
        <v>0</v>
      </c>
      <c r="E7" s="10">
        <v>526</v>
      </c>
      <c r="F7" s="10">
        <v>808291.79174990195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35">
      <c r="A8" s="9" t="s">
        <v>119</v>
      </c>
      <c r="B8" s="10">
        <v>726</v>
      </c>
      <c r="C8" s="10">
        <v>0</v>
      </c>
      <c r="D8" s="10">
        <v>0</v>
      </c>
      <c r="E8" s="10">
        <v>757</v>
      </c>
      <c r="F8" s="10">
        <v>1370730.200225625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35">
      <c r="A9" s="9" t="s">
        <v>121</v>
      </c>
      <c r="B9" s="10">
        <v>1218</v>
      </c>
      <c r="C9" s="10">
        <v>0</v>
      </c>
      <c r="D9" s="10">
        <v>4</v>
      </c>
      <c r="E9" s="10">
        <v>991</v>
      </c>
      <c r="F9" s="10">
        <v>1808203.4657892811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35">
      <c r="A10" s="9" t="s">
        <v>123</v>
      </c>
      <c r="B10" s="10">
        <v>397</v>
      </c>
      <c r="C10" s="10">
        <v>0</v>
      </c>
      <c r="D10" s="10">
        <v>0</v>
      </c>
      <c r="E10" s="10">
        <v>296</v>
      </c>
      <c r="F10" s="10">
        <v>605034.10920116503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35">
      <c r="A11" s="9" t="s">
        <v>125</v>
      </c>
      <c r="B11" s="10">
        <v>369</v>
      </c>
      <c r="C11" s="10">
        <v>0</v>
      </c>
      <c r="D11" s="10">
        <v>2</v>
      </c>
      <c r="E11" s="10">
        <v>259</v>
      </c>
      <c r="F11" s="10">
        <v>537044.24103648798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35">
      <c r="A12" s="9" t="s">
        <v>131</v>
      </c>
      <c r="B12" s="10">
        <v>596</v>
      </c>
      <c r="C12" s="10">
        <v>0</v>
      </c>
      <c r="D12" s="10">
        <v>1</v>
      </c>
      <c r="E12" s="10">
        <v>513</v>
      </c>
      <c r="F12" s="10">
        <v>838373.75816792203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35">
      <c r="A13" s="9" t="s">
        <v>133</v>
      </c>
      <c r="B13" s="10">
        <v>170</v>
      </c>
      <c r="C13" s="10">
        <v>0</v>
      </c>
      <c r="D13" s="10">
        <v>0</v>
      </c>
      <c r="E13" s="10">
        <v>145</v>
      </c>
      <c r="F13" s="10">
        <v>404742.48262980598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35">
      <c r="A14" s="9" t="s">
        <v>141</v>
      </c>
      <c r="B14" s="10">
        <v>197</v>
      </c>
      <c r="C14" s="10">
        <v>0</v>
      </c>
      <c r="D14" s="10">
        <v>0</v>
      </c>
      <c r="E14" s="10">
        <v>1</v>
      </c>
      <c r="F14" s="10">
        <v>22.486592934000001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35">
      <c r="A15" s="9" t="s">
        <v>135</v>
      </c>
      <c r="B15" s="10">
        <v>350</v>
      </c>
      <c r="C15" s="10">
        <v>0</v>
      </c>
      <c r="D15" s="10">
        <v>0</v>
      </c>
      <c r="E15" s="10">
        <v>545</v>
      </c>
      <c r="F15" s="10">
        <v>845158.77877030603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35">
      <c r="A16" s="9" t="s">
        <v>143</v>
      </c>
      <c r="B16" s="10">
        <v>199</v>
      </c>
      <c r="C16" s="10">
        <v>0</v>
      </c>
      <c r="D16" s="10">
        <v>2</v>
      </c>
      <c r="E16" s="10">
        <v>276</v>
      </c>
      <c r="F16" s="10">
        <v>307689.98482151597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35">
      <c r="A17" s="9" t="s">
        <v>145</v>
      </c>
      <c r="B17" s="10">
        <v>246</v>
      </c>
      <c r="C17" s="10">
        <v>0</v>
      </c>
      <c r="D17" s="10">
        <v>0</v>
      </c>
      <c r="E17" s="10">
        <v>271</v>
      </c>
      <c r="F17" s="10">
        <v>384204.64217334799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35">
      <c r="A18" s="9" t="s">
        <v>20</v>
      </c>
      <c r="B18" s="10">
        <v>1479</v>
      </c>
      <c r="C18" s="10">
        <v>1</v>
      </c>
      <c r="D18" s="10">
        <v>3</v>
      </c>
      <c r="E18" s="10">
        <v>1144</v>
      </c>
      <c r="F18" s="10">
        <v>2387423.083762663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35">
      <c r="A19" s="9" t="s">
        <v>45</v>
      </c>
      <c r="B19" s="10">
        <v>1253</v>
      </c>
      <c r="C19" s="10">
        <v>0</v>
      </c>
      <c r="D19" s="10">
        <v>3</v>
      </c>
      <c r="E19" s="10">
        <v>859</v>
      </c>
      <c r="F19" s="10">
        <v>2729624.23950763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35">
      <c r="A20" s="9" t="s">
        <v>47</v>
      </c>
      <c r="B20" s="10">
        <v>1034</v>
      </c>
      <c r="C20" s="10">
        <v>0</v>
      </c>
      <c r="D20" s="10">
        <v>4</v>
      </c>
      <c r="E20" s="10">
        <v>900</v>
      </c>
      <c r="F20" s="10">
        <v>1586887.2945363561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35">
      <c r="A21" s="9" t="s">
        <v>49</v>
      </c>
      <c r="B21" s="10">
        <v>924</v>
      </c>
      <c r="C21" s="10">
        <v>0</v>
      </c>
      <c r="D21" s="10">
        <v>1</v>
      </c>
      <c r="E21" s="10">
        <v>500</v>
      </c>
      <c r="F21" s="10">
        <v>994390.61679420096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35">
      <c r="A22" s="9" t="s">
        <v>51</v>
      </c>
      <c r="B22" s="10">
        <v>2868</v>
      </c>
      <c r="C22" s="10">
        <v>0</v>
      </c>
      <c r="D22" s="10">
        <v>7</v>
      </c>
      <c r="E22" s="10">
        <v>2126</v>
      </c>
      <c r="F22" s="10">
        <v>5057106.6994473161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35">
      <c r="A23" s="9" t="s">
        <v>53</v>
      </c>
      <c r="B23" s="10">
        <v>1414</v>
      </c>
      <c r="C23" s="10">
        <v>0</v>
      </c>
      <c r="D23" s="10">
        <v>2</v>
      </c>
      <c r="E23" s="10">
        <v>1162</v>
      </c>
      <c r="F23" s="10">
        <v>2898661.7310785181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</row>
    <row r="24" spans="1:11" x14ac:dyDescent="0.35">
      <c r="A24" s="9" t="s">
        <v>55</v>
      </c>
      <c r="B24" s="10">
        <v>2960</v>
      </c>
      <c r="C24" s="10">
        <v>0</v>
      </c>
      <c r="D24" s="10">
        <v>10</v>
      </c>
      <c r="E24" s="10">
        <v>2239</v>
      </c>
      <c r="F24" s="10">
        <v>5316756.0232842062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</row>
    <row r="25" spans="1:11" x14ac:dyDescent="0.35">
      <c r="A25" s="9" t="s">
        <v>67</v>
      </c>
      <c r="B25" s="10">
        <v>529</v>
      </c>
      <c r="C25" s="10">
        <v>0</v>
      </c>
      <c r="D25" s="10">
        <v>0</v>
      </c>
      <c r="E25" s="10">
        <v>456</v>
      </c>
      <c r="F25" s="10">
        <v>777070.68205565796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</row>
    <row r="26" spans="1:11" x14ac:dyDescent="0.35">
      <c r="A26" s="9" t="s">
        <v>74</v>
      </c>
      <c r="B26" s="10">
        <v>1763</v>
      </c>
      <c r="C26" s="10">
        <v>0</v>
      </c>
      <c r="D26" s="10">
        <v>1</v>
      </c>
      <c r="E26" s="10">
        <v>1246</v>
      </c>
      <c r="F26" s="10">
        <v>2072701.2037139861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</row>
    <row r="27" spans="1:11" x14ac:dyDescent="0.35">
      <c r="A27" s="9" t="s">
        <v>70</v>
      </c>
      <c r="B27" s="10">
        <v>887</v>
      </c>
      <c r="C27" s="10">
        <v>1</v>
      </c>
      <c r="D27" s="10">
        <v>1</v>
      </c>
      <c r="E27" s="10">
        <v>939</v>
      </c>
      <c r="F27" s="10">
        <v>1084655.156536326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</row>
    <row r="28" spans="1:11" x14ac:dyDescent="0.35">
      <c r="A28" s="9" t="s">
        <v>72</v>
      </c>
      <c r="B28" s="10">
        <v>876</v>
      </c>
      <c r="C28" s="10">
        <v>0</v>
      </c>
      <c r="D28" s="10">
        <v>0</v>
      </c>
      <c r="E28" s="10">
        <v>712</v>
      </c>
      <c r="F28" s="10">
        <v>1313383.8746008719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</row>
    <row r="29" spans="1:11" x14ac:dyDescent="0.35">
      <c r="A29" s="9" t="s">
        <v>79</v>
      </c>
      <c r="B29" s="10">
        <v>242</v>
      </c>
      <c r="C29" s="10">
        <v>0</v>
      </c>
      <c r="D29" s="10">
        <v>0</v>
      </c>
      <c r="E29" s="10">
        <v>155</v>
      </c>
      <c r="F29" s="10">
        <v>258464.70989267601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</row>
    <row r="30" spans="1:11" x14ac:dyDescent="0.35">
      <c r="A30" s="9" t="s">
        <v>109</v>
      </c>
      <c r="B30" s="10">
        <v>1609</v>
      </c>
      <c r="C30" s="10">
        <v>1</v>
      </c>
      <c r="D30" s="10">
        <v>5</v>
      </c>
      <c r="E30" s="10">
        <v>1263</v>
      </c>
      <c r="F30" s="10">
        <v>2178603.1102301362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</row>
    <row r="31" spans="1:11" x14ac:dyDescent="0.35">
      <c r="A31" s="9" t="s">
        <v>111</v>
      </c>
      <c r="B31" s="10">
        <v>876</v>
      </c>
      <c r="C31" s="10">
        <v>0</v>
      </c>
      <c r="D31" s="10">
        <v>0</v>
      </c>
      <c r="E31" s="10">
        <v>588</v>
      </c>
      <c r="F31" s="10">
        <v>1724245.279462755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</row>
    <row r="32" spans="1:11" x14ac:dyDescent="0.35">
      <c r="A32" s="9" t="s">
        <v>113</v>
      </c>
      <c r="B32" s="10">
        <v>1063</v>
      </c>
      <c r="C32" s="10">
        <v>1</v>
      </c>
      <c r="D32" s="10">
        <v>1</v>
      </c>
      <c r="E32" s="10">
        <v>826</v>
      </c>
      <c r="F32" s="10">
        <v>1734129.6783451431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</row>
    <row r="33" spans="1:11" x14ac:dyDescent="0.35">
      <c r="A33" s="9" t="s">
        <v>115</v>
      </c>
      <c r="B33" s="10">
        <v>1094</v>
      </c>
      <c r="C33" s="10">
        <v>0</v>
      </c>
      <c r="D33" s="10">
        <v>1</v>
      </c>
      <c r="E33" s="10">
        <v>830</v>
      </c>
      <c r="F33" s="10">
        <v>2407777.5416504992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</row>
    <row r="34" spans="1:11" x14ac:dyDescent="0.35">
      <c r="A34" s="9" t="s">
        <v>16</v>
      </c>
      <c r="B34" s="10">
        <v>1459</v>
      </c>
      <c r="C34" s="10">
        <v>0</v>
      </c>
      <c r="D34" s="10">
        <v>5</v>
      </c>
      <c r="E34" s="10">
        <v>1080</v>
      </c>
      <c r="F34" s="10">
        <v>3501667.9966453449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</row>
    <row r="35" spans="1:11" x14ac:dyDescent="0.35">
      <c r="A35" s="9" t="s">
        <v>18</v>
      </c>
      <c r="B35" s="10">
        <v>687</v>
      </c>
      <c r="C35" s="10">
        <v>0</v>
      </c>
      <c r="D35" s="10">
        <v>4</v>
      </c>
      <c r="E35" s="10">
        <v>518</v>
      </c>
      <c r="F35" s="10">
        <v>1316339.75073881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</row>
    <row r="36" spans="1:11" x14ac:dyDescent="0.35">
      <c r="A36" s="9" t="s">
        <v>43</v>
      </c>
      <c r="B36" s="10">
        <v>1954</v>
      </c>
      <c r="C36" s="10">
        <v>1</v>
      </c>
      <c r="D36" s="10">
        <v>10</v>
      </c>
      <c r="E36" s="10">
        <v>1604</v>
      </c>
      <c r="F36" s="10">
        <v>4155396.447544747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</row>
    <row r="37" spans="1:11" x14ac:dyDescent="0.35">
      <c r="A37" s="9" t="s">
        <v>152</v>
      </c>
      <c r="B37" s="10">
        <v>837</v>
      </c>
      <c r="C37" s="10">
        <v>0</v>
      </c>
      <c r="D37" s="10">
        <v>0</v>
      </c>
      <c r="E37" s="10">
        <v>680</v>
      </c>
      <c r="F37" s="10">
        <v>1439119.66207845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</row>
    <row r="38" spans="1:11" x14ac:dyDescent="0.35">
      <c r="A38" s="9" t="s">
        <v>149</v>
      </c>
      <c r="B38" s="10">
        <v>714</v>
      </c>
      <c r="C38" s="10">
        <v>0</v>
      </c>
      <c r="D38" s="10">
        <v>1</v>
      </c>
      <c r="E38" s="10">
        <v>559</v>
      </c>
      <c r="F38" s="10">
        <v>1346009.8774035301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</row>
    <row r="39" spans="1:11" x14ac:dyDescent="0.35">
      <c r="A39" s="9" t="s">
        <v>154</v>
      </c>
      <c r="B39" s="10">
        <v>1180</v>
      </c>
      <c r="C39" s="10">
        <v>0</v>
      </c>
      <c r="D39" s="10">
        <v>1</v>
      </c>
      <c r="E39" s="10">
        <v>819</v>
      </c>
      <c r="F39" s="10">
        <v>2060747.5662985251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</row>
    <row r="40" spans="1:11" x14ac:dyDescent="0.35">
      <c r="A40" s="9" t="s">
        <v>2</v>
      </c>
      <c r="B40" s="10">
        <v>1325</v>
      </c>
      <c r="C40" s="10">
        <v>0</v>
      </c>
      <c r="D40" s="10">
        <v>1</v>
      </c>
      <c r="E40" s="10">
        <v>799</v>
      </c>
      <c r="F40" s="10">
        <v>1840936.3527239191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</row>
    <row r="41" spans="1:11" x14ac:dyDescent="0.35">
      <c r="A41" s="9" t="s">
        <v>156</v>
      </c>
      <c r="B41" s="10">
        <v>2602</v>
      </c>
      <c r="C41" s="10">
        <v>1</v>
      </c>
      <c r="D41" s="10">
        <v>3</v>
      </c>
      <c r="E41" s="10">
        <v>1509</v>
      </c>
      <c r="F41" s="10">
        <v>3366774.179034201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</row>
    <row r="42" spans="1:11" x14ac:dyDescent="0.35">
      <c r="A42" s="9" t="s">
        <v>14</v>
      </c>
      <c r="B42" s="10">
        <v>606</v>
      </c>
      <c r="C42" s="10">
        <v>0</v>
      </c>
      <c r="D42" s="10">
        <v>5</v>
      </c>
      <c r="E42" s="10">
        <v>435</v>
      </c>
      <c r="F42" s="10">
        <v>1209305.970163479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</row>
    <row r="43" spans="1:11" x14ac:dyDescent="0.35">
      <c r="A43" s="9" t="s">
        <v>8</v>
      </c>
      <c r="B43" s="10">
        <v>2052</v>
      </c>
      <c r="C43" s="10">
        <v>1</v>
      </c>
      <c r="D43" s="10">
        <v>6</v>
      </c>
      <c r="E43" s="10">
        <v>1972</v>
      </c>
      <c r="F43" s="10">
        <v>4278464.3482154487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</row>
    <row r="44" spans="1:11" x14ac:dyDescent="0.35">
      <c r="A44" s="9" t="s">
        <v>39</v>
      </c>
      <c r="B44" s="10">
        <v>892</v>
      </c>
      <c r="C44" s="10">
        <v>0</v>
      </c>
      <c r="D44" s="10">
        <v>2</v>
      </c>
      <c r="E44" s="10">
        <v>726</v>
      </c>
      <c r="F44" s="10">
        <v>2774714.3506167838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</row>
    <row r="45" spans="1:11" x14ac:dyDescent="0.35">
      <c r="A45" s="9" t="s">
        <v>6</v>
      </c>
      <c r="B45" s="10">
        <v>1115</v>
      </c>
      <c r="C45" s="10">
        <v>0</v>
      </c>
      <c r="D45" s="10">
        <v>5</v>
      </c>
      <c r="E45" s="10">
        <v>972</v>
      </c>
      <c r="F45" s="10">
        <v>1731092.5885053079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</row>
    <row r="46" spans="1:11" x14ac:dyDescent="0.35">
      <c r="A46" s="9" t="s">
        <v>41</v>
      </c>
      <c r="B46" s="10">
        <v>831</v>
      </c>
      <c r="C46" s="10">
        <v>0</v>
      </c>
      <c r="D46" s="10">
        <v>4</v>
      </c>
      <c r="E46" s="10">
        <v>612</v>
      </c>
      <c r="F46" s="10">
        <v>2169368.0810964699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</row>
    <row r="47" spans="1:11" x14ac:dyDescent="0.35">
      <c r="A47" s="9" t="s">
        <v>158</v>
      </c>
      <c r="B47" s="10">
        <v>674</v>
      </c>
      <c r="C47" s="10">
        <v>0</v>
      </c>
      <c r="D47" s="10">
        <v>9</v>
      </c>
      <c r="E47" s="10">
        <v>850</v>
      </c>
      <c r="F47" s="10">
        <v>1501647.8344148649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</row>
    <row r="48" spans="1:11" x14ac:dyDescent="0.35">
      <c r="A48" s="9" t="s">
        <v>160</v>
      </c>
      <c r="B48" s="10">
        <v>692</v>
      </c>
      <c r="C48" s="10">
        <v>0</v>
      </c>
      <c r="D48" s="10">
        <v>0</v>
      </c>
      <c r="E48" s="10">
        <v>689</v>
      </c>
      <c r="F48" s="10">
        <v>1214565.207749011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</row>
    <row r="49" spans="1:11" x14ac:dyDescent="0.35">
      <c r="A49" s="9" t="s">
        <v>83</v>
      </c>
      <c r="B49" s="10">
        <v>1244</v>
      </c>
      <c r="C49" s="10">
        <v>0</v>
      </c>
      <c r="D49" s="10">
        <v>5</v>
      </c>
      <c r="E49" s="10">
        <v>1057</v>
      </c>
      <c r="F49" s="10">
        <v>3797102.8675774592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</row>
    <row r="50" spans="1:11" x14ac:dyDescent="0.35">
      <c r="A50" s="9" t="s">
        <v>201</v>
      </c>
      <c r="B50" s="10">
        <v>445</v>
      </c>
      <c r="C50" s="10">
        <v>0</v>
      </c>
      <c r="D50" s="10">
        <v>1</v>
      </c>
      <c r="E50" s="10">
        <v>461</v>
      </c>
      <c r="F50" s="10">
        <v>690309.65216913295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</row>
    <row r="51" spans="1:11" x14ac:dyDescent="0.35">
      <c r="A51" s="9" t="s">
        <v>31</v>
      </c>
      <c r="B51" s="10">
        <v>903</v>
      </c>
      <c r="C51" s="10">
        <v>0</v>
      </c>
      <c r="D51" s="10">
        <v>5</v>
      </c>
      <c r="E51" s="10">
        <v>936</v>
      </c>
      <c r="F51" s="10">
        <v>1783241.8434522089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</row>
    <row r="52" spans="1:11" x14ac:dyDescent="0.35">
      <c r="A52" s="9" t="s">
        <v>33</v>
      </c>
      <c r="B52" s="10">
        <v>1326</v>
      </c>
      <c r="C52" s="10">
        <v>0</v>
      </c>
      <c r="D52" s="10">
        <v>12</v>
      </c>
      <c r="E52" s="10">
        <v>998</v>
      </c>
      <c r="F52" s="10">
        <v>3027734.7848902522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</row>
    <row r="53" spans="1:11" x14ac:dyDescent="0.35">
      <c r="A53" s="9" t="s">
        <v>85</v>
      </c>
      <c r="B53" s="10">
        <v>476</v>
      </c>
      <c r="C53" s="10">
        <v>0</v>
      </c>
      <c r="D53" s="10">
        <v>4</v>
      </c>
      <c r="E53" s="10">
        <v>370</v>
      </c>
      <c r="F53" s="10">
        <v>1729759.588256903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</row>
    <row r="54" spans="1:11" x14ac:dyDescent="0.35">
      <c r="A54" s="9" t="s">
        <v>81</v>
      </c>
      <c r="B54" s="10">
        <v>455</v>
      </c>
      <c r="C54" s="10">
        <v>0</v>
      </c>
      <c r="D54" s="10">
        <v>6</v>
      </c>
      <c r="E54" s="10">
        <v>349</v>
      </c>
      <c r="F54" s="10">
        <v>1393741.4557678441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</row>
    <row r="55" spans="1:11" x14ac:dyDescent="0.35">
      <c r="A55" s="9" t="s">
        <v>87</v>
      </c>
      <c r="B55" s="10">
        <v>422</v>
      </c>
      <c r="C55" s="10">
        <v>0</v>
      </c>
      <c r="D55" s="10">
        <v>4</v>
      </c>
      <c r="E55" s="10">
        <v>439</v>
      </c>
      <c r="F55" s="10">
        <v>1191490.8234450771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</row>
    <row r="56" spans="1:11" x14ac:dyDescent="0.35">
      <c r="A56" s="9" t="s">
        <v>166</v>
      </c>
      <c r="B56" s="10">
        <v>1115</v>
      </c>
      <c r="C56" s="10">
        <v>0</v>
      </c>
      <c r="D56" s="10">
        <v>0</v>
      </c>
      <c r="E56" s="10">
        <v>965</v>
      </c>
      <c r="F56" s="10">
        <v>2472926.580826411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</row>
    <row r="57" spans="1:11" x14ac:dyDescent="0.35">
      <c r="A57" s="9" t="s">
        <v>93</v>
      </c>
      <c r="B57" s="10">
        <v>949</v>
      </c>
      <c r="C57" s="10">
        <v>0</v>
      </c>
      <c r="D57" s="10">
        <v>1</v>
      </c>
      <c r="E57" s="10">
        <v>688</v>
      </c>
      <c r="F57" s="10">
        <v>1842282.817660179</v>
      </c>
      <c r="G57" s="10">
        <v>0</v>
      </c>
      <c r="H57" s="10">
        <v>0</v>
      </c>
      <c r="I57" s="10">
        <v>0</v>
      </c>
      <c r="J57" s="10">
        <v>0</v>
      </c>
      <c r="K57" s="10">
        <v>0</v>
      </c>
    </row>
    <row r="58" spans="1:11" x14ac:dyDescent="0.35">
      <c r="A58" s="9" t="s">
        <v>95</v>
      </c>
      <c r="B58" s="10">
        <v>2011</v>
      </c>
      <c r="C58" s="10">
        <v>1</v>
      </c>
      <c r="D58" s="10">
        <v>7</v>
      </c>
      <c r="E58" s="10">
        <v>1819</v>
      </c>
      <c r="F58" s="10">
        <v>5020812.0404420467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</row>
    <row r="59" spans="1:11" x14ac:dyDescent="0.35">
      <c r="A59" s="9" t="s">
        <v>174</v>
      </c>
      <c r="B59" s="10">
        <v>675</v>
      </c>
      <c r="C59" s="10">
        <v>0</v>
      </c>
      <c r="D59" s="10">
        <v>0</v>
      </c>
      <c r="E59" s="10">
        <v>559</v>
      </c>
      <c r="F59" s="10">
        <v>1040271.355689719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</row>
    <row r="60" spans="1:11" x14ac:dyDescent="0.35">
      <c r="A60" s="9" t="s">
        <v>99</v>
      </c>
      <c r="B60" s="10">
        <v>868</v>
      </c>
      <c r="C60" s="10">
        <v>0</v>
      </c>
      <c r="D60" s="10">
        <v>5</v>
      </c>
      <c r="E60" s="10">
        <v>717</v>
      </c>
      <c r="F60" s="10">
        <v>1778920.1757622601</v>
      </c>
      <c r="G60" s="10">
        <v>0</v>
      </c>
      <c r="H60" s="10">
        <v>0</v>
      </c>
      <c r="I60" s="10">
        <v>0</v>
      </c>
      <c r="J60" s="10">
        <v>0</v>
      </c>
      <c r="K60" s="10">
        <v>0</v>
      </c>
    </row>
    <row r="61" spans="1:11" x14ac:dyDescent="0.35">
      <c r="A61" s="9" t="s">
        <v>172</v>
      </c>
      <c r="B61" s="10">
        <v>764</v>
      </c>
      <c r="C61" s="10">
        <v>0</v>
      </c>
      <c r="D61" s="10">
        <v>1</v>
      </c>
      <c r="E61" s="10">
        <v>628</v>
      </c>
      <c r="F61" s="10">
        <v>1278064.715559372</v>
      </c>
      <c r="G61" s="10">
        <v>0</v>
      </c>
      <c r="H61" s="10">
        <v>0</v>
      </c>
      <c r="I61" s="10">
        <v>0</v>
      </c>
      <c r="J61" s="10">
        <v>0</v>
      </c>
      <c r="K61" s="10">
        <v>0</v>
      </c>
    </row>
    <row r="62" spans="1:11" x14ac:dyDescent="0.35">
      <c r="A62" s="9" t="s">
        <v>168</v>
      </c>
      <c r="B62" s="10">
        <v>1095</v>
      </c>
      <c r="C62" s="10">
        <v>1</v>
      </c>
      <c r="D62" s="10">
        <v>0</v>
      </c>
      <c r="E62" s="10">
        <v>1117</v>
      </c>
      <c r="F62" s="10">
        <v>2664418.5130016878</v>
      </c>
      <c r="G62" s="10">
        <v>0</v>
      </c>
      <c r="H62" s="10">
        <v>0</v>
      </c>
      <c r="I62" s="10">
        <v>0</v>
      </c>
      <c r="J62" s="10">
        <v>0</v>
      </c>
      <c r="K62" s="10">
        <v>0</v>
      </c>
    </row>
    <row r="63" spans="1:11" x14ac:dyDescent="0.35">
      <c r="A63" s="9" t="s">
        <v>101</v>
      </c>
      <c r="B63" s="10">
        <v>1338</v>
      </c>
      <c r="C63" s="10">
        <v>0</v>
      </c>
      <c r="D63" s="10">
        <v>4</v>
      </c>
      <c r="E63" s="10">
        <v>1333</v>
      </c>
      <c r="F63" s="10">
        <v>3133108.0262878281</v>
      </c>
      <c r="G63" s="10">
        <v>0</v>
      </c>
      <c r="H63" s="10">
        <v>0</v>
      </c>
      <c r="I63" s="10">
        <v>0</v>
      </c>
      <c r="J63" s="10">
        <v>0</v>
      </c>
      <c r="K63" s="10">
        <v>0</v>
      </c>
    </row>
    <row r="64" spans="1:11" x14ac:dyDescent="0.35">
      <c r="A64" s="9" t="s">
        <v>103</v>
      </c>
      <c r="B64" s="10">
        <v>784</v>
      </c>
      <c r="C64" s="10">
        <v>0</v>
      </c>
      <c r="D64" s="10">
        <v>2</v>
      </c>
      <c r="E64" s="10">
        <v>658</v>
      </c>
      <c r="F64" s="10">
        <v>1627496.9061220919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</row>
    <row r="65" spans="1:11" x14ac:dyDescent="0.35">
      <c r="A65" s="9" t="s">
        <v>105</v>
      </c>
      <c r="B65" s="10">
        <v>669</v>
      </c>
      <c r="C65" s="10">
        <v>1</v>
      </c>
      <c r="D65" s="10">
        <v>4</v>
      </c>
      <c r="E65" s="10">
        <v>441</v>
      </c>
      <c r="F65" s="10">
        <v>1817434.8642332279</v>
      </c>
      <c r="G65" s="10">
        <v>0</v>
      </c>
      <c r="H65" s="10">
        <v>0</v>
      </c>
      <c r="I65" s="10">
        <v>0</v>
      </c>
      <c r="J65" s="10">
        <v>0</v>
      </c>
      <c r="K65" s="10">
        <v>0</v>
      </c>
    </row>
    <row r="66" spans="1:11" x14ac:dyDescent="0.35">
      <c r="A66" s="9" t="s">
        <v>24</v>
      </c>
      <c r="B66" s="10">
        <v>2030</v>
      </c>
      <c r="C66" s="10">
        <v>0</v>
      </c>
      <c r="D66" s="10">
        <v>10</v>
      </c>
      <c r="E66" s="10">
        <v>1923</v>
      </c>
      <c r="F66" s="10">
        <v>5673303.6061277613</v>
      </c>
      <c r="G66" s="10">
        <v>0</v>
      </c>
      <c r="H66" s="10">
        <v>0</v>
      </c>
      <c r="I66" s="10">
        <v>0</v>
      </c>
      <c r="J66" s="10">
        <v>0</v>
      </c>
      <c r="K66" s="10">
        <v>0</v>
      </c>
    </row>
    <row r="67" spans="1:11" x14ac:dyDescent="0.35">
      <c r="A67" s="9" t="s">
        <v>27</v>
      </c>
      <c r="B67" s="10">
        <v>1559</v>
      </c>
      <c r="C67" s="10">
        <v>0</v>
      </c>
      <c r="D67" s="10">
        <v>6</v>
      </c>
      <c r="E67" s="10">
        <v>1112</v>
      </c>
      <c r="F67" s="10">
        <v>3806610.765844903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</row>
    <row r="68" spans="1:11" x14ac:dyDescent="0.35">
      <c r="A68" s="9" t="s">
        <v>29</v>
      </c>
      <c r="B68" s="10">
        <v>871</v>
      </c>
      <c r="C68" s="10">
        <v>0</v>
      </c>
      <c r="D68" s="10">
        <v>0</v>
      </c>
      <c r="E68" s="10">
        <v>703</v>
      </c>
      <c r="F68" s="10">
        <v>2774331.0421229349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</row>
    <row r="69" spans="1:11" x14ac:dyDescent="0.35">
      <c r="A69" s="9" t="s">
        <v>57</v>
      </c>
      <c r="B69" s="10">
        <v>2110</v>
      </c>
      <c r="C69" s="10">
        <v>1</v>
      </c>
      <c r="D69" s="10">
        <v>12</v>
      </c>
      <c r="E69" s="10">
        <v>1480</v>
      </c>
      <c r="F69" s="10">
        <v>4013232.2456140881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</row>
    <row r="70" spans="1:11" x14ac:dyDescent="0.35">
      <c r="A70" s="9" t="s">
        <v>137</v>
      </c>
      <c r="B70" s="10">
        <v>262</v>
      </c>
      <c r="C70" s="10">
        <v>0</v>
      </c>
      <c r="D70" s="10">
        <v>0</v>
      </c>
      <c r="E70" s="10">
        <v>2</v>
      </c>
      <c r="F70" s="10">
        <v>1.0707901399999999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</row>
    <row r="71" spans="1:11" x14ac:dyDescent="0.35">
      <c r="A71" s="9" t="s">
        <v>10</v>
      </c>
      <c r="B71" s="10">
        <v>1683</v>
      </c>
      <c r="C71" s="10">
        <v>0</v>
      </c>
      <c r="D71" s="10">
        <v>5</v>
      </c>
      <c r="E71" s="10">
        <v>1325</v>
      </c>
      <c r="F71" s="10">
        <v>2905099.7796098478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</row>
    <row r="72" spans="1:11" x14ac:dyDescent="0.35">
      <c r="A72" s="9" t="s">
        <v>12</v>
      </c>
      <c r="B72" s="10">
        <v>689</v>
      </c>
      <c r="C72" s="10">
        <v>0</v>
      </c>
      <c r="D72" s="10">
        <v>2</v>
      </c>
      <c r="E72" s="10">
        <v>564</v>
      </c>
      <c r="F72" s="10">
        <v>1198690.763104446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</row>
    <row r="73" spans="1:11" x14ac:dyDescent="0.35">
      <c r="A73" s="9" t="s">
        <v>162</v>
      </c>
      <c r="B73" s="10">
        <v>1360</v>
      </c>
      <c r="C73" s="10">
        <v>0</v>
      </c>
      <c r="D73" s="10">
        <v>4</v>
      </c>
      <c r="E73" s="10">
        <v>898</v>
      </c>
      <c r="F73" s="10">
        <v>2246691.7673195591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</row>
    <row r="74" spans="1:11" x14ac:dyDescent="0.35">
      <c r="A74" s="9" t="s">
        <v>63</v>
      </c>
      <c r="B74" s="10">
        <v>1308</v>
      </c>
      <c r="C74" s="10">
        <v>0</v>
      </c>
      <c r="D74" s="10">
        <v>3</v>
      </c>
      <c r="E74" s="10">
        <v>1048</v>
      </c>
      <c r="F74" s="10">
        <v>1323190.1840932791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</row>
    <row r="75" spans="1:11" x14ac:dyDescent="0.35">
      <c r="A75" s="9" t="s">
        <v>59</v>
      </c>
      <c r="B75" s="10">
        <v>1753</v>
      </c>
      <c r="C75" s="10">
        <v>0</v>
      </c>
      <c r="D75" s="10">
        <v>4</v>
      </c>
      <c r="E75" s="10">
        <v>1136</v>
      </c>
      <c r="F75" s="10">
        <v>4088809.224786967</v>
      </c>
      <c r="G75" s="10">
        <v>0</v>
      </c>
      <c r="H75" s="10">
        <v>0</v>
      </c>
      <c r="I75" s="10">
        <v>0</v>
      </c>
      <c r="J75" s="10">
        <v>0</v>
      </c>
      <c r="K75" s="10">
        <v>0</v>
      </c>
    </row>
    <row r="76" spans="1:11" x14ac:dyDescent="0.35">
      <c r="A76" s="9" t="s">
        <v>139</v>
      </c>
      <c r="B76" s="10">
        <v>488</v>
      </c>
      <c r="C76" s="10">
        <v>0</v>
      </c>
      <c r="D76" s="10">
        <v>0</v>
      </c>
      <c r="E76" s="10">
        <v>423</v>
      </c>
      <c r="F76" s="10">
        <v>659679.492249256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</row>
    <row r="77" spans="1:11" x14ac:dyDescent="0.35">
      <c r="A77" s="9" t="s">
        <v>170</v>
      </c>
      <c r="B77" s="10">
        <v>900</v>
      </c>
      <c r="C77" s="10">
        <v>1</v>
      </c>
      <c r="D77" s="10">
        <v>0</v>
      </c>
      <c r="E77" s="10">
        <v>792</v>
      </c>
      <c r="F77" s="10">
        <v>1124717.484177609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</row>
    <row r="78" spans="1:11" x14ac:dyDescent="0.35">
      <c r="A78" s="9" t="s">
        <v>61</v>
      </c>
      <c r="B78" s="10">
        <v>649</v>
      </c>
      <c r="C78" s="10">
        <v>0</v>
      </c>
      <c r="D78" s="10">
        <v>3</v>
      </c>
      <c r="E78" s="10">
        <v>496</v>
      </c>
      <c r="F78" s="10">
        <v>1214775.9650538131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</row>
    <row r="79" spans="1:11" x14ac:dyDescent="0.35">
      <c r="A79" s="9" t="s">
        <v>129</v>
      </c>
      <c r="B79" s="10">
        <v>573</v>
      </c>
      <c r="C79" s="10">
        <v>0</v>
      </c>
      <c r="D79" s="10">
        <v>0</v>
      </c>
      <c r="E79" s="10">
        <v>712</v>
      </c>
      <c r="F79" s="10">
        <v>903980.39547394495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</row>
    <row r="80" spans="1:11" x14ac:dyDescent="0.35">
      <c r="A80" s="9" t="s">
        <v>35</v>
      </c>
      <c r="B80" s="10">
        <v>441</v>
      </c>
      <c r="C80" s="10">
        <v>0</v>
      </c>
      <c r="D80" s="10">
        <v>7</v>
      </c>
      <c r="E80" s="10">
        <v>743</v>
      </c>
      <c r="F80" s="10">
        <v>1172049.2919997959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</row>
    <row r="81" spans="1:11" x14ac:dyDescent="0.35">
      <c r="A81" s="9" t="s">
        <v>107</v>
      </c>
      <c r="B81" s="10">
        <v>963</v>
      </c>
      <c r="C81" s="10">
        <v>0</v>
      </c>
      <c r="D81" s="10">
        <v>2</v>
      </c>
      <c r="E81" s="10">
        <v>700</v>
      </c>
      <c r="F81" s="10">
        <v>2730863.210231855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</row>
    <row r="82" spans="1:11" x14ac:dyDescent="0.35">
      <c r="A82" s="9" t="s">
        <v>37</v>
      </c>
      <c r="B82" s="10">
        <v>782</v>
      </c>
      <c r="C82" s="10">
        <v>0</v>
      </c>
      <c r="D82" s="10">
        <v>10</v>
      </c>
      <c r="E82" s="10">
        <v>761</v>
      </c>
      <c r="F82" s="10">
        <v>1745654.8107094599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</row>
    <row r="83" spans="1:11" x14ac:dyDescent="0.35">
      <c r="A83" s="9" t="s">
        <v>76</v>
      </c>
      <c r="B83" s="10">
        <v>945</v>
      </c>
      <c r="C83" s="10">
        <v>0</v>
      </c>
      <c r="D83" s="10">
        <v>1</v>
      </c>
      <c r="E83" s="10">
        <v>929</v>
      </c>
      <c r="F83" s="10">
        <v>1450077.0221492541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</row>
    <row r="84" spans="1:11" x14ac:dyDescent="0.35">
      <c r="A84" s="9" t="s">
        <v>65</v>
      </c>
      <c r="B84" s="10">
        <v>1008</v>
      </c>
      <c r="C84" s="10">
        <v>0</v>
      </c>
      <c r="D84" s="10">
        <v>5</v>
      </c>
      <c r="E84" s="10">
        <v>918</v>
      </c>
      <c r="F84" s="10">
        <v>1675377.884076444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</row>
    <row r="85" spans="1:11" x14ac:dyDescent="0.35">
      <c r="A85" s="9" t="s">
        <v>89</v>
      </c>
      <c r="B85" s="10">
        <v>751</v>
      </c>
      <c r="C85" s="10">
        <v>0</v>
      </c>
      <c r="D85" s="10">
        <v>0</v>
      </c>
      <c r="E85" s="10">
        <v>51</v>
      </c>
      <c r="F85" s="10">
        <v>828692.824833942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</row>
    <row r="86" spans="1:11" x14ac:dyDescent="0.35">
      <c r="A86" s="9" t="s">
        <v>147</v>
      </c>
      <c r="B86" s="10">
        <v>572</v>
      </c>
      <c r="C86" s="10">
        <v>0</v>
      </c>
      <c r="D86" s="10">
        <v>0</v>
      </c>
      <c r="E86" s="10">
        <v>777</v>
      </c>
      <c r="F86" s="10">
        <v>883697.75508064299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</row>
    <row r="87" spans="1:11" x14ac:dyDescent="0.35">
      <c r="A87" s="9" t="s">
        <v>164</v>
      </c>
      <c r="B87" s="10">
        <v>1720</v>
      </c>
      <c r="C87" s="10">
        <v>0</v>
      </c>
      <c r="D87" s="10">
        <v>9</v>
      </c>
      <c r="E87" s="10">
        <v>1235</v>
      </c>
      <c r="F87" s="10">
        <v>3378012.4421087978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</row>
    <row r="88" spans="1:11" x14ac:dyDescent="0.35">
      <c r="A88" s="9" t="s">
        <v>91</v>
      </c>
      <c r="B88" s="10">
        <v>612</v>
      </c>
      <c r="C88" s="10">
        <v>0</v>
      </c>
      <c r="D88" s="10">
        <v>4</v>
      </c>
      <c r="E88" s="10">
        <v>721</v>
      </c>
      <c r="F88" s="10">
        <v>652143.06577337498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</row>
    <row r="89" spans="1:11" x14ac:dyDescent="0.35">
      <c r="A89" s="9" t="s">
        <v>97</v>
      </c>
      <c r="B89" s="10">
        <v>595</v>
      </c>
      <c r="C89" s="10">
        <v>1</v>
      </c>
      <c r="D89" s="10">
        <v>6</v>
      </c>
      <c r="E89" s="10">
        <v>682</v>
      </c>
      <c r="F89" s="10">
        <v>1804000.6776906841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</row>
    <row r="90" spans="1:11" x14ac:dyDescent="0.35">
      <c r="A90" s="9" t="s">
        <v>78</v>
      </c>
      <c r="B90" s="10">
        <v>358</v>
      </c>
      <c r="C90" s="10">
        <v>0</v>
      </c>
      <c r="D90" s="10">
        <v>0</v>
      </c>
      <c r="E90" s="10">
        <v>326</v>
      </c>
      <c r="F90" s="10">
        <v>391142.18356181402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</row>
    <row r="91" spans="1:11" x14ac:dyDescent="0.35">
      <c r="A91" s="14" t="s">
        <v>203</v>
      </c>
      <c r="B91" s="13">
        <v>84519</v>
      </c>
      <c r="C91" s="13">
        <v>13</v>
      </c>
      <c r="D91" s="13">
        <v>260</v>
      </c>
      <c r="E91" s="13">
        <v>68691</v>
      </c>
      <c r="F91" s="13">
        <v>161967561.36798379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2026-09-03T14:22:13Z</dcterms:modified>
</cp:coreProperties>
</file>