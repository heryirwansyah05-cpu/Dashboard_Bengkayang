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<sst xmlns="http://schemas.openxmlformats.org/spreadsheetml/2006/main" count="540" uniqueCount="205">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</sst>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19994929.358675074</v>
      </c>
      <c r="G2" s="1">
        <f>VLOOKUP(A:A,MASTER!A:K,11,0)</f>
        <v>20433482.645236168</v>
      </c>
      <c r="H2" s="12">
        <f>IFERROR(G2/F2-1,0)</f>
        <v>2.1933225103934806E-2</v>
      </c>
      <c r="I2" s="2">
        <f>VLOOKUP(A:A,MASTER!A:E,5,0)</f>
        <v>326</v>
      </c>
      <c r="J2" s="2">
        <f>VLOOKUP(A:A,MASTER!A:J,10,0)</f>
        <v>530</v>
      </c>
      <c r="K2" s="12">
        <f>IFERROR(J2/I2-1,0)</f>
        <v>0.62576687116564411</v>
      </c>
      <c r="L2" s="2">
        <f>VLOOKUP(A:A,MASTER!A:D,4,0)</f>
        <v>1</v>
      </c>
      <c r="M2" s="2">
        <f>VLOOKUP(A:A,MASTER!A:I,9,0)</f>
        <v>2</v>
      </c>
      <c r="N2" s="12">
        <f>IFERROR(M2/L2-1,0)</f>
        <v>1</v>
      </c>
      <c r="O2" s="1">
        <f>VLOOKUP(A:A,MASTER!A:C,3,0)</f>
        <v>4</v>
      </c>
      <c r="P2" s="1">
        <f>VLOOKUP(A:A,MASTER!A:H,8,0)</f>
        <v>4</v>
      </c>
      <c r="Q2" s="12">
        <f>IFERROR(P2/O2-1,0)</f>
        <v>0</v>
      </c>
      <c r="R2" s="1">
        <f>VLOOKUP(A:A,MASTER!A:B,2,0)</f>
        <v>405</v>
      </c>
      <c r="S2">
        <f>VLOOKUP(A:A,MASTER!A:G,7,0)</f>
        <v>427</v>
      </c>
      <c r="T2" s="12">
        <f>IFERROR(S2/R2-1,0)</f>
        <v>5.4320987654320918E-2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23972129.990775365</v>
      </c>
      <c r="G3" s="1">
        <f>VLOOKUP(A:A,MASTER!A:K,11,0)</f>
        <v>23573370.181912523</v>
      </c>
      <c r="H3" s="12">
        <f t="shared" ref="H3:H66" si="0">IFERROR(G3/F3-1,0)</f>
        <v>-1.6634308633245665E-2</v>
      </c>
      <c r="I3" s="2">
        <f>VLOOKUP(A:A,MASTER!A:E,5,0)</f>
        <v>505</v>
      </c>
      <c r="J3" s="2">
        <f>VLOOKUP(A:A,MASTER!A:J,10,0)</f>
        <v>634</v>
      </c>
      <c r="K3" s="12">
        <f t="shared" ref="K3:K66" si="1">IFERROR(J3/I3-1,0)</f>
        <v>0.25544554455445545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4</v>
      </c>
      <c r="P3" s="1">
        <f>VLOOKUP(A:A,MASTER!A:H,8,0)</f>
        <v>6</v>
      </c>
      <c r="Q3" s="12">
        <f t="shared" ref="Q3:Q66" si="3">IFERROR(P3/O3-1,0)</f>
        <v>0.5</v>
      </c>
      <c r="R3" s="1">
        <f>VLOOKUP(A:A,MASTER!A:B,2,0)</f>
        <v>649</v>
      </c>
      <c r="S3">
        <f>VLOOKUP(A:A,MASTER!A:G,7,0)</f>
        <v>578</v>
      </c>
      <c r="T3" s="12">
        <f t="shared" ref="T3:T66" si="4">IFERROR(S3/R3-1,0)</f>
        <v>-0.10939907550077044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31404268.616788696</v>
      </c>
      <c r="G4" s="1">
        <f>VLOOKUP(A:A,MASTER!A:K,11,0)</f>
        <v>36080082.427741349</v>
      </c>
      <c r="H4" s="12">
        <f t="shared" si="0"/>
        <v>0.14889102714058966</v>
      </c>
      <c r="I4" s="2">
        <f>VLOOKUP(A:A,MASTER!A:E,5,0)</f>
        <v>713</v>
      </c>
      <c r="J4" s="2">
        <f>VLOOKUP(A:A,MASTER!A:J,10,0)</f>
        <v>1386</v>
      </c>
      <c r="K4" s="12">
        <f t="shared" si="1"/>
        <v>0.94389901823281908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14</v>
      </c>
      <c r="P4" s="1">
        <f>VLOOKUP(A:A,MASTER!A:H,8,0)</f>
        <v>13</v>
      </c>
      <c r="Q4" s="12">
        <f t="shared" si="3"/>
        <v>-7.1428571428571397E-2</v>
      </c>
      <c r="R4" s="1">
        <f>VLOOKUP(A:A,MASTER!A:B,2,0)</f>
        <v>716</v>
      </c>
      <c r="S4">
        <f>VLOOKUP(A:A,MASTER!A:G,7,0)</f>
        <v>792</v>
      </c>
      <c r="T4" s="12">
        <f t="shared" si="4"/>
        <v>0.1061452513966481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52642033.233408377</v>
      </c>
      <c r="G5" s="1">
        <f>VLOOKUP(A:A,MASTER!A:K,11,0)</f>
        <v>55065211.069235422</v>
      </c>
      <c r="H5" s="12">
        <f t="shared" si="0"/>
        <v>4.6031235630336953E-2</v>
      </c>
      <c r="I5" s="2">
        <f>VLOOKUP(A:A,MASTER!A:E,5,0)</f>
        <v>986</v>
      </c>
      <c r="J5" s="2">
        <f>VLOOKUP(A:A,MASTER!A:J,10,0)</f>
        <v>1414</v>
      </c>
      <c r="K5" s="12">
        <f t="shared" si="1"/>
        <v>0.43407707910750504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12</v>
      </c>
      <c r="P5" s="1">
        <f>VLOOKUP(A:A,MASTER!A:H,8,0)</f>
        <v>13</v>
      </c>
      <c r="Q5" s="12">
        <f t="shared" si="3"/>
        <v>8.3333333333333259E-2</v>
      </c>
      <c r="R5" s="1">
        <f>VLOOKUP(A:A,MASTER!A:B,2,0)</f>
        <v>1212</v>
      </c>
      <c r="S5">
        <f>VLOOKUP(A:A,MASTER!A:G,7,0)</f>
        <v>1256</v>
      </c>
      <c r="T5" s="12">
        <f t="shared" si="4"/>
        <v>3.630363036303641E-2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20764752.724128865</v>
      </c>
      <c r="G6" s="1">
        <f>VLOOKUP(A:A,MASTER!A:K,11,0)</f>
        <v>23215293.38297696</v>
      </c>
      <c r="H6" s="12">
        <f t="shared" si="0"/>
        <v>0.11801443972894221</v>
      </c>
      <c r="I6" s="2">
        <f>VLOOKUP(A:A,MASTER!A:E,5,0)</f>
        <v>278</v>
      </c>
      <c r="J6" s="2">
        <f>VLOOKUP(A:A,MASTER!A:J,10,0)</f>
        <v>1086</v>
      </c>
      <c r="K6" s="12">
        <f t="shared" si="1"/>
        <v>2.906474820143885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398</v>
      </c>
      <c r="S6">
        <f>VLOOKUP(A:A,MASTER!A:G,7,0)</f>
        <v>381</v>
      </c>
      <c r="T6" s="12">
        <f t="shared" si="4"/>
        <v>-4.2713567839195998E-2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17523074.204704925</v>
      </c>
      <c r="G7" s="1">
        <f>VLOOKUP(A:A,MASTER!A:K,11,0)</f>
        <v>19428588.095874585</v>
      </c>
      <c r="H7" s="12">
        <f t="shared" si="0"/>
        <v>0.10874312742783632</v>
      </c>
      <c r="I7" s="2">
        <f>VLOOKUP(A:A,MASTER!A:E,5,0)</f>
        <v>270</v>
      </c>
      <c r="J7" s="2">
        <f>VLOOKUP(A:A,MASTER!A:J,10,0)</f>
        <v>632</v>
      </c>
      <c r="K7" s="12">
        <f t="shared" si="1"/>
        <v>1.3407407407407406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5</v>
      </c>
      <c r="Q7" s="12">
        <f t="shared" si="3"/>
        <v>0.66666666666666674</v>
      </c>
      <c r="R7" s="1">
        <f>VLOOKUP(A:A,MASTER!A:B,2,0)</f>
        <v>365</v>
      </c>
      <c r="S7">
        <f>VLOOKUP(A:A,MASTER!A:G,7,0)</f>
        <v>384</v>
      </c>
      <c r="T7" s="12">
        <f t="shared" si="4"/>
        <v>5.2054794520547842E-2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20177266.221724194</v>
      </c>
      <c r="G8" s="1">
        <f>VLOOKUP(A:A,MASTER!A:K,11,0)</f>
        <v>25091728.427550562</v>
      </c>
      <c r="H8" s="12">
        <f t="shared" si="0"/>
        <v>0.24356432391892269</v>
      </c>
      <c r="I8" s="2">
        <f>VLOOKUP(A:A,MASTER!A:E,5,0)</f>
        <v>466</v>
      </c>
      <c r="J8" s="2">
        <f>VLOOKUP(A:A,MASTER!A:J,10,0)</f>
        <v>877</v>
      </c>
      <c r="K8" s="12">
        <f t="shared" si="1"/>
        <v>0.88197424892703857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592</v>
      </c>
      <c r="S8">
        <f>VLOOKUP(A:A,MASTER!A:G,7,0)</f>
        <v>630</v>
      </c>
      <c r="T8" s="12">
        <f t="shared" si="4"/>
        <v>6.4189189189189255E-2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10413922.141344555</v>
      </c>
      <c r="G9" s="1">
        <f>VLOOKUP(A:A,MASTER!A:K,11,0)</f>
        <v>9942552.4050629865</v>
      </c>
      <c r="H9" s="12">
        <f t="shared" si="0"/>
        <v>-4.5263420436971846E-2</v>
      </c>
      <c r="I9" s="2">
        <f>VLOOKUP(A:A,MASTER!A:E,5,0)</f>
        <v>144</v>
      </c>
      <c r="J9" s="2">
        <f>VLOOKUP(A:A,MASTER!A:J,10,0)</f>
        <v>519</v>
      </c>
      <c r="K9" s="12">
        <f t="shared" si="1"/>
        <v>2.6041666666666665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172</v>
      </c>
      <c r="S9">
        <f>VLOOKUP(A:A,MASTER!A:G,7,0)</f>
        <v>191</v>
      </c>
      <c r="T9" s="12">
        <f t="shared" si="4"/>
        <v>0.11046511627906974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8687634.1276427135</v>
      </c>
      <c r="G10" s="1">
        <f>VLOOKUP(A:A,MASTER!A:K,11,0)</f>
        <v>7265015.1674691765</v>
      </c>
      <c r="H10" s="12">
        <f t="shared" si="0"/>
        <v>-0.1637521722567693</v>
      </c>
      <c r="I10" s="2">
        <f>VLOOKUP(A:A,MASTER!A:E,5,0)</f>
        <v>2</v>
      </c>
      <c r="J10" s="2">
        <f>VLOOKUP(A:A,MASTER!A:J,10,0)</f>
        <v>400</v>
      </c>
      <c r="K10" s="12">
        <f t="shared" si="1"/>
        <v>199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199</v>
      </c>
      <c r="S10">
        <f>VLOOKUP(A:A,MASTER!A:G,7,0)</f>
        <v>187</v>
      </c>
      <c r="T10" s="12">
        <f t="shared" si="4"/>
        <v>-6.0301507537688481E-2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14877013.658585761</v>
      </c>
      <c r="G11" s="1">
        <f>VLOOKUP(A:A,MASTER!A:K,11,0)</f>
        <v>20002735.410498593</v>
      </c>
      <c r="H11" s="12">
        <f t="shared" si="0"/>
        <v>0.34453969523343808</v>
      </c>
      <c r="I11" s="2">
        <f>VLOOKUP(A:A,MASTER!A:E,5,0)</f>
        <v>512</v>
      </c>
      <c r="J11" s="2">
        <f>VLOOKUP(A:A,MASTER!A:J,10,0)</f>
        <v>819</v>
      </c>
      <c r="K11" s="12">
        <f t="shared" si="1"/>
        <v>0.599609375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353</v>
      </c>
      <c r="S11">
        <f>VLOOKUP(A:A,MASTER!A:G,7,0)</f>
        <v>378</v>
      </c>
      <c r="T11" s="12">
        <f t="shared" si="4"/>
        <v>7.0821529745042522E-2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7121472.0698753987</v>
      </c>
      <c r="G12" s="1">
        <f>VLOOKUP(A:A,MASTER!A:K,11,0)</f>
        <v>10827647.9269989</v>
      </c>
      <c r="H12" s="12">
        <f t="shared" si="0"/>
        <v>0.52042271889277347</v>
      </c>
      <c r="I12" s="2">
        <f>VLOOKUP(A:A,MASTER!A:E,5,0)</f>
        <v>230</v>
      </c>
      <c r="J12" s="2">
        <f>VLOOKUP(A:A,MASTER!A:J,10,0)</f>
        <v>866</v>
      </c>
      <c r="K12" s="12">
        <f t="shared" si="1"/>
        <v>2.7652173913043478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197</v>
      </c>
      <c r="S12">
        <f>VLOOKUP(A:A,MASTER!A:G,7,0)</f>
        <v>246</v>
      </c>
      <c r="T12" s="12">
        <f t="shared" si="4"/>
        <v>0.24873096446700504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9725415.8929220941</v>
      </c>
      <c r="G13" s="1">
        <f>VLOOKUP(A:A,MASTER!A:K,11,0)</f>
        <v>11147228.93043003</v>
      </c>
      <c r="H13" s="12">
        <f t="shared" si="0"/>
        <v>0.14619560265208764</v>
      </c>
      <c r="I13" s="2">
        <f>VLOOKUP(A:A,MASTER!A:E,5,0)</f>
        <v>206</v>
      </c>
      <c r="J13" s="2">
        <f>VLOOKUP(A:A,MASTER!A:J,10,0)</f>
        <v>538</v>
      </c>
      <c r="K13" s="12">
        <f t="shared" si="1"/>
        <v>1.6116504854368934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249</v>
      </c>
      <c r="S13">
        <f>VLOOKUP(A:A,MASTER!A:G,7,0)</f>
        <v>249</v>
      </c>
      <c r="T13" s="12">
        <f t="shared" si="4"/>
        <v>0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32152469.870587096</v>
      </c>
      <c r="G14" s="1">
        <f>VLOOKUP(A:A,MASTER!A:K,11,0)</f>
        <v>50578481.647141613</v>
      </c>
      <c r="H14" s="12">
        <f t="shared" si="0"/>
        <v>0.57308231220552464</v>
      </c>
      <c r="I14" s="2">
        <f>VLOOKUP(A:A,MASTER!A:E,5,0)</f>
        <v>1413</v>
      </c>
      <c r="J14" s="2">
        <f>VLOOKUP(A:A,MASTER!A:J,10,0)</f>
        <v>1258</v>
      </c>
      <c r="K14" s="12">
        <f t="shared" si="1"/>
        <v>-0.1096956829440906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1</v>
      </c>
      <c r="P14" s="1">
        <f>VLOOKUP(A:A,MASTER!A:H,8,0)</f>
        <v>6</v>
      </c>
      <c r="Q14" s="12">
        <f t="shared" si="3"/>
        <v>5</v>
      </c>
      <c r="R14" s="1">
        <f>VLOOKUP(A:A,MASTER!A:B,2,0)</f>
        <v>1465</v>
      </c>
      <c r="S14">
        <f>VLOOKUP(A:A,MASTER!A:G,7,0)</f>
        <v>1309</v>
      </c>
      <c r="T14" s="12">
        <f t="shared" si="4"/>
        <v>-0.10648464163822524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60594493.135762192</v>
      </c>
      <c r="G15" s="1">
        <f>VLOOKUP(A:A,MASTER!A:K,11,0)</f>
        <v>79471478.221075073</v>
      </c>
      <c r="H15" s="12">
        <f t="shared" si="0"/>
        <v>0.31152971348434133</v>
      </c>
      <c r="I15" s="2">
        <f>VLOOKUP(A:A,MASTER!A:E,5,0)</f>
        <v>880</v>
      </c>
      <c r="J15" s="2">
        <f>VLOOKUP(A:A,MASTER!A:J,10,0)</f>
        <v>964</v>
      </c>
      <c r="K15" s="12">
        <f t="shared" si="1"/>
        <v>9.5454545454545459E-2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5</v>
      </c>
      <c r="Q15" s="12">
        <f t="shared" si="3"/>
        <v>0.25</v>
      </c>
      <c r="R15" s="1">
        <f>VLOOKUP(A:A,MASTER!A:B,2,0)</f>
        <v>1255</v>
      </c>
      <c r="S15">
        <f>VLOOKUP(A:A,MASTER!A:G,7,0)</f>
        <v>1216</v>
      </c>
      <c r="T15" s="12">
        <f t="shared" si="4"/>
        <v>-3.1075697211155329E-2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41059712.467071056</v>
      </c>
      <c r="G16" s="1">
        <f>VLOOKUP(A:A,MASTER!A:K,11,0)</f>
        <v>41626613.008793972</v>
      </c>
      <c r="H16" s="12">
        <f t="shared" si="0"/>
        <v>1.3806734330581438E-2</v>
      </c>
      <c r="I16" s="2">
        <f>VLOOKUP(A:A,MASTER!A:E,5,0)</f>
        <v>934</v>
      </c>
      <c r="J16" s="2">
        <f>VLOOKUP(A:A,MASTER!A:J,10,0)</f>
        <v>1284</v>
      </c>
      <c r="K16" s="12">
        <f t="shared" si="1"/>
        <v>0.37473233404710915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5</v>
      </c>
      <c r="P16" s="1">
        <f>VLOOKUP(A:A,MASTER!A:H,8,0)</f>
        <v>6</v>
      </c>
      <c r="Q16" s="12">
        <f t="shared" si="3"/>
        <v>0.19999999999999996</v>
      </c>
      <c r="R16" s="1">
        <f>VLOOKUP(A:A,MASTER!A:B,2,0)</f>
        <v>1034</v>
      </c>
      <c r="S16">
        <f>VLOOKUP(A:A,MASTER!A:G,7,0)</f>
        <v>1000</v>
      </c>
      <c r="T16" s="12">
        <f t="shared" si="4"/>
        <v>-3.2882011605415817E-2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36755217.911356308</v>
      </c>
      <c r="G17" s="1">
        <f>VLOOKUP(A:A,MASTER!A:K,11,0)</f>
        <v>35207838.421788625</v>
      </c>
      <c r="H17" s="12">
        <f t="shared" si="0"/>
        <v>-4.2099586874972283E-2</v>
      </c>
      <c r="I17" s="2">
        <f>VLOOKUP(A:A,MASTER!A:E,5,0)</f>
        <v>575</v>
      </c>
      <c r="J17" s="2">
        <f>VLOOKUP(A:A,MASTER!A:J,10,0)</f>
        <v>699</v>
      </c>
      <c r="K17" s="12">
        <f t="shared" si="1"/>
        <v>0.21565217391304348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6</v>
      </c>
      <c r="Q17" s="12">
        <f t="shared" si="3"/>
        <v>5</v>
      </c>
      <c r="R17" s="1">
        <f>VLOOKUP(A:A,MASTER!A:B,2,0)</f>
        <v>928</v>
      </c>
      <c r="S17">
        <f>VLOOKUP(A:A,MASTER!A:G,7,0)</f>
        <v>925</v>
      </c>
      <c r="T17" s="12">
        <f t="shared" si="4"/>
        <v>-3.2327586206896131E-3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141167420.55814371</v>
      </c>
      <c r="G18" s="1">
        <f>VLOOKUP(A:A,MASTER!A:K,11,0)</f>
        <v>147059373.85389671</v>
      </c>
      <c r="H18" s="12">
        <f t="shared" si="0"/>
        <v>4.1737344724849246E-2</v>
      </c>
      <c r="I18" s="2">
        <f>VLOOKUP(A:A,MASTER!A:E,5,0)</f>
        <v>2138</v>
      </c>
      <c r="J18" s="2">
        <f>VLOOKUP(A:A,MASTER!A:J,10,0)</f>
        <v>2356</v>
      </c>
      <c r="K18" s="12">
        <f t="shared" si="1"/>
        <v>0.10196445275958843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771</v>
      </c>
      <c r="P18" s="1">
        <f>VLOOKUP(A:A,MASTER!A:H,8,0)</f>
        <v>194</v>
      </c>
      <c r="Q18" s="12">
        <f t="shared" si="3"/>
        <v>-0.74837872892347601</v>
      </c>
      <c r="R18" s="1">
        <f>VLOOKUP(A:A,MASTER!A:B,2,0)</f>
        <v>2933</v>
      </c>
      <c r="S18">
        <f>VLOOKUP(A:A,MASTER!A:G,7,0)</f>
        <v>2709</v>
      </c>
      <c r="T18" s="12">
        <f t="shared" si="4"/>
        <v>-7.6372315035799554E-2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73807192.86478062</v>
      </c>
      <c r="G19" s="1">
        <f>VLOOKUP(A:A,MASTER!A:K,11,0)</f>
        <v>58703997.919955269</v>
      </c>
      <c r="H19" s="12">
        <f t="shared" si="0"/>
        <v>-0.20463039384921933</v>
      </c>
      <c r="I19" s="2">
        <f>VLOOKUP(A:A,MASTER!A:E,5,0)</f>
        <v>1180</v>
      </c>
      <c r="J19" s="2">
        <f>VLOOKUP(A:A,MASTER!A:J,10,0)</f>
        <v>1245</v>
      </c>
      <c r="K19" s="12">
        <f t="shared" si="1"/>
        <v>5.508474576271194E-2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10</v>
      </c>
      <c r="Q19" s="12">
        <f t="shared" si="3"/>
        <v>2.3333333333333335</v>
      </c>
      <c r="R19" s="1">
        <f>VLOOKUP(A:A,MASTER!A:B,2,0)</f>
        <v>1418</v>
      </c>
      <c r="S19">
        <f>VLOOKUP(A:A,MASTER!A:G,7,0)</f>
        <v>1302</v>
      </c>
      <c r="T19" s="12">
        <f t="shared" si="4"/>
        <v>-8.1805359661495047E-2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149574333.7617175</v>
      </c>
      <c r="G20" s="1">
        <f>VLOOKUP(A:A,MASTER!A:K,11,0)</f>
        <v>156935220.01137239</v>
      </c>
      <c r="H20" s="12">
        <f t="shared" si="0"/>
        <v>4.9212228224805532E-2</v>
      </c>
      <c r="I20" s="2">
        <f>VLOOKUP(A:A,MASTER!A:E,5,0)</f>
        <v>2205</v>
      </c>
      <c r="J20" s="2">
        <f>VLOOKUP(A:A,MASTER!A:J,10,0)</f>
        <v>2279</v>
      </c>
      <c r="K20" s="12">
        <f t="shared" si="1"/>
        <v>3.3560090702947853E-2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29</v>
      </c>
      <c r="P20" s="1">
        <f>VLOOKUP(A:A,MASTER!A:H,8,0)</f>
        <v>30</v>
      </c>
      <c r="Q20" s="12">
        <f t="shared" si="3"/>
        <v>3.4482758620689724E-2</v>
      </c>
      <c r="R20" s="1">
        <f>VLOOKUP(A:A,MASTER!A:B,2,0)</f>
        <v>2964</v>
      </c>
      <c r="S20">
        <f>VLOOKUP(A:A,MASTER!A:G,7,0)</f>
        <v>2794</v>
      </c>
      <c r="T20" s="12">
        <f t="shared" si="4"/>
        <v>-5.7354925775978449E-2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20878254.115966193</v>
      </c>
      <c r="G21" s="1">
        <f>VLOOKUP(A:A,MASTER!A:K,11,0)</f>
        <v>22259447.701774109</v>
      </c>
      <c r="H21" s="12">
        <f t="shared" si="0"/>
        <v>6.6154649624255546E-2</v>
      </c>
      <c r="I21" s="2">
        <f>VLOOKUP(A:A,MASTER!A:E,5,0)</f>
        <v>478</v>
      </c>
      <c r="J21" s="2">
        <f>VLOOKUP(A:A,MASTER!A:J,10,0)</f>
        <v>526</v>
      </c>
      <c r="K21" s="12">
        <f t="shared" si="1"/>
        <v>0.10041841004184104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7</v>
      </c>
      <c r="Q21" s="12">
        <f t="shared" si="3"/>
        <v>0.16666666666666674</v>
      </c>
      <c r="R21" s="1">
        <f>VLOOKUP(A:A,MASTER!A:B,2,0)</f>
        <v>524</v>
      </c>
      <c r="S21">
        <f>VLOOKUP(A:A,MASTER!A:G,7,0)</f>
        <v>500</v>
      </c>
      <c r="T21" s="12">
        <f t="shared" si="4"/>
        <v>-4.5801526717557217E-2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61055675.884786785</v>
      </c>
      <c r="G22" s="1">
        <f>VLOOKUP(A:A,MASTER!A:K,11,0)</f>
        <v>62258169.07525035</v>
      </c>
      <c r="H22" s="12">
        <f t="shared" si="0"/>
        <v>1.9695027088598493E-2</v>
      </c>
      <c r="I22" s="2">
        <f>VLOOKUP(A:A,MASTER!A:E,5,0)</f>
        <v>1321</v>
      </c>
      <c r="J22" s="2">
        <f>VLOOKUP(A:A,MASTER!A:J,10,0)</f>
        <v>1737</v>
      </c>
      <c r="K22" s="12">
        <f t="shared" si="1"/>
        <v>0.31491294473883413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26</v>
      </c>
      <c r="P22" s="1">
        <f>VLOOKUP(A:A,MASTER!A:H,8,0)</f>
        <v>29</v>
      </c>
      <c r="Q22" s="12">
        <f t="shared" si="3"/>
        <v>0.11538461538461542</v>
      </c>
      <c r="R22" s="1">
        <f>VLOOKUP(A:A,MASTER!A:B,2,0)</f>
        <v>1762</v>
      </c>
      <c r="S22">
        <f>VLOOKUP(A:A,MASTER!A:G,7,0)</f>
        <v>1764</v>
      </c>
      <c r="T22" s="12">
        <f t="shared" si="4"/>
        <v>1.1350737797957144E-3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25884925.163692009</v>
      </c>
      <c r="G23" s="1">
        <f>VLOOKUP(A:A,MASTER!A:K,11,0)</f>
        <v>26729664.808937389</v>
      </c>
      <c r="H23" s="12">
        <f t="shared" si="0"/>
        <v>3.2634424859387723E-2</v>
      </c>
      <c r="I23" s="2">
        <f>VLOOKUP(A:A,MASTER!A:E,5,0)</f>
        <v>1126</v>
      </c>
      <c r="J23" s="2">
        <f>VLOOKUP(A:A,MASTER!A:J,10,0)</f>
        <v>928</v>
      </c>
      <c r="K23" s="12">
        <f t="shared" si="1"/>
        <v>-0.17584369449378334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18</v>
      </c>
      <c r="P23" s="1">
        <f>VLOOKUP(A:A,MASTER!A:H,8,0)</f>
        <v>21</v>
      </c>
      <c r="Q23" s="12">
        <f t="shared" si="3"/>
        <v>0.16666666666666674</v>
      </c>
      <c r="R23" s="1">
        <f>VLOOKUP(A:A,MASTER!A:B,2,0)</f>
        <v>879</v>
      </c>
      <c r="S23">
        <f>VLOOKUP(A:A,MASTER!A:G,7,0)</f>
        <v>866</v>
      </c>
      <c r="T23" s="12">
        <f t="shared" si="4"/>
        <v>-1.4789533560864654E-2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30522301.736048263</v>
      </c>
      <c r="G24" s="1">
        <f>VLOOKUP(A:A,MASTER!A:K,11,0)</f>
        <v>31834451.776367631</v>
      </c>
      <c r="H24" s="12">
        <f t="shared" si="0"/>
        <v>4.2989878406504811E-2</v>
      </c>
      <c r="I24" s="2">
        <f>VLOOKUP(A:A,MASTER!A:E,5,0)</f>
        <v>916</v>
      </c>
      <c r="J24" s="2">
        <f>VLOOKUP(A:A,MASTER!A:J,10,0)</f>
        <v>774</v>
      </c>
      <c r="K24" s="12">
        <f t="shared" si="1"/>
        <v>-0.15502183406113534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9</v>
      </c>
      <c r="P24" s="1">
        <f>VLOOKUP(A:A,MASTER!A:H,8,0)</f>
        <v>10</v>
      </c>
      <c r="Q24" s="12">
        <f t="shared" si="3"/>
        <v>0.11111111111111116</v>
      </c>
      <c r="R24" s="1">
        <f>VLOOKUP(A:A,MASTER!A:B,2,0)</f>
        <v>875</v>
      </c>
      <c r="S24">
        <f>VLOOKUP(A:A,MASTER!A:G,7,0)</f>
        <v>892</v>
      </c>
      <c r="T24" s="12">
        <f t="shared" si="4"/>
        <v>1.9428571428571351E-2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8839108.8980126791</v>
      </c>
      <c r="G25" s="1">
        <f>VLOOKUP(A:A,MASTER!A:K,11,0)</f>
        <v>7993029.211860517</v>
      </c>
      <c r="H25" s="12">
        <f t="shared" si="0"/>
        <v>-9.5720020639454728E-2</v>
      </c>
      <c r="I25" s="2">
        <f>VLOOKUP(A:A,MASTER!A:E,5,0)</f>
        <v>161</v>
      </c>
      <c r="J25" s="2">
        <f>VLOOKUP(A:A,MASTER!A:J,10,0)</f>
        <v>193</v>
      </c>
      <c r="K25" s="12">
        <f t="shared" si="1"/>
        <v>0.19875776397515521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250</v>
      </c>
      <c r="S25">
        <f>VLOOKUP(A:A,MASTER!A:G,7,0)</f>
        <v>212</v>
      </c>
      <c r="T25" s="12">
        <f t="shared" si="4"/>
        <v>-0.15200000000000002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62591923.227180049</v>
      </c>
      <c r="G26" s="1">
        <f>VLOOKUP(A:A,MASTER!A:K,11,0)</f>
        <v>60613661.749470569</v>
      </c>
      <c r="H26" s="12">
        <f t="shared" si="0"/>
        <v>-3.1605698877941402E-2</v>
      </c>
      <c r="I26" s="2">
        <f>VLOOKUP(A:A,MASTER!A:E,5,0)</f>
        <v>1261</v>
      </c>
      <c r="J26" s="2">
        <f>VLOOKUP(A:A,MASTER!A:J,10,0)</f>
        <v>1676</v>
      </c>
      <c r="K26" s="12">
        <f t="shared" si="1"/>
        <v>0.32910388580491667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16</v>
      </c>
      <c r="Q26" s="12">
        <f t="shared" si="3"/>
        <v>1.2857142857142856</v>
      </c>
      <c r="R26" s="1">
        <f>VLOOKUP(A:A,MASTER!A:B,2,0)</f>
        <v>1625</v>
      </c>
      <c r="S26">
        <f>VLOOKUP(A:A,MASTER!A:G,7,0)</f>
        <v>1620</v>
      </c>
      <c r="T26" s="12">
        <f t="shared" si="4"/>
        <v>-3.0769230769230882E-3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46205887.258399382</v>
      </c>
      <c r="G27" s="1">
        <f>VLOOKUP(A:A,MASTER!A:K,11,0)</f>
        <v>51914210.500137165</v>
      </c>
      <c r="H27" s="12">
        <f t="shared" si="0"/>
        <v>0.12354103731013444</v>
      </c>
      <c r="I27" s="2">
        <f>VLOOKUP(A:A,MASTER!A:E,5,0)</f>
        <v>594</v>
      </c>
      <c r="J27" s="2">
        <f>VLOOKUP(A:A,MASTER!A:J,10,0)</f>
        <v>762</v>
      </c>
      <c r="K27" s="12">
        <f t="shared" si="1"/>
        <v>0.28282828282828287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8</v>
      </c>
      <c r="P27" s="1">
        <f>VLOOKUP(A:A,MASTER!A:H,8,0)</f>
        <v>11</v>
      </c>
      <c r="Q27" s="12">
        <f t="shared" si="3"/>
        <v>0.375</v>
      </c>
      <c r="R27" s="1">
        <f>VLOOKUP(A:A,MASTER!A:B,2,0)</f>
        <v>866</v>
      </c>
      <c r="S27">
        <f>VLOOKUP(A:A,MASTER!A:G,7,0)</f>
        <v>903</v>
      </c>
      <c r="T27" s="12">
        <f t="shared" si="4"/>
        <v>4.2725173210161671E-2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49971948.521988913</v>
      </c>
      <c r="G28" s="1">
        <f>VLOOKUP(A:A,MASTER!A:K,11,0)</f>
        <v>48852755.335714951</v>
      </c>
      <c r="H28" s="12">
        <f t="shared" si="0"/>
        <v>-2.2396428784070554E-2</v>
      </c>
      <c r="I28" s="2">
        <f>VLOOKUP(A:A,MASTER!A:E,5,0)</f>
        <v>805</v>
      </c>
      <c r="J28" s="2">
        <f>VLOOKUP(A:A,MASTER!A:J,10,0)</f>
        <v>803</v>
      </c>
      <c r="K28" s="12">
        <f t="shared" si="1"/>
        <v>-2.4844720496894901E-3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4</v>
      </c>
      <c r="Q28" s="12">
        <f t="shared" si="3"/>
        <v>-0.6</v>
      </c>
      <c r="R28" s="1">
        <f>VLOOKUP(A:A,MASTER!A:B,2,0)</f>
        <v>1069</v>
      </c>
      <c r="S28">
        <f>VLOOKUP(A:A,MASTER!A:G,7,0)</f>
        <v>997</v>
      </c>
      <c r="T28" s="12">
        <f t="shared" si="4"/>
        <v>-6.7352666043030918E-2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64374757.498627454</v>
      </c>
      <c r="G29" s="1">
        <f>VLOOKUP(A:A,MASTER!A:K,11,0)</f>
        <v>67701105.597499222</v>
      </c>
      <c r="H29" s="12">
        <f t="shared" si="0"/>
        <v>5.167162142618853E-2</v>
      </c>
      <c r="I29" s="2">
        <f>VLOOKUP(A:A,MASTER!A:E,5,0)</f>
        <v>868</v>
      </c>
      <c r="J29" s="2">
        <f>VLOOKUP(A:A,MASTER!A:J,10,0)</f>
        <v>1443</v>
      </c>
      <c r="K29" s="12">
        <f t="shared" si="1"/>
        <v>0.6624423963133641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4</v>
      </c>
      <c r="P29" s="1">
        <f>VLOOKUP(A:A,MASTER!A:H,8,0)</f>
        <v>4</v>
      </c>
      <c r="Q29" s="12">
        <f t="shared" si="3"/>
        <v>0</v>
      </c>
      <c r="R29" s="1">
        <f>VLOOKUP(A:A,MASTER!A:B,2,0)</f>
        <v>1090</v>
      </c>
      <c r="S29">
        <f>VLOOKUP(A:A,MASTER!A:G,7,0)</f>
        <v>1132</v>
      </c>
      <c r="T29" s="12">
        <f t="shared" si="4"/>
        <v>3.8532110091743066E-2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93644017.764900893</v>
      </c>
      <c r="G30" s="1">
        <f>VLOOKUP(A:A,MASTER!A:K,11,0)</f>
        <v>90145731.173775554</v>
      </c>
      <c r="H30" s="12">
        <f t="shared" si="0"/>
        <v>-3.7357288533988453E-2</v>
      </c>
      <c r="I30" s="2">
        <f>VLOOKUP(A:A,MASTER!A:E,5,0)</f>
        <v>1125</v>
      </c>
      <c r="J30" s="2">
        <f>VLOOKUP(A:A,MASTER!A:J,10,0)</f>
        <v>1259</v>
      </c>
      <c r="K30" s="12">
        <f t="shared" si="1"/>
        <v>0.11911111111111117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7</v>
      </c>
      <c r="Q30" s="12">
        <f t="shared" si="3"/>
        <v>0.39999999999999991</v>
      </c>
      <c r="R30" s="1">
        <f>VLOOKUP(A:A,MASTER!A:B,2,0)</f>
        <v>1453</v>
      </c>
      <c r="S30">
        <f>VLOOKUP(A:A,MASTER!A:G,7,0)</f>
        <v>1404</v>
      </c>
      <c r="T30" s="12">
        <f t="shared" si="4"/>
        <v>-3.3723331039229199E-2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37538556.315264352</v>
      </c>
      <c r="G31" s="1">
        <f>VLOOKUP(A:A,MASTER!A:K,11,0)</f>
        <v>39166387.607341535</v>
      </c>
      <c r="H31" s="12">
        <f t="shared" si="0"/>
        <v>4.3364248704877761E-2</v>
      </c>
      <c r="I31" s="2">
        <f>VLOOKUP(A:A,MASTER!A:E,5,0)</f>
        <v>589</v>
      </c>
      <c r="J31" s="2">
        <f>VLOOKUP(A:A,MASTER!A:J,10,0)</f>
        <v>137</v>
      </c>
      <c r="K31" s="12">
        <f t="shared" si="1"/>
        <v>-0.767402376910017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4</v>
      </c>
      <c r="Q31" s="12">
        <f t="shared" si="3"/>
        <v>0.33333333333333326</v>
      </c>
      <c r="R31" s="1">
        <f>VLOOKUP(A:A,MASTER!A:B,2,0)</f>
        <v>687</v>
      </c>
      <c r="S31">
        <f>VLOOKUP(A:A,MASTER!A:G,7,0)</f>
        <v>661</v>
      </c>
      <c r="T31" s="12">
        <f t="shared" si="4"/>
        <v>-3.7845705967976762E-2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112025611.45870154</v>
      </c>
      <c r="G32" s="1">
        <f>VLOOKUP(A:A,MASTER!A:K,11,0)</f>
        <v>102184915.4489512</v>
      </c>
      <c r="H32" s="12">
        <f t="shared" si="0"/>
        <v>-8.7843269781019084E-2</v>
      </c>
      <c r="I32" s="2">
        <f>VLOOKUP(A:A,MASTER!A:E,5,0)</f>
        <v>1597</v>
      </c>
      <c r="J32" s="2">
        <f>VLOOKUP(A:A,MASTER!A:J,10,0)</f>
        <v>1640</v>
      </c>
      <c r="K32" s="12">
        <f t="shared" si="1"/>
        <v>2.6925485284909234E-2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18</v>
      </c>
      <c r="P32" s="1">
        <f>VLOOKUP(A:A,MASTER!A:H,8,0)</f>
        <v>15</v>
      </c>
      <c r="Q32" s="12">
        <f t="shared" si="3"/>
        <v>-0.16666666666666663</v>
      </c>
      <c r="R32" s="1">
        <f>VLOOKUP(A:A,MASTER!A:B,2,0)</f>
        <v>1960</v>
      </c>
      <c r="S32">
        <f>VLOOKUP(A:A,MASTER!A:G,7,0)</f>
        <v>1833</v>
      </c>
      <c r="T32" s="12">
        <f t="shared" si="4"/>
        <v>-6.4795918367346994E-2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38589634.67631951</v>
      </c>
      <c r="G33" s="1">
        <f>VLOOKUP(A:A,MASTER!A:K,11,0)</f>
        <v>39150146.955806777</v>
      </c>
      <c r="H33" s="12">
        <f t="shared" si="0"/>
        <v>1.4524943917938238E-2</v>
      </c>
      <c r="I33" s="2">
        <f>VLOOKUP(A:A,MASTER!A:E,5,0)</f>
        <v>650</v>
      </c>
      <c r="J33" s="2">
        <f>VLOOKUP(A:A,MASTER!A:J,10,0)</f>
        <v>976</v>
      </c>
      <c r="K33" s="12">
        <f t="shared" si="1"/>
        <v>0.50153846153846149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842</v>
      </c>
      <c r="S33">
        <f>VLOOKUP(A:A,MASTER!A:G,7,0)</f>
        <v>858</v>
      </c>
      <c r="T33" s="12">
        <f t="shared" si="4"/>
        <v>1.9002375296912177E-2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34065541.871355653</v>
      </c>
      <c r="G34" s="1">
        <f>VLOOKUP(A:A,MASTER!A:K,11,0)</f>
        <v>35789906.168563515</v>
      </c>
      <c r="H34" s="12">
        <f t="shared" si="0"/>
        <v>5.0619018588335285E-2</v>
      </c>
      <c r="I34" s="2">
        <f>VLOOKUP(A:A,MASTER!A:E,5,0)</f>
        <v>567</v>
      </c>
      <c r="J34" s="2">
        <f>VLOOKUP(A:A,MASTER!A:J,10,0)</f>
        <v>1004</v>
      </c>
      <c r="K34" s="12">
        <f t="shared" si="1"/>
        <v>0.77072310405643729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24</v>
      </c>
      <c r="P34" s="1">
        <f>VLOOKUP(A:A,MASTER!A:H,8,0)</f>
        <v>8</v>
      </c>
      <c r="Q34" s="12">
        <f t="shared" si="3"/>
        <v>-0.66666666666666674</v>
      </c>
      <c r="R34" s="1">
        <f>VLOOKUP(A:A,MASTER!A:B,2,0)</f>
        <v>718</v>
      </c>
      <c r="S34">
        <f>VLOOKUP(A:A,MASTER!A:G,7,0)</f>
        <v>686</v>
      </c>
      <c r="T34" s="12">
        <f t="shared" si="4"/>
        <v>-4.4568245125348183E-2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56526218.961872384</v>
      </c>
      <c r="G35" s="1">
        <f>VLOOKUP(A:A,MASTER!A:K,11,0)</f>
        <v>57241098.715660706</v>
      </c>
      <c r="H35" s="12">
        <f t="shared" si="0"/>
        <v>1.2646870194352067E-2</v>
      </c>
      <c r="I35" s="2">
        <f>VLOOKUP(A:A,MASTER!A:E,5,0)</f>
        <v>861</v>
      </c>
      <c r="J35" s="2">
        <f>VLOOKUP(A:A,MASTER!A:J,10,0)</f>
        <v>1507</v>
      </c>
      <c r="K35" s="12">
        <f t="shared" si="1"/>
        <v>0.75029036004645766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26</v>
      </c>
      <c r="P35" s="1">
        <f>VLOOKUP(A:A,MASTER!A:H,8,0)</f>
        <v>26</v>
      </c>
      <c r="Q35" s="12">
        <f t="shared" si="3"/>
        <v>0</v>
      </c>
      <c r="R35" s="1">
        <f>VLOOKUP(A:A,MASTER!A:B,2,0)</f>
        <v>1168</v>
      </c>
      <c r="S35">
        <f>VLOOKUP(A:A,MASTER!A:G,7,0)</f>
        <v>1200</v>
      </c>
      <c r="T35" s="12">
        <f t="shared" si="4"/>
        <v>2.7397260273972712E-2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54504964.647233054</v>
      </c>
      <c r="G36" s="1">
        <f>VLOOKUP(A:A,MASTER!A:K,11,0)</f>
        <v>53649269.181592017</v>
      </c>
      <c r="H36" s="12">
        <f t="shared" si="0"/>
        <v>-1.5699404103447612E-2</v>
      </c>
      <c r="I36" s="2">
        <f>VLOOKUP(A:A,MASTER!A:E,5,0)</f>
        <v>881</v>
      </c>
      <c r="J36" s="2">
        <f>VLOOKUP(A:A,MASTER!A:J,10,0)</f>
        <v>1243</v>
      </c>
      <c r="K36" s="12">
        <f t="shared" si="1"/>
        <v>0.41089670828603864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374</v>
      </c>
      <c r="P36" s="1">
        <f>VLOOKUP(A:A,MASTER!A:H,8,0)</f>
        <v>468</v>
      </c>
      <c r="Q36" s="12">
        <f t="shared" si="3"/>
        <v>0.25133689839572182</v>
      </c>
      <c r="R36" s="1">
        <f>VLOOKUP(A:A,MASTER!A:B,2,0)</f>
        <v>1276</v>
      </c>
      <c r="S36">
        <f>VLOOKUP(A:A,MASTER!A:G,7,0)</f>
        <v>1245</v>
      </c>
      <c r="T36" s="12">
        <f t="shared" si="4"/>
        <v>-2.4294670846395028E-2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86570759.856145412</v>
      </c>
      <c r="G37" s="1">
        <f>VLOOKUP(A:A,MASTER!A:K,11,0)</f>
        <v>93839499.552902788</v>
      </c>
      <c r="H37" s="12">
        <f t="shared" si="0"/>
        <v>8.3962988298079466E-2</v>
      </c>
      <c r="I37" s="2">
        <f>VLOOKUP(A:A,MASTER!A:E,5,0)</f>
        <v>1516</v>
      </c>
      <c r="J37" s="2">
        <f>VLOOKUP(A:A,MASTER!A:J,10,0)</f>
        <v>2226</v>
      </c>
      <c r="K37" s="12">
        <f t="shared" si="1"/>
        <v>0.4683377308707124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835</v>
      </c>
      <c r="P37" s="1">
        <f>VLOOKUP(A:A,MASTER!A:H,8,0)</f>
        <v>201</v>
      </c>
      <c r="Q37" s="12">
        <f t="shared" si="3"/>
        <v>-0.75928143712574847</v>
      </c>
      <c r="R37" s="1">
        <f>VLOOKUP(A:A,MASTER!A:B,2,0)</f>
        <v>2600</v>
      </c>
      <c r="S37">
        <f>VLOOKUP(A:A,MASTER!A:G,7,0)</f>
        <v>2199</v>
      </c>
      <c r="T37" s="12">
        <f t="shared" si="4"/>
        <v>-0.15423076923076928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28336570.009086221</v>
      </c>
      <c r="G38" s="1">
        <f>VLOOKUP(A:A,MASTER!A:K,11,0)</f>
        <v>34391286.442102991</v>
      </c>
      <c r="H38" s="12">
        <f t="shared" si="0"/>
        <v>0.21367146521527847</v>
      </c>
      <c r="I38" s="2">
        <f>VLOOKUP(A:A,MASTER!A:E,5,0)</f>
        <v>419</v>
      </c>
      <c r="J38" s="2">
        <f>VLOOKUP(A:A,MASTER!A:J,10,0)</f>
        <v>500</v>
      </c>
      <c r="K38" s="12">
        <f t="shared" si="1"/>
        <v>0.19331742243436745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608</v>
      </c>
      <c r="S38">
        <f>VLOOKUP(A:A,MASTER!A:G,7,0)</f>
        <v>592</v>
      </c>
      <c r="T38" s="12">
        <f t="shared" si="4"/>
        <v>-2.6315789473684181E-2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104226608.79308459</v>
      </c>
      <c r="G39" s="1">
        <f>VLOOKUP(A:A,MASTER!A:K,11,0)</f>
        <v>109288360.29431476</v>
      </c>
      <c r="H39" s="12">
        <f t="shared" si="0"/>
        <v>4.8564868029804087E-2</v>
      </c>
      <c r="I39" s="2">
        <f>VLOOKUP(A:A,MASTER!A:E,5,0)</f>
        <v>2078</v>
      </c>
      <c r="J39" s="2">
        <f>VLOOKUP(A:A,MASTER!A:J,10,0)</f>
        <v>2321</v>
      </c>
      <c r="K39" s="12">
        <f t="shared" si="1"/>
        <v>0.11693936477382105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14</v>
      </c>
      <c r="P39" s="1">
        <f>VLOOKUP(A:A,MASTER!A:H,8,0)</f>
        <v>13</v>
      </c>
      <c r="Q39" s="12">
        <f t="shared" si="3"/>
        <v>-7.1428571428571397E-2</v>
      </c>
      <c r="R39" s="1">
        <f>VLOOKUP(A:A,MASTER!A:B,2,0)</f>
        <v>2061</v>
      </c>
      <c r="S39">
        <f>VLOOKUP(A:A,MASTER!A:G,7,0)</f>
        <v>2073</v>
      </c>
      <c r="T39" s="12">
        <f t="shared" si="4"/>
        <v>5.8224163027655873E-3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71577988.847220227</v>
      </c>
      <c r="G40" s="1">
        <f>VLOOKUP(A:A,MASTER!A:K,11,0)</f>
        <v>76821260.425023764</v>
      </c>
      <c r="H40" s="12">
        <f t="shared" si="0"/>
        <v>7.3252569152159941E-2</v>
      </c>
      <c r="I40" s="2">
        <f>VLOOKUP(A:A,MASTER!A:E,5,0)</f>
        <v>830</v>
      </c>
      <c r="J40" s="2">
        <f>VLOOKUP(A:A,MASTER!A:J,10,0)</f>
        <v>893</v>
      </c>
      <c r="K40" s="12">
        <f t="shared" si="1"/>
        <v>7.5903614457831337E-2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9</v>
      </c>
      <c r="P40" s="1">
        <f>VLOOKUP(A:A,MASTER!A:H,8,0)</f>
        <v>15</v>
      </c>
      <c r="Q40" s="12">
        <f t="shared" si="3"/>
        <v>0.66666666666666674</v>
      </c>
      <c r="R40" s="1">
        <f>VLOOKUP(A:A,MASTER!A:B,2,0)</f>
        <v>882</v>
      </c>
      <c r="S40">
        <f>VLOOKUP(A:A,MASTER!A:G,7,0)</f>
        <v>937</v>
      </c>
      <c r="T40" s="12">
        <f t="shared" si="4"/>
        <v>6.2358276643990962E-2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60945016.817984462</v>
      </c>
      <c r="G41" s="1">
        <f>VLOOKUP(A:A,MASTER!A:K,11,0)</f>
        <v>48698191.95284421</v>
      </c>
      <c r="H41" s="12">
        <f t="shared" si="0"/>
        <v>-0.20094874863544698</v>
      </c>
      <c r="I41" s="2">
        <f>VLOOKUP(A:A,MASTER!A:E,5,0)</f>
        <v>982</v>
      </c>
      <c r="J41" s="2">
        <f>VLOOKUP(A:A,MASTER!A:J,10,0)</f>
        <v>1323</v>
      </c>
      <c r="K41" s="12">
        <f t="shared" si="1"/>
        <v>0.34725050916496936</v>
      </c>
      <c r="L41" s="2">
        <f>VLOOKUP(A:A,MASTER!A:D,4,0)</f>
        <v>4</v>
      </c>
      <c r="M41" s="2">
        <f>VLOOKUP(A:A,MASTER!A:I,9,0)</f>
        <v>4</v>
      </c>
      <c r="N41" s="12">
        <f t="shared" si="2"/>
        <v>0</v>
      </c>
      <c r="O41" s="1">
        <f>VLOOKUP(A:A,MASTER!A:C,3,0)</f>
        <v>5</v>
      </c>
      <c r="P41" s="1">
        <f>VLOOKUP(A:A,MASTER!A:H,8,0)</f>
        <v>10</v>
      </c>
      <c r="Q41" s="12">
        <f t="shared" si="3"/>
        <v>1</v>
      </c>
      <c r="R41" s="1">
        <f>VLOOKUP(A:A,MASTER!A:B,2,0)</f>
        <v>1131</v>
      </c>
      <c r="S41">
        <f>VLOOKUP(A:A,MASTER!A:G,7,0)</f>
        <v>1065</v>
      </c>
      <c r="T41" s="12">
        <f t="shared" si="4"/>
        <v>-5.8355437665782439E-2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55373687.118243814</v>
      </c>
      <c r="G42" s="1">
        <f>VLOOKUP(A:A,MASTER!A:K,11,0)</f>
        <v>57114076.602665253</v>
      </c>
      <c r="H42" s="12">
        <f t="shared" si="0"/>
        <v>3.142990064405593E-2</v>
      </c>
      <c r="I42" s="2">
        <f>VLOOKUP(A:A,MASTER!A:E,5,0)</f>
        <v>595</v>
      </c>
      <c r="J42" s="2">
        <f>VLOOKUP(A:A,MASTER!A:J,10,0)</f>
        <v>679</v>
      </c>
      <c r="K42" s="12">
        <f t="shared" si="1"/>
        <v>0.14117647058823524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12</v>
      </c>
      <c r="Q42" s="12">
        <f t="shared" si="3"/>
        <v>11</v>
      </c>
      <c r="R42" s="1">
        <f>VLOOKUP(A:A,MASTER!A:B,2,0)</f>
        <v>846</v>
      </c>
      <c r="S42">
        <f>VLOOKUP(A:A,MASTER!A:G,7,0)</f>
        <v>805</v>
      </c>
      <c r="T42" s="12">
        <f t="shared" si="4"/>
        <v>-4.8463356973995286E-2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34823267.757053651</v>
      </c>
      <c r="G43" s="1">
        <f>VLOOKUP(A:A,MASTER!A:K,11,0)</f>
        <v>36068897.484471358</v>
      </c>
      <c r="H43" s="12">
        <f t="shared" si="0"/>
        <v>3.5770041344422632E-2</v>
      </c>
      <c r="I43" s="2">
        <f>VLOOKUP(A:A,MASTER!A:E,5,0)</f>
        <v>2713</v>
      </c>
      <c r="J43" s="2">
        <f>VLOOKUP(A:A,MASTER!A:J,10,0)</f>
        <v>840</v>
      </c>
      <c r="K43" s="12">
        <f t="shared" si="1"/>
        <v>-0.69037965352008845</v>
      </c>
      <c r="L43" s="2">
        <f>VLOOKUP(A:A,MASTER!A:D,4,0)</f>
        <v>11</v>
      </c>
      <c r="M43" s="2">
        <f>VLOOKUP(A:A,MASTER!A:I,9,0)</f>
        <v>10</v>
      </c>
      <c r="N43" s="12">
        <f t="shared" si="2"/>
        <v>-9.0909090909090939E-2</v>
      </c>
      <c r="O43" s="1">
        <f>VLOOKUP(A:A,MASTER!A:C,3,0)</f>
        <v>6</v>
      </c>
      <c r="P43" s="1">
        <f>VLOOKUP(A:A,MASTER!A:H,8,0)</f>
        <v>5</v>
      </c>
      <c r="Q43" s="12">
        <f t="shared" si="3"/>
        <v>-0.16666666666666663</v>
      </c>
      <c r="R43" s="1">
        <f>VLOOKUP(A:A,MASTER!A:B,2,0)</f>
        <v>678</v>
      </c>
      <c r="S43">
        <f>VLOOKUP(A:A,MASTER!A:G,7,0)</f>
        <v>728</v>
      </c>
      <c r="T43" s="12">
        <f t="shared" si="4"/>
        <v>7.3746312684365822E-2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33971998.875213921</v>
      </c>
      <c r="G44" s="1">
        <f>VLOOKUP(A:A,MASTER!A:K,11,0)</f>
        <v>31684322.526114501</v>
      </c>
      <c r="H44" s="12">
        <f t="shared" si="0"/>
        <v>-6.7340057248398089E-2</v>
      </c>
      <c r="I44" s="2">
        <f>VLOOKUP(A:A,MASTER!A:E,5,0)</f>
        <v>717</v>
      </c>
      <c r="J44" s="2">
        <f>VLOOKUP(A:A,MASTER!A:J,10,0)</f>
        <v>914</v>
      </c>
      <c r="K44" s="12">
        <f t="shared" si="1"/>
        <v>0.27475592747559285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3</v>
      </c>
      <c r="P44" s="1">
        <f>VLOOKUP(A:A,MASTER!A:H,8,0)</f>
        <v>3</v>
      </c>
      <c r="Q44" s="12">
        <f t="shared" si="3"/>
        <v>0</v>
      </c>
      <c r="R44" s="1">
        <f>VLOOKUP(A:A,MASTER!A:B,2,0)</f>
        <v>700</v>
      </c>
      <c r="S44">
        <f>VLOOKUP(A:A,MASTER!A:G,7,0)</f>
        <v>709</v>
      </c>
      <c r="T44" s="12">
        <f t="shared" si="4"/>
        <v>1.28571428571429E-2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104000976.4995234</v>
      </c>
      <c r="G45" s="1">
        <f>VLOOKUP(A:A,MASTER!A:K,11,0)</f>
        <v>103763645.79941832</v>
      </c>
      <c r="H45" s="12">
        <f t="shared" si="0"/>
        <v>-2.2820045358533658E-3</v>
      </c>
      <c r="I45" s="2">
        <f>VLOOKUP(A:A,MASTER!A:E,5,0)</f>
        <v>1079</v>
      </c>
      <c r="J45" s="2">
        <f>VLOOKUP(A:A,MASTER!A:J,10,0)</f>
        <v>1155</v>
      </c>
      <c r="K45" s="12">
        <f t="shared" si="1"/>
        <v>7.0435588507877567E-2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15</v>
      </c>
      <c r="P45" s="1">
        <f>VLOOKUP(A:A,MASTER!A:H,8,0)</f>
        <v>11</v>
      </c>
      <c r="Q45" s="12">
        <f t="shared" si="3"/>
        <v>-0.26666666666666672</v>
      </c>
      <c r="R45" s="1">
        <f>VLOOKUP(A:A,MASTER!A:B,2,0)</f>
        <v>1247</v>
      </c>
      <c r="S45">
        <f>VLOOKUP(A:A,MASTER!A:G,7,0)</f>
        <v>1268</v>
      </c>
      <c r="T45" s="12">
        <f t="shared" si="4"/>
        <v>1.6840417000801855E-2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47099984.606775679</v>
      </c>
      <c r="G46" s="1">
        <f>VLOOKUP(A:A,MASTER!A:K,11,0)</f>
        <v>47457942.018168345</v>
      </c>
      <c r="H46" s="12">
        <f t="shared" si="0"/>
        <v>7.5999475239991732E-3</v>
      </c>
      <c r="I46" s="2">
        <f>VLOOKUP(A:A,MASTER!A:E,5,0)</f>
        <v>912</v>
      </c>
      <c r="J46" s="2">
        <f>VLOOKUP(A:A,MASTER!A:J,10,0)</f>
        <v>978</v>
      </c>
      <c r="K46" s="12">
        <f t="shared" si="1"/>
        <v>7.2368421052631637E-2</v>
      </c>
      <c r="L46" s="2">
        <f>VLOOKUP(A:A,MASTER!A:D,4,0)</f>
        <v>5</v>
      </c>
      <c r="M46" s="2">
        <f>VLOOKUP(A:A,MASTER!A:I,9,0)</f>
        <v>5</v>
      </c>
      <c r="N46" s="12">
        <f t="shared" si="2"/>
        <v>0</v>
      </c>
      <c r="O46" s="1">
        <f>VLOOKUP(A:A,MASTER!A:C,3,0)</f>
        <v>5</v>
      </c>
      <c r="P46" s="1">
        <f>VLOOKUP(A:A,MASTER!A:H,8,0)</f>
        <v>5</v>
      </c>
      <c r="Q46" s="12">
        <f t="shared" si="3"/>
        <v>0</v>
      </c>
      <c r="R46" s="1">
        <f>VLOOKUP(A:A,MASTER!A:B,2,0)</f>
        <v>899</v>
      </c>
      <c r="S46">
        <f>VLOOKUP(A:A,MASTER!A:G,7,0)</f>
        <v>919</v>
      </c>
      <c r="T46" s="12">
        <f t="shared" si="4"/>
        <v>2.2246941045606317E-2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75472987.088094369</v>
      </c>
      <c r="G47" s="1">
        <f>VLOOKUP(A:A,MASTER!A:K,11,0)</f>
        <v>84951975.836697325</v>
      </c>
      <c r="H47" s="12">
        <f t="shared" si="0"/>
        <v>0.12559445590166973</v>
      </c>
      <c r="I47" s="2">
        <f>VLOOKUP(A:A,MASTER!A:E,5,0)</f>
        <v>984</v>
      </c>
      <c r="J47" s="2">
        <f>VLOOKUP(A:A,MASTER!A:J,10,0)</f>
        <v>1497</v>
      </c>
      <c r="K47" s="12">
        <f t="shared" si="1"/>
        <v>0.52134146341463405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24</v>
      </c>
      <c r="P47" s="1">
        <f>VLOOKUP(A:A,MASTER!A:H,8,0)</f>
        <v>9</v>
      </c>
      <c r="Q47" s="12">
        <f t="shared" si="3"/>
        <v>-0.625</v>
      </c>
      <c r="R47" s="1">
        <f>VLOOKUP(A:A,MASTER!A:B,2,0)</f>
        <v>1325</v>
      </c>
      <c r="S47">
        <f>VLOOKUP(A:A,MASTER!A:G,7,0)</f>
        <v>1413</v>
      </c>
      <c r="T47" s="12">
        <f t="shared" si="4"/>
        <v>6.6415094339622671E-2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39388720.057088077</v>
      </c>
      <c r="G48" s="1">
        <f>VLOOKUP(A:A,MASTER!A:K,11,0)</f>
        <v>42469275.432805873</v>
      </c>
      <c r="H48" s="12">
        <f t="shared" si="0"/>
        <v>7.820907537114663E-2</v>
      </c>
      <c r="I48" s="2">
        <f>VLOOKUP(A:A,MASTER!A:E,5,0)</f>
        <v>379</v>
      </c>
      <c r="J48" s="2">
        <f>VLOOKUP(A:A,MASTER!A:J,10,0)</f>
        <v>412</v>
      </c>
      <c r="K48" s="12">
        <f t="shared" si="1"/>
        <v>8.7071240105540904E-2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474</v>
      </c>
      <c r="S48">
        <f>VLOOKUP(A:A,MASTER!A:G,7,0)</f>
        <v>468</v>
      </c>
      <c r="T48" s="12">
        <f t="shared" si="4"/>
        <v>-1.2658227848101222E-2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34875103.929486655</v>
      </c>
      <c r="G49" s="1">
        <f>VLOOKUP(A:A,MASTER!A:K,11,0)</f>
        <v>32570455.744896337</v>
      </c>
      <c r="H49" s="12">
        <f t="shared" si="0"/>
        <v>-6.608290513628412E-2</v>
      </c>
      <c r="I49" s="2">
        <f>VLOOKUP(A:A,MASTER!A:E,5,0)</f>
        <v>330</v>
      </c>
      <c r="J49" s="2">
        <f>VLOOKUP(A:A,MASTER!A:J,10,0)</f>
        <v>381</v>
      </c>
      <c r="K49" s="12">
        <f t="shared" si="1"/>
        <v>0.15454545454545454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4</v>
      </c>
      <c r="P49" s="1">
        <f>VLOOKUP(A:A,MASTER!A:H,8,0)</f>
        <v>4</v>
      </c>
      <c r="Q49" s="12">
        <f t="shared" si="3"/>
        <v>0</v>
      </c>
      <c r="R49" s="1">
        <f>VLOOKUP(A:A,MASTER!A:B,2,0)</f>
        <v>452</v>
      </c>
      <c r="S49">
        <f>VLOOKUP(A:A,MASTER!A:G,7,0)</f>
        <v>468</v>
      </c>
      <c r="T49" s="12">
        <f t="shared" si="4"/>
        <v>3.539823008849563E-2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29638637.841552623</v>
      </c>
      <c r="G50" s="1">
        <f>VLOOKUP(A:A,MASTER!A:K,11,0)</f>
        <v>29066673.196426295</v>
      </c>
      <c r="H50" s="12">
        <f t="shared" si="0"/>
        <v>-1.929793967536686E-2</v>
      </c>
      <c r="I50" s="2">
        <f>VLOOKUP(A:A,MASTER!A:E,5,0)</f>
        <v>336</v>
      </c>
      <c r="J50" s="2">
        <f>VLOOKUP(A:A,MASTER!A:J,10,0)</f>
        <v>579</v>
      </c>
      <c r="K50" s="12">
        <f t="shared" si="1"/>
        <v>0.72321428571428581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5</v>
      </c>
      <c r="Q50" s="12">
        <f t="shared" si="3"/>
        <v>-0.61538461538461542</v>
      </c>
      <c r="R50" s="1">
        <f>VLOOKUP(A:A,MASTER!A:B,2,0)</f>
        <v>424</v>
      </c>
      <c r="S50">
        <f>VLOOKUP(A:A,MASTER!A:G,7,0)</f>
        <v>403</v>
      </c>
      <c r="T50" s="12">
        <f t="shared" si="4"/>
        <v>-4.952830188679247E-2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64906578.803383067</v>
      </c>
      <c r="G51" s="1">
        <f>VLOOKUP(A:A,MASTER!A:K,11,0)</f>
        <v>64619466.163095698</v>
      </c>
      <c r="H51" s="12">
        <f t="shared" si="0"/>
        <v>-4.4234751789506976E-3</v>
      </c>
      <c r="I51" s="2">
        <f>VLOOKUP(A:A,MASTER!A:E,5,0)</f>
        <v>970</v>
      </c>
      <c r="J51" s="2">
        <f>VLOOKUP(A:A,MASTER!A:J,10,0)</f>
        <v>984</v>
      </c>
      <c r="K51" s="12">
        <f t="shared" si="1"/>
        <v>1.4432989690721598E-2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13</v>
      </c>
      <c r="Q51" s="12">
        <f t="shared" si="3"/>
        <v>0.85714285714285721</v>
      </c>
      <c r="R51" s="1">
        <f>VLOOKUP(A:A,MASTER!A:B,2,0)</f>
        <v>1121</v>
      </c>
      <c r="S51">
        <f>VLOOKUP(A:A,MASTER!A:G,7,0)</f>
        <v>1083</v>
      </c>
      <c r="T51" s="12">
        <f t="shared" si="4"/>
        <v>-3.3898305084745783E-2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66699453.283891916</v>
      </c>
      <c r="G52" s="1">
        <f>VLOOKUP(A:A,MASTER!A:K,11,0)</f>
        <v>58866967.789404467</v>
      </c>
      <c r="H52" s="12">
        <f t="shared" si="0"/>
        <v>-0.11742953066122075</v>
      </c>
      <c r="I52" s="2">
        <f>VLOOKUP(A:A,MASTER!A:E,5,0)</f>
        <v>739</v>
      </c>
      <c r="J52" s="2">
        <f>VLOOKUP(A:A,MASTER!A:J,10,0)</f>
        <v>1220</v>
      </c>
      <c r="K52" s="12">
        <f t="shared" si="1"/>
        <v>0.65087956698240856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16</v>
      </c>
      <c r="P52" s="1">
        <f>VLOOKUP(A:A,MASTER!A:H,8,0)</f>
        <v>10</v>
      </c>
      <c r="Q52" s="12">
        <f t="shared" si="3"/>
        <v>-0.375</v>
      </c>
      <c r="R52" s="1">
        <f>VLOOKUP(A:A,MASTER!A:B,2,0)</f>
        <v>962</v>
      </c>
      <c r="S52">
        <f>VLOOKUP(A:A,MASTER!A:G,7,0)</f>
        <v>957</v>
      </c>
      <c r="T52" s="12">
        <f t="shared" si="4"/>
        <v>-5.19750519750517E-3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104683300.62877074</v>
      </c>
      <c r="G53" s="1">
        <f>VLOOKUP(A:A,MASTER!A:K,11,0)</f>
        <v>127196982.53740001</v>
      </c>
      <c r="H53" s="12">
        <f t="shared" si="0"/>
        <v>0.21506469296824693</v>
      </c>
      <c r="I53" s="2">
        <f>VLOOKUP(A:A,MASTER!A:E,5,0)</f>
        <v>1755</v>
      </c>
      <c r="J53" s="2">
        <f>VLOOKUP(A:A,MASTER!A:J,10,0)</f>
        <v>1936</v>
      </c>
      <c r="K53" s="12">
        <f t="shared" si="1"/>
        <v>0.10313390313390314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45</v>
      </c>
      <c r="P53" s="1">
        <f>VLOOKUP(A:A,MASTER!A:H,8,0)</f>
        <v>19</v>
      </c>
      <c r="Q53" s="12">
        <f t="shared" si="3"/>
        <v>-0.57777777777777772</v>
      </c>
      <c r="R53" s="1">
        <f>VLOOKUP(A:A,MASTER!A:B,2,0)</f>
        <v>1986</v>
      </c>
      <c r="S53">
        <f>VLOOKUP(A:A,MASTER!A:G,7,0)</f>
        <v>2016</v>
      </c>
      <c r="T53" s="12">
        <f t="shared" si="4"/>
        <v>1.5105740181268867E-2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30382571.204404045</v>
      </c>
      <c r="G54" s="1">
        <f>VLOOKUP(A:A,MASTER!A:K,11,0)</f>
        <v>30914430.599039264</v>
      </c>
      <c r="H54" s="12">
        <f t="shared" si="0"/>
        <v>1.7505410949489431E-2</v>
      </c>
      <c r="I54" s="2">
        <f>VLOOKUP(A:A,MASTER!A:E,5,0)</f>
        <v>564</v>
      </c>
      <c r="J54" s="2">
        <f>VLOOKUP(A:A,MASTER!A:J,10,0)</f>
        <v>632</v>
      </c>
      <c r="K54" s="12">
        <f t="shared" si="1"/>
        <v>0.12056737588652489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4</v>
      </c>
      <c r="P54" s="1">
        <f>VLOOKUP(A:A,MASTER!A:H,8,0)</f>
        <v>5</v>
      </c>
      <c r="Q54" s="12">
        <f t="shared" si="3"/>
        <v>0.25</v>
      </c>
      <c r="R54" s="1">
        <f>VLOOKUP(A:A,MASTER!A:B,2,0)</f>
        <v>686</v>
      </c>
      <c r="S54">
        <f>VLOOKUP(A:A,MASTER!A:G,7,0)</f>
        <v>642</v>
      </c>
      <c r="T54" s="12">
        <f t="shared" si="4"/>
        <v>-6.4139941690962154E-2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48980520.125500195</v>
      </c>
      <c r="G55" s="1">
        <f>VLOOKUP(A:A,MASTER!A:K,11,0)</f>
        <v>54341268.043356642</v>
      </c>
      <c r="H55" s="12">
        <f t="shared" si="0"/>
        <v>0.10944652903074292</v>
      </c>
      <c r="I55" s="2">
        <f>VLOOKUP(A:A,MASTER!A:E,5,0)</f>
        <v>708</v>
      </c>
      <c r="J55" s="2">
        <f>VLOOKUP(A:A,MASTER!A:J,10,0)</f>
        <v>814</v>
      </c>
      <c r="K55" s="12">
        <f t="shared" si="1"/>
        <v>0.14971751412429368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13</v>
      </c>
      <c r="P55" s="1">
        <f>VLOOKUP(A:A,MASTER!A:H,8,0)</f>
        <v>9</v>
      </c>
      <c r="Q55" s="12">
        <f t="shared" si="3"/>
        <v>-0.30769230769230771</v>
      </c>
      <c r="R55" s="1">
        <f>VLOOKUP(A:A,MASTER!A:B,2,0)</f>
        <v>867</v>
      </c>
      <c r="S55">
        <f>VLOOKUP(A:A,MASTER!A:G,7,0)</f>
        <v>893</v>
      </c>
      <c r="T55" s="12">
        <f t="shared" si="4"/>
        <v>2.9988465974625234E-2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36814417.563040376</v>
      </c>
      <c r="G56" s="1">
        <f>VLOOKUP(A:A,MASTER!A:K,11,0)</f>
        <v>32145518.763037756</v>
      </c>
      <c r="H56" s="12">
        <f t="shared" si="0"/>
        <v>-0.12682256325277119</v>
      </c>
      <c r="I56" s="2">
        <f>VLOOKUP(A:A,MASTER!A:E,5,0)</f>
        <v>581</v>
      </c>
      <c r="J56" s="2">
        <f>VLOOKUP(A:A,MASTER!A:J,10,0)</f>
        <v>692</v>
      </c>
      <c r="K56" s="12">
        <f t="shared" si="1"/>
        <v>0.1910499139414803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774</v>
      </c>
      <c r="S56">
        <f>VLOOKUP(A:A,MASTER!A:G,7,0)</f>
        <v>677</v>
      </c>
      <c r="T56" s="12">
        <f t="shared" si="4"/>
        <v>-0.12532299741602071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65688918.56772349</v>
      </c>
      <c r="G57" s="1">
        <f>VLOOKUP(A:A,MASTER!A:K,11,0)</f>
        <v>69000387.609613314</v>
      </c>
      <c r="H57" s="12">
        <f t="shared" si="0"/>
        <v>5.0411380094129488E-2</v>
      </c>
      <c r="I57" s="2">
        <f>VLOOKUP(A:A,MASTER!A:E,5,0)</f>
        <v>1018</v>
      </c>
      <c r="J57" s="2">
        <f>VLOOKUP(A:A,MASTER!A:J,10,0)</f>
        <v>1002</v>
      </c>
      <c r="K57" s="12">
        <f t="shared" si="1"/>
        <v>-1.5717092337917515E-2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16</v>
      </c>
      <c r="P57" s="1">
        <f>VLOOKUP(A:A,MASTER!A:H,8,0)</f>
        <v>11</v>
      </c>
      <c r="Q57" s="12">
        <f t="shared" si="3"/>
        <v>-0.3125</v>
      </c>
      <c r="R57" s="1">
        <f>VLOOKUP(A:A,MASTER!A:B,2,0)</f>
        <v>1094</v>
      </c>
      <c r="S57">
        <f>VLOOKUP(A:A,MASTER!A:G,7,0)</f>
        <v>1090</v>
      </c>
      <c r="T57" s="12">
        <f t="shared" si="4"/>
        <v>-3.6563071297989191E-3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85289968.929813057</v>
      </c>
      <c r="G58" s="1">
        <f>VLOOKUP(A:A,MASTER!A:K,11,0)</f>
        <v>88596218.147557154</v>
      </c>
      <c r="H58" s="12">
        <f t="shared" si="0"/>
        <v>3.876480738860244E-2</v>
      </c>
      <c r="I58" s="2">
        <f>VLOOKUP(A:A,MASTER!A:E,5,0)</f>
        <v>1450</v>
      </c>
      <c r="J58" s="2">
        <f>VLOOKUP(A:A,MASTER!A:J,10,0)</f>
        <v>1600</v>
      </c>
      <c r="K58" s="12">
        <f t="shared" si="1"/>
        <v>0.10344827586206895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21</v>
      </c>
      <c r="P58" s="1">
        <f>VLOOKUP(A:A,MASTER!A:H,8,0)</f>
        <v>18</v>
      </c>
      <c r="Q58" s="12">
        <f t="shared" si="3"/>
        <v>-0.1428571428571429</v>
      </c>
      <c r="R58" s="1">
        <f>VLOOKUP(A:A,MASTER!A:B,2,0)</f>
        <v>1360</v>
      </c>
      <c r="S58">
        <f>VLOOKUP(A:A,MASTER!A:G,7,0)</f>
        <v>1580</v>
      </c>
      <c r="T58" s="12">
        <f t="shared" si="4"/>
        <v>0.16176470588235303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42768895.480746202</v>
      </c>
      <c r="G59" s="1">
        <f>VLOOKUP(A:A,MASTER!A:K,11,0)</f>
        <v>47038009.228535101</v>
      </c>
      <c r="H59" s="12">
        <f t="shared" si="0"/>
        <v>9.9818190294644893E-2</v>
      </c>
      <c r="I59" s="2">
        <f>VLOOKUP(A:A,MASTER!A:E,5,0)</f>
        <v>679</v>
      </c>
      <c r="J59" s="2">
        <f>VLOOKUP(A:A,MASTER!A:J,10,0)</f>
        <v>1088</v>
      </c>
      <c r="K59" s="12">
        <f t="shared" si="1"/>
        <v>0.6023564064801179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7</v>
      </c>
      <c r="P59" s="1">
        <f>VLOOKUP(A:A,MASTER!A:H,8,0)</f>
        <v>8</v>
      </c>
      <c r="Q59" s="12">
        <f t="shared" si="3"/>
        <v>0.14285714285714279</v>
      </c>
      <c r="R59" s="1">
        <f>VLOOKUP(A:A,MASTER!A:B,2,0)</f>
        <v>778</v>
      </c>
      <c r="S59">
        <f>VLOOKUP(A:A,MASTER!A:G,7,0)</f>
        <v>779</v>
      </c>
      <c r="T59" s="12">
        <f t="shared" si="4"/>
        <v>1.2853470437017567E-3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49963627.735031873</v>
      </c>
      <c r="G60" s="1">
        <f>VLOOKUP(A:A,MASTER!A:K,11,0)</f>
        <v>50112380.947894797</v>
      </c>
      <c r="H60" s="12">
        <f t="shared" si="0"/>
        <v>2.9772300292483234E-3</v>
      </c>
      <c r="I60" s="2">
        <f>VLOOKUP(A:A,MASTER!A:E,5,0)</f>
        <v>463</v>
      </c>
      <c r="J60" s="2">
        <f>VLOOKUP(A:A,MASTER!A:J,10,0)</f>
        <v>80</v>
      </c>
      <c r="K60" s="12">
        <f t="shared" si="1"/>
        <v>-0.82721382289416845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10</v>
      </c>
      <c r="P60" s="1">
        <f>VLOOKUP(A:A,MASTER!A:H,8,0)</f>
        <v>15</v>
      </c>
      <c r="Q60" s="12">
        <f t="shared" si="3"/>
        <v>0.5</v>
      </c>
      <c r="R60" s="1">
        <f>VLOOKUP(A:A,MASTER!A:B,2,0)</f>
        <v>664</v>
      </c>
      <c r="S60">
        <f>VLOOKUP(A:A,MASTER!A:G,7,0)</f>
        <v>628</v>
      </c>
      <c r="T60" s="12">
        <f t="shared" si="4"/>
        <v>-5.4216867469879526E-2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140827939.02048233</v>
      </c>
      <c r="G61" s="1">
        <f>VLOOKUP(A:A,MASTER!A:K,11,0)</f>
        <v>166499620.02509031</v>
      </c>
      <c r="H61" s="12">
        <f t="shared" si="0"/>
        <v>0.18229110773874369</v>
      </c>
      <c r="I61" s="2">
        <f>VLOOKUP(A:A,MASTER!A:E,5,0)</f>
        <v>1899</v>
      </c>
      <c r="J61" s="2">
        <f>VLOOKUP(A:A,MASTER!A:J,10,0)</f>
        <v>1810</v>
      </c>
      <c r="K61" s="12">
        <f t="shared" si="1"/>
        <v>-4.6866771985255351E-2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35</v>
      </c>
      <c r="P61" s="1">
        <f>VLOOKUP(A:A,MASTER!A:H,8,0)</f>
        <v>23</v>
      </c>
      <c r="Q61" s="12">
        <f t="shared" si="3"/>
        <v>-0.34285714285714286</v>
      </c>
      <c r="R61" s="1">
        <f>VLOOKUP(A:A,MASTER!A:B,2,0)</f>
        <v>2028</v>
      </c>
      <c r="S61">
        <f>VLOOKUP(A:A,MASTER!A:G,7,0)</f>
        <v>1987</v>
      </c>
      <c r="T61" s="12">
        <f t="shared" si="4"/>
        <v>-2.021696252465488E-2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114966704.35109471</v>
      </c>
      <c r="G62" s="1">
        <f>VLOOKUP(A:A,MASTER!A:K,11,0)</f>
        <v>126466386.03160928</v>
      </c>
      <c r="H62" s="12">
        <f t="shared" si="0"/>
        <v>0.10002619232604859</v>
      </c>
      <c r="I62" s="2">
        <f>VLOOKUP(A:A,MASTER!A:E,5,0)</f>
        <v>174</v>
      </c>
      <c r="J62" s="2">
        <f>VLOOKUP(A:A,MASTER!A:J,10,0)</f>
        <v>1340</v>
      </c>
      <c r="K62" s="12">
        <f t="shared" si="1"/>
        <v>6.7011494252873565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31</v>
      </c>
      <c r="P62" s="1">
        <f>VLOOKUP(A:A,MASTER!A:H,8,0)</f>
        <v>31</v>
      </c>
      <c r="Q62" s="12">
        <f t="shared" si="3"/>
        <v>0</v>
      </c>
      <c r="R62" s="1">
        <f>VLOOKUP(A:A,MASTER!A:B,2,0)</f>
        <v>1556</v>
      </c>
      <c r="S62">
        <f>VLOOKUP(A:A,MASTER!A:G,7,0)</f>
        <v>1575</v>
      </c>
      <c r="T62" s="12">
        <f t="shared" si="4"/>
        <v>1.2210796915167021E-2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75015721.308062419</v>
      </c>
      <c r="G63" s="1">
        <f>VLOOKUP(A:A,MASTER!A:K,11,0)</f>
        <v>81602128.828093037</v>
      </c>
      <c r="H63" s="12">
        <f t="shared" si="0"/>
        <v>8.7800362446461389E-2</v>
      </c>
      <c r="I63" s="2">
        <f>VLOOKUP(A:A,MASTER!A:E,5,0)</f>
        <v>1449</v>
      </c>
      <c r="J63" s="2">
        <f>VLOOKUP(A:A,MASTER!A:J,10,0)</f>
        <v>761</v>
      </c>
      <c r="K63" s="12">
        <f t="shared" si="1"/>
        <v>-0.47481021394064871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14</v>
      </c>
      <c r="Q63" s="12">
        <f t="shared" si="3"/>
        <v>2.5</v>
      </c>
      <c r="R63" s="1">
        <f>VLOOKUP(A:A,MASTER!A:B,2,0)</f>
        <v>868</v>
      </c>
      <c r="S63">
        <f>VLOOKUP(A:A,MASTER!A:G,7,0)</f>
        <v>901</v>
      </c>
      <c r="T63" s="12">
        <f t="shared" si="4"/>
        <v>3.8018433179723532E-2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113517346.92669596</v>
      </c>
      <c r="G64" s="1">
        <f>VLOOKUP(A:A,MASTER!A:K,11,0)</f>
        <v>115535317.18576643</v>
      </c>
      <c r="H64" s="12">
        <f t="shared" si="0"/>
        <v>1.7776756713435038E-2</v>
      </c>
      <c r="I64" s="2">
        <f>VLOOKUP(A:A,MASTER!A:E,5,0)</f>
        <v>1319</v>
      </c>
      <c r="J64" s="2">
        <f>VLOOKUP(A:A,MASTER!A:J,10,0)</f>
        <v>1384</v>
      </c>
      <c r="K64" s="12">
        <f t="shared" si="1"/>
        <v>4.9279757391963663E-2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575</v>
      </c>
      <c r="P64" s="1">
        <f>VLOOKUP(A:A,MASTER!A:H,8,0)</f>
        <v>692</v>
      </c>
      <c r="Q64" s="12">
        <f t="shared" si="3"/>
        <v>0.20347826086956511</v>
      </c>
      <c r="R64" s="1">
        <f>VLOOKUP(A:A,MASTER!A:B,2,0)</f>
        <v>2148</v>
      </c>
      <c r="S64">
        <f>VLOOKUP(A:A,MASTER!A:G,7,0)</f>
        <v>2250</v>
      </c>
      <c r="T64" s="12">
        <f t="shared" si="4"/>
        <v>4.748603351955305E-2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8148410.617243452</v>
      </c>
      <c r="G65" s="1">
        <f>VLOOKUP(A:A,MASTER!A:K,11,0)</f>
        <v>6240086.6786638899</v>
      </c>
      <c r="H65" s="12">
        <f t="shared" si="0"/>
        <v>-0.23419584851814135</v>
      </c>
      <c r="I65" s="2">
        <f>VLOOKUP(A:A,MASTER!A:E,5,0)</f>
        <v>3</v>
      </c>
      <c r="J65" s="2">
        <f>VLOOKUP(A:A,MASTER!A:J,10,0)</f>
        <v>406</v>
      </c>
      <c r="K65" s="12">
        <f t="shared" si="1"/>
        <v>134.33333333333334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258</v>
      </c>
      <c r="S65">
        <f>VLOOKUP(A:A,MASTER!A:G,7,0)</f>
        <v>234</v>
      </c>
      <c r="T65" s="12">
        <f t="shared" si="4"/>
        <v>-9.3023255813953543E-2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77251287.372323066</v>
      </c>
      <c r="G66" s="1">
        <f>VLOOKUP(A:A,MASTER!A:K,11,0)</f>
        <v>84246886.097727746</v>
      </c>
      <c r="H66" s="12">
        <f t="shared" si="0"/>
        <v>9.0556403179256284E-2</v>
      </c>
      <c r="I66" s="2">
        <f>VLOOKUP(A:A,MASTER!A:E,5,0)</f>
        <v>1258</v>
      </c>
      <c r="J66" s="2">
        <f>VLOOKUP(A:A,MASTER!A:J,10,0)</f>
        <v>1903</v>
      </c>
      <c r="K66" s="12">
        <f t="shared" si="1"/>
        <v>0.5127186009538951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19</v>
      </c>
      <c r="Q66" s="12">
        <f t="shared" si="3"/>
        <v>1.7142857142857144</v>
      </c>
      <c r="R66" s="1">
        <f>VLOOKUP(A:A,MASTER!A:B,2,0)</f>
        <v>1679</v>
      </c>
      <c r="S66">
        <f>VLOOKUP(A:A,MASTER!A:G,7,0)</f>
        <v>1607</v>
      </c>
      <c r="T66" s="12">
        <f t="shared" si="4"/>
        <v>-4.2882668254913603E-2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37218802.728046007</v>
      </c>
      <c r="G67" s="1">
        <f>VLOOKUP(A:A,MASTER!A:K,11,0)</f>
        <v>39058261.697311945</v>
      </c>
      <c r="H67" s="12">
        <f t="shared" ref="H67:H85" si="5">IFERROR(G67/F67-1,0)</f>
        <v>4.9422840995361206E-2</v>
      </c>
      <c r="I67" s="2">
        <f>VLOOKUP(A:A,MASTER!A:E,5,0)</f>
        <v>629</v>
      </c>
      <c r="J67" s="2">
        <f>VLOOKUP(A:A,MASTER!A:J,10,0)</f>
        <v>749</v>
      </c>
      <c r="K67" s="12">
        <f t="shared" ref="K67:K85" si="6">IFERROR(J67/I67-1,0)</f>
        <v>0.19077901430842603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682</v>
      </c>
      <c r="S67">
        <f>VLOOKUP(A:A,MASTER!A:G,7,0)</f>
        <v>781</v>
      </c>
      <c r="T67" s="12">
        <f t="shared" ref="T67:T85" si="9">IFERROR(S67/R67-1,0)</f>
        <v>0.14516129032258074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58785339.791418493</v>
      </c>
      <c r="G68" s="1">
        <f>VLOOKUP(A:A,MASTER!A:K,11,0)</f>
        <v>62431669.373233408</v>
      </c>
      <c r="H68" s="12">
        <f t="shared" si="5"/>
        <v>6.202787284640654E-2</v>
      </c>
      <c r="I68" s="2">
        <f>VLOOKUP(A:A,MASTER!A:E,5,0)</f>
        <v>927</v>
      </c>
      <c r="J68" s="2">
        <f>VLOOKUP(A:A,MASTER!A:J,10,0)</f>
        <v>1828</v>
      </c>
      <c r="K68" s="12">
        <f t="shared" si="6"/>
        <v>0.97195253505933121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69</v>
      </c>
      <c r="P68" s="1">
        <f>VLOOKUP(A:A,MASTER!A:H,8,0)</f>
        <v>571</v>
      </c>
      <c r="Q68" s="12">
        <f t="shared" si="8"/>
        <v>7.27536231884058</v>
      </c>
      <c r="R68" s="1">
        <f>VLOOKUP(A:A,MASTER!A:B,2,0)</f>
        <v>1355</v>
      </c>
      <c r="S68">
        <f>VLOOKUP(A:A,MASTER!A:G,7,0)</f>
        <v>1801</v>
      </c>
      <c r="T68" s="12">
        <f t="shared" si="9"/>
        <v>0.32915129151291511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32275193.861953437</v>
      </c>
      <c r="G69" s="1">
        <f>VLOOKUP(A:A,MASTER!A:K,11,0)</f>
        <v>44080634.431791537</v>
      </c>
      <c r="H69" s="12">
        <f t="shared" si="5"/>
        <v>0.36577442788824133</v>
      </c>
      <c r="I69" s="2">
        <f>VLOOKUP(A:A,MASTER!A:E,5,0)</f>
        <v>1329</v>
      </c>
      <c r="J69" s="2">
        <f>VLOOKUP(A:A,MASTER!A:J,10,0)</f>
        <v>1369</v>
      </c>
      <c r="K69" s="12">
        <f t="shared" si="6"/>
        <v>3.0097817908201652E-2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16</v>
      </c>
      <c r="P69" s="1">
        <f>VLOOKUP(A:A,MASTER!A:H,8,0)</f>
        <v>17</v>
      </c>
      <c r="Q69" s="12">
        <f t="shared" si="8"/>
        <v>6.25E-2</v>
      </c>
      <c r="R69" s="1">
        <f>VLOOKUP(A:A,MASTER!A:B,2,0)</f>
        <v>1289</v>
      </c>
      <c r="S69">
        <f>VLOOKUP(A:A,MASTER!A:G,7,0)</f>
        <v>1265</v>
      </c>
      <c r="T69" s="12">
        <f t="shared" si="9"/>
        <v>-1.8619084561675714E-2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103700256.08545941</v>
      </c>
      <c r="G70" s="1">
        <f>VLOOKUP(A:A,MASTER!A:K,11,0)</f>
        <v>108193782.24724299</v>
      </c>
      <c r="H70" s="12">
        <f t="shared" si="5"/>
        <v>4.3331871409078015E-2</v>
      </c>
      <c r="I70" s="2">
        <f>VLOOKUP(A:A,MASTER!A:E,5,0)</f>
        <v>1166</v>
      </c>
      <c r="J70" s="2">
        <f>VLOOKUP(A:A,MASTER!A:J,10,0)</f>
        <v>1269</v>
      </c>
      <c r="K70" s="12">
        <f t="shared" si="6"/>
        <v>8.8336192109776945E-2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17</v>
      </c>
      <c r="P70" s="1">
        <f>VLOOKUP(A:A,MASTER!A:H,8,0)</f>
        <v>20</v>
      </c>
      <c r="Q70" s="12">
        <f t="shared" si="8"/>
        <v>0.17647058823529416</v>
      </c>
      <c r="R70" s="1">
        <f>VLOOKUP(A:A,MASTER!A:B,2,0)</f>
        <v>1762</v>
      </c>
      <c r="S70">
        <f>VLOOKUP(A:A,MASTER!A:G,7,0)</f>
        <v>1727</v>
      </c>
      <c r="T70" s="12">
        <f t="shared" si="9"/>
        <v>-1.9863791146424559E-2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20808197.35222796</v>
      </c>
      <c r="G71" s="1">
        <f>VLOOKUP(A:A,MASTER!A:K,11,0)</f>
        <v>22177268.693101991</v>
      </c>
      <c r="H71" s="12">
        <f t="shared" si="5"/>
        <v>6.5794807579881098E-2</v>
      </c>
      <c r="I71" s="2">
        <f>VLOOKUP(A:A,MASTER!A:E,5,0)</f>
        <v>460</v>
      </c>
      <c r="J71" s="2">
        <f>VLOOKUP(A:A,MASTER!A:J,10,0)</f>
        <v>804</v>
      </c>
      <c r="K71" s="12">
        <f t="shared" si="6"/>
        <v>0.74782608695652164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5</v>
      </c>
      <c r="Q71" s="12">
        <f t="shared" si="8"/>
        <v>-0.16666666666666663</v>
      </c>
      <c r="R71" s="1">
        <f>VLOOKUP(A:A,MASTER!A:B,2,0)</f>
        <v>491</v>
      </c>
      <c r="S71">
        <f>VLOOKUP(A:A,MASTER!A:G,7,0)</f>
        <v>511</v>
      </c>
      <c r="T71" s="12">
        <f t="shared" si="9"/>
        <v>4.0733197556008127E-2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34299015.758985899</v>
      </c>
      <c r="G72" s="1">
        <f>VLOOKUP(A:A,MASTER!A:K,11,0)</f>
        <v>35665298.337954924</v>
      </c>
      <c r="H72" s="12">
        <f t="shared" si="5"/>
        <v>3.9834454392793317E-2</v>
      </c>
      <c r="I72" s="2">
        <f>VLOOKUP(A:A,MASTER!A:E,5,0)</f>
        <v>816</v>
      </c>
      <c r="J72" s="2">
        <f>VLOOKUP(A:A,MASTER!A:J,10,0)</f>
        <v>859</v>
      </c>
      <c r="K72" s="12">
        <f t="shared" si="6"/>
        <v>5.2696078431372584E-2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7</v>
      </c>
      <c r="P72" s="1">
        <f>VLOOKUP(A:A,MASTER!A:H,8,0)</f>
        <v>7</v>
      </c>
      <c r="Q72" s="12">
        <f t="shared" si="8"/>
        <v>0</v>
      </c>
      <c r="R72" s="1">
        <f>VLOOKUP(A:A,MASTER!A:B,2,0)</f>
        <v>905</v>
      </c>
      <c r="S72">
        <f>VLOOKUP(A:A,MASTER!A:G,7,0)</f>
        <v>888</v>
      </c>
      <c r="T72" s="12">
        <f t="shared" si="9"/>
        <v>-1.8784530386740328E-2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23247951.369246338</v>
      </c>
      <c r="G73" s="1">
        <f>VLOOKUP(A:A,MASTER!A:K,11,0)</f>
        <v>35203666.198692456</v>
      </c>
      <c r="H73" s="12">
        <f t="shared" si="5"/>
        <v>0.51426960765505525</v>
      </c>
      <c r="I73" s="2">
        <f>VLOOKUP(A:A,MASTER!A:E,5,0)</f>
        <v>474</v>
      </c>
      <c r="J73" s="2">
        <f>VLOOKUP(A:A,MASTER!A:J,10,0)</f>
        <v>492</v>
      </c>
      <c r="K73" s="12">
        <f t="shared" si="6"/>
        <v>3.7974683544303778E-2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647</v>
      </c>
      <c r="S73">
        <f>VLOOKUP(A:A,MASTER!A:G,7,0)</f>
        <v>628</v>
      </c>
      <c r="T73" s="12">
        <f t="shared" si="9"/>
        <v>-2.9366306027820754E-2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17751781.015112959</v>
      </c>
      <c r="G74" s="1">
        <f>VLOOKUP(A:A,MASTER!A:K,11,0)</f>
        <v>22314107.622887608</v>
      </c>
      <c r="H74" s="12">
        <f t="shared" si="5"/>
        <v>0.25700669718100499</v>
      </c>
      <c r="I74" s="2">
        <f>VLOOKUP(A:A,MASTER!A:E,5,0)</f>
        <v>718</v>
      </c>
      <c r="J74" s="2">
        <f>VLOOKUP(A:A,MASTER!A:J,10,0)</f>
        <v>726</v>
      </c>
      <c r="K74" s="12">
        <f t="shared" si="6"/>
        <v>1.1142061281337101E-2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7</v>
      </c>
      <c r="P74" s="1">
        <f>VLOOKUP(A:A,MASTER!A:H,8,0)</f>
        <v>7</v>
      </c>
      <c r="Q74" s="12">
        <f t="shared" si="8"/>
        <v>0</v>
      </c>
      <c r="R74" s="1">
        <f>VLOOKUP(A:A,MASTER!A:B,2,0)</f>
        <v>572</v>
      </c>
      <c r="S74">
        <f>VLOOKUP(A:A,MASTER!A:G,7,0)</f>
        <v>580</v>
      </c>
      <c r="T74" s="12">
        <f t="shared" si="9"/>
        <v>1.3986013986013957E-2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26452801.585179415</v>
      </c>
      <c r="G75" s="1">
        <f>VLOOKUP(A:A,MASTER!A:K,11,0)</f>
        <v>28509746.558328018</v>
      </c>
      <c r="H75" s="12">
        <f t="shared" si="5"/>
        <v>7.7759059528161201E-2</v>
      </c>
      <c r="I75" s="2">
        <f>VLOOKUP(A:A,MASTER!A:E,5,0)</f>
        <v>467</v>
      </c>
      <c r="J75" s="2">
        <f>VLOOKUP(A:A,MASTER!A:J,10,0)</f>
        <v>468</v>
      </c>
      <c r="K75" s="12">
        <f t="shared" si="6"/>
        <v>2.1413276231263545E-3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435</v>
      </c>
      <c r="S75">
        <f>VLOOKUP(A:A,MASTER!A:G,7,0)</f>
        <v>450</v>
      </c>
      <c r="T75" s="12">
        <f t="shared" si="9"/>
        <v>3.4482758620689724E-2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76346230.184281394</v>
      </c>
      <c r="G76" s="1">
        <f>VLOOKUP(A:A,MASTER!A:K,11,0)</f>
        <v>74620837.610414207</v>
      </c>
      <c r="H76" s="12">
        <f t="shared" si="5"/>
        <v>-2.2599577866549647E-2</v>
      </c>
      <c r="I76" s="2">
        <f>VLOOKUP(A:A,MASTER!A:E,5,0)</f>
        <v>758</v>
      </c>
      <c r="J76" s="2">
        <f>VLOOKUP(A:A,MASTER!A:J,10,0)</f>
        <v>772</v>
      </c>
      <c r="K76" s="12">
        <f t="shared" si="6"/>
        <v>1.846965699208436E-2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19</v>
      </c>
      <c r="P76" s="1">
        <f>VLOOKUP(A:A,MASTER!A:H,8,0)</f>
        <v>15</v>
      </c>
      <c r="Q76" s="12">
        <f t="shared" si="8"/>
        <v>-0.21052631578947367</v>
      </c>
      <c r="R76" s="1">
        <f>VLOOKUP(A:A,MASTER!A:B,2,0)</f>
        <v>957</v>
      </c>
      <c r="S76">
        <f>VLOOKUP(A:A,MASTER!A:G,7,0)</f>
        <v>911</v>
      </c>
      <c r="T76" s="12">
        <f t="shared" si="9"/>
        <v>-4.8066875653082541E-2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44626909.863169447</v>
      </c>
      <c r="G77" s="1">
        <f>VLOOKUP(A:A,MASTER!A:K,11,0)</f>
        <v>44723451.787173718</v>
      </c>
      <c r="H77" s="12">
        <f t="shared" si="5"/>
        <v>2.1633118739405877E-3</v>
      </c>
      <c r="I77" s="2">
        <f>VLOOKUP(A:A,MASTER!A:E,5,0)</f>
        <v>717</v>
      </c>
      <c r="J77" s="2">
        <f>VLOOKUP(A:A,MASTER!A:J,10,0)</f>
        <v>783</v>
      </c>
      <c r="K77" s="12">
        <f t="shared" si="6"/>
        <v>9.2050209205020828E-2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6</v>
      </c>
      <c r="Q77" s="12">
        <f t="shared" si="8"/>
        <v>-0.25</v>
      </c>
      <c r="R77" s="1">
        <f>VLOOKUP(A:A,MASTER!A:B,2,0)</f>
        <v>789</v>
      </c>
      <c r="S77">
        <f>VLOOKUP(A:A,MASTER!A:G,7,0)</f>
        <v>785</v>
      </c>
      <c r="T77" s="12">
        <f t="shared" si="9"/>
        <v>-5.069708491761693E-3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37884088.710137188</v>
      </c>
      <c r="G78" s="1">
        <f>VLOOKUP(A:A,MASTER!A:K,11,0)</f>
        <v>38894797.199882269</v>
      </c>
      <c r="H78" s="12">
        <f t="shared" si="5"/>
        <v>2.6678970622160625E-2</v>
      </c>
      <c r="I78" s="2">
        <f>VLOOKUP(A:A,MASTER!A:E,5,0)</f>
        <v>927</v>
      </c>
      <c r="J78" s="2">
        <f>VLOOKUP(A:A,MASTER!A:J,10,0)</f>
        <v>989</v>
      </c>
      <c r="K78" s="12">
        <f t="shared" si="6"/>
        <v>6.6882416396979449E-2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10</v>
      </c>
      <c r="Q78" s="12">
        <f t="shared" si="8"/>
        <v>2.3333333333333335</v>
      </c>
      <c r="R78" s="1">
        <f>VLOOKUP(A:A,MASTER!A:B,2,0)</f>
        <v>945</v>
      </c>
      <c r="S78">
        <f>VLOOKUP(A:A,MASTER!A:G,7,0)</f>
        <v>942</v>
      </c>
      <c r="T78" s="12">
        <f t="shared" si="9"/>
        <v>-3.1746031746031633E-3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41847405.361760058</v>
      </c>
      <c r="G79" s="1">
        <f>VLOOKUP(A:A,MASTER!A:K,11,0)</f>
        <v>42319283.364424147</v>
      </c>
      <c r="H79" s="12">
        <f t="shared" si="5"/>
        <v>1.1276159144989473E-2</v>
      </c>
      <c r="I79" s="2">
        <f>VLOOKUP(A:A,MASTER!A:E,5,0)</f>
        <v>879</v>
      </c>
      <c r="J79" s="2">
        <f>VLOOKUP(A:A,MASTER!A:J,10,0)</f>
        <v>886</v>
      </c>
      <c r="K79" s="12">
        <f t="shared" si="6"/>
        <v>7.9635949943117623E-3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6</v>
      </c>
      <c r="Q79" s="12">
        <f t="shared" si="8"/>
        <v>-0.33333333333333337</v>
      </c>
      <c r="R79" s="1">
        <f>VLOOKUP(A:A,MASTER!A:B,2,0)</f>
        <v>999</v>
      </c>
      <c r="S79">
        <f>VLOOKUP(A:A,MASTER!A:G,7,0)</f>
        <v>947</v>
      </c>
      <c r="T79" s="12">
        <f t="shared" si="9"/>
        <v>-5.20520520520521E-2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46486669.469575226</v>
      </c>
      <c r="G80" s="1">
        <f>VLOOKUP(A:A,MASTER!A:K,11,0)</f>
        <v>51887079.227034271</v>
      </c>
      <c r="H80" s="12">
        <f t="shared" si="5"/>
        <v>0.11617114796734418</v>
      </c>
      <c r="I80" s="2">
        <f>VLOOKUP(A:A,MASTER!A:E,5,0)</f>
        <v>719</v>
      </c>
      <c r="J80" s="2">
        <f>VLOOKUP(A:A,MASTER!A:J,10,0)</f>
        <v>756</v>
      </c>
      <c r="K80" s="12">
        <f t="shared" si="6"/>
        <v>5.1460361613351768E-2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11</v>
      </c>
      <c r="P80" s="1">
        <f>VLOOKUP(A:A,MASTER!A:H,8,0)</f>
        <v>4</v>
      </c>
      <c r="Q80" s="12">
        <f t="shared" si="8"/>
        <v>-0.63636363636363635</v>
      </c>
      <c r="R80" s="1">
        <f>VLOOKUP(A:A,MASTER!A:B,2,0)</f>
        <v>761</v>
      </c>
      <c r="S80">
        <f>VLOOKUP(A:A,MASTER!A:G,7,0)</f>
        <v>754</v>
      </c>
      <c r="T80" s="12">
        <f t="shared" si="9"/>
        <v>-9.1984231274638839E-3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19780513.322250318</v>
      </c>
      <c r="G81" s="1">
        <f>VLOOKUP(A:A,MASTER!A:K,11,0)</f>
        <v>23290684.128887121</v>
      </c>
      <c r="H81" s="12">
        <f t="shared" si="5"/>
        <v>0.17745600174533127</v>
      </c>
      <c r="I81" s="2">
        <f>VLOOKUP(A:A,MASTER!A:E,5,0)</f>
        <v>696</v>
      </c>
      <c r="J81" s="2">
        <f>VLOOKUP(A:A,MASTER!A:J,10,0)</f>
        <v>725</v>
      </c>
      <c r="K81" s="12">
        <f t="shared" si="6"/>
        <v>4.1666666666666741E-2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566</v>
      </c>
      <c r="S81">
        <f>VLOOKUP(A:A,MASTER!A:G,7,0)</f>
        <v>588</v>
      </c>
      <c r="T81" s="12">
        <f t="shared" si="9"/>
        <v>3.8869257950530089E-2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88021307.638904288</v>
      </c>
      <c r="G82" s="1">
        <f>VLOOKUP(A:A,MASTER!A:K,11,0)</f>
        <v>102059489.96436916</v>
      </c>
      <c r="H82" s="12">
        <f t="shared" si="5"/>
        <v>0.15948618240318191</v>
      </c>
      <c r="I82" s="2">
        <f>VLOOKUP(A:A,MASTER!A:E,5,0)</f>
        <v>1317</v>
      </c>
      <c r="J82" s="2">
        <f>VLOOKUP(A:A,MASTER!A:J,10,0)</f>
        <v>1473</v>
      </c>
      <c r="K82" s="12">
        <f t="shared" si="6"/>
        <v>0.11845102505694771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11</v>
      </c>
      <c r="P82" s="1">
        <f>VLOOKUP(A:A,MASTER!A:H,8,0)</f>
        <v>15</v>
      </c>
      <c r="Q82" s="12">
        <f t="shared" si="8"/>
        <v>0.36363636363636354</v>
      </c>
      <c r="R82" s="1">
        <f>VLOOKUP(A:A,MASTER!A:B,2,0)</f>
        <v>1713</v>
      </c>
      <c r="S82">
        <f>VLOOKUP(A:A,MASTER!A:G,7,0)</f>
        <v>1763</v>
      </c>
      <c r="T82" s="12">
        <f t="shared" si="9"/>
        <v>2.9188558085230687E-2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24990777.677869316</v>
      </c>
      <c r="G83" s="1">
        <f>VLOOKUP(A:A,MASTER!A:K,11,0)</f>
        <v>24431221.05708931</v>
      </c>
      <c r="H83" s="12">
        <f t="shared" si="5"/>
        <v>-2.2390524536398226E-2</v>
      </c>
      <c r="I83" s="2">
        <f>VLOOKUP(A:A,MASTER!A:E,5,0)</f>
        <v>712</v>
      </c>
      <c r="J83" s="2">
        <f>VLOOKUP(A:A,MASTER!A:J,10,0)</f>
        <v>1070</v>
      </c>
      <c r="K83" s="12">
        <f t="shared" si="6"/>
        <v>0.50280898876404501</v>
      </c>
      <c r="L83" s="2">
        <f>VLOOKUP(A:A,MASTER!A:D,4,0)</f>
        <v>3</v>
      </c>
      <c r="M83" s="2">
        <f>VLOOKUP(A:A,MASTER!A:I,9,0)</f>
        <v>4</v>
      </c>
      <c r="N83" s="12">
        <f t="shared" si="7"/>
        <v>0.33333333333333326</v>
      </c>
      <c r="O83" s="1">
        <f>VLOOKUP(A:A,MASTER!A:C,3,0)</f>
        <v>10</v>
      </c>
      <c r="P83" s="1">
        <f>VLOOKUP(A:A,MASTER!A:H,8,0)</f>
        <v>2</v>
      </c>
      <c r="Q83" s="12">
        <f t="shared" si="8"/>
        <v>-0.8</v>
      </c>
      <c r="R83" s="1">
        <f>VLOOKUP(A:A,MASTER!A:B,2,0)</f>
        <v>624</v>
      </c>
      <c r="S83">
        <f>VLOOKUP(A:A,MASTER!A:G,7,0)</f>
        <v>645</v>
      </c>
      <c r="T83" s="12">
        <f t="shared" si="9"/>
        <v>3.3653846153846256E-2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40313583.43754679</v>
      </c>
      <c r="G84" s="1">
        <f>VLOOKUP(A:A,MASTER!A:K,11,0)</f>
        <v>43755501.636780389</v>
      </c>
      <c r="H84" s="12">
        <f t="shared" si="5"/>
        <v>8.5378621936840871E-2</v>
      </c>
      <c r="I84" s="2">
        <f>VLOOKUP(A:A,MASTER!A:E,5,0)</f>
        <v>534</v>
      </c>
      <c r="J84" s="2">
        <f>VLOOKUP(A:A,MASTER!A:J,10,0)</f>
        <v>713</v>
      </c>
      <c r="K84" s="12">
        <f t="shared" si="6"/>
        <v>0.33520599250936334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18</v>
      </c>
      <c r="P84" s="1">
        <f>VLOOKUP(A:A,MASTER!A:H,8,0)</f>
        <v>8</v>
      </c>
      <c r="Q84" s="12">
        <f t="shared" si="8"/>
        <v>-0.55555555555555558</v>
      </c>
      <c r="R84" s="1">
        <f>VLOOKUP(A:A,MASTER!A:B,2,0)</f>
        <v>585</v>
      </c>
      <c r="S84">
        <f>VLOOKUP(A:A,MASTER!A:G,7,0)</f>
        <v>674</v>
      </c>
      <c r="T84" s="12">
        <f t="shared" si="9"/>
        <v>0.15213675213675204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10204178.112787612</v>
      </c>
      <c r="G85" s="1">
        <f>VLOOKUP(A:A,MASTER!A:K,11,0)</f>
        <v>9956156.0830863565</v>
      </c>
      <c r="H85" s="12">
        <f t="shared" si="5"/>
        <v>-2.4305929096870682E-2</v>
      </c>
      <c r="I85" s="2">
        <f>VLOOKUP(A:A,MASTER!A:E,5,0)</f>
        <v>301</v>
      </c>
      <c r="J85" s="2">
        <f>VLOOKUP(A:A,MASTER!A:J,10,0)</f>
        <v>390</v>
      </c>
      <c r="K85" s="12">
        <f t="shared" si="6"/>
        <v>0.29568106312292364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355</v>
      </c>
      <c r="S85">
        <f>VLOOKUP(A:A,MASTER!A:G,7,0)</f>
        <v>363</v>
      </c>
      <c r="T85" s="12">
        <f t="shared" si="9"/>
        <v>2.2535211267605604E-2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84586</v>
      </c>
      <c r="C3" s="11">
        <f t="shared" si="0"/>
        <v>3388</v>
      </c>
      <c r="D3" s="11">
        <f t="shared" si="0"/>
        <v>310</v>
      </c>
      <c r="E3" s="11">
        <f t="shared" si="0"/>
        <v>71636</v>
      </c>
      <c r="F3" s="11">
        <f t="shared" si="0"/>
        <v>4305780655.0259924</v>
      </c>
      <c r="G3" s="11">
        <f t="shared" si="0"/>
        <v>84112</v>
      </c>
      <c r="H3" s="11">
        <f t="shared" si="0"/>
        <v>2850</v>
      </c>
      <c r="I3" s="11">
        <f t="shared" si="0"/>
        <v>319</v>
      </c>
      <c r="J3" s="11">
        <f t="shared" si="0"/>
        <v>86393</v>
      </c>
      <c r="K3" s="11">
        <f t="shared" si="0"/>
        <v>4531193027.8835678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405</v>
      </c>
      <c r="C6" s="10">
        <v>4</v>
      </c>
      <c r="D6" s="10">
        <v>1</v>
      </c>
      <c r="E6" s="10">
        <v>326</v>
      </c>
      <c r="F6" s="10">
        <v>19994929.358675074</v>
      </c>
      <c r="G6" s="10">
        <v>427</v>
      </c>
      <c r="H6" s="10">
        <v>4</v>
      </c>
      <c r="I6" s="10">
        <v>2</v>
      </c>
      <c r="J6" s="10">
        <v>530</v>
      </c>
      <c r="K6" s="10">
        <v>20433482.645236168</v>
      </c>
    </row>
    <row r="7" spans="1:11" x14ac:dyDescent="0.35">
      <c r="A7" s="9" t="s">
        <v>127</v>
      </c>
      <c r="B7" s="10">
        <v>649</v>
      </c>
      <c r="C7" s="10">
        <v>4</v>
      </c>
      <c r="D7" s="10">
        <v>1</v>
      </c>
      <c r="E7" s="10">
        <v>505</v>
      </c>
      <c r="F7" s="10">
        <v>23972129.990775365</v>
      </c>
      <c r="G7" s="10">
        <v>578</v>
      </c>
      <c r="H7" s="10">
        <v>6</v>
      </c>
      <c r="I7" s="10">
        <v>2</v>
      </c>
      <c r="J7" s="10">
        <v>634</v>
      </c>
      <c r="K7" s="10">
        <v>23573370.181912523</v>
      </c>
    </row>
    <row r="8" spans="1:11" x14ac:dyDescent="0.35">
      <c r="A8" s="9" t="s">
        <v>119</v>
      </c>
      <c r="B8" s="10">
        <v>716</v>
      </c>
      <c r="C8" s="10">
        <v>14</v>
      </c>
      <c r="D8" s="10">
        <v>2</v>
      </c>
      <c r="E8" s="10">
        <v>713</v>
      </c>
      <c r="F8" s="10">
        <v>31404268.616788696</v>
      </c>
      <c r="G8" s="10">
        <v>792</v>
      </c>
      <c r="H8" s="10">
        <v>13</v>
      </c>
      <c r="I8" s="10">
        <v>1</v>
      </c>
      <c r="J8" s="10">
        <v>1386</v>
      </c>
      <c r="K8" s="10">
        <v>36080082.427741349</v>
      </c>
    </row>
    <row r="9" spans="1:11" x14ac:dyDescent="0.35">
      <c r="A9" s="9" t="s">
        <v>121</v>
      </c>
      <c r="B9" s="10">
        <v>1212</v>
      </c>
      <c r="C9" s="10">
        <v>12</v>
      </c>
      <c r="D9" s="10">
        <v>3</v>
      </c>
      <c r="E9" s="10">
        <v>986</v>
      </c>
      <c r="F9" s="10">
        <v>52642033.233408377</v>
      </c>
      <c r="G9" s="10">
        <v>1256</v>
      </c>
      <c r="H9" s="10">
        <v>13</v>
      </c>
      <c r="I9" s="10">
        <v>3</v>
      </c>
      <c r="J9" s="10">
        <v>1414</v>
      </c>
      <c r="K9" s="10">
        <v>55065211.069235422</v>
      </c>
    </row>
    <row r="10" spans="1:11" x14ac:dyDescent="0.35">
      <c r="A10" s="9" t="s">
        <v>123</v>
      </c>
      <c r="B10" s="10">
        <v>398</v>
      </c>
      <c r="C10" s="10">
        <v>4</v>
      </c>
      <c r="D10" s="10">
        <v>1</v>
      </c>
      <c r="E10" s="10">
        <v>278</v>
      </c>
      <c r="F10" s="10">
        <v>20764752.724128865</v>
      </c>
      <c r="G10" s="10">
        <v>381</v>
      </c>
      <c r="H10" s="10">
        <v>1</v>
      </c>
      <c r="I10" s="10">
        <v>1</v>
      </c>
      <c r="J10" s="10">
        <v>1086</v>
      </c>
      <c r="K10" s="10">
        <v>23215293.38297696</v>
      </c>
    </row>
    <row r="11" spans="1:11" x14ac:dyDescent="0.35">
      <c r="A11" s="9" t="s">
        <v>125</v>
      </c>
      <c r="B11" s="10">
        <v>365</v>
      </c>
      <c r="C11" s="10">
        <v>3</v>
      </c>
      <c r="D11" s="10">
        <v>2</v>
      </c>
      <c r="E11" s="10">
        <v>270</v>
      </c>
      <c r="F11" s="10">
        <v>17523074.204704925</v>
      </c>
      <c r="G11" s="10">
        <v>384</v>
      </c>
      <c r="H11" s="10">
        <v>5</v>
      </c>
      <c r="I11" s="10">
        <v>2</v>
      </c>
      <c r="J11" s="10">
        <v>632</v>
      </c>
      <c r="K11" s="10">
        <v>19428588.095874585</v>
      </c>
    </row>
    <row r="12" spans="1:11" x14ac:dyDescent="0.35">
      <c r="A12" s="9" t="s">
        <v>131</v>
      </c>
      <c r="B12" s="10">
        <v>592</v>
      </c>
      <c r="C12" s="10">
        <v>3</v>
      </c>
      <c r="D12" s="10">
        <v>1</v>
      </c>
      <c r="E12" s="10">
        <v>466</v>
      </c>
      <c r="F12" s="10">
        <v>20177266.221724194</v>
      </c>
      <c r="G12" s="10">
        <v>630</v>
      </c>
      <c r="H12" s="10">
        <v>3</v>
      </c>
      <c r="I12" s="10">
        <v>2</v>
      </c>
      <c r="J12" s="10">
        <v>877</v>
      </c>
      <c r="K12" s="10">
        <v>25091728.427550562</v>
      </c>
    </row>
    <row r="13" spans="1:11" x14ac:dyDescent="0.35">
      <c r="A13" s="9" t="s">
        <v>133</v>
      </c>
      <c r="B13" s="10">
        <v>172</v>
      </c>
      <c r="C13" s="10">
        <v>1</v>
      </c>
      <c r="D13" s="10">
        <v>1</v>
      </c>
      <c r="E13" s="10">
        <v>144</v>
      </c>
      <c r="F13" s="10">
        <v>10413922.141344555</v>
      </c>
      <c r="G13" s="10">
        <v>191</v>
      </c>
      <c r="H13" s="10">
        <v>0</v>
      </c>
      <c r="I13" s="10">
        <v>1</v>
      </c>
      <c r="J13" s="10">
        <v>519</v>
      </c>
      <c r="K13" s="10">
        <v>9942552.4050629865</v>
      </c>
    </row>
    <row r="14" spans="1:11" x14ac:dyDescent="0.35">
      <c r="A14" s="9" t="s">
        <v>141</v>
      </c>
      <c r="B14" s="10">
        <v>199</v>
      </c>
      <c r="C14" s="10">
        <v>1</v>
      </c>
      <c r="D14" s="10">
        <v>1</v>
      </c>
      <c r="E14" s="10">
        <v>2</v>
      </c>
      <c r="F14" s="10">
        <v>8687634.1276427135</v>
      </c>
      <c r="G14" s="10">
        <v>187</v>
      </c>
      <c r="H14" s="10">
        <v>1</v>
      </c>
      <c r="I14" s="10">
        <v>1</v>
      </c>
      <c r="J14" s="10">
        <v>400</v>
      </c>
      <c r="K14" s="10">
        <v>7265015.1674691765</v>
      </c>
    </row>
    <row r="15" spans="1:11" x14ac:dyDescent="0.35">
      <c r="A15" s="9" t="s">
        <v>135</v>
      </c>
      <c r="B15" s="10">
        <v>353</v>
      </c>
      <c r="C15" s="10">
        <v>2</v>
      </c>
      <c r="D15" s="10">
        <v>1</v>
      </c>
      <c r="E15" s="10">
        <v>512</v>
      </c>
      <c r="F15" s="10">
        <v>14877013.658585761</v>
      </c>
      <c r="G15" s="10">
        <v>378</v>
      </c>
      <c r="H15" s="10">
        <v>5</v>
      </c>
      <c r="I15" s="10">
        <v>1</v>
      </c>
      <c r="J15" s="10">
        <v>819</v>
      </c>
      <c r="K15" s="10">
        <v>20002735.410498593</v>
      </c>
    </row>
    <row r="16" spans="1:11" x14ac:dyDescent="0.35">
      <c r="A16" s="9" t="s">
        <v>143</v>
      </c>
      <c r="B16" s="10">
        <v>197</v>
      </c>
      <c r="C16" s="10">
        <v>0</v>
      </c>
      <c r="D16" s="10">
        <v>1</v>
      </c>
      <c r="E16" s="10">
        <v>230</v>
      </c>
      <c r="F16" s="10">
        <v>7121472.0698753987</v>
      </c>
      <c r="G16" s="10">
        <v>246</v>
      </c>
      <c r="H16" s="10">
        <v>0</v>
      </c>
      <c r="I16" s="10">
        <v>2</v>
      </c>
      <c r="J16" s="10">
        <v>866</v>
      </c>
      <c r="K16" s="10">
        <v>10827647.9269989</v>
      </c>
    </row>
    <row r="17" spans="1:11" x14ac:dyDescent="0.35">
      <c r="A17" s="9" t="s">
        <v>145</v>
      </c>
      <c r="B17" s="10">
        <v>249</v>
      </c>
      <c r="C17" s="10">
        <v>8</v>
      </c>
      <c r="D17" s="10">
        <v>1</v>
      </c>
      <c r="E17" s="10">
        <v>206</v>
      </c>
      <c r="F17" s="10">
        <v>9725415.8929220941</v>
      </c>
      <c r="G17" s="10">
        <v>249</v>
      </c>
      <c r="H17" s="10">
        <v>3</v>
      </c>
      <c r="I17" s="10">
        <v>1</v>
      </c>
      <c r="J17" s="10">
        <v>538</v>
      </c>
      <c r="K17" s="10">
        <v>11147228.93043003</v>
      </c>
    </row>
    <row r="18" spans="1:11" x14ac:dyDescent="0.35">
      <c r="A18" s="9" t="s">
        <v>20</v>
      </c>
      <c r="B18" s="10">
        <v>1465</v>
      </c>
      <c r="C18" s="10">
        <v>1</v>
      </c>
      <c r="D18" s="10">
        <v>2</v>
      </c>
      <c r="E18" s="10">
        <v>1413</v>
      </c>
      <c r="F18" s="10">
        <v>32152469.870587096</v>
      </c>
      <c r="G18" s="10">
        <v>1309</v>
      </c>
      <c r="H18" s="10">
        <v>6</v>
      </c>
      <c r="I18" s="10">
        <v>4</v>
      </c>
      <c r="J18" s="10">
        <v>1258</v>
      </c>
      <c r="K18" s="10">
        <v>50578481.647141613</v>
      </c>
    </row>
    <row r="19" spans="1:11" x14ac:dyDescent="0.35">
      <c r="A19" s="9" t="s">
        <v>45</v>
      </c>
      <c r="B19" s="10">
        <v>1255</v>
      </c>
      <c r="C19" s="10">
        <v>4</v>
      </c>
      <c r="D19" s="10">
        <v>3</v>
      </c>
      <c r="E19" s="10">
        <v>880</v>
      </c>
      <c r="F19" s="10">
        <v>60594493.135762192</v>
      </c>
      <c r="G19" s="10">
        <v>1216</v>
      </c>
      <c r="H19" s="10">
        <v>5</v>
      </c>
      <c r="I19" s="10">
        <v>3</v>
      </c>
      <c r="J19" s="10">
        <v>964</v>
      </c>
      <c r="K19" s="10">
        <v>79471478.221075073</v>
      </c>
    </row>
    <row r="20" spans="1:11" x14ac:dyDescent="0.35">
      <c r="A20" s="9" t="s">
        <v>47</v>
      </c>
      <c r="B20" s="10">
        <v>1034</v>
      </c>
      <c r="C20" s="10">
        <v>5</v>
      </c>
      <c r="D20" s="10">
        <v>4</v>
      </c>
      <c r="E20" s="10">
        <v>934</v>
      </c>
      <c r="F20" s="10">
        <v>41059712.467071056</v>
      </c>
      <c r="G20" s="10">
        <v>1000</v>
      </c>
      <c r="H20" s="10">
        <v>6</v>
      </c>
      <c r="I20" s="10">
        <v>5</v>
      </c>
      <c r="J20" s="10">
        <v>1284</v>
      </c>
      <c r="K20" s="10">
        <v>41626613.008793972</v>
      </c>
    </row>
    <row r="21" spans="1:11" x14ac:dyDescent="0.35">
      <c r="A21" s="9" t="s">
        <v>49</v>
      </c>
      <c r="B21" s="10">
        <v>928</v>
      </c>
      <c r="C21" s="10">
        <v>1</v>
      </c>
      <c r="D21" s="10">
        <v>3</v>
      </c>
      <c r="E21" s="10">
        <v>575</v>
      </c>
      <c r="F21" s="10">
        <v>36755217.911356308</v>
      </c>
      <c r="G21" s="10">
        <v>925</v>
      </c>
      <c r="H21" s="10">
        <v>6</v>
      </c>
      <c r="I21" s="10">
        <v>3</v>
      </c>
      <c r="J21" s="10">
        <v>699</v>
      </c>
      <c r="K21" s="10">
        <v>35207838.421788625</v>
      </c>
    </row>
    <row r="22" spans="1:11" x14ac:dyDescent="0.35">
      <c r="A22" s="9" t="s">
        <v>51</v>
      </c>
      <c r="B22" s="10">
        <v>2933</v>
      </c>
      <c r="C22" s="10">
        <v>771</v>
      </c>
      <c r="D22" s="10">
        <v>10</v>
      </c>
      <c r="E22" s="10">
        <v>2138</v>
      </c>
      <c r="F22" s="10">
        <v>141167420.55814371</v>
      </c>
      <c r="G22" s="10">
        <v>2709</v>
      </c>
      <c r="H22" s="10">
        <v>194</v>
      </c>
      <c r="I22" s="10">
        <v>10</v>
      </c>
      <c r="J22" s="10">
        <v>2356</v>
      </c>
      <c r="K22" s="10">
        <v>147059373.85389671</v>
      </c>
    </row>
    <row r="23" spans="1:11" x14ac:dyDescent="0.35">
      <c r="A23" s="9" t="s">
        <v>53</v>
      </c>
      <c r="B23" s="10">
        <v>1418</v>
      </c>
      <c r="C23" s="10">
        <v>3</v>
      </c>
      <c r="D23" s="10">
        <v>2</v>
      </c>
      <c r="E23" s="10">
        <v>1180</v>
      </c>
      <c r="F23" s="10">
        <v>73807192.86478062</v>
      </c>
      <c r="G23" s="10">
        <v>1302</v>
      </c>
      <c r="H23" s="10">
        <v>10</v>
      </c>
      <c r="I23" s="10">
        <v>2</v>
      </c>
      <c r="J23" s="10">
        <v>1245</v>
      </c>
      <c r="K23" s="10">
        <v>58703997.919955269</v>
      </c>
    </row>
    <row r="24" spans="1:11" x14ac:dyDescent="0.35">
      <c r="A24" s="9" t="s">
        <v>55</v>
      </c>
      <c r="B24" s="10">
        <v>2964</v>
      </c>
      <c r="C24" s="10">
        <v>29</v>
      </c>
      <c r="D24" s="10">
        <v>11</v>
      </c>
      <c r="E24" s="10">
        <v>2205</v>
      </c>
      <c r="F24" s="10">
        <v>149574333.7617175</v>
      </c>
      <c r="G24" s="10">
        <v>2794</v>
      </c>
      <c r="H24" s="10">
        <v>30</v>
      </c>
      <c r="I24" s="10">
        <v>10</v>
      </c>
      <c r="J24" s="10">
        <v>2279</v>
      </c>
      <c r="K24" s="10">
        <v>156935220.01137239</v>
      </c>
    </row>
    <row r="25" spans="1:11" x14ac:dyDescent="0.35">
      <c r="A25" s="9" t="s">
        <v>67</v>
      </c>
      <c r="B25" s="10">
        <v>524</v>
      </c>
      <c r="C25" s="10">
        <v>6</v>
      </c>
      <c r="D25" s="10">
        <v>1</v>
      </c>
      <c r="E25" s="10">
        <v>478</v>
      </c>
      <c r="F25" s="10">
        <v>20878254.115966193</v>
      </c>
      <c r="G25" s="10">
        <v>500</v>
      </c>
      <c r="H25" s="10">
        <v>7</v>
      </c>
      <c r="I25" s="10">
        <v>1</v>
      </c>
      <c r="J25" s="10">
        <v>526</v>
      </c>
      <c r="K25" s="10">
        <v>22259447.701774109</v>
      </c>
    </row>
    <row r="26" spans="1:11" x14ac:dyDescent="0.35">
      <c r="A26" s="9" t="s">
        <v>74</v>
      </c>
      <c r="B26" s="10">
        <v>1762</v>
      </c>
      <c r="C26" s="10">
        <v>26</v>
      </c>
      <c r="D26" s="10">
        <v>1</v>
      </c>
      <c r="E26" s="10">
        <v>1321</v>
      </c>
      <c r="F26" s="10">
        <v>61055675.884786785</v>
      </c>
      <c r="G26" s="10">
        <v>1764</v>
      </c>
      <c r="H26" s="10">
        <v>29</v>
      </c>
      <c r="I26" s="10">
        <v>2</v>
      </c>
      <c r="J26" s="10">
        <v>1737</v>
      </c>
      <c r="K26" s="10">
        <v>62258169.07525035</v>
      </c>
    </row>
    <row r="27" spans="1:11" x14ac:dyDescent="0.35">
      <c r="A27" s="9" t="s">
        <v>70</v>
      </c>
      <c r="B27" s="10">
        <v>879</v>
      </c>
      <c r="C27" s="10">
        <v>18</v>
      </c>
      <c r="D27" s="10">
        <v>1</v>
      </c>
      <c r="E27" s="10">
        <v>1126</v>
      </c>
      <c r="F27" s="10">
        <v>25884925.163692009</v>
      </c>
      <c r="G27" s="10">
        <v>866</v>
      </c>
      <c r="H27" s="10">
        <v>21</v>
      </c>
      <c r="I27" s="10">
        <v>1</v>
      </c>
      <c r="J27" s="10">
        <v>928</v>
      </c>
      <c r="K27" s="10">
        <v>26729664.808937389</v>
      </c>
    </row>
    <row r="28" spans="1:11" x14ac:dyDescent="0.35">
      <c r="A28" s="9" t="s">
        <v>72</v>
      </c>
      <c r="B28" s="10">
        <v>875</v>
      </c>
      <c r="C28" s="10">
        <v>9</v>
      </c>
      <c r="D28" s="10">
        <v>1</v>
      </c>
      <c r="E28" s="10">
        <v>916</v>
      </c>
      <c r="F28" s="10">
        <v>30522301.736048263</v>
      </c>
      <c r="G28" s="10">
        <v>892</v>
      </c>
      <c r="H28" s="10">
        <v>10</v>
      </c>
      <c r="I28" s="10">
        <v>1</v>
      </c>
      <c r="J28" s="10">
        <v>774</v>
      </c>
      <c r="K28" s="10">
        <v>31834451.776367631</v>
      </c>
    </row>
    <row r="29" spans="1:11" x14ac:dyDescent="0.35">
      <c r="A29" s="9" t="s">
        <v>79</v>
      </c>
      <c r="B29" s="10">
        <v>250</v>
      </c>
      <c r="C29" s="10">
        <v>1</v>
      </c>
      <c r="D29" s="10">
        <v>0</v>
      </c>
      <c r="E29" s="10">
        <v>161</v>
      </c>
      <c r="F29" s="10">
        <v>8839108.8980126791</v>
      </c>
      <c r="G29" s="10">
        <v>212</v>
      </c>
      <c r="H29" s="10">
        <v>1</v>
      </c>
      <c r="I29" s="10">
        <v>1</v>
      </c>
      <c r="J29" s="10">
        <v>193</v>
      </c>
      <c r="K29" s="10">
        <v>7993029.211860517</v>
      </c>
    </row>
    <row r="30" spans="1:11" x14ac:dyDescent="0.35">
      <c r="A30" s="9" t="s">
        <v>109</v>
      </c>
      <c r="B30" s="10">
        <v>1625</v>
      </c>
      <c r="C30" s="10">
        <v>7</v>
      </c>
      <c r="D30" s="10">
        <v>5</v>
      </c>
      <c r="E30" s="10">
        <v>1261</v>
      </c>
      <c r="F30" s="10">
        <v>62591923.227180049</v>
      </c>
      <c r="G30" s="10">
        <v>1620</v>
      </c>
      <c r="H30" s="10">
        <v>16</v>
      </c>
      <c r="I30" s="10">
        <v>5</v>
      </c>
      <c r="J30" s="10">
        <v>1676</v>
      </c>
      <c r="K30" s="10">
        <v>60613661.749470569</v>
      </c>
    </row>
    <row r="31" spans="1:11" x14ac:dyDescent="0.35">
      <c r="A31" s="9" t="s">
        <v>111</v>
      </c>
      <c r="B31" s="10">
        <v>866</v>
      </c>
      <c r="C31" s="10">
        <v>8</v>
      </c>
      <c r="D31" s="10">
        <v>1</v>
      </c>
      <c r="E31" s="10">
        <v>594</v>
      </c>
      <c r="F31" s="10">
        <v>46205887.258399382</v>
      </c>
      <c r="G31" s="10">
        <v>903</v>
      </c>
      <c r="H31" s="10">
        <v>11</v>
      </c>
      <c r="I31" s="10">
        <v>1</v>
      </c>
      <c r="J31" s="10">
        <v>762</v>
      </c>
      <c r="K31" s="10">
        <v>51914210.500137165</v>
      </c>
    </row>
    <row r="32" spans="1:11" x14ac:dyDescent="0.35">
      <c r="A32" s="9" t="s">
        <v>113</v>
      </c>
      <c r="B32" s="10">
        <v>1069</v>
      </c>
      <c r="C32" s="10">
        <v>10</v>
      </c>
      <c r="D32" s="10">
        <v>1</v>
      </c>
      <c r="E32" s="10">
        <v>805</v>
      </c>
      <c r="F32" s="10">
        <v>49971948.521988913</v>
      </c>
      <c r="G32" s="10">
        <v>997</v>
      </c>
      <c r="H32" s="10">
        <v>4</v>
      </c>
      <c r="I32" s="10">
        <v>2</v>
      </c>
      <c r="J32" s="10">
        <v>803</v>
      </c>
      <c r="K32" s="10">
        <v>48852755.335714951</v>
      </c>
    </row>
    <row r="33" spans="1:11" x14ac:dyDescent="0.35">
      <c r="A33" s="9" t="s">
        <v>115</v>
      </c>
      <c r="B33" s="10">
        <v>1090</v>
      </c>
      <c r="C33" s="10">
        <v>4</v>
      </c>
      <c r="D33" s="10">
        <v>2</v>
      </c>
      <c r="E33" s="10">
        <v>868</v>
      </c>
      <c r="F33" s="10">
        <v>64374757.498627454</v>
      </c>
      <c r="G33" s="10">
        <v>1132</v>
      </c>
      <c r="H33" s="10">
        <v>4</v>
      </c>
      <c r="I33" s="10">
        <v>2</v>
      </c>
      <c r="J33" s="10">
        <v>1443</v>
      </c>
      <c r="K33" s="10">
        <v>67701105.597499222</v>
      </c>
    </row>
    <row r="34" spans="1:11" x14ac:dyDescent="0.35">
      <c r="A34" s="9" t="s">
        <v>16</v>
      </c>
      <c r="B34" s="10">
        <v>1453</v>
      </c>
      <c r="C34" s="10">
        <v>5</v>
      </c>
      <c r="D34" s="10">
        <v>5</v>
      </c>
      <c r="E34" s="10">
        <v>1125</v>
      </c>
      <c r="F34" s="10">
        <v>93644017.764900893</v>
      </c>
      <c r="G34" s="10">
        <v>1404</v>
      </c>
      <c r="H34" s="10">
        <v>7</v>
      </c>
      <c r="I34" s="10">
        <v>4</v>
      </c>
      <c r="J34" s="10">
        <v>1259</v>
      </c>
      <c r="K34" s="10">
        <v>90145731.173775554</v>
      </c>
    </row>
    <row r="35" spans="1:11" x14ac:dyDescent="0.35">
      <c r="A35" s="9" t="s">
        <v>18</v>
      </c>
      <c r="B35" s="10">
        <v>687</v>
      </c>
      <c r="C35" s="10">
        <v>3</v>
      </c>
      <c r="D35" s="10">
        <v>3</v>
      </c>
      <c r="E35" s="10">
        <v>589</v>
      </c>
      <c r="F35" s="10">
        <v>37538556.315264352</v>
      </c>
      <c r="G35" s="10">
        <v>661</v>
      </c>
      <c r="H35" s="10">
        <v>4</v>
      </c>
      <c r="I35" s="10">
        <v>5</v>
      </c>
      <c r="J35" s="10">
        <v>137</v>
      </c>
      <c r="K35" s="10">
        <v>39166387.607341535</v>
      </c>
    </row>
    <row r="36" spans="1:11" x14ac:dyDescent="0.35">
      <c r="A36" s="9" t="s">
        <v>43</v>
      </c>
      <c r="B36" s="10">
        <v>1960</v>
      </c>
      <c r="C36" s="10">
        <v>18</v>
      </c>
      <c r="D36" s="10">
        <v>11</v>
      </c>
      <c r="E36" s="10">
        <v>1597</v>
      </c>
      <c r="F36" s="10">
        <v>112025611.45870154</v>
      </c>
      <c r="G36" s="10">
        <v>1833</v>
      </c>
      <c r="H36" s="10">
        <v>15</v>
      </c>
      <c r="I36" s="10">
        <v>9</v>
      </c>
      <c r="J36" s="10">
        <v>1640</v>
      </c>
      <c r="K36" s="10">
        <v>102184915.4489512</v>
      </c>
    </row>
    <row r="37" spans="1:11" x14ac:dyDescent="0.35">
      <c r="A37" s="9" t="s">
        <v>152</v>
      </c>
      <c r="B37" s="10">
        <v>842</v>
      </c>
      <c r="C37" s="10">
        <v>6</v>
      </c>
      <c r="D37" s="10">
        <v>2</v>
      </c>
      <c r="E37" s="10">
        <v>650</v>
      </c>
      <c r="F37" s="10">
        <v>38589634.67631951</v>
      </c>
      <c r="G37" s="10">
        <v>858</v>
      </c>
      <c r="H37" s="10">
        <v>5</v>
      </c>
      <c r="I37" s="10">
        <v>2</v>
      </c>
      <c r="J37" s="10">
        <v>976</v>
      </c>
      <c r="K37" s="10">
        <v>39150146.955806777</v>
      </c>
    </row>
    <row r="38" spans="1:11" x14ac:dyDescent="0.35">
      <c r="A38" s="9" t="s">
        <v>149</v>
      </c>
      <c r="B38" s="10">
        <v>718</v>
      </c>
      <c r="C38" s="10">
        <v>24</v>
      </c>
      <c r="D38" s="10">
        <v>2</v>
      </c>
      <c r="E38" s="10">
        <v>567</v>
      </c>
      <c r="F38" s="10">
        <v>34065541.871355653</v>
      </c>
      <c r="G38" s="10">
        <v>686</v>
      </c>
      <c r="H38" s="10">
        <v>8</v>
      </c>
      <c r="I38" s="10">
        <v>1</v>
      </c>
      <c r="J38" s="10">
        <v>1004</v>
      </c>
      <c r="K38" s="10">
        <v>35789906.168563515</v>
      </c>
    </row>
    <row r="39" spans="1:11" x14ac:dyDescent="0.35">
      <c r="A39" s="9" t="s">
        <v>154</v>
      </c>
      <c r="B39" s="10">
        <v>1168</v>
      </c>
      <c r="C39" s="10">
        <v>26</v>
      </c>
      <c r="D39" s="10">
        <v>2</v>
      </c>
      <c r="E39" s="10">
        <v>861</v>
      </c>
      <c r="F39" s="10">
        <v>56526218.961872384</v>
      </c>
      <c r="G39" s="10">
        <v>1200</v>
      </c>
      <c r="H39" s="10">
        <v>26</v>
      </c>
      <c r="I39" s="10">
        <v>1</v>
      </c>
      <c r="J39" s="10">
        <v>1507</v>
      </c>
      <c r="K39" s="10">
        <v>57241098.715660706</v>
      </c>
    </row>
    <row r="40" spans="1:11" x14ac:dyDescent="0.35">
      <c r="A40" s="9" t="s">
        <v>2</v>
      </c>
      <c r="B40" s="10">
        <v>1276</v>
      </c>
      <c r="C40" s="10">
        <v>374</v>
      </c>
      <c r="D40" s="10">
        <v>1</v>
      </c>
      <c r="E40" s="10">
        <v>881</v>
      </c>
      <c r="F40" s="10">
        <v>54504964.647233054</v>
      </c>
      <c r="G40" s="10">
        <v>1245</v>
      </c>
      <c r="H40" s="10">
        <v>468</v>
      </c>
      <c r="I40" s="10">
        <v>1</v>
      </c>
      <c r="J40" s="10">
        <v>1243</v>
      </c>
      <c r="K40" s="10">
        <v>53649269.181592017</v>
      </c>
    </row>
    <row r="41" spans="1:11" x14ac:dyDescent="0.35">
      <c r="A41" s="9" t="s">
        <v>156</v>
      </c>
      <c r="B41" s="10">
        <v>2600</v>
      </c>
      <c r="C41" s="10">
        <v>835</v>
      </c>
      <c r="D41" s="10">
        <v>4</v>
      </c>
      <c r="E41" s="10">
        <v>1516</v>
      </c>
      <c r="F41" s="10">
        <v>86570759.856145412</v>
      </c>
      <c r="G41" s="10">
        <v>2199</v>
      </c>
      <c r="H41" s="10">
        <v>201</v>
      </c>
      <c r="I41" s="10">
        <v>5</v>
      </c>
      <c r="J41" s="10">
        <v>2226</v>
      </c>
      <c r="K41" s="10">
        <v>93839499.552902788</v>
      </c>
    </row>
    <row r="42" spans="1:11" x14ac:dyDescent="0.35">
      <c r="A42" s="9" t="s">
        <v>14</v>
      </c>
      <c r="B42" s="10">
        <v>608</v>
      </c>
      <c r="C42" s="10">
        <v>2</v>
      </c>
      <c r="D42" s="10">
        <v>5</v>
      </c>
      <c r="E42" s="10">
        <v>419</v>
      </c>
      <c r="F42" s="10">
        <v>28336570.009086221</v>
      </c>
      <c r="G42" s="10">
        <v>592</v>
      </c>
      <c r="H42" s="10">
        <v>2</v>
      </c>
      <c r="I42" s="10">
        <v>6</v>
      </c>
      <c r="J42" s="10">
        <v>500</v>
      </c>
      <c r="K42" s="10">
        <v>34391286.442102991</v>
      </c>
    </row>
    <row r="43" spans="1:11" x14ac:dyDescent="0.35">
      <c r="A43" s="9" t="s">
        <v>8</v>
      </c>
      <c r="B43" s="10">
        <v>2061</v>
      </c>
      <c r="C43" s="10">
        <v>14</v>
      </c>
      <c r="D43" s="10">
        <v>5</v>
      </c>
      <c r="E43" s="10">
        <v>2078</v>
      </c>
      <c r="F43" s="10">
        <v>104226608.79308459</v>
      </c>
      <c r="G43" s="10">
        <v>2073</v>
      </c>
      <c r="H43" s="10">
        <v>13</v>
      </c>
      <c r="I43" s="10">
        <v>5</v>
      </c>
      <c r="J43" s="10">
        <v>2321</v>
      </c>
      <c r="K43" s="10">
        <v>109288360.29431476</v>
      </c>
    </row>
    <row r="44" spans="1:11" x14ac:dyDescent="0.35">
      <c r="A44" s="9" t="s">
        <v>39</v>
      </c>
      <c r="B44" s="10">
        <v>882</v>
      </c>
      <c r="C44" s="10">
        <v>9</v>
      </c>
      <c r="D44" s="10">
        <v>4</v>
      </c>
      <c r="E44" s="10">
        <v>830</v>
      </c>
      <c r="F44" s="10">
        <v>71577988.847220227</v>
      </c>
      <c r="G44" s="10">
        <v>937</v>
      </c>
      <c r="H44" s="10">
        <v>15</v>
      </c>
      <c r="I44" s="10">
        <v>4</v>
      </c>
      <c r="J44" s="10">
        <v>893</v>
      </c>
      <c r="K44" s="10">
        <v>76821260.425023764</v>
      </c>
    </row>
    <row r="45" spans="1:11" x14ac:dyDescent="0.35">
      <c r="A45" s="9" t="s">
        <v>6</v>
      </c>
      <c r="B45" s="10">
        <v>1131</v>
      </c>
      <c r="C45" s="10">
        <v>5</v>
      </c>
      <c r="D45" s="10">
        <v>4</v>
      </c>
      <c r="E45" s="10">
        <v>982</v>
      </c>
      <c r="F45" s="10">
        <v>60945016.817984462</v>
      </c>
      <c r="G45" s="10">
        <v>1065</v>
      </c>
      <c r="H45" s="10">
        <v>10</v>
      </c>
      <c r="I45" s="10">
        <v>4</v>
      </c>
      <c r="J45" s="10">
        <v>1323</v>
      </c>
      <c r="K45" s="10">
        <v>48698191.95284421</v>
      </c>
    </row>
    <row r="46" spans="1:11" x14ac:dyDescent="0.35">
      <c r="A46" s="9" t="s">
        <v>41</v>
      </c>
      <c r="B46" s="10">
        <v>846</v>
      </c>
      <c r="C46" s="10">
        <v>1</v>
      </c>
      <c r="D46" s="10">
        <v>4</v>
      </c>
      <c r="E46" s="10">
        <v>595</v>
      </c>
      <c r="F46" s="10">
        <v>55373687.118243814</v>
      </c>
      <c r="G46" s="10">
        <v>805</v>
      </c>
      <c r="H46" s="10">
        <v>12</v>
      </c>
      <c r="I46" s="10">
        <v>4</v>
      </c>
      <c r="J46" s="10">
        <v>679</v>
      </c>
      <c r="K46" s="10">
        <v>57114076.602665253</v>
      </c>
    </row>
    <row r="47" spans="1:11" x14ac:dyDescent="0.35">
      <c r="A47" s="9" t="s">
        <v>158</v>
      </c>
      <c r="B47" s="10">
        <v>678</v>
      </c>
      <c r="C47" s="10">
        <v>6</v>
      </c>
      <c r="D47" s="10">
        <v>11</v>
      </c>
      <c r="E47" s="10">
        <v>2713</v>
      </c>
      <c r="F47" s="10">
        <v>34823267.757053651</v>
      </c>
      <c r="G47" s="10">
        <v>728</v>
      </c>
      <c r="H47" s="10">
        <v>5</v>
      </c>
      <c r="I47" s="10">
        <v>10</v>
      </c>
      <c r="J47" s="10">
        <v>840</v>
      </c>
      <c r="K47" s="10">
        <v>36068897.484471358</v>
      </c>
    </row>
    <row r="48" spans="1:11" x14ac:dyDescent="0.35">
      <c r="A48" s="9" t="s">
        <v>160</v>
      </c>
      <c r="B48" s="10">
        <v>700</v>
      </c>
      <c r="C48" s="10">
        <v>3</v>
      </c>
      <c r="D48" s="10">
        <v>1</v>
      </c>
      <c r="E48" s="10">
        <v>717</v>
      </c>
      <c r="F48" s="10">
        <v>33971998.875213921</v>
      </c>
      <c r="G48" s="10">
        <v>709</v>
      </c>
      <c r="H48" s="10">
        <v>3</v>
      </c>
      <c r="I48" s="10">
        <v>1</v>
      </c>
      <c r="J48" s="10">
        <v>914</v>
      </c>
      <c r="K48" s="10">
        <v>31684322.526114501</v>
      </c>
    </row>
    <row r="49" spans="1:11" x14ac:dyDescent="0.35">
      <c r="A49" s="9" t="s">
        <v>83</v>
      </c>
      <c r="B49" s="10">
        <v>1247</v>
      </c>
      <c r="C49" s="10">
        <v>15</v>
      </c>
      <c r="D49" s="10">
        <v>5</v>
      </c>
      <c r="E49" s="10">
        <v>1079</v>
      </c>
      <c r="F49" s="10">
        <v>104000976.4995234</v>
      </c>
      <c r="G49" s="10">
        <v>1268</v>
      </c>
      <c r="H49" s="10">
        <v>11</v>
      </c>
      <c r="I49" s="10">
        <v>5</v>
      </c>
      <c r="J49" s="10">
        <v>1155</v>
      </c>
      <c r="K49" s="10">
        <v>103763645.79941832</v>
      </c>
    </row>
    <row r="50" spans="1:11" x14ac:dyDescent="0.35">
      <c r="A50" s="9" t="s">
        <v>201</v>
      </c>
      <c r="B50" s="10">
        <v>450</v>
      </c>
      <c r="C50" s="10">
        <v>3</v>
      </c>
      <c r="D50" s="10">
        <v>2</v>
      </c>
      <c r="E50" s="10">
        <v>428</v>
      </c>
      <c r="F50" s="10">
        <v>18897600.874977171</v>
      </c>
      <c r="G50" s="10">
        <v>436</v>
      </c>
      <c r="H50" s="10">
        <v>2</v>
      </c>
      <c r="I50" s="10">
        <v>1</v>
      </c>
      <c r="J50" s="10">
        <v>528</v>
      </c>
      <c r="K50" s="10">
        <v>16872282.515432931</v>
      </c>
    </row>
    <row r="51" spans="1:11" x14ac:dyDescent="0.35">
      <c r="A51" s="9" t="s">
        <v>31</v>
      </c>
      <c r="B51" s="10">
        <v>899</v>
      </c>
      <c r="C51" s="10">
        <v>5</v>
      </c>
      <c r="D51" s="10">
        <v>5</v>
      </c>
      <c r="E51" s="10">
        <v>912</v>
      </c>
      <c r="F51" s="10">
        <v>47099984.606775679</v>
      </c>
      <c r="G51" s="10">
        <v>919</v>
      </c>
      <c r="H51" s="10">
        <v>5</v>
      </c>
      <c r="I51" s="10">
        <v>5</v>
      </c>
      <c r="J51" s="10">
        <v>978</v>
      </c>
      <c r="K51" s="10">
        <v>47457942.018168345</v>
      </c>
    </row>
    <row r="52" spans="1:11" x14ac:dyDescent="0.35">
      <c r="A52" s="9" t="s">
        <v>33</v>
      </c>
      <c r="B52" s="10">
        <v>1325</v>
      </c>
      <c r="C52" s="10">
        <v>24</v>
      </c>
      <c r="D52" s="10">
        <v>12</v>
      </c>
      <c r="E52" s="10">
        <v>984</v>
      </c>
      <c r="F52" s="10">
        <v>75472987.088094369</v>
      </c>
      <c r="G52" s="10">
        <v>1413</v>
      </c>
      <c r="H52" s="10">
        <v>9</v>
      </c>
      <c r="I52" s="10">
        <v>12</v>
      </c>
      <c r="J52" s="10">
        <v>1497</v>
      </c>
      <c r="K52" s="10">
        <v>84951975.836697325</v>
      </c>
    </row>
    <row r="53" spans="1:11" x14ac:dyDescent="0.35">
      <c r="A53" s="9" t="s">
        <v>85</v>
      </c>
      <c r="B53" s="10">
        <v>474</v>
      </c>
      <c r="C53" s="10">
        <v>10</v>
      </c>
      <c r="D53" s="10">
        <v>5</v>
      </c>
      <c r="E53" s="10">
        <v>379</v>
      </c>
      <c r="F53" s="10">
        <v>39388720.057088077</v>
      </c>
      <c r="G53" s="10">
        <v>468</v>
      </c>
      <c r="H53" s="10">
        <v>4</v>
      </c>
      <c r="I53" s="10">
        <v>5</v>
      </c>
      <c r="J53" s="10">
        <v>412</v>
      </c>
      <c r="K53" s="10">
        <v>42469275.432805873</v>
      </c>
    </row>
    <row r="54" spans="1:11" x14ac:dyDescent="0.35">
      <c r="A54" s="9" t="s">
        <v>81</v>
      </c>
      <c r="B54" s="10">
        <v>452</v>
      </c>
      <c r="C54" s="10">
        <v>4</v>
      </c>
      <c r="D54" s="10">
        <v>6</v>
      </c>
      <c r="E54" s="10">
        <v>330</v>
      </c>
      <c r="F54" s="10">
        <v>34875103.929486655</v>
      </c>
      <c r="G54" s="10">
        <v>468</v>
      </c>
      <c r="H54" s="10">
        <v>4</v>
      </c>
      <c r="I54" s="10">
        <v>4</v>
      </c>
      <c r="J54" s="10">
        <v>381</v>
      </c>
      <c r="K54" s="10">
        <v>32570455.744896337</v>
      </c>
    </row>
    <row r="55" spans="1:11" x14ac:dyDescent="0.35">
      <c r="A55" s="9" t="s">
        <v>87</v>
      </c>
      <c r="B55" s="10">
        <v>424</v>
      </c>
      <c r="C55" s="10">
        <v>13</v>
      </c>
      <c r="D55" s="10">
        <v>2</v>
      </c>
      <c r="E55" s="10">
        <v>336</v>
      </c>
      <c r="F55" s="10">
        <v>29638637.841552623</v>
      </c>
      <c r="G55" s="10">
        <v>403</v>
      </c>
      <c r="H55" s="10">
        <v>5</v>
      </c>
      <c r="I55" s="10">
        <v>3</v>
      </c>
      <c r="J55" s="10">
        <v>579</v>
      </c>
      <c r="K55" s="10">
        <v>29066673.196426295</v>
      </c>
    </row>
    <row r="56" spans="1:11" x14ac:dyDescent="0.35">
      <c r="A56" s="9" t="s">
        <v>166</v>
      </c>
      <c r="B56" s="10">
        <v>1121</v>
      </c>
      <c r="C56" s="10">
        <v>7</v>
      </c>
      <c r="D56" s="10">
        <v>1</v>
      </c>
      <c r="E56" s="10">
        <v>970</v>
      </c>
      <c r="F56" s="10">
        <v>64906578.803383067</v>
      </c>
      <c r="G56" s="10">
        <v>1083</v>
      </c>
      <c r="H56" s="10">
        <v>13</v>
      </c>
      <c r="I56" s="10">
        <v>1</v>
      </c>
      <c r="J56" s="10">
        <v>984</v>
      </c>
      <c r="K56" s="10">
        <v>64619466.163095698</v>
      </c>
    </row>
    <row r="57" spans="1:11" x14ac:dyDescent="0.35">
      <c r="A57" s="9" t="s">
        <v>93</v>
      </c>
      <c r="B57" s="10">
        <v>962</v>
      </c>
      <c r="C57" s="10">
        <v>16</v>
      </c>
      <c r="D57" s="10">
        <v>2</v>
      </c>
      <c r="E57" s="10">
        <v>739</v>
      </c>
      <c r="F57" s="10">
        <v>66699453.283891916</v>
      </c>
      <c r="G57" s="10">
        <v>957</v>
      </c>
      <c r="H57" s="10">
        <v>10</v>
      </c>
      <c r="I57" s="10">
        <v>1</v>
      </c>
      <c r="J57" s="10">
        <v>1220</v>
      </c>
      <c r="K57" s="10">
        <v>58866967.789404467</v>
      </c>
    </row>
    <row r="58" spans="1:11" x14ac:dyDescent="0.35">
      <c r="A58" s="9" t="s">
        <v>95</v>
      </c>
      <c r="B58" s="10">
        <v>1986</v>
      </c>
      <c r="C58" s="10">
        <v>45</v>
      </c>
      <c r="D58" s="10">
        <v>7</v>
      </c>
      <c r="E58" s="10">
        <v>1755</v>
      </c>
      <c r="F58" s="10">
        <v>104683300.62877074</v>
      </c>
      <c r="G58" s="10">
        <v>2016</v>
      </c>
      <c r="H58" s="10">
        <v>19</v>
      </c>
      <c r="I58" s="10">
        <v>8</v>
      </c>
      <c r="J58" s="10">
        <v>1936</v>
      </c>
      <c r="K58" s="10">
        <v>127196982.53740001</v>
      </c>
    </row>
    <row r="59" spans="1:11" x14ac:dyDescent="0.35">
      <c r="A59" s="9" t="s">
        <v>174</v>
      </c>
      <c r="B59" s="10">
        <v>686</v>
      </c>
      <c r="C59" s="10">
        <v>4</v>
      </c>
      <c r="D59" s="10">
        <v>0</v>
      </c>
      <c r="E59" s="10">
        <v>564</v>
      </c>
      <c r="F59" s="10">
        <v>30382571.204404045</v>
      </c>
      <c r="G59" s="10">
        <v>642</v>
      </c>
      <c r="H59" s="10">
        <v>5</v>
      </c>
      <c r="I59" s="10">
        <v>1</v>
      </c>
      <c r="J59" s="10">
        <v>632</v>
      </c>
      <c r="K59" s="10">
        <v>30914430.599039264</v>
      </c>
    </row>
    <row r="60" spans="1:11" x14ac:dyDescent="0.35">
      <c r="A60" s="9" t="s">
        <v>99</v>
      </c>
      <c r="B60" s="10">
        <v>867</v>
      </c>
      <c r="C60" s="10">
        <v>13</v>
      </c>
      <c r="D60" s="10">
        <v>5</v>
      </c>
      <c r="E60" s="10">
        <v>708</v>
      </c>
      <c r="F60" s="10">
        <v>48980520.125500195</v>
      </c>
      <c r="G60" s="10">
        <v>893</v>
      </c>
      <c r="H60" s="10">
        <v>9</v>
      </c>
      <c r="I60" s="10">
        <v>5</v>
      </c>
      <c r="J60" s="10">
        <v>814</v>
      </c>
      <c r="K60" s="10">
        <v>54341268.043356642</v>
      </c>
    </row>
    <row r="61" spans="1:11" x14ac:dyDescent="0.35">
      <c r="A61" s="9" t="s">
        <v>172</v>
      </c>
      <c r="B61" s="10">
        <v>774</v>
      </c>
      <c r="C61" s="10">
        <v>4</v>
      </c>
      <c r="D61" s="10">
        <v>1</v>
      </c>
      <c r="E61" s="10">
        <v>581</v>
      </c>
      <c r="F61" s="10">
        <v>36814417.563040376</v>
      </c>
      <c r="G61" s="10">
        <v>677</v>
      </c>
      <c r="H61" s="10">
        <v>4</v>
      </c>
      <c r="I61" s="10">
        <v>1</v>
      </c>
      <c r="J61" s="10">
        <v>692</v>
      </c>
      <c r="K61" s="10">
        <v>32145518.763037756</v>
      </c>
    </row>
    <row r="62" spans="1:11" x14ac:dyDescent="0.35">
      <c r="A62" s="9" t="s">
        <v>168</v>
      </c>
      <c r="B62" s="10">
        <v>1094</v>
      </c>
      <c r="C62" s="10">
        <v>16</v>
      </c>
      <c r="D62" s="10">
        <v>1</v>
      </c>
      <c r="E62" s="10">
        <v>1018</v>
      </c>
      <c r="F62" s="10">
        <v>65688918.56772349</v>
      </c>
      <c r="G62" s="10">
        <v>1090</v>
      </c>
      <c r="H62" s="10">
        <v>11</v>
      </c>
      <c r="I62" s="10">
        <v>1</v>
      </c>
      <c r="J62" s="10">
        <v>1002</v>
      </c>
      <c r="K62" s="10">
        <v>69000387.609613314</v>
      </c>
    </row>
    <row r="63" spans="1:11" x14ac:dyDescent="0.35">
      <c r="A63" s="9" t="s">
        <v>101</v>
      </c>
      <c r="B63" s="10">
        <v>1360</v>
      </c>
      <c r="C63" s="10">
        <v>21</v>
      </c>
      <c r="D63" s="10">
        <v>4</v>
      </c>
      <c r="E63" s="10">
        <v>1450</v>
      </c>
      <c r="F63" s="10">
        <v>85289968.929813057</v>
      </c>
      <c r="G63" s="10">
        <v>1580</v>
      </c>
      <c r="H63" s="10">
        <v>18</v>
      </c>
      <c r="I63" s="10">
        <v>5</v>
      </c>
      <c r="J63" s="10">
        <v>1600</v>
      </c>
      <c r="K63" s="10">
        <v>88596218.147557154</v>
      </c>
    </row>
    <row r="64" spans="1:11" x14ac:dyDescent="0.35">
      <c r="A64" s="9" t="s">
        <v>103</v>
      </c>
      <c r="B64" s="10">
        <v>778</v>
      </c>
      <c r="C64" s="10">
        <v>7</v>
      </c>
      <c r="D64" s="10">
        <v>4</v>
      </c>
      <c r="E64" s="10">
        <v>679</v>
      </c>
      <c r="F64" s="10">
        <v>42768895.480746202</v>
      </c>
      <c r="G64" s="10">
        <v>779</v>
      </c>
      <c r="H64" s="10">
        <v>8</v>
      </c>
      <c r="I64" s="10">
        <v>5</v>
      </c>
      <c r="J64" s="10">
        <v>1088</v>
      </c>
      <c r="K64" s="10">
        <v>47038009.228535101</v>
      </c>
    </row>
    <row r="65" spans="1:11" x14ac:dyDescent="0.35">
      <c r="A65" s="9" t="s">
        <v>105</v>
      </c>
      <c r="B65" s="10">
        <v>664</v>
      </c>
      <c r="C65" s="10">
        <v>10</v>
      </c>
      <c r="D65" s="10">
        <v>5</v>
      </c>
      <c r="E65" s="10">
        <v>463</v>
      </c>
      <c r="F65" s="10">
        <v>49963627.735031873</v>
      </c>
      <c r="G65" s="10">
        <v>628</v>
      </c>
      <c r="H65" s="10">
        <v>15</v>
      </c>
      <c r="I65" s="10">
        <v>5</v>
      </c>
      <c r="J65" s="10">
        <v>80</v>
      </c>
      <c r="K65" s="10">
        <v>50112380.947894797</v>
      </c>
    </row>
    <row r="66" spans="1:11" x14ac:dyDescent="0.35">
      <c r="A66" s="9" t="s">
        <v>24</v>
      </c>
      <c r="B66" s="10">
        <v>2028</v>
      </c>
      <c r="C66" s="10">
        <v>35</v>
      </c>
      <c r="D66" s="10">
        <v>10</v>
      </c>
      <c r="E66" s="10">
        <v>1899</v>
      </c>
      <c r="F66" s="10">
        <v>140827939.02048233</v>
      </c>
      <c r="G66" s="10">
        <v>1987</v>
      </c>
      <c r="H66" s="10">
        <v>23</v>
      </c>
      <c r="I66" s="10">
        <v>11</v>
      </c>
      <c r="J66" s="10">
        <v>1810</v>
      </c>
      <c r="K66" s="10">
        <v>166499620.02509031</v>
      </c>
    </row>
    <row r="67" spans="1:11" x14ac:dyDescent="0.35">
      <c r="A67" s="9" t="s">
        <v>27</v>
      </c>
      <c r="B67" s="10">
        <v>1556</v>
      </c>
      <c r="C67" s="10">
        <v>31</v>
      </c>
      <c r="D67" s="10">
        <v>7</v>
      </c>
      <c r="E67" s="10">
        <v>174</v>
      </c>
      <c r="F67" s="10">
        <v>114966704.35109471</v>
      </c>
      <c r="G67" s="10">
        <v>1575</v>
      </c>
      <c r="H67" s="10">
        <v>31</v>
      </c>
      <c r="I67" s="10">
        <v>6</v>
      </c>
      <c r="J67" s="10">
        <v>1340</v>
      </c>
      <c r="K67" s="10">
        <v>126466386.03160928</v>
      </c>
    </row>
    <row r="68" spans="1:11" x14ac:dyDescent="0.35">
      <c r="A68" s="9" t="s">
        <v>29</v>
      </c>
      <c r="B68" s="10">
        <v>868</v>
      </c>
      <c r="C68" s="10">
        <v>4</v>
      </c>
      <c r="D68" s="10">
        <v>1</v>
      </c>
      <c r="E68" s="10">
        <v>1449</v>
      </c>
      <c r="F68" s="10">
        <v>75015721.308062419</v>
      </c>
      <c r="G68" s="10">
        <v>901</v>
      </c>
      <c r="H68" s="10">
        <v>14</v>
      </c>
      <c r="I68" s="10">
        <v>1</v>
      </c>
      <c r="J68" s="10">
        <v>761</v>
      </c>
      <c r="K68" s="10">
        <v>81602128.828093037</v>
      </c>
    </row>
    <row r="69" spans="1:11" x14ac:dyDescent="0.35">
      <c r="A69" s="9" t="s">
        <v>57</v>
      </c>
      <c r="B69" s="10">
        <v>2148</v>
      </c>
      <c r="C69" s="10">
        <v>575</v>
      </c>
      <c r="D69" s="10">
        <v>13</v>
      </c>
      <c r="E69" s="10">
        <v>1319</v>
      </c>
      <c r="F69" s="10">
        <v>113517346.92669596</v>
      </c>
      <c r="G69" s="10">
        <v>2250</v>
      </c>
      <c r="H69" s="10">
        <v>692</v>
      </c>
      <c r="I69" s="10">
        <v>12</v>
      </c>
      <c r="J69" s="10">
        <v>1384</v>
      </c>
      <c r="K69" s="10">
        <v>115535317.18576643</v>
      </c>
    </row>
    <row r="70" spans="1:11" x14ac:dyDescent="0.35">
      <c r="A70" s="9" t="s">
        <v>137</v>
      </c>
      <c r="B70" s="10">
        <v>258</v>
      </c>
      <c r="C70" s="10">
        <v>2</v>
      </c>
      <c r="D70" s="10">
        <v>1</v>
      </c>
      <c r="E70" s="10">
        <v>3</v>
      </c>
      <c r="F70" s="10">
        <v>8148410.617243452</v>
      </c>
      <c r="G70" s="10">
        <v>234</v>
      </c>
      <c r="H70" s="10">
        <v>1</v>
      </c>
      <c r="I70" s="10">
        <v>1</v>
      </c>
      <c r="J70" s="10">
        <v>406</v>
      </c>
      <c r="K70" s="10">
        <v>6240086.6786638899</v>
      </c>
    </row>
    <row r="71" spans="1:11" x14ac:dyDescent="0.35">
      <c r="A71" s="9" t="s">
        <v>10</v>
      </c>
      <c r="B71" s="10">
        <v>1679</v>
      </c>
      <c r="C71" s="10">
        <v>7</v>
      </c>
      <c r="D71" s="10">
        <v>7</v>
      </c>
      <c r="E71" s="10">
        <v>1258</v>
      </c>
      <c r="F71" s="10">
        <v>77251287.372323066</v>
      </c>
      <c r="G71" s="10">
        <v>1607</v>
      </c>
      <c r="H71" s="10">
        <v>19</v>
      </c>
      <c r="I71" s="10">
        <v>6</v>
      </c>
      <c r="J71" s="10">
        <v>1903</v>
      </c>
      <c r="K71" s="10">
        <v>84246886.097727746</v>
      </c>
    </row>
    <row r="72" spans="1:11" x14ac:dyDescent="0.35">
      <c r="A72" s="9" t="s">
        <v>12</v>
      </c>
      <c r="B72" s="10">
        <v>682</v>
      </c>
      <c r="C72" s="10">
        <v>3</v>
      </c>
      <c r="D72" s="10">
        <v>2</v>
      </c>
      <c r="E72" s="10">
        <v>629</v>
      </c>
      <c r="F72" s="10">
        <v>37218802.728046007</v>
      </c>
      <c r="G72" s="10">
        <v>781</v>
      </c>
      <c r="H72" s="10">
        <v>6</v>
      </c>
      <c r="I72" s="10">
        <v>3</v>
      </c>
      <c r="J72" s="10">
        <v>749</v>
      </c>
      <c r="K72" s="10">
        <v>39058261.697311945</v>
      </c>
    </row>
    <row r="73" spans="1:11" x14ac:dyDescent="0.35">
      <c r="A73" s="9" t="s">
        <v>162</v>
      </c>
      <c r="B73" s="10">
        <v>1355</v>
      </c>
      <c r="C73" s="10">
        <v>69</v>
      </c>
      <c r="D73" s="10">
        <v>5</v>
      </c>
      <c r="E73" s="10">
        <v>927</v>
      </c>
      <c r="F73" s="10">
        <v>58785339.791418493</v>
      </c>
      <c r="G73" s="10">
        <v>1801</v>
      </c>
      <c r="H73" s="10">
        <v>571</v>
      </c>
      <c r="I73" s="10">
        <v>5</v>
      </c>
      <c r="J73" s="10">
        <v>1828</v>
      </c>
      <c r="K73" s="10">
        <v>62431669.373233408</v>
      </c>
    </row>
    <row r="74" spans="1:11" x14ac:dyDescent="0.35">
      <c r="A74" s="9" t="s">
        <v>63</v>
      </c>
      <c r="B74" s="10">
        <v>1289</v>
      </c>
      <c r="C74" s="10">
        <v>16</v>
      </c>
      <c r="D74" s="10">
        <v>5</v>
      </c>
      <c r="E74" s="10">
        <v>1329</v>
      </c>
      <c r="F74" s="10">
        <v>32275193.861953437</v>
      </c>
      <c r="G74" s="10">
        <v>1265</v>
      </c>
      <c r="H74" s="10">
        <v>17</v>
      </c>
      <c r="I74" s="10">
        <v>5</v>
      </c>
      <c r="J74" s="10">
        <v>1369</v>
      </c>
      <c r="K74" s="10">
        <v>44080634.431791537</v>
      </c>
    </row>
    <row r="75" spans="1:11" x14ac:dyDescent="0.35">
      <c r="A75" s="9" t="s">
        <v>59</v>
      </c>
      <c r="B75" s="10">
        <v>1762</v>
      </c>
      <c r="C75" s="10">
        <v>17</v>
      </c>
      <c r="D75" s="10">
        <v>5</v>
      </c>
      <c r="E75" s="10">
        <v>1166</v>
      </c>
      <c r="F75" s="10">
        <v>103700256.08545941</v>
      </c>
      <c r="G75" s="10">
        <v>1727</v>
      </c>
      <c r="H75" s="10">
        <v>20</v>
      </c>
      <c r="I75" s="10">
        <v>5</v>
      </c>
      <c r="J75" s="10">
        <v>1269</v>
      </c>
      <c r="K75" s="10">
        <v>108193782.24724299</v>
      </c>
    </row>
    <row r="76" spans="1:11" x14ac:dyDescent="0.35">
      <c r="A76" s="9" t="s">
        <v>139</v>
      </c>
      <c r="B76" s="10">
        <v>491</v>
      </c>
      <c r="C76" s="10">
        <v>6</v>
      </c>
      <c r="D76" s="10">
        <v>2</v>
      </c>
      <c r="E76" s="10">
        <v>460</v>
      </c>
      <c r="F76" s="10">
        <v>20808197.35222796</v>
      </c>
      <c r="G76" s="10">
        <v>511</v>
      </c>
      <c r="H76" s="10">
        <v>5</v>
      </c>
      <c r="I76" s="10">
        <v>1</v>
      </c>
      <c r="J76" s="10">
        <v>804</v>
      </c>
      <c r="K76" s="10">
        <v>22177268.693101991</v>
      </c>
    </row>
    <row r="77" spans="1:11" x14ac:dyDescent="0.35">
      <c r="A77" s="9" t="s">
        <v>170</v>
      </c>
      <c r="B77" s="10">
        <v>905</v>
      </c>
      <c r="C77" s="10">
        <v>7</v>
      </c>
      <c r="D77" s="10">
        <v>1</v>
      </c>
      <c r="E77" s="10">
        <v>816</v>
      </c>
      <c r="F77" s="10">
        <v>34299015.758985899</v>
      </c>
      <c r="G77" s="10">
        <v>888</v>
      </c>
      <c r="H77" s="10">
        <v>7</v>
      </c>
      <c r="I77" s="10">
        <v>1</v>
      </c>
      <c r="J77" s="10">
        <v>859</v>
      </c>
      <c r="K77" s="10">
        <v>35665298.337954924</v>
      </c>
    </row>
    <row r="78" spans="1:11" x14ac:dyDescent="0.35">
      <c r="A78" s="9" t="s">
        <v>61</v>
      </c>
      <c r="B78" s="10">
        <v>647</v>
      </c>
      <c r="C78" s="10">
        <v>2</v>
      </c>
      <c r="D78" s="10">
        <v>4</v>
      </c>
      <c r="E78" s="10">
        <v>474</v>
      </c>
      <c r="F78" s="10">
        <v>23247951.369246338</v>
      </c>
      <c r="G78" s="10">
        <v>628</v>
      </c>
      <c r="H78" s="10">
        <v>2</v>
      </c>
      <c r="I78" s="10">
        <v>3</v>
      </c>
      <c r="J78" s="10">
        <v>492</v>
      </c>
      <c r="K78" s="10">
        <v>35203666.198692456</v>
      </c>
    </row>
    <row r="79" spans="1:11" x14ac:dyDescent="0.35">
      <c r="A79" s="9" t="s">
        <v>129</v>
      </c>
      <c r="B79" s="10">
        <v>572</v>
      </c>
      <c r="C79" s="10">
        <v>7</v>
      </c>
      <c r="D79" s="10">
        <v>1</v>
      </c>
      <c r="E79" s="10">
        <v>718</v>
      </c>
      <c r="F79" s="10">
        <v>17751781.015112959</v>
      </c>
      <c r="G79" s="10">
        <v>580</v>
      </c>
      <c r="H79" s="10">
        <v>7</v>
      </c>
      <c r="I79" s="10">
        <v>1</v>
      </c>
      <c r="J79" s="10">
        <v>726</v>
      </c>
      <c r="K79" s="10">
        <v>22314107.622887608</v>
      </c>
    </row>
    <row r="80" spans="1:11" x14ac:dyDescent="0.35">
      <c r="A80" s="9" t="s">
        <v>35</v>
      </c>
      <c r="B80" s="10">
        <v>435</v>
      </c>
      <c r="C80" s="10">
        <v>6</v>
      </c>
      <c r="D80" s="10">
        <v>6</v>
      </c>
      <c r="E80" s="10">
        <v>467</v>
      </c>
      <c r="F80" s="10">
        <v>26452801.585179415</v>
      </c>
      <c r="G80" s="10">
        <v>450</v>
      </c>
      <c r="H80" s="10">
        <v>2</v>
      </c>
      <c r="I80" s="10">
        <v>7</v>
      </c>
      <c r="J80" s="10">
        <v>468</v>
      </c>
      <c r="K80" s="10">
        <v>28509746.558328018</v>
      </c>
    </row>
    <row r="81" spans="1:11" x14ac:dyDescent="0.35">
      <c r="A81" s="9" t="s">
        <v>107</v>
      </c>
      <c r="B81" s="10">
        <v>957</v>
      </c>
      <c r="C81" s="10">
        <v>19</v>
      </c>
      <c r="D81" s="10">
        <v>3</v>
      </c>
      <c r="E81" s="10">
        <v>758</v>
      </c>
      <c r="F81" s="10">
        <v>76346230.184281394</v>
      </c>
      <c r="G81" s="10">
        <v>911</v>
      </c>
      <c r="H81" s="10">
        <v>15</v>
      </c>
      <c r="I81" s="10">
        <v>3</v>
      </c>
      <c r="J81" s="10">
        <v>772</v>
      </c>
      <c r="K81" s="10">
        <v>74620837.610414207</v>
      </c>
    </row>
    <row r="82" spans="1:11" x14ac:dyDescent="0.35">
      <c r="A82" s="9" t="s">
        <v>37</v>
      </c>
      <c r="B82" s="10">
        <v>789</v>
      </c>
      <c r="C82" s="10">
        <v>8</v>
      </c>
      <c r="D82" s="10">
        <v>10</v>
      </c>
      <c r="E82" s="10">
        <v>717</v>
      </c>
      <c r="F82" s="10">
        <v>44626909.863169447</v>
      </c>
      <c r="G82" s="10">
        <v>785</v>
      </c>
      <c r="H82" s="10">
        <v>6</v>
      </c>
      <c r="I82" s="10">
        <v>9</v>
      </c>
      <c r="J82" s="10">
        <v>783</v>
      </c>
      <c r="K82" s="10">
        <v>44723451.787173718</v>
      </c>
    </row>
    <row r="83" spans="1:11" x14ac:dyDescent="0.35">
      <c r="A83" s="9" t="s">
        <v>76</v>
      </c>
      <c r="B83" s="10">
        <v>945</v>
      </c>
      <c r="C83" s="10">
        <v>3</v>
      </c>
      <c r="D83" s="10">
        <v>2</v>
      </c>
      <c r="E83" s="10">
        <v>927</v>
      </c>
      <c r="F83" s="10">
        <v>37884088.710137188</v>
      </c>
      <c r="G83" s="10">
        <v>942</v>
      </c>
      <c r="H83" s="10">
        <v>10</v>
      </c>
      <c r="I83" s="10">
        <v>2</v>
      </c>
      <c r="J83" s="10">
        <v>989</v>
      </c>
      <c r="K83" s="10">
        <v>38894797.199882269</v>
      </c>
    </row>
    <row r="84" spans="1:11" x14ac:dyDescent="0.35">
      <c r="A84" s="9" t="s">
        <v>65</v>
      </c>
      <c r="B84" s="10">
        <v>999</v>
      </c>
      <c r="C84" s="10">
        <v>9</v>
      </c>
      <c r="D84" s="10">
        <v>4</v>
      </c>
      <c r="E84" s="10">
        <v>879</v>
      </c>
      <c r="F84" s="10">
        <v>41847405.361760058</v>
      </c>
      <c r="G84" s="10">
        <v>947</v>
      </c>
      <c r="H84" s="10">
        <v>6</v>
      </c>
      <c r="I84" s="10">
        <v>5</v>
      </c>
      <c r="J84" s="10">
        <v>886</v>
      </c>
      <c r="K84" s="10">
        <v>42319283.364424147</v>
      </c>
    </row>
    <row r="85" spans="1:11" x14ac:dyDescent="0.35">
      <c r="A85" s="9" t="s">
        <v>89</v>
      </c>
      <c r="B85" s="10">
        <v>761</v>
      </c>
      <c r="C85" s="10">
        <v>11</v>
      </c>
      <c r="D85" s="10">
        <v>5</v>
      </c>
      <c r="E85" s="10">
        <v>719</v>
      </c>
      <c r="F85" s="10">
        <v>46486669.469575226</v>
      </c>
      <c r="G85" s="10">
        <v>754</v>
      </c>
      <c r="H85" s="10">
        <v>4</v>
      </c>
      <c r="I85" s="10">
        <v>6</v>
      </c>
      <c r="J85" s="10">
        <v>756</v>
      </c>
      <c r="K85" s="10">
        <v>51887079.227034271</v>
      </c>
    </row>
    <row r="86" spans="1:11" x14ac:dyDescent="0.35">
      <c r="A86" s="9" t="s">
        <v>147</v>
      </c>
      <c r="B86" s="10">
        <v>566</v>
      </c>
      <c r="C86" s="10">
        <v>2</v>
      </c>
      <c r="D86" s="10">
        <v>1</v>
      </c>
      <c r="E86" s="10">
        <v>696</v>
      </c>
      <c r="F86" s="10">
        <v>19780513.322250318</v>
      </c>
      <c r="G86" s="10">
        <v>588</v>
      </c>
      <c r="H86" s="10">
        <v>5</v>
      </c>
      <c r="I86" s="10">
        <v>1</v>
      </c>
      <c r="J86" s="10">
        <v>725</v>
      </c>
      <c r="K86" s="10">
        <v>23290684.128887121</v>
      </c>
    </row>
    <row r="87" spans="1:11" x14ac:dyDescent="0.35">
      <c r="A87" s="9" t="s">
        <v>164</v>
      </c>
      <c r="B87" s="10">
        <v>1713</v>
      </c>
      <c r="C87" s="10">
        <v>11</v>
      </c>
      <c r="D87" s="10">
        <v>10</v>
      </c>
      <c r="E87" s="10">
        <v>1317</v>
      </c>
      <c r="F87" s="10">
        <v>88021307.638904288</v>
      </c>
      <c r="G87" s="10">
        <v>1763</v>
      </c>
      <c r="H87" s="10">
        <v>15</v>
      </c>
      <c r="I87" s="10">
        <v>10</v>
      </c>
      <c r="J87" s="10">
        <v>1473</v>
      </c>
      <c r="K87" s="10">
        <v>102059489.96436916</v>
      </c>
    </row>
    <row r="88" spans="1:11" x14ac:dyDescent="0.35">
      <c r="A88" s="9" t="s">
        <v>91</v>
      </c>
      <c r="B88" s="10">
        <v>624</v>
      </c>
      <c r="C88" s="10">
        <v>10</v>
      </c>
      <c r="D88" s="10">
        <v>3</v>
      </c>
      <c r="E88" s="10">
        <v>712</v>
      </c>
      <c r="F88" s="10">
        <v>24990777.677869316</v>
      </c>
      <c r="G88" s="10">
        <v>645</v>
      </c>
      <c r="H88" s="10">
        <v>2</v>
      </c>
      <c r="I88" s="10">
        <v>4</v>
      </c>
      <c r="J88" s="10">
        <v>1070</v>
      </c>
      <c r="K88" s="10">
        <v>24431221.05708931</v>
      </c>
    </row>
    <row r="89" spans="1:11" x14ac:dyDescent="0.35">
      <c r="A89" s="9" t="s">
        <v>97</v>
      </c>
      <c r="B89" s="10">
        <v>585</v>
      </c>
      <c r="C89" s="10">
        <v>18</v>
      </c>
      <c r="D89" s="10">
        <v>6</v>
      </c>
      <c r="E89" s="10">
        <v>534</v>
      </c>
      <c r="F89" s="10">
        <v>40313583.43754679</v>
      </c>
      <c r="G89" s="10">
        <v>674</v>
      </c>
      <c r="H89" s="10">
        <v>8</v>
      </c>
      <c r="I89" s="10">
        <v>8</v>
      </c>
      <c r="J89" s="10">
        <v>713</v>
      </c>
      <c r="K89" s="10">
        <v>43755501.636780389</v>
      </c>
    </row>
    <row r="90" spans="1:11" x14ac:dyDescent="0.35">
      <c r="A90" s="9" t="s">
        <v>78</v>
      </c>
      <c r="B90" s="10">
        <v>355</v>
      </c>
      <c r="C90" s="10">
        <v>3</v>
      </c>
      <c r="D90" s="10">
        <v>1</v>
      </c>
      <c r="E90" s="10">
        <v>301</v>
      </c>
      <c r="F90" s="10">
        <v>10204178.112787612</v>
      </c>
      <c r="G90" s="10">
        <v>363</v>
      </c>
      <c r="H90" s="10">
        <v>2</v>
      </c>
      <c r="I90" s="10">
        <v>1</v>
      </c>
      <c r="J90" s="10">
        <v>390</v>
      </c>
      <c r="K90" s="10">
        <v>9956156.0830863565</v>
      </c>
    </row>
    <row r="91" spans="1:11" x14ac:dyDescent="0.35">
      <c r="A91" s="14" t="s">
        <v>203</v>
      </c>
      <c r="B91" s="13">
        <v>84586</v>
      </c>
      <c r="C91" s="13">
        <v>3388</v>
      </c>
      <c r="D91" s="13">
        <v>310</v>
      </c>
      <c r="E91" s="13">
        <v>71636</v>
      </c>
      <c r="F91" s="13">
        <v>4305780655.0259924</v>
      </c>
      <c r="G91" s="13">
        <v>84112</v>
      </c>
      <c r="H91" s="13">
        <v>2850</v>
      </c>
      <c r="I91" s="13">
        <v>319</v>
      </c>
      <c r="J91" s="13">
        <v>86393</v>
      </c>
      <c r="K91" s="13">
        <v>4531193027.8835678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2026-09-01T08:11:17Z</dcterms:modified>
</cp:coreProperties>
</file>