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<sst xmlns="http://schemas.openxmlformats.org/spreadsheetml/2006/main" count="540" uniqueCount="205">
  <si>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</si>
  <si>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</si>
  <si>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</si>
  <si>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</si>
  <si>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</si>
  <si>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</si>
  <si>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</si>
  <si>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</si>
  <si>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</si>
  <si>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</si>
  <si>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</si>
  <si>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</si>
  <si>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</si>
  <si>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</si>
  <si>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</si>
  <si>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</si>
  <si>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</si>
  <si>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</si>
  <si>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</si>
  <si>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</si>
  <si>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</si>
  <si>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</si>
  <si>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</si>
  <si>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</si>
  <si>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</si>
  <si>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</si>
  <si>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</si>
  <si>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</si>
  <si>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</si>
  <si>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</si>
  <si>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</si>
  <si>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</si>
  <si>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</si>
  <si>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</si>
  <si>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</si>
  <si>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</si>
  <si>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</si>
  <si>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</si>
  <si>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</si>
  <si>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</si>
  <si>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</si>
  <si>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</si>
  <si>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</si>
  <si>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</si>
  <si>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</si>
  <si>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</si>
  <si>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</si>
  <si>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</si>
  <si>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</si>
  <si>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</si>
  <si>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</si>
  <si>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</si>
  <si>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</si>
  <si>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</si>
  <si>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</si>
  <si>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</si>
  <si>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</si>
  <si>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</si>
  <si>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</si>
  <si>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</si>
  <si>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</si>
  <si>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</si>
  <si>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</si>
  <si>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</si>
  <si>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</si>
  <si>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</si>
  <si>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</si>
  <si>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</si>
  <si>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</si>
  <si>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</si>
  <si>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</si>
  <si>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</si>
  <si>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</si>
  <si>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</si>
  <si>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</si>
  <si>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</si>
  <si>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</si>
  <si>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</si>
  <si>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</si>
  <si>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</si>
  <si>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</si>
  <si>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</si>
  <si>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</si>
  <si>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</si>
  <si>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</si>
  <si>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</si>
  <si>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</si>
  <si>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</si>
  <si>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</si>
  <si>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</si>
  <si>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</si>
  <si>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</si>
  <si>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</si>
  <si>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</si>
  <si>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</si>
  <si>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</si>
  <si>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</si>
  <si>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</si>
  <si>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</si>
  <si>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</si>
  <si>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</si>
  <si>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</si>
  <si>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</si>
  <si>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</si>
  <si>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</si>
  <si>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</si>
  <si>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</si>
  <si>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</si>
  <si>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</si>
  <si>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</si>
  <si>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</si>
  <si>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</si>
  <si>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</si>
  <si>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</si>
  <si>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</si>
  <si>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</si>
  <si>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</si>
  <si>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</si>
  <si>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</si>
  <si>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</si>
  <si>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</si>
  <si>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</si>
  <si>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</si>
  <si>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</si>
  <si>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</si>
  <si>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</si>
  <si>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</si>
  <si>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</si>
  <si>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</si>
  <si>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</si>
  <si>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</si>
  <si>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</si>
  <si>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</si>
  <si>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</si>
  <si>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</si>
  <si>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</si>
  <si>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</si>
  <si>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</si>
  <si>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</si>
  <si>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</si>
  <si>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</si>
  <si>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</si>
  <si>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</si>
  <si>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</si>
  <si>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</si>
  <si>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</si>
  <si>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</si>
  <si>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</si>
  <si>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</si>
  <si>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</si>
  <si>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</si>
  <si>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</si>
  <si>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</si>
  <si>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</si>
  <si>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</si>
  <si>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</si>
  <si>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</si>
  <si>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</si>
  <si>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</si>
  <si>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</si>
  <si>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</si>
  <si>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</si>
  <si>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</si>
  <si>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</si>
  <si>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</si>
  <si>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</si>
  <si>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</si>
  <si>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</si>
  <si>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</si>
  <si>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</si>
  <si>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</si>
  <si>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</si>
  <si>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</si>
  <si>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</si>
  <si>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</si>
  <si>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</si>
  <si>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</si>
  <si>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</si>
  <si>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</si>
  <si>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</si>
  <si>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</si>
  <si>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</si>
  <si>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</si>
  <si>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</si>
  <si>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</si>
  <si>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OUTLET AGUSTUS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</si>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</sst>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L68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17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186</v>
      </c>
      <c r="G1" s="5" t="s">
        <v>183</v>
      </c>
      <c r="H1" s="5" t="s">
        <v>202</v>
      </c>
      <c r="I1" s="3" t="s">
        <v>188</v>
      </c>
      <c r="J1" s="3" t="s">
        <v>187</v>
      </c>
      <c r="K1" s="5" t="s">
        <v>202</v>
      </c>
      <c r="L1" s="3" t="s">
        <v>189</v>
      </c>
      <c r="M1" s="3" t="s">
        <v>184</v>
      </c>
      <c r="N1" s="5" t="s">
        <v>202</v>
      </c>
      <c r="O1" s="5" t="s">
        <v>190</v>
      </c>
      <c r="P1" s="5" t="s">
        <v>191</v>
      </c>
      <c r="Q1" s="5" t="s">
        <v>202</v>
      </c>
      <c r="R1" s="5" t="s">
        <v>193</v>
      </c>
      <c r="S1" s="5" t="s">
        <v>192</v>
      </c>
      <c r="T1" s="5" t="s">
        <v>202</v>
      </c>
      <c r="U1" s="6" t="s">
        <v>185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4003429.022572496</v>
      </c>
      <c r="G2" s="1">
        <f>VLOOKUP(A:A,MASTER!A:K,11,0)</f>
        <v>4106370.1809836258</v>
      </c>
      <c r="H2" s="12">
        <f>IFERROR(G2/F2-1,0)</f>
        <v>2.5713246776879917E-2</v>
      </c>
      <c r="I2" s="2">
        <f>VLOOKUP(A:A,MASTER!A:E,5,0)</f>
        <v>339</v>
      </c>
      <c r="J2" s="2">
        <f>VLOOKUP(A:A,MASTER!A:J,10,0)</f>
        <v>343</v>
      </c>
      <c r="K2" s="12">
        <f>IFERROR(J2/I2-1,0)</f>
        <v>1.1799410029498469E-2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0</v>
      </c>
      <c r="P2" s="1">
        <f>VLOOKUP(A:A,MASTER!A:H,8,0)</f>
        <v>1</v>
      </c>
      <c r="Q2" s="12">
        <f>IFERROR(P2/O2-1,0)</f>
        <v>0</v>
      </c>
      <c r="R2" s="1">
        <f>VLOOKUP(A:A,MASTER!A:B,2,0)</f>
        <v>406</v>
      </c>
      <c r="S2">
        <f>VLOOKUP(A:A,MASTER!A:G,7,0)</f>
        <v>434</v>
      </c>
      <c r="T2" s="12">
        <f>IFERROR(S2/R2-1,0)</f>
        <v>6.8965517241379226E-2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5105931.1009078808</v>
      </c>
      <c r="G3" s="1">
        <f>VLOOKUP(A:A,MASTER!A:K,11,0)</f>
        <v>4663530.0290132752</v>
      </c>
      <c r="H3" s="12">
        <f t="shared" ref="H3:H66" si="0">IFERROR(G3/F3-1,0)</f>
        <v>-8.6644543992366541E-2</v>
      </c>
      <c r="I3" s="2">
        <f>VLOOKUP(A:A,MASTER!A:E,5,0)</f>
        <v>628</v>
      </c>
      <c r="J3" s="2">
        <f>VLOOKUP(A:A,MASTER!A:J,10,0)</f>
        <v>480</v>
      </c>
      <c r="K3" s="12">
        <f t="shared" ref="K3:K66" si="1">IFERROR(J3/I3-1,0)</f>
        <v>-0.23566878980891715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1</v>
      </c>
      <c r="P3" s="1">
        <f>VLOOKUP(A:A,MASTER!A:H,8,0)</f>
        <v>4</v>
      </c>
      <c r="Q3" s="12">
        <f t="shared" ref="Q3:Q66" si="3">IFERROR(P3/O3-1,0)</f>
        <v>3</v>
      </c>
      <c r="R3" s="1">
        <f>VLOOKUP(A:A,MASTER!A:B,2,0)</f>
        <v>648</v>
      </c>
      <c r="S3">
        <f>VLOOKUP(A:A,MASTER!A:G,7,0)</f>
        <v>581</v>
      </c>
      <c r="T3" s="12">
        <f t="shared" ref="T3:T66" si="4">IFERROR(S3/R3-1,0)</f>
        <v>-0.10339506172839508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4831246.832639995</v>
      </c>
      <c r="G4" s="1">
        <f>VLOOKUP(A:A,MASTER!A:K,11,0)</f>
        <v>7168469.4569246201</v>
      </c>
      <c r="H4" s="12">
        <f t="shared" si="0"/>
        <v>0.48377214107428856</v>
      </c>
      <c r="I4" s="2">
        <f>VLOOKUP(A:A,MASTER!A:E,5,0)</f>
        <v>13</v>
      </c>
      <c r="J4" s="2">
        <f>VLOOKUP(A:A,MASTER!A:J,10,0)</f>
        <v>677</v>
      </c>
      <c r="K4" s="12">
        <f t="shared" si="1"/>
        <v>51.07692307692308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2</v>
      </c>
      <c r="P4" s="1">
        <f>VLOOKUP(A:A,MASTER!A:H,8,0)</f>
        <v>3</v>
      </c>
      <c r="Q4" s="12">
        <f t="shared" si="3"/>
        <v>0.5</v>
      </c>
      <c r="R4" s="1">
        <f>VLOOKUP(A:A,MASTER!A:B,2,0)</f>
        <v>726</v>
      </c>
      <c r="S4">
        <f>VLOOKUP(A:A,MASTER!A:G,7,0)</f>
        <v>787</v>
      </c>
      <c r="T4" s="12">
        <f t="shared" si="4"/>
        <v>8.4022038567493018E-2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10567047.919974176</v>
      </c>
      <c r="G5" s="1">
        <f>VLOOKUP(A:A,MASTER!A:K,11,0)</f>
        <v>11637285.102184862</v>
      </c>
      <c r="H5" s="12">
        <f t="shared" si="0"/>
        <v>0.10128062163773177</v>
      </c>
      <c r="I5" s="2">
        <f>VLOOKUP(A:A,MASTER!A:E,5,0)</f>
        <v>984</v>
      </c>
      <c r="J5" s="2">
        <f>VLOOKUP(A:A,MASTER!A:J,10,0)</f>
        <v>965</v>
      </c>
      <c r="K5" s="12">
        <f t="shared" si="1"/>
        <v>-1.9308943089430874E-2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2</v>
      </c>
      <c r="P5" s="1">
        <f>VLOOKUP(A:A,MASTER!A:H,8,0)</f>
        <v>1</v>
      </c>
      <c r="Q5" s="12">
        <f t="shared" si="3"/>
        <v>-0.5</v>
      </c>
      <c r="R5" s="1">
        <f>VLOOKUP(A:A,MASTER!A:B,2,0)</f>
        <v>1222</v>
      </c>
      <c r="S5">
        <f>VLOOKUP(A:A,MASTER!A:G,7,0)</f>
        <v>1234</v>
      </c>
      <c r="T5" s="12">
        <f t="shared" si="4"/>
        <v>9.8199672667758087E-3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4259126.1628009314</v>
      </c>
      <c r="G6" s="1">
        <f>VLOOKUP(A:A,MASTER!A:K,11,0)</f>
        <v>4827367.2313834922</v>
      </c>
      <c r="H6" s="12">
        <f t="shared" si="0"/>
        <v>0.13341728957117072</v>
      </c>
      <c r="I6" s="2">
        <f>VLOOKUP(A:A,MASTER!A:E,5,0)</f>
        <v>364</v>
      </c>
      <c r="J6" s="2">
        <f>VLOOKUP(A:A,MASTER!A:J,10,0)</f>
        <v>360</v>
      </c>
      <c r="K6" s="12">
        <f t="shared" si="1"/>
        <v>-1.098901098901095E-2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0</v>
      </c>
      <c r="Q6" s="12">
        <f t="shared" si="3"/>
        <v>-1</v>
      </c>
      <c r="R6" s="1">
        <f>VLOOKUP(A:A,MASTER!A:B,2,0)</f>
        <v>400</v>
      </c>
      <c r="S6">
        <f>VLOOKUP(A:A,MASTER!A:G,7,0)</f>
        <v>382</v>
      </c>
      <c r="T6" s="12">
        <f t="shared" si="4"/>
        <v>-4.500000000000004E-2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4008489.4754802031</v>
      </c>
      <c r="G7" s="1">
        <f>VLOOKUP(A:A,MASTER!A:K,11,0)</f>
        <v>2988364.490615251</v>
      </c>
      <c r="H7" s="12">
        <f t="shared" si="0"/>
        <v>-0.25449112218081715</v>
      </c>
      <c r="I7" s="2">
        <f>VLOOKUP(A:A,MASTER!A:E,5,0)</f>
        <v>304</v>
      </c>
      <c r="J7" s="2">
        <f>VLOOKUP(A:A,MASTER!A:J,10,0)</f>
        <v>255</v>
      </c>
      <c r="K7" s="12">
        <f t="shared" si="1"/>
        <v>-0.16118421052631582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2</v>
      </c>
      <c r="P7" s="1">
        <f>VLOOKUP(A:A,MASTER!A:H,8,0)</f>
        <v>0</v>
      </c>
      <c r="Q7" s="12">
        <f t="shared" si="3"/>
        <v>-1</v>
      </c>
      <c r="R7" s="1">
        <f>VLOOKUP(A:A,MASTER!A:B,2,0)</f>
        <v>376</v>
      </c>
      <c r="S7">
        <f>VLOOKUP(A:A,MASTER!A:G,7,0)</f>
        <v>382</v>
      </c>
      <c r="T7" s="12">
        <f t="shared" si="4"/>
        <v>1.5957446808510634E-2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4488834.0842338577</v>
      </c>
      <c r="G8" s="1">
        <f>VLOOKUP(A:A,MASTER!A:K,11,0)</f>
        <v>4949563.6282399083</v>
      </c>
      <c r="H8" s="12">
        <f t="shared" si="0"/>
        <v>0.10263902281981685</v>
      </c>
      <c r="I8" s="2">
        <f>VLOOKUP(A:A,MASTER!A:E,5,0)</f>
        <v>487</v>
      </c>
      <c r="J8" s="2">
        <f>VLOOKUP(A:A,MASTER!A:J,10,0)</f>
        <v>512</v>
      </c>
      <c r="K8" s="12">
        <f t="shared" si="1"/>
        <v>5.1334702258726939E-2</v>
      </c>
      <c r="L8" s="2">
        <f>VLOOKUP(A:A,MASTER!A:D,4,0)</f>
        <v>4</v>
      </c>
      <c r="M8" s="2">
        <f>VLOOKUP(A:A,MASTER!A:I,9,0)</f>
        <v>0</v>
      </c>
      <c r="N8" s="12">
        <f t="shared" si="2"/>
        <v>-1</v>
      </c>
      <c r="O8" s="1">
        <f>VLOOKUP(A:A,MASTER!A:C,3,0)</f>
        <v>0</v>
      </c>
      <c r="P8" s="1">
        <f>VLOOKUP(A:A,MASTER!A:H,8,0)</f>
        <v>0</v>
      </c>
      <c r="Q8" s="12">
        <f t="shared" si="3"/>
        <v>0</v>
      </c>
      <c r="R8" s="1">
        <f>VLOOKUP(A:A,MASTER!A:B,2,0)</f>
        <v>597</v>
      </c>
      <c r="S8">
        <f>VLOOKUP(A:A,MASTER!A:G,7,0)</f>
        <v>634</v>
      </c>
      <c r="T8" s="12">
        <f t="shared" si="4"/>
        <v>6.1976549413735427E-2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2184692.3143682778</v>
      </c>
      <c r="G9" s="1">
        <f>VLOOKUP(A:A,MASTER!A:K,11,0)</f>
        <v>2312910.6499294881</v>
      </c>
      <c r="H9" s="12">
        <f t="shared" si="0"/>
        <v>5.8689424921735789E-2</v>
      </c>
      <c r="I9" s="2">
        <f>VLOOKUP(A:A,MASTER!A:E,5,0)</f>
        <v>127</v>
      </c>
      <c r="J9" s="2">
        <f>VLOOKUP(A:A,MASTER!A:J,10,0)</f>
        <v>146</v>
      </c>
      <c r="K9" s="12">
        <f t="shared" si="1"/>
        <v>0.14960629921259838</v>
      </c>
      <c r="L9" s="2">
        <f>VLOOKUP(A:A,MASTER!A:D,4,0)</f>
        <v>0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0</v>
      </c>
      <c r="Q9" s="12">
        <f t="shared" si="3"/>
        <v>0</v>
      </c>
      <c r="R9" s="1">
        <f>VLOOKUP(A:A,MASTER!A:B,2,0)</f>
        <v>175</v>
      </c>
      <c r="S9">
        <f>VLOOKUP(A:A,MASTER!A:G,7,0)</f>
        <v>183</v>
      </c>
      <c r="T9" s="12">
        <f t="shared" si="4"/>
        <v>4.5714285714285818E-2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22.486592934000001</v>
      </c>
      <c r="G10" s="1">
        <f>VLOOKUP(A:A,MASTER!A:K,11,0)</f>
        <v>2271681.23378444</v>
      </c>
      <c r="H10" s="12">
        <f t="shared" si="0"/>
        <v>101022.80740612911</v>
      </c>
      <c r="I10" s="2">
        <f>VLOOKUP(A:A,MASTER!A:E,5,0)</f>
        <v>0</v>
      </c>
      <c r="J10" s="2">
        <f>VLOOKUP(A:A,MASTER!A:J,10,0)</f>
        <v>180</v>
      </c>
      <c r="K10" s="12">
        <f t="shared" si="1"/>
        <v>0</v>
      </c>
      <c r="L10" s="2">
        <f>VLOOKUP(A:A,MASTER!A:D,4,0)</f>
        <v>1</v>
      </c>
      <c r="M10" s="2">
        <f>VLOOKUP(A:A,MASTER!A:I,9,0)</f>
        <v>0</v>
      </c>
      <c r="N10" s="12">
        <f t="shared" si="2"/>
        <v>-1</v>
      </c>
      <c r="O10" s="1">
        <f>VLOOKUP(A:A,MASTER!A:C,3,0)</f>
        <v>0</v>
      </c>
      <c r="P10" s="1">
        <f>VLOOKUP(A:A,MASTER!A:H,8,0)</f>
        <v>0</v>
      </c>
      <c r="Q10" s="12">
        <f t="shared" si="3"/>
        <v>0</v>
      </c>
      <c r="R10" s="1">
        <f>VLOOKUP(A:A,MASTER!A:B,2,0)</f>
        <v>185</v>
      </c>
      <c r="S10">
        <f>VLOOKUP(A:A,MASTER!A:G,7,0)</f>
        <v>200</v>
      </c>
      <c r="T10" s="12">
        <f t="shared" si="4"/>
        <v>8.1081081081081141E-2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4541662.1852838956</v>
      </c>
      <c r="G11" s="1">
        <f>VLOOKUP(A:A,MASTER!A:K,11,0)</f>
        <v>3810477.1599904601</v>
      </c>
      <c r="H11" s="12">
        <f t="shared" si="0"/>
        <v>-0.16099502681257427</v>
      </c>
      <c r="I11" s="2">
        <f>VLOOKUP(A:A,MASTER!A:E,5,0)</f>
        <v>477</v>
      </c>
      <c r="J11" s="2">
        <f>VLOOKUP(A:A,MASTER!A:J,10,0)</f>
        <v>374</v>
      </c>
      <c r="K11" s="12">
        <f t="shared" si="1"/>
        <v>-0.21593291404612158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1</v>
      </c>
      <c r="P11" s="1">
        <f>VLOOKUP(A:A,MASTER!A:H,8,0)</f>
        <v>3</v>
      </c>
      <c r="Q11" s="12">
        <f t="shared" si="3"/>
        <v>2</v>
      </c>
      <c r="R11" s="1">
        <f>VLOOKUP(A:A,MASTER!A:B,2,0)</f>
        <v>364</v>
      </c>
      <c r="S11">
        <f>VLOOKUP(A:A,MASTER!A:G,7,0)</f>
        <v>380</v>
      </c>
      <c r="T11" s="12">
        <f t="shared" si="4"/>
        <v>4.3956043956044022E-2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2031521.206300766</v>
      </c>
      <c r="G12" s="1">
        <f>VLOOKUP(A:A,MASTER!A:K,11,0)</f>
        <v>2052632.9257800761</v>
      </c>
      <c r="H12" s="12">
        <f t="shared" si="0"/>
        <v>1.0392074379451222E-2</v>
      </c>
      <c r="I12" s="2">
        <f>VLOOKUP(A:A,MASTER!A:E,5,0)</f>
        <v>254</v>
      </c>
      <c r="J12" s="2">
        <f>VLOOKUP(A:A,MASTER!A:J,10,0)</f>
        <v>222</v>
      </c>
      <c r="K12" s="12">
        <f t="shared" si="1"/>
        <v>-0.12598425196850394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0</v>
      </c>
      <c r="Q12" s="12">
        <f t="shared" si="3"/>
        <v>0</v>
      </c>
      <c r="R12" s="1">
        <f>VLOOKUP(A:A,MASTER!A:B,2,0)</f>
        <v>196</v>
      </c>
      <c r="S12">
        <f>VLOOKUP(A:A,MASTER!A:G,7,0)</f>
        <v>241</v>
      </c>
      <c r="T12" s="12">
        <f t="shared" si="4"/>
        <v>0.22959183673469385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2142854.9488816219</v>
      </c>
      <c r="G13" s="1">
        <f>VLOOKUP(A:A,MASTER!A:K,11,0)</f>
        <v>2234484.0068360409</v>
      </c>
      <c r="H13" s="12">
        <f t="shared" si="0"/>
        <v>4.276027082572309E-2</v>
      </c>
      <c r="I13" s="2">
        <f>VLOOKUP(A:A,MASTER!A:E,5,0)</f>
        <v>231</v>
      </c>
      <c r="J13" s="2">
        <f>VLOOKUP(A:A,MASTER!A:J,10,0)</f>
        <v>193</v>
      </c>
      <c r="K13" s="12">
        <f t="shared" si="1"/>
        <v>-0.16450216450216448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0</v>
      </c>
      <c r="P13" s="1">
        <f>VLOOKUP(A:A,MASTER!A:H,8,0)</f>
        <v>0</v>
      </c>
      <c r="Q13" s="12">
        <f t="shared" si="3"/>
        <v>0</v>
      </c>
      <c r="R13" s="1">
        <f>VLOOKUP(A:A,MASTER!A:B,2,0)</f>
        <v>237</v>
      </c>
      <c r="S13">
        <f>VLOOKUP(A:A,MASTER!A:G,7,0)</f>
        <v>248</v>
      </c>
      <c r="T13" s="12">
        <f t="shared" si="4"/>
        <v>4.6413502109704741E-2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6356004.4309599204</v>
      </c>
      <c r="G14" s="1">
        <f>VLOOKUP(A:A,MASTER!A:K,11,0)</f>
        <v>12901781.185136851</v>
      </c>
      <c r="H14" s="12">
        <f t="shared" si="0"/>
        <v>1.0298571728950714</v>
      </c>
      <c r="I14" s="2">
        <f>VLOOKUP(A:A,MASTER!A:E,5,0)</f>
        <v>821</v>
      </c>
      <c r="J14" s="2">
        <f>VLOOKUP(A:A,MASTER!A:J,10,0)</f>
        <v>1234</v>
      </c>
      <c r="K14" s="12">
        <f t="shared" si="1"/>
        <v>0.50304506699147389</v>
      </c>
      <c r="L14" s="2">
        <f>VLOOKUP(A:A,MASTER!A:D,4,0)</f>
        <v>2</v>
      </c>
      <c r="M14" s="2">
        <f>VLOOKUP(A:A,MASTER!A:I,9,0)</f>
        <v>5</v>
      </c>
      <c r="N14" s="12">
        <f t="shared" si="2"/>
        <v>1.5</v>
      </c>
      <c r="O14" s="1">
        <f>VLOOKUP(A:A,MASTER!A:C,3,0)</f>
        <v>2</v>
      </c>
      <c r="P14" s="1">
        <f>VLOOKUP(A:A,MASTER!A:H,8,0)</f>
        <v>1</v>
      </c>
      <c r="Q14" s="12">
        <f t="shared" si="3"/>
        <v>-0.5</v>
      </c>
      <c r="R14" s="1">
        <f>VLOOKUP(A:A,MASTER!A:B,2,0)</f>
        <v>1435</v>
      </c>
      <c r="S14">
        <f>VLOOKUP(A:A,MASTER!A:G,7,0)</f>
        <v>1329</v>
      </c>
      <c r="T14" s="12">
        <f t="shared" si="4"/>
        <v>-7.3867595818815301E-2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14370660.886619667</v>
      </c>
      <c r="G15" s="1">
        <f>VLOOKUP(A:A,MASTER!A:K,11,0)</f>
        <v>18976710.322423328</v>
      </c>
      <c r="H15" s="12">
        <f t="shared" si="0"/>
        <v>0.32051757898568844</v>
      </c>
      <c r="I15" s="2">
        <f>VLOOKUP(A:A,MASTER!A:E,5,0)</f>
        <v>908</v>
      </c>
      <c r="J15" s="2">
        <f>VLOOKUP(A:A,MASTER!A:J,10,0)</f>
        <v>920</v>
      </c>
      <c r="K15" s="12">
        <f t="shared" si="1"/>
        <v>1.3215859030837107E-2</v>
      </c>
      <c r="L15" s="2">
        <f>VLOOKUP(A:A,MASTER!A:D,4,0)</f>
        <v>3</v>
      </c>
      <c r="M15" s="2">
        <f>VLOOKUP(A:A,MASTER!A:I,9,0)</f>
        <v>2</v>
      </c>
      <c r="N15" s="12">
        <f t="shared" si="2"/>
        <v>-0.33333333333333337</v>
      </c>
      <c r="O15" s="1">
        <f>VLOOKUP(A:A,MASTER!A:C,3,0)</f>
        <v>1</v>
      </c>
      <c r="P15" s="1">
        <f>VLOOKUP(A:A,MASTER!A:H,8,0)</f>
        <v>0</v>
      </c>
      <c r="Q15" s="12">
        <f t="shared" si="3"/>
        <v>-1</v>
      </c>
      <c r="R15" s="1">
        <f>VLOOKUP(A:A,MASTER!A:B,2,0)</f>
        <v>1235</v>
      </c>
      <c r="S15">
        <f>VLOOKUP(A:A,MASTER!A:G,7,0)</f>
        <v>1225</v>
      </c>
      <c r="T15" s="12">
        <f t="shared" si="4"/>
        <v>-8.0971659919027994E-3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8840990.7895986866</v>
      </c>
      <c r="G16" s="1">
        <f>VLOOKUP(A:A,MASTER!A:K,11,0)</f>
        <v>8829530.6657558288</v>
      </c>
      <c r="H16" s="12">
        <f t="shared" si="0"/>
        <v>-1.296248815951806E-3</v>
      </c>
      <c r="I16" s="2">
        <f>VLOOKUP(A:A,MASTER!A:E,5,0)</f>
        <v>951</v>
      </c>
      <c r="J16" s="2">
        <f>VLOOKUP(A:A,MASTER!A:J,10,0)</f>
        <v>917</v>
      </c>
      <c r="K16" s="12">
        <f t="shared" si="1"/>
        <v>-3.5751840168243953E-2</v>
      </c>
      <c r="L16" s="2">
        <f>VLOOKUP(A:A,MASTER!A:D,4,0)</f>
        <v>4</v>
      </c>
      <c r="M16" s="2">
        <f>VLOOKUP(A:A,MASTER!A:I,9,0)</f>
        <v>6</v>
      </c>
      <c r="N16" s="12">
        <f t="shared" si="2"/>
        <v>0.5</v>
      </c>
      <c r="O16" s="1">
        <f>VLOOKUP(A:A,MASTER!A:C,3,0)</f>
        <v>1</v>
      </c>
      <c r="P16" s="1">
        <f>VLOOKUP(A:A,MASTER!A:H,8,0)</f>
        <v>2</v>
      </c>
      <c r="Q16" s="12">
        <f t="shared" si="3"/>
        <v>1</v>
      </c>
      <c r="R16" s="1">
        <f>VLOOKUP(A:A,MASTER!A:B,2,0)</f>
        <v>1027</v>
      </c>
      <c r="S16">
        <f>VLOOKUP(A:A,MASTER!A:G,7,0)</f>
        <v>1011</v>
      </c>
      <c r="T16" s="12">
        <f t="shared" si="4"/>
        <v>-1.5579357351509282E-2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5804182.906880972</v>
      </c>
      <c r="G17" s="1">
        <f>VLOOKUP(A:A,MASTER!A:K,11,0)</f>
        <v>8282746.7852738705</v>
      </c>
      <c r="H17" s="12">
        <f t="shared" si="0"/>
        <v>0.42703062914411483</v>
      </c>
      <c r="I17" s="2">
        <f>VLOOKUP(A:A,MASTER!A:E,5,0)</f>
        <v>735</v>
      </c>
      <c r="J17" s="2">
        <f>VLOOKUP(A:A,MASTER!A:J,10,0)</f>
        <v>674</v>
      </c>
      <c r="K17" s="12">
        <f t="shared" si="1"/>
        <v>-8.2993197278911524E-2</v>
      </c>
      <c r="L17" s="2">
        <f>VLOOKUP(A:A,MASTER!A:D,4,0)</f>
        <v>4</v>
      </c>
      <c r="M17" s="2">
        <f>VLOOKUP(A:A,MASTER!A:I,9,0)</f>
        <v>3</v>
      </c>
      <c r="N17" s="12">
        <f t="shared" si="2"/>
        <v>-0.25</v>
      </c>
      <c r="O17" s="1">
        <f>VLOOKUP(A:A,MASTER!A:C,3,0)</f>
        <v>2</v>
      </c>
      <c r="P17" s="1">
        <f>VLOOKUP(A:A,MASTER!A:H,8,0)</f>
        <v>0</v>
      </c>
      <c r="Q17" s="12">
        <f t="shared" si="3"/>
        <v>-1</v>
      </c>
      <c r="R17" s="1">
        <f>VLOOKUP(A:A,MASTER!A:B,2,0)</f>
        <v>920</v>
      </c>
      <c r="S17">
        <f>VLOOKUP(A:A,MASTER!A:G,7,0)</f>
        <v>917</v>
      </c>
      <c r="T17" s="12">
        <f t="shared" si="4"/>
        <v>-3.260869565217428E-3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32284728.169091083</v>
      </c>
      <c r="G18" s="1">
        <f>VLOOKUP(A:A,MASTER!A:K,11,0)</f>
        <v>31109992.264753956</v>
      </c>
      <c r="H18" s="12">
        <f t="shared" si="0"/>
        <v>-3.6386736731511382E-2</v>
      </c>
      <c r="I18" s="2">
        <f>VLOOKUP(A:A,MASTER!A:E,5,0)</f>
        <v>2842</v>
      </c>
      <c r="J18" s="2">
        <f>VLOOKUP(A:A,MASTER!A:J,10,0)</f>
        <v>2221</v>
      </c>
      <c r="K18" s="12">
        <f t="shared" si="1"/>
        <v>-0.21850809289232931</v>
      </c>
      <c r="L18" s="2">
        <f>VLOOKUP(A:A,MASTER!A:D,4,0)</f>
        <v>9</v>
      </c>
      <c r="M18" s="2">
        <f>VLOOKUP(A:A,MASTER!A:I,9,0)</f>
        <v>11</v>
      </c>
      <c r="N18" s="12">
        <f t="shared" si="2"/>
        <v>0.22222222222222232</v>
      </c>
      <c r="O18" s="1">
        <f>VLOOKUP(A:A,MASTER!A:C,3,0)</f>
        <v>162</v>
      </c>
      <c r="P18" s="1">
        <f>VLOOKUP(A:A,MASTER!A:H,8,0)</f>
        <v>5</v>
      </c>
      <c r="Q18" s="12">
        <f t="shared" si="3"/>
        <v>-0.96913580246913578</v>
      </c>
      <c r="R18" s="1">
        <f>VLOOKUP(A:A,MASTER!A:B,2,0)</f>
        <v>2983</v>
      </c>
      <c r="S18">
        <f>VLOOKUP(A:A,MASTER!A:G,7,0)</f>
        <v>2658</v>
      </c>
      <c r="T18" s="12">
        <f t="shared" si="4"/>
        <v>-0.10895072075092194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8067093.6379076932</v>
      </c>
      <c r="G19" s="1">
        <f>VLOOKUP(A:A,MASTER!A:K,11,0)</f>
        <v>16247161.792461479</v>
      </c>
      <c r="H19" s="12">
        <f t="shared" si="0"/>
        <v>1.0140043641138887</v>
      </c>
      <c r="I19" s="2">
        <f>VLOOKUP(A:A,MASTER!A:E,5,0)</f>
        <v>35</v>
      </c>
      <c r="J19" s="2">
        <f>VLOOKUP(A:A,MASTER!A:J,10,0)</f>
        <v>1199</v>
      </c>
      <c r="K19" s="12">
        <f t="shared" si="1"/>
        <v>33.25714285714286</v>
      </c>
      <c r="L19" s="2">
        <f>VLOOKUP(A:A,MASTER!A:D,4,0)</f>
        <v>1</v>
      </c>
      <c r="M19" s="2">
        <f>VLOOKUP(A:A,MASTER!A:I,9,0)</f>
        <v>2</v>
      </c>
      <c r="N19" s="12">
        <f t="shared" si="2"/>
        <v>1</v>
      </c>
      <c r="O19" s="1">
        <f>VLOOKUP(A:A,MASTER!A:C,3,0)</f>
        <v>2</v>
      </c>
      <c r="P19" s="1">
        <f>VLOOKUP(A:A,MASTER!A:H,8,0)</f>
        <v>4</v>
      </c>
      <c r="Q19" s="12">
        <f t="shared" si="3"/>
        <v>1</v>
      </c>
      <c r="R19" s="1">
        <f>VLOOKUP(A:A,MASTER!A:B,2,0)</f>
        <v>1396</v>
      </c>
      <c r="S19">
        <f>VLOOKUP(A:A,MASTER!A:G,7,0)</f>
        <v>1314</v>
      </c>
      <c r="T19" s="12">
        <f t="shared" si="4"/>
        <v>-5.8739255014326641E-2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32181846.518697735</v>
      </c>
      <c r="G20" s="1">
        <f>VLOOKUP(A:A,MASTER!A:K,11,0)</f>
        <v>34422271.915666483</v>
      </c>
      <c r="H20" s="12">
        <f t="shared" si="0"/>
        <v>6.9617677023817048E-2</v>
      </c>
      <c r="I20" s="2">
        <f>VLOOKUP(A:A,MASTER!A:E,5,0)</f>
        <v>2226</v>
      </c>
      <c r="J20" s="2">
        <f>VLOOKUP(A:A,MASTER!A:J,10,0)</f>
        <v>2149</v>
      </c>
      <c r="K20" s="12">
        <f t="shared" si="1"/>
        <v>-3.4591194968553451E-2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8</v>
      </c>
      <c r="P20" s="1">
        <f>VLOOKUP(A:A,MASTER!A:H,8,0)</f>
        <v>3</v>
      </c>
      <c r="Q20" s="12">
        <f t="shared" si="3"/>
        <v>-0.625</v>
      </c>
      <c r="R20" s="1">
        <f>VLOOKUP(A:A,MASTER!A:B,2,0)</f>
        <v>2965</v>
      </c>
      <c r="S20">
        <f>VLOOKUP(A:A,MASTER!A:G,7,0)</f>
        <v>2755</v>
      </c>
      <c r="T20" s="12">
        <f t="shared" si="4"/>
        <v>-7.0826306913996606E-2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4942157.1850331565</v>
      </c>
      <c r="G21" s="1">
        <f>VLOOKUP(A:A,MASTER!A:K,11,0)</f>
        <v>4605732.3168983553</v>
      </c>
      <c r="H21" s="12">
        <f t="shared" si="0"/>
        <v>-6.8072474334412325E-2</v>
      </c>
      <c r="I21" s="2">
        <f>VLOOKUP(A:A,MASTER!A:E,5,0)</f>
        <v>480</v>
      </c>
      <c r="J21" s="2">
        <f>VLOOKUP(A:A,MASTER!A:J,10,0)</f>
        <v>502</v>
      </c>
      <c r="K21" s="12">
        <f t="shared" si="1"/>
        <v>4.5833333333333393E-2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3</v>
      </c>
      <c r="P21" s="1">
        <f>VLOOKUP(A:A,MASTER!A:H,8,0)</f>
        <v>1</v>
      </c>
      <c r="Q21" s="12">
        <f t="shared" si="3"/>
        <v>-0.66666666666666674</v>
      </c>
      <c r="R21" s="1">
        <f>VLOOKUP(A:A,MASTER!A:B,2,0)</f>
        <v>534</v>
      </c>
      <c r="S21">
        <f>VLOOKUP(A:A,MASTER!A:G,7,0)</f>
        <v>502</v>
      </c>
      <c r="T21" s="12">
        <f t="shared" si="4"/>
        <v>-5.9925093632958837E-2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12967047.909086267</v>
      </c>
      <c r="G22" s="1">
        <f>VLOOKUP(A:A,MASTER!A:K,11,0)</f>
        <v>11949766.539238809</v>
      </c>
      <c r="H22" s="12">
        <f t="shared" si="0"/>
        <v>-7.8451269477814556E-2</v>
      </c>
      <c r="I22" s="2">
        <f>VLOOKUP(A:A,MASTER!A:E,5,0)</f>
        <v>1284</v>
      </c>
      <c r="J22" s="2">
        <f>VLOOKUP(A:A,MASTER!A:J,10,0)</f>
        <v>1466</v>
      </c>
      <c r="K22" s="12">
        <f t="shared" si="1"/>
        <v>0.14174454828660443</v>
      </c>
      <c r="L22" s="2">
        <f>VLOOKUP(A:A,MASTER!A:D,4,0)</f>
        <v>1</v>
      </c>
      <c r="M22" s="2">
        <f>VLOOKUP(A:A,MASTER!A:I,9,0)</f>
        <v>1</v>
      </c>
      <c r="N22" s="12">
        <f t="shared" si="2"/>
        <v>0</v>
      </c>
      <c r="O22" s="1">
        <f>VLOOKUP(A:A,MASTER!A:C,3,0)</f>
        <v>7</v>
      </c>
      <c r="P22" s="1">
        <f>VLOOKUP(A:A,MASTER!A:H,8,0)</f>
        <v>6</v>
      </c>
      <c r="Q22" s="12">
        <f t="shared" si="3"/>
        <v>-0.1428571428571429</v>
      </c>
      <c r="R22" s="1">
        <f>VLOOKUP(A:A,MASTER!A:B,2,0)</f>
        <v>1740</v>
      </c>
      <c r="S22">
        <f>VLOOKUP(A:A,MASTER!A:G,7,0)</f>
        <v>1794</v>
      </c>
      <c r="T22" s="12">
        <f t="shared" si="4"/>
        <v>3.1034482758620641E-2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5353152.1164340228</v>
      </c>
      <c r="G23" s="1">
        <f>VLOOKUP(A:A,MASTER!A:K,11,0)</f>
        <v>6009983.4481161283</v>
      </c>
      <c r="H23" s="12">
        <f t="shared" si="0"/>
        <v>0.12269991911226508</v>
      </c>
      <c r="I23" s="2">
        <f>VLOOKUP(A:A,MASTER!A:E,5,0)</f>
        <v>735</v>
      </c>
      <c r="J23" s="2">
        <f>VLOOKUP(A:A,MASTER!A:J,10,0)</f>
        <v>931</v>
      </c>
      <c r="K23" s="12">
        <f t="shared" si="1"/>
        <v>0.26666666666666661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4</v>
      </c>
      <c r="P23" s="1">
        <f>VLOOKUP(A:A,MASTER!A:H,8,0)</f>
        <v>3</v>
      </c>
      <c r="Q23" s="12">
        <f t="shared" si="3"/>
        <v>-0.25</v>
      </c>
      <c r="R23" s="1">
        <f>VLOOKUP(A:A,MASTER!A:B,2,0)</f>
        <v>876</v>
      </c>
      <c r="S23">
        <f>VLOOKUP(A:A,MASTER!A:G,7,0)</f>
        <v>857</v>
      </c>
      <c r="T23" s="12">
        <f t="shared" si="4"/>
        <v>-2.168949771689499E-2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6931291.0654497696</v>
      </c>
      <c r="G24" s="1">
        <f>VLOOKUP(A:A,MASTER!A:K,11,0)</f>
        <v>7566521.4592337711</v>
      </c>
      <c r="H24" s="12">
        <f t="shared" si="0"/>
        <v>9.1646763609512627E-2</v>
      </c>
      <c r="I24" s="2">
        <f>VLOOKUP(A:A,MASTER!A:E,5,0)</f>
        <v>830</v>
      </c>
      <c r="J24" s="2">
        <f>VLOOKUP(A:A,MASTER!A:J,10,0)</f>
        <v>760</v>
      </c>
      <c r="K24" s="12">
        <f t="shared" si="1"/>
        <v>-8.4337349397590411E-2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4</v>
      </c>
      <c r="P24" s="1">
        <f>VLOOKUP(A:A,MASTER!A:H,8,0)</f>
        <v>1</v>
      </c>
      <c r="Q24" s="12">
        <f t="shared" si="3"/>
        <v>-0.75</v>
      </c>
      <c r="R24" s="1">
        <f>VLOOKUP(A:A,MASTER!A:B,2,0)</f>
        <v>877</v>
      </c>
      <c r="S24">
        <f>VLOOKUP(A:A,MASTER!A:G,7,0)</f>
        <v>889</v>
      </c>
      <c r="T24" s="12">
        <f t="shared" si="4"/>
        <v>1.36830102622576E-2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1583341.4035137731</v>
      </c>
      <c r="G25" s="1">
        <f>VLOOKUP(A:A,MASTER!A:K,11,0)</f>
        <v>2005565.109755398</v>
      </c>
      <c r="H25" s="12">
        <f t="shared" si="0"/>
        <v>0.26666624475594469</v>
      </c>
      <c r="I25" s="2">
        <f>VLOOKUP(A:A,MASTER!A:E,5,0)</f>
        <v>149</v>
      </c>
      <c r="J25" s="2">
        <f>VLOOKUP(A:A,MASTER!A:J,10,0)</f>
        <v>188</v>
      </c>
      <c r="K25" s="12">
        <f t="shared" si="1"/>
        <v>0.26174496644295298</v>
      </c>
      <c r="L25" s="2">
        <f>VLOOKUP(A:A,MASTER!A:D,4,0)</f>
        <v>0</v>
      </c>
      <c r="M25" s="2">
        <f>VLOOKUP(A:A,MASTER!A:I,9,0)</f>
        <v>0</v>
      </c>
      <c r="N25" s="12">
        <f t="shared" si="2"/>
        <v>0</v>
      </c>
      <c r="O25" s="1">
        <f>VLOOKUP(A:A,MASTER!A:C,3,0)</f>
        <v>1</v>
      </c>
      <c r="P25" s="1">
        <f>VLOOKUP(A:A,MASTER!A:H,8,0)</f>
        <v>0</v>
      </c>
      <c r="Q25" s="12">
        <f t="shared" si="3"/>
        <v>-1</v>
      </c>
      <c r="R25" s="1">
        <f>VLOOKUP(A:A,MASTER!A:B,2,0)</f>
        <v>236</v>
      </c>
      <c r="S25">
        <f>VLOOKUP(A:A,MASTER!A:G,7,0)</f>
        <v>213</v>
      </c>
      <c r="T25" s="12">
        <f t="shared" si="4"/>
        <v>-9.745762711864403E-2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12555795.183504999</v>
      </c>
      <c r="G26" s="1">
        <f>VLOOKUP(A:A,MASTER!A:K,11,0)</f>
        <v>12868155.151391428</v>
      </c>
      <c r="H26" s="12">
        <f t="shared" si="0"/>
        <v>2.4877752728619473E-2</v>
      </c>
      <c r="I26" s="2">
        <f>VLOOKUP(A:A,MASTER!A:E,5,0)</f>
        <v>1321</v>
      </c>
      <c r="J26" s="2">
        <f>VLOOKUP(A:A,MASTER!A:J,10,0)</f>
        <v>1439</v>
      </c>
      <c r="K26" s="12">
        <f t="shared" si="1"/>
        <v>8.9326267978803831E-2</v>
      </c>
      <c r="L26" s="2">
        <f>VLOOKUP(A:A,MASTER!A:D,4,0)</f>
        <v>6</v>
      </c>
      <c r="M26" s="2">
        <f>VLOOKUP(A:A,MASTER!A:I,9,0)</f>
        <v>6</v>
      </c>
      <c r="N26" s="12">
        <f t="shared" si="2"/>
        <v>0</v>
      </c>
      <c r="O26" s="1">
        <f>VLOOKUP(A:A,MASTER!A:C,3,0)</f>
        <v>7</v>
      </c>
      <c r="P26" s="1">
        <f>VLOOKUP(A:A,MASTER!A:H,8,0)</f>
        <v>2</v>
      </c>
      <c r="Q26" s="12">
        <f t="shared" si="3"/>
        <v>-0.7142857142857143</v>
      </c>
      <c r="R26" s="1">
        <f>VLOOKUP(A:A,MASTER!A:B,2,0)</f>
        <v>1646</v>
      </c>
      <c r="S26">
        <f>VLOOKUP(A:A,MASTER!A:G,7,0)</f>
        <v>1613</v>
      </c>
      <c r="T26" s="12">
        <f t="shared" si="4"/>
        <v>-2.0048602673147009E-2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9590753.6637684051</v>
      </c>
      <c r="G27" s="1">
        <f>VLOOKUP(A:A,MASTER!A:K,11,0)</f>
        <v>10439418.903218428</v>
      </c>
      <c r="H27" s="12">
        <f t="shared" si="0"/>
        <v>8.8487857075933318E-2</v>
      </c>
      <c r="I27" s="2">
        <f>VLOOKUP(A:A,MASTER!A:E,5,0)</f>
        <v>653</v>
      </c>
      <c r="J27" s="2">
        <f>VLOOKUP(A:A,MASTER!A:J,10,0)</f>
        <v>693</v>
      </c>
      <c r="K27" s="12">
        <f t="shared" si="1"/>
        <v>6.1255742725880635E-2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0</v>
      </c>
      <c r="P27" s="1">
        <f>VLOOKUP(A:A,MASTER!A:H,8,0)</f>
        <v>2</v>
      </c>
      <c r="Q27" s="12">
        <f t="shared" si="3"/>
        <v>0</v>
      </c>
      <c r="R27" s="1">
        <f>VLOOKUP(A:A,MASTER!A:B,2,0)</f>
        <v>874</v>
      </c>
      <c r="S27">
        <f>VLOOKUP(A:A,MASTER!A:G,7,0)</f>
        <v>898</v>
      </c>
      <c r="T27" s="12">
        <f t="shared" si="4"/>
        <v>2.7459954233409523E-2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9145571.4801380727</v>
      </c>
      <c r="G28" s="1">
        <f>VLOOKUP(A:A,MASTER!A:K,11,0)</f>
        <v>10834047.362200912</v>
      </c>
      <c r="H28" s="12">
        <f t="shared" si="0"/>
        <v>0.18462223883218165</v>
      </c>
      <c r="I28" s="2">
        <f>VLOOKUP(A:A,MASTER!A:E,5,0)</f>
        <v>786</v>
      </c>
      <c r="J28" s="2">
        <f>VLOOKUP(A:A,MASTER!A:J,10,0)</f>
        <v>685</v>
      </c>
      <c r="K28" s="12">
        <f t="shared" si="1"/>
        <v>-0.12849872773536897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1</v>
      </c>
      <c r="P28" s="1">
        <f>VLOOKUP(A:A,MASTER!A:H,8,0)</f>
        <v>1</v>
      </c>
      <c r="Q28" s="12">
        <f t="shared" si="3"/>
        <v>0</v>
      </c>
      <c r="R28" s="1">
        <f>VLOOKUP(A:A,MASTER!A:B,2,0)</f>
        <v>1058</v>
      </c>
      <c r="S28">
        <f>VLOOKUP(A:A,MASTER!A:G,7,0)</f>
        <v>1005</v>
      </c>
      <c r="T28" s="12">
        <f t="shared" si="4"/>
        <v>-5.0094517958412133E-2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13434950.996699873</v>
      </c>
      <c r="G29" s="1">
        <f>VLOOKUP(A:A,MASTER!A:K,11,0)</f>
        <v>14669616.438881228</v>
      </c>
      <c r="H29" s="12">
        <f t="shared" si="0"/>
        <v>9.1899512137010086E-2</v>
      </c>
      <c r="I29" s="2">
        <f>VLOOKUP(A:A,MASTER!A:E,5,0)</f>
        <v>905</v>
      </c>
      <c r="J29" s="2">
        <f>VLOOKUP(A:A,MASTER!A:J,10,0)</f>
        <v>1067</v>
      </c>
      <c r="K29" s="12">
        <f t="shared" si="1"/>
        <v>0.17900552486187848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1</v>
      </c>
      <c r="P29" s="1">
        <f>VLOOKUP(A:A,MASTER!A:H,8,0)</f>
        <v>1</v>
      </c>
      <c r="Q29" s="12">
        <f t="shared" si="3"/>
        <v>0</v>
      </c>
      <c r="R29" s="1">
        <f>VLOOKUP(A:A,MASTER!A:B,2,0)</f>
        <v>1108</v>
      </c>
      <c r="S29">
        <f>VLOOKUP(A:A,MASTER!A:G,7,0)</f>
        <v>1139</v>
      </c>
      <c r="T29" s="12">
        <f t="shared" si="4"/>
        <v>2.7978339350180459E-2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18890396.002645239</v>
      </c>
      <c r="G30" s="1">
        <f>VLOOKUP(A:A,MASTER!A:K,11,0)</f>
        <v>20166344.587435991</v>
      </c>
      <c r="H30" s="12">
        <f t="shared" si="0"/>
        <v>6.7544829902564274E-2</v>
      </c>
      <c r="I30" s="2">
        <f>VLOOKUP(A:A,MASTER!A:E,5,0)</f>
        <v>1110</v>
      </c>
      <c r="J30" s="2">
        <f>VLOOKUP(A:A,MASTER!A:J,10,0)</f>
        <v>1230</v>
      </c>
      <c r="K30" s="12">
        <f t="shared" si="1"/>
        <v>0.10810810810810811</v>
      </c>
      <c r="L30" s="2">
        <f>VLOOKUP(A:A,MASTER!A:D,4,0)</f>
        <v>5</v>
      </c>
      <c r="M30" s="2">
        <f>VLOOKUP(A:A,MASTER!A:I,9,0)</f>
        <v>2</v>
      </c>
      <c r="N30" s="12">
        <f t="shared" si="2"/>
        <v>-0.6</v>
      </c>
      <c r="O30" s="1">
        <f>VLOOKUP(A:A,MASTER!A:C,3,0)</f>
        <v>1</v>
      </c>
      <c r="P30" s="1">
        <f>VLOOKUP(A:A,MASTER!A:H,8,0)</f>
        <v>0</v>
      </c>
      <c r="Q30" s="12">
        <f t="shared" si="3"/>
        <v>-1</v>
      </c>
      <c r="R30" s="1">
        <f>VLOOKUP(A:A,MASTER!A:B,2,0)</f>
        <v>1471</v>
      </c>
      <c r="S30">
        <f>VLOOKUP(A:A,MASTER!A:G,7,0)</f>
        <v>1408</v>
      </c>
      <c r="T30" s="12">
        <f t="shared" si="4"/>
        <v>-4.2828008157715813E-2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7666931.9883213611</v>
      </c>
      <c r="G31" s="1">
        <f>VLOOKUP(A:A,MASTER!A:K,11,0)</f>
        <v>6976577.9504256118</v>
      </c>
      <c r="H31" s="12">
        <f t="shared" si="0"/>
        <v>-9.0043062720176703E-2</v>
      </c>
      <c r="I31" s="2">
        <f>VLOOKUP(A:A,MASTER!A:E,5,0)</f>
        <v>518</v>
      </c>
      <c r="J31" s="2">
        <f>VLOOKUP(A:A,MASTER!A:J,10,0)</f>
        <v>432</v>
      </c>
      <c r="K31" s="12">
        <f t="shared" si="1"/>
        <v>-0.16602316602316602</v>
      </c>
      <c r="L31" s="2">
        <f>VLOOKUP(A:A,MASTER!A:D,4,0)</f>
        <v>5</v>
      </c>
      <c r="M31" s="2">
        <f>VLOOKUP(A:A,MASTER!A:I,9,0)</f>
        <v>5</v>
      </c>
      <c r="N31" s="12">
        <f t="shared" si="2"/>
        <v>0</v>
      </c>
      <c r="O31" s="1">
        <f>VLOOKUP(A:A,MASTER!A:C,3,0)</f>
        <v>0</v>
      </c>
      <c r="P31" s="1">
        <f>VLOOKUP(A:A,MASTER!A:H,8,0)</f>
        <v>0</v>
      </c>
      <c r="Q31" s="12">
        <f t="shared" si="3"/>
        <v>0</v>
      </c>
      <c r="R31" s="1">
        <f>VLOOKUP(A:A,MASTER!A:B,2,0)</f>
        <v>685</v>
      </c>
      <c r="S31">
        <f>VLOOKUP(A:A,MASTER!A:G,7,0)</f>
        <v>653</v>
      </c>
      <c r="T31" s="12">
        <f t="shared" si="4"/>
        <v>-4.6715328467153316E-2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23649695.705187663</v>
      </c>
      <c r="G32" s="1">
        <f>VLOOKUP(A:A,MASTER!A:K,11,0)</f>
        <v>9268185.0562773645</v>
      </c>
      <c r="H32" s="12">
        <f t="shared" si="0"/>
        <v>-0.60810552610009494</v>
      </c>
      <c r="I32" s="2">
        <f>VLOOKUP(A:A,MASTER!A:E,5,0)</f>
        <v>3891</v>
      </c>
      <c r="J32" s="2">
        <f>VLOOKUP(A:A,MASTER!A:J,10,0)</f>
        <v>1588</v>
      </c>
      <c r="K32" s="12">
        <f t="shared" si="1"/>
        <v>-0.59187869442302743</v>
      </c>
      <c r="L32" s="2">
        <f>VLOOKUP(A:A,MASTER!A:D,4,0)</f>
        <v>12</v>
      </c>
      <c r="M32" s="2">
        <f>VLOOKUP(A:A,MASTER!A:I,9,0)</f>
        <v>4</v>
      </c>
      <c r="N32" s="12">
        <f t="shared" si="2"/>
        <v>-0.66666666666666674</v>
      </c>
      <c r="O32" s="1">
        <f>VLOOKUP(A:A,MASTER!A:C,3,0)</f>
        <v>2</v>
      </c>
      <c r="P32" s="1">
        <f>VLOOKUP(A:A,MASTER!A:H,8,0)</f>
        <v>2</v>
      </c>
      <c r="Q32" s="12">
        <f t="shared" si="3"/>
        <v>0</v>
      </c>
      <c r="R32" s="1">
        <f>VLOOKUP(A:A,MASTER!A:B,2,0)</f>
        <v>1937</v>
      </c>
      <c r="S32">
        <f>VLOOKUP(A:A,MASTER!A:G,7,0)</f>
        <v>1818</v>
      </c>
      <c r="T32" s="12">
        <f t="shared" si="4"/>
        <v>-6.1435209086215803E-2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7840225.4447971452</v>
      </c>
      <c r="G33" s="1">
        <f>VLOOKUP(A:A,MASTER!A:K,11,0)</f>
        <v>8459772.7212055922</v>
      </c>
      <c r="H33" s="12">
        <f t="shared" si="0"/>
        <v>7.902161497404192E-2</v>
      </c>
      <c r="I33" s="2">
        <f>VLOOKUP(A:A,MASTER!A:E,5,0)</f>
        <v>682</v>
      </c>
      <c r="J33" s="2">
        <f>VLOOKUP(A:A,MASTER!A:J,10,0)</f>
        <v>731</v>
      </c>
      <c r="K33" s="12">
        <f t="shared" si="1"/>
        <v>7.1847507331378235E-2</v>
      </c>
      <c r="L33" s="2">
        <f>VLOOKUP(A:A,MASTER!A:D,4,0)</f>
        <v>2</v>
      </c>
      <c r="M33" s="2">
        <f>VLOOKUP(A:A,MASTER!A:I,9,0)</f>
        <v>2</v>
      </c>
      <c r="N33" s="12">
        <f t="shared" si="2"/>
        <v>0</v>
      </c>
      <c r="O33" s="1">
        <f>VLOOKUP(A:A,MASTER!A:C,3,0)</f>
        <v>1</v>
      </c>
      <c r="P33" s="1">
        <f>VLOOKUP(A:A,MASTER!A:H,8,0)</f>
        <v>1</v>
      </c>
      <c r="Q33" s="12">
        <f t="shared" si="3"/>
        <v>0</v>
      </c>
      <c r="R33" s="1">
        <f>VLOOKUP(A:A,MASTER!A:B,2,0)</f>
        <v>837</v>
      </c>
      <c r="S33">
        <f>VLOOKUP(A:A,MASTER!A:G,7,0)</f>
        <v>853</v>
      </c>
      <c r="T33" s="12">
        <f t="shared" si="4"/>
        <v>1.9115890083632125E-2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7543377.6056520082</v>
      </c>
      <c r="G34" s="1">
        <f>VLOOKUP(A:A,MASTER!A:K,11,0)</f>
        <v>7211263.4578749426</v>
      </c>
      <c r="H34" s="12">
        <f t="shared" si="0"/>
        <v>-4.4027246830149802E-2</v>
      </c>
      <c r="I34" s="2">
        <f>VLOOKUP(A:A,MASTER!A:E,5,0)</f>
        <v>552</v>
      </c>
      <c r="J34" s="2">
        <f>VLOOKUP(A:A,MASTER!A:J,10,0)</f>
        <v>619</v>
      </c>
      <c r="K34" s="12">
        <f t="shared" si="1"/>
        <v>0.12137681159420288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0</v>
      </c>
      <c r="P34" s="1">
        <f>VLOOKUP(A:A,MASTER!A:H,8,0)</f>
        <v>0</v>
      </c>
      <c r="Q34" s="12">
        <f t="shared" si="3"/>
        <v>0</v>
      </c>
      <c r="R34" s="1">
        <f>VLOOKUP(A:A,MASTER!A:B,2,0)</f>
        <v>711</v>
      </c>
      <c r="S34">
        <f>VLOOKUP(A:A,MASTER!A:G,7,0)</f>
        <v>705</v>
      </c>
      <c r="T34" s="12">
        <f t="shared" si="4"/>
        <v>-8.4388185654008518E-3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11591083.135258893</v>
      </c>
      <c r="G35" s="1">
        <f>VLOOKUP(A:A,MASTER!A:K,11,0)</f>
        <v>12915624.835582957</v>
      </c>
      <c r="H35" s="12">
        <f t="shared" si="0"/>
        <v>0.11427247004164287</v>
      </c>
      <c r="I35" s="2">
        <f>VLOOKUP(A:A,MASTER!A:E,5,0)</f>
        <v>843</v>
      </c>
      <c r="J35" s="2">
        <f>VLOOKUP(A:A,MASTER!A:J,10,0)</f>
        <v>886</v>
      </c>
      <c r="K35" s="12">
        <f t="shared" si="1"/>
        <v>5.100830367734277E-2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5</v>
      </c>
      <c r="P35" s="1">
        <f>VLOOKUP(A:A,MASTER!A:H,8,0)</f>
        <v>3</v>
      </c>
      <c r="Q35" s="12">
        <f t="shared" si="3"/>
        <v>-0.4</v>
      </c>
      <c r="R35" s="1">
        <f>VLOOKUP(A:A,MASTER!A:B,2,0)</f>
        <v>1177</v>
      </c>
      <c r="S35">
        <f>VLOOKUP(A:A,MASTER!A:G,7,0)</f>
        <v>1200</v>
      </c>
      <c r="T35" s="12">
        <f t="shared" si="4"/>
        <v>1.954120645709434E-2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10500193.23108726</v>
      </c>
      <c r="G36" s="1">
        <f>VLOOKUP(A:A,MASTER!A:K,11,0)</f>
        <v>11914052.227019684</v>
      </c>
      <c r="H36" s="12">
        <f t="shared" si="0"/>
        <v>0.13465075973521157</v>
      </c>
      <c r="I36" s="2">
        <f>VLOOKUP(A:A,MASTER!A:E,5,0)</f>
        <v>894</v>
      </c>
      <c r="J36" s="2">
        <f>VLOOKUP(A:A,MASTER!A:J,10,0)</f>
        <v>878</v>
      </c>
      <c r="K36" s="12">
        <f t="shared" si="1"/>
        <v>-1.7897091722595126E-2</v>
      </c>
      <c r="L36" s="2">
        <f>VLOOKUP(A:A,MASTER!A:D,4,0)</f>
        <v>2</v>
      </c>
      <c r="M36" s="2">
        <f>VLOOKUP(A:A,MASTER!A:I,9,0)</f>
        <v>1</v>
      </c>
      <c r="N36" s="12">
        <f t="shared" si="2"/>
        <v>-0.5</v>
      </c>
      <c r="O36" s="1">
        <f>VLOOKUP(A:A,MASTER!A:C,3,0)</f>
        <v>120</v>
      </c>
      <c r="P36" s="1">
        <f>VLOOKUP(A:A,MASTER!A:H,8,0)</f>
        <v>2</v>
      </c>
      <c r="Q36" s="12">
        <f t="shared" si="3"/>
        <v>-0.98333333333333328</v>
      </c>
      <c r="R36" s="1">
        <f>VLOOKUP(A:A,MASTER!A:B,2,0)</f>
        <v>1408</v>
      </c>
      <c r="S36">
        <f>VLOOKUP(A:A,MASTER!A:G,7,0)</f>
        <v>1146</v>
      </c>
      <c r="T36" s="12">
        <f t="shared" si="4"/>
        <v>-0.18607954545454541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19147850.995232213</v>
      </c>
      <c r="G37" s="1">
        <f>VLOOKUP(A:A,MASTER!A:K,11,0)</f>
        <v>19701630.533466525</v>
      </c>
      <c r="H37" s="12">
        <f t="shared" si="0"/>
        <v>2.8921237081498186E-2</v>
      </c>
      <c r="I37" s="2">
        <f>VLOOKUP(A:A,MASTER!A:E,5,0)</f>
        <v>1503</v>
      </c>
      <c r="J37" s="2">
        <f>VLOOKUP(A:A,MASTER!A:J,10,0)</f>
        <v>1440</v>
      </c>
      <c r="K37" s="12">
        <f t="shared" si="1"/>
        <v>-4.1916167664670656E-2</v>
      </c>
      <c r="L37" s="2">
        <f>VLOOKUP(A:A,MASTER!A:D,4,0)</f>
        <v>5</v>
      </c>
      <c r="M37" s="2">
        <f>VLOOKUP(A:A,MASTER!A:I,9,0)</f>
        <v>4</v>
      </c>
      <c r="N37" s="12">
        <f t="shared" si="2"/>
        <v>-0.19999999999999996</v>
      </c>
      <c r="O37" s="1">
        <f>VLOOKUP(A:A,MASTER!A:C,3,0)</f>
        <v>66</v>
      </c>
      <c r="P37" s="1">
        <f>VLOOKUP(A:A,MASTER!A:H,8,0)</f>
        <v>4</v>
      </c>
      <c r="Q37" s="12">
        <f t="shared" si="3"/>
        <v>-0.93939393939393945</v>
      </c>
      <c r="R37" s="1">
        <f>VLOOKUP(A:A,MASTER!A:B,2,0)</f>
        <v>2582</v>
      </c>
      <c r="S37">
        <f>VLOOKUP(A:A,MASTER!A:G,7,0)</f>
        <v>2130</v>
      </c>
      <c r="T37" s="12">
        <f t="shared" si="4"/>
        <v>-0.17505809450038734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6876644.0606736317</v>
      </c>
      <c r="G38" s="1">
        <f>VLOOKUP(A:A,MASTER!A:K,11,0)</f>
        <v>7510634.7181645297</v>
      </c>
      <c r="H38" s="12">
        <f t="shared" si="0"/>
        <v>9.2194775808825735E-2</v>
      </c>
      <c r="I38" s="2">
        <f>VLOOKUP(A:A,MASTER!A:E,5,0)</f>
        <v>425</v>
      </c>
      <c r="J38" s="2">
        <f>VLOOKUP(A:A,MASTER!A:J,10,0)</f>
        <v>478</v>
      </c>
      <c r="K38" s="12">
        <f t="shared" si="1"/>
        <v>0.12470588235294122</v>
      </c>
      <c r="L38" s="2">
        <f>VLOOKUP(A:A,MASTER!A:D,4,0)</f>
        <v>6</v>
      </c>
      <c r="M38" s="2">
        <f>VLOOKUP(A:A,MASTER!A:I,9,0)</f>
        <v>8</v>
      </c>
      <c r="N38" s="12">
        <f t="shared" si="2"/>
        <v>0.33333333333333326</v>
      </c>
      <c r="O38" s="1">
        <f>VLOOKUP(A:A,MASTER!A:C,3,0)</f>
        <v>0</v>
      </c>
      <c r="P38" s="1">
        <f>VLOOKUP(A:A,MASTER!A:H,8,0)</f>
        <v>1</v>
      </c>
      <c r="Q38" s="12">
        <f t="shared" si="3"/>
        <v>0</v>
      </c>
      <c r="R38" s="1">
        <f>VLOOKUP(A:A,MASTER!A:B,2,0)</f>
        <v>612</v>
      </c>
      <c r="S38">
        <f>VLOOKUP(A:A,MASTER!A:G,7,0)</f>
        <v>585</v>
      </c>
      <c r="T38" s="12">
        <f t="shared" si="4"/>
        <v>-4.4117647058823484E-2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23761009.141677856</v>
      </c>
      <c r="G39" s="1">
        <f>VLOOKUP(A:A,MASTER!A:K,11,0)</f>
        <v>22311418.541357443</v>
      </c>
      <c r="H39" s="12">
        <f t="shared" si="0"/>
        <v>-6.1007114288667452E-2</v>
      </c>
      <c r="I39" s="2">
        <f>VLOOKUP(A:A,MASTER!A:E,5,0)</f>
        <v>1965</v>
      </c>
      <c r="J39" s="2">
        <f>VLOOKUP(A:A,MASTER!A:J,10,0)</f>
        <v>1921</v>
      </c>
      <c r="K39" s="12">
        <f t="shared" si="1"/>
        <v>-2.2391857506361301E-2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2</v>
      </c>
      <c r="P39" s="1">
        <f>VLOOKUP(A:A,MASTER!A:H,8,0)</f>
        <v>3</v>
      </c>
      <c r="Q39" s="12">
        <f t="shared" si="3"/>
        <v>0.5</v>
      </c>
      <c r="R39" s="1">
        <f>VLOOKUP(A:A,MASTER!A:B,2,0)</f>
        <v>2060</v>
      </c>
      <c r="S39">
        <f>VLOOKUP(A:A,MASTER!A:G,7,0)</f>
        <v>2091</v>
      </c>
      <c r="T39" s="12">
        <f t="shared" si="4"/>
        <v>1.5048543689320404E-2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15025368.215051107</v>
      </c>
      <c r="G40" s="1">
        <f>VLOOKUP(A:A,MASTER!A:K,11,0)</f>
        <v>18316363.249772597</v>
      </c>
      <c r="H40" s="12">
        <f t="shared" si="0"/>
        <v>0.21902924358451714</v>
      </c>
      <c r="I40" s="2">
        <f>VLOOKUP(A:A,MASTER!A:E,5,0)</f>
        <v>743</v>
      </c>
      <c r="J40" s="2">
        <f>VLOOKUP(A:A,MASTER!A:J,10,0)</f>
        <v>884</v>
      </c>
      <c r="K40" s="12">
        <f t="shared" si="1"/>
        <v>0.18977119784656793</v>
      </c>
      <c r="L40" s="2">
        <f>VLOOKUP(A:A,MASTER!A:D,4,0)</f>
        <v>2</v>
      </c>
      <c r="M40" s="2">
        <f>VLOOKUP(A:A,MASTER!A:I,9,0)</f>
        <v>6</v>
      </c>
      <c r="N40" s="12">
        <f t="shared" si="2"/>
        <v>2</v>
      </c>
      <c r="O40" s="1">
        <f>VLOOKUP(A:A,MASTER!A:C,3,0)</f>
        <v>1</v>
      </c>
      <c r="P40" s="1">
        <f>VLOOKUP(A:A,MASTER!A:H,8,0)</f>
        <v>3</v>
      </c>
      <c r="Q40" s="12">
        <f t="shared" si="3"/>
        <v>2</v>
      </c>
      <c r="R40" s="1">
        <f>VLOOKUP(A:A,MASTER!A:B,2,0)</f>
        <v>893</v>
      </c>
      <c r="S40">
        <f>VLOOKUP(A:A,MASTER!A:G,7,0)</f>
        <v>953</v>
      </c>
      <c r="T40" s="12">
        <f t="shared" si="4"/>
        <v>6.7189249720044808E-2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6457796.0609877165</v>
      </c>
      <c r="G41" s="1">
        <f>VLOOKUP(A:A,MASTER!A:K,11,0)</f>
        <v>13009695.210542068</v>
      </c>
      <c r="H41" s="12">
        <f t="shared" si="0"/>
        <v>1.0145720130641971</v>
      </c>
      <c r="I41" s="2">
        <f>VLOOKUP(A:A,MASTER!A:E,5,0)</f>
        <v>503</v>
      </c>
      <c r="J41" s="2">
        <f>VLOOKUP(A:A,MASTER!A:J,10,0)</f>
        <v>1042</v>
      </c>
      <c r="K41" s="12">
        <f t="shared" si="1"/>
        <v>1.0715705765407555</v>
      </c>
      <c r="L41" s="2">
        <f>VLOOKUP(A:A,MASTER!A:D,4,0)</f>
        <v>3</v>
      </c>
      <c r="M41" s="2">
        <f>VLOOKUP(A:A,MASTER!A:I,9,0)</f>
        <v>3</v>
      </c>
      <c r="N41" s="12">
        <f t="shared" si="2"/>
        <v>0</v>
      </c>
      <c r="O41" s="1">
        <f>VLOOKUP(A:A,MASTER!A:C,3,0)</f>
        <v>0</v>
      </c>
      <c r="P41" s="1">
        <f>VLOOKUP(A:A,MASTER!A:H,8,0)</f>
        <v>4</v>
      </c>
      <c r="Q41" s="12">
        <f t="shared" si="3"/>
        <v>0</v>
      </c>
      <c r="R41" s="1">
        <f>VLOOKUP(A:A,MASTER!A:B,2,0)</f>
        <v>1104</v>
      </c>
      <c r="S41">
        <f>VLOOKUP(A:A,MASTER!A:G,7,0)</f>
        <v>1081</v>
      </c>
      <c r="T41" s="12">
        <f t="shared" si="4"/>
        <v>-2.083333333333337E-2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11782933.397637039</v>
      </c>
      <c r="G42" s="1">
        <f>VLOOKUP(A:A,MASTER!A:K,11,0)</f>
        <v>12353691.182116119</v>
      </c>
      <c r="H42" s="12">
        <f t="shared" si="0"/>
        <v>4.8439362696689692E-2</v>
      </c>
      <c r="I42" s="2">
        <f>VLOOKUP(A:A,MASTER!A:E,5,0)</f>
        <v>613</v>
      </c>
      <c r="J42" s="2">
        <f>VLOOKUP(A:A,MASTER!A:J,10,0)</f>
        <v>665</v>
      </c>
      <c r="K42" s="12">
        <f t="shared" si="1"/>
        <v>8.4828711256117462E-2</v>
      </c>
      <c r="L42" s="2">
        <f>VLOOKUP(A:A,MASTER!A:D,4,0)</f>
        <v>4</v>
      </c>
      <c r="M42" s="2">
        <f>VLOOKUP(A:A,MASTER!A:I,9,0)</f>
        <v>4</v>
      </c>
      <c r="N42" s="12">
        <f t="shared" si="2"/>
        <v>0</v>
      </c>
      <c r="O42" s="1">
        <f>VLOOKUP(A:A,MASTER!A:C,3,0)</f>
        <v>1</v>
      </c>
      <c r="P42" s="1">
        <f>VLOOKUP(A:A,MASTER!A:H,8,0)</f>
        <v>2</v>
      </c>
      <c r="Q42" s="12">
        <f t="shared" si="3"/>
        <v>1</v>
      </c>
      <c r="R42" s="1">
        <f>VLOOKUP(A:A,MASTER!A:B,2,0)</f>
        <v>831</v>
      </c>
      <c r="S42">
        <f>VLOOKUP(A:A,MASTER!A:G,7,0)</f>
        <v>818</v>
      </c>
      <c r="T42" s="12">
        <f t="shared" si="4"/>
        <v>-1.5643802647412719E-2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7805586.3464775579</v>
      </c>
      <c r="G43" s="1">
        <f>VLOOKUP(A:A,MASTER!A:K,11,0)</f>
        <v>7510523.3325435808</v>
      </c>
      <c r="H43" s="12">
        <f t="shared" si="0"/>
        <v>-3.7801518148233737E-2</v>
      </c>
      <c r="I43" s="2">
        <f>VLOOKUP(A:A,MASTER!A:E,5,0)</f>
        <v>573</v>
      </c>
      <c r="J43" s="2">
        <f>VLOOKUP(A:A,MASTER!A:J,10,0)</f>
        <v>601</v>
      </c>
      <c r="K43" s="12">
        <f t="shared" si="1"/>
        <v>4.8865619546247796E-2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0</v>
      </c>
      <c r="P43" s="1">
        <f>VLOOKUP(A:A,MASTER!A:H,8,0)</f>
        <v>0</v>
      </c>
      <c r="Q43" s="12">
        <f t="shared" si="3"/>
        <v>0</v>
      </c>
      <c r="R43" s="1">
        <f>VLOOKUP(A:A,MASTER!A:B,2,0)</f>
        <v>680</v>
      </c>
      <c r="S43">
        <f>VLOOKUP(A:A,MASTER!A:G,7,0)</f>
        <v>728</v>
      </c>
      <c r="T43" s="12">
        <f t="shared" si="4"/>
        <v>7.0588235294117618E-2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6543518.5509258509</v>
      </c>
      <c r="G44" s="1">
        <f>VLOOKUP(A:A,MASTER!A:K,11,0)</f>
        <v>6859324.0450646877</v>
      </c>
      <c r="H44" s="12">
        <f t="shared" si="0"/>
        <v>4.8262336490839886E-2</v>
      </c>
      <c r="I44" s="2">
        <f>VLOOKUP(A:A,MASTER!A:E,5,0)</f>
        <v>674</v>
      </c>
      <c r="J44" s="2">
        <f>VLOOKUP(A:A,MASTER!A:J,10,0)</f>
        <v>825</v>
      </c>
      <c r="K44" s="12">
        <f t="shared" si="1"/>
        <v>0.22403560830860525</v>
      </c>
      <c r="L44" s="2">
        <f>VLOOKUP(A:A,MASTER!A:D,4,0)</f>
        <v>3</v>
      </c>
      <c r="M44" s="2">
        <f>VLOOKUP(A:A,MASTER!A:I,9,0)</f>
        <v>2</v>
      </c>
      <c r="N44" s="12">
        <f t="shared" si="2"/>
        <v>-0.33333333333333337</v>
      </c>
      <c r="O44" s="1">
        <f>VLOOKUP(A:A,MASTER!A:C,3,0)</f>
        <v>0</v>
      </c>
      <c r="P44" s="1">
        <f>VLOOKUP(A:A,MASTER!A:H,8,0)</f>
        <v>0</v>
      </c>
      <c r="Q44" s="12">
        <f t="shared" si="3"/>
        <v>0</v>
      </c>
      <c r="R44" s="1">
        <f>VLOOKUP(A:A,MASTER!A:B,2,0)</f>
        <v>696</v>
      </c>
      <c r="S44">
        <f>VLOOKUP(A:A,MASTER!A:G,7,0)</f>
        <v>702</v>
      </c>
      <c r="T44" s="12">
        <f t="shared" si="4"/>
        <v>8.6206896551723755E-3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21109917.412866302</v>
      </c>
      <c r="G45" s="1">
        <f>VLOOKUP(A:A,MASTER!A:K,11,0)</f>
        <v>23721195.596607711</v>
      </c>
      <c r="H45" s="12">
        <f t="shared" si="0"/>
        <v>0.1236991188866452</v>
      </c>
      <c r="I45" s="2">
        <f>VLOOKUP(A:A,MASTER!A:E,5,0)</f>
        <v>1102</v>
      </c>
      <c r="J45" s="2">
        <f>VLOOKUP(A:A,MASTER!A:J,10,0)</f>
        <v>1123</v>
      </c>
      <c r="K45" s="12">
        <f t="shared" si="1"/>
        <v>1.9056261343012748E-2</v>
      </c>
      <c r="L45" s="2">
        <f>VLOOKUP(A:A,MASTER!A:D,4,0)</f>
        <v>4</v>
      </c>
      <c r="M45" s="2">
        <f>VLOOKUP(A:A,MASTER!A:I,9,0)</f>
        <v>7</v>
      </c>
      <c r="N45" s="12">
        <f t="shared" si="2"/>
        <v>0.75</v>
      </c>
      <c r="O45" s="1">
        <f>VLOOKUP(A:A,MASTER!A:C,3,0)</f>
        <v>0</v>
      </c>
      <c r="P45" s="1">
        <f>VLOOKUP(A:A,MASTER!A:H,8,0)</f>
        <v>1</v>
      </c>
      <c r="Q45" s="12">
        <f t="shared" si="3"/>
        <v>0</v>
      </c>
      <c r="R45" s="1">
        <f>VLOOKUP(A:A,MASTER!A:B,2,0)</f>
        <v>1241</v>
      </c>
      <c r="S45">
        <f>VLOOKUP(A:A,MASTER!A:G,7,0)</f>
        <v>1284</v>
      </c>
      <c r="T45" s="12">
        <f t="shared" si="4"/>
        <v>3.464947622884762E-2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9910985.9766389076</v>
      </c>
      <c r="G46" s="1">
        <f>VLOOKUP(A:A,MASTER!A:K,11,0)</f>
        <v>10114925.016759437</v>
      </c>
      <c r="H46" s="12">
        <f t="shared" si="0"/>
        <v>2.0577068780162966E-2</v>
      </c>
      <c r="I46" s="2">
        <f>VLOOKUP(A:A,MASTER!A:E,5,0)</f>
        <v>946</v>
      </c>
      <c r="J46" s="2">
        <f>VLOOKUP(A:A,MASTER!A:J,10,0)</f>
        <v>947</v>
      </c>
      <c r="K46" s="12">
        <f t="shared" si="1"/>
        <v>1.0570824524311906E-3</v>
      </c>
      <c r="L46" s="2">
        <f>VLOOKUP(A:A,MASTER!A:D,4,0)</f>
        <v>5</v>
      </c>
      <c r="M46" s="2">
        <f>VLOOKUP(A:A,MASTER!A:I,9,0)</f>
        <v>4</v>
      </c>
      <c r="N46" s="12">
        <f t="shared" si="2"/>
        <v>-0.19999999999999996</v>
      </c>
      <c r="O46" s="1">
        <f>VLOOKUP(A:A,MASTER!A:C,3,0)</f>
        <v>1</v>
      </c>
      <c r="P46" s="1">
        <f>VLOOKUP(A:A,MASTER!A:H,8,0)</f>
        <v>1</v>
      </c>
      <c r="Q46" s="12">
        <f t="shared" si="3"/>
        <v>0</v>
      </c>
      <c r="R46" s="1">
        <f>VLOOKUP(A:A,MASTER!A:B,2,0)</f>
        <v>905</v>
      </c>
      <c r="S46">
        <f>VLOOKUP(A:A,MASTER!A:G,7,0)</f>
        <v>911</v>
      </c>
      <c r="T46" s="12">
        <f t="shared" si="4"/>
        <v>6.6298342541435407E-3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17760527.810615022</v>
      </c>
      <c r="G47" s="1">
        <f>VLOOKUP(A:A,MASTER!A:K,11,0)</f>
        <v>17950253.842834566</v>
      </c>
      <c r="H47" s="12">
        <f t="shared" si="0"/>
        <v>1.0682454611858461E-2</v>
      </c>
      <c r="I47" s="2">
        <f>VLOOKUP(A:A,MASTER!A:E,5,0)</f>
        <v>1017</v>
      </c>
      <c r="J47" s="2">
        <f>VLOOKUP(A:A,MASTER!A:J,10,0)</f>
        <v>989</v>
      </c>
      <c r="K47" s="12">
        <f t="shared" si="1"/>
        <v>-2.7531956735496577E-2</v>
      </c>
      <c r="L47" s="2">
        <f>VLOOKUP(A:A,MASTER!A:D,4,0)</f>
        <v>12</v>
      </c>
      <c r="M47" s="2">
        <f>VLOOKUP(A:A,MASTER!A:I,9,0)</f>
        <v>12</v>
      </c>
      <c r="N47" s="12">
        <f t="shared" si="2"/>
        <v>0</v>
      </c>
      <c r="O47" s="1">
        <f>VLOOKUP(A:A,MASTER!A:C,3,0)</f>
        <v>2</v>
      </c>
      <c r="P47" s="1">
        <f>VLOOKUP(A:A,MASTER!A:H,8,0)</f>
        <v>1</v>
      </c>
      <c r="Q47" s="12">
        <f t="shared" si="3"/>
        <v>-0.5</v>
      </c>
      <c r="R47" s="1">
        <f>VLOOKUP(A:A,MASTER!A:B,2,0)</f>
        <v>1343</v>
      </c>
      <c r="S47">
        <f>VLOOKUP(A:A,MASTER!A:G,7,0)</f>
        <v>1427</v>
      </c>
      <c r="T47" s="12">
        <f t="shared" si="4"/>
        <v>6.2546537602382823E-2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9324656.0402480755</v>
      </c>
      <c r="G48" s="1">
        <f>VLOOKUP(A:A,MASTER!A:K,11,0)</f>
        <v>8162294.853090018</v>
      </c>
      <c r="H48" s="12">
        <f t="shared" si="0"/>
        <v>-0.12465459124078682</v>
      </c>
      <c r="I48" s="2">
        <f>VLOOKUP(A:A,MASTER!A:E,5,0)</f>
        <v>395</v>
      </c>
      <c r="J48" s="2">
        <f>VLOOKUP(A:A,MASTER!A:J,10,0)</f>
        <v>370</v>
      </c>
      <c r="K48" s="12">
        <f t="shared" si="1"/>
        <v>-6.3291139240506333E-2</v>
      </c>
      <c r="L48" s="2">
        <f>VLOOKUP(A:A,MASTER!A:D,4,0)</f>
        <v>6</v>
      </c>
      <c r="M48" s="2">
        <f>VLOOKUP(A:A,MASTER!A:I,9,0)</f>
        <v>6</v>
      </c>
      <c r="N48" s="12">
        <f t="shared" si="2"/>
        <v>0</v>
      </c>
      <c r="O48" s="1">
        <f>VLOOKUP(A:A,MASTER!A:C,3,0)</f>
        <v>0</v>
      </c>
      <c r="P48" s="1">
        <f>VLOOKUP(A:A,MASTER!A:H,8,0)</f>
        <v>2</v>
      </c>
      <c r="Q48" s="12">
        <f t="shared" si="3"/>
        <v>0</v>
      </c>
      <c r="R48" s="1">
        <f>VLOOKUP(A:A,MASTER!A:B,2,0)</f>
        <v>489</v>
      </c>
      <c r="S48">
        <f>VLOOKUP(A:A,MASTER!A:G,7,0)</f>
        <v>476</v>
      </c>
      <c r="T48" s="12">
        <f t="shared" si="4"/>
        <v>-2.6584867075664653E-2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6731303.8555168118</v>
      </c>
      <c r="G49" s="1">
        <f>VLOOKUP(A:A,MASTER!A:K,11,0)</f>
        <v>7067037.0540379481</v>
      </c>
      <c r="H49" s="12">
        <f t="shared" si="0"/>
        <v>4.9876399242618996E-2</v>
      </c>
      <c r="I49" s="2">
        <f>VLOOKUP(A:A,MASTER!A:E,5,0)</f>
        <v>328</v>
      </c>
      <c r="J49" s="2">
        <f>VLOOKUP(A:A,MASTER!A:J,10,0)</f>
        <v>453</v>
      </c>
      <c r="K49" s="12">
        <f t="shared" si="1"/>
        <v>0.38109756097560976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0</v>
      </c>
      <c r="P49" s="1">
        <f>VLOOKUP(A:A,MASTER!A:H,8,0)</f>
        <v>1</v>
      </c>
      <c r="Q49" s="12">
        <f t="shared" si="3"/>
        <v>0</v>
      </c>
      <c r="R49" s="1">
        <f>VLOOKUP(A:A,MASTER!A:B,2,0)</f>
        <v>453</v>
      </c>
      <c r="S49">
        <f>VLOOKUP(A:A,MASTER!A:G,7,0)</f>
        <v>456</v>
      </c>
      <c r="T49" s="12">
        <f t="shared" si="4"/>
        <v>6.6225165562914245E-3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5735694.8499326538</v>
      </c>
      <c r="G50" s="1">
        <f>VLOOKUP(A:A,MASTER!A:K,11,0)</f>
        <v>4979151.2077058898</v>
      </c>
      <c r="H50" s="12">
        <f t="shared" si="0"/>
        <v>-0.13190095742901087</v>
      </c>
      <c r="I50" s="2">
        <f>VLOOKUP(A:A,MASTER!A:E,5,0)</f>
        <v>318</v>
      </c>
      <c r="J50" s="2">
        <f>VLOOKUP(A:A,MASTER!A:J,10,0)</f>
        <v>16</v>
      </c>
      <c r="K50" s="12">
        <f t="shared" si="1"/>
        <v>-0.94968553459119498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1</v>
      </c>
      <c r="P50" s="1">
        <f>VLOOKUP(A:A,MASTER!A:H,8,0)</f>
        <v>0</v>
      </c>
      <c r="Q50" s="12">
        <f t="shared" si="3"/>
        <v>-1</v>
      </c>
      <c r="R50" s="1">
        <f>VLOOKUP(A:A,MASTER!A:B,2,0)</f>
        <v>427</v>
      </c>
      <c r="S50">
        <f>VLOOKUP(A:A,MASTER!A:G,7,0)</f>
        <v>398</v>
      </c>
      <c r="T50" s="12">
        <f t="shared" si="4"/>
        <v>-6.7915690866510503E-2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13700770.866629319</v>
      </c>
      <c r="G51" s="1">
        <f>VLOOKUP(A:A,MASTER!A:K,11,0)</f>
        <v>14463792.428148272</v>
      </c>
      <c r="H51" s="12">
        <f t="shared" si="0"/>
        <v>5.5691870840452351E-2</v>
      </c>
      <c r="I51" s="2">
        <f>VLOOKUP(A:A,MASTER!A:E,5,0)</f>
        <v>989</v>
      </c>
      <c r="J51" s="2">
        <f>VLOOKUP(A:A,MASTER!A:J,10,0)</f>
        <v>977</v>
      </c>
      <c r="K51" s="12">
        <f t="shared" si="1"/>
        <v>-1.2133468149646109E-2</v>
      </c>
      <c r="L51" s="2">
        <f>VLOOKUP(A:A,MASTER!A:D,4,0)</f>
        <v>0</v>
      </c>
      <c r="M51" s="2">
        <f>VLOOKUP(A:A,MASTER!A:I,9,0)</f>
        <v>0</v>
      </c>
      <c r="N51" s="12">
        <f t="shared" si="2"/>
        <v>0</v>
      </c>
      <c r="O51" s="1">
        <f>VLOOKUP(A:A,MASTER!A:C,3,0)</f>
        <v>0</v>
      </c>
      <c r="P51" s="1">
        <f>VLOOKUP(A:A,MASTER!A:H,8,0)</f>
        <v>1</v>
      </c>
      <c r="Q51" s="12">
        <f t="shared" si="3"/>
        <v>0</v>
      </c>
      <c r="R51" s="1">
        <f>VLOOKUP(A:A,MASTER!A:B,2,0)</f>
        <v>1110</v>
      </c>
      <c r="S51">
        <f>VLOOKUP(A:A,MASTER!A:G,7,0)</f>
        <v>1094</v>
      </c>
      <c r="T51" s="12">
        <f t="shared" si="4"/>
        <v>-1.4414414414414378E-2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10181535.724726312</v>
      </c>
      <c r="G52" s="1">
        <f>VLOOKUP(A:A,MASTER!A:K,11,0)</f>
        <v>14295470.10652769</v>
      </c>
      <c r="H52" s="12">
        <f t="shared" si="0"/>
        <v>0.40405833589627393</v>
      </c>
      <c r="I52" s="2">
        <f>VLOOKUP(A:A,MASTER!A:E,5,0)</f>
        <v>807</v>
      </c>
      <c r="J52" s="2">
        <f>VLOOKUP(A:A,MASTER!A:J,10,0)</f>
        <v>875</v>
      </c>
      <c r="K52" s="12">
        <f t="shared" si="1"/>
        <v>8.4262701363073012E-2</v>
      </c>
      <c r="L52" s="2">
        <f>VLOOKUP(A:A,MASTER!A:D,4,0)</f>
        <v>1</v>
      </c>
      <c r="M52" s="2">
        <f>VLOOKUP(A:A,MASTER!A:I,9,0)</f>
        <v>2</v>
      </c>
      <c r="N52" s="12">
        <f t="shared" si="2"/>
        <v>1</v>
      </c>
      <c r="O52" s="1">
        <f>VLOOKUP(A:A,MASTER!A:C,3,0)</f>
        <v>1</v>
      </c>
      <c r="P52" s="1">
        <f>VLOOKUP(A:A,MASTER!A:H,8,0)</f>
        <v>3</v>
      </c>
      <c r="Q52" s="12">
        <f t="shared" si="3"/>
        <v>2</v>
      </c>
      <c r="R52" s="1">
        <f>VLOOKUP(A:A,MASTER!A:B,2,0)</f>
        <v>961</v>
      </c>
      <c r="S52">
        <f>VLOOKUP(A:A,MASTER!A:G,7,0)</f>
        <v>943</v>
      </c>
      <c r="T52" s="12">
        <f t="shared" si="4"/>
        <v>-1.8730489073881418E-2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26874078.76145979</v>
      </c>
      <c r="G53" s="1">
        <f>VLOOKUP(A:A,MASTER!A:K,11,0)</f>
        <v>27200285.128767647</v>
      </c>
      <c r="H53" s="12">
        <f t="shared" si="0"/>
        <v>1.2138327427084539E-2</v>
      </c>
      <c r="I53" s="2">
        <f>VLOOKUP(A:A,MASTER!A:E,5,0)</f>
        <v>1678</v>
      </c>
      <c r="J53" s="2">
        <f>VLOOKUP(A:A,MASTER!A:J,10,0)</f>
        <v>1721</v>
      </c>
      <c r="K53" s="12">
        <f t="shared" si="1"/>
        <v>2.5625744934445693E-2</v>
      </c>
      <c r="L53" s="2">
        <f>VLOOKUP(A:A,MASTER!A:D,4,0)</f>
        <v>8</v>
      </c>
      <c r="M53" s="2">
        <f>VLOOKUP(A:A,MASTER!A:I,9,0)</f>
        <v>10</v>
      </c>
      <c r="N53" s="12">
        <f t="shared" si="2"/>
        <v>0.25</v>
      </c>
      <c r="O53" s="1">
        <f>VLOOKUP(A:A,MASTER!A:C,3,0)</f>
        <v>5</v>
      </c>
      <c r="P53" s="1">
        <f>VLOOKUP(A:A,MASTER!A:H,8,0)</f>
        <v>7</v>
      </c>
      <c r="Q53" s="12">
        <f t="shared" si="3"/>
        <v>0.39999999999999991</v>
      </c>
      <c r="R53" s="1">
        <f>VLOOKUP(A:A,MASTER!A:B,2,0)</f>
        <v>2052</v>
      </c>
      <c r="S53">
        <f>VLOOKUP(A:A,MASTER!A:G,7,0)</f>
        <v>2061</v>
      </c>
      <c r="T53" s="12">
        <f t="shared" si="4"/>
        <v>4.3859649122806044E-3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5737671.8793122657</v>
      </c>
      <c r="G54" s="1">
        <f>VLOOKUP(A:A,MASTER!A:K,11,0)</f>
        <v>7262223.9798792591</v>
      </c>
      <c r="H54" s="12">
        <f t="shared" si="0"/>
        <v>0.26570918181360526</v>
      </c>
      <c r="I54" s="2">
        <f>VLOOKUP(A:A,MASTER!A:E,5,0)</f>
        <v>521</v>
      </c>
      <c r="J54" s="2">
        <f>VLOOKUP(A:A,MASTER!A:J,10,0)</f>
        <v>587</v>
      </c>
      <c r="K54" s="12">
        <f t="shared" si="1"/>
        <v>0.12667946257197693</v>
      </c>
      <c r="L54" s="2">
        <f>VLOOKUP(A:A,MASTER!A:D,4,0)</f>
        <v>0</v>
      </c>
      <c r="M54" s="2">
        <f>VLOOKUP(A:A,MASTER!A:I,9,0)</f>
        <v>0</v>
      </c>
      <c r="N54" s="12">
        <f t="shared" si="2"/>
        <v>0</v>
      </c>
      <c r="O54" s="1">
        <f>VLOOKUP(A:A,MASTER!A:C,3,0)</f>
        <v>0</v>
      </c>
      <c r="P54" s="1">
        <f>VLOOKUP(A:A,MASTER!A:H,8,0)</f>
        <v>1</v>
      </c>
      <c r="Q54" s="12">
        <f t="shared" si="3"/>
        <v>0</v>
      </c>
      <c r="R54" s="1">
        <f>VLOOKUP(A:A,MASTER!A:B,2,0)</f>
        <v>677</v>
      </c>
      <c r="S54">
        <f>VLOOKUP(A:A,MASTER!A:G,7,0)</f>
        <v>656</v>
      </c>
      <c r="T54" s="12">
        <f t="shared" si="4"/>
        <v>-3.1019202363367748E-2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10124609.722728988</v>
      </c>
      <c r="G55" s="1">
        <f>VLOOKUP(A:A,MASTER!A:K,11,0)</f>
        <v>12329770.398310982</v>
      </c>
      <c r="H55" s="12">
        <f t="shared" si="0"/>
        <v>0.2178020423475262</v>
      </c>
      <c r="I55" s="2">
        <f>VLOOKUP(A:A,MASTER!A:E,5,0)</f>
        <v>779</v>
      </c>
      <c r="J55" s="2">
        <f>VLOOKUP(A:A,MASTER!A:J,10,0)</f>
        <v>798</v>
      </c>
      <c r="K55" s="12">
        <f t="shared" si="1"/>
        <v>2.4390243902439046E-2</v>
      </c>
      <c r="L55" s="2">
        <f>VLOOKUP(A:A,MASTER!A:D,4,0)</f>
        <v>5</v>
      </c>
      <c r="M55" s="2">
        <f>VLOOKUP(A:A,MASTER!A:I,9,0)</f>
        <v>5</v>
      </c>
      <c r="N55" s="12">
        <f t="shared" si="2"/>
        <v>0</v>
      </c>
      <c r="O55" s="1">
        <f>VLOOKUP(A:A,MASTER!A:C,3,0)</f>
        <v>3</v>
      </c>
      <c r="P55" s="1">
        <f>VLOOKUP(A:A,MASTER!A:H,8,0)</f>
        <v>2</v>
      </c>
      <c r="Q55" s="12">
        <f t="shared" si="3"/>
        <v>-0.33333333333333337</v>
      </c>
      <c r="R55" s="1">
        <f>VLOOKUP(A:A,MASTER!A:B,2,0)</f>
        <v>871</v>
      </c>
      <c r="S55">
        <f>VLOOKUP(A:A,MASTER!A:G,7,0)</f>
        <v>909</v>
      </c>
      <c r="T55" s="12">
        <f t="shared" si="4"/>
        <v>4.3628013777267549E-2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6810825.165222412</v>
      </c>
      <c r="G56" s="1">
        <f>VLOOKUP(A:A,MASTER!A:K,11,0)</f>
        <v>6731999.2242437331</v>
      </c>
      <c r="H56" s="12">
        <f t="shared" si="0"/>
        <v>-1.1573625671846832E-2</v>
      </c>
      <c r="I56" s="2">
        <f>VLOOKUP(A:A,MASTER!A:E,5,0)</f>
        <v>307</v>
      </c>
      <c r="J56" s="2">
        <f>VLOOKUP(A:A,MASTER!A:J,10,0)</f>
        <v>579</v>
      </c>
      <c r="K56" s="12">
        <f t="shared" si="1"/>
        <v>0.88599348534201949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2</v>
      </c>
      <c r="P56" s="1">
        <f>VLOOKUP(A:A,MASTER!A:H,8,0)</f>
        <v>0</v>
      </c>
      <c r="Q56" s="12">
        <f t="shared" si="3"/>
        <v>-1</v>
      </c>
      <c r="R56" s="1">
        <f>VLOOKUP(A:A,MASTER!A:B,2,0)</f>
        <v>754</v>
      </c>
      <c r="S56">
        <f>VLOOKUP(A:A,MASTER!A:G,7,0)</f>
        <v>675</v>
      </c>
      <c r="T56" s="12">
        <f t="shared" si="4"/>
        <v>-0.10477453580901852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13708176.917759825</v>
      </c>
      <c r="G57" s="1">
        <f>VLOOKUP(A:A,MASTER!A:K,11,0)</f>
        <v>15189096.108170426</v>
      </c>
      <c r="H57" s="12">
        <f t="shared" si="0"/>
        <v>0.1080318119101582</v>
      </c>
      <c r="I57" s="2">
        <f>VLOOKUP(A:A,MASTER!A:E,5,0)</f>
        <v>1222</v>
      </c>
      <c r="J57" s="2">
        <f>VLOOKUP(A:A,MASTER!A:J,10,0)</f>
        <v>1089</v>
      </c>
      <c r="K57" s="12">
        <f t="shared" si="1"/>
        <v>-0.10883797054009825</v>
      </c>
      <c r="L57" s="2">
        <f>VLOOKUP(A:A,MASTER!A:D,4,0)</f>
        <v>0</v>
      </c>
      <c r="M57" s="2">
        <f>VLOOKUP(A:A,MASTER!A:I,9,0)</f>
        <v>0</v>
      </c>
      <c r="N57" s="12">
        <f t="shared" si="2"/>
        <v>0</v>
      </c>
      <c r="O57" s="1">
        <f>VLOOKUP(A:A,MASTER!A:C,3,0)</f>
        <v>4</v>
      </c>
      <c r="P57" s="1">
        <f>VLOOKUP(A:A,MASTER!A:H,8,0)</f>
        <v>2</v>
      </c>
      <c r="Q57" s="12">
        <f t="shared" si="3"/>
        <v>-0.5</v>
      </c>
      <c r="R57" s="1">
        <f>VLOOKUP(A:A,MASTER!A:B,2,0)</f>
        <v>1102</v>
      </c>
      <c r="S57">
        <f>VLOOKUP(A:A,MASTER!A:G,7,0)</f>
        <v>1086</v>
      </c>
      <c r="T57" s="12">
        <f t="shared" si="4"/>
        <v>-1.4519056261342977E-2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16271588.201260241</v>
      </c>
      <c r="G58" s="1">
        <f>VLOOKUP(A:A,MASTER!A:K,11,0)</f>
        <v>20691184.612268057</v>
      </c>
      <c r="H58" s="12">
        <f t="shared" si="0"/>
        <v>0.27161432285174936</v>
      </c>
      <c r="I58" s="2">
        <f>VLOOKUP(A:A,MASTER!A:E,5,0)</f>
        <v>1435</v>
      </c>
      <c r="J58" s="2">
        <f>VLOOKUP(A:A,MASTER!A:J,10,0)</f>
        <v>1555</v>
      </c>
      <c r="K58" s="12">
        <f t="shared" si="1"/>
        <v>8.362369337979092E-2</v>
      </c>
      <c r="L58" s="2">
        <f>VLOOKUP(A:A,MASTER!A:D,4,0)</f>
        <v>4</v>
      </c>
      <c r="M58" s="2">
        <f>VLOOKUP(A:A,MASTER!A:I,9,0)</f>
        <v>5</v>
      </c>
      <c r="N58" s="12">
        <f t="shared" si="2"/>
        <v>0.25</v>
      </c>
      <c r="O58" s="1">
        <f>VLOOKUP(A:A,MASTER!A:C,3,0)</f>
        <v>1</v>
      </c>
      <c r="P58" s="1">
        <f>VLOOKUP(A:A,MASTER!A:H,8,0)</f>
        <v>3</v>
      </c>
      <c r="Q58" s="12">
        <f t="shared" si="3"/>
        <v>2</v>
      </c>
      <c r="R58" s="1">
        <f>VLOOKUP(A:A,MASTER!A:B,2,0)</f>
        <v>1366</v>
      </c>
      <c r="S58">
        <f>VLOOKUP(A:A,MASTER!A:G,7,0)</f>
        <v>1569</v>
      </c>
      <c r="T58" s="12">
        <f t="shared" si="4"/>
        <v>0.14860907759882869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9460626.58611794</v>
      </c>
      <c r="G59" s="1">
        <f>VLOOKUP(A:A,MASTER!A:K,11,0)</f>
        <v>9108628.0590313729</v>
      </c>
      <c r="H59" s="12">
        <f t="shared" si="0"/>
        <v>-3.7206682230019772E-2</v>
      </c>
      <c r="I59" s="2">
        <f>VLOOKUP(A:A,MASTER!A:E,5,0)</f>
        <v>698</v>
      </c>
      <c r="J59" s="2">
        <f>VLOOKUP(A:A,MASTER!A:J,10,0)</f>
        <v>722</v>
      </c>
      <c r="K59" s="12">
        <f t="shared" si="1"/>
        <v>3.4383954154727725E-2</v>
      </c>
      <c r="L59" s="2">
        <f>VLOOKUP(A:A,MASTER!A:D,4,0)</f>
        <v>3</v>
      </c>
      <c r="M59" s="2">
        <f>VLOOKUP(A:A,MASTER!A:I,9,0)</f>
        <v>5</v>
      </c>
      <c r="N59" s="12">
        <f t="shared" si="2"/>
        <v>0.66666666666666674</v>
      </c>
      <c r="O59" s="1">
        <f>VLOOKUP(A:A,MASTER!A:C,3,0)</f>
        <v>0</v>
      </c>
      <c r="P59" s="1">
        <f>VLOOKUP(A:A,MASTER!A:H,8,0)</f>
        <v>0</v>
      </c>
      <c r="Q59" s="12">
        <f t="shared" si="3"/>
        <v>0</v>
      </c>
      <c r="R59" s="1">
        <f>VLOOKUP(A:A,MASTER!A:B,2,0)</f>
        <v>774</v>
      </c>
      <c r="S59">
        <f>VLOOKUP(A:A,MASTER!A:G,7,0)</f>
        <v>792</v>
      </c>
      <c r="T59" s="12">
        <f t="shared" si="4"/>
        <v>2.3255813953488413E-2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10645703.675539205</v>
      </c>
      <c r="G60" s="1">
        <f>VLOOKUP(A:A,MASTER!A:K,11,0)</f>
        <v>10900774.39042661</v>
      </c>
      <c r="H60" s="12">
        <f t="shared" si="0"/>
        <v>2.3959967575791552E-2</v>
      </c>
      <c r="I60" s="2">
        <f>VLOOKUP(A:A,MASTER!A:E,5,0)</f>
        <v>452</v>
      </c>
      <c r="J60" s="2">
        <f>VLOOKUP(A:A,MASTER!A:J,10,0)</f>
        <v>487</v>
      </c>
      <c r="K60" s="12">
        <f t="shared" si="1"/>
        <v>7.7433628318584136E-2</v>
      </c>
      <c r="L60" s="2">
        <f>VLOOKUP(A:A,MASTER!A:D,4,0)</f>
        <v>5</v>
      </c>
      <c r="M60" s="2">
        <f>VLOOKUP(A:A,MASTER!A:I,9,0)</f>
        <v>6</v>
      </c>
      <c r="N60" s="12">
        <f t="shared" si="2"/>
        <v>0.19999999999999996</v>
      </c>
      <c r="O60" s="1">
        <f>VLOOKUP(A:A,MASTER!A:C,3,0)</f>
        <v>1</v>
      </c>
      <c r="P60" s="1">
        <f>VLOOKUP(A:A,MASTER!A:H,8,0)</f>
        <v>2</v>
      </c>
      <c r="Q60" s="12">
        <f t="shared" si="3"/>
        <v>1</v>
      </c>
      <c r="R60" s="1">
        <f>VLOOKUP(A:A,MASTER!A:B,2,0)</f>
        <v>656</v>
      </c>
      <c r="S60">
        <f>VLOOKUP(A:A,MASTER!A:G,7,0)</f>
        <v>630</v>
      </c>
      <c r="T60" s="12">
        <f t="shared" si="4"/>
        <v>-3.963414634146345E-2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34418128.83887478</v>
      </c>
      <c r="G61" s="1">
        <f>VLOOKUP(A:A,MASTER!A:K,11,0)</f>
        <v>34916336.440940969</v>
      </c>
      <c r="H61" s="12">
        <f t="shared" si="0"/>
        <v>1.4475150709049256E-2</v>
      </c>
      <c r="I61" s="2">
        <f>VLOOKUP(A:A,MASTER!A:E,5,0)</f>
        <v>1753</v>
      </c>
      <c r="J61" s="2">
        <f>VLOOKUP(A:A,MASTER!A:J,10,0)</f>
        <v>1815</v>
      </c>
      <c r="K61" s="12">
        <f t="shared" si="1"/>
        <v>3.5367940673131759E-2</v>
      </c>
      <c r="L61" s="2">
        <f>VLOOKUP(A:A,MASTER!A:D,4,0)</f>
        <v>10</v>
      </c>
      <c r="M61" s="2">
        <f>VLOOKUP(A:A,MASTER!A:I,9,0)</f>
        <v>12</v>
      </c>
      <c r="N61" s="12">
        <f t="shared" si="2"/>
        <v>0.19999999999999996</v>
      </c>
      <c r="O61" s="1">
        <f>VLOOKUP(A:A,MASTER!A:C,3,0)</f>
        <v>2</v>
      </c>
      <c r="P61" s="1">
        <f>VLOOKUP(A:A,MASTER!A:H,8,0)</f>
        <v>4</v>
      </c>
      <c r="Q61" s="12">
        <f t="shared" si="3"/>
        <v>1</v>
      </c>
      <c r="R61" s="1">
        <f>VLOOKUP(A:A,MASTER!A:B,2,0)</f>
        <v>2019</v>
      </c>
      <c r="S61">
        <f>VLOOKUP(A:A,MASTER!A:G,7,0)</f>
        <v>1986</v>
      </c>
      <c r="T61" s="12">
        <f t="shared" si="4"/>
        <v>-1.6344725111441361E-2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23055265.895927496</v>
      </c>
      <c r="G62" s="1">
        <f>VLOOKUP(A:A,MASTER!A:K,11,0)</f>
        <v>24852957.325197127</v>
      </c>
      <c r="H62" s="12">
        <f t="shared" si="0"/>
        <v>7.7973137997388031E-2</v>
      </c>
      <c r="I62" s="2">
        <f>VLOOKUP(A:A,MASTER!A:E,5,0)</f>
        <v>1176</v>
      </c>
      <c r="J62" s="2">
        <f>VLOOKUP(A:A,MASTER!A:J,10,0)</f>
        <v>1227</v>
      </c>
      <c r="K62" s="12">
        <f t="shared" si="1"/>
        <v>4.336734693877542E-2</v>
      </c>
      <c r="L62" s="2">
        <f>VLOOKUP(A:A,MASTER!A:D,4,0)</f>
        <v>6</v>
      </c>
      <c r="M62" s="2">
        <f>VLOOKUP(A:A,MASTER!A:I,9,0)</f>
        <v>6</v>
      </c>
      <c r="N62" s="12">
        <f t="shared" si="2"/>
        <v>0</v>
      </c>
      <c r="O62" s="1">
        <f>VLOOKUP(A:A,MASTER!A:C,3,0)</f>
        <v>1</v>
      </c>
      <c r="P62" s="1">
        <f>VLOOKUP(A:A,MASTER!A:H,8,0)</f>
        <v>7</v>
      </c>
      <c r="Q62" s="12">
        <f t="shared" si="3"/>
        <v>6</v>
      </c>
      <c r="R62" s="1">
        <f>VLOOKUP(A:A,MASTER!A:B,2,0)</f>
        <v>1575</v>
      </c>
      <c r="S62">
        <f>VLOOKUP(A:A,MASTER!A:G,7,0)</f>
        <v>1597</v>
      </c>
      <c r="T62" s="12">
        <f t="shared" si="4"/>
        <v>1.3968253968253963E-2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16304379.513267737</v>
      </c>
      <c r="G63" s="1">
        <f>VLOOKUP(A:A,MASTER!A:K,11,0)</f>
        <v>17168427.749025799</v>
      </c>
      <c r="H63" s="12">
        <f t="shared" si="0"/>
        <v>5.2994855465363866E-2</v>
      </c>
      <c r="I63" s="2">
        <f>VLOOKUP(A:A,MASTER!A:E,5,0)</f>
        <v>799</v>
      </c>
      <c r="J63" s="2">
        <f>VLOOKUP(A:A,MASTER!A:J,10,0)</f>
        <v>725</v>
      </c>
      <c r="K63" s="12">
        <f t="shared" si="1"/>
        <v>-9.2615769712140139E-2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3</v>
      </c>
      <c r="P63" s="1">
        <f>VLOOKUP(A:A,MASTER!A:H,8,0)</f>
        <v>0</v>
      </c>
      <c r="Q63" s="12">
        <f t="shared" si="3"/>
        <v>-1</v>
      </c>
      <c r="R63" s="1">
        <f>VLOOKUP(A:A,MASTER!A:B,2,0)</f>
        <v>878</v>
      </c>
      <c r="S63">
        <f>VLOOKUP(A:A,MASTER!A:G,7,0)</f>
        <v>903</v>
      </c>
      <c r="T63" s="12">
        <f t="shared" si="4"/>
        <v>2.8473804100227706E-2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25296291.381541092</v>
      </c>
      <c r="G64" s="1">
        <f>VLOOKUP(A:A,MASTER!A:K,11,0)</f>
        <v>23487290.486604519</v>
      </c>
      <c r="H64" s="12">
        <f t="shared" si="0"/>
        <v>-7.1512494367321211E-2</v>
      </c>
      <c r="I64" s="2">
        <f>VLOOKUP(A:A,MASTER!A:E,5,0)</f>
        <v>1314</v>
      </c>
      <c r="J64" s="2">
        <f>VLOOKUP(A:A,MASTER!A:J,10,0)</f>
        <v>1329</v>
      </c>
      <c r="K64" s="12">
        <f t="shared" si="1"/>
        <v>1.1415525114155223E-2</v>
      </c>
      <c r="L64" s="2">
        <f>VLOOKUP(A:A,MASTER!A:D,4,0)</f>
        <v>12</v>
      </c>
      <c r="M64" s="2">
        <f>VLOOKUP(A:A,MASTER!A:I,9,0)</f>
        <v>12</v>
      </c>
      <c r="N64" s="12">
        <f t="shared" si="2"/>
        <v>0</v>
      </c>
      <c r="O64" s="1">
        <f>VLOOKUP(A:A,MASTER!A:C,3,0)</f>
        <v>100</v>
      </c>
      <c r="P64" s="1">
        <f>VLOOKUP(A:A,MASTER!A:H,8,0)</f>
        <v>254</v>
      </c>
      <c r="Q64" s="12">
        <f t="shared" si="3"/>
        <v>1.54</v>
      </c>
      <c r="R64" s="1">
        <f>VLOOKUP(A:A,MASTER!A:B,2,0)</f>
        <v>2115</v>
      </c>
      <c r="S64">
        <f>VLOOKUP(A:A,MASTER!A:G,7,0)</f>
        <v>2391</v>
      </c>
      <c r="T64" s="12">
        <f t="shared" si="4"/>
        <v>0.13049645390070919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4.507045314</v>
      </c>
      <c r="G65" s="1">
        <f>VLOOKUP(A:A,MASTER!A:K,11,0)</f>
        <v>1933981.8796689911</v>
      </c>
      <c r="H65" s="12">
        <f t="shared" si="0"/>
        <v>429100.93817256816</v>
      </c>
      <c r="I65" s="2">
        <f>VLOOKUP(A:A,MASTER!A:E,5,0)</f>
        <v>2</v>
      </c>
      <c r="J65" s="2">
        <f>VLOOKUP(A:A,MASTER!A:J,10,0)</f>
        <v>257</v>
      </c>
      <c r="K65" s="12">
        <f t="shared" si="1"/>
        <v>127.5</v>
      </c>
      <c r="L65" s="2">
        <f>VLOOKUP(A:A,MASTER!A:D,4,0)</f>
        <v>0</v>
      </c>
      <c r="M65" s="2">
        <f>VLOOKUP(A:A,MASTER!A:I,9,0)</f>
        <v>0</v>
      </c>
      <c r="N65" s="12">
        <f t="shared" si="2"/>
        <v>0</v>
      </c>
      <c r="O65" s="1">
        <f>VLOOKUP(A:A,MASTER!A:C,3,0)</f>
        <v>0</v>
      </c>
      <c r="P65" s="1">
        <f>VLOOKUP(A:A,MASTER!A:H,8,0)</f>
        <v>1</v>
      </c>
      <c r="Q65" s="12">
        <f t="shared" si="3"/>
        <v>0</v>
      </c>
      <c r="R65" s="1">
        <f>VLOOKUP(A:A,MASTER!A:B,2,0)</f>
        <v>249</v>
      </c>
      <c r="S65">
        <f>VLOOKUP(A:A,MASTER!A:G,7,0)</f>
        <v>238</v>
      </c>
      <c r="T65" s="12">
        <f t="shared" si="4"/>
        <v>-4.4176706827309231E-2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17335053.59540021</v>
      </c>
      <c r="G66" s="1">
        <f>VLOOKUP(A:A,MASTER!A:K,11,0)</f>
        <v>17606995.543164104</v>
      </c>
      <c r="H66" s="12">
        <f t="shared" si="0"/>
        <v>1.5687401614729035E-2</v>
      </c>
      <c r="I66" s="2">
        <f>VLOOKUP(A:A,MASTER!A:E,5,0)</f>
        <v>2219</v>
      </c>
      <c r="J66" s="2">
        <f>VLOOKUP(A:A,MASTER!A:J,10,0)</f>
        <v>1618</v>
      </c>
      <c r="K66" s="12">
        <f t="shared" si="1"/>
        <v>-0.27084272194682291</v>
      </c>
      <c r="L66" s="2">
        <f>VLOOKUP(A:A,MASTER!A:D,4,0)</f>
        <v>5</v>
      </c>
      <c r="M66" s="2">
        <f>VLOOKUP(A:A,MASTER!A:I,9,0)</f>
        <v>7</v>
      </c>
      <c r="N66" s="12">
        <f t="shared" si="2"/>
        <v>0.39999999999999991</v>
      </c>
      <c r="O66" s="1">
        <f>VLOOKUP(A:A,MASTER!A:C,3,0)</f>
        <v>3</v>
      </c>
      <c r="P66" s="1">
        <f>VLOOKUP(A:A,MASTER!A:H,8,0)</f>
        <v>7</v>
      </c>
      <c r="Q66" s="12">
        <f t="shared" si="3"/>
        <v>1.3333333333333335</v>
      </c>
      <c r="R66" s="1">
        <f>VLOOKUP(A:A,MASTER!A:B,2,0)</f>
        <v>1657</v>
      </c>
      <c r="S66">
        <f>VLOOKUP(A:A,MASTER!A:G,7,0)</f>
        <v>1594</v>
      </c>
      <c r="T66" s="12">
        <f t="shared" si="4"/>
        <v>-3.802051901025949E-2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8767229.5689700581</v>
      </c>
      <c r="G67" s="1">
        <f>VLOOKUP(A:A,MASTER!A:K,11,0)</f>
        <v>8311473.8402588358</v>
      </c>
      <c r="H67" s="12">
        <f t="shared" ref="H67:H85" si="5">IFERROR(G67/F67-1,0)</f>
        <v>-5.1984007619041095E-2</v>
      </c>
      <c r="I67" s="2">
        <f>VLOOKUP(A:A,MASTER!A:E,5,0)</f>
        <v>652</v>
      </c>
      <c r="J67" s="2">
        <f>VLOOKUP(A:A,MASTER!A:J,10,0)</f>
        <v>630</v>
      </c>
      <c r="K67" s="12">
        <f t="shared" ref="K67:K85" si="6">IFERROR(J67/I67-1,0)</f>
        <v>-3.3742331288343586E-2</v>
      </c>
      <c r="L67" s="2">
        <f>VLOOKUP(A:A,MASTER!A:D,4,0)</f>
        <v>3</v>
      </c>
      <c r="M67" s="2">
        <f>VLOOKUP(A:A,MASTER!A:I,9,0)</f>
        <v>3</v>
      </c>
      <c r="N67" s="12">
        <f t="shared" ref="N67:N85" si="7">IFERROR(M67/L67-1,0)</f>
        <v>0</v>
      </c>
      <c r="O67" s="1">
        <f>VLOOKUP(A:A,MASTER!A:C,3,0)</f>
        <v>1</v>
      </c>
      <c r="P67" s="1">
        <f>VLOOKUP(A:A,MASTER!A:H,8,0)</f>
        <v>0</v>
      </c>
      <c r="Q67" s="12">
        <f t="shared" ref="Q67:Q85" si="8">IFERROR(P67/O67-1,0)</f>
        <v>-1</v>
      </c>
      <c r="R67" s="1">
        <f>VLOOKUP(A:A,MASTER!A:B,2,0)</f>
        <v>704</v>
      </c>
      <c r="S67">
        <f>VLOOKUP(A:A,MASTER!A:G,7,0)</f>
        <v>804</v>
      </c>
      <c r="T67" s="12">
        <f t="shared" ref="T67:T85" si="9">IFERROR(S67/R67-1,0)</f>
        <v>0.14204545454545459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11928434.83608032</v>
      </c>
      <c r="G68" s="1">
        <f>VLOOKUP(A:A,MASTER!A:K,11,0)</f>
        <v>12986497.166911935</v>
      </c>
      <c r="H68" s="12">
        <f t="shared" si="5"/>
        <v>8.8700851819323301E-2</v>
      </c>
      <c r="I68" s="2">
        <f>VLOOKUP(A:A,MASTER!A:E,5,0)</f>
        <v>821</v>
      </c>
      <c r="J68" s="2">
        <f>VLOOKUP(A:A,MASTER!A:J,10,0)</f>
        <v>916</v>
      </c>
      <c r="K68" s="12">
        <f t="shared" si="6"/>
        <v>0.11571254567600486</v>
      </c>
      <c r="L68" s="2">
        <f>VLOOKUP(A:A,MASTER!A:D,4,0)</f>
        <v>4</v>
      </c>
      <c r="M68" s="2">
        <f>VLOOKUP(A:A,MASTER!A:I,9,0)</f>
        <v>5</v>
      </c>
      <c r="N68" s="12">
        <f t="shared" si="7"/>
        <v>0.25</v>
      </c>
      <c r="O68" s="1">
        <f>VLOOKUP(A:A,MASTER!A:C,3,0)</f>
        <v>19</v>
      </c>
      <c r="P68" s="1">
        <f>VLOOKUP(A:A,MASTER!A:H,8,0)</f>
        <v>1</v>
      </c>
      <c r="Q68" s="12">
        <f t="shared" si="8"/>
        <v>-0.94736842105263164</v>
      </c>
      <c r="R68" s="1">
        <f>VLOOKUP(A:A,MASTER!A:B,2,0)</f>
        <v>1366</v>
      </c>
      <c r="S68">
        <f>VLOOKUP(A:A,MASTER!A:G,7,0)</f>
        <v>1586</v>
      </c>
      <c r="T68" s="12">
        <f t="shared" si="9"/>
        <v>0.16105417276720346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9779657.18585613</v>
      </c>
      <c r="G69" s="1">
        <f>VLOOKUP(A:A,MASTER!A:K,11,0)</f>
        <v>10482824.641790193</v>
      </c>
      <c r="H69" s="12">
        <f t="shared" si="5"/>
        <v>7.1901033192760755E-2</v>
      </c>
      <c r="I69" s="2">
        <f>VLOOKUP(A:A,MASTER!A:E,5,0)</f>
        <v>1332</v>
      </c>
      <c r="J69" s="2">
        <f>VLOOKUP(A:A,MASTER!A:J,10,0)</f>
        <v>1301</v>
      </c>
      <c r="K69" s="12">
        <f t="shared" si="6"/>
        <v>-2.3273273273273221E-2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</v>
      </c>
      <c r="P69" s="1">
        <f>VLOOKUP(A:A,MASTER!A:H,8,0)</f>
        <v>1</v>
      </c>
      <c r="Q69" s="12">
        <f t="shared" si="8"/>
        <v>0</v>
      </c>
      <c r="R69" s="1">
        <f>VLOOKUP(A:A,MASTER!A:B,2,0)</f>
        <v>1307</v>
      </c>
      <c r="S69">
        <f>VLOOKUP(A:A,MASTER!A:G,7,0)</f>
        <v>1288</v>
      </c>
      <c r="T69" s="12">
        <f t="shared" si="9"/>
        <v>-1.4537107880642663E-2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22560490.417262353</v>
      </c>
      <c r="G70" s="1">
        <f>VLOOKUP(A:A,MASTER!A:K,11,0)</f>
        <v>23381645.176113643</v>
      </c>
      <c r="H70" s="12">
        <f t="shared" si="5"/>
        <v>3.6397912619088091E-2</v>
      </c>
      <c r="I70" s="2">
        <f>VLOOKUP(A:A,MASTER!A:E,5,0)</f>
        <v>1242</v>
      </c>
      <c r="J70" s="2">
        <f>VLOOKUP(A:A,MASTER!A:J,10,0)</f>
        <v>1452</v>
      </c>
      <c r="K70" s="12">
        <f t="shared" si="6"/>
        <v>0.16908212560386482</v>
      </c>
      <c r="L70" s="2">
        <f>VLOOKUP(A:A,MASTER!A:D,4,0)</f>
        <v>4</v>
      </c>
      <c r="M70" s="2">
        <f>VLOOKUP(A:A,MASTER!A:I,9,0)</f>
        <v>6</v>
      </c>
      <c r="N70" s="12">
        <f t="shared" si="7"/>
        <v>0.5</v>
      </c>
      <c r="O70" s="1">
        <f>VLOOKUP(A:A,MASTER!A:C,3,0)</f>
        <v>3</v>
      </c>
      <c r="P70" s="1">
        <f>VLOOKUP(A:A,MASTER!A:H,8,0)</f>
        <v>5</v>
      </c>
      <c r="Q70" s="12">
        <f t="shared" si="8"/>
        <v>0.66666666666666674</v>
      </c>
      <c r="R70" s="1">
        <f>VLOOKUP(A:A,MASTER!A:B,2,0)</f>
        <v>1744</v>
      </c>
      <c r="S70">
        <f>VLOOKUP(A:A,MASTER!A:G,7,0)</f>
        <v>1751</v>
      </c>
      <c r="T70" s="12">
        <f t="shared" si="9"/>
        <v>4.0137614678898981E-3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4375811.9729387127</v>
      </c>
      <c r="G71" s="1">
        <f>VLOOKUP(A:A,MASTER!A:K,11,0)</f>
        <v>4289968.4185176417</v>
      </c>
      <c r="H71" s="12">
        <f t="shared" si="5"/>
        <v>-1.9617742935928772E-2</v>
      </c>
      <c r="I71" s="2">
        <f>VLOOKUP(A:A,MASTER!A:E,5,0)</f>
        <v>511</v>
      </c>
      <c r="J71" s="2">
        <f>VLOOKUP(A:A,MASTER!A:J,10,0)</f>
        <v>431</v>
      </c>
      <c r="K71" s="12">
        <f t="shared" si="6"/>
        <v>-0.15655577299412915</v>
      </c>
      <c r="L71" s="2">
        <f>VLOOKUP(A:A,MASTER!A:D,4,0)</f>
        <v>1</v>
      </c>
      <c r="M71" s="2">
        <f>VLOOKUP(A:A,MASTER!A:I,9,0)</f>
        <v>1</v>
      </c>
      <c r="N71" s="12">
        <f t="shared" si="7"/>
        <v>0</v>
      </c>
      <c r="O71" s="1">
        <f>VLOOKUP(A:A,MASTER!A:C,3,0)</f>
        <v>1</v>
      </c>
      <c r="P71" s="1">
        <f>VLOOKUP(A:A,MASTER!A:H,8,0)</f>
        <v>1</v>
      </c>
      <c r="Q71" s="12">
        <f t="shared" si="8"/>
        <v>0</v>
      </c>
      <c r="R71" s="1">
        <f>VLOOKUP(A:A,MASTER!A:B,2,0)</f>
        <v>497</v>
      </c>
      <c r="S71">
        <f>VLOOKUP(A:A,MASTER!A:G,7,0)</f>
        <v>509</v>
      </c>
      <c r="T71" s="12">
        <f t="shared" si="9"/>
        <v>2.4144869215291687E-2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6455484.0391519638</v>
      </c>
      <c r="G72" s="1">
        <f>VLOOKUP(A:A,MASTER!A:K,11,0)</f>
        <v>8019843.3908477323</v>
      </c>
      <c r="H72" s="12">
        <f t="shared" si="5"/>
        <v>0.24233029501863257</v>
      </c>
      <c r="I72" s="2">
        <f>VLOOKUP(A:A,MASTER!A:E,5,0)</f>
        <v>953</v>
      </c>
      <c r="J72" s="2">
        <f>VLOOKUP(A:A,MASTER!A:J,10,0)</f>
        <v>836</v>
      </c>
      <c r="K72" s="12">
        <f t="shared" si="6"/>
        <v>-0.12277019937040923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2</v>
      </c>
      <c r="P72" s="1">
        <f>VLOOKUP(A:A,MASTER!A:H,8,0)</f>
        <v>1</v>
      </c>
      <c r="Q72" s="12">
        <f t="shared" si="8"/>
        <v>-0.5</v>
      </c>
      <c r="R72" s="1">
        <f>VLOOKUP(A:A,MASTER!A:B,2,0)</f>
        <v>890</v>
      </c>
      <c r="S72">
        <f>VLOOKUP(A:A,MASTER!A:G,7,0)</f>
        <v>886</v>
      </c>
      <c r="T72" s="12">
        <f t="shared" si="9"/>
        <v>-4.4943820224718767E-3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6656745.3819831526</v>
      </c>
      <c r="G73" s="1">
        <f>VLOOKUP(A:A,MASTER!A:K,11,0)</f>
        <v>7714567.795148775</v>
      </c>
      <c r="H73" s="12">
        <f t="shared" si="5"/>
        <v>0.15890985045464956</v>
      </c>
      <c r="I73" s="2">
        <f>VLOOKUP(A:A,MASTER!A:E,5,0)</f>
        <v>486</v>
      </c>
      <c r="J73" s="2">
        <f>VLOOKUP(A:A,MASTER!A:J,10,0)</f>
        <v>484</v>
      </c>
      <c r="K73" s="12">
        <f t="shared" si="6"/>
        <v>-4.1152263374485409E-3</v>
      </c>
      <c r="L73" s="2">
        <f>VLOOKUP(A:A,MASTER!A:D,4,0)</f>
        <v>3</v>
      </c>
      <c r="M73" s="2">
        <f>VLOOKUP(A:A,MASTER!A:I,9,0)</f>
        <v>4</v>
      </c>
      <c r="N73" s="12">
        <f t="shared" si="7"/>
        <v>0.33333333333333326</v>
      </c>
      <c r="O73" s="1">
        <f>VLOOKUP(A:A,MASTER!A:C,3,0)</f>
        <v>0</v>
      </c>
      <c r="P73" s="1">
        <f>VLOOKUP(A:A,MASTER!A:H,8,0)</f>
        <v>2</v>
      </c>
      <c r="Q73" s="12">
        <f t="shared" si="8"/>
        <v>0</v>
      </c>
      <c r="R73" s="1">
        <f>VLOOKUP(A:A,MASTER!A:B,2,0)</f>
        <v>645</v>
      </c>
      <c r="S73">
        <f>VLOOKUP(A:A,MASTER!A:G,7,0)</f>
        <v>621</v>
      </c>
      <c r="T73" s="12">
        <f t="shared" si="9"/>
        <v>-3.7209302325581395E-2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6145372.1759344051</v>
      </c>
      <c r="G74" s="1">
        <f>VLOOKUP(A:A,MASTER!A:K,11,0)</f>
        <v>4205049.2669032412</v>
      </c>
      <c r="H74" s="12">
        <f t="shared" si="5"/>
        <v>-0.3157372496705031</v>
      </c>
      <c r="I74" s="2">
        <f>VLOOKUP(A:A,MASTER!A:E,5,0)</f>
        <v>1232</v>
      </c>
      <c r="J74" s="2">
        <f>VLOOKUP(A:A,MASTER!A:J,10,0)</f>
        <v>673</v>
      </c>
      <c r="K74" s="12">
        <f t="shared" si="6"/>
        <v>-0.45373376623376627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3</v>
      </c>
      <c r="P74" s="1">
        <f>VLOOKUP(A:A,MASTER!A:H,8,0)</f>
        <v>1</v>
      </c>
      <c r="Q74" s="12">
        <f t="shared" si="8"/>
        <v>-0.66666666666666674</v>
      </c>
      <c r="R74" s="1">
        <f>VLOOKUP(A:A,MASTER!A:B,2,0)</f>
        <v>584</v>
      </c>
      <c r="S74">
        <f>VLOOKUP(A:A,MASTER!A:G,7,0)</f>
        <v>575</v>
      </c>
      <c r="T74" s="12">
        <f t="shared" si="9"/>
        <v>-1.5410958904109595E-2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6167548.4817713527</v>
      </c>
      <c r="G75" s="1">
        <f>VLOOKUP(A:A,MASTER!A:K,11,0)</f>
        <v>5247516.1754672527</v>
      </c>
      <c r="H75" s="12">
        <f t="shared" si="5"/>
        <v>-0.14917309673743528</v>
      </c>
      <c r="I75" s="2">
        <f>VLOOKUP(A:A,MASTER!A:E,5,0)</f>
        <v>489</v>
      </c>
      <c r="J75" s="2">
        <f>VLOOKUP(A:A,MASTER!A:J,10,0)</f>
        <v>441</v>
      </c>
      <c r="K75" s="12">
        <f t="shared" si="6"/>
        <v>-9.8159509202453976E-2</v>
      </c>
      <c r="L75" s="2">
        <f>VLOOKUP(A:A,MASTER!A:D,4,0)</f>
        <v>7</v>
      </c>
      <c r="M75" s="2">
        <f>VLOOKUP(A:A,MASTER!A:I,9,0)</f>
        <v>7</v>
      </c>
      <c r="N75" s="12">
        <f t="shared" si="7"/>
        <v>0</v>
      </c>
      <c r="O75" s="1">
        <f>VLOOKUP(A:A,MASTER!A:C,3,0)</f>
        <v>0</v>
      </c>
      <c r="P75" s="1">
        <f>VLOOKUP(A:A,MASTER!A:H,8,0)</f>
        <v>1</v>
      </c>
      <c r="Q75" s="12">
        <f t="shared" si="8"/>
        <v>0</v>
      </c>
      <c r="R75" s="1">
        <f>VLOOKUP(A:A,MASTER!A:B,2,0)</f>
        <v>448</v>
      </c>
      <c r="S75">
        <f>VLOOKUP(A:A,MASTER!A:G,7,0)</f>
        <v>447</v>
      </c>
      <c r="T75" s="12">
        <f t="shared" si="9"/>
        <v>-2.2321428571429047E-3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15602501.207027076</v>
      </c>
      <c r="G76" s="1">
        <f>VLOOKUP(A:A,MASTER!A:K,11,0)</f>
        <v>13829389.82868398</v>
      </c>
      <c r="H76" s="12">
        <f t="shared" si="5"/>
        <v>-0.113642765016709</v>
      </c>
      <c r="I76" s="2">
        <f>VLOOKUP(A:A,MASTER!A:E,5,0)</f>
        <v>728</v>
      </c>
      <c r="J76" s="2">
        <f>VLOOKUP(A:A,MASTER!A:J,10,0)</f>
        <v>509</v>
      </c>
      <c r="K76" s="12">
        <f t="shared" si="6"/>
        <v>-0.30082417582417587</v>
      </c>
      <c r="L76" s="2">
        <f>VLOOKUP(A:A,MASTER!A:D,4,0)</f>
        <v>3</v>
      </c>
      <c r="M76" s="2">
        <f>VLOOKUP(A:A,MASTER!A:I,9,0)</f>
        <v>3</v>
      </c>
      <c r="N76" s="12">
        <f t="shared" si="7"/>
        <v>0</v>
      </c>
      <c r="O76" s="1">
        <f>VLOOKUP(A:A,MASTER!A:C,3,0)</f>
        <v>3</v>
      </c>
      <c r="P76" s="1">
        <f>VLOOKUP(A:A,MASTER!A:H,8,0)</f>
        <v>3</v>
      </c>
      <c r="Q76" s="12">
        <f t="shared" si="8"/>
        <v>0</v>
      </c>
      <c r="R76" s="1">
        <f>VLOOKUP(A:A,MASTER!A:B,2,0)</f>
        <v>957</v>
      </c>
      <c r="S76">
        <f>VLOOKUP(A:A,MASTER!A:G,7,0)</f>
        <v>897</v>
      </c>
      <c r="T76" s="12">
        <f t="shared" si="9"/>
        <v>-6.2695924764890276E-2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9637371.4650558643</v>
      </c>
      <c r="G77" s="1">
        <f>VLOOKUP(A:A,MASTER!A:K,11,0)</f>
        <v>9618529.1790097281</v>
      </c>
      <c r="H77" s="12">
        <f t="shared" si="5"/>
        <v>-1.9551270919104802E-3</v>
      </c>
      <c r="I77" s="2">
        <f>VLOOKUP(A:A,MASTER!A:E,5,0)</f>
        <v>728</v>
      </c>
      <c r="J77" s="2">
        <f>VLOOKUP(A:A,MASTER!A:J,10,0)</f>
        <v>759</v>
      </c>
      <c r="K77" s="12">
        <f t="shared" si="6"/>
        <v>4.2582417582417653E-2</v>
      </c>
      <c r="L77" s="2">
        <f>VLOOKUP(A:A,MASTER!A:D,4,0)</f>
        <v>10</v>
      </c>
      <c r="M77" s="2">
        <f>VLOOKUP(A:A,MASTER!A:I,9,0)</f>
        <v>8</v>
      </c>
      <c r="N77" s="12">
        <f t="shared" si="7"/>
        <v>-0.19999999999999996</v>
      </c>
      <c r="O77" s="1">
        <f>VLOOKUP(A:A,MASTER!A:C,3,0)</f>
        <v>2</v>
      </c>
      <c r="P77" s="1">
        <f>VLOOKUP(A:A,MASTER!A:H,8,0)</f>
        <v>2</v>
      </c>
      <c r="Q77" s="12">
        <f t="shared" si="8"/>
        <v>0</v>
      </c>
      <c r="R77" s="1">
        <f>VLOOKUP(A:A,MASTER!A:B,2,0)</f>
        <v>777</v>
      </c>
      <c r="S77">
        <f>VLOOKUP(A:A,MASTER!A:G,7,0)</f>
        <v>786</v>
      </c>
      <c r="T77" s="12">
        <f t="shared" si="9"/>
        <v>1.158301158301156E-2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8652909.5345926397</v>
      </c>
      <c r="G78" s="1">
        <f>VLOOKUP(A:A,MASTER!A:K,11,0)</f>
        <v>8377757.8982604528</v>
      </c>
      <c r="H78" s="12">
        <f t="shared" si="5"/>
        <v>-3.1798741825762145E-2</v>
      </c>
      <c r="I78" s="2">
        <f>VLOOKUP(A:A,MASTER!A:E,5,0)</f>
        <v>1078</v>
      </c>
      <c r="J78" s="2">
        <f>VLOOKUP(A:A,MASTER!A:J,10,0)</f>
        <v>963</v>
      </c>
      <c r="K78" s="12">
        <f t="shared" si="6"/>
        <v>-0.10667903525046385</v>
      </c>
      <c r="L78" s="2">
        <f>VLOOKUP(A:A,MASTER!A:D,4,0)</f>
        <v>1</v>
      </c>
      <c r="M78" s="2">
        <f>VLOOKUP(A:A,MASTER!A:I,9,0)</f>
        <v>2</v>
      </c>
      <c r="N78" s="12">
        <f t="shared" si="7"/>
        <v>1</v>
      </c>
      <c r="O78" s="1">
        <f>VLOOKUP(A:A,MASTER!A:C,3,0)</f>
        <v>1</v>
      </c>
      <c r="P78" s="1">
        <f>VLOOKUP(A:A,MASTER!A:H,8,0)</f>
        <v>0</v>
      </c>
      <c r="Q78" s="12">
        <f t="shared" si="8"/>
        <v>-1</v>
      </c>
      <c r="R78" s="1">
        <f>VLOOKUP(A:A,MASTER!A:B,2,0)</f>
        <v>955</v>
      </c>
      <c r="S78">
        <f>VLOOKUP(A:A,MASTER!A:G,7,0)</f>
        <v>940</v>
      </c>
      <c r="T78" s="12">
        <f t="shared" si="9"/>
        <v>-1.5706806282722474E-2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5639004.5138757592</v>
      </c>
      <c r="G79" s="1">
        <f>VLOOKUP(A:A,MASTER!A:K,11,0)</f>
        <v>10084372.857738692</v>
      </c>
      <c r="H79" s="12">
        <f t="shared" si="5"/>
        <v>0.78832501958888757</v>
      </c>
      <c r="I79" s="2">
        <f>VLOOKUP(A:A,MASTER!A:E,5,0)</f>
        <v>864</v>
      </c>
      <c r="J79" s="2">
        <f>VLOOKUP(A:A,MASTER!A:J,10,0)</f>
        <v>852</v>
      </c>
      <c r="K79" s="12">
        <f t="shared" si="6"/>
        <v>-1.388888888888884E-2</v>
      </c>
      <c r="L79" s="2">
        <f>VLOOKUP(A:A,MASTER!A:D,4,0)</f>
        <v>4</v>
      </c>
      <c r="M79" s="2">
        <f>VLOOKUP(A:A,MASTER!A:I,9,0)</f>
        <v>5</v>
      </c>
      <c r="N79" s="12">
        <f t="shared" si="7"/>
        <v>0.25</v>
      </c>
      <c r="O79" s="1">
        <f>VLOOKUP(A:A,MASTER!A:C,3,0)</f>
        <v>1</v>
      </c>
      <c r="P79" s="1">
        <f>VLOOKUP(A:A,MASTER!A:H,8,0)</f>
        <v>0</v>
      </c>
      <c r="Q79" s="12">
        <f t="shared" si="8"/>
        <v>-1</v>
      </c>
      <c r="R79" s="1">
        <f>VLOOKUP(A:A,MASTER!A:B,2,0)</f>
        <v>1002</v>
      </c>
      <c r="S79">
        <f>VLOOKUP(A:A,MASTER!A:G,7,0)</f>
        <v>966</v>
      </c>
      <c r="T79" s="12">
        <f t="shared" si="9"/>
        <v>-3.59281437125748E-2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8950824.0708206147</v>
      </c>
      <c r="G80" s="1">
        <f>VLOOKUP(A:A,MASTER!A:K,11,0)</f>
        <v>10962669.639295643</v>
      </c>
      <c r="H80" s="12">
        <f t="shared" si="5"/>
        <v>0.22476651898829925</v>
      </c>
      <c r="I80" s="2">
        <f>VLOOKUP(A:A,MASTER!A:E,5,0)</f>
        <v>722</v>
      </c>
      <c r="J80" s="2">
        <f>VLOOKUP(A:A,MASTER!A:J,10,0)</f>
        <v>762</v>
      </c>
      <c r="K80" s="12">
        <f t="shared" si="6"/>
        <v>5.5401662049861411E-2</v>
      </c>
      <c r="L80" s="2">
        <f>VLOOKUP(A:A,MASTER!A:D,4,0)</f>
        <v>6</v>
      </c>
      <c r="M80" s="2">
        <f>VLOOKUP(A:A,MASTER!A:I,9,0)</f>
        <v>6</v>
      </c>
      <c r="N80" s="12">
        <f t="shared" si="7"/>
        <v>0</v>
      </c>
      <c r="O80" s="1">
        <f>VLOOKUP(A:A,MASTER!A:C,3,0)</f>
        <v>0</v>
      </c>
      <c r="P80" s="1">
        <f>VLOOKUP(A:A,MASTER!A:H,8,0)</f>
        <v>0</v>
      </c>
      <c r="Q80" s="12">
        <f t="shared" si="8"/>
        <v>0</v>
      </c>
      <c r="R80" s="1">
        <f>VLOOKUP(A:A,MASTER!A:B,2,0)</f>
        <v>735</v>
      </c>
      <c r="S80">
        <f>VLOOKUP(A:A,MASTER!A:G,7,0)</f>
        <v>759</v>
      </c>
      <c r="T80" s="12">
        <f t="shared" si="9"/>
        <v>3.2653061224489743E-2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5040232.7874080641</v>
      </c>
      <c r="G81" s="1">
        <f>VLOOKUP(A:A,MASTER!A:K,11,0)</f>
        <v>4639037.4862943813</v>
      </c>
      <c r="H81" s="12">
        <f t="shared" si="5"/>
        <v>-7.9598565787672104E-2</v>
      </c>
      <c r="I81" s="2">
        <f>VLOOKUP(A:A,MASTER!A:E,5,0)</f>
        <v>771</v>
      </c>
      <c r="J81" s="2">
        <f>VLOOKUP(A:A,MASTER!A:J,10,0)</f>
        <v>500</v>
      </c>
      <c r="K81" s="12">
        <f t="shared" si="6"/>
        <v>-0.35149156939040205</v>
      </c>
      <c r="L81" s="2">
        <f>VLOOKUP(A:A,MASTER!A:D,4,0)</f>
        <v>1</v>
      </c>
      <c r="M81" s="2">
        <f>VLOOKUP(A:A,MASTER!A:I,9,0)</f>
        <v>0</v>
      </c>
      <c r="N81" s="12">
        <f t="shared" si="7"/>
        <v>-1</v>
      </c>
      <c r="O81" s="1">
        <f>VLOOKUP(A:A,MASTER!A:C,3,0)</f>
        <v>0</v>
      </c>
      <c r="P81" s="1">
        <f>VLOOKUP(A:A,MASTER!A:H,8,0)</f>
        <v>2</v>
      </c>
      <c r="Q81" s="12">
        <f t="shared" si="8"/>
        <v>0</v>
      </c>
      <c r="R81" s="1">
        <f>VLOOKUP(A:A,MASTER!A:B,2,0)</f>
        <v>578</v>
      </c>
      <c r="S81">
        <f>VLOOKUP(A:A,MASTER!A:G,7,0)</f>
        <v>575</v>
      </c>
      <c r="T81" s="12">
        <f t="shared" si="9"/>
        <v>-5.1903114186850896E-3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18568180.655060079</v>
      </c>
      <c r="G82" s="1">
        <f>VLOOKUP(A:A,MASTER!A:K,11,0)</f>
        <v>23710006.613139428</v>
      </c>
      <c r="H82" s="12">
        <f t="shared" si="5"/>
        <v>0.27691598081679225</v>
      </c>
      <c r="I82" s="2">
        <f>VLOOKUP(A:A,MASTER!A:E,5,0)</f>
        <v>1241</v>
      </c>
      <c r="J82" s="2">
        <f>VLOOKUP(A:A,MASTER!A:J,10,0)</f>
        <v>1457</v>
      </c>
      <c r="K82" s="12">
        <f t="shared" si="6"/>
        <v>0.17405318291700245</v>
      </c>
      <c r="L82" s="2">
        <f>VLOOKUP(A:A,MASTER!A:D,4,0)</f>
        <v>10</v>
      </c>
      <c r="M82" s="2">
        <f>VLOOKUP(A:A,MASTER!A:I,9,0)</f>
        <v>9</v>
      </c>
      <c r="N82" s="12">
        <f t="shared" si="7"/>
        <v>-9.9999999999999978E-2</v>
      </c>
      <c r="O82" s="1">
        <f>VLOOKUP(A:A,MASTER!A:C,3,0)</f>
        <v>0</v>
      </c>
      <c r="P82" s="1">
        <f>VLOOKUP(A:A,MASTER!A:H,8,0)</f>
        <v>1</v>
      </c>
      <c r="Q82" s="12">
        <f t="shared" si="8"/>
        <v>0</v>
      </c>
      <c r="R82" s="1">
        <f>VLOOKUP(A:A,MASTER!A:B,2,0)</f>
        <v>1736</v>
      </c>
      <c r="S82">
        <f>VLOOKUP(A:A,MASTER!A:G,7,0)</f>
        <v>1760</v>
      </c>
      <c r="T82" s="12">
        <f t="shared" si="9"/>
        <v>1.3824884792626779E-2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4039640.5948034199</v>
      </c>
      <c r="G83" s="1">
        <f>VLOOKUP(A:A,MASTER!A:K,11,0)</f>
        <v>4725877.7933154078</v>
      </c>
      <c r="H83" s="12">
        <f t="shared" si="5"/>
        <v>0.16987580513839795</v>
      </c>
      <c r="I83" s="2">
        <f>VLOOKUP(A:A,MASTER!A:E,5,0)</f>
        <v>573</v>
      </c>
      <c r="J83" s="2">
        <f>VLOOKUP(A:A,MASTER!A:J,10,0)</f>
        <v>649</v>
      </c>
      <c r="K83" s="12">
        <f t="shared" si="6"/>
        <v>0.13263525305410129</v>
      </c>
      <c r="L83" s="2">
        <f>VLOOKUP(A:A,MASTER!A:D,4,0)</f>
        <v>2</v>
      </c>
      <c r="M83" s="2">
        <f>VLOOKUP(A:A,MASTER!A:I,9,0)</f>
        <v>3</v>
      </c>
      <c r="N83" s="12">
        <f t="shared" si="7"/>
        <v>0.5</v>
      </c>
      <c r="O83" s="1">
        <f>VLOOKUP(A:A,MASTER!A:C,3,0)</f>
        <v>0</v>
      </c>
      <c r="P83" s="1">
        <f>VLOOKUP(A:A,MASTER!A:H,8,0)</f>
        <v>0</v>
      </c>
      <c r="Q83" s="12">
        <f t="shared" si="8"/>
        <v>0</v>
      </c>
      <c r="R83" s="1">
        <f>VLOOKUP(A:A,MASTER!A:B,2,0)</f>
        <v>595</v>
      </c>
      <c r="S83">
        <f>VLOOKUP(A:A,MASTER!A:G,7,0)</f>
        <v>639</v>
      </c>
      <c r="T83" s="12">
        <f t="shared" si="9"/>
        <v>7.3949579831932732E-2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9035115.4145014361</v>
      </c>
      <c r="G84" s="1">
        <f>VLOOKUP(A:A,MASTER!A:K,11,0)</f>
        <v>8817148.5643374957</v>
      </c>
      <c r="H84" s="12">
        <f t="shared" si="5"/>
        <v>-2.4124412380399862E-2</v>
      </c>
      <c r="I84" s="2">
        <f>VLOOKUP(A:A,MASTER!A:E,5,0)</f>
        <v>620</v>
      </c>
      <c r="J84" s="2">
        <f>VLOOKUP(A:A,MASTER!A:J,10,0)</f>
        <v>775</v>
      </c>
      <c r="K84" s="12">
        <f t="shared" si="6"/>
        <v>0.25</v>
      </c>
      <c r="L84" s="2">
        <f>VLOOKUP(A:A,MASTER!A:D,4,0)</f>
        <v>7</v>
      </c>
      <c r="M84" s="2">
        <f>VLOOKUP(A:A,MASTER!A:I,9,0)</f>
        <v>9</v>
      </c>
      <c r="N84" s="12">
        <f t="shared" si="7"/>
        <v>0.28571428571428581</v>
      </c>
      <c r="O84" s="1">
        <f>VLOOKUP(A:A,MASTER!A:C,3,0)</f>
        <v>3</v>
      </c>
      <c r="P84" s="1">
        <f>VLOOKUP(A:A,MASTER!A:H,8,0)</f>
        <v>2</v>
      </c>
      <c r="Q84" s="12">
        <f t="shared" si="8"/>
        <v>-0.33333333333333337</v>
      </c>
      <c r="R84" s="1">
        <f>VLOOKUP(A:A,MASTER!A:B,2,0)</f>
        <v>615</v>
      </c>
      <c r="S84">
        <f>VLOOKUP(A:A,MASTER!A:G,7,0)</f>
        <v>681</v>
      </c>
      <c r="T84" s="12">
        <f t="shared" si="9"/>
        <v>0.1073170731707318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2522971.2262231968</v>
      </c>
      <c r="G85" s="1">
        <f>VLOOKUP(A:A,MASTER!A:K,11,0)</f>
        <v>2652413.9551826539</v>
      </c>
      <c r="H85" s="12">
        <f t="shared" si="5"/>
        <v>5.1305669923643382E-2</v>
      </c>
      <c r="I85" s="2">
        <f>VLOOKUP(A:A,MASTER!A:E,5,0)</f>
        <v>314</v>
      </c>
      <c r="J85" s="2">
        <f>VLOOKUP(A:A,MASTER!A:J,10,0)</f>
        <v>357</v>
      </c>
      <c r="K85" s="12">
        <f t="shared" si="6"/>
        <v>0.13694267515923575</v>
      </c>
      <c r="L85" s="2">
        <f>VLOOKUP(A:A,MASTER!A:D,4,0)</f>
        <v>0</v>
      </c>
      <c r="M85" s="2">
        <f>VLOOKUP(A:A,MASTER!A:I,9,0)</f>
        <v>1</v>
      </c>
      <c r="N85" s="12">
        <f t="shared" si="7"/>
        <v>0</v>
      </c>
      <c r="O85" s="1">
        <f>VLOOKUP(A:A,MASTER!A:C,3,0)</f>
        <v>1</v>
      </c>
      <c r="P85" s="1">
        <f>VLOOKUP(A:A,MASTER!A:H,8,0)</f>
        <v>2</v>
      </c>
      <c r="Q85" s="12">
        <f t="shared" si="8"/>
        <v>1</v>
      </c>
      <c r="R85" s="1">
        <f>VLOOKUP(A:A,MASTER!A:B,2,0)</f>
        <v>361</v>
      </c>
      <c r="S85">
        <f>VLOOKUP(A:A,MASTER!A:G,7,0)</f>
        <v>364</v>
      </c>
      <c r="T85" s="12">
        <f t="shared" si="9"/>
        <v>8.310249307479145E-3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91"/>
  <sheetViews>
    <sheetView workbookViewId="0">
      <pane xSplit="1" ySplit="5" topLeftCell="B78" activePane="bottomRight" state="frozen"/>
      <selection pane="topRight" activeCell="B1" sqref="B1"/>
      <selection pane="bottomLeft" activeCell="A6" sqref="A6"/>
      <selection pane="bottomRight" activeCell="A5" sqref="A5:K91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84729</v>
      </c>
      <c r="C3" s="11">
        <f t="shared" si="0"/>
        <v>585</v>
      </c>
      <c r="D3" s="11">
        <f t="shared" si="0"/>
        <v>304</v>
      </c>
      <c r="E3" s="11">
        <f t="shared" si="0"/>
        <v>71425</v>
      </c>
      <c r="F3" s="11">
        <f t="shared" si="0"/>
        <v>902160932.74304485</v>
      </c>
      <c r="G3" s="11">
        <f t="shared" si="0"/>
        <v>84017</v>
      </c>
      <c r="H3" s="11">
        <f t="shared" si="0"/>
        <v>394</v>
      </c>
      <c r="I3" s="11">
        <f t="shared" si="0"/>
        <v>310</v>
      </c>
      <c r="J3" s="11">
        <f t="shared" si="0"/>
        <v>71459</v>
      </c>
      <c r="K3" s="11">
        <f t="shared" si="0"/>
        <v>965035740.74309564</v>
      </c>
    </row>
    <row r="4" spans="1:11" x14ac:dyDescent="0.35">
      <c r="A4" s="7"/>
      <c r="B4" s="7" t="s">
        <v>194</v>
      </c>
      <c r="C4" s="7"/>
      <c r="D4" s="7"/>
      <c r="E4" s="7"/>
      <c r="F4" s="7"/>
      <c r="G4" s="7" t="s">
        <v>195</v>
      </c>
      <c r="H4" s="7"/>
      <c r="I4" s="7"/>
      <c r="J4" s="7"/>
      <c r="K4" s="7"/>
    </row>
    <row r="5" spans="1:11" x14ac:dyDescent="0.35">
      <c r="A5" s="8" t="s">
        <v>196</v>
      </c>
      <c r="B5" s="8" t="s">
        <v>197</v>
      </c>
      <c r="C5" s="8" t="s">
        <v>204</v>
      </c>
      <c r="D5" s="8" t="s">
        <v>198</v>
      </c>
      <c r="E5" s="8" t="s">
        <v>199</v>
      </c>
      <c r="F5" s="8" t="s">
        <v>200</v>
      </c>
      <c r="G5" s="8" t="s">
        <v>197</v>
      </c>
      <c r="H5" s="8" t="s">
        <v>204</v>
      </c>
      <c r="I5" s="8" t="s">
        <v>198</v>
      </c>
      <c r="J5" s="8" t="s">
        <v>199</v>
      </c>
      <c r="K5" s="8" t="s">
        <v>200</v>
      </c>
    </row>
    <row r="6" spans="1:11" x14ac:dyDescent="0.35">
      <c r="A6" s="9" t="s">
        <v>117</v>
      </c>
      <c r="B6" s="10">
        <v>406</v>
      </c>
      <c r="C6" s="10">
        <v>0</v>
      </c>
      <c r="D6" s="10">
        <v>2</v>
      </c>
      <c r="E6" s="10">
        <v>339</v>
      </c>
      <c r="F6" s="10">
        <v>4003429.022572496</v>
      </c>
      <c r="G6" s="10">
        <v>434</v>
      </c>
      <c r="H6" s="10">
        <v>1</v>
      </c>
      <c r="I6" s="10">
        <v>2</v>
      </c>
      <c r="J6" s="10">
        <v>343</v>
      </c>
      <c r="K6" s="10">
        <v>4106370.1809836258</v>
      </c>
    </row>
    <row r="7" spans="1:11" x14ac:dyDescent="0.35">
      <c r="A7" s="9" t="s">
        <v>127</v>
      </c>
      <c r="B7" s="10">
        <v>648</v>
      </c>
      <c r="C7" s="10">
        <v>1</v>
      </c>
      <c r="D7" s="10">
        <v>2</v>
      </c>
      <c r="E7" s="10">
        <v>628</v>
      </c>
      <c r="F7" s="10">
        <v>5105931.1009078808</v>
      </c>
      <c r="G7" s="10">
        <v>581</v>
      </c>
      <c r="H7" s="10">
        <v>4</v>
      </c>
      <c r="I7" s="10">
        <v>3</v>
      </c>
      <c r="J7" s="10">
        <v>480</v>
      </c>
      <c r="K7" s="10">
        <v>4663530.0290132752</v>
      </c>
    </row>
    <row r="8" spans="1:11" x14ac:dyDescent="0.35">
      <c r="A8" s="9" t="s">
        <v>119</v>
      </c>
      <c r="B8" s="10">
        <v>726</v>
      </c>
      <c r="C8" s="10">
        <v>2</v>
      </c>
      <c r="D8" s="10">
        <v>1</v>
      </c>
      <c r="E8" s="10">
        <v>13</v>
      </c>
      <c r="F8" s="10">
        <v>4831246.832639995</v>
      </c>
      <c r="G8" s="10">
        <v>787</v>
      </c>
      <c r="H8" s="10">
        <v>3</v>
      </c>
      <c r="I8" s="10">
        <v>1</v>
      </c>
      <c r="J8" s="10">
        <v>677</v>
      </c>
      <c r="K8" s="10">
        <v>7168469.4569246201</v>
      </c>
    </row>
    <row r="9" spans="1:11" x14ac:dyDescent="0.35">
      <c r="A9" s="9" t="s">
        <v>121</v>
      </c>
      <c r="B9" s="10">
        <v>1222</v>
      </c>
      <c r="C9" s="10">
        <v>2</v>
      </c>
      <c r="D9" s="10">
        <v>3</v>
      </c>
      <c r="E9" s="10">
        <v>984</v>
      </c>
      <c r="F9" s="10">
        <v>10567047.919974176</v>
      </c>
      <c r="G9" s="10">
        <v>1234</v>
      </c>
      <c r="H9" s="10">
        <v>1</v>
      </c>
      <c r="I9" s="10">
        <v>2</v>
      </c>
      <c r="J9" s="10">
        <v>965</v>
      </c>
      <c r="K9" s="10">
        <v>11637285.102184862</v>
      </c>
    </row>
    <row r="10" spans="1:11" x14ac:dyDescent="0.35">
      <c r="A10" s="9" t="s">
        <v>123</v>
      </c>
      <c r="B10" s="10">
        <v>400</v>
      </c>
      <c r="C10" s="10">
        <v>1</v>
      </c>
      <c r="D10" s="10">
        <v>1</v>
      </c>
      <c r="E10" s="10">
        <v>364</v>
      </c>
      <c r="F10" s="10">
        <v>4259126.1628009314</v>
      </c>
      <c r="G10" s="10">
        <v>382</v>
      </c>
      <c r="H10" s="10">
        <v>0</v>
      </c>
      <c r="I10" s="10">
        <v>1</v>
      </c>
      <c r="J10" s="10">
        <v>360</v>
      </c>
      <c r="K10" s="10">
        <v>4827367.2313834922</v>
      </c>
    </row>
    <row r="11" spans="1:11" x14ac:dyDescent="0.35">
      <c r="A11" s="9" t="s">
        <v>125</v>
      </c>
      <c r="B11" s="10">
        <v>376</v>
      </c>
      <c r="C11" s="10">
        <v>2</v>
      </c>
      <c r="D11" s="10">
        <v>2</v>
      </c>
      <c r="E11" s="10">
        <v>304</v>
      </c>
      <c r="F11" s="10">
        <v>4008489.4754802031</v>
      </c>
      <c r="G11" s="10">
        <v>382</v>
      </c>
      <c r="H11" s="10">
        <v>0</v>
      </c>
      <c r="I11" s="10">
        <v>2</v>
      </c>
      <c r="J11" s="10">
        <v>255</v>
      </c>
      <c r="K11" s="10">
        <v>2988364.490615251</v>
      </c>
    </row>
    <row r="12" spans="1:11" x14ac:dyDescent="0.35">
      <c r="A12" s="9" t="s">
        <v>131</v>
      </c>
      <c r="B12" s="10">
        <v>597</v>
      </c>
      <c r="C12" s="10">
        <v>0</v>
      </c>
      <c r="D12" s="10">
        <v>4</v>
      </c>
      <c r="E12" s="10">
        <v>487</v>
      </c>
      <c r="F12" s="10">
        <v>4488834.0842338577</v>
      </c>
      <c r="G12" s="10">
        <v>634</v>
      </c>
      <c r="H12" s="10">
        <v>0</v>
      </c>
      <c r="I12" s="10">
        <v>0</v>
      </c>
      <c r="J12" s="10">
        <v>512</v>
      </c>
      <c r="K12" s="10">
        <v>4949563.6282399083</v>
      </c>
    </row>
    <row r="13" spans="1:11" x14ac:dyDescent="0.35">
      <c r="A13" s="9" t="s">
        <v>133</v>
      </c>
      <c r="B13" s="10">
        <v>175</v>
      </c>
      <c r="C13" s="10">
        <v>0</v>
      </c>
      <c r="D13" s="10">
        <v>0</v>
      </c>
      <c r="E13" s="10">
        <v>127</v>
      </c>
      <c r="F13" s="10">
        <v>2184692.3143682778</v>
      </c>
      <c r="G13" s="10">
        <v>183</v>
      </c>
      <c r="H13" s="10">
        <v>0</v>
      </c>
      <c r="I13" s="10">
        <v>1</v>
      </c>
      <c r="J13" s="10">
        <v>146</v>
      </c>
      <c r="K13" s="10">
        <v>2312910.6499294881</v>
      </c>
    </row>
    <row r="14" spans="1:11" x14ac:dyDescent="0.35">
      <c r="A14" s="9" t="s">
        <v>141</v>
      </c>
      <c r="B14" s="10">
        <v>185</v>
      </c>
      <c r="C14" s="10">
        <v>0</v>
      </c>
      <c r="D14" s="10">
        <v>1</v>
      </c>
      <c r="E14" s="10">
        <v>0</v>
      </c>
      <c r="F14" s="10">
        <v>22.486592934000001</v>
      </c>
      <c r="G14" s="10">
        <v>200</v>
      </c>
      <c r="H14" s="10">
        <v>0</v>
      </c>
      <c r="I14" s="10">
        <v>0</v>
      </c>
      <c r="J14" s="10">
        <v>180</v>
      </c>
      <c r="K14" s="10">
        <v>2271681.23378444</v>
      </c>
    </row>
    <row r="15" spans="1:11" x14ac:dyDescent="0.35">
      <c r="A15" s="9" t="s">
        <v>135</v>
      </c>
      <c r="B15" s="10">
        <v>364</v>
      </c>
      <c r="C15" s="10">
        <v>1</v>
      </c>
      <c r="D15" s="10">
        <v>1</v>
      </c>
      <c r="E15" s="10">
        <v>477</v>
      </c>
      <c r="F15" s="10">
        <v>4541662.1852838956</v>
      </c>
      <c r="G15" s="10">
        <v>380</v>
      </c>
      <c r="H15" s="10">
        <v>3</v>
      </c>
      <c r="I15" s="10">
        <v>1</v>
      </c>
      <c r="J15" s="10">
        <v>374</v>
      </c>
      <c r="K15" s="10">
        <v>3810477.1599904601</v>
      </c>
    </row>
    <row r="16" spans="1:11" x14ac:dyDescent="0.35">
      <c r="A16" s="9" t="s">
        <v>143</v>
      </c>
      <c r="B16" s="10">
        <v>196</v>
      </c>
      <c r="C16" s="10">
        <v>0</v>
      </c>
      <c r="D16" s="10">
        <v>2</v>
      </c>
      <c r="E16" s="10">
        <v>254</v>
      </c>
      <c r="F16" s="10">
        <v>2031521.206300766</v>
      </c>
      <c r="G16" s="10">
        <v>241</v>
      </c>
      <c r="H16" s="10">
        <v>0</v>
      </c>
      <c r="I16" s="10">
        <v>2</v>
      </c>
      <c r="J16" s="10">
        <v>222</v>
      </c>
      <c r="K16" s="10">
        <v>2052632.9257800761</v>
      </c>
    </row>
    <row r="17" spans="1:11" x14ac:dyDescent="0.35">
      <c r="A17" s="9" t="s">
        <v>145</v>
      </c>
      <c r="B17" s="10">
        <v>237</v>
      </c>
      <c r="C17" s="10">
        <v>0</v>
      </c>
      <c r="D17" s="10">
        <v>1</v>
      </c>
      <c r="E17" s="10">
        <v>231</v>
      </c>
      <c r="F17" s="10">
        <v>2142854.9488816219</v>
      </c>
      <c r="G17" s="10">
        <v>248</v>
      </c>
      <c r="H17" s="10">
        <v>0</v>
      </c>
      <c r="I17" s="10">
        <v>0</v>
      </c>
      <c r="J17" s="10">
        <v>193</v>
      </c>
      <c r="K17" s="10">
        <v>2234484.0068360409</v>
      </c>
    </row>
    <row r="18" spans="1:11" x14ac:dyDescent="0.35">
      <c r="A18" s="9" t="s">
        <v>20</v>
      </c>
      <c r="B18" s="10">
        <v>1435</v>
      </c>
      <c r="C18" s="10">
        <v>2</v>
      </c>
      <c r="D18" s="10">
        <v>2</v>
      </c>
      <c r="E18" s="10">
        <v>821</v>
      </c>
      <c r="F18" s="10">
        <v>6356004.4309599204</v>
      </c>
      <c r="G18" s="10">
        <v>1329</v>
      </c>
      <c r="H18" s="10">
        <v>1</v>
      </c>
      <c r="I18" s="10">
        <v>5</v>
      </c>
      <c r="J18" s="10">
        <v>1234</v>
      </c>
      <c r="K18" s="10">
        <v>12901781.185136851</v>
      </c>
    </row>
    <row r="19" spans="1:11" x14ac:dyDescent="0.35">
      <c r="A19" s="9" t="s">
        <v>45</v>
      </c>
      <c r="B19" s="10">
        <v>1235</v>
      </c>
      <c r="C19" s="10">
        <v>1</v>
      </c>
      <c r="D19" s="10">
        <v>3</v>
      </c>
      <c r="E19" s="10">
        <v>908</v>
      </c>
      <c r="F19" s="10">
        <v>14370660.886619667</v>
      </c>
      <c r="G19" s="10">
        <v>1225</v>
      </c>
      <c r="H19" s="10">
        <v>0</v>
      </c>
      <c r="I19" s="10">
        <v>2</v>
      </c>
      <c r="J19" s="10">
        <v>920</v>
      </c>
      <c r="K19" s="10">
        <v>18976710.322423328</v>
      </c>
    </row>
    <row r="20" spans="1:11" x14ac:dyDescent="0.35">
      <c r="A20" s="9" t="s">
        <v>47</v>
      </c>
      <c r="B20" s="10">
        <v>1027</v>
      </c>
      <c r="C20" s="10">
        <v>1</v>
      </c>
      <c r="D20" s="10">
        <v>4</v>
      </c>
      <c r="E20" s="10">
        <v>951</v>
      </c>
      <c r="F20" s="10">
        <v>8840990.7895986866</v>
      </c>
      <c r="G20" s="10">
        <v>1011</v>
      </c>
      <c r="H20" s="10">
        <v>2</v>
      </c>
      <c r="I20" s="10">
        <v>6</v>
      </c>
      <c r="J20" s="10">
        <v>917</v>
      </c>
      <c r="K20" s="10">
        <v>8829530.6657558288</v>
      </c>
    </row>
    <row r="21" spans="1:11" x14ac:dyDescent="0.35">
      <c r="A21" s="9" t="s">
        <v>49</v>
      </c>
      <c r="B21" s="10">
        <v>920</v>
      </c>
      <c r="C21" s="10">
        <v>2</v>
      </c>
      <c r="D21" s="10">
        <v>4</v>
      </c>
      <c r="E21" s="10">
        <v>735</v>
      </c>
      <c r="F21" s="10">
        <v>5804182.906880972</v>
      </c>
      <c r="G21" s="10">
        <v>917</v>
      </c>
      <c r="H21" s="10">
        <v>0</v>
      </c>
      <c r="I21" s="10">
        <v>3</v>
      </c>
      <c r="J21" s="10">
        <v>674</v>
      </c>
      <c r="K21" s="10">
        <v>8282746.7852738705</v>
      </c>
    </row>
    <row r="22" spans="1:11" x14ac:dyDescent="0.35">
      <c r="A22" s="9" t="s">
        <v>51</v>
      </c>
      <c r="B22" s="10">
        <v>2983</v>
      </c>
      <c r="C22" s="10">
        <v>162</v>
      </c>
      <c r="D22" s="10">
        <v>9</v>
      </c>
      <c r="E22" s="10">
        <v>2842</v>
      </c>
      <c r="F22" s="10">
        <v>32284728.169091083</v>
      </c>
      <c r="G22" s="10">
        <v>2658</v>
      </c>
      <c r="H22" s="10">
        <v>5</v>
      </c>
      <c r="I22" s="10">
        <v>11</v>
      </c>
      <c r="J22" s="10">
        <v>2221</v>
      </c>
      <c r="K22" s="10">
        <v>31109992.264753956</v>
      </c>
    </row>
    <row r="23" spans="1:11" x14ac:dyDescent="0.35">
      <c r="A23" s="9" t="s">
        <v>53</v>
      </c>
      <c r="B23" s="10">
        <v>1396</v>
      </c>
      <c r="C23" s="10">
        <v>2</v>
      </c>
      <c r="D23" s="10">
        <v>1</v>
      </c>
      <c r="E23" s="10">
        <v>35</v>
      </c>
      <c r="F23" s="10">
        <v>8067093.6379076932</v>
      </c>
      <c r="G23" s="10">
        <v>1314</v>
      </c>
      <c r="H23" s="10">
        <v>4</v>
      </c>
      <c r="I23" s="10">
        <v>2</v>
      </c>
      <c r="J23" s="10">
        <v>1199</v>
      </c>
      <c r="K23" s="10">
        <v>16247161.792461479</v>
      </c>
    </row>
    <row r="24" spans="1:11" x14ac:dyDescent="0.35">
      <c r="A24" s="9" t="s">
        <v>55</v>
      </c>
      <c r="B24" s="10">
        <v>2965</v>
      </c>
      <c r="C24" s="10">
        <v>8</v>
      </c>
      <c r="D24" s="10">
        <v>10</v>
      </c>
      <c r="E24" s="10">
        <v>2226</v>
      </c>
      <c r="F24" s="10">
        <v>32181846.518697735</v>
      </c>
      <c r="G24" s="10">
        <v>2755</v>
      </c>
      <c r="H24" s="10">
        <v>3</v>
      </c>
      <c r="I24" s="10">
        <v>11</v>
      </c>
      <c r="J24" s="10">
        <v>2149</v>
      </c>
      <c r="K24" s="10">
        <v>34422271.915666483</v>
      </c>
    </row>
    <row r="25" spans="1:11" x14ac:dyDescent="0.35">
      <c r="A25" s="9" t="s">
        <v>67</v>
      </c>
      <c r="B25" s="10">
        <v>534</v>
      </c>
      <c r="C25" s="10">
        <v>3</v>
      </c>
      <c r="D25" s="10">
        <v>1</v>
      </c>
      <c r="E25" s="10">
        <v>480</v>
      </c>
      <c r="F25" s="10">
        <v>4942157.1850331565</v>
      </c>
      <c r="G25" s="10">
        <v>502</v>
      </c>
      <c r="H25" s="10">
        <v>1</v>
      </c>
      <c r="I25" s="10">
        <v>1</v>
      </c>
      <c r="J25" s="10">
        <v>502</v>
      </c>
      <c r="K25" s="10">
        <v>4605732.3168983553</v>
      </c>
    </row>
    <row r="26" spans="1:11" x14ac:dyDescent="0.35">
      <c r="A26" s="9" t="s">
        <v>74</v>
      </c>
      <c r="B26" s="10">
        <v>1740</v>
      </c>
      <c r="C26" s="10">
        <v>7</v>
      </c>
      <c r="D26" s="10">
        <v>1</v>
      </c>
      <c r="E26" s="10">
        <v>1284</v>
      </c>
      <c r="F26" s="10">
        <v>12967047.909086267</v>
      </c>
      <c r="G26" s="10">
        <v>1794</v>
      </c>
      <c r="H26" s="10">
        <v>6</v>
      </c>
      <c r="I26" s="10">
        <v>1</v>
      </c>
      <c r="J26" s="10">
        <v>1466</v>
      </c>
      <c r="K26" s="10">
        <v>11949766.539238809</v>
      </c>
    </row>
    <row r="27" spans="1:11" x14ac:dyDescent="0.35">
      <c r="A27" s="9" t="s">
        <v>70</v>
      </c>
      <c r="B27" s="10">
        <v>876</v>
      </c>
      <c r="C27" s="10">
        <v>4</v>
      </c>
      <c r="D27" s="10">
        <v>1</v>
      </c>
      <c r="E27" s="10">
        <v>735</v>
      </c>
      <c r="F27" s="10">
        <v>5353152.1164340228</v>
      </c>
      <c r="G27" s="10">
        <v>857</v>
      </c>
      <c r="H27" s="10">
        <v>3</v>
      </c>
      <c r="I27" s="10">
        <v>0</v>
      </c>
      <c r="J27" s="10">
        <v>931</v>
      </c>
      <c r="K27" s="10">
        <v>6009983.4481161283</v>
      </c>
    </row>
    <row r="28" spans="1:11" x14ac:dyDescent="0.35">
      <c r="A28" s="9" t="s">
        <v>72</v>
      </c>
      <c r="B28" s="10">
        <v>877</v>
      </c>
      <c r="C28" s="10">
        <v>4</v>
      </c>
      <c r="D28" s="10">
        <v>1</v>
      </c>
      <c r="E28" s="10">
        <v>830</v>
      </c>
      <c r="F28" s="10">
        <v>6931291.0654497696</v>
      </c>
      <c r="G28" s="10">
        <v>889</v>
      </c>
      <c r="H28" s="10">
        <v>1</v>
      </c>
      <c r="I28" s="10">
        <v>0</v>
      </c>
      <c r="J28" s="10">
        <v>760</v>
      </c>
      <c r="K28" s="10">
        <v>7566521.4592337711</v>
      </c>
    </row>
    <row r="29" spans="1:11" x14ac:dyDescent="0.35">
      <c r="A29" s="9" t="s">
        <v>79</v>
      </c>
      <c r="B29" s="10">
        <v>236</v>
      </c>
      <c r="C29" s="10">
        <v>1</v>
      </c>
      <c r="D29" s="10">
        <v>0</v>
      </c>
      <c r="E29" s="10">
        <v>149</v>
      </c>
      <c r="F29" s="10">
        <v>1583341.4035137731</v>
      </c>
      <c r="G29" s="10">
        <v>213</v>
      </c>
      <c r="H29" s="10">
        <v>0</v>
      </c>
      <c r="I29" s="10">
        <v>0</v>
      </c>
      <c r="J29" s="10">
        <v>188</v>
      </c>
      <c r="K29" s="10">
        <v>2005565.109755398</v>
      </c>
    </row>
    <row r="30" spans="1:11" x14ac:dyDescent="0.35">
      <c r="A30" s="9" t="s">
        <v>109</v>
      </c>
      <c r="B30" s="10">
        <v>1646</v>
      </c>
      <c r="C30" s="10">
        <v>7</v>
      </c>
      <c r="D30" s="10">
        <v>6</v>
      </c>
      <c r="E30" s="10">
        <v>1321</v>
      </c>
      <c r="F30" s="10">
        <v>12555795.183504999</v>
      </c>
      <c r="G30" s="10">
        <v>1613</v>
      </c>
      <c r="H30" s="10">
        <v>2</v>
      </c>
      <c r="I30" s="10">
        <v>6</v>
      </c>
      <c r="J30" s="10">
        <v>1439</v>
      </c>
      <c r="K30" s="10">
        <v>12868155.151391428</v>
      </c>
    </row>
    <row r="31" spans="1:11" x14ac:dyDescent="0.35">
      <c r="A31" s="9" t="s">
        <v>111</v>
      </c>
      <c r="B31" s="10">
        <v>874</v>
      </c>
      <c r="C31" s="10">
        <v>0</v>
      </c>
      <c r="D31" s="10">
        <v>1</v>
      </c>
      <c r="E31" s="10">
        <v>653</v>
      </c>
      <c r="F31" s="10">
        <v>9590753.6637684051</v>
      </c>
      <c r="G31" s="10">
        <v>898</v>
      </c>
      <c r="H31" s="10">
        <v>2</v>
      </c>
      <c r="I31" s="10">
        <v>1</v>
      </c>
      <c r="J31" s="10">
        <v>693</v>
      </c>
      <c r="K31" s="10">
        <v>10439418.903218428</v>
      </c>
    </row>
    <row r="32" spans="1:11" x14ac:dyDescent="0.35">
      <c r="A32" s="9" t="s">
        <v>113</v>
      </c>
      <c r="B32" s="10">
        <v>1058</v>
      </c>
      <c r="C32" s="10">
        <v>1</v>
      </c>
      <c r="D32" s="10">
        <v>1</v>
      </c>
      <c r="E32" s="10">
        <v>786</v>
      </c>
      <c r="F32" s="10">
        <v>9145571.4801380727</v>
      </c>
      <c r="G32" s="10">
        <v>1005</v>
      </c>
      <c r="H32" s="10">
        <v>1</v>
      </c>
      <c r="I32" s="10">
        <v>2</v>
      </c>
      <c r="J32" s="10">
        <v>685</v>
      </c>
      <c r="K32" s="10">
        <v>10834047.362200912</v>
      </c>
    </row>
    <row r="33" spans="1:11" x14ac:dyDescent="0.35">
      <c r="A33" s="9" t="s">
        <v>115</v>
      </c>
      <c r="B33" s="10">
        <v>1108</v>
      </c>
      <c r="C33" s="10">
        <v>1</v>
      </c>
      <c r="D33" s="10">
        <v>2</v>
      </c>
      <c r="E33" s="10">
        <v>905</v>
      </c>
      <c r="F33" s="10">
        <v>13434950.996699873</v>
      </c>
      <c r="G33" s="10">
        <v>1139</v>
      </c>
      <c r="H33" s="10">
        <v>1</v>
      </c>
      <c r="I33" s="10">
        <v>3</v>
      </c>
      <c r="J33" s="10">
        <v>1067</v>
      </c>
      <c r="K33" s="10">
        <v>14669616.438881228</v>
      </c>
    </row>
    <row r="34" spans="1:11" x14ac:dyDescent="0.35">
      <c r="A34" s="9" t="s">
        <v>16</v>
      </c>
      <c r="B34" s="10">
        <v>1471</v>
      </c>
      <c r="C34" s="10">
        <v>1</v>
      </c>
      <c r="D34" s="10">
        <v>5</v>
      </c>
      <c r="E34" s="10">
        <v>1110</v>
      </c>
      <c r="F34" s="10">
        <v>18890396.002645239</v>
      </c>
      <c r="G34" s="10">
        <v>1408</v>
      </c>
      <c r="H34" s="10">
        <v>0</v>
      </c>
      <c r="I34" s="10">
        <v>2</v>
      </c>
      <c r="J34" s="10">
        <v>1230</v>
      </c>
      <c r="K34" s="10">
        <v>20166344.587435991</v>
      </c>
    </row>
    <row r="35" spans="1:11" x14ac:dyDescent="0.35">
      <c r="A35" s="9" t="s">
        <v>18</v>
      </c>
      <c r="B35" s="10">
        <v>685</v>
      </c>
      <c r="C35" s="10">
        <v>0</v>
      </c>
      <c r="D35" s="10">
        <v>5</v>
      </c>
      <c r="E35" s="10">
        <v>518</v>
      </c>
      <c r="F35" s="10">
        <v>7666931.9883213611</v>
      </c>
      <c r="G35" s="10">
        <v>653</v>
      </c>
      <c r="H35" s="10">
        <v>0</v>
      </c>
      <c r="I35" s="10">
        <v>5</v>
      </c>
      <c r="J35" s="10">
        <v>432</v>
      </c>
      <c r="K35" s="10">
        <v>6976577.9504256118</v>
      </c>
    </row>
    <row r="36" spans="1:11" x14ac:dyDescent="0.35">
      <c r="A36" s="9" t="s">
        <v>43</v>
      </c>
      <c r="B36" s="10">
        <v>1937</v>
      </c>
      <c r="C36" s="10">
        <v>2</v>
      </c>
      <c r="D36" s="10">
        <v>12</v>
      </c>
      <c r="E36" s="10">
        <v>3891</v>
      </c>
      <c r="F36" s="10">
        <v>23649695.705187663</v>
      </c>
      <c r="G36" s="10">
        <v>1818</v>
      </c>
      <c r="H36" s="10">
        <v>2</v>
      </c>
      <c r="I36" s="10">
        <v>4</v>
      </c>
      <c r="J36" s="10">
        <v>1588</v>
      </c>
      <c r="K36" s="10">
        <v>9268185.0562773645</v>
      </c>
    </row>
    <row r="37" spans="1:11" x14ac:dyDescent="0.35">
      <c r="A37" s="9" t="s">
        <v>152</v>
      </c>
      <c r="B37" s="10">
        <v>837</v>
      </c>
      <c r="C37" s="10">
        <v>1</v>
      </c>
      <c r="D37" s="10">
        <v>2</v>
      </c>
      <c r="E37" s="10">
        <v>682</v>
      </c>
      <c r="F37" s="10">
        <v>7840225.4447971452</v>
      </c>
      <c r="G37" s="10">
        <v>853</v>
      </c>
      <c r="H37" s="10">
        <v>1</v>
      </c>
      <c r="I37" s="10">
        <v>2</v>
      </c>
      <c r="J37" s="10">
        <v>731</v>
      </c>
      <c r="K37" s="10">
        <v>8459772.7212055922</v>
      </c>
    </row>
    <row r="38" spans="1:11" x14ac:dyDescent="0.35">
      <c r="A38" s="9" t="s">
        <v>149</v>
      </c>
      <c r="B38" s="10">
        <v>711</v>
      </c>
      <c r="C38" s="10">
        <v>0</v>
      </c>
      <c r="D38" s="10">
        <v>1</v>
      </c>
      <c r="E38" s="10">
        <v>552</v>
      </c>
      <c r="F38" s="10">
        <v>7543377.6056520082</v>
      </c>
      <c r="G38" s="10">
        <v>705</v>
      </c>
      <c r="H38" s="10">
        <v>0</v>
      </c>
      <c r="I38" s="10">
        <v>1</v>
      </c>
      <c r="J38" s="10">
        <v>619</v>
      </c>
      <c r="K38" s="10">
        <v>7211263.4578749426</v>
      </c>
    </row>
    <row r="39" spans="1:11" x14ac:dyDescent="0.35">
      <c r="A39" s="9" t="s">
        <v>154</v>
      </c>
      <c r="B39" s="10">
        <v>1177</v>
      </c>
      <c r="C39" s="10">
        <v>5</v>
      </c>
      <c r="D39" s="10">
        <v>1</v>
      </c>
      <c r="E39" s="10">
        <v>843</v>
      </c>
      <c r="F39" s="10">
        <v>11591083.135258893</v>
      </c>
      <c r="G39" s="10">
        <v>1200</v>
      </c>
      <c r="H39" s="10">
        <v>3</v>
      </c>
      <c r="I39" s="10">
        <v>2</v>
      </c>
      <c r="J39" s="10">
        <v>886</v>
      </c>
      <c r="K39" s="10">
        <v>12915624.835582957</v>
      </c>
    </row>
    <row r="40" spans="1:11" x14ac:dyDescent="0.35">
      <c r="A40" s="9" t="s">
        <v>2</v>
      </c>
      <c r="B40" s="10">
        <v>1408</v>
      </c>
      <c r="C40" s="10">
        <v>120</v>
      </c>
      <c r="D40" s="10">
        <v>2</v>
      </c>
      <c r="E40" s="10">
        <v>894</v>
      </c>
      <c r="F40" s="10">
        <v>10500193.23108726</v>
      </c>
      <c r="G40" s="10">
        <v>1146</v>
      </c>
      <c r="H40" s="10">
        <v>2</v>
      </c>
      <c r="I40" s="10">
        <v>1</v>
      </c>
      <c r="J40" s="10">
        <v>878</v>
      </c>
      <c r="K40" s="10">
        <v>11914052.227019684</v>
      </c>
    </row>
    <row r="41" spans="1:11" x14ac:dyDescent="0.35">
      <c r="A41" s="9" t="s">
        <v>156</v>
      </c>
      <c r="B41" s="10">
        <v>2582</v>
      </c>
      <c r="C41" s="10">
        <v>66</v>
      </c>
      <c r="D41" s="10">
        <v>5</v>
      </c>
      <c r="E41" s="10">
        <v>1503</v>
      </c>
      <c r="F41" s="10">
        <v>19147850.995232213</v>
      </c>
      <c r="G41" s="10">
        <v>2130</v>
      </c>
      <c r="H41" s="10">
        <v>4</v>
      </c>
      <c r="I41" s="10">
        <v>4</v>
      </c>
      <c r="J41" s="10">
        <v>1440</v>
      </c>
      <c r="K41" s="10">
        <v>19701630.533466525</v>
      </c>
    </row>
    <row r="42" spans="1:11" x14ac:dyDescent="0.35">
      <c r="A42" s="9" t="s">
        <v>14</v>
      </c>
      <c r="B42" s="10">
        <v>612</v>
      </c>
      <c r="C42" s="10">
        <v>0</v>
      </c>
      <c r="D42" s="10">
        <v>6</v>
      </c>
      <c r="E42" s="10">
        <v>425</v>
      </c>
      <c r="F42" s="10">
        <v>6876644.0606736317</v>
      </c>
      <c r="G42" s="10">
        <v>585</v>
      </c>
      <c r="H42" s="10">
        <v>1</v>
      </c>
      <c r="I42" s="10">
        <v>8</v>
      </c>
      <c r="J42" s="10">
        <v>478</v>
      </c>
      <c r="K42" s="10">
        <v>7510634.7181645297</v>
      </c>
    </row>
    <row r="43" spans="1:11" x14ac:dyDescent="0.35">
      <c r="A43" s="9" t="s">
        <v>8</v>
      </c>
      <c r="B43" s="10">
        <v>2060</v>
      </c>
      <c r="C43" s="10">
        <v>2</v>
      </c>
      <c r="D43" s="10">
        <v>6</v>
      </c>
      <c r="E43" s="10">
        <v>1965</v>
      </c>
      <c r="F43" s="10">
        <v>23761009.141677856</v>
      </c>
      <c r="G43" s="10">
        <v>2091</v>
      </c>
      <c r="H43" s="10">
        <v>3</v>
      </c>
      <c r="I43" s="10">
        <v>5</v>
      </c>
      <c r="J43" s="10">
        <v>1921</v>
      </c>
      <c r="K43" s="10">
        <v>22311418.541357443</v>
      </c>
    </row>
    <row r="44" spans="1:11" x14ac:dyDescent="0.35">
      <c r="A44" s="9" t="s">
        <v>39</v>
      </c>
      <c r="B44" s="10">
        <v>893</v>
      </c>
      <c r="C44" s="10">
        <v>1</v>
      </c>
      <c r="D44" s="10">
        <v>2</v>
      </c>
      <c r="E44" s="10">
        <v>743</v>
      </c>
      <c r="F44" s="10">
        <v>15025368.215051107</v>
      </c>
      <c r="G44" s="10">
        <v>953</v>
      </c>
      <c r="H44" s="10">
        <v>3</v>
      </c>
      <c r="I44" s="10">
        <v>6</v>
      </c>
      <c r="J44" s="10">
        <v>884</v>
      </c>
      <c r="K44" s="10">
        <v>18316363.249772597</v>
      </c>
    </row>
    <row r="45" spans="1:11" x14ac:dyDescent="0.35">
      <c r="A45" s="9" t="s">
        <v>6</v>
      </c>
      <c r="B45" s="10">
        <v>1104</v>
      </c>
      <c r="C45" s="10">
        <v>0</v>
      </c>
      <c r="D45" s="10">
        <v>3</v>
      </c>
      <c r="E45" s="10">
        <v>503</v>
      </c>
      <c r="F45" s="10">
        <v>6457796.0609877165</v>
      </c>
      <c r="G45" s="10">
        <v>1081</v>
      </c>
      <c r="H45" s="10">
        <v>4</v>
      </c>
      <c r="I45" s="10">
        <v>3</v>
      </c>
      <c r="J45" s="10">
        <v>1042</v>
      </c>
      <c r="K45" s="10">
        <v>13009695.210542068</v>
      </c>
    </row>
    <row r="46" spans="1:11" x14ac:dyDescent="0.35">
      <c r="A46" s="9" t="s">
        <v>41</v>
      </c>
      <c r="B46" s="10">
        <v>831</v>
      </c>
      <c r="C46" s="10">
        <v>1</v>
      </c>
      <c r="D46" s="10">
        <v>4</v>
      </c>
      <c r="E46" s="10">
        <v>613</v>
      </c>
      <c r="F46" s="10">
        <v>11782933.397637039</v>
      </c>
      <c r="G46" s="10">
        <v>818</v>
      </c>
      <c r="H46" s="10">
        <v>2</v>
      </c>
      <c r="I46" s="10">
        <v>4</v>
      </c>
      <c r="J46" s="10">
        <v>665</v>
      </c>
      <c r="K46" s="10">
        <v>12353691.182116119</v>
      </c>
    </row>
    <row r="47" spans="1:11" x14ac:dyDescent="0.35">
      <c r="A47" s="9" t="s">
        <v>158</v>
      </c>
      <c r="B47" s="10">
        <v>680</v>
      </c>
      <c r="C47" s="10">
        <v>0</v>
      </c>
      <c r="D47" s="10">
        <v>10</v>
      </c>
      <c r="E47" s="10">
        <v>573</v>
      </c>
      <c r="F47" s="10">
        <v>7805586.3464775579</v>
      </c>
      <c r="G47" s="10">
        <v>728</v>
      </c>
      <c r="H47" s="10">
        <v>0</v>
      </c>
      <c r="I47" s="10">
        <v>9</v>
      </c>
      <c r="J47" s="10">
        <v>601</v>
      </c>
      <c r="K47" s="10">
        <v>7510523.3325435808</v>
      </c>
    </row>
    <row r="48" spans="1:11" x14ac:dyDescent="0.35">
      <c r="A48" s="9" t="s">
        <v>160</v>
      </c>
      <c r="B48" s="10">
        <v>696</v>
      </c>
      <c r="C48" s="10">
        <v>0</v>
      </c>
      <c r="D48" s="10">
        <v>3</v>
      </c>
      <c r="E48" s="10">
        <v>674</v>
      </c>
      <c r="F48" s="10">
        <v>6543518.5509258509</v>
      </c>
      <c r="G48" s="10">
        <v>702</v>
      </c>
      <c r="H48" s="10">
        <v>0</v>
      </c>
      <c r="I48" s="10">
        <v>2</v>
      </c>
      <c r="J48" s="10">
        <v>825</v>
      </c>
      <c r="K48" s="10">
        <v>6859324.0450646877</v>
      </c>
    </row>
    <row r="49" spans="1:11" x14ac:dyDescent="0.35">
      <c r="A49" s="9" t="s">
        <v>83</v>
      </c>
      <c r="B49" s="10">
        <v>1241</v>
      </c>
      <c r="C49" s="10">
        <v>0</v>
      </c>
      <c r="D49" s="10">
        <v>4</v>
      </c>
      <c r="E49" s="10">
        <v>1102</v>
      </c>
      <c r="F49" s="10">
        <v>21109917.412866302</v>
      </c>
      <c r="G49" s="10">
        <v>1284</v>
      </c>
      <c r="H49" s="10">
        <v>1</v>
      </c>
      <c r="I49" s="10">
        <v>7</v>
      </c>
      <c r="J49" s="10">
        <v>1123</v>
      </c>
      <c r="K49" s="10">
        <v>23721195.596607711</v>
      </c>
    </row>
    <row r="50" spans="1:11" x14ac:dyDescent="0.35">
      <c r="A50" s="9" t="s">
        <v>201</v>
      </c>
      <c r="B50" s="10">
        <v>433</v>
      </c>
      <c r="C50" s="10">
        <v>0</v>
      </c>
      <c r="D50" s="10">
        <v>2</v>
      </c>
      <c r="E50" s="10">
        <v>453</v>
      </c>
      <c r="F50" s="10">
        <v>3480574.0700638788</v>
      </c>
      <c r="G50" s="10">
        <v>431</v>
      </c>
      <c r="H50" s="10">
        <v>0</v>
      </c>
      <c r="I50" s="10">
        <v>1</v>
      </c>
      <c r="J50" s="10">
        <v>481</v>
      </c>
      <c r="K50" s="10">
        <v>3617840.2195460438</v>
      </c>
    </row>
    <row r="51" spans="1:11" x14ac:dyDescent="0.35">
      <c r="A51" s="9" t="s">
        <v>31</v>
      </c>
      <c r="B51" s="10">
        <v>905</v>
      </c>
      <c r="C51" s="10">
        <v>1</v>
      </c>
      <c r="D51" s="10">
        <v>5</v>
      </c>
      <c r="E51" s="10">
        <v>946</v>
      </c>
      <c r="F51" s="10">
        <v>9910985.9766389076</v>
      </c>
      <c r="G51" s="10">
        <v>911</v>
      </c>
      <c r="H51" s="10">
        <v>1</v>
      </c>
      <c r="I51" s="10">
        <v>4</v>
      </c>
      <c r="J51" s="10">
        <v>947</v>
      </c>
      <c r="K51" s="10">
        <v>10114925.016759437</v>
      </c>
    </row>
    <row r="52" spans="1:11" x14ac:dyDescent="0.35">
      <c r="A52" s="9" t="s">
        <v>33</v>
      </c>
      <c r="B52" s="10">
        <v>1343</v>
      </c>
      <c r="C52" s="10">
        <v>2</v>
      </c>
      <c r="D52" s="10">
        <v>12</v>
      </c>
      <c r="E52" s="10">
        <v>1017</v>
      </c>
      <c r="F52" s="10">
        <v>17760527.810615022</v>
      </c>
      <c r="G52" s="10">
        <v>1427</v>
      </c>
      <c r="H52" s="10">
        <v>1</v>
      </c>
      <c r="I52" s="10">
        <v>12</v>
      </c>
      <c r="J52" s="10">
        <v>989</v>
      </c>
      <c r="K52" s="10">
        <v>17950253.842834566</v>
      </c>
    </row>
    <row r="53" spans="1:11" x14ac:dyDescent="0.35">
      <c r="A53" s="9" t="s">
        <v>85</v>
      </c>
      <c r="B53" s="10">
        <v>489</v>
      </c>
      <c r="C53" s="10">
        <v>0</v>
      </c>
      <c r="D53" s="10">
        <v>6</v>
      </c>
      <c r="E53" s="10">
        <v>395</v>
      </c>
      <c r="F53" s="10">
        <v>9324656.0402480755</v>
      </c>
      <c r="G53" s="10">
        <v>476</v>
      </c>
      <c r="H53" s="10">
        <v>2</v>
      </c>
      <c r="I53" s="10">
        <v>6</v>
      </c>
      <c r="J53" s="10">
        <v>370</v>
      </c>
      <c r="K53" s="10">
        <v>8162294.853090018</v>
      </c>
    </row>
    <row r="54" spans="1:11" x14ac:dyDescent="0.35">
      <c r="A54" s="9" t="s">
        <v>81</v>
      </c>
      <c r="B54" s="10">
        <v>453</v>
      </c>
      <c r="C54" s="10">
        <v>0</v>
      </c>
      <c r="D54" s="10">
        <v>4</v>
      </c>
      <c r="E54" s="10">
        <v>328</v>
      </c>
      <c r="F54" s="10">
        <v>6731303.8555168118</v>
      </c>
      <c r="G54" s="10">
        <v>456</v>
      </c>
      <c r="H54" s="10">
        <v>1</v>
      </c>
      <c r="I54" s="10">
        <v>3</v>
      </c>
      <c r="J54" s="10">
        <v>453</v>
      </c>
      <c r="K54" s="10">
        <v>7067037.0540379481</v>
      </c>
    </row>
    <row r="55" spans="1:11" x14ac:dyDescent="0.35">
      <c r="A55" s="9" t="s">
        <v>87</v>
      </c>
      <c r="B55" s="10">
        <v>427</v>
      </c>
      <c r="C55" s="10">
        <v>1</v>
      </c>
      <c r="D55" s="10">
        <v>3</v>
      </c>
      <c r="E55" s="10">
        <v>318</v>
      </c>
      <c r="F55" s="10">
        <v>5735694.8499326538</v>
      </c>
      <c r="G55" s="10">
        <v>398</v>
      </c>
      <c r="H55" s="10">
        <v>0</v>
      </c>
      <c r="I55" s="10">
        <v>2</v>
      </c>
      <c r="J55" s="10">
        <v>16</v>
      </c>
      <c r="K55" s="10">
        <v>4979151.2077058898</v>
      </c>
    </row>
    <row r="56" spans="1:11" x14ac:dyDescent="0.35">
      <c r="A56" s="9" t="s">
        <v>166</v>
      </c>
      <c r="B56" s="10">
        <v>1110</v>
      </c>
      <c r="C56" s="10">
        <v>0</v>
      </c>
      <c r="D56" s="10">
        <v>0</v>
      </c>
      <c r="E56" s="10">
        <v>989</v>
      </c>
      <c r="F56" s="10">
        <v>13700770.866629319</v>
      </c>
      <c r="G56" s="10">
        <v>1094</v>
      </c>
      <c r="H56" s="10">
        <v>1</v>
      </c>
      <c r="I56" s="10">
        <v>0</v>
      </c>
      <c r="J56" s="10">
        <v>977</v>
      </c>
      <c r="K56" s="10">
        <v>14463792.428148272</v>
      </c>
    </row>
    <row r="57" spans="1:11" x14ac:dyDescent="0.35">
      <c r="A57" s="9" t="s">
        <v>93</v>
      </c>
      <c r="B57" s="10">
        <v>961</v>
      </c>
      <c r="C57" s="10">
        <v>1</v>
      </c>
      <c r="D57" s="10">
        <v>1</v>
      </c>
      <c r="E57" s="10">
        <v>807</v>
      </c>
      <c r="F57" s="10">
        <v>10181535.724726312</v>
      </c>
      <c r="G57" s="10">
        <v>943</v>
      </c>
      <c r="H57" s="10">
        <v>3</v>
      </c>
      <c r="I57" s="10">
        <v>2</v>
      </c>
      <c r="J57" s="10">
        <v>875</v>
      </c>
      <c r="K57" s="10">
        <v>14295470.10652769</v>
      </c>
    </row>
    <row r="58" spans="1:11" x14ac:dyDescent="0.35">
      <c r="A58" s="9" t="s">
        <v>95</v>
      </c>
      <c r="B58" s="10">
        <v>2052</v>
      </c>
      <c r="C58" s="10">
        <v>5</v>
      </c>
      <c r="D58" s="10">
        <v>8</v>
      </c>
      <c r="E58" s="10">
        <v>1678</v>
      </c>
      <c r="F58" s="10">
        <v>26874078.76145979</v>
      </c>
      <c r="G58" s="10">
        <v>2061</v>
      </c>
      <c r="H58" s="10">
        <v>7</v>
      </c>
      <c r="I58" s="10">
        <v>10</v>
      </c>
      <c r="J58" s="10">
        <v>1721</v>
      </c>
      <c r="K58" s="10">
        <v>27200285.128767647</v>
      </c>
    </row>
    <row r="59" spans="1:11" x14ac:dyDescent="0.35">
      <c r="A59" s="9" t="s">
        <v>174</v>
      </c>
      <c r="B59" s="10">
        <v>677</v>
      </c>
      <c r="C59" s="10">
        <v>0</v>
      </c>
      <c r="D59" s="10">
        <v>0</v>
      </c>
      <c r="E59" s="10">
        <v>521</v>
      </c>
      <c r="F59" s="10">
        <v>5737671.8793122657</v>
      </c>
      <c r="G59" s="10">
        <v>656</v>
      </c>
      <c r="H59" s="10">
        <v>1</v>
      </c>
      <c r="I59" s="10">
        <v>0</v>
      </c>
      <c r="J59" s="10">
        <v>587</v>
      </c>
      <c r="K59" s="10">
        <v>7262223.9798792591</v>
      </c>
    </row>
    <row r="60" spans="1:11" x14ac:dyDescent="0.35">
      <c r="A60" s="9" t="s">
        <v>99</v>
      </c>
      <c r="B60" s="10">
        <v>871</v>
      </c>
      <c r="C60" s="10">
        <v>3</v>
      </c>
      <c r="D60" s="10">
        <v>5</v>
      </c>
      <c r="E60" s="10">
        <v>779</v>
      </c>
      <c r="F60" s="10">
        <v>10124609.722728988</v>
      </c>
      <c r="G60" s="10">
        <v>909</v>
      </c>
      <c r="H60" s="10">
        <v>2</v>
      </c>
      <c r="I60" s="10">
        <v>5</v>
      </c>
      <c r="J60" s="10">
        <v>798</v>
      </c>
      <c r="K60" s="10">
        <v>12329770.398310982</v>
      </c>
    </row>
    <row r="61" spans="1:11" x14ac:dyDescent="0.35">
      <c r="A61" s="9" t="s">
        <v>172</v>
      </c>
      <c r="B61" s="10">
        <v>754</v>
      </c>
      <c r="C61" s="10">
        <v>2</v>
      </c>
      <c r="D61" s="10">
        <v>1</v>
      </c>
      <c r="E61" s="10">
        <v>307</v>
      </c>
      <c r="F61" s="10">
        <v>6810825.165222412</v>
      </c>
      <c r="G61" s="10">
        <v>675</v>
      </c>
      <c r="H61" s="10">
        <v>0</v>
      </c>
      <c r="I61" s="10">
        <v>0</v>
      </c>
      <c r="J61" s="10">
        <v>579</v>
      </c>
      <c r="K61" s="10">
        <v>6731999.2242437331</v>
      </c>
    </row>
    <row r="62" spans="1:11" x14ac:dyDescent="0.35">
      <c r="A62" s="9" t="s">
        <v>168</v>
      </c>
      <c r="B62" s="10">
        <v>1102</v>
      </c>
      <c r="C62" s="10">
        <v>4</v>
      </c>
      <c r="D62" s="10">
        <v>0</v>
      </c>
      <c r="E62" s="10">
        <v>1222</v>
      </c>
      <c r="F62" s="10">
        <v>13708176.917759825</v>
      </c>
      <c r="G62" s="10">
        <v>1086</v>
      </c>
      <c r="H62" s="10">
        <v>2</v>
      </c>
      <c r="I62" s="10">
        <v>0</v>
      </c>
      <c r="J62" s="10">
        <v>1089</v>
      </c>
      <c r="K62" s="10">
        <v>15189096.108170426</v>
      </c>
    </row>
    <row r="63" spans="1:11" x14ac:dyDescent="0.35">
      <c r="A63" s="9" t="s">
        <v>101</v>
      </c>
      <c r="B63" s="10">
        <v>1366</v>
      </c>
      <c r="C63" s="10">
        <v>1</v>
      </c>
      <c r="D63" s="10">
        <v>4</v>
      </c>
      <c r="E63" s="10">
        <v>1435</v>
      </c>
      <c r="F63" s="10">
        <v>16271588.201260241</v>
      </c>
      <c r="G63" s="10">
        <v>1569</v>
      </c>
      <c r="H63" s="10">
        <v>3</v>
      </c>
      <c r="I63" s="10">
        <v>5</v>
      </c>
      <c r="J63" s="10">
        <v>1555</v>
      </c>
      <c r="K63" s="10">
        <v>20691184.612268057</v>
      </c>
    </row>
    <row r="64" spans="1:11" x14ac:dyDescent="0.35">
      <c r="A64" s="9" t="s">
        <v>103</v>
      </c>
      <c r="B64" s="10">
        <v>774</v>
      </c>
      <c r="C64" s="10">
        <v>0</v>
      </c>
      <c r="D64" s="10">
        <v>3</v>
      </c>
      <c r="E64" s="10">
        <v>698</v>
      </c>
      <c r="F64" s="10">
        <v>9460626.58611794</v>
      </c>
      <c r="G64" s="10">
        <v>792</v>
      </c>
      <c r="H64" s="10">
        <v>0</v>
      </c>
      <c r="I64" s="10">
        <v>5</v>
      </c>
      <c r="J64" s="10">
        <v>722</v>
      </c>
      <c r="K64" s="10">
        <v>9108628.0590313729</v>
      </c>
    </row>
    <row r="65" spans="1:11" x14ac:dyDescent="0.35">
      <c r="A65" s="9" t="s">
        <v>105</v>
      </c>
      <c r="B65" s="10">
        <v>656</v>
      </c>
      <c r="C65" s="10">
        <v>1</v>
      </c>
      <c r="D65" s="10">
        <v>5</v>
      </c>
      <c r="E65" s="10">
        <v>452</v>
      </c>
      <c r="F65" s="10">
        <v>10645703.675539205</v>
      </c>
      <c r="G65" s="10">
        <v>630</v>
      </c>
      <c r="H65" s="10">
        <v>2</v>
      </c>
      <c r="I65" s="10">
        <v>6</v>
      </c>
      <c r="J65" s="10">
        <v>487</v>
      </c>
      <c r="K65" s="10">
        <v>10900774.39042661</v>
      </c>
    </row>
    <row r="66" spans="1:11" x14ac:dyDescent="0.35">
      <c r="A66" s="9" t="s">
        <v>24</v>
      </c>
      <c r="B66" s="10">
        <v>2019</v>
      </c>
      <c r="C66" s="10">
        <v>2</v>
      </c>
      <c r="D66" s="10">
        <v>10</v>
      </c>
      <c r="E66" s="10">
        <v>1753</v>
      </c>
      <c r="F66" s="10">
        <v>34418128.83887478</v>
      </c>
      <c r="G66" s="10">
        <v>1986</v>
      </c>
      <c r="H66" s="10">
        <v>4</v>
      </c>
      <c r="I66" s="10">
        <v>12</v>
      </c>
      <c r="J66" s="10">
        <v>1815</v>
      </c>
      <c r="K66" s="10">
        <v>34916336.440940969</v>
      </c>
    </row>
    <row r="67" spans="1:11" x14ac:dyDescent="0.35">
      <c r="A67" s="9" t="s">
        <v>27</v>
      </c>
      <c r="B67" s="10">
        <v>1575</v>
      </c>
      <c r="C67" s="10">
        <v>1</v>
      </c>
      <c r="D67" s="10">
        <v>6</v>
      </c>
      <c r="E67" s="10">
        <v>1176</v>
      </c>
      <c r="F67" s="10">
        <v>23055265.895927496</v>
      </c>
      <c r="G67" s="10">
        <v>1597</v>
      </c>
      <c r="H67" s="10">
        <v>7</v>
      </c>
      <c r="I67" s="10">
        <v>6</v>
      </c>
      <c r="J67" s="10">
        <v>1227</v>
      </c>
      <c r="K67" s="10">
        <v>24852957.325197127</v>
      </c>
    </row>
    <row r="68" spans="1:11" x14ac:dyDescent="0.35">
      <c r="A68" s="9" t="s">
        <v>29</v>
      </c>
      <c r="B68" s="10">
        <v>878</v>
      </c>
      <c r="C68" s="10">
        <v>3</v>
      </c>
      <c r="D68" s="10">
        <v>1</v>
      </c>
      <c r="E68" s="10">
        <v>799</v>
      </c>
      <c r="F68" s="10">
        <v>16304379.513267737</v>
      </c>
      <c r="G68" s="10">
        <v>903</v>
      </c>
      <c r="H68" s="10">
        <v>0</v>
      </c>
      <c r="I68" s="10">
        <v>1</v>
      </c>
      <c r="J68" s="10">
        <v>725</v>
      </c>
      <c r="K68" s="10">
        <v>17168427.749025799</v>
      </c>
    </row>
    <row r="69" spans="1:11" x14ac:dyDescent="0.35">
      <c r="A69" s="9" t="s">
        <v>57</v>
      </c>
      <c r="B69" s="10">
        <v>2115</v>
      </c>
      <c r="C69" s="10">
        <v>100</v>
      </c>
      <c r="D69" s="10">
        <v>12</v>
      </c>
      <c r="E69" s="10">
        <v>1314</v>
      </c>
      <c r="F69" s="10">
        <v>25296291.381541092</v>
      </c>
      <c r="G69" s="10">
        <v>2391</v>
      </c>
      <c r="H69" s="10">
        <v>254</v>
      </c>
      <c r="I69" s="10">
        <v>12</v>
      </c>
      <c r="J69" s="10">
        <v>1329</v>
      </c>
      <c r="K69" s="10">
        <v>23487290.486604519</v>
      </c>
    </row>
    <row r="70" spans="1:11" x14ac:dyDescent="0.35">
      <c r="A70" s="9" t="s">
        <v>137</v>
      </c>
      <c r="B70" s="10">
        <v>249</v>
      </c>
      <c r="C70" s="10">
        <v>0</v>
      </c>
      <c r="D70" s="10">
        <v>0</v>
      </c>
      <c r="E70" s="10">
        <v>2</v>
      </c>
      <c r="F70" s="10">
        <v>4.507045314</v>
      </c>
      <c r="G70" s="10">
        <v>238</v>
      </c>
      <c r="H70" s="10">
        <v>1</v>
      </c>
      <c r="I70" s="10">
        <v>0</v>
      </c>
      <c r="J70" s="10">
        <v>257</v>
      </c>
      <c r="K70" s="10">
        <v>1933981.8796689911</v>
      </c>
    </row>
    <row r="71" spans="1:11" x14ac:dyDescent="0.35">
      <c r="A71" s="9" t="s">
        <v>10</v>
      </c>
      <c r="B71" s="10">
        <v>1657</v>
      </c>
      <c r="C71" s="10">
        <v>3</v>
      </c>
      <c r="D71" s="10">
        <v>5</v>
      </c>
      <c r="E71" s="10">
        <v>2219</v>
      </c>
      <c r="F71" s="10">
        <v>17335053.59540021</v>
      </c>
      <c r="G71" s="10">
        <v>1594</v>
      </c>
      <c r="H71" s="10">
        <v>7</v>
      </c>
      <c r="I71" s="10">
        <v>7</v>
      </c>
      <c r="J71" s="10">
        <v>1618</v>
      </c>
      <c r="K71" s="10">
        <v>17606995.543164104</v>
      </c>
    </row>
    <row r="72" spans="1:11" x14ac:dyDescent="0.35">
      <c r="A72" s="9" t="s">
        <v>12</v>
      </c>
      <c r="B72" s="10">
        <v>704</v>
      </c>
      <c r="C72" s="10">
        <v>1</v>
      </c>
      <c r="D72" s="10">
        <v>3</v>
      </c>
      <c r="E72" s="10">
        <v>652</v>
      </c>
      <c r="F72" s="10">
        <v>8767229.5689700581</v>
      </c>
      <c r="G72" s="10">
        <v>804</v>
      </c>
      <c r="H72" s="10">
        <v>0</v>
      </c>
      <c r="I72" s="10">
        <v>3</v>
      </c>
      <c r="J72" s="10">
        <v>630</v>
      </c>
      <c r="K72" s="10">
        <v>8311473.8402588358</v>
      </c>
    </row>
    <row r="73" spans="1:11" x14ac:dyDescent="0.35">
      <c r="A73" s="9" t="s">
        <v>162</v>
      </c>
      <c r="B73" s="10">
        <v>1366</v>
      </c>
      <c r="C73" s="10">
        <v>19</v>
      </c>
      <c r="D73" s="10">
        <v>4</v>
      </c>
      <c r="E73" s="10">
        <v>821</v>
      </c>
      <c r="F73" s="10">
        <v>11928434.83608032</v>
      </c>
      <c r="G73" s="10">
        <v>1586</v>
      </c>
      <c r="H73" s="10">
        <v>1</v>
      </c>
      <c r="I73" s="10">
        <v>5</v>
      </c>
      <c r="J73" s="10">
        <v>916</v>
      </c>
      <c r="K73" s="10">
        <v>12986497.166911935</v>
      </c>
    </row>
    <row r="74" spans="1:11" x14ac:dyDescent="0.35">
      <c r="A74" s="9" t="s">
        <v>63</v>
      </c>
      <c r="B74" s="10">
        <v>1307</v>
      </c>
      <c r="C74" s="10">
        <v>1</v>
      </c>
      <c r="D74" s="10">
        <v>5</v>
      </c>
      <c r="E74" s="10">
        <v>1332</v>
      </c>
      <c r="F74" s="10">
        <v>9779657.18585613</v>
      </c>
      <c r="G74" s="10">
        <v>1288</v>
      </c>
      <c r="H74" s="10">
        <v>1</v>
      </c>
      <c r="I74" s="10">
        <v>4</v>
      </c>
      <c r="J74" s="10">
        <v>1301</v>
      </c>
      <c r="K74" s="10">
        <v>10482824.641790193</v>
      </c>
    </row>
    <row r="75" spans="1:11" x14ac:dyDescent="0.35">
      <c r="A75" s="9" t="s">
        <v>59</v>
      </c>
      <c r="B75" s="10">
        <v>1744</v>
      </c>
      <c r="C75" s="10">
        <v>3</v>
      </c>
      <c r="D75" s="10">
        <v>4</v>
      </c>
      <c r="E75" s="10">
        <v>1242</v>
      </c>
      <c r="F75" s="10">
        <v>22560490.417262353</v>
      </c>
      <c r="G75" s="10">
        <v>1751</v>
      </c>
      <c r="H75" s="10">
        <v>5</v>
      </c>
      <c r="I75" s="10">
        <v>6</v>
      </c>
      <c r="J75" s="10">
        <v>1452</v>
      </c>
      <c r="K75" s="10">
        <v>23381645.176113643</v>
      </c>
    </row>
    <row r="76" spans="1:11" x14ac:dyDescent="0.35">
      <c r="A76" s="9" t="s">
        <v>139</v>
      </c>
      <c r="B76" s="10">
        <v>497</v>
      </c>
      <c r="C76" s="10">
        <v>1</v>
      </c>
      <c r="D76" s="10">
        <v>1</v>
      </c>
      <c r="E76" s="10">
        <v>511</v>
      </c>
      <c r="F76" s="10">
        <v>4375811.9729387127</v>
      </c>
      <c r="G76" s="10">
        <v>509</v>
      </c>
      <c r="H76" s="10">
        <v>1</v>
      </c>
      <c r="I76" s="10">
        <v>1</v>
      </c>
      <c r="J76" s="10">
        <v>431</v>
      </c>
      <c r="K76" s="10">
        <v>4289968.4185176417</v>
      </c>
    </row>
    <row r="77" spans="1:11" x14ac:dyDescent="0.35">
      <c r="A77" s="9" t="s">
        <v>170</v>
      </c>
      <c r="B77" s="10">
        <v>890</v>
      </c>
      <c r="C77" s="10">
        <v>2</v>
      </c>
      <c r="D77" s="10">
        <v>1</v>
      </c>
      <c r="E77" s="10">
        <v>953</v>
      </c>
      <c r="F77" s="10">
        <v>6455484.0391519638</v>
      </c>
      <c r="G77" s="10">
        <v>886</v>
      </c>
      <c r="H77" s="10">
        <v>1</v>
      </c>
      <c r="I77" s="10">
        <v>0</v>
      </c>
      <c r="J77" s="10">
        <v>836</v>
      </c>
      <c r="K77" s="10">
        <v>8019843.3908477323</v>
      </c>
    </row>
    <row r="78" spans="1:11" x14ac:dyDescent="0.35">
      <c r="A78" s="9" t="s">
        <v>61</v>
      </c>
      <c r="B78" s="10">
        <v>645</v>
      </c>
      <c r="C78" s="10">
        <v>0</v>
      </c>
      <c r="D78" s="10">
        <v>3</v>
      </c>
      <c r="E78" s="10">
        <v>486</v>
      </c>
      <c r="F78" s="10">
        <v>6656745.3819831526</v>
      </c>
      <c r="G78" s="10">
        <v>621</v>
      </c>
      <c r="H78" s="10">
        <v>2</v>
      </c>
      <c r="I78" s="10">
        <v>4</v>
      </c>
      <c r="J78" s="10">
        <v>484</v>
      </c>
      <c r="K78" s="10">
        <v>7714567.795148775</v>
      </c>
    </row>
    <row r="79" spans="1:11" x14ac:dyDescent="0.35">
      <c r="A79" s="9" t="s">
        <v>129</v>
      </c>
      <c r="B79" s="10">
        <v>584</v>
      </c>
      <c r="C79" s="10">
        <v>3</v>
      </c>
      <c r="D79" s="10">
        <v>1</v>
      </c>
      <c r="E79" s="10">
        <v>1232</v>
      </c>
      <c r="F79" s="10">
        <v>6145372.1759344051</v>
      </c>
      <c r="G79" s="10">
        <v>575</v>
      </c>
      <c r="H79" s="10">
        <v>1</v>
      </c>
      <c r="I79" s="10">
        <v>1</v>
      </c>
      <c r="J79" s="10">
        <v>673</v>
      </c>
      <c r="K79" s="10">
        <v>4205049.2669032412</v>
      </c>
    </row>
    <row r="80" spans="1:11" x14ac:dyDescent="0.35">
      <c r="A80" s="9" t="s">
        <v>35</v>
      </c>
      <c r="B80" s="10">
        <v>448</v>
      </c>
      <c r="C80" s="10">
        <v>0</v>
      </c>
      <c r="D80" s="10">
        <v>7</v>
      </c>
      <c r="E80" s="10">
        <v>489</v>
      </c>
      <c r="F80" s="10">
        <v>6167548.4817713527</v>
      </c>
      <c r="G80" s="10">
        <v>447</v>
      </c>
      <c r="H80" s="10">
        <v>1</v>
      </c>
      <c r="I80" s="10">
        <v>7</v>
      </c>
      <c r="J80" s="10">
        <v>441</v>
      </c>
      <c r="K80" s="10">
        <v>5247516.1754672527</v>
      </c>
    </row>
    <row r="81" spans="1:11" x14ac:dyDescent="0.35">
      <c r="A81" s="9" t="s">
        <v>107</v>
      </c>
      <c r="B81" s="10">
        <v>957</v>
      </c>
      <c r="C81" s="10">
        <v>3</v>
      </c>
      <c r="D81" s="10">
        <v>3</v>
      </c>
      <c r="E81" s="10">
        <v>728</v>
      </c>
      <c r="F81" s="10">
        <v>15602501.207027076</v>
      </c>
      <c r="G81" s="10">
        <v>897</v>
      </c>
      <c r="H81" s="10">
        <v>3</v>
      </c>
      <c r="I81" s="10">
        <v>3</v>
      </c>
      <c r="J81" s="10">
        <v>509</v>
      </c>
      <c r="K81" s="10">
        <v>13829389.82868398</v>
      </c>
    </row>
    <row r="82" spans="1:11" x14ac:dyDescent="0.35">
      <c r="A82" s="9" t="s">
        <v>37</v>
      </c>
      <c r="B82" s="10">
        <v>777</v>
      </c>
      <c r="C82" s="10">
        <v>2</v>
      </c>
      <c r="D82" s="10">
        <v>10</v>
      </c>
      <c r="E82" s="10">
        <v>728</v>
      </c>
      <c r="F82" s="10">
        <v>9637371.4650558643</v>
      </c>
      <c r="G82" s="10">
        <v>786</v>
      </c>
      <c r="H82" s="10">
        <v>2</v>
      </c>
      <c r="I82" s="10">
        <v>8</v>
      </c>
      <c r="J82" s="10">
        <v>759</v>
      </c>
      <c r="K82" s="10">
        <v>9618529.1790097281</v>
      </c>
    </row>
    <row r="83" spans="1:11" x14ac:dyDescent="0.35">
      <c r="A83" s="9" t="s">
        <v>76</v>
      </c>
      <c r="B83" s="10">
        <v>955</v>
      </c>
      <c r="C83" s="10">
        <v>1</v>
      </c>
      <c r="D83" s="10">
        <v>1</v>
      </c>
      <c r="E83" s="10">
        <v>1078</v>
      </c>
      <c r="F83" s="10">
        <v>8652909.5345926397</v>
      </c>
      <c r="G83" s="10">
        <v>940</v>
      </c>
      <c r="H83" s="10">
        <v>0</v>
      </c>
      <c r="I83" s="10">
        <v>2</v>
      </c>
      <c r="J83" s="10">
        <v>963</v>
      </c>
      <c r="K83" s="10">
        <v>8377757.8982604528</v>
      </c>
    </row>
    <row r="84" spans="1:11" x14ac:dyDescent="0.35">
      <c r="A84" s="9" t="s">
        <v>65</v>
      </c>
      <c r="B84" s="10">
        <v>1002</v>
      </c>
      <c r="C84" s="10">
        <v>1</v>
      </c>
      <c r="D84" s="10">
        <v>4</v>
      </c>
      <c r="E84" s="10">
        <v>864</v>
      </c>
      <c r="F84" s="10">
        <v>5639004.5138757592</v>
      </c>
      <c r="G84" s="10">
        <v>966</v>
      </c>
      <c r="H84" s="10">
        <v>0</v>
      </c>
      <c r="I84" s="10">
        <v>5</v>
      </c>
      <c r="J84" s="10">
        <v>852</v>
      </c>
      <c r="K84" s="10">
        <v>10084372.857738692</v>
      </c>
    </row>
    <row r="85" spans="1:11" x14ac:dyDescent="0.35">
      <c r="A85" s="9" t="s">
        <v>89</v>
      </c>
      <c r="B85" s="10">
        <v>735</v>
      </c>
      <c r="C85" s="10">
        <v>0</v>
      </c>
      <c r="D85" s="10">
        <v>6</v>
      </c>
      <c r="E85" s="10">
        <v>722</v>
      </c>
      <c r="F85" s="10">
        <v>8950824.0708206147</v>
      </c>
      <c r="G85" s="10">
        <v>759</v>
      </c>
      <c r="H85" s="10">
        <v>0</v>
      </c>
      <c r="I85" s="10">
        <v>6</v>
      </c>
      <c r="J85" s="10">
        <v>762</v>
      </c>
      <c r="K85" s="10">
        <v>10962669.639295643</v>
      </c>
    </row>
    <row r="86" spans="1:11" x14ac:dyDescent="0.35">
      <c r="A86" s="9" t="s">
        <v>147</v>
      </c>
      <c r="B86" s="10">
        <v>578</v>
      </c>
      <c r="C86" s="10">
        <v>0</v>
      </c>
      <c r="D86" s="10">
        <v>1</v>
      </c>
      <c r="E86" s="10">
        <v>771</v>
      </c>
      <c r="F86" s="10">
        <v>5040232.7874080641</v>
      </c>
      <c r="G86" s="10">
        <v>575</v>
      </c>
      <c r="H86" s="10">
        <v>2</v>
      </c>
      <c r="I86" s="10">
        <v>0</v>
      </c>
      <c r="J86" s="10">
        <v>500</v>
      </c>
      <c r="K86" s="10">
        <v>4639037.4862943813</v>
      </c>
    </row>
    <row r="87" spans="1:11" x14ac:dyDescent="0.35">
      <c r="A87" s="9" t="s">
        <v>164</v>
      </c>
      <c r="B87" s="10">
        <v>1736</v>
      </c>
      <c r="C87" s="10">
        <v>0</v>
      </c>
      <c r="D87" s="10">
        <v>10</v>
      </c>
      <c r="E87" s="10">
        <v>1241</v>
      </c>
      <c r="F87" s="10">
        <v>18568180.655060079</v>
      </c>
      <c r="G87" s="10">
        <v>1760</v>
      </c>
      <c r="H87" s="10">
        <v>1</v>
      </c>
      <c r="I87" s="10">
        <v>9</v>
      </c>
      <c r="J87" s="10">
        <v>1457</v>
      </c>
      <c r="K87" s="10">
        <v>23710006.613139428</v>
      </c>
    </row>
    <row r="88" spans="1:11" x14ac:dyDescent="0.35">
      <c r="A88" s="9" t="s">
        <v>91</v>
      </c>
      <c r="B88" s="10">
        <v>595</v>
      </c>
      <c r="C88" s="10">
        <v>0</v>
      </c>
      <c r="D88" s="10">
        <v>2</v>
      </c>
      <c r="E88" s="10">
        <v>573</v>
      </c>
      <c r="F88" s="10">
        <v>4039640.5948034199</v>
      </c>
      <c r="G88" s="10">
        <v>639</v>
      </c>
      <c r="H88" s="10">
        <v>0</v>
      </c>
      <c r="I88" s="10">
        <v>3</v>
      </c>
      <c r="J88" s="10">
        <v>649</v>
      </c>
      <c r="K88" s="10">
        <v>4725877.7933154078</v>
      </c>
    </row>
    <row r="89" spans="1:11" x14ac:dyDescent="0.35">
      <c r="A89" s="9" t="s">
        <v>97</v>
      </c>
      <c r="B89" s="10">
        <v>615</v>
      </c>
      <c r="C89" s="10">
        <v>3</v>
      </c>
      <c r="D89" s="10">
        <v>7</v>
      </c>
      <c r="E89" s="10">
        <v>620</v>
      </c>
      <c r="F89" s="10">
        <v>9035115.4145014361</v>
      </c>
      <c r="G89" s="10">
        <v>681</v>
      </c>
      <c r="H89" s="10">
        <v>2</v>
      </c>
      <c r="I89" s="10">
        <v>9</v>
      </c>
      <c r="J89" s="10">
        <v>775</v>
      </c>
      <c r="K89" s="10">
        <v>8817148.5643374957</v>
      </c>
    </row>
    <row r="90" spans="1:11" x14ac:dyDescent="0.35">
      <c r="A90" s="9" t="s">
        <v>78</v>
      </c>
      <c r="B90" s="10">
        <v>361</v>
      </c>
      <c r="C90" s="10">
        <v>1</v>
      </c>
      <c r="D90" s="10">
        <v>0</v>
      </c>
      <c r="E90" s="10">
        <v>314</v>
      </c>
      <c r="F90" s="10">
        <v>2522971.2262231968</v>
      </c>
      <c r="G90" s="10">
        <v>364</v>
      </c>
      <c r="H90" s="10">
        <v>2</v>
      </c>
      <c r="I90" s="10">
        <v>1</v>
      </c>
      <c r="J90" s="10">
        <v>357</v>
      </c>
      <c r="K90" s="10">
        <v>2652413.9551826539</v>
      </c>
    </row>
    <row r="91" spans="1:11" x14ac:dyDescent="0.35">
      <c r="A91" s="14" t="s">
        <v>203</v>
      </c>
      <c r="B91" s="13">
        <v>84729</v>
      </c>
      <c r="C91" s="13">
        <v>585</v>
      </c>
      <c r="D91" s="13">
        <v>304</v>
      </c>
      <c r="E91" s="13">
        <v>71425</v>
      </c>
      <c r="F91" s="13">
        <v>902160932.74304485</v>
      </c>
      <c r="G91" s="13">
        <v>84017</v>
      </c>
      <c r="H91" s="13">
        <v>394</v>
      </c>
      <c r="I91" s="13">
        <v>310</v>
      </c>
      <c r="J91" s="13">
        <v>71459</v>
      </c>
      <c r="K91" s="13">
        <v>965035740.74309564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2026-09-09T01:44:06Z</dcterms:modified>
</cp:coreProperties>
</file>