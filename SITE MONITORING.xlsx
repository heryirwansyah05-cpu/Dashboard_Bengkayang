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77" i="3" l="1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<sst xmlns="http://schemas.openxmlformats.org/spreadsheetml/2006/main" count="540" uniqueCount="205">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</sst>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16876510.535024282</v>
      </c>
      <c r="G2" s="1">
        <f>VLOOKUP(A:A,MASTER!A:K,11,0)</f>
        <v>16977840.683463868</v>
      </c>
      <c r="H2" s="12">
        <f>IFERROR(G2/F2-1,0)</f>
        <v>6.0042120810042121E-3</v>
      </c>
      <c r="I2" s="2">
        <f>VLOOKUP(A:A,MASTER!A:E,5,0)</f>
        <v>404</v>
      </c>
      <c r="J2" s="2">
        <f>VLOOKUP(A:A,MASTER!A:J,10,0)</f>
        <v>460</v>
      </c>
      <c r="K2" s="12">
        <f>IFERROR(J2/I2-1,0)</f>
        <v>0.13861386138613851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3</v>
      </c>
      <c r="Q2" s="12">
        <f>IFERROR(P2/O2-1,0)</f>
        <v>0</v>
      </c>
      <c r="R2" s="1">
        <f>VLOOKUP(A:A,MASTER!A:B,2,0)</f>
        <v>404</v>
      </c>
      <c r="S2">
        <f>VLOOKUP(A:A,MASTER!A:G,7,0)</f>
        <v>432</v>
      </c>
      <c r="T2" s="12">
        <f>IFERROR(S2/R2-1,0)</f>
        <v>6.9306930693069368E-2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20288787.542613629</v>
      </c>
      <c r="G3" s="1">
        <f>VLOOKUP(A:A,MASTER!A:K,11,0)</f>
        <v>19840765.620741237</v>
      </c>
      <c r="H3" s="12">
        <f t="shared" ref="H3:H66" si="0">IFERROR(G3/F3-1,0)</f>
        <v>-2.2082242269597763E-2</v>
      </c>
      <c r="I3" s="2">
        <f>VLOOKUP(A:A,MASTER!A:E,5,0)</f>
        <v>517</v>
      </c>
      <c r="J3" s="2">
        <f>VLOOKUP(A:A,MASTER!A:J,10,0)</f>
        <v>551</v>
      </c>
      <c r="K3" s="12">
        <f t="shared" ref="K3:K66" si="1">IFERROR(J3/I3-1,0)</f>
        <v>6.5764023210831635E-2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668</v>
      </c>
      <c r="S3">
        <f>VLOOKUP(A:A,MASTER!A:G,7,0)</f>
        <v>586</v>
      </c>
      <c r="T3" s="12">
        <f t="shared" ref="T3:T66" si="4">IFERROR(S3/R3-1,0)</f>
        <v>-0.1227544910179641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25656604.860061865</v>
      </c>
      <c r="G4" s="1">
        <f>VLOOKUP(A:A,MASTER!A:K,11,0)</f>
        <v>29370662.252451122</v>
      </c>
      <c r="H4" s="12">
        <f t="shared" si="0"/>
        <v>0.14476028346878866</v>
      </c>
      <c r="I4" s="2">
        <f>VLOOKUP(A:A,MASTER!A:E,5,0)</f>
        <v>810</v>
      </c>
      <c r="J4" s="2">
        <f>VLOOKUP(A:A,MASTER!A:J,10,0)</f>
        <v>1032</v>
      </c>
      <c r="K4" s="12">
        <f t="shared" si="1"/>
        <v>0.27407407407407414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12</v>
      </c>
      <c r="P4" s="1">
        <f>VLOOKUP(A:A,MASTER!A:H,8,0)</f>
        <v>11</v>
      </c>
      <c r="Q4" s="12">
        <f t="shared" si="3"/>
        <v>-8.333333333333337E-2</v>
      </c>
      <c r="R4" s="1">
        <f>VLOOKUP(A:A,MASTER!A:B,2,0)</f>
        <v>694</v>
      </c>
      <c r="S4">
        <f>VLOOKUP(A:A,MASTER!A:G,7,0)</f>
        <v>793</v>
      </c>
      <c r="T4" s="12">
        <f t="shared" si="4"/>
        <v>0.14265129682997113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43530609.426639684</v>
      </c>
      <c r="G5" s="1">
        <f>VLOOKUP(A:A,MASTER!A:K,11,0)</f>
        <v>45135655.774260797</v>
      </c>
      <c r="H5" s="12">
        <f t="shared" si="0"/>
        <v>3.6871671882426238E-2</v>
      </c>
      <c r="I5" s="2">
        <f>VLOOKUP(A:A,MASTER!A:E,5,0)</f>
        <v>1122</v>
      </c>
      <c r="J5" s="2">
        <f>VLOOKUP(A:A,MASTER!A:J,10,0)</f>
        <v>1287</v>
      </c>
      <c r="K5" s="12">
        <f t="shared" si="1"/>
        <v>0.14705882352941169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8</v>
      </c>
      <c r="P5" s="1">
        <f>VLOOKUP(A:A,MASTER!A:H,8,0)</f>
        <v>11</v>
      </c>
      <c r="Q5" s="12">
        <f t="shared" si="3"/>
        <v>0.375</v>
      </c>
      <c r="R5" s="1">
        <f>VLOOKUP(A:A,MASTER!A:B,2,0)</f>
        <v>1205</v>
      </c>
      <c r="S5">
        <f>VLOOKUP(A:A,MASTER!A:G,7,0)</f>
        <v>1260</v>
      </c>
      <c r="T5" s="12">
        <f t="shared" si="4"/>
        <v>4.5643153526971014E-2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18355854.418584052</v>
      </c>
      <c r="G6" s="1">
        <f>VLOOKUP(A:A,MASTER!A:K,11,0)</f>
        <v>19324546.263168249</v>
      </c>
      <c r="H6" s="12">
        <f t="shared" si="0"/>
        <v>5.2772909530349299E-2</v>
      </c>
      <c r="I6" s="2">
        <f>VLOOKUP(A:A,MASTER!A:E,5,0)</f>
        <v>374</v>
      </c>
      <c r="J6" s="2">
        <f>VLOOKUP(A:A,MASTER!A:J,10,0)</f>
        <v>693</v>
      </c>
      <c r="K6" s="12">
        <f t="shared" si="1"/>
        <v>0.85294117647058831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410</v>
      </c>
      <c r="S6">
        <f>VLOOKUP(A:A,MASTER!A:G,7,0)</f>
        <v>402</v>
      </c>
      <c r="T6" s="12">
        <f t="shared" si="4"/>
        <v>-1.9512195121951237E-2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14782406.320111848</v>
      </c>
      <c r="G7" s="1">
        <f>VLOOKUP(A:A,MASTER!A:K,11,0)</f>
        <v>16193640.471603474</v>
      </c>
      <c r="H7" s="12">
        <f t="shared" si="0"/>
        <v>9.5467146615473952E-2</v>
      </c>
      <c r="I7" s="2">
        <f>VLOOKUP(A:A,MASTER!A:E,5,0)</f>
        <v>301</v>
      </c>
      <c r="J7" s="2">
        <f>VLOOKUP(A:A,MASTER!A:J,10,0)</f>
        <v>536</v>
      </c>
      <c r="K7" s="12">
        <f t="shared" si="1"/>
        <v>0.78073089700996667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374</v>
      </c>
      <c r="S7">
        <f>VLOOKUP(A:A,MASTER!A:G,7,0)</f>
        <v>390</v>
      </c>
      <c r="T7" s="12">
        <f t="shared" si="4"/>
        <v>4.2780748663101553E-2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16901317.291776467</v>
      </c>
      <c r="G8" s="1">
        <f>VLOOKUP(A:A,MASTER!A:K,11,0)</f>
        <v>20999891.983085454</v>
      </c>
      <c r="H8" s="12">
        <f t="shared" si="0"/>
        <v>0.24250031051148868</v>
      </c>
      <c r="I8" s="2">
        <f>VLOOKUP(A:A,MASTER!A:E,5,0)</f>
        <v>418</v>
      </c>
      <c r="J8" s="2">
        <f>VLOOKUP(A:A,MASTER!A:J,10,0)</f>
        <v>774</v>
      </c>
      <c r="K8" s="12">
        <f t="shared" si="1"/>
        <v>0.85167464114832536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3</v>
      </c>
      <c r="P8" s="1">
        <f>VLOOKUP(A:A,MASTER!A:H,8,0)</f>
        <v>3</v>
      </c>
      <c r="Q8" s="12">
        <f t="shared" si="3"/>
        <v>0</v>
      </c>
      <c r="R8" s="1">
        <f>VLOOKUP(A:A,MASTER!A:B,2,0)</f>
        <v>578</v>
      </c>
      <c r="S8">
        <f>VLOOKUP(A:A,MASTER!A:G,7,0)</f>
        <v>624</v>
      </c>
      <c r="T8" s="12">
        <f t="shared" si="4"/>
        <v>7.9584775086505299E-2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8414125.1187456883</v>
      </c>
      <c r="G9" s="1">
        <f>VLOOKUP(A:A,MASTER!A:K,11,0)</f>
        <v>8275876.3151338091</v>
      </c>
      <c r="H9" s="12">
        <f t="shared" si="0"/>
        <v>-1.6430561901661922E-2</v>
      </c>
      <c r="I9" s="2">
        <f>VLOOKUP(A:A,MASTER!A:E,5,0)</f>
        <v>155</v>
      </c>
      <c r="J9" s="2">
        <f>VLOOKUP(A:A,MASTER!A:J,10,0)</f>
        <v>284</v>
      </c>
      <c r="K9" s="12">
        <f t="shared" si="1"/>
        <v>0.83225806451612905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175</v>
      </c>
      <c r="S9">
        <f>VLOOKUP(A:A,MASTER!A:G,7,0)</f>
        <v>185</v>
      </c>
      <c r="T9" s="12">
        <f t="shared" si="4"/>
        <v>5.7142857142857162E-2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7518318.9165054988</v>
      </c>
      <c r="G10" s="1">
        <f>VLOOKUP(A:A,MASTER!A:K,11,0)</f>
        <v>5630801.2200364396</v>
      </c>
      <c r="H10" s="12">
        <f t="shared" si="0"/>
        <v>-0.25105581678974243</v>
      </c>
      <c r="I10" s="2">
        <f>VLOOKUP(A:A,MASTER!A:E,5,0)</f>
        <v>239</v>
      </c>
      <c r="J10" s="2">
        <f>VLOOKUP(A:A,MASTER!A:J,10,0)</f>
        <v>238</v>
      </c>
      <c r="K10" s="12">
        <f t="shared" si="1"/>
        <v>-4.1841004184099972E-3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193</v>
      </c>
      <c r="S10">
        <f>VLOOKUP(A:A,MASTER!A:G,7,0)</f>
        <v>189</v>
      </c>
      <c r="T10" s="12">
        <f t="shared" si="4"/>
        <v>-2.0725388601036232E-2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12232116.139519231</v>
      </c>
      <c r="G11" s="1">
        <f>VLOOKUP(A:A,MASTER!A:K,11,0)</f>
        <v>16872475.289925527</v>
      </c>
      <c r="H11" s="12">
        <f t="shared" si="0"/>
        <v>0.37935865695505733</v>
      </c>
      <c r="I11" s="2">
        <f>VLOOKUP(A:A,MASTER!A:E,5,0)</f>
        <v>339</v>
      </c>
      <c r="J11" s="2">
        <f>VLOOKUP(A:A,MASTER!A:J,10,0)</f>
        <v>563</v>
      </c>
      <c r="K11" s="12">
        <f t="shared" si="1"/>
        <v>0.66076696165191739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338</v>
      </c>
      <c r="S11">
        <f>VLOOKUP(A:A,MASTER!A:G,7,0)</f>
        <v>395</v>
      </c>
      <c r="T11" s="12">
        <f t="shared" si="4"/>
        <v>0.16863905325443795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5877391.2867523348</v>
      </c>
      <c r="G12" s="1">
        <f>VLOOKUP(A:A,MASTER!A:K,11,0)</f>
        <v>8817919.1783298664</v>
      </c>
      <c r="H12" s="12">
        <f t="shared" si="0"/>
        <v>0.50031174514541754</v>
      </c>
      <c r="I12" s="2">
        <f>VLOOKUP(A:A,MASTER!A:E,5,0)</f>
        <v>247</v>
      </c>
      <c r="J12" s="2">
        <f>VLOOKUP(A:A,MASTER!A:J,10,0)</f>
        <v>561</v>
      </c>
      <c r="K12" s="12">
        <f t="shared" si="1"/>
        <v>1.2712550607287447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199</v>
      </c>
      <c r="S12">
        <f>VLOOKUP(A:A,MASTER!A:G,7,0)</f>
        <v>241</v>
      </c>
      <c r="T12" s="12">
        <f t="shared" si="4"/>
        <v>0.21105527638190957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8111746.0992759159</v>
      </c>
      <c r="G13" s="1">
        <f>VLOOKUP(A:A,MASTER!A:K,11,0)</f>
        <v>9271055.4566709045</v>
      </c>
      <c r="H13" s="12">
        <f t="shared" si="0"/>
        <v>0.14291736245276132</v>
      </c>
      <c r="I13" s="2">
        <f>VLOOKUP(A:A,MASTER!A:E,5,0)</f>
        <v>253</v>
      </c>
      <c r="J13" s="2">
        <f>VLOOKUP(A:A,MASTER!A:J,10,0)</f>
        <v>399</v>
      </c>
      <c r="K13" s="12">
        <f t="shared" si="1"/>
        <v>0.57707509881422925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7</v>
      </c>
      <c r="P13" s="1">
        <f>VLOOKUP(A:A,MASTER!A:H,8,0)</f>
        <v>3</v>
      </c>
      <c r="Q13" s="12">
        <f t="shared" si="3"/>
        <v>-0.5714285714285714</v>
      </c>
      <c r="R13" s="1">
        <f>VLOOKUP(A:A,MASTER!A:B,2,0)</f>
        <v>246</v>
      </c>
      <c r="S13">
        <f>VLOOKUP(A:A,MASTER!A:G,7,0)</f>
        <v>249</v>
      </c>
      <c r="T13" s="12">
        <f t="shared" si="4"/>
        <v>1.2195121951219523E-2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23463792.172574889</v>
      </c>
      <c r="G14" s="1">
        <f>VLOOKUP(A:A,MASTER!A:K,11,0)</f>
        <v>40745401.810690977</v>
      </c>
      <c r="H14" s="12">
        <f t="shared" si="0"/>
        <v>0.73652244748039064</v>
      </c>
      <c r="I14" s="2">
        <f>VLOOKUP(A:A,MASTER!A:E,5,0)</f>
        <v>1051</v>
      </c>
      <c r="J14" s="2">
        <f>VLOOKUP(A:A,MASTER!A:J,10,0)</f>
        <v>1262</v>
      </c>
      <c r="K14" s="12">
        <f t="shared" si="1"/>
        <v>0.20076117982873454</v>
      </c>
      <c r="L14" s="2">
        <f>VLOOKUP(A:A,MASTER!A:D,4,0)</f>
        <v>2</v>
      </c>
      <c r="M14" s="2">
        <f>VLOOKUP(A:A,MASTER!A:I,9,0)</f>
        <v>3</v>
      </c>
      <c r="N14" s="12">
        <f t="shared" si="2"/>
        <v>0.5</v>
      </c>
      <c r="O14" s="1">
        <f>VLOOKUP(A:A,MASTER!A:C,3,0)</f>
        <v>0</v>
      </c>
      <c r="P14" s="1">
        <f>VLOOKUP(A:A,MASTER!A:H,8,0)</f>
        <v>4</v>
      </c>
      <c r="Q14" s="12">
        <f t="shared" si="3"/>
        <v>0</v>
      </c>
      <c r="R14" s="1">
        <f>VLOOKUP(A:A,MASTER!A:B,2,0)</f>
        <v>1438</v>
      </c>
      <c r="S14">
        <f>VLOOKUP(A:A,MASTER!A:G,7,0)</f>
        <v>1305</v>
      </c>
      <c r="T14" s="12">
        <f t="shared" si="4"/>
        <v>-9.2489568845618875E-2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49732182.443549357</v>
      </c>
      <c r="G15" s="1">
        <f>VLOOKUP(A:A,MASTER!A:K,11,0)</f>
        <v>64825538.581364349</v>
      </c>
      <c r="H15" s="12">
        <f t="shared" si="0"/>
        <v>0.30349273641765784</v>
      </c>
      <c r="I15" s="2">
        <f>VLOOKUP(A:A,MASTER!A:E,5,0)</f>
        <v>891</v>
      </c>
      <c r="J15" s="2">
        <f>VLOOKUP(A:A,MASTER!A:J,10,0)</f>
        <v>933</v>
      </c>
      <c r="K15" s="12">
        <f t="shared" si="1"/>
        <v>4.7138047138047146E-2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4</v>
      </c>
      <c r="Q15" s="12">
        <f t="shared" si="3"/>
        <v>0</v>
      </c>
      <c r="R15" s="1">
        <f>VLOOKUP(A:A,MASTER!A:B,2,0)</f>
        <v>1277</v>
      </c>
      <c r="S15">
        <f>VLOOKUP(A:A,MASTER!A:G,7,0)</f>
        <v>1210</v>
      </c>
      <c r="T15" s="12">
        <f t="shared" si="4"/>
        <v>-5.2466718872357099E-2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34329141.24131266</v>
      </c>
      <c r="G16" s="1">
        <f>VLOOKUP(A:A,MASTER!A:K,11,0)</f>
        <v>34521799.241452582</v>
      </c>
      <c r="H16" s="12">
        <f t="shared" si="0"/>
        <v>5.6120832963939549E-3</v>
      </c>
      <c r="I16" s="2">
        <f>VLOOKUP(A:A,MASTER!A:E,5,0)</f>
        <v>907</v>
      </c>
      <c r="J16" s="2">
        <f>VLOOKUP(A:A,MASTER!A:J,10,0)</f>
        <v>1089</v>
      </c>
      <c r="K16" s="12">
        <f t="shared" si="1"/>
        <v>0.20066152149944871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4</v>
      </c>
      <c r="P16" s="1">
        <f>VLOOKUP(A:A,MASTER!A:H,8,0)</f>
        <v>5</v>
      </c>
      <c r="Q16" s="12">
        <f t="shared" si="3"/>
        <v>0.25</v>
      </c>
      <c r="R16" s="1">
        <f>VLOOKUP(A:A,MASTER!A:B,2,0)</f>
        <v>1022</v>
      </c>
      <c r="S16">
        <f>VLOOKUP(A:A,MASTER!A:G,7,0)</f>
        <v>1000</v>
      </c>
      <c r="T16" s="12">
        <f t="shared" si="4"/>
        <v>-2.1526418786692814E-2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31404623.430463199</v>
      </c>
      <c r="G17" s="1">
        <f>VLOOKUP(A:A,MASTER!A:K,11,0)</f>
        <v>28777243.986155931</v>
      </c>
      <c r="H17" s="12">
        <f t="shared" si="0"/>
        <v>-8.3662185923829568E-2</v>
      </c>
      <c r="I17" s="2">
        <f>VLOOKUP(A:A,MASTER!A:E,5,0)</f>
        <v>603</v>
      </c>
      <c r="J17" s="2">
        <f>VLOOKUP(A:A,MASTER!A:J,10,0)</f>
        <v>674</v>
      </c>
      <c r="K17" s="12">
        <f t="shared" si="1"/>
        <v>0.11774461028192373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936</v>
      </c>
      <c r="S17">
        <f>VLOOKUP(A:A,MASTER!A:G,7,0)</f>
        <v>930</v>
      </c>
      <c r="T17" s="12">
        <f t="shared" si="4"/>
        <v>-6.4102564102563875E-3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117974118.52451561</v>
      </c>
      <c r="G18" s="1">
        <f>VLOOKUP(A:A,MASTER!A:K,11,0)</f>
        <v>122992486.69324349</v>
      </c>
      <c r="H18" s="12">
        <f t="shared" si="0"/>
        <v>4.253787382768226E-2</v>
      </c>
      <c r="I18" s="2">
        <f>VLOOKUP(A:A,MASTER!A:E,5,0)</f>
        <v>2065</v>
      </c>
      <c r="J18" s="2">
        <f>VLOOKUP(A:A,MASTER!A:J,10,0)</f>
        <v>2223</v>
      </c>
      <c r="K18" s="12">
        <f t="shared" si="1"/>
        <v>7.6513317191283292E-2</v>
      </c>
      <c r="L18" s="2">
        <f>VLOOKUP(A:A,MASTER!A:D,4,0)</f>
        <v>11</v>
      </c>
      <c r="M18" s="2">
        <f>VLOOKUP(A:A,MASTER!A:I,9,0)</f>
        <v>10</v>
      </c>
      <c r="N18" s="12">
        <f t="shared" si="2"/>
        <v>-9.0909090909090939E-2</v>
      </c>
      <c r="O18" s="1">
        <f>VLOOKUP(A:A,MASTER!A:C,3,0)</f>
        <v>758</v>
      </c>
      <c r="P18" s="1">
        <f>VLOOKUP(A:A,MASTER!A:H,8,0)</f>
        <v>187</v>
      </c>
      <c r="Q18" s="12">
        <f t="shared" si="3"/>
        <v>-0.75329815303430081</v>
      </c>
      <c r="R18" s="1">
        <f>VLOOKUP(A:A,MASTER!A:B,2,0)</f>
        <v>3117</v>
      </c>
      <c r="S18">
        <f>VLOOKUP(A:A,MASTER!A:G,7,0)</f>
        <v>2725</v>
      </c>
      <c r="T18" s="12">
        <f t="shared" si="4"/>
        <v>-0.12576195059351936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61808293.185114115</v>
      </c>
      <c r="G19" s="1">
        <f>VLOOKUP(A:A,MASTER!A:K,11,0)</f>
        <v>45580318.631681904</v>
      </c>
      <c r="H19" s="12">
        <f t="shared" si="0"/>
        <v>-0.26255335193984208</v>
      </c>
      <c r="I19" s="2">
        <f>VLOOKUP(A:A,MASTER!A:E,5,0)</f>
        <v>1118</v>
      </c>
      <c r="J19" s="2">
        <f>VLOOKUP(A:A,MASTER!A:J,10,0)</f>
        <v>1196</v>
      </c>
      <c r="K19" s="12">
        <f t="shared" si="1"/>
        <v>6.9767441860465018E-2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3</v>
      </c>
      <c r="P19" s="1">
        <f>VLOOKUP(A:A,MASTER!A:H,8,0)</f>
        <v>8</v>
      </c>
      <c r="Q19" s="12">
        <f t="shared" si="3"/>
        <v>1.6666666666666665</v>
      </c>
      <c r="R19" s="1">
        <f>VLOOKUP(A:A,MASTER!A:B,2,0)</f>
        <v>1425</v>
      </c>
      <c r="S19">
        <f>VLOOKUP(A:A,MASTER!A:G,7,0)</f>
        <v>1301</v>
      </c>
      <c r="T19" s="12">
        <f t="shared" si="4"/>
        <v>-8.7017543859649105E-2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125498451.11472951</v>
      </c>
      <c r="G20" s="1">
        <f>VLOOKUP(A:A,MASTER!A:K,11,0)</f>
        <v>127094145.06819585</v>
      </c>
      <c r="H20" s="12">
        <f t="shared" si="0"/>
        <v>1.2714849779361659E-2</v>
      </c>
      <c r="I20" s="2">
        <f>VLOOKUP(A:A,MASTER!A:E,5,0)</f>
        <v>2157</v>
      </c>
      <c r="J20" s="2">
        <f>VLOOKUP(A:A,MASTER!A:J,10,0)</f>
        <v>2221</v>
      </c>
      <c r="K20" s="12">
        <f t="shared" si="1"/>
        <v>2.9670839128419058E-2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27</v>
      </c>
      <c r="P20" s="1">
        <f>VLOOKUP(A:A,MASTER!A:H,8,0)</f>
        <v>20</v>
      </c>
      <c r="Q20" s="12">
        <f t="shared" si="3"/>
        <v>-0.2592592592592593</v>
      </c>
      <c r="R20" s="1">
        <f>VLOOKUP(A:A,MASTER!A:B,2,0)</f>
        <v>2988</v>
      </c>
      <c r="S20">
        <f>VLOOKUP(A:A,MASTER!A:G,7,0)</f>
        <v>2797</v>
      </c>
      <c r="T20" s="12">
        <f t="shared" si="4"/>
        <v>-6.3922356091030808E-2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17764066.714115944</v>
      </c>
      <c r="G21" s="1">
        <f>VLOOKUP(A:A,MASTER!A:K,11,0)</f>
        <v>18727711.518135265</v>
      </c>
      <c r="H21" s="12">
        <f t="shared" si="0"/>
        <v>5.4246857970510431E-2</v>
      </c>
      <c r="I21" s="2">
        <f>VLOOKUP(A:A,MASTER!A:E,5,0)</f>
        <v>483</v>
      </c>
      <c r="J21" s="2">
        <f>VLOOKUP(A:A,MASTER!A:J,10,0)</f>
        <v>503</v>
      </c>
      <c r="K21" s="12">
        <f t="shared" si="1"/>
        <v>4.1407867494823947E-2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5</v>
      </c>
      <c r="Q21" s="12">
        <f t="shared" si="3"/>
        <v>-0.16666666666666663</v>
      </c>
      <c r="R21" s="1">
        <f>VLOOKUP(A:A,MASTER!A:B,2,0)</f>
        <v>542</v>
      </c>
      <c r="S21">
        <f>VLOOKUP(A:A,MASTER!A:G,7,0)</f>
        <v>504</v>
      </c>
      <c r="T21" s="12">
        <f t="shared" si="4"/>
        <v>-7.011070110701112E-2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50711305.883547649</v>
      </c>
      <c r="G22" s="1">
        <f>VLOOKUP(A:A,MASTER!A:K,11,0)</f>
        <v>52823901.753490902</v>
      </c>
      <c r="H22" s="12">
        <f t="shared" si="0"/>
        <v>4.165926775371509E-2</v>
      </c>
      <c r="I22" s="2">
        <f>VLOOKUP(A:A,MASTER!A:E,5,0)</f>
        <v>1279</v>
      </c>
      <c r="J22" s="2">
        <f>VLOOKUP(A:A,MASTER!A:J,10,0)</f>
        <v>1533</v>
      </c>
      <c r="K22" s="12">
        <f t="shared" si="1"/>
        <v>0.19859265050820962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23</v>
      </c>
      <c r="P22" s="1">
        <f>VLOOKUP(A:A,MASTER!A:H,8,0)</f>
        <v>21</v>
      </c>
      <c r="Q22" s="12">
        <f t="shared" si="3"/>
        <v>-8.6956521739130488E-2</v>
      </c>
      <c r="R22" s="1">
        <f>VLOOKUP(A:A,MASTER!A:B,2,0)</f>
        <v>1755</v>
      </c>
      <c r="S22">
        <f>VLOOKUP(A:A,MASTER!A:G,7,0)</f>
        <v>1756</v>
      </c>
      <c r="T22" s="12">
        <f t="shared" si="4"/>
        <v>5.6980056980049376E-4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22161146.052269228</v>
      </c>
      <c r="G23" s="1">
        <f>VLOOKUP(A:A,MASTER!A:K,11,0)</f>
        <v>22476371.265856575</v>
      </c>
      <c r="H23" s="12">
        <f t="shared" si="0"/>
        <v>1.422422887534136E-2</v>
      </c>
      <c r="I23" s="2">
        <f>VLOOKUP(A:A,MASTER!A:E,5,0)</f>
        <v>772</v>
      </c>
      <c r="J23" s="2">
        <f>VLOOKUP(A:A,MASTER!A:J,10,0)</f>
        <v>822</v>
      </c>
      <c r="K23" s="12">
        <f t="shared" si="1"/>
        <v>6.476683937823835E-2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14</v>
      </c>
      <c r="P23" s="1">
        <f>VLOOKUP(A:A,MASTER!A:H,8,0)</f>
        <v>17</v>
      </c>
      <c r="Q23" s="12">
        <f t="shared" si="3"/>
        <v>0.21428571428571419</v>
      </c>
      <c r="R23" s="1">
        <f>VLOOKUP(A:A,MASTER!A:B,2,0)</f>
        <v>874</v>
      </c>
      <c r="S23">
        <f>VLOOKUP(A:A,MASTER!A:G,7,0)</f>
        <v>875</v>
      </c>
      <c r="T23" s="12">
        <f t="shared" si="4"/>
        <v>1.1441647597254523E-3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25156877.710408594</v>
      </c>
      <c r="G24" s="1">
        <f>VLOOKUP(A:A,MASTER!A:K,11,0)</f>
        <v>26513412.58903528</v>
      </c>
      <c r="H24" s="12">
        <f t="shared" si="0"/>
        <v>5.3923022333786097E-2</v>
      </c>
      <c r="I24" s="2">
        <f>VLOOKUP(A:A,MASTER!A:E,5,0)</f>
        <v>860</v>
      </c>
      <c r="J24" s="2">
        <f>VLOOKUP(A:A,MASTER!A:J,10,0)</f>
        <v>750</v>
      </c>
      <c r="K24" s="12">
        <f t="shared" si="1"/>
        <v>-0.12790697674418605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7</v>
      </c>
      <c r="P24" s="1">
        <f>VLOOKUP(A:A,MASTER!A:H,8,0)</f>
        <v>7</v>
      </c>
      <c r="Q24" s="12">
        <f t="shared" si="3"/>
        <v>0</v>
      </c>
      <c r="R24" s="1">
        <f>VLOOKUP(A:A,MASTER!A:B,2,0)</f>
        <v>894</v>
      </c>
      <c r="S24">
        <f>VLOOKUP(A:A,MASTER!A:G,7,0)</f>
        <v>873</v>
      </c>
      <c r="T24" s="12">
        <f t="shared" si="4"/>
        <v>-2.3489932885906062E-2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7509086.9304284584</v>
      </c>
      <c r="G25" s="1">
        <f>VLOOKUP(A:A,MASTER!A:K,11,0)</f>
        <v>6621116.0752894944</v>
      </c>
      <c r="H25" s="12">
        <f t="shared" si="0"/>
        <v>-0.11825283997455305</v>
      </c>
      <c r="I25" s="2">
        <f>VLOOKUP(A:A,MASTER!A:E,5,0)</f>
        <v>173</v>
      </c>
      <c r="J25" s="2">
        <f>VLOOKUP(A:A,MASTER!A:J,10,0)</f>
        <v>181</v>
      </c>
      <c r="K25" s="12">
        <f t="shared" si="1"/>
        <v>4.6242774566473965E-2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241</v>
      </c>
      <c r="S25">
        <f>VLOOKUP(A:A,MASTER!A:G,7,0)</f>
        <v>212</v>
      </c>
      <c r="T25" s="12">
        <f t="shared" si="4"/>
        <v>-0.1203319502074689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53410917.962525561</v>
      </c>
      <c r="G26" s="1">
        <f>VLOOKUP(A:A,MASTER!A:K,11,0)</f>
        <v>50276970.093604781</v>
      </c>
      <c r="H26" s="12">
        <f t="shared" si="0"/>
        <v>-5.8676165631896371E-2</v>
      </c>
      <c r="I26" s="2">
        <f>VLOOKUP(A:A,MASTER!A:E,5,0)</f>
        <v>1313</v>
      </c>
      <c r="J26" s="2">
        <f>VLOOKUP(A:A,MASTER!A:J,10,0)</f>
        <v>1432</v>
      </c>
      <c r="K26" s="12">
        <f t="shared" si="1"/>
        <v>9.0632140137090644E-2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7</v>
      </c>
      <c r="P26" s="1">
        <f>VLOOKUP(A:A,MASTER!A:H,8,0)</f>
        <v>14</v>
      </c>
      <c r="Q26" s="12">
        <f t="shared" si="3"/>
        <v>1</v>
      </c>
      <c r="R26" s="1">
        <f>VLOOKUP(A:A,MASTER!A:B,2,0)</f>
        <v>1652</v>
      </c>
      <c r="S26">
        <f>VLOOKUP(A:A,MASTER!A:G,7,0)</f>
        <v>1608</v>
      </c>
      <c r="T26" s="12">
        <f t="shared" si="4"/>
        <v>-2.6634382566585901E-2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38745929.449691065</v>
      </c>
      <c r="G27" s="1">
        <f>VLOOKUP(A:A,MASTER!A:K,11,0)</f>
        <v>42990947.146586798</v>
      </c>
      <c r="H27" s="12">
        <f t="shared" si="0"/>
        <v>0.10956035271802156</v>
      </c>
      <c r="I27" s="2">
        <f>VLOOKUP(A:A,MASTER!A:E,5,0)</f>
        <v>614</v>
      </c>
      <c r="J27" s="2">
        <f>VLOOKUP(A:A,MASTER!A:J,10,0)</f>
        <v>652</v>
      </c>
      <c r="K27" s="12">
        <f t="shared" si="1"/>
        <v>6.1889250814332275E-2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6</v>
      </c>
      <c r="P27" s="1">
        <f>VLOOKUP(A:A,MASTER!A:H,8,0)</f>
        <v>9</v>
      </c>
      <c r="Q27" s="12">
        <f t="shared" si="3"/>
        <v>0.5</v>
      </c>
      <c r="R27" s="1">
        <f>VLOOKUP(A:A,MASTER!A:B,2,0)</f>
        <v>869</v>
      </c>
      <c r="S27">
        <f>VLOOKUP(A:A,MASTER!A:G,7,0)</f>
        <v>895</v>
      </c>
      <c r="T27" s="12">
        <f t="shared" si="4"/>
        <v>2.9919447640966546E-2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42404097.649928197</v>
      </c>
      <c r="G28" s="1">
        <f>VLOOKUP(A:A,MASTER!A:K,11,0)</f>
        <v>40327171.170245484</v>
      </c>
      <c r="H28" s="12">
        <f t="shared" si="0"/>
        <v>-4.8979381587812898E-2</v>
      </c>
      <c r="I28" s="2">
        <f>VLOOKUP(A:A,MASTER!A:E,5,0)</f>
        <v>869</v>
      </c>
      <c r="J28" s="2">
        <f>VLOOKUP(A:A,MASTER!A:J,10,0)</f>
        <v>876</v>
      </c>
      <c r="K28" s="12">
        <f t="shared" si="1"/>
        <v>8.0552359033372323E-3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9</v>
      </c>
      <c r="P28" s="1">
        <f>VLOOKUP(A:A,MASTER!A:H,8,0)</f>
        <v>3</v>
      </c>
      <c r="Q28" s="12">
        <f t="shared" si="3"/>
        <v>-0.66666666666666674</v>
      </c>
      <c r="R28" s="1">
        <f>VLOOKUP(A:A,MASTER!A:B,2,0)</f>
        <v>1112</v>
      </c>
      <c r="S28">
        <f>VLOOKUP(A:A,MASTER!A:G,7,0)</f>
        <v>998</v>
      </c>
      <c r="T28" s="12">
        <f t="shared" si="4"/>
        <v>-0.10251798561151082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54187417.525466405</v>
      </c>
      <c r="G29" s="1">
        <f>VLOOKUP(A:A,MASTER!A:K,11,0)</f>
        <v>56249246.003225707</v>
      </c>
      <c r="H29" s="12">
        <f t="shared" si="0"/>
        <v>3.8049949082557877E-2</v>
      </c>
      <c r="I29" s="2">
        <f>VLOOKUP(A:A,MASTER!A:E,5,0)</f>
        <v>902</v>
      </c>
      <c r="J29" s="2">
        <f>VLOOKUP(A:A,MASTER!A:J,10,0)</f>
        <v>1008</v>
      </c>
      <c r="K29" s="12">
        <f t="shared" si="1"/>
        <v>0.11751662971175159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1135</v>
      </c>
      <c r="S29">
        <f>VLOOKUP(A:A,MASTER!A:G,7,0)</f>
        <v>1131</v>
      </c>
      <c r="T29" s="12">
        <f t="shared" si="4"/>
        <v>-3.5242290748899174E-3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79172922.638210803</v>
      </c>
      <c r="G30" s="1">
        <f>VLOOKUP(A:A,MASTER!A:K,11,0)</f>
        <v>74400626.031176403</v>
      </c>
      <c r="H30" s="12">
        <f t="shared" si="0"/>
        <v>-6.0276878104423726E-2</v>
      </c>
      <c r="I30" s="2">
        <f>VLOOKUP(A:A,MASTER!A:E,5,0)</f>
        <v>1205</v>
      </c>
      <c r="J30" s="2">
        <f>VLOOKUP(A:A,MASTER!A:J,10,0)</f>
        <v>1188</v>
      </c>
      <c r="K30" s="12">
        <f t="shared" si="1"/>
        <v>-1.4107883817427336E-2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4</v>
      </c>
      <c r="P30" s="1">
        <f>VLOOKUP(A:A,MASTER!A:H,8,0)</f>
        <v>6</v>
      </c>
      <c r="Q30" s="12">
        <f t="shared" si="3"/>
        <v>0.5</v>
      </c>
      <c r="R30" s="1">
        <f>VLOOKUP(A:A,MASTER!A:B,2,0)</f>
        <v>1502</v>
      </c>
      <c r="S30">
        <f>VLOOKUP(A:A,MASTER!A:G,7,0)</f>
        <v>1402</v>
      </c>
      <c r="T30" s="12">
        <f t="shared" si="4"/>
        <v>-6.6577896138481973E-2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30897873.486791145</v>
      </c>
      <c r="G31" s="1">
        <f>VLOOKUP(A:A,MASTER!A:K,11,0)</f>
        <v>33077764.505840138</v>
      </c>
      <c r="H31" s="12">
        <f t="shared" si="0"/>
        <v>7.0551490217632518E-2</v>
      </c>
      <c r="I31" s="2">
        <f>VLOOKUP(A:A,MASTER!A:E,5,0)</f>
        <v>519</v>
      </c>
      <c r="J31" s="2">
        <f>VLOOKUP(A:A,MASTER!A:J,10,0)</f>
        <v>652</v>
      </c>
      <c r="K31" s="12">
        <f t="shared" si="1"/>
        <v>0.25626204238920991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3</v>
      </c>
      <c r="Q31" s="12">
        <f t="shared" si="3"/>
        <v>0</v>
      </c>
      <c r="R31" s="1">
        <f>VLOOKUP(A:A,MASTER!A:B,2,0)</f>
        <v>698</v>
      </c>
      <c r="S31">
        <f>VLOOKUP(A:A,MASTER!A:G,7,0)</f>
        <v>663</v>
      </c>
      <c r="T31" s="12">
        <f t="shared" si="4"/>
        <v>-5.014326647564471E-2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93673123.310082316</v>
      </c>
      <c r="G32" s="1">
        <f>VLOOKUP(A:A,MASTER!A:K,11,0)</f>
        <v>84326350.293443322</v>
      </c>
      <c r="H32" s="12">
        <f t="shared" si="0"/>
        <v>-9.9780734178135044E-2</v>
      </c>
      <c r="I32" s="2">
        <f>VLOOKUP(A:A,MASTER!A:E,5,0)</f>
        <v>1557</v>
      </c>
      <c r="J32" s="2">
        <f>VLOOKUP(A:A,MASTER!A:J,10,0)</f>
        <v>1604</v>
      </c>
      <c r="K32" s="12">
        <f t="shared" si="1"/>
        <v>3.018625561978161E-2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17</v>
      </c>
      <c r="P32" s="1">
        <f>VLOOKUP(A:A,MASTER!A:H,8,0)</f>
        <v>13</v>
      </c>
      <c r="Q32" s="12">
        <f t="shared" si="3"/>
        <v>-0.23529411764705888</v>
      </c>
      <c r="R32" s="1">
        <f>VLOOKUP(A:A,MASTER!A:B,2,0)</f>
        <v>1954</v>
      </c>
      <c r="S32">
        <f>VLOOKUP(A:A,MASTER!A:G,7,0)</f>
        <v>1825</v>
      </c>
      <c r="T32" s="12">
        <f t="shared" si="4"/>
        <v>-6.6018423746161736E-2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31628008.927340265</v>
      </c>
      <c r="G33" s="1">
        <f>VLOOKUP(A:A,MASTER!A:K,11,0)</f>
        <v>32528777.937342536</v>
      </c>
      <c r="H33" s="12">
        <f t="shared" si="0"/>
        <v>2.8480104835926445E-2</v>
      </c>
      <c r="I33" s="2">
        <f>VLOOKUP(A:A,MASTER!A:E,5,0)</f>
        <v>798</v>
      </c>
      <c r="J33" s="2">
        <f>VLOOKUP(A:A,MASTER!A:J,10,0)</f>
        <v>840</v>
      </c>
      <c r="K33" s="12">
        <f t="shared" si="1"/>
        <v>5.2631578947368363E-2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842</v>
      </c>
      <c r="S33">
        <f>VLOOKUP(A:A,MASTER!A:G,7,0)</f>
        <v>852</v>
      </c>
      <c r="T33" s="12">
        <f t="shared" si="4"/>
        <v>1.1876484560570111E-2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28200692.421372376</v>
      </c>
      <c r="G34" s="1">
        <f>VLOOKUP(A:A,MASTER!A:K,11,0)</f>
        <v>30346551.034704436</v>
      </c>
      <c r="H34" s="12">
        <f t="shared" si="0"/>
        <v>7.6092408699361735E-2</v>
      </c>
      <c r="I34" s="2">
        <f>VLOOKUP(A:A,MASTER!A:E,5,0)</f>
        <v>550</v>
      </c>
      <c r="J34" s="2">
        <f>VLOOKUP(A:A,MASTER!A:J,10,0)</f>
        <v>737</v>
      </c>
      <c r="K34" s="12">
        <f t="shared" si="1"/>
        <v>0.34000000000000008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5</v>
      </c>
      <c r="P34" s="1">
        <f>VLOOKUP(A:A,MASTER!A:H,8,0)</f>
        <v>4</v>
      </c>
      <c r="Q34" s="12">
        <f t="shared" si="3"/>
        <v>-0.19999999999999996</v>
      </c>
      <c r="R34" s="1">
        <f>VLOOKUP(A:A,MASTER!A:B,2,0)</f>
        <v>708</v>
      </c>
      <c r="S34">
        <f>VLOOKUP(A:A,MASTER!A:G,7,0)</f>
        <v>696</v>
      </c>
      <c r="T34" s="12">
        <f t="shared" si="4"/>
        <v>-1.6949152542372836E-2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47404237.817662261</v>
      </c>
      <c r="G35" s="1">
        <f>VLOOKUP(A:A,MASTER!A:K,11,0)</f>
        <v>47375397.617616929</v>
      </c>
      <c r="H35" s="12">
        <f t="shared" si="0"/>
        <v>-6.0838864567902551E-4</v>
      </c>
      <c r="I35" s="2">
        <f>VLOOKUP(A:A,MASTER!A:E,5,0)</f>
        <v>903</v>
      </c>
      <c r="J35" s="2">
        <f>VLOOKUP(A:A,MASTER!A:J,10,0)</f>
        <v>1082</v>
      </c>
      <c r="K35" s="12">
        <f t="shared" si="1"/>
        <v>0.1982281284606866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25</v>
      </c>
      <c r="P35" s="1">
        <f>VLOOKUP(A:A,MASTER!A:H,8,0)</f>
        <v>22</v>
      </c>
      <c r="Q35" s="12">
        <f t="shared" si="3"/>
        <v>-0.12</v>
      </c>
      <c r="R35" s="1">
        <f>VLOOKUP(A:A,MASTER!A:B,2,0)</f>
        <v>1143</v>
      </c>
      <c r="S35">
        <f>VLOOKUP(A:A,MASTER!A:G,7,0)</f>
        <v>1182</v>
      </c>
      <c r="T35" s="12">
        <f t="shared" si="4"/>
        <v>3.4120734908136496E-2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45372703.55504927</v>
      </c>
      <c r="G36" s="1">
        <f>VLOOKUP(A:A,MASTER!A:K,11,0)</f>
        <v>44653500.415712483</v>
      </c>
      <c r="H36" s="12">
        <f t="shared" si="0"/>
        <v>-1.5851009152765161E-2</v>
      </c>
      <c r="I36" s="2">
        <f>VLOOKUP(A:A,MASTER!A:E,5,0)</f>
        <v>791</v>
      </c>
      <c r="J36" s="2">
        <f>VLOOKUP(A:A,MASTER!A:J,10,0)</f>
        <v>1056</v>
      </c>
      <c r="K36" s="12">
        <f t="shared" si="1"/>
        <v>0.33501896333754733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178</v>
      </c>
      <c r="P36" s="1">
        <f>VLOOKUP(A:A,MASTER!A:H,8,0)</f>
        <v>208</v>
      </c>
      <c r="Q36" s="12">
        <f t="shared" si="3"/>
        <v>0.1685393258426966</v>
      </c>
      <c r="R36" s="1">
        <f>VLOOKUP(A:A,MASTER!A:B,2,0)</f>
        <v>1194</v>
      </c>
      <c r="S36">
        <f>VLOOKUP(A:A,MASTER!A:G,7,0)</f>
        <v>1412</v>
      </c>
      <c r="T36" s="12">
        <f t="shared" si="4"/>
        <v>0.18257956448911217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72007627.343958154</v>
      </c>
      <c r="G37" s="1">
        <f>VLOOKUP(A:A,MASTER!A:K,11,0)</f>
        <v>78790359.836131349</v>
      </c>
      <c r="H37" s="12">
        <f t="shared" si="0"/>
        <v>9.4194639406380842E-2</v>
      </c>
      <c r="I37" s="2">
        <f>VLOOKUP(A:A,MASTER!A:E,5,0)</f>
        <v>1453</v>
      </c>
      <c r="J37" s="2">
        <f>VLOOKUP(A:A,MASTER!A:J,10,0)</f>
        <v>1791</v>
      </c>
      <c r="K37" s="12">
        <f t="shared" si="1"/>
        <v>0.23262216104611144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320</v>
      </c>
      <c r="P37" s="1">
        <f>VLOOKUP(A:A,MASTER!A:H,8,0)</f>
        <v>83</v>
      </c>
      <c r="Q37" s="12">
        <f t="shared" si="3"/>
        <v>-0.74062499999999998</v>
      </c>
      <c r="R37" s="1">
        <f>VLOOKUP(A:A,MASTER!A:B,2,0)</f>
        <v>2054</v>
      </c>
      <c r="S37">
        <f>VLOOKUP(A:A,MASTER!A:G,7,0)</f>
        <v>2293</v>
      </c>
      <c r="T37" s="12">
        <f t="shared" si="4"/>
        <v>0.11635832521908474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23073026.307165042</v>
      </c>
      <c r="G38" s="1">
        <f>VLOOKUP(A:A,MASTER!A:K,11,0)</f>
        <v>28563914.402707551</v>
      </c>
      <c r="H38" s="12">
        <f t="shared" si="0"/>
        <v>0.23797866922369781</v>
      </c>
      <c r="I38" s="2">
        <f>VLOOKUP(A:A,MASTER!A:E,5,0)</f>
        <v>404</v>
      </c>
      <c r="J38" s="2">
        <f>VLOOKUP(A:A,MASTER!A:J,10,0)</f>
        <v>482</v>
      </c>
      <c r="K38" s="12">
        <f t="shared" si="1"/>
        <v>0.19306930693069302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2</v>
      </c>
      <c r="Q38" s="12">
        <f t="shared" si="3"/>
        <v>0</v>
      </c>
      <c r="R38" s="1">
        <f>VLOOKUP(A:A,MASTER!A:B,2,0)</f>
        <v>607</v>
      </c>
      <c r="S38">
        <f>VLOOKUP(A:A,MASTER!A:G,7,0)</f>
        <v>587</v>
      </c>
      <c r="T38" s="12">
        <f t="shared" si="4"/>
        <v>-3.2948929159802298E-2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85206367.668864325</v>
      </c>
      <c r="G39" s="1">
        <f>VLOOKUP(A:A,MASTER!A:K,11,0)</f>
        <v>92062221.820483163</v>
      </c>
      <c r="H39" s="12">
        <f t="shared" si="0"/>
        <v>8.0461758189981802E-2</v>
      </c>
      <c r="I39" s="2">
        <f>VLOOKUP(A:A,MASTER!A:E,5,0)</f>
        <v>1853</v>
      </c>
      <c r="J39" s="2">
        <f>VLOOKUP(A:A,MASTER!A:J,10,0)</f>
        <v>1965</v>
      </c>
      <c r="K39" s="12">
        <f t="shared" si="1"/>
        <v>6.0442525634106792E-2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14</v>
      </c>
      <c r="P39" s="1">
        <f>VLOOKUP(A:A,MASTER!A:H,8,0)</f>
        <v>9</v>
      </c>
      <c r="Q39" s="12">
        <f t="shared" si="3"/>
        <v>-0.3571428571428571</v>
      </c>
      <c r="R39" s="1">
        <f>VLOOKUP(A:A,MASTER!A:B,2,0)</f>
        <v>2057</v>
      </c>
      <c r="S39">
        <f>VLOOKUP(A:A,MASTER!A:G,7,0)</f>
        <v>2097</v>
      </c>
      <c r="T39" s="12">
        <f t="shared" si="4"/>
        <v>1.9445794846864262E-2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59648454.406529494</v>
      </c>
      <c r="G40" s="1">
        <f>VLOOKUP(A:A,MASTER!A:K,11,0)</f>
        <v>63873366.246404923</v>
      </c>
      <c r="H40" s="12">
        <f t="shared" si="0"/>
        <v>7.0830198064829375E-2</v>
      </c>
      <c r="I40" s="2">
        <f>VLOOKUP(A:A,MASTER!A:E,5,0)</f>
        <v>756</v>
      </c>
      <c r="J40" s="2">
        <f>VLOOKUP(A:A,MASTER!A:J,10,0)</f>
        <v>912</v>
      </c>
      <c r="K40" s="12">
        <f t="shared" si="1"/>
        <v>0.20634920634920628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9</v>
      </c>
      <c r="P40" s="1">
        <f>VLOOKUP(A:A,MASTER!A:H,8,0)</f>
        <v>11</v>
      </c>
      <c r="Q40" s="12">
        <f t="shared" si="3"/>
        <v>0.22222222222222232</v>
      </c>
      <c r="R40" s="1">
        <f>VLOOKUP(A:A,MASTER!A:B,2,0)</f>
        <v>889</v>
      </c>
      <c r="S40">
        <f>VLOOKUP(A:A,MASTER!A:G,7,0)</f>
        <v>914</v>
      </c>
      <c r="T40" s="12">
        <f t="shared" si="4"/>
        <v>2.8121484814398245E-2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47696419.078048997</v>
      </c>
      <c r="G41" s="1">
        <f>VLOOKUP(A:A,MASTER!A:K,11,0)</f>
        <v>39539264.724002518</v>
      </c>
      <c r="H41" s="12">
        <f t="shared" si="0"/>
        <v>-0.17102236418835459</v>
      </c>
      <c r="I41" s="2">
        <f>VLOOKUP(A:A,MASTER!A:E,5,0)</f>
        <v>987</v>
      </c>
      <c r="J41" s="2">
        <f>VLOOKUP(A:A,MASTER!A:J,10,0)</f>
        <v>1497</v>
      </c>
      <c r="K41" s="12">
        <f t="shared" si="1"/>
        <v>0.51671732522796354</v>
      </c>
      <c r="L41" s="2">
        <f>VLOOKUP(A:A,MASTER!A:D,4,0)</f>
        <v>3</v>
      </c>
      <c r="M41" s="2">
        <f>VLOOKUP(A:A,MASTER!A:I,9,0)</f>
        <v>4</v>
      </c>
      <c r="N41" s="12">
        <f t="shared" si="2"/>
        <v>0.33333333333333326</v>
      </c>
      <c r="O41" s="1">
        <f>VLOOKUP(A:A,MASTER!A:C,3,0)</f>
        <v>3</v>
      </c>
      <c r="P41" s="1">
        <f>VLOOKUP(A:A,MASTER!A:H,8,0)</f>
        <v>8</v>
      </c>
      <c r="Q41" s="12">
        <f t="shared" si="3"/>
        <v>1.6666666666666665</v>
      </c>
      <c r="R41" s="1">
        <f>VLOOKUP(A:A,MASTER!A:B,2,0)</f>
        <v>1113</v>
      </c>
      <c r="S41">
        <f>VLOOKUP(A:A,MASTER!A:G,7,0)</f>
        <v>1074</v>
      </c>
      <c r="T41" s="12">
        <f t="shared" si="4"/>
        <v>-3.5040431266846306E-2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46461701.061674498</v>
      </c>
      <c r="G42" s="1">
        <f>VLOOKUP(A:A,MASTER!A:K,11,0)</f>
        <v>47713825.892351083</v>
      </c>
      <c r="H42" s="12">
        <f t="shared" si="0"/>
        <v>2.6949612305724235E-2</v>
      </c>
      <c r="I42" s="2">
        <f>VLOOKUP(A:A,MASTER!A:E,5,0)</f>
        <v>563</v>
      </c>
      <c r="J42" s="2">
        <f>VLOOKUP(A:A,MASTER!A:J,10,0)</f>
        <v>669</v>
      </c>
      <c r="K42" s="12">
        <f t="shared" si="1"/>
        <v>0.18827708703374779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0</v>
      </c>
      <c r="P42" s="1">
        <f>VLOOKUP(A:A,MASTER!A:H,8,0)</f>
        <v>10</v>
      </c>
      <c r="Q42" s="12">
        <f t="shared" si="3"/>
        <v>0</v>
      </c>
      <c r="R42" s="1">
        <f>VLOOKUP(A:A,MASTER!A:B,2,0)</f>
        <v>852</v>
      </c>
      <c r="S42">
        <f>VLOOKUP(A:A,MASTER!A:G,7,0)</f>
        <v>808</v>
      </c>
      <c r="T42" s="12">
        <f t="shared" si="4"/>
        <v>-5.1643192488262879E-2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29213644.595142856</v>
      </c>
      <c r="G43" s="1">
        <f>VLOOKUP(A:A,MASTER!A:K,11,0)</f>
        <v>30121312.088018943</v>
      </c>
      <c r="H43" s="12">
        <f t="shared" si="0"/>
        <v>3.1069984777832182E-2</v>
      </c>
      <c r="I43" s="2">
        <f>VLOOKUP(A:A,MASTER!A:E,5,0)</f>
        <v>590</v>
      </c>
      <c r="J43" s="2">
        <f>VLOOKUP(A:A,MASTER!A:J,10,0)</f>
        <v>697</v>
      </c>
      <c r="K43" s="12">
        <f t="shared" si="1"/>
        <v>0.18135593220338975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5</v>
      </c>
      <c r="P43" s="1">
        <f>VLOOKUP(A:A,MASTER!A:H,8,0)</f>
        <v>4</v>
      </c>
      <c r="Q43" s="12">
        <f t="shared" si="3"/>
        <v>-0.19999999999999996</v>
      </c>
      <c r="R43" s="1">
        <f>VLOOKUP(A:A,MASTER!A:B,2,0)</f>
        <v>672</v>
      </c>
      <c r="S43">
        <f>VLOOKUP(A:A,MASTER!A:G,7,0)</f>
        <v>728</v>
      </c>
      <c r="T43" s="12">
        <f t="shared" si="4"/>
        <v>8.3333333333333259E-2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28540301.814862039</v>
      </c>
      <c r="G44" s="1">
        <f>VLOOKUP(A:A,MASTER!A:K,11,0)</f>
        <v>26002383.34286131</v>
      </c>
      <c r="H44" s="12">
        <f t="shared" si="0"/>
        <v>-8.8924023595263302E-2</v>
      </c>
      <c r="I44" s="2">
        <f>VLOOKUP(A:A,MASTER!A:E,5,0)</f>
        <v>779</v>
      </c>
      <c r="J44" s="2">
        <f>VLOOKUP(A:A,MASTER!A:J,10,0)</f>
        <v>775</v>
      </c>
      <c r="K44" s="12">
        <f t="shared" si="1"/>
        <v>-5.1347881899871384E-3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2</v>
      </c>
      <c r="P44" s="1">
        <f>VLOOKUP(A:A,MASTER!A:H,8,0)</f>
        <v>3</v>
      </c>
      <c r="Q44" s="12">
        <f t="shared" si="3"/>
        <v>0.5</v>
      </c>
      <c r="R44" s="1">
        <f>VLOOKUP(A:A,MASTER!A:B,2,0)</f>
        <v>707</v>
      </c>
      <c r="S44">
        <f>VLOOKUP(A:A,MASTER!A:G,7,0)</f>
        <v>706</v>
      </c>
      <c r="T44" s="12">
        <f t="shared" si="4"/>
        <v>-1.4144271570014633E-3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88582249.113240138</v>
      </c>
      <c r="G45" s="1">
        <f>VLOOKUP(A:A,MASTER!A:K,11,0)</f>
        <v>85858503.542442039</v>
      </c>
      <c r="H45" s="12">
        <f t="shared" si="0"/>
        <v>-3.0748209692849082E-2</v>
      </c>
      <c r="I45" s="2">
        <f>VLOOKUP(A:A,MASTER!A:E,5,0)</f>
        <v>1040</v>
      </c>
      <c r="J45" s="2">
        <f>VLOOKUP(A:A,MASTER!A:J,10,0)</f>
        <v>1097</v>
      </c>
      <c r="K45" s="12">
        <f t="shared" si="1"/>
        <v>5.4807692307692335E-2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14</v>
      </c>
      <c r="P45" s="1">
        <f>VLOOKUP(A:A,MASTER!A:H,8,0)</f>
        <v>9</v>
      </c>
      <c r="Q45" s="12">
        <f t="shared" si="3"/>
        <v>-0.3571428571428571</v>
      </c>
      <c r="R45" s="1">
        <f>VLOOKUP(A:A,MASTER!A:B,2,0)</f>
        <v>1252</v>
      </c>
      <c r="S45">
        <f>VLOOKUP(A:A,MASTER!A:G,7,0)</f>
        <v>1257</v>
      </c>
      <c r="T45" s="12">
        <f t="shared" si="4"/>
        <v>3.9936102236421966E-3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40027827.811515763</v>
      </c>
      <c r="G46" s="1">
        <f>VLOOKUP(A:A,MASTER!A:K,11,0)</f>
        <v>39272790.334850542</v>
      </c>
      <c r="H46" s="12">
        <f t="shared" si="0"/>
        <v>-1.8862814145712892E-2</v>
      </c>
      <c r="I46" s="2">
        <f>VLOOKUP(A:A,MASTER!A:E,5,0)</f>
        <v>935</v>
      </c>
      <c r="J46" s="2">
        <f>VLOOKUP(A:A,MASTER!A:J,10,0)</f>
        <v>990</v>
      </c>
      <c r="K46" s="12">
        <f t="shared" si="1"/>
        <v>5.8823529411764719E-2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3</v>
      </c>
      <c r="P46" s="1">
        <f>VLOOKUP(A:A,MASTER!A:H,8,0)</f>
        <v>5</v>
      </c>
      <c r="Q46" s="12">
        <f t="shared" si="3"/>
        <v>0.66666666666666674</v>
      </c>
      <c r="R46" s="1">
        <f>VLOOKUP(A:A,MASTER!A:B,2,0)</f>
        <v>884</v>
      </c>
      <c r="S46">
        <f>VLOOKUP(A:A,MASTER!A:G,7,0)</f>
        <v>921</v>
      </c>
      <c r="T46" s="12">
        <f t="shared" si="4"/>
        <v>4.1855203619909576E-2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62161493.124312446</v>
      </c>
      <c r="G47" s="1">
        <f>VLOOKUP(A:A,MASTER!A:K,11,0)</f>
        <v>70323659.641438365</v>
      </c>
      <c r="H47" s="12">
        <f t="shared" si="0"/>
        <v>0.13130583110034011</v>
      </c>
      <c r="I47" s="2">
        <f>VLOOKUP(A:A,MASTER!A:E,5,0)</f>
        <v>923</v>
      </c>
      <c r="J47" s="2">
        <f>VLOOKUP(A:A,MASTER!A:J,10,0)</f>
        <v>1195</v>
      </c>
      <c r="K47" s="12">
        <f t="shared" si="1"/>
        <v>0.29469122426868899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20</v>
      </c>
      <c r="P47" s="1">
        <f>VLOOKUP(A:A,MASTER!A:H,8,0)</f>
        <v>6</v>
      </c>
      <c r="Q47" s="12">
        <f t="shared" si="3"/>
        <v>-0.7</v>
      </c>
      <c r="R47" s="1">
        <f>VLOOKUP(A:A,MASTER!A:B,2,0)</f>
        <v>1322</v>
      </c>
      <c r="S47">
        <f>VLOOKUP(A:A,MASTER!A:G,7,0)</f>
        <v>1408</v>
      </c>
      <c r="T47" s="12">
        <f t="shared" si="4"/>
        <v>6.5052950075642935E-2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32471926.128379945</v>
      </c>
      <c r="G48" s="1">
        <f>VLOOKUP(A:A,MASTER!A:K,11,0)</f>
        <v>35588507.02812691</v>
      </c>
      <c r="H48" s="12">
        <f t="shared" si="0"/>
        <v>9.5977703553074001E-2</v>
      </c>
      <c r="I48" s="2">
        <f>VLOOKUP(A:A,MASTER!A:E,5,0)</f>
        <v>469</v>
      </c>
      <c r="J48" s="2">
        <f>VLOOKUP(A:A,MASTER!A:J,10,0)</f>
        <v>406</v>
      </c>
      <c r="K48" s="12">
        <f t="shared" si="1"/>
        <v>-0.13432835820895528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478</v>
      </c>
      <c r="S48">
        <f>VLOOKUP(A:A,MASTER!A:G,7,0)</f>
        <v>472</v>
      </c>
      <c r="T48" s="12">
        <f t="shared" si="4"/>
        <v>-1.2552301255230103E-2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29629497.290261887</v>
      </c>
      <c r="G49" s="1">
        <f>VLOOKUP(A:A,MASTER!A:K,11,0)</f>
        <v>26823381.853355456</v>
      </c>
      <c r="H49" s="12">
        <f t="shared" si="0"/>
        <v>-9.4706818999210518E-2</v>
      </c>
      <c r="I49" s="2">
        <f>VLOOKUP(A:A,MASTER!A:E,5,0)</f>
        <v>296</v>
      </c>
      <c r="J49" s="2">
        <f>VLOOKUP(A:A,MASTER!A:J,10,0)</f>
        <v>333</v>
      </c>
      <c r="K49" s="12">
        <f t="shared" si="1"/>
        <v>0.125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2</v>
      </c>
      <c r="P49" s="1">
        <f>VLOOKUP(A:A,MASTER!A:H,8,0)</f>
        <v>4</v>
      </c>
      <c r="Q49" s="12">
        <f t="shared" si="3"/>
        <v>1</v>
      </c>
      <c r="R49" s="1">
        <f>VLOOKUP(A:A,MASTER!A:B,2,0)</f>
        <v>449</v>
      </c>
      <c r="S49">
        <f>VLOOKUP(A:A,MASTER!A:G,7,0)</f>
        <v>469</v>
      </c>
      <c r="T49" s="12">
        <f t="shared" si="4"/>
        <v>4.4543429844098092E-2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25057623.800757051</v>
      </c>
      <c r="G50" s="1">
        <f>VLOOKUP(A:A,MASTER!A:K,11,0)</f>
        <v>23703514.841841705</v>
      </c>
      <c r="H50" s="12">
        <f t="shared" si="0"/>
        <v>-5.4039799211704764E-2</v>
      </c>
      <c r="I50" s="2">
        <f>VLOOKUP(A:A,MASTER!A:E,5,0)</f>
        <v>334</v>
      </c>
      <c r="J50" s="2">
        <f>VLOOKUP(A:A,MASTER!A:J,10,0)</f>
        <v>420</v>
      </c>
      <c r="K50" s="12">
        <f t="shared" si="1"/>
        <v>0.25748502994011968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2</v>
      </c>
      <c r="Q50" s="12">
        <f t="shared" si="3"/>
        <v>-0.84615384615384615</v>
      </c>
      <c r="R50" s="1">
        <f>VLOOKUP(A:A,MASTER!A:B,2,0)</f>
        <v>428</v>
      </c>
      <c r="S50">
        <f>VLOOKUP(A:A,MASTER!A:G,7,0)</f>
        <v>399</v>
      </c>
      <c r="T50" s="12">
        <f t="shared" si="4"/>
        <v>-6.7757009345794428E-2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54631356.900039949</v>
      </c>
      <c r="G51" s="1">
        <f>VLOOKUP(A:A,MASTER!A:K,11,0)</f>
        <v>54063981.863934167</v>
      </c>
      <c r="H51" s="12">
        <f t="shared" si="0"/>
        <v>-1.0385519750935712E-2</v>
      </c>
      <c r="I51" s="2">
        <f>VLOOKUP(A:A,MASTER!A:E,5,0)</f>
        <v>915</v>
      </c>
      <c r="J51" s="2">
        <f>VLOOKUP(A:A,MASTER!A:J,10,0)</f>
        <v>989</v>
      </c>
      <c r="K51" s="12">
        <f t="shared" si="1"/>
        <v>8.0874316939890667E-2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8</v>
      </c>
      <c r="Q51" s="12">
        <f t="shared" si="3"/>
        <v>0.14285714285714279</v>
      </c>
      <c r="R51" s="1">
        <f>VLOOKUP(A:A,MASTER!A:B,2,0)</f>
        <v>1128</v>
      </c>
      <c r="S51">
        <f>VLOOKUP(A:A,MASTER!A:G,7,0)</f>
        <v>1080</v>
      </c>
      <c r="T51" s="12">
        <f t="shared" si="4"/>
        <v>-4.2553191489361653E-2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57521930.311603859</v>
      </c>
      <c r="G52" s="1">
        <f>VLOOKUP(A:A,MASTER!A:K,11,0)</f>
        <v>47478708.287970774</v>
      </c>
      <c r="H52" s="12">
        <f t="shared" si="0"/>
        <v>-0.17459813968737892</v>
      </c>
      <c r="I52" s="2">
        <f>VLOOKUP(A:A,MASTER!A:E,5,0)</f>
        <v>837</v>
      </c>
      <c r="J52" s="2">
        <f>VLOOKUP(A:A,MASTER!A:J,10,0)</f>
        <v>10</v>
      </c>
      <c r="K52" s="12">
        <f t="shared" si="1"/>
        <v>-0.98805256869772995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15</v>
      </c>
      <c r="P52" s="1">
        <f>VLOOKUP(A:A,MASTER!A:H,8,0)</f>
        <v>7</v>
      </c>
      <c r="Q52" s="12">
        <f t="shared" si="3"/>
        <v>-0.53333333333333333</v>
      </c>
      <c r="R52" s="1">
        <f>VLOOKUP(A:A,MASTER!A:B,2,0)</f>
        <v>985</v>
      </c>
      <c r="S52">
        <f>VLOOKUP(A:A,MASTER!A:G,7,0)</f>
        <v>966</v>
      </c>
      <c r="T52" s="12">
        <f t="shared" si="4"/>
        <v>-1.9289340101522834E-2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85233847.436148837</v>
      </c>
      <c r="G53" s="1">
        <f>VLOOKUP(A:A,MASTER!A:K,11,0)</f>
        <v>107407126.31692939</v>
      </c>
      <c r="H53" s="12">
        <f t="shared" si="0"/>
        <v>0.26014640366189257</v>
      </c>
      <c r="I53" s="2">
        <f>VLOOKUP(A:A,MASTER!A:E,5,0)</f>
        <v>1640</v>
      </c>
      <c r="J53" s="2">
        <f>VLOOKUP(A:A,MASTER!A:J,10,0)</f>
        <v>2526</v>
      </c>
      <c r="K53" s="12">
        <f t="shared" si="1"/>
        <v>0.54024390243902443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42</v>
      </c>
      <c r="P53" s="1">
        <f>VLOOKUP(A:A,MASTER!A:H,8,0)</f>
        <v>14</v>
      </c>
      <c r="Q53" s="12">
        <f t="shared" si="3"/>
        <v>-0.66666666666666674</v>
      </c>
      <c r="R53" s="1">
        <f>VLOOKUP(A:A,MASTER!A:B,2,0)</f>
        <v>2057</v>
      </c>
      <c r="S53">
        <f>VLOOKUP(A:A,MASTER!A:G,7,0)</f>
        <v>2047</v>
      </c>
      <c r="T53" s="12">
        <f t="shared" si="4"/>
        <v>-4.8614487117161209E-3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25854495.807059806</v>
      </c>
      <c r="G54" s="1">
        <f>VLOOKUP(A:A,MASTER!A:K,11,0)</f>
        <v>25713297.999834191</v>
      </c>
      <c r="H54" s="12">
        <f t="shared" si="0"/>
        <v>-5.4612477566496898E-3</v>
      </c>
      <c r="I54" s="2">
        <f>VLOOKUP(A:A,MASTER!A:E,5,0)</f>
        <v>509</v>
      </c>
      <c r="J54" s="2">
        <f>VLOOKUP(A:A,MASTER!A:J,10,0)</f>
        <v>598</v>
      </c>
      <c r="K54" s="12">
        <f t="shared" si="1"/>
        <v>0.17485265225933211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5</v>
      </c>
      <c r="Q54" s="12">
        <f t="shared" si="3"/>
        <v>0.66666666666666674</v>
      </c>
      <c r="R54" s="1">
        <f>VLOOKUP(A:A,MASTER!A:B,2,0)</f>
        <v>688</v>
      </c>
      <c r="S54">
        <f>VLOOKUP(A:A,MASTER!A:G,7,0)</f>
        <v>647</v>
      </c>
      <c r="T54" s="12">
        <f t="shared" si="4"/>
        <v>-5.9593023255813948E-2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41583708.188749619</v>
      </c>
      <c r="G55" s="1">
        <f>VLOOKUP(A:A,MASTER!A:K,11,0)</f>
        <v>45097887.326028556</v>
      </c>
      <c r="H55" s="12">
        <f t="shared" si="0"/>
        <v>8.4508556123181311E-2</v>
      </c>
      <c r="I55" s="2">
        <f>VLOOKUP(A:A,MASTER!A:E,5,0)</f>
        <v>697</v>
      </c>
      <c r="J55" s="2">
        <f>VLOOKUP(A:A,MASTER!A:J,10,0)</f>
        <v>783</v>
      </c>
      <c r="K55" s="12">
        <f t="shared" si="1"/>
        <v>0.12338593974175027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11</v>
      </c>
      <c r="P55" s="1">
        <f>VLOOKUP(A:A,MASTER!A:H,8,0)</f>
        <v>9</v>
      </c>
      <c r="Q55" s="12">
        <f t="shared" si="3"/>
        <v>-0.18181818181818177</v>
      </c>
      <c r="R55" s="1">
        <f>VLOOKUP(A:A,MASTER!A:B,2,0)</f>
        <v>887</v>
      </c>
      <c r="S55">
        <f>VLOOKUP(A:A,MASTER!A:G,7,0)</f>
        <v>894</v>
      </c>
      <c r="T55" s="12">
        <f t="shared" si="4"/>
        <v>7.8917700112739464E-3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31296325.128398247</v>
      </c>
      <c r="G56" s="1">
        <f>VLOOKUP(A:A,MASTER!A:K,11,0)</f>
        <v>27843286.29206989</v>
      </c>
      <c r="H56" s="12">
        <f t="shared" si="0"/>
        <v>-0.11033368365652219</v>
      </c>
      <c r="I56" s="2">
        <f>VLOOKUP(A:A,MASTER!A:E,5,0)</f>
        <v>647</v>
      </c>
      <c r="J56" s="2">
        <f>VLOOKUP(A:A,MASTER!A:J,10,0)</f>
        <v>652</v>
      </c>
      <c r="K56" s="12">
        <f t="shared" si="1"/>
        <v>7.7279752704790816E-3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4</v>
      </c>
      <c r="P56" s="1">
        <f>VLOOKUP(A:A,MASTER!A:H,8,0)</f>
        <v>4</v>
      </c>
      <c r="Q56" s="12">
        <f t="shared" si="3"/>
        <v>0</v>
      </c>
      <c r="R56" s="1">
        <f>VLOOKUP(A:A,MASTER!A:B,2,0)</f>
        <v>775</v>
      </c>
      <c r="S56">
        <f>VLOOKUP(A:A,MASTER!A:G,7,0)</f>
        <v>689</v>
      </c>
      <c r="T56" s="12">
        <f t="shared" si="4"/>
        <v>-0.11096774193548387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54677957.647884071</v>
      </c>
      <c r="G57" s="1">
        <f>VLOOKUP(A:A,MASTER!A:K,11,0)</f>
        <v>57056062.888169192</v>
      </c>
      <c r="H57" s="12">
        <f t="shared" si="0"/>
        <v>4.3492941993182654E-2</v>
      </c>
      <c r="I57" s="2">
        <f>VLOOKUP(A:A,MASTER!A:E,5,0)</f>
        <v>1006</v>
      </c>
      <c r="J57" s="2">
        <f>VLOOKUP(A:A,MASTER!A:J,10,0)</f>
        <v>1048</v>
      </c>
      <c r="K57" s="12">
        <f t="shared" si="1"/>
        <v>4.1749502982107334E-2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13</v>
      </c>
      <c r="P57" s="1">
        <f>VLOOKUP(A:A,MASTER!A:H,8,0)</f>
        <v>6</v>
      </c>
      <c r="Q57" s="12">
        <f t="shared" si="3"/>
        <v>-0.53846153846153844</v>
      </c>
      <c r="R57" s="1">
        <f>VLOOKUP(A:A,MASTER!A:B,2,0)</f>
        <v>1085</v>
      </c>
      <c r="S57">
        <f>VLOOKUP(A:A,MASTER!A:G,7,0)</f>
        <v>1086</v>
      </c>
      <c r="T57" s="12">
        <f t="shared" si="4"/>
        <v>9.2165898617513342E-4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70725284.895285115</v>
      </c>
      <c r="G58" s="1">
        <f>VLOOKUP(A:A,MASTER!A:K,11,0)</f>
        <v>72874153.161642745</v>
      </c>
      <c r="H58" s="12">
        <f t="shared" si="0"/>
        <v>3.0383310149110221E-2</v>
      </c>
      <c r="I58" s="2">
        <f>VLOOKUP(A:A,MASTER!A:E,5,0)</f>
        <v>1330</v>
      </c>
      <c r="J58" s="2">
        <f>VLOOKUP(A:A,MASTER!A:J,10,0)</f>
        <v>1540</v>
      </c>
      <c r="K58" s="12">
        <f t="shared" si="1"/>
        <v>0.15789473684210531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16</v>
      </c>
      <c r="P58" s="1">
        <f>VLOOKUP(A:A,MASTER!A:H,8,0)</f>
        <v>12</v>
      </c>
      <c r="Q58" s="12">
        <f t="shared" si="3"/>
        <v>-0.25</v>
      </c>
      <c r="R58" s="1">
        <f>VLOOKUP(A:A,MASTER!A:B,2,0)</f>
        <v>1358</v>
      </c>
      <c r="S58">
        <f>VLOOKUP(A:A,MASTER!A:G,7,0)</f>
        <v>1561</v>
      </c>
      <c r="T58" s="12">
        <f t="shared" si="4"/>
        <v>0.14948453608247414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35743798.521655627</v>
      </c>
      <c r="G59" s="1">
        <f>VLOOKUP(A:A,MASTER!A:K,11,0)</f>
        <v>38465497.251341499</v>
      </c>
      <c r="H59" s="12">
        <f t="shared" si="0"/>
        <v>7.6144641651247902E-2</v>
      </c>
      <c r="I59" s="2">
        <f>VLOOKUP(A:A,MASTER!A:E,5,0)</f>
        <v>689</v>
      </c>
      <c r="J59" s="2">
        <f>VLOOKUP(A:A,MASTER!A:J,10,0)</f>
        <v>729</v>
      </c>
      <c r="K59" s="12">
        <f t="shared" si="1"/>
        <v>5.8055152394774989E-2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6</v>
      </c>
      <c r="P59" s="1">
        <f>VLOOKUP(A:A,MASTER!A:H,8,0)</f>
        <v>3</v>
      </c>
      <c r="Q59" s="12">
        <f t="shared" si="3"/>
        <v>-0.5</v>
      </c>
      <c r="R59" s="1">
        <f>VLOOKUP(A:A,MASTER!A:B,2,0)</f>
        <v>774</v>
      </c>
      <c r="S59">
        <f>VLOOKUP(A:A,MASTER!A:G,7,0)</f>
        <v>769</v>
      </c>
      <c r="T59" s="12">
        <f t="shared" si="4"/>
        <v>-6.4599483204134112E-3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41861087.547585674</v>
      </c>
      <c r="G60" s="1">
        <f>VLOOKUP(A:A,MASTER!A:K,11,0)</f>
        <v>43158674.137799904</v>
      </c>
      <c r="H60" s="12">
        <f t="shared" si="0"/>
        <v>3.0997440970428558E-2</v>
      </c>
      <c r="I60" s="2">
        <f>VLOOKUP(A:A,MASTER!A:E,5,0)</f>
        <v>437</v>
      </c>
      <c r="J60" s="2">
        <f>VLOOKUP(A:A,MASTER!A:J,10,0)</f>
        <v>481</v>
      </c>
      <c r="K60" s="12">
        <f t="shared" si="1"/>
        <v>0.10068649885583514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8</v>
      </c>
      <c r="P60" s="1">
        <f>VLOOKUP(A:A,MASTER!A:H,8,0)</f>
        <v>11</v>
      </c>
      <c r="Q60" s="12">
        <f t="shared" si="3"/>
        <v>0.375</v>
      </c>
      <c r="R60" s="1">
        <f>VLOOKUP(A:A,MASTER!A:B,2,0)</f>
        <v>660</v>
      </c>
      <c r="S60">
        <f>VLOOKUP(A:A,MASTER!A:G,7,0)</f>
        <v>634</v>
      </c>
      <c r="T60" s="12">
        <f t="shared" si="4"/>
        <v>-3.9393939393939426E-2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114853838.79393511</v>
      </c>
      <c r="G61" s="1">
        <f>VLOOKUP(A:A,MASTER!A:K,11,0)</f>
        <v>138487778.52505985</v>
      </c>
      <c r="H61" s="12">
        <f t="shared" si="0"/>
        <v>0.20577405143181626</v>
      </c>
      <c r="I61" s="2">
        <f>VLOOKUP(A:A,MASTER!A:E,5,0)</f>
        <v>1993</v>
      </c>
      <c r="J61" s="2">
        <f>VLOOKUP(A:A,MASTER!A:J,10,0)</f>
        <v>1627</v>
      </c>
      <c r="K61" s="12">
        <f t="shared" si="1"/>
        <v>-0.18364274962368288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30</v>
      </c>
      <c r="P61" s="1">
        <f>VLOOKUP(A:A,MASTER!A:H,8,0)</f>
        <v>18</v>
      </c>
      <c r="Q61" s="12">
        <f t="shared" si="3"/>
        <v>-0.4</v>
      </c>
      <c r="R61" s="1">
        <f>VLOOKUP(A:A,MASTER!A:B,2,0)</f>
        <v>2037</v>
      </c>
      <c r="S61">
        <f>VLOOKUP(A:A,MASTER!A:G,7,0)</f>
        <v>2001</v>
      </c>
      <c r="T61" s="12">
        <f t="shared" si="4"/>
        <v>-1.7673048600883701E-2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99808611.828301951</v>
      </c>
      <c r="G62" s="1">
        <f>VLOOKUP(A:A,MASTER!A:K,11,0)</f>
        <v>105635115.27801654</v>
      </c>
      <c r="H62" s="12">
        <f t="shared" si="0"/>
        <v>5.8376760712169462E-2</v>
      </c>
      <c r="I62" s="2">
        <f>VLOOKUP(A:A,MASTER!A:E,5,0)</f>
        <v>186</v>
      </c>
      <c r="J62" s="2">
        <f>VLOOKUP(A:A,MASTER!A:J,10,0)</f>
        <v>1289</v>
      </c>
      <c r="K62" s="12">
        <f t="shared" si="1"/>
        <v>5.93010752688172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23</v>
      </c>
      <c r="P62" s="1">
        <f>VLOOKUP(A:A,MASTER!A:H,8,0)</f>
        <v>24</v>
      </c>
      <c r="Q62" s="12">
        <f t="shared" si="3"/>
        <v>4.3478260869565188E-2</v>
      </c>
      <c r="R62" s="1">
        <f>VLOOKUP(A:A,MASTER!A:B,2,0)</f>
        <v>1563</v>
      </c>
      <c r="S62">
        <f>VLOOKUP(A:A,MASTER!A:G,7,0)</f>
        <v>1578</v>
      </c>
      <c r="T62" s="12">
        <f t="shared" si="4"/>
        <v>9.5969289827255722E-3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62663209.344091706</v>
      </c>
      <c r="G63" s="1">
        <f>VLOOKUP(A:A,MASTER!A:K,11,0)</f>
        <v>67833158.552806735</v>
      </c>
      <c r="H63" s="12">
        <f t="shared" si="0"/>
        <v>8.2503741235565808E-2</v>
      </c>
      <c r="I63" s="2">
        <f>VLOOKUP(A:A,MASTER!A:E,5,0)</f>
        <v>1368</v>
      </c>
      <c r="J63" s="2">
        <f>VLOOKUP(A:A,MASTER!A:J,10,0)</f>
        <v>726</v>
      </c>
      <c r="K63" s="12">
        <f t="shared" si="1"/>
        <v>-0.4692982456140351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11</v>
      </c>
      <c r="Q63" s="12">
        <f t="shared" si="3"/>
        <v>4.5</v>
      </c>
      <c r="R63" s="1">
        <f>VLOOKUP(A:A,MASTER!A:B,2,0)</f>
        <v>857</v>
      </c>
      <c r="S63">
        <f>VLOOKUP(A:A,MASTER!A:G,7,0)</f>
        <v>913</v>
      </c>
      <c r="T63" s="12">
        <f t="shared" si="4"/>
        <v>6.5344224037339638E-2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93487470.072950661</v>
      </c>
      <c r="G64" s="1">
        <f>VLOOKUP(A:A,MASTER!A:K,11,0)</f>
        <v>97498555.244374871</v>
      </c>
      <c r="H64" s="12">
        <f t="shared" si="0"/>
        <v>4.2905056349201276E-2</v>
      </c>
      <c r="I64" s="2">
        <f>VLOOKUP(A:A,MASTER!A:E,5,0)</f>
        <v>1539</v>
      </c>
      <c r="J64" s="2">
        <f>VLOOKUP(A:A,MASTER!A:J,10,0)</f>
        <v>1297</v>
      </c>
      <c r="K64" s="12">
        <f t="shared" si="1"/>
        <v>-0.15724496426250811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474</v>
      </c>
      <c r="P64" s="1">
        <f>VLOOKUP(A:A,MASTER!A:H,8,0)</f>
        <v>627</v>
      </c>
      <c r="Q64" s="12">
        <f t="shared" si="3"/>
        <v>0.32278481012658222</v>
      </c>
      <c r="R64" s="1">
        <f>VLOOKUP(A:A,MASTER!A:B,2,0)</f>
        <v>2204</v>
      </c>
      <c r="S64">
        <f>VLOOKUP(A:A,MASTER!A:G,7,0)</f>
        <v>2284</v>
      </c>
      <c r="T64" s="12">
        <f t="shared" si="4"/>
        <v>3.6297640653357499E-2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6964283.6445108484</v>
      </c>
      <c r="G65" s="1">
        <f>VLOOKUP(A:A,MASTER!A:K,11,0)</f>
        <v>4865392.099631913</v>
      </c>
      <c r="H65" s="12">
        <f t="shared" si="0"/>
        <v>-0.30137938832133193</v>
      </c>
      <c r="I65" s="2">
        <f>VLOOKUP(A:A,MASTER!A:E,5,0)</f>
        <v>256</v>
      </c>
      <c r="J65" s="2">
        <f>VLOOKUP(A:A,MASTER!A:J,10,0)</f>
        <v>327</v>
      </c>
      <c r="K65" s="12">
        <f t="shared" si="1"/>
        <v>0.27734375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270</v>
      </c>
      <c r="S65">
        <f>VLOOKUP(A:A,MASTER!A:G,7,0)</f>
        <v>235</v>
      </c>
      <c r="T65" s="12">
        <f t="shared" si="4"/>
        <v>-0.12962962962962965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73074975.681573242</v>
      </c>
      <c r="G66" s="1">
        <f>VLOOKUP(A:A,MASTER!A:K,11,0)</f>
        <v>70798262.234444186</v>
      </c>
      <c r="H66" s="12">
        <f t="shared" si="0"/>
        <v>-3.1155856377563684E-2</v>
      </c>
      <c r="I66" s="2">
        <f>VLOOKUP(A:A,MASTER!A:E,5,0)</f>
        <v>1542</v>
      </c>
      <c r="J66" s="2">
        <f>VLOOKUP(A:A,MASTER!A:J,10,0)</f>
        <v>1594</v>
      </c>
      <c r="K66" s="12">
        <f t="shared" si="1"/>
        <v>3.3722438391699194E-2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6</v>
      </c>
      <c r="P66" s="1">
        <f>VLOOKUP(A:A,MASTER!A:H,8,0)</f>
        <v>15</v>
      </c>
      <c r="Q66" s="12">
        <f t="shared" si="3"/>
        <v>1.5</v>
      </c>
      <c r="R66" s="1">
        <f>VLOOKUP(A:A,MASTER!A:B,2,0)</f>
        <v>1763</v>
      </c>
      <c r="S66">
        <f>VLOOKUP(A:A,MASTER!A:G,7,0)</f>
        <v>1605</v>
      </c>
      <c r="T66" s="12">
        <f t="shared" si="4"/>
        <v>-8.9619965967101534E-2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30681729.995268695</v>
      </c>
      <c r="G67" s="1">
        <f>VLOOKUP(A:A,MASTER!A:K,11,0)</f>
        <v>33209876.744051117</v>
      </c>
      <c r="H67" s="12">
        <f t="shared" ref="H67:H85" si="5">IFERROR(G67/F67-1,0)</f>
        <v>8.2399093831158732E-2</v>
      </c>
      <c r="I67" s="2">
        <f>VLOOKUP(A:A,MASTER!A:E,5,0)</f>
        <v>555</v>
      </c>
      <c r="J67" s="2">
        <f>VLOOKUP(A:A,MASTER!A:J,10,0)</f>
        <v>654</v>
      </c>
      <c r="K67" s="12">
        <f t="shared" ref="K67:K85" si="6">IFERROR(J67/I67-1,0)</f>
        <v>0.17837837837837833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3</v>
      </c>
      <c r="P67" s="1">
        <f>VLOOKUP(A:A,MASTER!A:H,8,0)</f>
        <v>5</v>
      </c>
      <c r="Q67" s="12">
        <f t="shared" ref="Q67:Q85" si="8">IFERROR(P67/O67-1,0)</f>
        <v>0.66666666666666674</v>
      </c>
      <c r="R67" s="1">
        <f>VLOOKUP(A:A,MASTER!A:B,2,0)</f>
        <v>674</v>
      </c>
      <c r="S67">
        <f>VLOOKUP(A:A,MASTER!A:G,7,0)</f>
        <v>791</v>
      </c>
      <c r="T67" s="12">
        <f t="shared" ref="T67:T85" si="9">IFERROR(S67/R67-1,0)</f>
        <v>0.17359050445103863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48953973.921072885</v>
      </c>
      <c r="G68" s="1">
        <f>VLOOKUP(A:A,MASTER!A:K,11,0)</f>
        <v>52086492.379640192</v>
      </c>
      <c r="H68" s="12">
        <f t="shared" si="5"/>
        <v>6.3989053546863683E-2</v>
      </c>
      <c r="I68" s="2">
        <f>VLOOKUP(A:A,MASTER!A:E,5,0)</f>
        <v>822</v>
      </c>
      <c r="J68" s="2">
        <f>VLOOKUP(A:A,MASTER!A:J,10,0)</f>
        <v>1008</v>
      </c>
      <c r="K68" s="12">
        <f t="shared" si="6"/>
        <v>0.22627737226277378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49</v>
      </c>
      <c r="P68" s="1">
        <f>VLOOKUP(A:A,MASTER!A:H,8,0)</f>
        <v>77</v>
      </c>
      <c r="Q68" s="12">
        <f t="shared" si="8"/>
        <v>0.5714285714285714</v>
      </c>
      <c r="R68" s="1">
        <f>VLOOKUP(A:A,MASTER!A:B,2,0)</f>
        <v>1323</v>
      </c>
      <c r="S68">
        <f>VLOOKUP(A:A,MASTER!A:G,7,0)</f>
        <v>1313</v>
      </c>
      <c r="T68" s="12">
        <f t="shared" si="9"/>
        <v>-7.5585789871503994E-3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24208562.134878501</v>
      </c>
      <c r="G69" s="1">
        <f>VLOOKUP(A:A,MASTER!A:K,11,0)</f>
        <v>35990299.702006921</v>
      </c>
      <c r="H69" s="12">
        <f t="shared" si="5"/>
        <v>0.48667647014664595</v>
      </c>
      <c r="I69" s="2">
        <f>VLOOKUP(A:A,MASTER!A:E,5,0)</f>
        <v>1235</v>
      </c>
      <c r="J69" s="2">
        <f>VLOOKUP(A:A,MASTER!A:J,10,0)</f>
        <v>1351</v>
      </c>
      <c r="K69" s="12">
        <f t="shared" si="6"/>
        <v>9.3927125506072962E-2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10</v>
      </c>
      <c r="P69" s="1">
        <f>VLOOKUP(A:A,MASTER!A:H,8,0)</f>
        <v>11</v>
      </c>
      <c r="Q69" s="12">
        <f t="shared" si="8"/>
        <v>0.10000000000000009</v>
      </c>
      <c r="R69" s="1">
        <f>VLOOKUP(A:A,MASTER!A:B,2,0)</f>
        <v>1324</v>
      </c>
      <c r="S69">
        <f>VLOOKUP(A:A,MASTER!A:G,7,0)</f>
        <v>1256</v>
      </c>
      <c r="T69" s="12">
        <f t="shared" si="9"/>
        <v>-5.1359516616314216E-2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87604779.840567157</v>
      </c>
      <c r="G70" s="1">
        <f>VLOOKUP(A:A,MASTER!A:K,11,0)</f>
        <v>90334147.056246489</v>
      </c>
      <c r="H70" s="12">
        <f t="shared" si="5"/>
        <v>3.1155460017667336E-2</v>
      </c>
      <c r="I70" s="2">
        <f>VLOOKUP(A:A,MASTER!A:E,5,0)</f>
        <v>1399</v>
      </c>
      <c r="J70" s="2">
        <f>VLOOKUP(A:A,MASTER!A:J,10,0)</f>
        <v>1235</v>
      </c>
      <c r="K70" s="12">
        <f t="shared" si="6"/>
        <v>-0.11722659042172978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11</v>
      </c>
      <c r="P70" s="1">
        <f>VLOOKUP(A:A,MASTER!A:H,8,0)</f>
        <v>14</v>
      </c>
      <c r="Q70" s="12">
        <f t="shared" si="8"/>
        <v>0.27272727272727271</v>
      </c>
      <c r="R70" s="1">
        <f>VLOOKUP(A:A,MASTER!A:B,2,0)</f>
        <v>1743</v>
      </c>
      <c r="S70">
        <f>VLOOKUP(A:A,MASTER!A:G,7,0)</f>
        <v>1724</v>
      </c>
      <c r="T70" s="12">
        <f t="shared" si="9"/>
        <v>-1.0900745840504822E-2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17828088.884093694</v>
      </c>
      <c r="G71" s="1">
        <f>VLOOKUP(A:A,MASTER!A:K,11,0)</f>
        <v>18387288.066796031</v>
      </c>
      <c r="H71" s="12">
        <f t="shared" si="5"/>
        <v>3.1366187724207295E-2</v>
      </c>
      <c r="I71" s="2">
        <f>VLOOKUP(A:A,MASTER!A:E,5,0)</f>
        <v>419</v>
      </c>
      <c r="J71" s="2">
        <f>VLOOKUP(A:A,MASTER!A:J,10,0)</f>
        <v>541</v>
      </c>
      <c r="K71" s="12">
        <f t="shared" si="6"/>
        <v>0.29116945107398573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5</v>
      </c>
      <c r="P71" s="1">
        <f>VLOOKUP(A:A,MASTER!A:H,8,0)</f>
        <v>2</v>
      </c>
      <c r="Q71" s="12">
        <f t="shared" si="8"/>
        <v>-0.6</v>
      </c>
      <c r="R71" s="1">
        <f>VLOOKUP(A:A,MASTER!A:B,2,0)</f>
        <v>488</v>
      </c>
      <c r="S71">
        <f>VLOOKUP(A:A,MASTER!A:G,7,0)</f>
        <v>513</v>
      </c>
      <c r="T71" s="12">
        <f t="shared" si="9"/>
        <v>5.1229508196721341E-2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28836574.404410873</v>
      </c>
      <c r="G72" s="1">
        <f>VLOOKUP(A:A,MASTER!A:K,11,0)</f>
        <v>29138857.249872215</v>
      </c>
      <c r="H72" s="12">
        <f t="shared" si="5"/>
        <v>1.0482619787706371E-2</v>
      </c>
      <c r="I72" s="2">
        <f>VLOOKUP(A:A,MASTER!A:E,5,0)</f>
        <v>1059</v>
      </c>
      <c r="J72" s="2">
        <f>VLOOKUP(A:A,MASTER!A:J,10,0)</f>
        <v>809</v>
      </c>
      <c r="K72" s="12">
        <f t="shared" si="6"/>
        <v>-0.23607176581680833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6</v>
      </c>
      <c r="P72" s="1">
        <f>VLOOKUP(A:A,MASTER!A:H,8,0)</f>
        <v>6</v>
      </c>
      <c r="Q72" s="12">
        <f t="shared" si="8"/>
        <v>0</v>
      </c>
      <c r="R72" s="1">
        <f>VLOOKUP(A:A,MASTER!A:B,2,0)</f>
        <v>898</v>
      </c>
      <c r="S72">
        <f>VLOOKUP(A:A,MASTER!A:G,7,0)</f>
        <v>880</v>
      </c>
      <c r="T72" s="12">
        <f t="shared" si="9"/>
        <v>-2.0044543429844075E-2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18057100.015967935</v>
      </c>
      <c r="G73" s="1">
        <f>VLOOKUP(A:A,MASTER!A:K,11,0)</f>
        <v>29250818.578385815</v>
      </c>
      <c r="H73" s="12">
        <f t="shared" si="5"/>
        <v>0.6199067708834336</v>
      </c>
      <c r="I73" s="2">
        <f>VLOOKUP(A:A,MASTER!A:E,5,0)</f>
        <v>502</v>
      </c>
      <c r="J73" s="2">
        <f>VLOOKUP(A:A,MASTER!A:J,10,0)</f>
        <v>498</v>
      </c>
      <c r="K73" s="12">
        <f t="shared" si="6"/>
        <v>-7.9681274900398336E-3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651</v>
      </c>
      <c r="S73">
        <f>VLOOKUP(A:A,MASTER!A:G,7,0)</f>
        <v>636</v>
      </c>
      <c r="T73" s="12">
        <f t="shared" si="9"/>
        <v>-2.3041474654377891E-2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14965991.75100746</v>
      </c>
      <c r="G74" s="1">
        <f>VLOOKUP(A:A,MASTER!A:K,11,0)</f>
        <v>19540079.885151304</v>
      </c>
      <c r="H74" s="12">
        <f t="shared" si="5"/>
        <v>0.30563214321135335</v>
      </c>
      <c r="I74" s="2">
        <f>VLOOKUP(A:A,MASTER!A:E,5,0)</f>
        <v>557</v>
      </c>
      <c r="J74" s="2">
        <f>VLOOKUP(A:A,MASTER!A:J,10,0)</f>
        <v>590</v>
      </c>
      <c r="K74" s="12">
        <f t="shared" si="6"/>
        <v>5.9245960502692929E-2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566</v>
      </c>
      <c r="S74">
        <f>VLOOKUP(A:A,MASTER!A:G,7,0)</f>
        <v>586</v>
      </c>
      <c r="T74" s="12">
        <f t="shared" si="9"/>
        <v>3.5335689045936425E-2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22360222.861723796</v>
      </c>
      <c r="G75" s="1">
        <f>VLOOKUP(A:A,MASTER!A:K,11,0)</f>
        <v>23929214.494470421</v>
      </c>
      <c r="H75" s="12">
        <f t="shared" si="5"/>
        <v>7.0168872754502898E-2</v>
      </c>
      <c r="I75" s="2">
        <f>VLOOKUP(A:A,MASTER!A:E,5,0)</f>
        <v>450</v>
      </c>
      <c r="J75" s="2">
        <f>VLOOKUP(A:A,MASTER!A:J,10,0)</f>
        <v>458</v>
      </c>
      <c r="K75" s="12">
        <f t="shared" si="6"/>
        <v>1.777777777777767E-2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432</v>
      </c>
      <c r="S75">
        <f>VLOOKUP(A:A,MASTER!A:G,7,0)</f>
        <v>445</v>
      </c>
      <c r="T75" s="12">
        <f t="shared" si="9"/>
        <v>3.009259259259256E-2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63830618.416064955</v>
      </c>
      <c r="G76" s="1">
        <f>VLOOKUP(A:A,MASTER!A:K,11,0)</f>
        <v>61277932.349933103</v>
      </c>
      <c r="H76" s="12">
        <f t="shared" si="5"/>
        <v>-3.9991560938557158E-2</v>
      </c>
      <c r="I76" s="2">
        <f>VLOOKUP(A:A,MASTER!A:E,5,0)</f>
        <v>825</v>
      </c>
      <c r="J76" s="2">
        <f>VLOOKUP(A:A,MASTER!A:J,10,0)</f>
        <v>767</v>
      </c>
      <c r="K76" s="12">
        <f t="shared" si="6"/>
        <v>-7.0303030303030312E-2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18</v>
      </c>
      <c r="P76" s="1">
        <f>VLOOKUP(A:A,MASTER!A:H,8,0)</f>
        <v>10</v>
      </c>
      <c r="Q76" s="12">
        <f t="shared" si="8"/>
        <v>-0.44444444444444442</v>
      </c>
      <c r="R76" s="1">
        <f>VLOOKUP(A:A,MASTER!A:B,2,0)</f>
        <v>953</v>
      </c>
      <c r="S76">
        <f>VLOOKUP(A:A,MASTER!A:G,7,0)</f>
        <v>912</v>
      </c>
      <c r="T76" s="12">
        <f t="shared" si="9"/>
        <v>-4.3022035676810066E-2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37687533.251614802</v>
      </c>
      <c r="G77" s="1">
        <f>VLOOKUP(A:A,MASTER!A:K,11,0)</f>
        <v>36950605.461041227</v>
      </c>
      <c r="H77" s="12">
        <f t="shared" si="5"/>
        <v>-1.9553622298747797E-2</v>
      </c>
      <c r="I77" s="2">
        <f>VLOOKUP(A:A,MASTER!A:E,5,0)</f>
        <v>775</v>
      </c>
      <c r="J77" s="2">
        <f>VLOOKUP(A:A,MASTER!A:J,10,0)</f>
        <v>751</v>
      </c>
      <c r="K77" s="12">
        <f t="shared" si="6"/>
        <v>-3.0967741935483906E-2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8</v>
      </c>
      <c r="P77" s="1">
        <f>VLOOKUP(A:A,MASTER!A:H,8,0)</f>
        <v>5</v>
      </c>
      <c r="Q77" s="12">
        <f t="shared" si="8"/>
        <v>-0.375</v>
      </c>
      <c r="R77" s="1">
        <f>VLOOKUP(A:A,MASTER!A:B,2,0)</f>
        <v>783</v>
      </c>
      <c r="S77">
        <f>VLOOKUP(A:A,MASTER!A:G,7,0)</f>
        <v>777</v>
      </c>
      <c r="T77" s="12">
        <f t="shared" si="9"/>
        <v>-7.6628352490420992E-3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31760986.217621557</v>
      </c>
      <c r="G78" s="1">
        <f>VLOOKUP(A:A,MASTER!A:K,11,0)</f>
        <v>32367876.075362664</v>
      </c>
      <c r="H78" s="12">
        <f t="shared" si="5"/>
        <v>1.9108029378646751E-2</v>
      </c>
      <c r="I78" s="2">
        <f>VLOOKUP(A:A,MASTER!A:E,5,0)</f>
        <v>897</v>
      </c>
      <c r="J78" s="2">
        <f>VLOOKUP(A:A,MASTER!A:J,10,0)</f>
        <v>925</v>
      </c>
      <c r="K78" s="12">
        <f t="shared" si="6"/>
        <v>3.1215161649944312E-2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2</v>
      </c>
      <c r="P78" s="1">
        <f>VLOOKUP(A:A,MASTER!A:H,8,0)</f>
        <v>4</v>
      </c>
      <c r="Q78" s="12">
        <f t="shared" si="8"/>
        <v>1</v>
      </c>
      <c r="R78" s="1">
        <f>VLOOKUP(A:A,MASTER!A:B,2,0)</f>
        <v>943</v>
      </c>
      <c r="S78">
        <f>VLOOKUP(A:A,MASTER!A:G,7,0)</f>
        <v>938</v>
      </c>
      <c r="T78" s="12">
        <f t="shared" si="9"/>
        <v>-5.3022269353127927E-3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35178738.863143727</v>
      </c>
      <c r="G79" s="1">
        <f>VLOOKUP(A:A,MASTER!A:K,11,0)</f>
        <v>34455000.684424952</v>
      </c>
      <c r="H79" s="12">
        <f t="shared" si="5"/>
        <v>-2.0573170105225858E-2</v>
      </c>
      <c r="I79" s="2">
        <f>VLOOKUP(A:A,MASTER!A:E,5,0)</f>
        <v>794</v>
      </c>
      <c r="J79" s="2">
        <f>VLOOKUP(A:A,MASTER!A:J,10,0)</f>
        <v>888</v>
      </c>
      <c r="K79" s="12">
        <f t="shared" si="6"/>
        <v>0.11838790931989918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9</v>
      </c>
      <c r="P79" s="1">
        <f>VLOOKUP(A:A,MASTER!A:H,8,0)</f>
        <v>2</v>
      </c>
      <c r="Q79" s="12">
        <f t="shared" si="8"/>
        <v>-0.77777777777777779</v>
      </c>
      <c r="R79" s="1">
        <f>VLOOKUP(A:A,MASTER!A:B,2,0)</f>
        <v>1006</v>
      </c>
      <c r="S79">
        <f>VLOOKUP(A:A,MASTER!A:G,7,0)</f>
        <v>936</v>
      </c>
      <c r="T79" s="12">
        <f t="shared" si="9"/>
        <v>-6.9582504970178927E-2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38702166.442961432</v>
      </c>
      <c r="G80" s="1">
        <f>VLOOKUP(A:A,MASTER!A:K,11,0)</f>
        <v>42969674.40606536</v>
      </c>
      <c r="H80" s="12">
        <f t="shared" si="5"/>
        <v>0.11026535089174683</v>
      </c>
      <c r="I80" s="2">
        <f>VLOOKUP(A:A,MASTER!A:E,5,0)</f>
        <v>795</v>
      </c>
      <c r="J80" s="2">
        <f>VLOOKUP(A:A,MASTER!A:J,10,0)</f>
        <v>771</v>
      </c>
      <c r="K80" s="12">
        <f t="shared" si="6"/>
        <v>-3.0188679245283012E-2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8</v>
      </c>
      <c r="P80" s="1">
        <f>VLOOKUP(A:A,MASTER!A:H,8,0)</f>
        <v>3</v>
      </c>
      <c r="Q80" s="12">
        <f t="shared" si="8"/>
        <v>-0.625</v>
      </c>
      <c r="R80" s="1">
        <f>VLOOKUP(A:A,MASTER!A:B,2,0)</f>
        <v>751</v>
      </c>
      <c r="S80">
        <f>VLOOKUP(A:A,MASTER!A:G,7,0)</f>
        <v>751</v>
      </c>
      <c r="T80" s="12">
        <f t="shared" si="9"/>
        <v>0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16524636.876717599</v>
      </c>
      <c r="G81" s="1">
        <f>VLOOKUP(A:A,MASTER!A:K,11,0)</f>
        <v>19198104.437765781</v>
      </c>
      <c r="H81" s="12">
        <f t="shared" si="5"/>
        <v>0.16178676608712439</v>
      </c>
      <c r="I81" s="2">
        <f>VLOOKUP(A:A,MASTER!A:E,5,0)</f>
        <v>480</v>
      </c>
      <c r="J81" s="2">
        <f>VLOOKUP(A:A,MASTER!A:J,10,0)</f>
        <v>680</v>
      </c>
      <c r="K81" s="12">
        <f t="shared" si="6"/>
        <v>0.41666666666666674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5</v>
      </c>
      <c r="Q81" s="12">
        <f t="shared" si="8"/>
        <v>1.5</v>
      </c>
      <c r="R81" s="1">
        <f>VLOOKUP(A:A,MASTER!A:B,2,0)</f>
        <v>559</v>
      </c>
      <c r="S81">
        <f>VLOOKUP(A:A,MASTER!A:G,7,0)</f>
        <v>590</v>
      </c>
      <c r="T81" s="12">
        <f t="shared" si="9"/>
        <v>5.5456171735241533E-2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72819977.008534327</v>
      </c>
      <c r="G82" s="1">
        <f>VLOOKUP(A:A,MASTER!A:K,11,0)</f>
        <v>82848030.659132645</v>
      </c>
      <c r="H82" s="12">
        <f t="shared" si="5"/>
        <v>0.13771020072449414</v>
      </c>
      <c r="I82" s="2">
        <f>VLOOKUP(A:A,MASTER!A:E,5,0)</f>
        <v>1307</v>
      </c>
      <c r="J82" s="2">
        <f>VLOOKUP(A:A,MASTER!A:J,10,0)</f>
        <v>1378</v>
      </c>
      <c r="K82" s="12">
        <f t="shared" si="6"/>
        <v>5.4322876817138432E-2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13</v>
      </c>
      <c r="Q82" s="12">
        <f t="shared" si="8"/>
        <v>0.30000000000000004</v>
      </c>
      <c r="R82" s="1">
        <f>VLOOKUP(A:A,MASTER!A:B,2,0)</f>
        <v>1692</v>
      </c>
      <c r="S82">
        <f>VLOOKUP(A:A,MASTER!A:G,7,0)</f>
        <v>1762</v>
      </c>
      <c r="T82" s="12">
        <f t="shared" si="9"/>
        <v>4.1371158392434992E-2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21034403.496926889</v>
      </c>
      <c r="G83" s="1">
        <f>VLOOKUP(A:A,MASTER!A:K,11,0)</f>
        <v>17832502.002734326</v>
      </c>
      <c r="H83" s="12">
        <f t="shared" si="5"/>
        <v>-0.15222212004539892</v>
      </c>
      <c r="I83" s="2">
        <f>VLOOKUP(A:A,MASTER!A:E,5,0)</f>
        <v>574</v>
      </c>
      <c r="J83" s="2">
        <f>VLOOKUP(A:A,MASTER!A:J,10,0)</f>
        <v>1039</v>
      </c>
      <c r="K83" s="12">
        <f t="shared" si="6"/>
        <v>0.81010452961672463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7</v>
      </c>
      <c r="P83" s="1">
        <f>VLOOKUP(A:A,MASTER!A:H,8,0)</f>
        <v>0</v>
      </c>
      <c r="Q83" s="12">
        <f t="shared" si="8"/>
        <v>-1</v>
      </c>
      <c r="R83" s="1">
        <f>VLOOKUP(A:A,MASTER!A:B,2,0)</f>
        <v>639</v>
      </c>
      <c r="S83">
        <f>VLOOKUP(A:A,MASTER!A:G,7,0)</f>
        <v>616</v>
      </c>
      <c r="T83" s="12">
        <f t="shared" si="9"/>
        <v>-3.5993740219092296E-2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33523040.376748282</v>
      </c>
      <c r="G84" s="1">
        <f>VLOOKUP(A:A,MASTER!A:K,11,0)</f>
        <v>37087142.362418614</v>
      </c>
      <c r="H84" s="12">
        <f t="shared" si="5"/>
        <v>0.1063179814723012</v>
      </c>
      <c r="I84" s="2">
        <f>VLOOKUP(A:A,MASTER!A:E,5,0)</f>
        <v>526</v>
      </c>
      <c r="J84" s="2">
        <f>VLOOKUP(A:A,MASTER!A:J,10,0)</f>
        <v>804</v>
      </c>
      <c r="K84" s="12">
        <f t="shared" si="6"/>
        <v>0.52851711026615966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16</v>
      </c>
      <c r="P84" s="1">
        <f>VLOOKUP(A:A,MASTER!A:H,8,0)</f>
        <v>6</v>
      </c>
      <c r="Q84" s="12">
        <f t="shared" si="8"/>
        <v>-0.625</v>
      </c>
      <c r="R84" s="1">
        <f>VLOOKUP(A:A,MASTER!A:B,2,0)</f>
        <v>581</v>
      </c>
      <c r="S84">
        <f>VLOOKUP(A:A,MASTER!A:G,7,0)</f>
        <v>672</v>
      </c>
      <c r="T84" s="12">
        <f t="shared" si="9"/>
        <v>0.15662650602409633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8880025.1145260427</v>
      </c>
      <c r="G85" s="1">
        <f>VLOOKUP(A:A,MASTER!A:K,11,0)</f>
        <v>8452118.6797097865</v>
      </c>
      <c r="H85" s="12">
        <f t="shared" si="5"/>
        <v>-4.8187525293851063E-2</v>
      </c>
      <c r="I85" s="2">
        <f>VLOOKUP(A:A,MASTER!A:E,5,0)</f>
        <v>313</v>
      </c>
      <c r="J85" s="2">
        <f>VLOOKUP(A:A,MASTER!A:J,10,0)</f>
        <v>344</v>
      </c>
      <c r="K85" s="12">
        <f t="shared" si="6"/>
        <v>9.9041533546325944E-2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1</v>
      </c>
      <c r="Q85" s="12">
        <f t="shared" si="8"/>
        <v>-0.66666666666666674</v>
      </c>
      <c r="R85" s="1">
        <f>VLOOKUP(A:A,MASTER!A:B,2,0)</f>
        <v>362</v>
      </c>
      <c r="S85">
        <f>VLOOKUP(A:A,MASTER!A:G,7,0)</f>
        <v>361</v>
      </c>
      <c r="T85" s="12">
        <f t="shared" si="9"/>
        <v>-2.7624309392265678E-3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E81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84469</v>
      </c>
      <c r="C3" s="11">
        <f t="shared" si="0"/>
        <v>2419</v>
      </c>
      <c r="D3" s="11">
        <f t="shared" si="0"/>
        <v>309</v>
      </c>
      <c r="E3" s="11">
        <f t="shared" si="0"/>
        <v>69356</v>
      </c>
      <c r="F3" s="11">
        <f t="shared" si="0"/>
        <v>3600693942.129065</v>
      </c>
      <c r="G3" s="11">
        <f t="shared" si="0"/>
        <v>83920</v>
      </c>
      <c r="H3" s="11">
        <f t="shared" si="0"/>
        <v>1731</v>
      </c>
      <c r="I3" s="11">
        <f t="shared" si="0"/>
        <v>319</v>
      </c>
      <c r="J3" s="11">
        <f t="shared" si="0"/>
        <v>77345</v>
      </c>
      <c r="K3" s="11">
        <f t="shared" si="0"/>
        <v>3756875314.1652899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404</v>
      </c>
      <c r="C6" s="10">
        <v>3</v>
      </c>
      <c r="D6" s="10">
        <v>2</v>
      </c>
      <c r="E6" s="10">
        <v>404</v>
      </c>
      <c r="F6" s="10">
        <v>16876510.535024282</v>
      </c>
      <c r="G6" s="10">
        <v>432</v>
      </c>
      <c r="H6" s="10">
        <v>3</v>
      </c>
      <c r="I6" s="10">
        <v>2</v>
      </c>
      <c r="J6" s="10">
        <v>460</v>
      </c>
      <c r="K6" s="10">
        <v>16977840.683463868</v>
      </c>
    </row>
    <row r="7" spans="1:11" x14ac:dyDescent="0.35">
      <c r="A7" s="9" t="s">
        <v>127</v>
      </c>
      <c r="B7" s="10">
        <v>668</v>
      </c>
      <c r="C7" s="10">
        <v>2</v>
      </c>
      <c r="D7" s="10">
        <v>1</v>
      </c>
      <c r="E7" s="10">
        <v>517</v>
      </c>
      <c r="F7" s="10">
        <v>20288787.542613629</v>
      </c>
      <c r="G7" s="10">
        <v>586</v>
      </c>
      <c r="H7" s="10">
        <v>6</v>
      </c>
      <c r="I7" s="10">
        <v>2</v>
      </c>
      <c r="J7" s="10">
        <v>551</v>
      </c>
      <c r="K7" s="10">
        <v>19840765.620741237</v>
      </c>
    </row>
    <row r="8" spans="1:11" x14ac:dyDescent="0.35">
      <c r="A8" s="9" t="s">
        <v>119</v>
      </c>
      <c r="B8" s="10">
        <v>694</v>
      </c>
      <c r="C8" s="10">
        <v>12</v>
      </c>
      <c r="D8" s="10">
        <v>2</v>
      </c>
      <c r="E8" s="10">
        <v>810</v>
      </c>
      <c r="F8" s="10">
        <v>25656604.860061865</v>
      </c>
      <c r="G8" s="10">
        <v>793</v>
      </c>
      <c r="H8" s="10">
        <v>11</v>
      </c>
      <c r="I8" s="10">
        <v>1</v>
      </c>
      <c r="J8" s="10">
        <v>1032</v>
      </c>
      <c r="K8" s="10">
        <v>29370662.252451122</v>
      </c>
    </row>
    <row r="9" spans="1:11" x14ac:dyDescent="0.35">
      <c r="A9" s="9" t="s">
        <v>121</v>
      </c>
      <c r="B9" s="10">
        <v>1205</v>
      </c>
      <c r="C9" s="10">
        <v>8</v>
      </c>
      <c r="D9" s="10">
        <v>3</v>
      </c>
      <c r="E9" s="10">
        <v>1122</v>
      </c>
      <c r="F9" s="10">
        <v>43530609.426639684</v>
      </c>
      <c r="G9" s="10">
        <v>1260</v>
      </c>
      <c r="H9" s="10">
        <v>11</v>
      </c>
      <c r="I9" s="10">
        <v>3</v>
      </c>
      <c r="J9" s="10">
        <v>1287</v>
      </c>
      <c r="K9" s="10">
        <v>45135655.774260797</v>
      </c>
    </row>
    <row r="10" spans="1:11" x14ac:dyDescent="0.35">
      <c r="A10" s="9" t="s">
        <v>123</v>
      </c>
      <c r="B10" s="10">
        <v>410</v>
      </c>
      <c r="C10" s="10">
        <v>4</v>
      </c>
      <c r="D10" s="10">
        <v>1</v>
      </c>
      <c r="E10" s="10">
        <v>374</v>
      </c>
      <c r="F10" s="10">
        <v>18355854.418584052</v>
      </c>
      <c r="G10" s="10">
        <v>402</v>
      </c>
      <c r="H10" s="10">
        <v>1</v>
      </c>
      <c r="I10" s="10">
        <v>1</v>
      </c>
      <c r="J10" s="10">
        <v>693</v>
      </c>
      <c r="K10" s="10">
        <v>19324546.263168249</v>
      </c>
    </row>
    <row r="11" spans="1:11" x14ac:dyDescent="0.35">
      <c r="A11" s="9" t="s">
        <v>125</v>
      </c>
      <c r="B11" s="10">
        <v>374</v>
      </c>
      <c r="C11" s="10">
        <v>3</v>
      </c>
      <c r="D11" s="10">
        <v>2</v>
      </c>
      <c r="E11" s="10">
        <v>301</v>
      </c>
      <c r="F11" s="10">
        <v>14782406.320111848</v>
      </c>
      <c r="G11" s="10">
        <v>390</v>
      </c>
      <c r="H11" s="10">
        <v>3</v>
      </c>
      <c r="I11" s="10">
        <v>2</v>
      </c>
      <c r="J11" s="10">
        <v>536</v>
      </c>
      <c r="K11" s="10">
        <v>16193640.471603474</v>
      </c>
    </row>
    <row r="12" spans="1:11" x14ac:dyDescent="0.35">
      <c r="A12" s="9" t="s">
        <v>131</v>
      </c>
      <c r="B12" s="10">
        <v>578</v>
      </c>
      <c r="C12" s="10">
        <v>3</v>
      </c>
      <c r="D12" s="10">
        <v>1</v>
      </c>
      <c r="E12" s="10">
        <v>418</v>
      </c>
      <c r="F12" s="10">
        <v>16901317.291776467</v>
      </c>
      <c r="G12" s="10">
        <v>624</v>
      </c>
      <c r="H12" s="10">
        <v>3</v>
      </c>
      <c r="I12" s="10">
        <v>2</v>
      </c>
      <c r="J12" s="10">
        <v>774</v>
      </c>
      <c r="K12" s="10">
        <v>20999891.983085454</v>
      </c>
    </row>
    <row r="13" spans="1:11" x14ac:dyDescent="0.35">
      <c r="A13" s="9" t="s">
        <v>133</v>
      </c>
      <c r="B13" s="10">
        <v>175</v>
      </c>
      <c r="C13" s="10">
        <v>1</v>
      </c>
      <c r="D13" s="10">
        <v>1</v>
      </c>
      <c r="E13" s="10">
        <v>155</v>
      </c>
      <c r="F13" s="10">
        <v>8414125.1187456883</v>
      </c>
      <c r="G13" s="10">
        <v>185</v>
      </c>
      <c r="H13" s="10">
        <v>0</v>
      </c>
      <c r="I13" s="10">
        <v>1</v>
      </c>
      <c r="J13" s="10">
        <v>284</v>
      </c>
      <c r="K13" s="10">
        <v>8275876.3151338091</v>
      </c>
    </row>
    <row r="14" spans="1:11" x14ac:dyDescent="0.35">
      <c r="A14" s="9" t="s">
        <v>141</v>
      </c>
      <c r="B14" s="10">
        <v>193</v>
      </c>
      <c r="C14" s="10">
        <v>1</v>
      </c>
      <c r="D14" s="10">
        <v>0</v>
      </c>
      <c r="E14" s="10">
        <v>239</v>
      </c>
      <c r="F14" s="10">
        <v>7518318.9165054988</v>
      </c>
      <c r="G14" s="10">
        <v>189</v>
      </c>
      <c r="H14" s="10">
        <v>1</v>
      </c>
      <c r="I14" s="10">
        <v>1</v>
      </c>
      <c r="J14" s="10">
        <v>238</v>
      </c>
      <c r="K14" s="10">
        <v>5630801.2200364396</v>
      </c>
    </row>
    <row r="15" spans="1:11" x14ac:dyDescent="0.35">
      <c r="A15" s="9" t="s">
        <v>135</v>
      </c>
      <c r="B15" s="10">
        <v>338</v>
      </c>
      <c r="C15" s="10">
        <v>2</v>
      </c>
      <c r="D15" s="10">
        <v>1</v>
      </c>
      <c r="E15" s="10">
        <v>339</v>
      </c>
      <c r="F15" s="10">
        <v>12232116.139519231</v>
      </c>
      <c r="G15" s="10">
        <v>395</v>
      </c>
      <c r="H15" s="10">
        <v>5</v>
      </c>
      <c r="I15" s="10">
        <v>1</v>
      </c>
      <c r="J15" s="10">
        <v>563</v>
      </c>
      <c r="K15" s="10">
        <v>16872475.289925527</v>
      </c>
    </row>
    <row r="16" spans="1:11" x14ac:dyDescent="0.35">
      <c r="A16" s="9" t="s">
        <v>143</v>
      </c>
      <c r="B16" s="10">
        <v>199</v>
      </c>
      <c r="C16" s="10">
        <v>0</v>
      </c>
      <c r="D16" s="10">
        <v>1</v>
      </c>
      <c r="E16" s="10">
        <v>247</v>
      </c>
      <c r="F16" s="10">
        <v>5877391.2867523348</v>
      </c>
      <c r="G16" s="10">
        <v>241</v>
      </c>
      <c r="H16" s="10">
        <v>0</v>
      </c>
      <c r="I16" s="10">
        <v>2</v>
      </c>
      <c r="J16" s="10">
        <v>561</v>
      </c>
      <c r="K16" s="10">
        <v>8817919.1783298664</v>
      </c>
    </row>
    <row r="17" spans="1:11" x14ac:dyDescent="0.35">
      <c r="A17" s="9" t="s">
        <v>145</v>
      </c>
      <c r="B17" s="10">
        <v>246</v>
      </c>
      <c r="C17" s="10">
        <v>7</v>
      </c>
      <c r="D17" s="10">
        <v>1</v>
      </c>
      <c r="E17" s="10">
        <v>253</v>
      </c>
      <c r="F17" s="10">
        <v>8111746.0992759159</v>
      </c>
      <c r="G17" s="10">
        <v>249</v>
      </c>
      <c r="H17" s="10">
        <v>3</v>
      </c>
      <c r="I17" s="10">
        <v>1</v>
      </c>
      <c r="J17" s="10">
        <v>399</v>
      </c>
      <c r="K17" s="10">
        <v>9271055.4566709045</v>
      </c>
    </row>
    <row r="18" spans="1:11" x14ac:dyDescent="0.35">
      <c r="A18" s="9" t="s">
        <v>20</v>
      </c>
      <c r="B18" s="10">
        <v>1438</v>
      </c>
      <c r="C18" s="10">
        <v>0</v>
      </c>
      <c r="D18" s="10">
        <v>2</v>
      </c>
      <c r="E18" s="10">
        <v>1051</v>
      </c>
      <c r="F18" s="10">
        <v>23463792.172574889</v>
      </c>
      <c r="G18" s="10">
        <v>1305</v>
      </c>
      <c r="H18" s="10">
        <v>4</v>
      </c>
      <c r="I18" s="10">
        <v>3</v>
      </c>
      <c r="J18" s="10">
        <v>1262</v>
      </c>
      <c r="K18" s="10">
        <v>40745401.810690977</v>
      </c>
    </row>
    <row r="19" spans="1:11" x14ac:dyDescent="0.35">
      <c r="A19" s="9" t="s">
        <v>45</v>
      </c>
      <c r="B19" s="10">
        <v>1277</v>
      </c>
      <c r="C19" s="10">
        <v>4</v>
      </c>
      <c r="D19" s="10">
        <v>3</v>
      </c>
      <c r="E19" s="10">
        <v>891</v>
      </c>
      <c r="F19" s="10">
        <v>49732182.443549357</v>
      </c>
      <c r="G19" s="10">
        <v>1210</v>
      </c>
      <c r="H19" s="10">
        <v>4</v>
      </c>
      <c r="I19" s="10">
        <v>3</v>
      </c>
      <c r="J19" s="10">
        <v>933</v>
      </c>
      <c r="K19" s="10">
        <v>64825538.581364349</v>
      </c>
    </row>
    <row r="20" spans="1:11" x14ac:dyDescent="0.35">
      <c r="A20" s="9" t="s">
        <v>47</v>
      </c>
      <c r="B20" s="10">
        <v>1022</v>
      </c>
      <c r="C20" s="10">
        <v>4</v>
      </c>
      <c r="D20" s="10">
        <v>4</v>
      </c>
      <c r="E20" s="10">
        <v>907</v>
      </c>
      <c r="F20" s="10">
        <v>34329141.24131266</v>
      </c>
      <c r="G20" s="10">
        <v>1000</v>
      </c>
      <c r="H20" s="10">
        <v>5</v>
      </c>
      <c r="I20" s="10">
        <v>5</v>
      </c>
      <c r="J20" s="10">
        <v>1089</v>
      </c>
      <c r="K20" s="10">
        <v>34521799.241452582</v>
      </c>
    </row>
    <row r="21" spans="1:11" x14ac:dyDescent="0.35">
      <c r="A21" s="9" t="s">
        <v>49</v>
      </c>
      <c r="B21" s="10">
        <v>936</v>
      </c>
      <c r="C21" s="10">
        <v>1</v>
      </c>
      <c r="D21" s="10">
        <v>3</v>
      </c>
      <c r="E21" s="10">
        <v>603</v>
      </c>
      <c r="F21" s="10">
        <v>31404623.430463199</v>
      </c>
      <c r="G21" s="10">
        <v>930</v>
      </c>
      <c r="H21" s="10">
        <v>4</v>
      </c>
      <c r="I21" s="10">
        <v>3</v>
      </c>
      <c r="J21" s="10">
        <v>674</v>
      </c>
      <c r="K21" s="10">
        <v>28777243.986155931</v>
      </c>
    </row>
    <row r="22" spans="1:11" x14ac:dyDescent="0.35">
      <c r="A22" s="9" t="s">
        <v>51</v>
      </c>
      <c r="B22" s="10">
        <v>3117</v>
      </c>
      <c r="C22" s="10">
        <v>758</v>
      </c>
      <c r="D22" s="10">
        <v>11</v>
      </c>
      <c r="E22" s="10">
        <v>2065</v>
      </c>
      <c r="F22" s="10">
        <v>117974118.52451561</v>
      </c>
      <c r="G22" s="10">
        <v>2725</v>
      </c>
      <c r="H22" s="10">
        <v>187</v>
      </c>
      <c r="I22" s="10">
        <v>10</v>
      </c>
      <c r="J22" s="10">
        <v>2223</v>
      </c>
      <c r="K22" s="10">
        <v>122992486.69324349</v>
      </c>
    </row>
    <row r="23" spans="1:11" x14ac:dyDescent="0.35">
      <c r="A23" s="9" t="s">
        <v>53</v>
      </c>
      <c r="B23" s="10">
        <v>1425</v>
      </c>
      <c r="C23" s="10">
        <v>3</v>
      </c>
      <c r="D23" s="10">
        <v>2</v>
      </c>
      <c r="E23" s="10">
        <v>1118</v>
      </c>
      <c r="F23" s="10">
        <v>61808293.185114115</v>
      </c>
      <c r="G23" s="10">
        <v>1301</v>
      </c>
      <c r="H23" s="10">
        <v>8</v>
      </c>
      <c r="I23" s="10">
        <v>2</v>
      </c>
      <c r="J23" s="10">
        <v>1196</v>
      </c>
      <c r="K23" s="10">
        <v>45580318.631681904</v>
      </c>
    </row>
    <row r="24" spans="1:11" x14ac:dyDescent="0.35">
      <c r="A24" s="9" t="s">
        <v>55</v>
      </c>
      <c r="B24" s="10">
        <v>2988</v>
      </c>
      <c r="C24" s="10">
        <v>27</v>
      </c>
      <c r="D24" s="10">
        <v>11</v>
      </c>
      <c r="E24" s="10">
        <v>2157</v>
      </c>
      <c r="F24" s="10">
        <v>125498451.11472951</v>
      </c>
      <c r="G24" s="10">
        <v>2797</v>
      </c>
      <c r="H24" s="10">
        <v>20</v>
      </c>
      <c r="I24" s="10">
        <v>10</v>
      </c>
      <c r="J24" s="10">
        <v>2221</v>
      </c>
      <c r="K24" s="10">
        <v>127094145.06819585</v>
      </c>
    </row>
    <row r="25" spans="1:11" x14ac:dyDescent="0.35">
      <c r="A25" s="9" t="s">
        <v>67</v>
      </c>
      <c r="B25" s="10">
        <v>542</v>
      </c>
      <c r="C25" s="10">
        <v>6</v>
      </c>
      <c r="D25" s="10">
        <v>1</v>
      </c>
      <c r="E25" s="10">
        <v>483</v>
      </c>
      <c r="F25" s="10">
        <v>17764066.714115944</v>
      </c>
      <c r="G25" s="10">
        <v>504</v>
      </c>
      <c r="H25" s="10">
        <v>5</v>
      </c>
      <c r="I25" s="10">
        <v>1</v>
      </c>
      <c r="J25" s="10">
        <v>503</v>
      </c>
      <c r="K25" s="10">
        <v>18727711.518135265</v>
      </c>
    </row>
    <row r="26" spans="1:11" x14ac:dyDescent="0.35">
      <c r="A26" s="9" t="s">
        <v>74</v>
      </c>
      <c r="B26" s="10">
        <v>1755</v>
      </c>
      <c r="C26" s="10">
        <v>23</v>
      </c>
      <c r="D26" s="10">
        <v>1</v>
      </c>
      <c r="E26" s="10">
        <v>1279</v>
      </c>
      <c r="F26" s="10">
        <v>50711305.883547649</v>
      </c>
      <c r="G26" s="10">
        <v>1756</v>
      </c>
      <c r="H26" s="10">
        <v>21</v>
      </c>
      <c r="I26" s="10">
        <v>2</v>
      </c>
      <c r="J26" s="10">
        <v>1533</v>
      </c>
      <c r="K26" s="10">
        <v>52823901.753490902</v>
      </c>
    </row>
    <row r="27" spans="1:11" x14ac:dyDescent="0.35">
      <c r="A27" s="9" t="s">
        <v>70</v>
      </c>
      <c r="B27" s="10">
        <v>874</v>
      </c>
      <c r="C27" s="10">
        <v>14</v>
      </c>
      <c r="D27" s="10">
        <v>1</v>
      </c>
      <c r="E27" s="10">
        <v>772</v>
      </c>
      <c r="F27" s="10">
        <v>22161146.052269228</v>
      </c>
      <c r="G27" s="10">
        <v>875</v>
      </c>
      <c r="H27" s="10">
        <v>17</v>
      </c>
      <c r="I27" s="10">
        <v>1</v>
      </c>
      <c r="J27" s="10">
        <v>822</v>
      </c>
      <c r="K27" s="10">
        <v>22476371.265856575</v>
      </c>
    </row>
    <row r="28" spans="1:11" x14ac:dyDescent="0.35">
      <c r="A28" s="9" t="s">
        <v>72</v>
      </c>
      <c r="B28" s="10">
        <v>894</v>
      </c>
      <c r="C28" s="10">
        <v>7</v>
      </c>
      <c r="D28" s="10">
        <v>1</v>
      </c>
      <c r="E28" s="10">
        <v>860</v>
      </c>
      <c r="F28" s="10">
        <v>25156877.710408594</v>
      </c>
      <c r="G28" s="10">
        <v>873</v>
      </c>
      <c r="H28" s="10">
        <v>7</v>
      </c>
      <c r="I28" s="10">
        <v>1</v>
      </c>
      <c r="J28" s="10">
        <v>750</v>
      </c>
      <c r="K28" s="10">
        <v>26513412.58903528</v>
      </c>
    </row>
    <row r="29" spans="1:11" x14ac:dyDescent="0.35">
      <c r="A29" s="9" t="s">
        <v>79</v>
      </c>
      <c r="B29" s="10">
        <v>241</v>
      </c>
      <c r="C29" s="10">
        <v>1</v>
      </c>
      <c r="D29" s="10">
        <v>0</v>
      </c>
      <c r="E29" s="10">
        <v>173</v>
      </c>
      <c r="F29" s="10">
        <v>7509086.9304284584</v>
      </c>
      <c r="G29" s="10">
        <v>212</v>
      </c>
      <c r="H29" s="10">
        <v>1</v>
      </c>
      <c r="I29" s="10">
        <v>1</v>
      </c>
      <c r="J29" s="10">
        <v>181</v>
      </c>
      <c r="K29" s="10">
        <v>6621116.0752894944</v>
      </c>
    </row>
    <row r="30" spans="1:11" x14ac:dyDescent="0.35">
      <c r="A30" s="9" t="s">
        <v>109</v>
      </c>
      <c r="B30" s="10">
        <v>1652</v>
      </c>
      <c r="C30" s="10">
        <v>7</v>
      </c>
      <c r="D30" s="10">
        <v>5</v>
      </c>
      <c r="E30" s="10">
        <v>1313</v>
      </c>
      <c r="F30" s="10">
        <v>53410917.962525561</v>
      </c>
      <c r="G30" s="10">
        <v>1608</v>
      </c>
      <c r="H30" s="10">
        <v>14</v>
      </c>
      <c r="I30" s="10">
        <v>6</v>
      </c>
      <c r="J30" s="10">
        <v>1432</v>
      </c>
      <c r="K30" s="10">
        <v>50276970.093604781</v>
      </c>
    </row>
    <row r="31" spans="1:11" x14ac:dyDescent="0.35">
      <c r="A31" s="9" t="s">
        <v>111</v>
      </c>
      <c r="B31" s="10">
        <v>869</v>
      </c>
      <c r="C31" s="10">
        <v>6</v>
      </c>
      <c r="D31" s="10">
        <v>1</v>
      </c>
      <c r="E31" s="10">
        <v>614</v>
      </c>
      <c r="F31" s="10">
        <v>38745929.449691065</v>
      </c>
      <c r="G31" s="10">
        <v>895</v>
      </c>
      <c r="H31" s="10">
        <v>9</v>
      </c>
      <c r="I31" s="10">
        <v>1</v>
      </c>
      <c r="J31" s="10">
        <v>652</v>
      </c>
      <c r="K31" s="10">
        <v>42990947.146586798</v>
      </c>
    </row>
    <row r="32" spans="1:11" x14ac:dyDescent="0.35">
      <c r="A32" s="9" t="s">
        <v>113</v>
      </c>
      <c r="B32" s="10">
        <v>1112</v>
      </c>
      <c r="C32" s="10">
        <v>9</v>
      </c>
      <c r="D32" s="10">
        <v>1</v>
      </c>
      <c r="E32" s="10">
        <v>869</v>
      </c>
      <c r="F32" s="10">
        <v>42404097.649928197</v>
      </c>
      <c r="G32" s="10">
        <v>998</v>
      </c>
      <c r="H32" s="10">
        <v>3</v>
      </c>
      <c r="I32" s="10">
        <v>2</v>
      </c>
      <c r="J32" s="10">
        <v>876</v>
      </c>
      <c r="K32" s="10">
        <v>40327171.170245484</v>
      </c>
    </row>
    <row r="33" spans="1:11" x14ac:dyDescent="0.35">
      <c r="A33" s="9" t="s">
        <v>115</v>
      </c>
      <c r="B33" s="10">
        <v>1135</v>
      </c>
      <c r="C33" s="10">
        <v>3</v>
      </c>
      <c r="D33" s="10">
        <v>2</v>
      </c>
      <c r="E33" s="10">
        <v>902</v>
      </c>
      <c r="F33" s="10">
        <v>54187417.525466405</v>
      </c>
      <c r="G33" s="10">
        <v>1131</v>
      </c>
      <c r="H33" s="10">
        <v>4</v>
      </c>
      <c r="I33" s="10">
        <v>2</v>
      </c>
      <c r="J33" s="10">
        <v>1008</v>
      </c>
      <c r="K33" s="10">
        <v>56249246.003225707</v>
      </c>
    </row>
    <row r="34" spans="1:11" x14ac:dyDescent="0.35">
      <c r="A34" s="9" t="s">
        <v>16</v>
      </c>
      <c r="B34" s="10">
        <v>1502</v>
      </c>
      <c r="C34" s="10">
        <v>4</v>
      </c>
      <c r="D34" s="10">
        <v>5</v>
      </c>
      <c r="E34" s="10">
        <v>1205</v>
      </c>
      <c r="F34" s="10">
        <v>79172922.638210803</v>
      </c>
      <c r="G34" s="10">
        <v>1402</v>
      </c>
      <c r="H34" s="10">
        <v>6</v>
      </c>
      <c r="I34" s="10">
        <v>4</v>
      </c>
      <c r="J34" s="10">
        <v>1188</v>
      </c>
      <c r="K34" s="10">
        <v>74400626.031176403</v>
      </c>
    </row>
    <row r="35" spans="1:11" x14ac:dyDescent="0.35">
      <c r="A35" s="9" t="s">
        <v>18</v>
      </c>
      <c r="B35" s="10">
        <v>698</v>
      </c>
      <c r="C35" s="10">
        <v>3</v>
      </c>
      <c r="D35" s="10">
        <v>3</v>
      </c>
      <c r="E35" s="10">
        <v>519</v>
      </c>
      <c r="F35" s="10">
        <v>30897873.486791145</v>
      </c>
      <c r="G35" s="10">
        <v>663</v>
      </c>
      <c r="H35" s="10">
        <v>3</v>
      </c>
      <c r="I35" s="10">
        <v>5</v>
      </c>
      <c r="J35" s="10">
        <v>652</v>
      </c>
      <c r="K35" s="10">
        <v>33077764.505840138</v>
      </c>
    </row>
    <row r="36" spans="1:11" x14ac:dyDescent="0.35">
      <c r="A36" s="9" t="s">
        <v>43</v>
      </c>
      <c r="B36" s="10">
        <v>1954</v>
      </c>
      <c r="C36" s="10">
        <v>17</v>
      </c>
      <c r="D36" s="10">
        <v>11</v>
      </c>
      <c r="E36" s="10">
        <v>1557</v>
      </c>
      <c r="F36" s="10">
        <v>93673123.310082316</v>
      </c>
      <c r="G36" s="10">
        <v>1825</v>
      </c>
      <c r="H36" s="10">
        <v>13</v>
      </c>
      <c r="I36" s="10">
        <v>9</v>
      </c>
      <c r="J36" s="10">
        <v>1604</v>
      </c>
      <c r="K36" s="10">
        <v>84326350.293443322</v>
      </c>
    </row>
    <row r="37" spans="1:11" x14ac:dyDescent="0.35">
      <c r="A37" s="9" t="s">
        <v>152</v>
      </c>
      <c r="B37" s="10">
        <v>842</v>
      </c>
      <c r="C37" s="10">
        <v>6</v>
      </c>
      <c r="D37" s="10">
        <v>2</v>
      </c>
      <c r="E37" s="10">
        <v>798</v>
      </c>
      <c r="F37" s="10">
        <v>31628008.927340265</v>
      </c>
      <c r="G37" s="10">
        <v>852</v>
      </c>
      <c r="H37" s="10">
        <v>5</v>
      </c>
      <c r="I37" s="10">
        <v>2</v>
      </c>
      <c r="J37" s="10">
        <v>840</v>
      </c>
      <c r="K37" s="10">
        <v>32528777.937342536</v>
      </c>
    </row>
    <row r="38" spans="1:11" x14ac:dyDescent="0.35">
      <c r="A38" s="9" t="s">
        <v>149</v>
      </c>
      <c r="B38" s="10">
        <v>708</v>
      </c>
      <c r="C38" s="10">
        <v>5</v>
      </c>
      <c r="D38" s="10">
        <v>1</v>
      </c>
      <c r="E38" s="10">
        <v>550</v>
      </c>
      <c r="F38" s="10">
        <v>28200692.421372376</v>
      </c>
      <c r="G38" s="10">
        <v>696</v>
      </c>
      <c r="H38" s="10">
        <v>4</v>
      </c>
      <c r="I38" s="10">
        <v>1</v>
      </c>
      <c r="J38" s="10">
        <v>737</v>
      </c>
      <c r="K38" s="10">
        <v>30346551.034704436</v>
      </c>
    </row>
    <row r="39" spans="1:11" x14ac:dyDescent="0.35">
      <c r="A39" s="9" t="s">
        <v>154</v>
      </c>
      <c r="B39" s="10">
        <v>1143</v>
      </c>
      <c r="C39" s="10">
        <v>25</v>
      </c>
      <c r="D39" s="10">
        <v>2</v>
      </c>
      <c r="E39" s="10">
        <v>903</v>
      </c>
      <c r="F39" s="10">
        <v>47404237.817662261</v>
      </c>
      <c r="G39" s="10">
        <v>1182</v>
      </c>
      <c r="H39" s="10">
        <v>22</v>
      </c>
      <c r="I39" s="10">
        <v>1</v>
      </c>
      <c r="J39" s="10">
        <v>1082</v>
      </c>
      <c r="K39" s="10">
        <v>47375397.617616929</v>
      </c>
    </row>
    <row r="40" spans="1:11" x14ac:dyDescent="0.35">
      <c r="A40" s="9" t="s">
        <v>2</v>
      </c>
      <c r="B40" s="10">
        <v>1194</v>
      </c>
      <c r="C40" s="10">
        <v>178</v>
      </c>
      <c r="D40" s="10">
        <v>1</v>
      </c>
      <c r="E40" s="10">
        <v>791</v>
      </c>
      <c r="F40" s="10">
        <v>45372703.55504927</v>
      </c>
      <c r="G40" s="10">
        <v>1412</v>
      </c>
      <c r="H40" s="10">
        <v>208</v>
      </c>
      <c r="I40" s="10">
        <v>1</v>
      </c>
      <c r="J40" s="10">
        <v>1056</v>
      </c>
      <c r="K40" s="10">
        <v>44653500.415712483</v>
      </c>
    </row>
    <row r="41" spans="1:11" x14ac:dyDescent="0.35">
      <c r="A41" s="9" t="s">
        <v>156</v>
      </c>
      <c r="B41" s="10">
        <v>2054</v>
      </c>
      <c r="C41" s="10">
        <v>320</v>
      </c>
      <c r="D41" s="10">
        <v>4</v>
      </c>
      <c r="E41" s="10">
        <v>1453</v>
      </c>
      <c r="F41" s="10">
        <v>72007627.343958154</v>
      </c>
      <c r="G41" s="10">
        <v>2293</v>
      </c>
      <c r="H41" s="10">
        <v>83</v>
      </c>
      <c r="I41" s="10">
        <v>5</v>
      </c>
      <c r="J41" s="10">
        <v>1791</v>
      </c>
      <c r="K41" s="10">
        <v>78790359.836131349</v>
      </c>
    </row>
    <row r="42" spans="1:11" x14ac:dyDescent="0.35">
      <c r="A42" s="9" t="s">
        <v>14</v>
      </c>
      <c r="B42" s="10">
        <v>607</v>
      </c>
      <c r="C42" s="10">
        <v>2</v>
      </c>
      <c r="D42" s="10">
        <v>5</v>
      </c>
      <c r="E42" s="10">
        <v>404</v>
      </c>
      <c r="F42" s="10">
        <v>23073026.307165042</v>
      </c>
      <c r="G42" s="10">
        <v>587</v>
      </c>
      <c r="H42" s="10">
        <v>2</v>
      </c>
      <c r="I42" s="10">
        <v>6</v>
      </c>
      <c r="J42" s="10">
        <v>482</v>
      </c>
      <c r="K42" s="10">
        <v>28563914.402707551</v>
      </c>
    </row>
    <row r="43" spans="1:11" x14ac:dyDescent="0.35">
      <c r="A43" s="9" t="s">
        <v>8</v>
      </c>
      <c r="B43" s="10">
        <v>2057</v>
      </c>
      <c r="C43" s="10">
        <v>14</v>
      </c>
      <c r="D43" s="10">
        <v>5</v>
      </c>
      <c r="E43" s="10">
        <v>1853</v>
      </c>
      <c r="F43" s="10">
        <v>85206367.668864325</v>
      </c>
      <c r="G43" s="10">
        <v>2097</v>
      </c>
      <c r="H43" s="10">
        <v>9</v>
      </c>
      <c r="I43" s="10">
        <v>6</v>
      </c>
      <c r="J43" s="10">
        <v>1965</v>
      </c>
      <c r="K43" s="10">
        <v>92062221.820483163</v>
      </c>
    </row>
    <row r="44" spans="1:11" x14ac:dyDescent="0.35">
      <c r="A44" s="9" t="s">
        <v>39</v>
      </c>
      <c r="B44" s="10">
        <v>889</v>
      </c>
      <c r="C44" s="10">
        <v>9</v>
      </c>
      <c r="D44" s="10">
        <v>4</v>
      </c>
      <c r="E44" s="10">
        <v>756</v>
      </c>
      <c r="F44" s="10">
        <v>59648454.406529494</v>
      </c>
      <c r="G44" s="10">
        <v>914</v>
      </c>
      <c r="H44" s="10">
        <v>11</v>
      </c>
      <c r="I44" s="10">
        <v>4</v>
      </c>
      <c r="J44" s="10">
        <v>912</v>
      </c>
      <c r="K44" s="10">
        <v>63873366.246404923</v>
      </c>
    </row>
    <row r="45" spans="1:11" x14ac:dyDescent="0.35">
      <c r="A45" s="9" t="s">
        <v>6</v>
      </c>
      <c r="B45" s="10">
        <v>1113</v>
      </c>
      <c r="C45" s="10">
        <v>3</v>
      </c>
      <c r="D45" s="10">
        <v>3</v>
      </c>
      <c r="E45" s="10">
        <v>987</v>
      </c>
      <c r="F45" s="10">
        <v>47696419.078048997</v>
      </c>
      <c r="G45" s="10">
        <v>1074</v>
      </c>
      <c r="H45" s="10">
        <v>8</v>
      </c>
      <c r="I45" s="10">
        <v>4</v>
      </c>
      <c r="J45" s="10">
        <v>1497</v>
      </c>
      <c r="K45" s="10">
        <v>39539264.724002518</v>
      </c>
    </row>
    <row r="46" spans="1:11" x14ac:dyDescent="0.35">
      <c r="A46" s="9" t="s">
        <v>41</v>
      </c>
      <c r="B46" s="10">
        <v>852</v>
      </c>
      <c r="C46" s="10">
        <v>0</v>
      </c>
      <c r="D46" s="10">
        <v>4</v>
      </c>
      <c r="E46" s="10">
        <v>563</v>
      </c>
      <c r="F46" s="10">
        <v>46461701.061674498</v>
      </c>
      <c r="G46" s="10">
        <v>808</v>
      </c>
      <c r="H46" s="10">
        <v>10</v>
      </c>
      <c r="I46" s="10">
        <v>4</v>
      </c>
      <c r="J46" s="10">
        <v>669</v>
      </c>
      <c r="K46" s="10">
        <v>47713825.892351083</v>
      </c>
    </row>
    <row r="47" spans="1:11" x14ac:dyDescent="0.35">
      <c r="A47" s="9" t="s">
        <v>158</v>
      </c>
      <c r="B47" s="10">
        <v>672</v>
      </c>
      <c r="C47" s="10">
        <v>5</v>
      </c>
      <c r="D47" s="10">
        <v>10</v>
      </c>
      <c r="E47" s="10">
        <v>590</v>
      </c>
      <c r="F47" s="10">
        <v>29213644.595142856</v>
      </c>
      <c r="G47" s="10">
        <v>728</v>
      </c>
      <c r="H47" s="10">
        <v>4</v>
      </c>
      <c r="I47" s="10">
        <v>10</v>
      </c>
      <c r="J47" s="10">
        <v>697</v>
      </c>
      <c r="K47" s="10">
        <v>30121312.088018943</v>
      </c>
    </row>
    <row r="48" spans="1:11" x14ac:dyDescent="0.35">
      <c r="A48" s="9" t="s">
        <v>160</v>
      </c>
      <c r="B48" s="10">
        <v>707</v>
      </c>
      <c r="C48" s="10">
        <v>2</v>
      </c>
      <c r="D48" s="10">
        <v>1</v>
      </c>
      <c r="E48" s="10">
        <v>779</v>
      </c>
      <c r="F48" s="10">
        <v>28540301.814862039</v>
      </c>
      <c r="G48" s="10">
        <v>706</v>
      </c>
      <c r="H48" s="10">
        <v>3</v>
      </c>
      <c r="I48" s="10">
        <v>1</v>
      </c>
      <c r="J48" s="10">
        <v>775</v>
      </c>
      <c r="K48" s="10">
        <v>26002383.34286131</v>
      </c>
    </row>
    <row r="49" spans="1:11" x14ac:dyDescent="0.35">
      <c r="A49" s="9" t="s">
        <v>83</v>
      </c>
      <c r="B49" s="10">
        <v>1252</v>
      </c>
      <c r="C49" s="10">
        <v>14</v>
      </c>
      <c r="D49" s="10">
        <v>5</v>
      </c>
      <c r="E49" s="10">
        <v>1040</v>
      </c>
      <c r="F49" s="10">
        <v>88582249.113240138</v>
      </c>
      <c r="G49" s="10">
        <v>1257</v>
      </c>
      <c r="H49" s="10">
        <v>9</v>
      </c>
      <c r="I49" s="10">
        <v>5</v>
      </c>
      <c r="J49" s="10">
        <v>1097</v>
      </c>
      <c r="K49" s="10">
        <v>85858503.542442039</v>
      </c>
    </row>
    <row r="50" spans="1:11" x14ac:dyDescent="0.35">
      <c r="A50" s="9" t="s">
        <v>202</v>
      </c>
      <c r="B50" s="10">
        <v>444</v>
      </c>
      <c r="C50" s="10">
        <v>3</v>
      </c>
      <c r="D50" s="10">
        <v>2</v>
      </c>
      <c r="E50" s="10">
        <v>540</v>
      </c>
      <c r="F50" s="10">
        <v>16337652.857968036</v>
      </c>
      <c r="G50" s="10">
        <v>441</v>
      </c>
      <c r="H50" s="10">
        <v>1</v>
      </c>
      <c r="I50" s="10">
        <v>1</v>
      </c>
      <c r="J50" s="10">
        <v>517</v>
      </c>
      <c r="K50" s="10">
        <v>14091429.862049552</v>
      </c>
    </row>
    <row r="51" spans="1:11" x14ac:dyDescent="0.35">
      <c r="A51" s="9" t="s">
        <v>31</v>
      </c>
      <c r="B51" s="10">
        <v>884</v>
      </c>
      <c r="C51" s="10">
        <v>3</v>
      </c>
      <c r="D51" s="10">
        <v>5</v>
      </c>
      <c r="E51" s="10">
        <v>935</v>
      </c>
      <c r="F51" s="10">
        <v>40027827.811515763</v>
      </c>
      <c r="G51" s="10">
        <v>921</v>
      </c>
      <c r="H51" s="10">
        <v>5</v>
      </c>
      <c r="I51" s="10">
        <v>6</v>
      </c>
      <c r="J51" s="10">
        <v>990</v>
      </c>
      <c r="K51" s="10">
        <v>39272790.334850542</v>
      </c>
    </row>
    <row r="52" spans="1:11" x14ac:dyDescent="0.35">
      <c r="A52" s="9" t="s">
        <v>33</v>
      </c>
      <c r="B52" s="10">
        <v>1322</v>
      </c>
      <c r="C52" s="10">
        <v>20</v>
      </c>
      <c r="D52" s="10">
        <v>12</v>
      </c>
      <c r="E52" s="10">
        <v>923</v>
      </c>
      <c r="F52" s="10">
        <v>62161493.124312446</v>
      </c>
      <c r="G52" s="10">
        <v>1408</v>
      </c>
      <c r="H52" s="10">
        <v>6</v>
      </c>
      <c r="I52" s="10">
        <v>12</v>
      </c>
      <c r="J52" s="10">
        <v>1195</v>
      </c>
      <c r="K52" s="10">
        <v>70323659.641438365</v>
      </c>
    </row>
    <row r="53" spans="1:11" x14ac:dyDescent="0.35">
      <c r="A53" s="9" t="s">
        <v>85</v>
      </c>
      <c r="B53" s="10">
        <v>478</v>
      </c>
      <c r="C53" s="10">
        <v>10</v>
      </c>
      <c r="D53" s="10">
        <v>5</v>
      </c>
      <c r="E53" s="10">
        <v>469</v>
      </c>
      <c r="F53" s="10">
        <v>32471926.128379945</v>
      </c>
      <c r="G53" s="10">
        <v>472</v>
      </c>
      <c r="H53" s="10">
        <v>4</v>
      </c>
      <c r="I53" s="10">
        <v>6</v>
      </c>
      <c r="J53" s="10">
        <v>406</v>
      </c>
      <c r="K53" s="10">
        <v>35588507.02812691</v>
      </c>
    </row>
    <row r="54" spans="1:11" x14ac:dyDescent="0.35">
      <c r="A54" s="9" t="s">
        <v>81</v>
      </c>
      <c r="B54" s="10">
        <v>449</v>
      </c>
      <c r="C54" s="10">
        <v>2</v>
      </c>
      <c r="D54" s="10">
        <v>6</v>
      </c>
      <c r="E54" s="10">
        <v>296</v>
      </c>
      <c r="F54" s="10">
        <v>29629497.290261887</v>
      </c>
      <c r="G54" s="10">
        <v>469</v>
      </c>
      <c r="H54" s="10">
        <v>4</v>
      </c>
      <c r="I54" s="10">
        <v>4</v>
      </c>
      <c r="J54" s="10">
        <v>333</v>
      </c>
      <c r="K54" s="10">
        <v>26823381.853355456</v>
      </c>
    </row>
    <row r="55" spans="1:11" x14ac:dyDescent="0.35">
      <c r="A55" s="9" t="s">
        <v>87</v>
      </c>
      <c r="B55" s="10">
        <v>428</v>
      </c>
      <c r="C55" s="10">
        <v>13</v>
      </c>
      <c r="D55" s="10">
        <v>2</v>
      </c>
      <c r="E55" s="10">
        <v>334</v>
      </c>
      <c r="F55" s="10">
        <v>25057623.800757051</v>
      </c>
      <c r="G55" s="10">
        <v>399</v>
      </c>
      <c r="H55" s="10">
        <v>2</v>
      </c>
      <c r="I55" s="10">
        <v>3</v>
      </c>
      <c r="J55" s="10">
        <v>420</v>
      </c>
      <c r="K55" s="10">
        <v>23703514.841841705</v>
      </c>
    </row>
    <row r="56" spans="1:11" x14ac:dyDescent="0.35">
      <c r="A56" s="9" t="s">
        <v>166</v>
      </c>
      <c r="B56" s="10">
        <v>1128</v>
      </c>
      <c r="C56" s="10">
        <v>7</v>
      </c>
      <c r="D56" s="10">
        <v>1</v>
      </c>
      <c r="E56" s="10">
        <v>915</v>
      </c>
      <c r="F56" s="10">
        <v>54631356.900039949</v>
      </c>
      <c r="G56" s="10">
        <v>1080</v>
      </c>
      <c r="H56" s="10">
        <v>8</v>
      </c>
      <c r="I56" s="10">
        <v>1</v>
      </c>
      <c r="J56" s="10">
        <v>989</v>
      </c>
      <c r="K56" s="10">
        <v>54063981.863934167</v>
      </c>
    </row>
    <row r="57" spans="1:11" x14ac:dyDescent="0.35">
      <c r="A57" s="9" t="s">
        <v>93</v>
      </c>
      <c r="B57" s="10">
        <v>985</v>
      </c>
      <c r="C57" s="10">
        <v>15</v>
      </c>
      <c r="D57" s="10">
        <v>2</v>
      </c>
      <c r="E57" s="10">
        <v>837</v>
      </c>
      <c r="F57" s="10">
        <v>57521930.311603859</v>
      </c>
      <c r="G57" s="10">
        <v>966</v>
      </c>
      <c r="H57" s="10">
        <v>7</v>
      </c>
      <c r="I57" s="10">
        <v>1</v>
      </c>
      <c r="J57" s="10">
        <v>10</v>
      </c>
      <c r="K57" s="10">
        <v>47478708.287970774</v>
      </c>
    </row>
    <row r="58" spans="1:11" x14ac:dyDescent="0.35">
      <c r="A58" s="9" t="s">
        <v>95</v>
      </c>
      <c r="B58" s="10">
        <v>2057</v>
      </c>
      <c r="C58" s="10">
        <v>42</v>
      </c>
      <c r="D58" s="10">
        <v>7</v>
      </c>
      <c r="E58" s="10">
        <v>1640</v>
      </c>
      <c r="F58" s="10">
        <v>85233847.436148837</v>
      </c>
      <c r="G58" s="10">
        <v>2047</v>
      </c>
      <c r="H58" s="10">
        <v>14</v>
      </c>
      <c r="I58" s="10">
        <v>8</v>
      </c>
      <c r="J58" s="10">
        <v>2526</v>
      </c>
      <c r="K58" s="10">
        <v>107407126.31692939</v>
      </c>
    </row>
    <row r="59" spans="1:11" x14ac:dyDescent="0.35">
      <c r="A59" s="9" t="s">
        <v>174</v>
      </c>
      <c r="B59" s="10">
        <v>688</v>
      </c>
      <c r="C59" s="10">
        <v>3</v>
      </c>
      <c r="D59" s="10">
        <v>0</v>
      </c>
      <c r="E59" s="10">
        <v>509</v>
      </c>
      <c r="F59" s="10">
        <v>25854495.807059806</v>
      </c>
      <c r="G59" s="10">
        <v>647</v>
      </c>
      <c r="H59" s="10">
        <v>5</v>
      </c>
      <c r="I59" s="10">
        <v>0</v>
      </c>
      <c r="J59" s="10">
        <v>598</v>
      </c>
      <c r="K59" s="10">
        <v>25713297.999834191</v>
      </c>
    </row>
    <row r="60" spans="1:11" x14ac:dyDescent="0.35">
      <c r="A60" s="9" t="s">
        <v>99</v>
      </c>
      <c r="B60" s="10">
        <v>887</v>
      </c>
      <c r="C60" s="10">
        <v>11</v>
      </c>
      <c r="D60" s="10">
        <v>5</v>
      </c>
      <c r="E60" s="10">
        <v>697</v>
      </c>
      <c r="F60" s="10">
        <v>41583708.188749619</v>
      </c>
      <c r="G60" s="10">
        <v>894</v>
      </c>
      <c r="H60" s="10">
        <v>9</v>
      </c>
      <c r="I60" s="10">
        <v>5</v>
      </c>
      <c r="J60" s="10">
        <v>783</v>
      </c>
      <c r="K60" s="10">
        <v>45097887.326028556</v>
      </c>
    </row>
    <row r="61" spans="1:11" x14ac:dyDescent="0.35">
      <c r="A61" s="9" t="s">
        <v>172</v>
      </c>
      <c r="B61" s="10">
        <v>775</v>
      </c>
      <c r="C61" s="10">
        <v>4</v>
      </c>
      <c r="D61" s="10">
        <v>1</v>
      </c>
      <c r="E61" s="10">
        <v>647</v>
      </c>
      <c r="F61" s="10">
        <v>31296325.128398247</v>
      </c>
      <c r="G61" s="10">
        <v>689</v>
      </c>
      <c r="H61" s="10">
        <v>4</v>
      </c>
      <c r="I61" s="10">
        <v>1</v>
      </c>
      <c r="J61" s="10">
        <v>652</v>
      </c>
      <c r="K61" s="10">
        <v>27843286.29206989</v>
      </c>
    </row>
    <row r="62" spans="1:11" x14ac:dyDescent="0.35">
      <c r="A62" s="9" t="s">
        <v>168</v>
      </c>
      <c r="B62" s="10">
        <v>1085</v>
      </c>
      <c r="C62" s="10">
        <v>13</v>
      </c>
      <c r="D62" s="10">
        <v>1</v>
      </c>
      <c r="E62" s="10">
        <v>1006</v>
      </c>
      <c r="F62" s="10">
        <v>54677957.647884071</v>
      </c>
      <c r="G62" s="10">
        <v>1086</v>
      </c>
      <c r="H62" s="10">
        <v>6</v>
      </c>
      <c r="I62" s="10">
        <v>1</v>
      </c>
      <c r="J62" s="10">
        <v>1048</v>
      </c>
      <c r="K62" s="10">
        <v>57056062.888169192</v>
      </c>
    </row>
    <row r="63" spans="1:11" x14ac:dyDescent="0.35">
      <c r="A63" s="9" t="s">
        <v>101</v>
      </c>
      <c r="B63" s="10">
        <v>1358</v>
      </c>
      <c r="C63" s="10">
        <v>16</v>
      </c>
      <c r="D63" s="10">
        <v>4</v>
      </c>
      <c r="E63" s="10">
        <v>1330</v>
      </c>
      <c r="F63" s="10">
        <v>70725284.895285115</v>
      </c>
      <c r="G63" s="10">
        <v>1561</v>
      </c>
      <c r="H63" s="10">
        <v>12</v>
      </c>
      <c r="I63" s="10">
        <v>4</v>
      </c>
      <c r="J63" s="10">
        <v>1540</v>
      </c>
      <c r="K63" s="10">
        <v>72874153.161642745</v>
      </c>
    </row>
    <row r="64" spans="1:11" x14ac:dyDescent="0.35">
      <c r="A64" s="9" t="s">
        <v>103</v>
      </c>
      <c r="B64" s="10">
        <v>774</v>
      </c>
      <c r="C64" s="10">
        <v>6</v>
      </c>
      <c r="D64" s="10">
        <v>5</v>
      </c>
      <c r="E64" s="10">
        <v>689</v>
      </c>
      <c r="F64" s="10">
        <v>35743798.521655627</v>
      </c>
      <c r="G64" s="10">
        <v>769</v>
      </c>
      <c r="H64" s="10">
        <v>3</v>
      </c>
      <c r="I64" s="10">
        <v>4</v>
      </c>
      <c r="J64" s="10">
        <v>729</v>
      </c>
      <c r="K64" s="10">
        <v>38465497.251341499</v>
      </c>
    </row>
    <row r="65" spans="1:11" x14ac:dyDescent="0.35">
      <c r="A65" s="9" t="s">
        <v>105</v>
      </c>
      <c r="B65" s="10">
        <v>660</v>
      </c>
      <c r="C65" s="10">
        <v>8</v>
      </c>
      <c r="D65" s="10">
        <v>5</v>
      </c>
      <c r="E65" s="10">
        <v>437</v>
      </c>
      <c r="F65" s="10">
        <v>41861087.547585674</v>
      </c>
      <c r="G65" s="10">
        <v>634</v>
      </c>
      <c r="H65" s="10">
        <v>11</v>
      </c>
      <c r="I65" s="10">
        <v>6</v>
      </c>
      <c r="J65" s="10">
        <v>481</v>
      </c>
      <c r="K65" s="10">
        <v>43158674.137799904</v>
      </c>
    </row>
    <row r="66" spans="1:11" x14ac:dyDescent="0.35">
      <c r="A66" s="9" t="s">
        <v>24</v>
      </c>
      <c r="B66" s="10">
        <v>2037</v>
      </c>
      <c r="C66" s="10">
        <v>30</v>
      </c>
      <c r="D66" s="10">
        <v>10</v>
      </c>
      <c r="E66" s="10">
        <v>1993</v>
      </c>
      <c r="F66" s="10">
        <v>114853838.79393511</v>
      </c>
      <c r="G66" s="10">
        <v>2001</v>
      </c>
      <c r="H66" s="10">
        <v>18</v>
      </c>
      <c r="I66" s="10">
        <v>11</v>
      </c>
      <c r="J66" s="10">
        <v>1627</v>
      </c>
      <c r="K66" s="10">
        <v>138487778.52505985</v>
      </c>
    </row>
    <row r="67" spans="1:11" x14ac:dyDescent="0.35">
      <c r="A67" s="9" t="s">
        <v>27</v>
      </c>
      <c r="B67" s="10">
        <v>1563</v>
      </c>
      <c r="C67" s="10">
        <v>23</v>
      </c>
      <c r="D67" s="10">
        <v>7</v>
      </c>
      <c r="E67" s="10">
        <v>186</v>
      </c>
      <c r="F67" s="10">
        <v>99808611.828301951</v>
      </c>
      <c r="G67" s="10">
        <v>1578</v>
      </c>
      <c r="H67" s="10">
        <v>24</v>
      </c>
      <c r="I67" s="10">
        <v>6</v>
      </c>
      <c r="J67" s="10">
        <v>1289</v>
      </c>
      <c r="K67" s="10">
        <v>105635115.27801654</v>
      </c>
    </row>
    <row r="68" spans="1:11" x14ac:dyDescent="0.35">
      <c r="A68" s="9" t="s">
        <v>29</v>
      </c>
      <c r="B68" s="10">
        <v>857</v>
      </c>
      <c r="C68" s="10">
        <v>2</v>
      </c>
      <c r="D68" s="10">
        <v>1</v>
      </c>
      <c r="E68" s="10">
        <v>1368</v>
      </c>
      <c r="F68" s="10">
        <v>62663209.344091706</v>
      </c>
      <c r="G68" s="10">
        <v>913</v>
      </c>
      <c r="H68" s="10">
        <v>11</v>
      </c>
      <c r="I68" s="10">
        <v>1</v>
      </c>
      <c r="J68" s="10">
        <v>726</v>
      </c>
      <c r="K68" s="10">
        <v>67833158.552806735</v>
      </c>
    </row>
    <row r="69" spans="1:11" x14ac:dyDescent="0.35">
      <c r="A69" s="9" t="s">
        <v>57</v>
      </c>
      <c r="B69" s="10">
        <v>2204</v>
      </c>
      <c r="C69" s="10">
        <v>474</v>
      </c>
      <c r="D69" s="10">
        <v>13</v>
      </c>
      <c r="E69" s="10">
        <v>1539</v>
      </c>
      <c r="F69" s="10">
        <v>93487470.072950661</v>
      </c>
      <c r="G69" s="10">
        <v>2284</v>
      </c>
      <c r="H69" s="10">
        <v>627</v>
      </c>
      <c r="I69" s="10">
        <v>12</v>
      </c>
      <c r="J69" s="10">
        <v>1297</v>
      </c>
      <c r="K69" s="10">
        <v>97498555.244374871</v>
      </c>
    </row>
    <row r="70" spans="1:11" x14ac:dyDescent="0.35">
      <c r="A70" s="9" t="s">
        <v>137</v>
      </c>
      <c r="B70" s="10">
        <v>270</v>
      </c>
      <c r="C70" s="10">
        <v>2</v>
      </c>
      <c r="D70" s="10">
        <v>1</v>
      </c>
      <c r="E70" s="10">
        <v>256</v>
      </c>
      <c r="F70" s="10">
        <v>6964283.6445108484</v>
      </c>
      <c r="G70" s="10">
        <v>235</v>
      </c>
      <c r="H70" s="10">
        <v>1</v>
      </c>
      <c r="I70" s="10">
        <v>1</v>
      </c>
      <c r="J70" s="10">
        <v>327</v>
      </c>
      <c r="K70" s="10">
        <v>4865392.099631913</v>
      </c>
    </row>
    <row r="71" spans="1:11" x14ac:dyDescent="0.35">
      <c r="A71" s="9" t="s">
        <v>10</v>
      </c>
      <c r="B71" s="10">
        <v>1763</v>
      </c>
      <c r="C71" s="10">
        <v>6</v>
      </c>
      <c r="D71" s="10">
        <v>7</v>
      </c>
      <c r="E71" s="10">
        <v>1542</v>
      </c>
      <c r="F71" s="10">
        <v>73074975.681573242</v>
      </c>
      <c r="G71" s="10">
        <v>1605</v>
      </c>
      <c r="H71" s="10">
        <v>15</v>
      </c>
      <c r="I71" s="10">
        <v>6</v>
      </c>
      <c r="J71" s="10">
        <v>1594</v>
      </c>
      <c r="K71" s="10">
        <v>70798262.234444186</v>
      </c>
    </row>
    <row r="72" spans="1:11" x14ac:dyDescent="0.35">
      <c r="A72" s="9" t="s">
        <v>12</v>
      </c>
      <c r="B72" s="10">
        <v>674</v>
      </c>
      <c r="C72" s="10">
        <v>3</v>
      </c>
      <c r="D72" s="10">
        <v>2</v>
      </c>
      <c r="E72" s="10">
        <v>555</v>
      </c>
      <c r="F72" s="10">
        <v>30681729.995268695</v>
      </c>
      <c r="G72" s="10">
        <v>791</v>
      </c>
      <c r="H72" s="10">
        <v>5</v>
      </c>
      <c r="I72" s="10">
        <v>3</v>
      </c>
      <c r="J72" s="10">
        <v>654</v>
      </c>
      <c r="K72" s="10">
        <v>33209876.744051117</v>
      </c>
    </row>
    <row r="73" spans="1:11" x14ac:dyDescent="0.35">
      <c r="A73" s="9" t="s">
        <v>162</v>
      </c>
      <c r="B73" s="10">
        <v>1323</v>
      </c>
      <c r="C73" s="10">
        <v>49</v>
      </c>
      <c r="D73" s="10">
        <v>5</v>
      </c>
      <c r="E73" s="10">
        <v>822</v>
      </c>
      <c r="F73" s="10">
        <v>48953973.921072885</v>
      </c>
      <c r="G73" s="10">
        <v>1313</v>
      </c>
      <c r="H73" s="10">
        <v>77</v>
      </c>
      <c r="I73" s="10">
        <v>5</v>
      </c>
      <c r="J73" s="10">
        <v>1008</v>
      </c>
      <c r="K73" s="10">
        <v>52086492.379640192</v>
      </c>
    </row>
    <row r="74" spans="1:11" x14ac:dyDescent="0.35">
      <c r="A74" s="9" t="s">
        <v>63</v>
      </c>
      <c r="B74" s="10">
        <v>1324</v>
      </c>
      <c r="C74" s="10">
        <v>10</v>
      </c>
      <c r="D74" s="10">
        <v>5</v>
      </c>
      <c r="E74" s="10">
        <v>1235</v>
      </c>
      <c r="F74" s="10">
        <v>24208562.134878501</v>
      </c>
      <c r="G74" s="10">
        <v>1256</v>
      </c>
      <c r="H74" s="10">
        <v>11</v>
      </c>
      <c r="I74" s="10">
        <v>5</v>
      </c>
      <c r="J74" s="10">
        <v>1351</v>
      </c>
      <c r="K74" s="10">
        <v>35990299.702006921</v>
      </c>
    </row>
    <row r="75" spans="1:11" x14ac:dyDescent="0.35">
      <c r="A75" s="9" t="s">
        <v>59</v>
      </c>
      <c r="B75" s="10">
        <v>1743</v>
      </c>
      <c r="C75" s="10">
        <v>11</v>
      </c>
      <c r="D75" s="10">
        <v>5</v>
      </c>
      <c r="E75" s="10">
        <v>1399</v>
      </c>
      <c r="F75" s="10">
        <v>87604779.840567157</v>
      </c>
      <c r="G75" s="10">
        <v>1724</v>
      </c>
      <c r="H75" s="10">
        <v>14</v>
      </c>
      <c r="I75" s="10">
        <v>5</v>
      </c>
      <c r="J75" s="10">
        <v>1235</v>
      </c>
      <c r="K75" s="10">
        <v>90334147.056246489</v>
      </c>
    </row>
    <row r="76" spans="1:11" x14ac:dyDescent="0.35">
      <c r="A76" s="9" t="s">
        <v>139</v>
      </c>
      <c r="B76" s="10">
        <v>488</v>
      </c>
      <c r="C76" s="10">
        <v>5</v>
      </c>
      <c r="D76" s="10">
        <v>2</v>
      </c>
      <c r="E76" s="10">
        <v>419</v>
      </c>
      <c r="F76" s="10">
        <v>17828088.884093694</v>
      </c>
      <c r="G76" s="10">
        <v>513</v>
      </c>
      <c r="H76" s="10">
        <v>2</v>
      </c>
      <c r="I76" s="10">
        <v>1</v>
      </c>
      <c r="J76" s="10">
        <v>541</v>
      </c>
      <c r="K76" s="10">
        <v>18387288.066796031</v>
      </c>
    </row>
    <row r="77" spans="1:11" x14ac:dyDescent="0.35">
      <c r="A77" s="9" t="s">
        <v>170</v>
      </c>
      <c r="B77" s="10">
        <v>898</v>
      </c>
      <c r="C77" s="10">
        <v>6</v>
      </c>
      <c r="D77" s="10">
        <v>1</v>
      </c>
      <c r="E77" s="10">
        <v>1059</v>
      </c>
      <c r="F77" s="10">
        <v>28836574.404410873</v>
      </c>
      <c r="G77" s="10">
        <v>880</v>
      </c>
      <c r="H77" s="10">
        <v>6</v>
      </c>
      <c r="I77" s="10">
        <v>1</v>
      </c>
      <c r="J77" s="10">
        <v>809</v>
      </c>
      <c r="K77" s="10">
        <v>29138857.249872215</v>
      </c>
    </row>
    <row r="78" spans="1:11" x14ac:dyDescent="0.35">
      <c r="A78" s="9" t="s">
        <v>61</v>
      </c>
      <c r="B78" s="10">
        <v>651</v>
      </c>
      <c r="C78" s="10">
        <v>2</v>
      </c>
      <c r="D78" s="10">
        <v>4</v>
      </c>
      <c r="E78" s="10">
        <v>502</v>
      </c>
      <c r="F78" s="10">
        <v>18057100.015967935</v>
      </c>
      <c r="G78" s="10">
        <v>636</v>
      </c>
      <c r="H78" s="10">
        <v>2</v>
      </c>
      <c r="I78" s="10">
        <v>3</v>
      </c>
      <c r="J78" s="10">
        <v>498</v>
      </c>
      <c r="K78" s="10">
        <v>29250818.578385815</v>
      </c>
    </row>
    <row r="79" spans="1:11" x14ac:dyDescent="0.35">
      <c r="A79" s="9" t="s">
        <v>129</v>
      </c>
      <c r="B79" s="10">
        <v>566</v>
      </c>
      <c r="C79" s="10">
        <v>5</v>
      </c>
      <c r="D79" s="10">
        <v>1</v>
      </c>
      <c r="E79" s="10">
        <v>557</v>
      </c>
      <c r="F79" s="10">
        <v>14965991.75100746</v>
      </c>
      <c r="G79" s="10">
        <v>586</v>
      </c>
      <c r="H79" s="10">
        <v>6</v>
      </c>
      <c r="I79" s="10">
        <v>1</v>
      </c>
      <c r="J79" s="10">
        <v>590</v>
      </c>
      <c r="K79" s="10">
        <v>19540079.885151304</v>
      </c>
    </row>
    <row r="80" spans="1:11" x14ac:dyDescent="0.35">
      <c r="A80" s="9" t="s">
        <v>35</v>
      </c>
      <c r="B80" s="10">
        <v>432</v>
      </c>
      <c r="C80" s="10">
        <v>6</v>
      </c>
      <c r="D80" s="10">
        <v>6</v>
      </c>
      <c r="E80" s="10">
        <v>450</v>
      </c>
      <c r="F80" s="10">
        <v>22360222.861723796</v>
      </c>
      <c r="G80" s="10">
        <v>445</v>
      </c>
      <c r="H80" s="10">
        <v>2</v>
      </c>
      <c r="I80" s="10">
        <v>7</v>
      </c>
      <c r="J80" s="10">
        <v>458</v>
      </c>
      <c r="K80" s="10">
        <v>23929214.494470421</v>
      </c>
    </row>
    <row r="81" spans="1:11" x14ac:dyDescent="0.35">
      <c r="A81" s="9" t="s">
        <v>107</v>
      </c>
      <c r="B81" s="10">
        <v>953</v>
      </c>
      <c r="C81" s="10">
        <v>18</v>
      </c>
      <c r="D81" s="10">
        <v>3</v>
      </c>
      <c r="E81" s="10">
        <v>825</v>
      </c>
      <c r="F81" s="10">
        <v>63830618.416064955</v>
      </c>
      <c r="G81" s="10">
        <v>912</v>
      </c>
      <c r="H81" s="10">
        <v>10</v>
      </c>
      <c r="I81" s="10">
        <v>3</v>
      </c>
      <c r="J81" s="10">
        <v>767</v>
      </c>
      <c r="K81" s="10">
        <v>61277932.349933103</v>
      </c>
    </row>
    <row r="82" spans="1:11" x14ac:dyDescent="0.35">
      <c r="A82" s="9" t="s">
        <v>37</v>
      </c>
      <c r="B82" s="10">
        <v>783</v>
      </c>
      <c r="C82" s="10">
        <v>8</v>
      </c>
      <c r="D82" s="10">
        <v>10</v>
      </c>
      <c r="E82" s="10">
        <v>775</v>
      </c>
      <c r="F82" s="10">
        <v>37687533.251614802</v>
      </c>
      <c r="G82" s="10">
        <v>777</v>
      </c>
      <c r="H82" s="10">
        <v>5</v>
      </c>
      <c r="I82" s="10">
        <v>9</v>
      </c>
      <c r="J82" s="10">
        <v>751</v>
      </c>
      <c r="K82" s="10">
        <v>36950605.461041227</v>
      </c>
    </row>
    <row r="83" spans="1:11" x14ac:dyDescent="0.35">
      <c r="A83" s="9" t="s">
        <v>76</v>
      </c>
      <c r="B83" s="10">
        <v>943</v>
      </c>
      <c r="C83" s="10">
        <v>2</v>
      </c>
      <c r="D83" s="10">
        <v>2</v>
      </c>
      <c r="E83" s="10">
        <v>897</v>
      </c>
      <c r="F83" s="10">
        <v>31760986.217621557</v>
      </c>
      <c r="G83" s="10">
        <v>938</v>
      </c>
      <c r="H83" s="10">
        <v>4</v>
      </c>
      <c r="I83" s="10">
        <v>2</v>
      </c>
      <c r="J83" s="10">
        <v>925</v>
      </c>
      <c r="K83" s="10">
        <v>32367876.075362664</v>
      </c>
    </row>
    <row r="84" spans="1:11" x14ac:dyDescent="0.35">
      <c r="A84" s="9" t="s">
        <v>65</v>
      </c>
      <c r="B84" s="10">
        <v>1006</v>
      </c>
      <c r="C84" s="10">
        <v>9</v>
      </c>
      <c r="D84" s="10">
        <v>4</v>
      </c>
      <c r="E84" s="10">
        <v>794</v>
      </c>
      <c r="F84" s="10">
        <v>35178738.863143727</v>
      </c>
      <c r="G84" s="10">
        <v>936</v>
      </c>
      <c r="H84" s="10">
        <v>2</v>
      </c>
      <c r="I84" s="10">
        <v>5</v>
      </c>
      <c r="J84" s="10">
        <v>888</v>
      </c>
      <c r="K84" s="10">
        <v>34455000.684424952</v>
      </c>
    </row>
    <row r="85" spans="1:11" x14ac:dyDescent="0.35">
      <c r="A85" s="9" t="s">
        <v>89</v>
      </c>
      <c r="B85" s="10">
        <v>751</v>
      </c>
      <c r="C85" s="10">
        <v>8</v>
      </c>
      <c r="D85" s="10">
        <v>5</v>
      </c>
      <c r="E85" s="10">
        <v>795</v>
      </c>
      <c r="F85" s="10">
        <v>38702166.442961432</v>
      </c>
      <c r="G85" s="10">
        <v>751</v>
      </c>
      <c r="H85" s="10">
        <v>3</v>
      </c>
      <c r="I85" s="10">
        <v>6</v>
      </c>
      <c r="J85" s="10">
        <v>771</v>
      </c>
      <c r="K85" s="10">
        <v>42969674.40606536</v>
      </c>
    </row>
    <row r="86" spans="1:11" x14ac:dyDescent="0.35">
      <c r="A86" s="9" t="s">
        <v>147</v>
      </c>
      <c r="B86" s="10">
        <v>559</v>
      </c>
      <c r="C86" s="10">
        <v>2</v>
      </c>
      <c r="D86" s="10">
        <v>1</v>
      </c>
      <c r="E86" s="10">
        <v>480</v>
      </c>
      <c r="F86" s="10">
        <v>16524636.876717599</v>
      </c>
      <c r="G86" s="10">
        <v>590</v>
      </c>
      <c r="H86" s="10">
        <v>5</v>
      </c>
      <c r="I86" s="10">
        <v>1</v>
      </c>
      <c r="J86" s="10">
        <v>680</v>
      </c>
      <c r="K86" s="10">
        <v>19198104.437765781</v>
      </c>
    </row>
    <row r="87" spans="1:11" x14ac:dyDescent="0.35">
      <c r="A87" s="9" t="s">
        <v>164</v>
      </c>
      <c r="B87" s="10">
        <v>1692</v>
      </c>
      <c r="C87" s="10">
        <v>10</v>
      </c>
      <c r="D87" s="10">
        <v>10</v>
      </c>
      <c r="E87" s="10">
        <v>1307</v>
      </c>
      <c r="F87" s="10">
        <v>72819977.008534327</v>
      </c>
      <c r="G87" s="10">
        <v>1762</v>
      </c>
      <c r="H87" s="10">
        <v>13</v>
      </c>
      <c r="I87" s="10">
        <v>10</v>
      </c>
      <c r="J87" s="10">
        <v>1378</v>
      </c>
      <c r="K87" s="10">
        <v>82848030.659132645</v>
      </c>
    </row>
    <row r="88" spans="1:11" x14ac:dyDescent="0.35">
      <c r="A88" s="9" t="s">
        <v>91</v>
      </c>
      <c r="B88" s="10">
        <v>639</v>
      </c>
      <c r="C88" s="10">
        <v>7</v>
      </c>
      <c r="D88" s="10">
        <v>3</v>
      </c>
      <c r="E88" s="10">
        <v>574</v>
      </c>
      <c r="F88" s="10">
        <v>21034403.496926889</v>
      </c>
      <c r="G88" s="10">
        <v>616</v>
      </c>
      <c r="H88" s="10">
        <v>0</v>
      </c>
      <c r="I88" s="10">
        <v>3</v>
      </c>
      <c r="J88" s="10">
        <v>1039</v>
      </c>
      <c r="K88" s="10">
        <v>17832502.002734326</v>
      </c>
    </row>
    <row r="89" spans="1:11" x14ac:dyDescent="0.35">
      <c r="A89" s="9" t="s">
        <v>97</v>
      </c>
      <c r="B89" s="10">
        <v>581</v>
      </c>
      <c r="C89" s="10">
        <v>16</v>
      </c>
      <c r="D89" s="10">
        <v>6</v>
      </c>
      <c r="E89" s="10">
        <v>526</v>
      </c>
      <c r="F89" s="10">
        <v>33523040.376748282</v>
      </c>
      <c r="G89" s="10">
        <v>672</v>
      </c>
      <c r="H89" s="10">
        <v>6</v>
      </c>
      <c r="I89" s="10">
        <v>8</v>
      </c>
      <c r="J89" s="10">
        <v>804</v>
      </c>
      <c r="K89" s="10">
        <v>37087142.362418614</v>
      </c>
    </row>
    <row r="90" spans="1:11" x14ac:dyDescent="0.35">
      <c r="A90" s="9" t="s">
        <v>78</v>
      </c>
      <c r="B90" s="10">
        <v>362</v>
      </c>
      <c r="C90" s="10">
        <v>3</v>
      </c>
      <c r="D90" s="10">
        <v>1</v>
      </c>
      <c r="E90" s="10">
        <v>313</v>
      </c>
      <c r="F90" s="10">
        <v>8880025.1145260427</v>
      </c>
      <c r="G90" s="10">
        <v>361</v>
      </c>
      <c r="H90" s="10">
        <v>1</v>
      </c>
      <c r="I90" s="10">
        <v>1</v>
      </c>
      <c r="J90" s="10">
        <v>344</v>
      </c>
      <c r="K90" s="10">
        <v>8452118.6797097865</v>
      </c>
    </row>
    <row r="91" spans="1:11" x14ac:dyDescent="0.35">
      <c r="A91" s="14" t="s">
        <v>204</v>
      </c>
      <c r="B91" s="13">
        <v>84469</v>
      </c>
      <c r="C91" s="13">
        <v>2419</v>
      </c>
      <c r="D91" s="13">
        <v>309</v>
      </c>
      <c r="E91" s="13">
        <v>69356</v>
      </c>
      <c r="F91" s="13">
        <v>3600693942.129065</v>
      </c>
      <c r="G91" s="13">
        <v>83920</v>
      </c>
      <c r="H91" s="13">
        <v>1731</v>
      </c>
      <c r="I91" s="13">
        <v>319</v>
      </c>
      <c r="J91" s="13">
        <v>77345</v>
      </c>
      <c r="K91" s="13">
        <v>3756875314.1652899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2026-08-27T12:24:56Z</dcterms:modified>
</cp:coreProperties>
</file>