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7" i="3" l="1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<sst xmlns="http://schemas.openxmlformats.org/spreadsheetml/2006/main" count="540" uniqueCount="205">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</sst>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15576117.1179465</v>
      </c>
      <c r="G2" s="1">
        <f>VLOOKUP(A:A,MASTER!A:K,11,0)</f>
        <v>15584300.528121127</v>
      </c>
      <c r="H2" s="12">
        <f>IFERROR(G2/F2-1,0)</f>
        <v>5.2538191082285302E-4</v>
      </c>
      <c r="I2" s="2">
        <f>VLOOKUP(A:A,MASTER!A:E,5,0)</f>
        <v>392</v>
      </c>
      <c r="J2" s="2">
        <f>VLOOKUP(A:A,MASTER!A:J,10,0)</f>
        <v>450</v>
      </c>
      <c r="K2" s="12">
        <f>IFERROR(J2/I2-1,0)</f>
        <v>0.1479591836734695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415</v>
      </c>
      <c r="S2">
        <f>VLOOKUP(A:A,MASTER!A:G,7,0)</f>
        <v>4053</v>
      </c>
      <c r="T2" s="12">
        <f>IFERROR(S2/R2-1,0)</f>
        <v>8.7662650602409631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18687519.00310263</v>
      </c>
      <c r="G3" s="1">
        <f>VLOOKUP(A:A,MASTER!A:K,11,0)</f>
        <v>18301391.880558848</v>
      </c>
      <c r="H3" s="12">
        <f t="shared" ref="H3:H66" si="0">IFERROR(G3/F3-1,0)</f>
        <v>-2.066229992754387E-2</v>
      </c>
      <c r="I3" s="2">
        <f>VLOOKUP(A:A,MASTER!A:E,5,0)</f>
        <v>511</v>
      </c>
      <c r="J3" s="2">
        <f>VLOOKUP(A:A,MASTER!A:J,10,0)</f>
        <v>551</v>
      </c>
      <c r="K3" s="12">
        <f t="shared" ref="K3:K66" si="1">IFERROR(J3/I3-1,0)</f>
        <v>7.8277886497064575E-2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677</v>
      </c>
      <c r="S3">
        <f>VLOOKUP(A:A,MASTER!A:G,7,0)</f>
        <v>1684</v>
      </c>
      <c r="T3" s="12">
        <f t="shared" ref="T3:T66" si="4">IFERROR(S3/R3-1,0)</f>
        <v>1.4874446085672082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23437084.11282393</v>
      </c>
      <c r="G4" s="1">
        <f>VLOOKUP(A:A,MASTER!A:K,11,0)</f>
        <v>26621893.244800474</v>
      </c>
      <c r="H4" s="12">
        <f t="shared" si="0"/>
        <v>0.13588760089118468</v>
      </c>
      <c r="I4" s="2">
        <f>VLOOKUP(A:A,MASTER!A:E,5,0)</f>
        <v>781</v>
      </c>
      <c r="J4" s="2">
        <f>VLOOKUP(A:A,MASTER!A:J,10,0)</f>
        <v>1034</v>
      </c>
      <c r="K4" s="12">
        <f t="shared" si="1"/>
        <v>0.323943661971831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10</v>
      </c>
      <c r="P4" s="1">
        <f>VLOOKUP(A:A,MASTER!A:H,8,0)</f>
        <v>11</v>
      </c>
      <c r="Q4" s="12">
        <f t="shared" si="3"/>
        <v>0.10000000000000009</v>
      </c>
      <c r="R4" s="1">
        <f>VLOOKUP(A:A,MASTER!A:B,2,0)</f>
        <v>692</v>
      </c>
      <c r="S4">
        <f>VLOOKUP(A:A,MASTER!A:G,7,0)</f>
        <v>1791</v>
      </c>
      <c r="T4" s="12">
        <f t="shared" si="4"/>
        <v>1.5881502890173409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39968983.478528641</v>
      </c>
      <c r="G5" s="1">
        <f>VLOOKUP(A:A,MASTER!A:K,11,0)</f>
        <v>41097014.976106361</v>
      </c>
      <c r="H5" s="12">
        <f t="shared" si="0"/>
        <v>2.8222671666986443E-2</v>
      </c>
      <c r="I5" s="2">
        <f>VLOOKUP(A:A,MASTER!A:E,5,0)</f>
        <v>1168</v>
      </c>
      <c r="J5" s="2">
        <f>VLOOKUP(A:A,MASTER!A:J,10,0)</f>
        <v>1335</v>
      </c>
      <c r="K5" s="12">
        <f t="shared" si="1"/>
        <v>0.14297945205479445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11</v>
      </c>
      <c r="Q5" s="12">
        <f t="shared" si="3"/>
        <v>0.375</v>
      </c>
      <c r="R5" s="1">
        <f>VLOOKUP(A:A,MASTER!A:B,2,0)</f>
        <v>1191</v>
      </c>
      <c r="S5">
        <f>VLOOKUP(A:A,MASTER!A:G,7,0)</f>
        <v>2067</v>
      </c>
      <c r="T5" s="12">
        <f t="shared" si="4"/>
        <v>0.73551637279596971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16574884.235469682</v>
      </c>
      <c r="G6" s="1">
        <f>VLOOKUP(A:A,MASTER!A:K,11,0)</f>
        <v>17795970.414671585</v>
      </c>
      <c r="H6" s="12">
        <f t="shared" si="0"/>
        <v>7.3670872257968423E-2</v>
      </c>
      <c r="I6" s="2">
        <f>VLOOKUP(A:A,MASTER!A:E,5,0)</f>
        <v>354</v>
      </c>
      <c r="J6" s="2">
        <f>VLOOKUP(A:A,MASTER!A:J,10,0)</f>
        <v>623</v>
      </c>
      <c r="K6" s="12">
        <f t="shared" si="1"/>
        <v>0.75988700564971756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3</v>
      </c>
      <c r="P6" s="1">
        <f>VLOOKUP(A:A,MASTER!A:H,8,0)</f>
        <v>1</v>
      </c>
      <c r="Q6" s="12">
        <f t="shared" si="3"/>
        <v>-0.66666666666666674</v>
      </c>
      <c r="R6" s="1">
        <f>VLOOKUP(A:A,MASTER!A:B,2,0)</f>
        <v>420</v>
      </c>
      <c r="S6">
        <f>VLOOKUP(A:A,MASTER!A:G,7,0)</f>
        <v>1438</v>
      </c>
      <c r="T6" s="12">
        <f t="shared" si="4"/>
        <v>2.4238095238095236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13719396.203978699</v>
      </c>
      <c r="G7" s="1">
        <f>VLOOKUP(A:A,MASTER!A:K,11,0)</f>
        <v>14860768.521126136</v>
      </c>
      <c r="H7" s="12">
        <f t="shared" si="0"/>
        <v>8.3194063366756055E-2</v>
      </c>
      <c r="I7" s="2">
        <f>VLOOKUP(A:A,MASTER!A:E,5,0)</f>
        <v>290</v>
      </c>
      <c r="J7" s="2">
        <f>VLOOKUP(A:A,MASTER!A:J,10,0)</f>
        <v>473</v>
      </c>
      <c r="K7" s="12">
        <f t="shared" si="1"/>
        <v>0.63103448275862073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377</v>
      </c>
      <c r="S7">
        <f>VLOOKUP(A:A,MASTER!A:G,7,0)</f>
        <v>1219</v>
      </c>
      <c r="T7" s="12">
        <f t="shared" si="4"/>
        <v>2.2334217506631298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15594498.670431616</v>
      </c>
      <c r="G8" s="1">
        <f>VLOOKUP(A:A,MASTER!A:K,11,0)</f>
        <v>19217853.026664805</v>
      </c>
      <c r="H8" s="12">
        <f t="shared" si="0"/>
        <v>0.23234824233903395</v>
      </c>
      <c r="I8" s="2">
        <f>VLOOKUP(A:A,MASTER!A:E,5,0)</f>
        <v>484</v>
      </c>
      <c r="J8" s="2">
        <f>VLOOKUP(A:A,MASTER!A:J,10,0)</f>
        <v>642</v>
      </c>
      <c r="K8" s="12">
        <f t="shared" si="1"/>
        <v>0.32644628099173545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2</v>
      </c>
      <c r="P8" s="1">
        <f>VLOOKUP(A:A,MASTER!A:H,8,0)</f>
        <v>3</v>
      </c>
      <c r="Q8" s="12">
        <f t="shared" si="3"/>
        <v>0.5</v>
      </c>
      <c r="R8" s="1">
        <f>VLOOKUP(A:A,MASTER!A:B,2,0)</f>
        <v>586</v>
      </c>
      <c r="S8">
        <f>VLOOKUP(A:A,MASTER!A:G,7,0)</f>
        <v>1679</v>
      </c>
      <c r="T8" s="12">
        <f t="shared" si="4"/>
        <v>1.8651877133105801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7613584.9053312186</v>
      </c>
      <c r="G9" s="1">
        <f>VLOOKUP(A:A,MASTER!A:K,11,0)</f>
        <v>7625574.8749438496</v>
      </c>
      <c r="H9" s="12">
        <f t="shared" si="0"/>
        <v>1.5748126226629022E-3</v>
      </c>
      <c r="I9" s="2">
        <f>VLOOKUP(A:A,MASTER!A:E,5,0)</f>
        <v>140</v>
      </c>
      <c r="J9" s="2">
        <f>VLOOKUP(A:A,MASTER!A:J,10,0)</f>
        <v>308</v>
      </c>
      <c r="K9" s="12">
        <f t="shared" si="1"/>
        <v>1.2000000000000002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174</v>
      </c>
      <c r="S9">
        <f>VLOOKUP(A:A,MASTER!A:G,7,0)</f>
        <v>887</v>
      </c>
      <c r="T9" s="12">
        <f t="shared" si="4"/>
        <v>4.0977011494252871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6933978.1464532567</v>
      </c>
      <c r="G10" s="1">
        <f>VLOOKUP(A:A,MASTER!A:K,11,0)</f>
        <v>4950311.03876941</v>
      </c>
      <c r="H10" s="12">
        <f t="shared" si="0"/>
        <v>-0.28607922692956511</v>
      </c>
      <c r="I10" s="2">
        <f>VLOOKUP(A:A,MASTER!A:E,5,0)</f>
        <v>134</v>
      </c>
      <c r="J10" s="2">
        <f>VLOOKUP(A:A,MASTER!A:J,10,0)</f>
        <v>244</v>
      </c>
      <c r="K10" s="12">
        <f t="shared" si="1"/>
        <v>0.82089552238805963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195</v>
      </c>
      <c r="S10">
        <f>VLOOKUP(A:A,MASTER!A:G,7,0)</f>
        <v>491</v>
      </c>
      <c r="T10" s="12">
        <f t="shared" si="4"/>
        <v>1.5179487179487179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11204461.966508804</v>
      </c>
      <c r="G11" s="1">
        <f>VLOOKUP(A:A,MASTER!A:K,11,0)</f>
        <v>15614869.844393471</v>
      </c>
      <c r="H11" s="12">
        <f t="shared" si="0"/>
        <v>0.39362959962448829</v>
      </c>
      <c r="I11" s="2">
        <f>VLOOKUP(A:A,MASTER!A:E,5,0)</f>
        <v>338</v>
      </c>
      <c r="J11" s="2">
        <f>VLOOKUP(A:A,MASTER!A:J,10,0)</f>
        <v>572</v>
      </c>
      <c r="K11" s="12">
        <f t="shared" si="1"/>
        <v>0.69230769230769229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4</v>
      </c>
      <c r="Q11" s="12">
        <f t="shared" si="3"/>
        <v>3</v>
      </c>
      <c r="R11" s="1">
        <f>VLOOKUP(A:A,MASTER!A:B,2,0)</f>
        <v>330</v>
      </c>
      <c r="S11">
        <f>VLOOKUP(A:A,MASTER!A:G,7,0)</f>
        <v>1411</v>
      </c>
      <c r="T11" s="12">
        <f t="shared" si="4"/>
        <v>3.2757575757575754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5390269.2205274189</v>
      </c>
      <c r="G12" s="1">
        <f>VLOOKUP(A:A,MASTER!A:K,11,0)</f>
        <v>8091693.1655201185</v>
      </c>
      <c r="H12" s="12">
        <f t="shared" si="0"/>
        <v>0.50116679417514787</v>
      </c>
      <c r="I12" s="2">
        <f>VLOOKUP(A:A,MASTER!A:E,5,0)</f>
        <v>227</v>
      </c>
      <c r="J12" s="2">
        <f>VLOOKUP(A:A,MASTER!A:J,10,0)</f>
        <v>503</v>
      </c>
      <c r="K12" s="12">
        <f t="shared" si="1"/>
        <v>1.2158590308370045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209</v>
      </c>
      <c r="S12">
        <f>VLOOKUP(A:A,MASTER!A:G,7,0)</f>
        <v>1079</v>
      </c>
      <c r="T12" s="12">
        <f t="shared" si="4"/>
        <v>4.1626794258373208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7416099.4346124213</v>
      </c>
      <c r="G13" s="1">
        <f>VLOOKUP(A:A,MASTER!A:K,11,0)</f>
        <v>8477364.2236793302</v>
      </c>
      <c r="H13" s="12">
        <f t="shared" si="0"/>
        <v>0.14310282628004867</v>
      </c>
      <c r="I13" s="2">
        <f>VLOOKUP(A:A,MASTER!A:E,5,0)</f>
        <v>216</v>
      </c>
      <c r="J13" s="2">
        <f>VLOOKUP(A:A,MASTER!A:J,10,0)</f>
        <v>367</v>
      </c>
      <c r="K13" s="12">
        <f t="shared" si="1"/>
        <v>0.69907407407407418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251</v>
      </c>
      <c r="S13">
        <f>VLOOKUP(A:A,MASTER!A:G,7,0)</f>
        <v>758</v>
      </c>
      <c r="T13" s="12">
        <f t="shared" si="4"/>
        <v>2.0199203187250996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20015075.218439002</v>
      </c>
      <c r="G14" s="1">
        <f>VLOOKUP(A:A,MASTER!A:K,11,0)</f>
        <v>36638252.177251168</v>
      </c>
      <c r="H14" s="12">
        <f t="shared" si="0"/>
        <v>0.83053282475291268</v>
      </c>
      <c r="I14" s="2">
        <f>VLOOKUP(A:A,MASTER!A:E,5,0)</f>
        <v>1192</v>
      </c>
      <c r="J14" s="2">
        <f>VLOOKUP(A:A,MASTER!A:J,10,0)</f>
        <v>1120</v>
      </c>
      <c r="K14" s="12">
        <f t="shared" si="1"/>
        <v>-6.0402684563758413E-2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1422</v>
      </c>
      <c r="S14">
        <f>VLOOKUP(A:A,MASTER!A:G,7,0)</f>
        <v>1440</v>
      </c>
      <c r="T14" s="12">
        <f t="shared" si="4"/>
        <v>1.2658227848101333E-2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45037231.168659486</v>
      </c>
      <c r="G15" s="1">
        <f>VLOOKUP(A:A,MASTER!A:K,11,0)</f>
        <v>59386239.434296027</v>
      </c>
      <c r="H15" s="12">
        <f t="shared" si="0"/>
        <v>0.31860325098363806</v>
      </c>
      <c r="I15" s="2">
        <f>VLOOKUP(A:A,MASTER!A:E,5,0)</f>
        <v>908</v>
      </c>
      <c r="J15" s="2">
        <f>VLOOKUP(A:A,MASTER!A:J,10,0)</f>
        <v>881</v>
      </c>
      <c r="K15" s="12">
        <f t="shared" si="1"/>
        <v>-2.9735682819383213E-2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2</v>
      </c>
      <c r="P15" s="1">
        <f>VLOOKUP(A:A,MASTER!A:H,8,0)</f>
        <v>2</v>
      </c>
      <c r="Q15" s="12">
        <f t="shared" si="3"/>
        <v>0</v>
      </c>
      <c r="R15" s="1">
        <f>VLOOKUP(A:A,MASTER!A:B,2,0)</f>
        <v>1267</v>
      </c>
      <c r="S15">
        <f>VLOOKUP(A:A,MASTER!A:G,7,0)</f>
        <v>1318</v>
      </c>
      <c r="T15" s="12">
        <f t="shared" si="4"/>
        <v>4.0252565114443639E-2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31426846.765136085</v>
      </c>
      <c r="G16" s="1">
        <f>VLOOKUP(A:A,MASTER!A:K,11,0)</f>
        <v>31697383.818457987</v>
      </c>
      <c r="H16" s="12">
        <f t="shared" si="0"/>
        <v>8.6084695465542538E-3</v>
      </c>
      <c r="I16" s="2">
        <f>VLOOKUP(A:A,MASTER!A:E,5,0)</f>
        <v>917</v>
      </c>
      <c r="J16" s="2">
        <f>VLOOKUP(A:A,MASTER!A:J,10,0)</f>
        <v>1051</v>
      </c>
      <c r="K16" s="12">
        <f t="shared" si="1"/>
        <v>0.14612868047982541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4</v>
      </c>
      <c r="Q16" s="12">
        <f t="shared" si="3"/>
        <v>0</v>
      </c>
      <c r="R16" s="1">
        <f>VLOOKUP(A:A,MASTER!A:B,2,0)</f>
        <v>1026</v>
      </c>
      <c r="S16">
        <f>VLOOKUP(A:A,MASTER!A:G,7,0)</f>
        <v>1875</v>
      </c>
      <c r="T16" s="12">
        <f t="shared" si="4"/>
        <v>0.82748538011695905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29404864.563154258</v>
      </c>
      <c r="G17" s="1">
        <f>VLOOKUP(A:A,MASTER!A:K,11,0)</f>
        <v>26272421.334126413</v>
      </c>
      <c r="H17" s="12">
        <f t="shared" si="0"/>
        <v>-0.10652806178719665</v>
      </c>
      <c r="I17" s="2">
        <f>VLOOKUP(A:A,MASTER!A:E,5,0)</f>
        <v>660</v>
      </c>
      <c r="J17" s="2">
        <f>VLOOKUP(A:A,MASTER!A:J,10,0)</f>
        <v>705</v>
      </c>
      <c r="K17" s="12">
        <f t="shared" si="1"/>
        <v>6.8181818181818121E-2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961</v>
      </c>
      <c r="S17">
        <f>VLOOKUP(A:A,MASTER!A:G,7,0)</f>
        <v>1017</v>
      </c>
      <c r="T17" s="12">
        <f t="shared" si="4"/>
        <v>5.8272632674297498E-2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108653667.49750452</v>
      </c>
      <c r="G18" s="1">
        <f>VLOOKUP(A:A,MASTER!A:K,11,0)</f>
        <v>113917458.16505688</v>
      </c>
      <c r="H18" s="12">
        <f t="shared" si="0"/>
        <v>4.8445586686461928E-2</v>
      </c>
      <c r="I18" s="2">
        <f>VLOOKUP(A:A,MASTER!A:E,5,0)</f>
        <v>2175</v>
      </c>
      <c r="J18" s="2">
        <f>VLOOKUP(A:A,MASTER!A:J,10,0)</f>
        <v>2150</v>
      </c>
      <c r="K18" s="12">
        <f t="shared" si="1"/>
        <v>-1.1494252873563204E-2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743</v>
      </c>
      <c r="P18" s="1">
        <f>VLOOKUP(A:A,MASTER!A:H,8,0)</f>
        <v>185</v>
      </c>
      <c r="Q18" s="12">
        <f t="shared" si="3"/>
        <v>-0.75100942126514125</v>
      </c>
      <c r="R18" s="1">
        <f>VLOOKUP(A:A,MASTER!A:B,2,0)</f>
        <v>3175</v>
      </c>
      <c r="S18">
        <f>VLOOKUP(A:A,MASTER!A:G,7,0)</f>
        <v>3040</v>
      </c>
      <c r="T18" s="12">
        <f t="shared" si="4"/>
        <v>-4.2519685039370092E-2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57097590.610072285</v>
      </c>
      <c r="G19" s="1">
        <f>VLOOKUP(A:A,MASTER!A:K,11,0)</f>
        <v>40546267.953088224</v>
      </c>
      <c r="H19" s="12">
        <f t="shared" si="0"/>
        <v>-0.289877777330666</v>
      </c>
      <c r="I19" s="2">
        <f>VLOOKUP(A:A,MASTER!A:E,5,0)</f>
        <v>1152</v>
      </c>
      <c r="J19" s="2">
        <f>VLOOKUP(A:A,MASTER!A:J,10,0)</f>
        <v>1217</v>
      </c>
      <c r="K19" s="12">
        <f t="shared" si="1"/>
        <v>5.642361111111116E-2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2</v>
      </c>
      <c r="P19" s="1">
        <f>VLOOKUP(A:A,MASTER!A:H,8,0)</f>
        <v>7</v>
      </c>
      <c r="Q19" s="12">
        <f t="shared" si="3"/>
        <v>2.5</v>
      </c>
      <c r="R19" s="1">
        <f>VLOOKUP(A:A,MASTER!A:B,2,0)</f>
        <v>1430</v>
      </c>
      <c r="S19">
        <f>VLOOKUP(A:A,MASTER!A:G,7,0)</f>
        <v>1368</v>
      </c>
      <c r="T19" s="12">
        <f t="shared" si="4"/>
        <v>-4.3356643356643354E-2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115723171.23131691</v>
      </c>
      <c r="G20" s="1">
        <f>VLOOKUP(A:A,MASTER!A:K,11,0)</f>
        <v>116484716.88730329</v>
      </c>
      <c r="H20" s="12">
        <f t="shared" si="0"/>
        <v>6.5807534297874781E-3</v>
      </c>
      <c r="I20" s="2">
        <f>VLOOKUP(A:A,MASTER!A:E,5,0)</f>
        <v>2178</v>
      </c>
      <c r="J20" s="2">
        <f>VLOOKUP(A:A,MASTER!A:J,10,0)</f>
        <v>2070</v>
      </c>
      <c r="K20" s="12">
        <f t="shared" si="1"/>
        <v>-4.9586776859504078E-2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23</v>
      </c>
      <c r="P20" s="1">
        <f>VLOOKUP(A:A,MASTER!A:H,8,0)</f>
        <v>20</v>
      </c>
      <c r="Q20" s="12">
        <f t="shared" si="3"/>
        <v>-0.13043478260869568</v>
      </c>
      <c r="R20" s="1">
        <f>VLOOKUP(A:A,MASTER!A:B,2,0)</f>
        <v>2995</v>
      </c>
      <c r="S20">
        <f>VLOOKUP(A:A,MASTER!A:G,7,0)</f>
        <v>2861</v>
      </c>
      <c r="T20" s="12">
        <f t="shared" si="4"/>
        <v>-4.4741235392320555E-2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16434147.783009212</v>
      </c>
      <c r="G21" s="1">
        <f>VLOOKUP(A:A,MASTER!A:K,11,0)</f>
        <v>17459250.199339949</v>
      </c>
      <c r="H21" s="12">
        <f t="shared" si="0"/>
        <v>6.2376365958602298E-2</v>
      </c>
      <c r="I21" s="2">
        <f>VLOOKUP(A:A,MASTER!A:E,5,0)</f>
        <v>861</v>
      </c>
      <c r="J21" s="2">
        <f>VLOOKUP(A:A,MASTER!A:J,10,0)</f>
        <v>510</v>
      </c>
      <c r="K21" s="12">
        <f t="shared" si="1"/>
        <v>-0.40766550522648082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543</v>
      </c>
      <c r="S21">
        <f>VLOOKUP(A:A,MASTER!A:G,7,0)</f>
        <v>602</v>
      </c>
      <c r="T21" s="12">
        <f t="shared" si="4"/>
        <v>0.10865561694290982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46537343.870023116</v>
      </c>
      <c r="G22" s="1">
        <f>VLOOKUP(A:A,MASTER!A:K,11,0)</f>
        <v>48801246.873364367</v>
      </c>
      <c r="H22" s="12">
        <f t="shared" si="0"/>
        <v>4.8647017966135797E-2</v>
      </c>
      <c r="I22" s="2">
        <f>VLOOKUP(A:A,MASTER!A:E,5,0)</f>
        <v>1314</v>
      </c>
      <c r="J22" s="2">
        <f>VLOOKUP(A:A,MASTER!A:J,10,0)</f>
        <v>1463</v>
      </c>
      <c r="K22" s="12">
        <f t="shared" si="1"/>
        <v>0.11339421613394207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23</v>
      </c>
      <c r="P22" s="1">
        <f>VLOOKUP(A:A,MASTER!A:H,8,0)</f>
        <v>19</v>
      </c>
      <c r="Q22" s="12">
        <f t="shared" si="3"/>
        <v>-0.17391304347826086</v>
      </c>
      <c r="R22" s="1">
        <f>VLOOKUP(A:A,MASTER!A:B,2,0)</f>
        <v>1747</v>
      </c>
      <c r="S22">
        <f>VLOOKUP(A:A,MASTER!A:G,7,0)</f>
        <v>2388</v>
      </c>
      <c r="T22" s="12">
        <f t="shared" si="4"/>
        <v>0.36691471093302797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20425496.680764668</v>
      </c>
      <c r="G23" s="1">
        <f>VLOOKUP(A:A,MASTER!A:K,11,0)</f>
        <v>20761438.367598273</v>
      </c>
      <c r="H23" s="12">
        <f t="shared" si="0"/>
        <v>1.6447173456005659E-2</v>
      </c>
      <c r="I23" s="2">
        <f>VLOOKUP(A:A,MASTER!A:E,5,0)</f>
        <v>731</v>
      </c>
      <c r="J23" s="2">
        <f>VLOOKUP(A:A,MASTER!A:J,10,0)</f>
        <v>807</v>
      </c>
      <c r="K23" s="12">
        <f t="shared" si="1"/>
        <v>0.10396716826265395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13</v>
      </c>
      <c r="P23" s="1">
        <f>VLOOKUP(A:A,MASTER!A:H,8,0)</f>
        <v>13</v>
      </c>
      <c r="Q23" s="12">
        <f t="shared" si="3"/>
        <v>0</v>
      </c>
      <c r="R23" s="1">
        <f>VLOOKUP(A:A,MASTER!A:B,2,0)</f>
        <v>874</v>
      </c>
      <c r="S23">
        <f>VLOOKUP(A:A,MASTER!A:G,7,0)</f>
        <v>984</v>
      </c>
      <c r="T23" s="12">
        <f t="shared" si="4"/>
        <v>0.12585812356979398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23128928.876835328</v>
      </c>
      <c r="G24" s="1">
        <f>VLOOKUP(A:A,MASTER!A:K,11,0)</f>
        <v>24410936.995064031</v>
      </c>
      <c r="H24" s="12">
        <f t="shared" si="0"/>
        <v>5.5428771693474044E-2</v>
      </c>
      <c r="I24" s="2">
        <f>VLOOKUP(A:A,MASTER!A:E,5,0)</f>
        <v>731</v>
      </c>
      <c r="J24" s="2">
        <f>VLOOKUP(A:A,MASTER!A:J,10,0)</f>
        <v>704</v>
      </c>
      <c r="K24" s="12">
        <f t="shared" si="1"/>
        <v>-3.6935704514363898E-2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6</v>
      </c>
      <c r="P24" s="1">
        <f>VLOOKUP(A:A,MASTER!A:H,8,0)</f>
        <v>5</v>
      </c>
      <c r="Q24" s="12">
        <f t="shared" si="3"/>
        <v>-0.16666666666666663</v>
      </c>
      <c r="R24" s="1">
        <f>VLOOKUP(A:A,MASTER!A:B,2,0)</f>
        <v>889</v>
      </c>
      <c r="S24">
        <f>VLOOKUP(A:A,MASTER!A:G,7,0)</f>
        <v>927</v>
      </c>
      <c r="T24" s="12">
        <f t="shared" si="4"/>
        <v>4.2744656917885315E-2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6905189.1558202393</v>
      </c>
      <c r="G25" s="1">
        <f>VLOOKUP(A:A,MASTER!A:K,11,0)</f>
        <v>5996071.6071087979</v>
      </c>
      <c r="H25" s="12">
        <f t="shared" si="0"/>
        <v>-0.13165715351116269</v>
      </c>
      <c r="I25" s="2">
        <f>VLOOKUP(A:A,MASTER!A:E,5,0)</f>
        <v>190</v>
      </c>
      <c r="J25" s="2">
        <f>VLOOKUP(A:A,MASTER!A:J,10,0)</f>
        <v>193</v>
      </c>
      <c r="K25" s="12">
        <f t="shared" si="1"/>
        <v>1.5789473684210575E-2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238</v>
      </c>
      <c r="S25">
        <f>VLOOKUP(A:A,MASTER!A:G,7,0)</f>
        <v>233</v>
      </c>
      <c r="T25" s="12">
        <f t="shared" si="4"/>
        <v>-2.1008403361344574E-2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49729362.07224419</v>
      </c>
      <c r="G26" s="1">
        <f>VLOOKUP(A:A,MASTER!A:K,11,0)</f>
        <v>46569723.164564334</v>
      </c>
      <c r="H26" s="12">
        <f t="shared" si="0"/>
        <v>-6.3536686899174355E-2</v>
      </c>
      <c r="I26" s="2">
        <f>VLOOKUP(A:A,MASTER!A:E,5,0)</f>
        <v>1357</v>
      </c>
      <c r="J26" s="2">
        <f>VLOOKUP(A:A,MASTER!A:J,10,0)</f>
        <v>1426</v>
      </c>
      <c r="K26" s="12">
        <f t="shared" si="1"/>
        <v>5.0847457627118731E-2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13</v>
      </c>
      <c r="Q26" s="12">
        <f t="shared" si="3"/>
        <v>0.85714285714285721</v>
      </c>
      <c r="R26" s="1">
        <f>VLOOKUP(A:A,MASTER!A:B,2,0)</f>
        <v>1651</v>
      </c>
      <c r="S26">
        <f>VLOOKUP(A:A,MASTER!A:G,7,0)</f>
        <v>2004</v>
      </c>
      <c r="T26" s="12">
        <f t="shared" si="4"/>
        <v>0.21380981223500917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35801593.90167363</v>
      </c>
      <c r="G27" s="1">
        <f>VLOOKUP(A:A,MASTER!A:K,11,0)</f>
        <v>39618291.126881577</v>
      </c>
      <c r="H27" s="12">
        <f t="shared" si="0"/>
        <v>0.106606907940753</v>
      </c>
      <c r="I27" s="2">
        <f>VLOOKUP(A:A,MASTER!A:E,5,0)</f>
        <v>607</v>
      </c>
      <c r="J27" s="2">
        <f>VLOOKUP(A:A,MASTER!A:J,10,0)</f>
        <v>667</v>
      </c>
      <c r="K27" s="12">
        <f t="shared" si="1"/>
        <v>9.8846787479407006E-2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7</v>
      </c>
      <c r="Q27" s="12">
        <f t="shared" si="3"/>
        <v>0.16666666666666674</v>
      </c>
      <c r="R27" s="1">
        <f>VLOOKUP(A:A,MASTER!A:B,2,0)</f>
        <v>862</v>
      </c>
      <c r="S27">
        <f>VLOOKUP(A:A,MASTER!A:G,7,0)</f>
        <v>1079</v>
      </c>
      <c r="T27" s="12">
        <f t="shared" si="4"/>
        <v>0.25174013921113692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38995339.025270782</v>
      </c>
      <c r="G28" s="1">
        <f>VLOOKUP(A:A,MASTER!A:K,11,0)</f>
        <v>36985664.564649515</v>
      </c>
      <c r="H28" s="12">
        <f t="shared" si="0"/>
        <v>-5.1536273586925474E-2</v>
      </c>
      <c r="I28" s="2">
        <f>VLOOKUP(A:A,MASTER!A:E,5,0)</f>
        <v>742</v>
      </c>
      <c r="J28" s="2">
        <f>VLOOKUP(A:A,MASTER!A:J,10,0)</f>
        <v>777</v>
      </c>
      <c r="K28" s="12">
        <f t="shared" si="1"/>
        <v>4.7169811320754818E-2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8</v>
      </c>
      <c r="P28" s="1">
        <f>VLOOKUP(A:A,MASTER!A:H,8,0)</f>
        <v>3</v>
      </c>
      <c r="Q28" s="12">
        <f t="shared" si="3"/>
        <v>-0.625</v>
      </c>
      <c r="R28" s="1">
        <f>VLOOKUP(A:A,MASTER!A:B,2,0)</f>
        <v>1120</v>
      </c>
      <c r="S28">
        <f>VLOOKUP(A:A,MASTER!A:G,7,0)</f>
        <v>1098</v>
      </c>
      <c r="T28" s="12">
        <f t="shared" si="4"/>
        <v>-1.9642857142857184E-2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50045951.81350179</v>
      </c>
      <c r="G29" s="1">
        <f>VLOOKUP(A:A,MASTER!A:K,11,0)</f>
        <v>51976622.113113418</v>
      </c>
      <c r="H29" s="12">
        <f t="shared" si="0"/>
        <v>3.8577951455621262E-2</v>
      </c>
      <c r="I29" s="2">
        <f>VLOOKUP(A:A,MASTER!A:E,5,0)</f>
        <v>909</v>
      </c>
      <c r="J29" s="2">
        <f>VLOOKUP(A:A,MASTER!A:J,10,0)</f>
        <v>1027</v>
      </c>
      <c r="K29" s="12">
        <f t="shared" si="1"/>
        <v>0.1298129812981299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1140</v>
      </c>
      <c r="S29">
        <f>VLOOKUP(A:A,MASTER!A:G,7,0)</f>
        <v>1636</v>
      </c>
      <c r="T29" s="12">
        <f t="shared" si="4"/>
        <v>0.43508771929824563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72870688.049874306</v>
      </c>
      <c r="G30" s="1">
        <f>VLOOKUP(A:A,MASTER!A:K,11,0)</f>
        <v>68264550.785701677</v>
      </c>
      <c r="H30" s="12">
        <f t="shared" si="0"/>
        <v>-6.3209740259623781E-2</v>
      </c>
      <c r="I30" s="2">
        <f>VLOOKUP(A:A,MASTER!A:E,5,0)</f>
        <v>1236</v>
      </c>
      <c r="J30" s="2">
        <f>VLOOKUP(A:A,MASTER!A:J,10,0)</f>
        <v>1167</v>
      </c>
      <c r="K30" s="12">
        <f t="shared" si="1"/>
        <v>-5.5825242718446577E-2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4</v>
      </c>
      <c r="P30" s="1">
        <f>VLOOKUP(A:A,MASTER!A:H,8,0)</f>
        <v>6</v>
      </c>
      <c r="Q30" s="12">
        <f t="shared" si="3"/>
        <v>0.5</v>
      </c>
      <c r="R30" s="1">
        <f>VLOOKUP(A:A,MASTER!A:B,2,0)</f>
        <v>1516</v>
      </c>
      <c r="S30">
        <f>VLOOKUP(A:A,MASTER!A:G,7,0)</f>
        <v>1556</v>
      </c>
      <c r="T30" s="12">
        <f t="shared" si="4"/>
        <v>2.638522427440626E-2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28266085.079626825</v>
      </c>
      <c r="G31" s="1">
        <f>VLOOKUP(A:A,MASTER!A:K,11,0)</f>
        <v>30277654.5951063</v>
      </c>
      <c r="H31" s="12">
        <f t="shared" si="0"/>
        <v>7.1165480108504431E-2</v>
      </c>
      <c r="I31" s="2">
        <f>VLOOKUP(A:A,MASTER!A:E,5,0)</f>
        <v>595</v>
      </c>
      <c r="J31" s="2">
        <f>VLOOKUP(A:A,MASTER!A:J,10,0)</f>
        <v>606</v>
      </c>
      <c r="K31" s="12">
        <f t="shared" si="1"/>
        <v>1.8487394957983128E-2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2</v>
      </c>
      <c r="Q31" s="12">
        <f t="shared" si="3"/>
        <v>-0.33333333333333337</v>
      </c>
      <c r="R31" s="1">
        <f>VLOOKUP(A:A,MASTER!A:B,2,0)</f>
        <v>703</v>
      </c>
      <c r="S31">
        <f>VLOOKUP(A:A,MASTER!A:G,7,0)</f>
        <v>960</v>
      </c>
      <c r="T31" s="12">
        <f t="shared" si="4"/>
        <v>0.36557610241820759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86154990.078881606</v>
      </c>
      <c r="G32" s="1">
        <f>VLOOKUP(A:A,MASTER!A:K,11,0)</f>
        <v>77022100.49205032</v>
      </c>
      <c r="H32" s="12">
        <f t="shared" si="0"/>
        <v>-0.10600534662553396</v>
      </c>
      <c r="I32" s="2">
        <f>VLOOKUP(A:A,MASTER!A:E,5,0)</f>
        <v>1649</v>
      </c>
      <c r="J32" s="2">
        <f>VLOOKUP(A:A,MASTER!A:J,10,0)</f>
        <v>1618</v>
      </c>
      <c r="K32" s="12">
        <f t="shared" si="1"/>
        <v>-1.8799272286234125E-2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13</v>
      </c>
      <c r="Q32" s="12">
        <f t="shared" si="3"/>
        <v>-0.23529411764705888</v>
      </c>
      <c r="R32" s="1">
        <f>VLOOKUP(A:A,MASTER!A:B,2,0)</f>
        <v>1963</v>
      </c>
      <c r="S32">
        <f>VLOOKUP(A:A,MASTER!A:G,7,0)</f>
        <v>1996</v>
      </c>
      <c r="T32" s="12">
        <f t="shared" si="4"/>
        <v>1.6811003565970539E-2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29071902.492817611</v>
      </c>
      <c r="G33" s="1">
        <f>VLOOKUP(A:A,MASTER!A:K,11,0)</f>
        <v>29917223.364180356</v>
      </c>
      <c r="H33" s="12">
        <f t="shared" si="0"/>
        <v>2.9076902399888915E-2</v>
      </c>
      <c r="I33" s="2">
        <f>VLOOKUP(A:A,MASTER!A:E,5,0)</f>
        <v>768</v>
      </c>
      <c r="J33" s="2">
        <f>VLOOKUP(A:A,MASTER!A:J,10,0)</f>
        <v>792</v>
      </c>
      <c r="K33" s="12">
        <f t="shared" si="1"/>
        <v>3.125E-2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840</v>
      </c>
      <c r="S33">
        <f>VLOOKUP(A:A,MASTER!A:G,7,0)</f>
        <v>1190</v>
      </c>
      <c r="T33" s="12">
        <f t="shared" si="4"/>
        <v>0.41666666666666674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25568497.635876447</v>
      </c>
      <c r="G34" s="1">
        <f>VLOOKUP(A:A,MASTER!A:K,11,0)</f>
        <v>27925758.75010572</v>
      </c>
      <c r="H34" s="12">
        <f t="shared" si="0"/>
        <v>9.2193962578453581E-2</v>
      </c>
      <c r="I34" s="2">
        <f>VLOOKUP(A:A,MASTER!A:E,5,0)</f>
        <v>575</v>
      </c>
      <c r="J34" s="2">
        <f>VLOOKUP(A:A,MASTER!A:J,10,0)</f>
        <v>746</v>
      </c>
      <c r="K34" s="12">
        <f t="shared" si="1"/>
        <v>0.29739130434782601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711</v>
      </c>
      <c r="S34">
        <f>VLOOKUP(A:A,MASTER!A:G,7,0)</f>
        <v>1473</v>
      </c>
      <c r="T34" s="12">
        <f t="shared" si="4"/>
        <v>1.071729957805907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43512165.739233248</v>
      </c>
      <c r="G35" s="1">
        <f>VLOOKUP(A:A,MASTER!A:K,11,0)</f>
        <v>43556903.926125184</v>
      </c>
      <c r="H35" s="12">
        <f t="shared" si="0"/>
        <v>1.0281765141282317E-3</v>
      </c>
      <c r="I35" s="2">
        <f>VLOOKUP(A:A,MASTER!A:E,5,0)</f>
        <v>865</v>
      </c>
      <c r="J35" s="2">
        <f>VLOOKUP(A:A,MASTER!A:J,10,0)</f>
        <v>1160</v>
      </c>
      <c r="K35" s="12">
        <f t="shared" si="1"/>
        <v>0.34104046242774566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23</v>
      </c>
      <c r="P35" s="1">
        <f>VLOOKUP(A:A,MASTER!A:H,8,0)</f>
        <v>21</v>
      </c>
      <c r="Q35" s="12">
        <f t="shared" si="3"/>
        <v>-8.6956521739130488E-2</v>
      </c>
      <c r="R35" s="1">
        <f>VLOOKUP(A:A,MASTER!A:B,2,0)</f>
        <v>1134</v>
      </c>
      <c r="S35">
        <f>VLOOKUP(A:A,MASTER!A:G,7,0)</f>
        <v>2161</v>
      </c>
      <c r="T35" s="12">
        <f t="shared" si="4"/>
        <v>0.9056437389770724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41812488.579243429</v>
      </c>
      <c r="G36" s="1">
        <f>VLOOKUP(A:A,MASTER!A:K,11,0)</f>
        <v>41141375.556307934</v>
      </c>
      <c r="H36" s="12">
        <f t="shared" si="0"/>
        <v>-1.6050540059666552E-2</v>
      </c>
      <c r="I36" s="2">
        <f>VLOOKUP(A:A,MASTER!A:E,5,0)</f>
        <v>934</v>
      </c>
      <c r="J36" s="2">
        <f>VLOOKUP(A:A,MASTER!A:J,10,0)</f>
        <v>993</v>
      </c>
      <c r="K36" s="12">
        <f t="shared" si="1"/>
        <v>6.3169164882227014E-2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178</v>
      </c>
      <c r="P36" s="1">
        <f>VLOOKUP(A:A,MASTER!A:H,8,0)</f>
        <v>207</v>
      </c>
      <c r="Q36" s="12">
        <f t="shared" si="3"/>
        <v>0.16292134831460681</v>
      </c>
      <c r="R36" s="1">
        <f>VLOOKUP(A:A,MASTER!A:B,2,0)</f>
        <v>1207</v>
      </c>
      <c r="S36">
        <f>VLOOKUP(A:A,MASTER!A:G,7,0)</f>
        <v>1941</v>
      </c>
      <c r="T36" s="12">
        <f t="shared" si="4"/>
        <v>0.60811930405965198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66020248.355632178</v>
      </c>
      <c r="G37" s="1">
        <f>VLOOKUP(A:A,MASTER!A:K,11,0)</f>
        <v>72813183.646974325</v>
      </c>
      <c r="H37" s="12">
        <f t="shared" si="0"/>
        <v>0.10289169551060384</v>
      </c>
      <c r="I37" s="2">
        <f>VLOOKUP(A:A,MASTER!A:E,5,0)</f>
        <v>1533</v>
      </c>
      <c r="J37" s="2">
        <f>VLOOKUP(A:A,MASTER!A:J,10,0)</f>
        <v>1688</v>
      </c>
      <c r="K37" s="12">
        <f t="shared" si="1"/>
        <v>0.10110893672537502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319</v>
      </c>
      <c r="P37" s="1">
        <f>VLOOKUP(A:A,MASTER!A:H,8,0)</f>
        <v>81</v>
      </c>
      <c r="Q37" s="12">
        <f t="shared" si="3"/>
        <v>-0.74608150470219436</v>
      </c>
      <c r="R37" s="1">
        <f>VLOOKUP(A:A,MASTER!A:B,2,0)</f>
        <v>2062</v>
      </c>
      <c r="S37">
        <f>VLOOKUP(A:A,MASTER!A:G,7,0)</f>
        <v>3762</v>
      </c>
      <c r="T37" s="12">
        <f t="shared" si="4"/>
        <v>0.82444228903976713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20964322.260357294</v>
      </c>
      <c r="G38" s="1">
        <f>VLOOKUP(A:A,MASTER!A:K,11,0)</f>
        <v>26235857.085454296</v>
      </c>
      <c r="H38" s="12">
        <f t="shared" si="0"/>
        <v>0.25145267085811152</v>
      </c>
      <c r="I38" s="2">
        <f>VLOOKUP(A:A,MASTER!A:E,5,0)</f>
        <v>420</v>
      </c>
      <c r="J38" s="2">
        <f>VLOOKUP(A:A,MASTER!A:J,10,0)</f>
        <v>488</v>
      </c>
      <c r="K38" s="12">
        <f t="shared" si="1"/>
        <v>0.161904761904762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601</v>
      </c>
      <c r="S38">
        <f>VLOOKUP(A:A,MASTER!A:G,7,0)</f>
        <v>655</v>
      </c>
      <c r="T38" s="12">
        <f t="shared" si="4"/>
        <v>8.9850249584026542E-2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77995475.854446486</v>
      </c>
      <c r="G39" s="1">
        <f>VLOOKUP(A:A,MASTER!A:K,11,0)</f>
        <v>84982068.581714973</v>
      </c>
      <c r="H39" s="12">
        <f t="shared" si="0"/>
        <v>8.9576897258845101E-2</v>
      </c>
      <c r="I39" s="2">
        <f>VLOOKUP(A:A,MASTER!A:E,5,0)</f>
        <v>1940</v>
      </c>
      <c r="J39" s="2">
        <f>VLOOKUP(A:A,MASTER!A:J,10,0)</f>
        <v>2054</v>
      </c>
      <c r="K39" s="12">
        <f t="shared" si="1"/>
        <v>5.8762886597938158E-2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8</v>
      </c>
      <c r="Q39" s="12">
        <f t="shared" si="3"/>
        <v>-0.4285714285714286</v>
      </c>
      <c r="R39" s="1">
        <f>VLOOKUP(A:A,MASTER!A:B,2,0)</f>
        <v>2055</v>
      </c>
      <c r="S39">
        <f>VLOOKUP(A:A,MASTER!A:G,7,0)</f>
        <v>2746</v>
      </c>
      <c r="T39" s="12">
        <f t="shared" si="4"/>
        <v>0.33625304136253042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54436806.236391269</v>
      </c>
      <c r="G40" s="1">
        <f>VLOOKUP(A:A,MASTER!A:K,11,0)</f>
        <v>58701800.197885163</v>
      </c>
      <c r="H40" s="12">
        <f t="shared" si="0"/>
        <v>7.8347615452919905E-2</v>
      </c>
      <c r="I40" s="2">
        <f>VLOOKUP(A:A,MASTER!A:E,5,0)</f>
        <v>812</v>
      </c>
      <c r="J40" s="2">
        <f>VLOOKUP(A:A,MASTER!A:J,10,0)</f>
        <v>870</v>
      </c>
      <c r="K40" s="12">
        <f t="shared" si="1"/>
        <v>7.1428571428571397E-2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8</v>
      </c>
      <c r="P40" s="1">
        <f>VLOOKUP(A:A,MASTER!A:H,8,0)</f>
        <v>11</v>
      </c>
      <c r="Q40" s="12">
        <f t="shared" si="3"/>
        <v>0.375</v>
      </c>
      <c r="R40" s="1">
        <f>VLOOKUP(A:A,MASTER!A:B,2,0)</f>
        <v>886</v>
      </c>
      <c r="S40">
        <f>VLOOKUP(A:A,MASTER!A:G,7,0)</f>
        <v>976</v>
      </c>
      <c r="T40" s="12">
        <f t="shared" si="4"/>
        <v>0.10158013544018063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44276973.98159267</v>
      </c>
      <c r="G41" s="1">
        <f>VLOOKUP(A:A,MASTER!A:K,11,0)</f>
        <v>35908787.661722973</v>
      </c>
      <c r="H41" s="12">
        <f t="shared" si="0"/>
        <v>-0.18899634657392383</v>
      </c>
      <c r="I41" s="2">
        <f>VLOOKUP(A:A,MASTER!A:E,5,0)</f>
        <v>948</v>
      </c>
      <c r="J41" s="2">
        <f>VLOOKUP(A:A,MASTER!A:J,10,0)</f>
        <v>1066</v>
      </c>
      <c r="K41" s="12">
        <f t="shared" si="1"/>
        <v>0.12447257383966237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1099</v>
      </c>
      <c r="S41">
        <f>VLOOKUP(A:A,MASTER!A:G,7,0)</f>
        <v>1441</v>
      </c>
      <c r="T41" s="12">
        <f t="shared" si="4"/>
        <v>0.31119199272065523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43215912.445398502</v>
      </c>
      <c r="G42" s="1">
        <f>VLOOKUP(A:A,MASTER!A:K,11,0)</f>
        <v>43959153.096197039</v>
      </c>
      <c r="H42" s="12">
        <f t="shared" si="0"/>
        <v>1.7198309806314649E-2</v>
      </c>
      <c r="I42" s="2">
        <f>VLOOKUP(A:A,MASTER!A:E,5,0)</f>
        <v>589</v>
      </c>
      <c r="J42" s="2">
        <f>VLOOKUP(A:A,MASTER!A:J,10,0)</f>
        <v>592</v>
      </c>
      <c r="K42" s="12">
        <f t="shared" si="1"/>
        <v>5.0933786078097842E-3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8</v>
      </c>
      <c r="Q42" s="12">
        <f t="shared" si="3"/>
        <v>0</v>
      </c>
      <c r="R42" s="1">
        <f>VLOOKUP(A:A,MASTER!A:B,2,0)</f>
        <v>867</v>
      </c>
      <c r="S42">
        <f>VLOOKUP(A:A,MASTER!A:G,7,0)</f>
        <v>840</v>
      </c>
      <c r="T42" s="12">
        <f t="shared" si="4"/>
        <v>-3.114186851211076E-2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26953771.96745009</v>
      </c>
      <c r="G43" s="1">
        <f>VLOOKUP(A:A,MASTER!A:K,11,0)</f>
        <v>27732975.027094074</v>
      </c>
      <c r="H43" s="12">
        <f t="shared" si="0"/>
        <v>2.8908868880576977E-2</v>
      </c>
      <c r="I43" s="2">
        <f>VLOOKUP(A:A,MASTER!A:E,5,0)</f>
        <v>562</v>
      </c>
      <c r="J43" s="2">
        <f>VLOOKUP(A:A,MASTER!A:J,10,0)</f>
        <v>685</v>
      </c>
      <c r="K43" s="12">
        <f t="shared" si="1"/>
        <v>0.21886120996441272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4</v>
      </c>
      <c r="P43" s="1">
        <f>VLOOKUP(A:A,MASTER!A:H,8,0)</f>
        <v>3</v>
      </c>
      <c r="Q43" s="12">
        <f t="shared" si="3"/>
        <v>-0.25</v>
      </c>
      <c r="R43" s="1">
        <f>VLOOKUP(A:A,MASTER!A:B,2,0)</f>
        <v>665</v>
      </c>
      <c r="S43">
        <f>VLOOKUP(A:A,MASTER!A:G,7,0)</f>
        <v>1224</v>
      </c>
      <c r="T43" s="12">
        <f t="shared" si="4"/>
        <v>0.84060150375939857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26439928.061423115</v>
      </c>
      <c r="G44" s="1">
        <f>VLOOKUP(A:A,MASTER!A:K,11,0)</f>
        <v>23919724.123661119</v>
      </c>
      <c r="H44" s="12">
        <f t="shared" si="0"/>
        <v>-9.5318108729617546E-2</v>
      </c>
      <c r="I44" s="2">
        <f>VLOOKUP(A:A,MASTER!A:E,5,0)</f>
        <v>687</v>
      </c>
      <c r="J44" s="2">
        <f>VLOOKUP(A:A,MASTER!A:J,10,0)</f>
        <v>758</v>
      </c>
      <c r="K44" s="12">
        <f t="shared" si="1"/>
        <v>0.10334788937409023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2</v>
      </c>
      <c r="Q44" s="12">
        <f t="shared" si="3"/>
        <v>0</v>
      </c>
      <c r="R44" s="1">
        <f>VLOOKUP(A:A,MASTER!A:B,2,0)</f>
        <v>707</v>
      </c>
      <c r="S44">
        <f>VLOOKUP(A:A,MASTER!A:G,7,0)</f>
        <v>772</v>
      </c>
      <c r="T44" s="12">
        <f t="shared" si="4"/>
        <v>9.1937765205091893E-2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81776514.348296747</v>
      </c>
      <c r="G45" s="1">
        <f>VLOOKUP(A:A,MASTER!A:K,11,0)</f>
        <v>79472292.516941741</v>
      </c>
      <c r="H45" s="12">
        <f t="shared" si="0"/>
        <v>-2.817706097793593E-2</v>
      </c>
      <c r="I45" s="2">
        <f>VLOOKUP(A:A,MASTER!A:E,5,0)</f>
        <v>1072</v>
      </c>
      <c r="J45" s="2">
        <f>VLOOKUP(A:A,MASTER!A:J,10,0)</f>
        <v>1105</v>
      </c>
      <c r="K45" s="12">
        <f t="shared" si="1"/>
        <v>3.0783582089552342E-2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12</v>
      </c>
      <c r="P45" s="1">
        <f>VLOOKUP(A:A,MASTER!A:H,8,0)</f>
        <v>9</v>
      </c>
      <c r="Q45" s="12">
        <f t="shared" si="3"/>
        <v>-0.25</v>
      </c>
      <c r="R45" s="1">
        <f>VLOOKUP(A:A,MASTER!A:B,2,0)</f>
        <v>1256</v>
      </c>
      <c r="S45">
        <f>VLOOKUP(A:A,MASTER!A:G,7,0)</f>
        <v>1384</v>
      </c>
      <c r="T45" s="12">
        <f t="shared" si="4"/>
        <v>0.10191082802547768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36770762.886997737</v>
      </c>
      <c r="G46" s="1">
        <f>VLOOKUP(A:A,MASTER!A:K,11,0)</f>
        <v>36441233.259287819</v>
      </c>
      <c r="H46" s="12">
        <f t="shared" si="0"/>
        <v>-8.9617294240702527E-3</v>
      </c>
      <c r="I46" s="2">
        <f>VLOOKUP(A:A,MASTER!A:E,5,0)</f>
        <v>794</v>
      </c>
      <c r="J46" s="2">
        <f>VLOOKUP(A:A,MASTER!A:J,10,0)</f>
        <v>965</v>
      </c>
      <c r="K46" s="12">
        <f t="shared" si="1"/>
        <v>0.2153652392947103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3</v>
      </c>
      <c r="P46" s="1">
        <f>VLOOKUP(A:A,MASTER!A:H,8,0)</f>
        <v>4</v>
      </c>
      <c r="Q46" s="12">
        <f t="shared" si="3"/>
        <v>0.33333333333333326</v>
      </c>
      <c r="R46" s="1">
        <f>VLOOKUP(A:A,MASTER!A:B,2,0)</f>
        <v>885</v>
      </c>
      <c r="S46">
        <f>VLOOKUP(A:A,MASTER!A:G,7,0)</f>
        <v>1043</v>
      </c>
      <c r="T46" s="12">
        <f t="shared" si="4"/>
        <v>0.17853107344632768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57110232.707274564</v>
      </c>
      <c r="G47" s="1">
        <f>VLOOKUP(A:A,MASTER!A:K,11,0)</f>
        <v>64532595.929417528</v>
      </c>
      <c r="H47" s="12">
        <f t="shared" si="0"/>
        <v>0.12996555731417159</v>
      </c>
      <c r="I47" s="2">
        <f>VLOOKUP(A:A,MASTER!A:E,5,0)</f>
        <v>1122</v>
      </c>
      <c r="J47" s="2">
        <f>VLOOKUP(A:A,MASTER!A:J,10,0)</f>
        <v>1144</v>
      </c>
      <c r="K47" s="12">
        <f t="shared" si="1"/>
        <v>1.9607843137254832E-2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20</v>
      </c>
      <c r="P47" s="1">
        <f>VLOOKUP(A:A,MASTER!A:H,8,0)</f>
        <v>6</v>
      </c>
      <c r="Q47" s="12">
        <f t="shared" si="3"/>
        <v>-0.7</v>
      </c>
      <c r="R47" s="1">
        <f>VLOOKUP(A:A,MASTER!A:B,2,0)</f>
        <v>1314</v>
      </c>
      <c r="S47">
        <f>VLOOKUP(A:A,MASTER!A:G,7,0)</f>
        <v>2233</v>
      </c>
      <c r="T47" s="12">
        <f t="shared" si="4"/>
        <v>0.69939117199391165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29551503.351499051</v>
      </c>
      <c r="G48" s="1">
        <f>VLOOKUP(A:A,MASTER!A:K,11,0)</f>
        <v>32828307.292042971</v>
      </c>
      <c r="H48" s="12">
        <f t="shared" si="0"/>
        <v>0.11088450904064406</v>
      </c>
      <c r="I48" s="2">
        <f>VLOOKUP(A:A,MASTER!A:E,5,0)</f>
        <v>398</v>
      </c>
      <c r="J48" s="2">
        <f>VLOOKUP(A:A,MASTER!A:J,10,0)</f>
        <v>397</v>
      </c>
      <c r="K48" s="12">
        <f t="shared" si="1"/>
        <v>-2.5125628140703071E-3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480</v>
      </c>
      <c r="S48">
        <f>VLOOKUP(A:A,MASTER!A:G,7,0)</f>
        <v>530</v>
      </c>
      <c r="T48" s="12">
        <f t="shared" si="4"/>
        <v>0.10416666666666674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27807108.554129984</v>
      </c>
      <c r="G49" s="1">
        <f>VLOOKUP(A:A,MASTER!A:K,11,0)</f>
        <v>24535467.674710847</v>
      </c>
      <c r="H49" s="12">
        <f t="shared" si="0"/>
        <v>-0.11765483897940998</v>
      </c>
      <c r="I49" s="2">
        <f>VLOOKUP(A:A,MASTER!A:E,5,0)</f>
        <v>337</v>
      </c>
      <c r="J49" s="2">
        <f>VLOOKUP(A:A,MASTER!A:J,10,0)</f>
        <v>390</v>
      </c>
      <c r="K49" s="12">
        <f t="shared" si="1"/>
        <v>0.15727002967359049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447</v>
      </c>
      <c r="S49">
        <f>VLOOKUP(A:A,MASTER!A:G,7,0)</f>
        <v>532</v>
      </c>
      <c r="T49" s="12">
        <f t="shared" si="4"/>
        <v>0.19015659955257269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23058755.16149392</v>
      </c>
      <c r="G50" s="1">
        <f>VLOOKUP(A:A,MASTER!A:K,11,0)</f>
        <v>21448700.207528297</v>
      </c>
      <c r="H50" s="12">
        <f t="shared" si="0"/>
        <v>-6.9824018802813415E-2</v>
      </c>
      <c r="I50" s="2">
        <f>VLOOKUP(A:A,MASTER!A:E,5,0)</f>
        <v>384</v>
      </c>
      <c r="J50" s="2">
        <f>VLOOKUP(A:A,MASTER!A:J,10,0)</f>
        <v>408</v>
      </c>
      <c r="K50" s="12">
        <f t="shared" si="1"/>
        <v>6.25E-2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12</v>
      </c>
      <c r="P50" s="1">
        <f>VLOOKUP(A:A,MASTER!A:H,8,0)</f>
        <v>1</v>
      </c>
      <c r="Q50" s="12">
        <f t="shared" si="3"/>
        <v>-0.91666666666666663</v>
      </c>
      <c r="R50" s="1">
        <f>VLOOKUP(A:A,MASTER!A:B,2,0)</f>
        <v>425</v>
      </c>
      <c r="S50">
        <f>VLOOKUP(A:A,MASTER!A:G,7,0)</f>
        <v>703</v>
      </c>
      <c r="T50" s="12">
        <f t="shared" si="4"/>
        <v>0.65411764705882347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50761603.514413498</v>
      </c>
      <c r="G51" s="1">
        <f>VLOOKUP(A:A,MASTER!A:K,11,0)</f>
        <v>49678993.679851547</v>
      </c>
      <c r="H51" s="12">
        <f t="shared" si="0"/>
        <v>-2.1327337192067808E-2</v>
      </c>
      <c r="I51" s="2">
        <f>VLOOKUP(A:A,MASTER!A:E,5,0)</f>
        <v>967</v>
      </c>
      <c r="J51" s="2">
        <f>VLOOKUP(A:A,MASTER!A:J,10,0)</f>
        <v>877</v>
      </c>
      <c r="K51" s="12">
        <f t="shared" si="1"/>
        <v>-9.3071354705274056E-2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6</v>
      </c>
      <c r="Q51" s="12">
        <f t="shared" si="3"/>
        <v>-0.1428571428571429</v>
      </c>
      <c r="R51" s="1">
        <f>VLOOKUP(A:A,MASTER!A:B,2,0)</f>
        <v>1129</v>
      </c>
      <c r="S51">
        <f>VLOOKUP(A:A,MASTER!A:G,7,0)</f>
        <v>1111</v>
      </c>
      <c r="T51" s="12">
        <f t="shared" si="4"/>
        <v>-1.5943312666076181E-2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53221947.367332153</v>
      </c>
      <c r="G52" s="1">
        <f>VLOOKUP(A:A,MASTER!A:K,11,0)</f>
        <v>47476721.353403822</v>
      </c>
      <c r="H52" s="12">
        <f t="shared" si="0"/>
        <v>-0.10794843665293563</v>
      </c>
      <c r="I52" s="2">
        <f>VLOOKUP(A:A,MASTER!A:E,5,0)</f>
        <v>752</v>
      </c>
      <c r="J52" s="2">
        <f>VLOOKUP(A:A,MASTER!A:J,10,0)</f>
        <v>30</v>
      </c>
      <c r="K52" s="12">
        <f t="shared" si="1"/>
        <v>-0.96010638297872342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14</v>
      </c>
      <c r="P52" s="1">
        <f>VLOOKUP(A:A,MASTER!A:H,8,0)</f>
        <v>7</v>
      </c>
      <c r="Q52" s="12">
        <f t="shared" si="3"/>
        <v>-0.5</v>
      </c>
      <c r="R52" s="1">
        <f>VLOOKUP(A:A,MASTER!A:B,2,0)</f>
        <v>972</v>
      </c>
      <c r="S52">
        <f>VLOOKUP(A:A,MASTER!A:G,7,0)</f>
        <v>1625</v>
      </c>
      <c r="T52" s="12">
        <f t="shared" si="4"/>
        <v>0.67181069958847739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78159523.72072418</v>
      </c>
      <c r="G53" s="1">
        <f>VLOOKUP(A:A,MASTER!A:K,11,0)</f>
        <v>96612128.959148705</v>
      </c>
      <c r="H53" s="12">
        <f t="shared" si="0"/>
        <v>0.23608901845869079</v>
      </c>
      <c r="I53" s="2">
        <f>VLOOKUP(A:A,MASTER!A:E,5,0)</f>
        <v>1797</v>
      </c>
      <c r="J53" s="2">
        <f>VLOOKUP(A:A,MASTER!A:J,10,0)</f>
        <v>2571</v>
      </c>
      <c r="K53" s="12">
        <f t="shared" si="1"/>
        <v>0.43071786310517535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40</v>
      </c>
      <c r="P53" s="1">
        <f>VLOOKUP(A:A,MASTER!A:H,8,0)</f>
        <v>14</v>
      </c>
      <c r="Q53" s="12">
        <f t="shared" si="3"/>
        <v>-0.65</v>
      </c>
      <c r="R53" s="1">
        <f>VLOOKUP(A:A,MASTER!A:B,2,0)</f>
        <v>2065</v>
      </c>
      <c r="S53">
        <f>VLOOKUP(A:A,MASTER!A:G,7,0)</f>
        <v>2740</v>
      </c>
      <c r="T53" s="12">
        <f t="shared" si="4"/>
        <v>0.32687651331719136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24251953.169244882</v>
      </c>
      <c r="G54" s="1">
        <f>VLOOKUP(A:A,MASTER!A:K,11,0)</f>
        <v>23619215.264623117</v>
      </c>
      <c r="H54" s="12">
        <f t="shared" si="0"/>
        <v>-2.6090183343425388E-2</v>
      </c>
      <c r="I54" s="2">
        <f>VLOOKUP(A:A,MASTER!A:E,5,0)</f>
        <v>474</v>
      </c>
      <c r="J54" s="2">
        <f>VLOOKUP(A:A,MASTER!A:J,10,0)</f>
        <v>411</v>
      </c>
      <c r="K54" s="12">
        <f t="shared" si="1"/>
        <v>-0.13291139240506333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688</v>
      </c>
      <c r="S54">
        <f>VLOOKUP(A:A,MASTER!A:G,7,0)</f>
        <v>669</v>
      </c>
      <c r="T54" s="12">
        <f t="shared" si="4"/>
        <v>-2.7616279069767491E-2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38806451.604102969</v>
      </c>
      <c r="G55" s="1">
        <f>VLOOKUP(A:A,MASTER!A:K,11,0)</f>
        <v>41226556.428805619</v>
      </c>
      <c r="H55" s="12">
        <f t="shared" si="0"/>
        <v>6.2363465987361089E-2</v>
      </c>
      <c r="I55" s="2">
        <f>VLOOKUP(A:A,MASTER!A:E,5,0)</f>
        <v>873</v>
      </c>
      <c r="J55" s="2">
        <f>VLOOKUP(A:A,MASTER!A:J,10,0)</f>
        <v>987</v>
      </c>
      <c r="K55" s="12">
        <f t="shared" si="1"/>
        <v>0.13058419243986252</v>
      </c>
      <c r="L55" s="2">
        <f>VLOOKUP(A:A,MASTER!A:D,4,0)</f>
        <v>6</v>
      </c>
      <c r="M55" s="2">
        <f>VLOOKUP(A:A,MASTER!A:I,9,0)</f>
        <v>5</v>
      </c>
      <c r="N55" s="12">
        <f t="shared" si="2"/>
        <v>-0.16666666666666663</v>
      </c>
      <c r="O55" s="1">
        <f>VLOOKUP(A:A,MASTER!A:C,3,0)</f>
        <v>10</v>
      </c>
      <c r="P55" s="1">
        <f>VLOOKUP(A:A,MASTER!A:H,8,0)</f>
        <v>9</v>
      </c>
      <c r="Q55" s="12">
        <f t="shared" si="3"/>
        <v>-9.9999999999999978E-2</v>
      </c>
      <c r="R55" s="1">
        <f>VLOOKUP(A:A,MASTER!A:B,2,0)</f>
        <v>899</v>
      </c>
      <c r="S55">
        <f>VLOOKUP(A:A,MASTER!A:G,7,0)</f>
        <v>965</v>
      </c>
      <c r="T55" s="12">
        <f t="shared" si="4"/>
        <v>7.3414905450500667E-2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29132791.99260902</v>
      </c>
      <c r="G56" s="1">
        <f>VLOOKUP(A:A,MASTER!A:K,11,0)</f>
        <v>25601111.980963081</v>
      </c>
      <c r="H56" s="12">
        <f t="shared" si="0"/>
        <v>-0.12122696693615653</v>
      </c>
      <c r="I56" s="2">
        <f>VLOOKUP(A:A,MASTER!A:E,5,0)</f>
        <v>591</v>
      </c>
      <c r="J56" s="2">
        <f>VLOOKUP(A:A,MASTER!A:J,10,0)</f>
        <v>969</v>
      </c>
      <c r="K56" s="12">
        <f t="shared" si="1"/>
        <v>0.63959390862944154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779</v>
      </c>
      <c r="S56">
        <f>VLOOKUP(A:A,MASTER!A:G,7,0)</f>
        <v>744</v>
      </c>
      <c r="T56" s="12">
        <f t="shared" si="4"/>
        <v>-4.4929396662387711E-2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50644444.270040818</v>
      </c>
      <c r="G57" s="1">
        <f>VLOOKUP(A:A,MASTER!A:K,11,0)</f>
        <v>52427779.178098351</v>
      </c>
      <c r="H57" s="12">
        <f t="shared" si="0"/>
        <v>3.5212843852103992E-2</v>
      </c>
      <c r="I57" s="2">
        <f>VLOOKUP(A:A,MASTER!A:E,5,0)</f>
        <v>1139</v>
      </c>
      <c r="J57" s="2">
        <f>VLOOKUP(A:A,MASTER!A:J,10,0)</f>
        <v>1034</v>
      </c>
      <c r="K57" s="12">
        <f t="shared" si="1"/>
        <v>-9.2186128182616289E-2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10</v>
      </c>
      <c r="P57" s="1">
        <f>VLOOKUP(A:A,MASTER!A:H,8,0)</f>
        <v>6</v>
      </c>
      <c r="Q57" s="12">
        <f t="shared" si="3"/>
        <v>-0.4</v>
      </c>
      <c r="R57" s="1">
        <f>VLOOKUP(A:A,MASTER!A:B,2,0)</f>
        <v>1089</v>
      </c>
      <c r="S57">
        <f>VLOOKUP(A:A,MASTER!A:G,7,0)</f>
        <v>1135</v>
      </c>
      <c r="T57" s="12">
        <f t="shared" si="4"/>
        <v>4.2240587695133058E-2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65409793.251872301</v>
      </c>
      <c r="G58" s="1">
        <f>VLOOKUP(A:A,MASTER!A:K,11,0)</f>
        <v>66512279.026387118</v>
      </c>
      <c r="H58" s="12">
        <f t="shared" si="0"/>
        <v>1.6855056707938187E-2</v>
      </c>
      <c r="I58" s="2">
        <f>VLOOKUP(A:A,MASTER!A:E,5,0)</f>
        <v>1361</v>
      </c>
      <c r="J58" s="2">
        <f>VLOOKUP(A:A,MASTER!A:J,10,0)</f>
        <v>1376</v>
      </c>
      <c r="K58" s="12">
        <f t="shared" si="1"/>
        <v>1.102130786186617E-2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15</v>
      </c>
      <c r="P58" s="1">
        <f>VLOOKUP(A:A,MASTER!A:H,8,0)</f>
        <v>11</v>
      </c>
      <c r="Q58" s="12">
        <f t="shared" si="3"/>
        <v>-0.26666666666666672</v>
      </c>
      <c r="R58" s="1">
        <f>VLOOKUP(A:A,MASTER!A:B,2,0)</f>
        <v>1367</v>
      </c>
      <c r="S58">
        <f>VLOOKUP(A:A,MASTER!A:G,7,0)</f>
        <v>1640</v>
      </c>
      <c r="T58" s="12">
        <f t="shared" si="4"/>
        <v>0.19970738844184344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33049545.655769039</v>
      </c>
      <c r="G59" s="1">
        <f>VLOOKUP(A:A,MASTER!A:K,11,0)</f>
        <v>35380846.257665277</v>
      </c>
      <c r="H59" s="12">
        <f t="shared" si="0"/>
        <v>7.0539565843904084E-2</v>
      </c>
      <c r="I59" s="2">
        <f>VLOOKUP(A:A,MASTER!A:E,5,0)</f>
        <v>720</v>
      </c>
      <c r="J59" s="2">
        <f>VLOOKUP(A:A,MASTER!A:J,10,0)</f>
        <v>721</v>
      </c>
      <c r="K59" s="12">
        <f t="shared" si="1"/>
        <v>1.388888888888884E-3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6</v>
      </c>
      <c r="P59" s="1">
        <f>VLOOKUP(A:A,MASTER!A:H,8,0)</f>
        <v>3</v>
      </c>
      <c r="Q59" s="12">
        <f t="shared" si="3"/>
        <v>-0.5</v>
      </c>
      <c r="R59" s="1">
        <f>VLOOKUP(A:A,MASTER!A:B,2,0)</f>
        <v>777</v>
      </c>
      <c r="S59">
        <f>VLOOKUP(A:A,MASTER!A:G,7,0)</f>
        <v>796</v>
      </c>
      <c r="T59" s="12">
        <f t="shared" si="4"/>
        <v>2.4453024453024552E-2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38559936.027400665</v>
      </c>
      <c r="G60" s="1">
        <f>VLOOKUP(A:A,MASTER!A:K,11,0)</f>
        <v>39662252.585078441</v>
      </c>
      <c r="H60" s="12">
        <f t="shared" si="0"/>
        <v>2.8587095084765535E-2</v>
      </c>
      <c r="I60" s="2">
        <f>VLOOKUP(A:A,MASTER!A:E,5,0)</f>
        <v>493</v>
      </c>
      <c r="J60" s="2">
        <f>VLOOKUP(A:A,MASTER!A:J,10,0)</f>
        <v>517</v>
      </c>
      <c r="K60" s="12">
        <f t="shared" si="1"/>
        <v>4.8681541582150212E-2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7</v>
      </c>
      <c r="P60" s="1">
        <f>VLOOKUP(A:A,MASTER!A:H,8,0)</f>
        <v>11</v>
      </c>
      <c r="Q60" s="12">
        <f t="shared" si="3"/>
        <v>0.5714285714285714</v>
      </c>
      <c r="R60" s="1">
        <f>VLOOKUP(A:A,MASTER!A:B,2,0)</f>
        <v>664</v>
      </c>
      <c r="S60">
        <f>VLOOKUP(A:A,MASTER!A:G,7,0)</f>
        <v>634</v>
      </c>
      <c r="T60" s="12">
        <f t="shared" si="4"/>
        <v>-4.5180722891566272E-2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105317877.79157439</v>
      </c>
      <c r="G61" s="1">
        <f>VLOOKUP(A:A,MASTER!A:K,11,0)</f>
        <v>128572521.70171705</v>
      </c>
      <c r="H61" s="12">
        <f t="shared" si="0"/>
        <v>0.220804334437539</v>
      </c>
      <c r="I61" s="2">
        <f>VLOOKUP(A:A,MASTER!A:E,5,0)</f>
        <v>1846</v>
      </c>
      <c r="J61" s="2">
        <f>VLOOKUP(A:A,MASTER!A:J,10,0)</f>
        <v>1902</v>
      </c>
      <c r="K61" s="12">
        <f t="shared" si="1"/>
        <v>3.0335861321776791E-2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25</v>
      </c>
      <c r="P61" s="1">
        <f>VLOOKUP(A:A,MASTER!A:H,8,0)</f>
        <v>18</v>
      </c>
      <c r="Q61" s="12">
        <f t="shared" si="3"/>
        <v>-0.28000000000000003</v>
      </c>
      <c r="R61" s="1">
        <f>VLOOKUP(A:A,MASTER!A:B,2,0)</f>
        <v>2039</v>
      </c>
      <c r="S61">
        <f>VLOOKUP(A:A,MASTER!A:G,7,0)</f>
        <v>2126</v>
      </c>
      <c r="T61" s="12">
        <f t="shared" si="4"/>
        <v>4.2667974497302641E-2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93876226.663017645</v>
      </c>
      <c r="G62" s="1">
        <f>VLOOKUP(A:A,MASTER!A:K,11,0)</f>
        <v>97074447.921974197</v>
      </c>
      <c r="H62" s="12">
        <f t="shared" si="0"/>
        <v>3.4068489676699842E-2</v>
      </c>
      <c r="I62" s="2">
        <f>VLOOKUP(A:A,MASTER!A:E,5,0)</f>
        <v>1190</v>
      </c>
      <c r="J62" s="2">
        <f>VLOOKUP(A:A,MASTER!A:J,10,0)</f>
        <v>1237</v>
      </c>
      <c r="K62" s="12">
        <f t="shared" si="1"/>
        <v>3.9495798319327813E-2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22</v>
      </c>
      <c r="P62" s="1">
        <f>VLOOKUP(A:A,MASTER!A:H,8,0)</f>
        <v>24</v>
      </c>
      <c r="Q62" s="12">
        <f t="shared" si="3"/>
        <v>9.0909090909090828E-2</v>
      </c>
      <c r="R62" s="1">
        <f>VLOOKUP(A:A,MASTER!A:B,2,0)</f>
        <v>1570</v>
      </c>
      <c r="S62">
        <f>VLOOKUP(A:A,MASTER!A:G,7,0)</f>
        <v>1783</v>
      </c>
      <c r="T62" s="12">
        <f t="shared" si="4"/>
        <v>0.13566878980891728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58138077.427165359</v>
      </c>
      <c r="G63" s="1">
        <f>VLOOKUP(A:A,MASTER!A:K,11,0)</f>
        <v>62251521.754224129</v>
      </c>
      <c r="H63" s="12">
        <f t="shared" si="0"/>
        <v>7.0753016079901254E-2</v>
      </c>
      <c r="I63" s="2">
        <f>VLOOKUP(A:A,MASTER!A:E,5,0)</f>
        <v>749</v>
      </c>
      <c r="J63" s="2">
        <f>VLOOKUP(A:A,MASTER!A:J,10,0)</f>
        <v>766</v>
      </c>
      <c r="K63" s="12">
        <f t="shared" si="1"/>
        <v>2.2696929238985364E-2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11</v>
      </c>
      <c r="Q63" s="12">
        <f t="shared" si="3"/>
        <v>4.5</v>
      </c>
      <c r="R63" s="1">
        <f>VLOOKUP(A:A,MASTER!A:B,2,0)</f>
        <v>860</v>
      </c>
      <c r="S63">
        <f>VLOOKUP(A:A,MASTER!A:G,7,0)</f>
        <v>957</v>
      </c>
      <c r="T63" s="12">
        <f t="shared" si="4"/>
        <v>0.11279069767441863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86362225.098990321</v>
      </c>
      <c r="G64" s="1">
        <f>VLOOKUP(A:A,MASTER!A:K,11,0)</f>
        <v>90509468.72828646</v>
      </c>
      <c r="H64" s="12">
        <f t="shared" si="0"/>
        <v>4.8021500425011965E-2</v>
      </c>
      <c r="I64" s="2">
        <f>VLOOKUP(A:A,MASTER!A:E,5,0)</f>
        <v>1225</v>
      </c>
      <c r="J64" s="2">
        <f>VLOOKUP(A:A,MASTER!A:J,10,0)</f>
        <v>1249</v>
      </c>
      <c r="K64" s="12">
        <f t="shared" si="1"/>
        <v>1.959183673469389E-2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385</v>
      </c>
      <c r="P64" s="1">
        <f>VLOOKUP(A:A,MASTER!A:H,8,0)</f>
        <v>528</v>
      </c>
      <c r="Q64" s="12">
        <f t="shared" si="3"/>
        <v>0.37142857142857144</v>
      </c>
      <c r="R64" s="1">
        <f>VLOOKUP(A:A,MASTER!A:B,2,0)</f>
        <v>2106</v>
      </c>
      <c r="S64">
        <f>VLOOKUP(A:A,MASTER!A:G,7,0)</f>
        <v>2477</v>
      </c>
      <c r="T64" s="12">
        <f t="shared" si="4"/>
        <v>0.17616334283000956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6405491.3080369551</v>
      </c>
      <c r="G65" s="1">
        <f>VLOOKUP(A:A,MASTER!A:K,11,0)</f>
        <v>4227077.7301315293</v>
      </c>
      <c r="H65" s="12">
        <f t="shared" si="0"/>
        <v>-0.34008532260002844</v>
      </c>
      <c r="I65" s="2">
        <f>VLOOKUP(A:A,MASTER!A:E,5,0)</f>
        <v>252</v>
      </c>
      <c r="J65" s="2">
        <f>VLOOKUP(A:A,MASTER!A:J,10,0)</f>
        <v>288</v>
      </c>
      <c r="K65" s="12">
        <f t="shared" si="1"/>
        <v>0.14285714285714279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0</v>
      </c>
      <c r="Q65" s="12">
        <f t="shared" si="3"/>
        <v>-1</v>
      </c>
      <c r="R65" s="1">
        <f>VLOOKUP(A:A,MASTER!A:B,2,0)</f>
        <v>261</v>
      </c>
      <c r="S65">
        <f>VLOOKUP(A:A,MASTER!A:G,7,0)</f>
        <v>425</v>
      </c>
      <c r="T65" s="12">
        <f t="shared" si="4"/>
        <v>0.62835249042145591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67676228.908374295</v>
      </c>
      <c r="G66" s="1">
        <f>VLOOKUP(A:A,MASTER!A:K,11,0)</f>
        <v>65582961.023230992</v>
      </c>
      <c r="H66" s="12">
        <f t="shared" si="0"/>
        <v>-3.0930622449092726E-2</v>
      </c>
      <c r="I66" s="2">
        <f>VLOOKUP(A:A,MASTER!A:E,5,0)</f>
        <v>1579</v>
      </c>
      <c r="J66" s="2">
        <f>VLOOKUP(A:A,MASTER!A:J,10,0)</f>
        <v>1599</v>
      </c>
      <c r="K66" s="12">
        <f t="shared" si="1"/>
        <v>1.2666244458517939E-2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14</v>
      </c>
      <c r="Q66" s="12">
        <f t="shared" si="3"/>
        <v>1.3333333333333335</v>
      </c>
      <c r="R66" s="1">
        <f>VLOOKUP(A:A,MASTER!A:B,2,0)</f>
        <v>1764</v>
      </c>
      <c r="S66">
        <f>VLOOKUP(A:A,MASTER!A:G,7,0)</f>
        <v>1983</v>
      </c>
      <c r="T66" s="12">
        <f t="shared" si="4"/>
        <v>0.12414965986394555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28349619.480366256</v>
      </c>
      <c r="G67" s="1">
        <f>VLOOKUP(A:A,MASTER!A:K,11,0)</f>
        <v>30854592.975041281</v>
      </c>
      <c r="H67" s="12">
        <f t="shared" ref="H67:H85" si="5">IFERROR(G67/F67-1,0)</f>
        <v>8.8360039414633551E-2</v>
      </c>
      <c r="I67" s="2">
        <f>VLOOKUP(A:A,MASTER!A:E,5,0)</f>
        <v>581</v>
      </c>
      <c r="J67" s="2">
        <f>VLOOKUP(A:A,MASTER!A:J,10,0)</f>
        <v>627</v>
      </c>
      <c r="K67" s="12">
        <f t="shared" ref="K67:K85" si="6">IFERROR(J67/I67-1,0)</f>
        <v>7.9173838209982694E-2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5</v>
      </c>
      <c r="Q67" s="12">
        <f t="shared" ref="Q67:Q85" si="8">IFERROR(P67/O67-1,0)</f>
        <v>0.66666666666666674</v>
      </c>
      <c r="R67" s="1">
        <f>VLOOKUP(A:A,MASTER!A:B,2,0)</f>
        <v>669</v>
      </c>
      <c r="S67">
        <f>VLOOKUP(A:A,MASTER!A:G,7,0)</f>
        <v>998</v>
      </c>
      <c r="T67" s="12">
        <f t="shared" ref="T67:T85" si="9">IFERROR(S67/R67-1,0)</f>
        <v>0.49177877428998507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45390232.976103954</v>
      </c>
      <c r="G68" s="1">
        <f>VLOOKUP(A:A,MASTER!A:K,11,0)</f>
        <v>48181756.46103324</v>
      </c>
      <c r="H68" s="12">
        <f t="shared" si="5"/>
        <v>6.150053220477858E-2</v>
      </c>
      <c r="I68" s="2">
        <f>VLOOKUP(A:A,MASTER!A:E,5,0)</f>
        <v>875</v>
      </c>
      <c r="J68" s="2">
        <f>VLOOKUP(A:A,MASTER!A:J,10,0)</f>
        <v>1106</v>
      </c>
      <c r="K68" s="12">
        <f t="shared" si="6"/>
        <v>0.26400000000000001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49</v>
      </c>
      <c r="P68" s="1">
        <f>VLOOKUP(A:A,MASTER!A:H,8,0)</f>
        <v>77</v>
      </c>
      <c r="Q68" s="12">
        <f t="shared" si="8"/>
        <v>0.5714285714285714</v>
      </c>
      <c r="R68" s="1">
        <f>VLOOKUP(A:A,MASTER!A:B,2,0)</f>
        <v>1327</v>
      </c>
      <c r="S68">
        <f>VLOOKUP(A:A,MASTER!A:G,7,0)</f>
        <v>1909</v>
      </c>
      <c r="T68" s="12">
        <f t="shared" si="9"/>
        <v>0.43858327053504143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21556899.945883576</v>
      </c>
      <c r="G69" s="1">
        <f>VLOOKUP(A:A,MASTER!A:K,11,0)</f>
        <v>32660356.944518913</v>
      </c>
      <c r="H69" s="12">
        <f t="shared" si="5"/>
        <v>0.51507670520851545</v>
      </c>
      <c r="I69" s="2">
        <f>VLOOKUP(A:A,MASTER!A:E,5,0)</f>
        <v>1244</v>
      </c>
      <c r="J69" s="2">
        <f>VLOOKUP(A:A,MASTER!A:J,10,0)</f>
        <v>1242</v>
      </c>
      <c r="K69" s="12">
        <f t="shared" si="6"/>
        <v>-1.607717041800627E-3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8</v>
      </c>
      <c r="P69" s="1">
        <f>VLOOKUP(A:A,MASTER!A:H,8,0)</f>
        <v>8</v>
      </c>
      <c r="Q69" s="12">
        <f t="shared" si="8"/>
        <v>0</v>
      </c>
      <c r="R69" s="1">
        <f>VLOOKUP(A:A,MASTER!A:B,2,0)</f>
        <v>1318</v>
      </c>
      <c r="S69">
        <f>VLOOKUP(A:A,MASTER!A:G,7,0)</f>
        <v>1338</v>
      </c>
      <c r="T69" s="12">
        <f t="shared" si="9"/>
        <v>1.5174506828528056E-2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80338894.231796458</v>
      </c>
      <c r="G70" s="1">
        <f>VLOOKUP(A:A,MASTER!A:K,11,0)</f>
        <v>83243822.310191005</v>
      </c>
      <c r="H70" s="12">
        <f t="shared" si="5"/>
        <v>3.6158427448766517E-2</v>
      </c>
      <c r="I70" s="2">
        <f>VLOOKUP(A:A,MASTER!A:E,5,0)</f>
        <v>1207</v>
      </c>
      <c r="J70" s="2">
        <f>VLOOKUP(A:A,MASTER!A:J,10,0)</f>
        <v>1326</v>
      </c>
      <c r="K70" s="12">
        <f t="shared" si="6"/>
        <v>9.8591549295774739E-2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10</v>
      </c>
      <c r="P70" s="1">
        <f>VLOOKUP(A:A,MASTER!A:H,8,0)</f>
        <v>14</v>
      </c>
      <c r="Q70" s="12">
        <f t="shared" si="8"/>
        <v>0.39999999999999991</v>
      </c>
      <c r="R70" s="1">
        <f>VLOOKUP(A:A,MASTER!A:B,2,0)</f>
        <v>1741</v>
      </c>
      <c r="S70">
        <f>VLOOKUP(A:A,MASTER!A:G,7,0)</f>
        <v>1753</v>
      </c>
      <c r="T70" s="12">
        <f t="shared" si="9"/>
        <v>6.8925904652499259E-3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16712994.166134812</v>
      </c>
      <c r="G71" s="1">
        <f>VLOOKUP(A:A,MASTER!A:K,11,0)</f>
        <v>16908616.827035986</v>
      </c>
      <c r="H71" s="12">
        <f t="shared" si="5"/>
        <v>1.1704824339468844E-2</v>
      </c>
      <c r="I71" s="2">
        <f>VLOOKUP(A:A,MASTER!A:E,5,0)</f>
        <v>427</v>
      </c>
      <c r="J71" s="2">
        <f>VLOOKUP(A:A,MASTER!A:J,10,0)</f>
        <v>563</v>
      </c>
      <c r="K71" s="12">
        <f t="shared" si="6"/>
        <v>0.31850117096018726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4</v>
      </c>
      <c r="P71" s="1">
        <f>VLOOKUP(A:A,MASTER!A:H,8,0)</f>
        <v>2</v>
      </c>
      <c r="Q71" s="12">
        <f t="shared" si="8"/>
        <v>-0.5</v>
      </c>
      <c r="R71" s="1">
        <f>VLOOKUP(A:A,MASTER!A:B,2,0)</f>
        <v>493</v>
      </c>
      <c r="S71">
        <f>VLOOKUP(A:A,MASTER!A:G,7,0)</f>
        <v>1007</v>
      </c>
      <c r="T71" s="12">
        <f t="shared" si="9"/>
        <v>1.0425963488843815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26477098.091922052</v>
      </c>
      <c r="G72" s="1">
        <f>VLOOKUP(A:A,MASTER!A:K,11,0)</f>
        <v>26712418.087270249</v>
      </c>
      <c r="H72" s="12">
        <f t="shared" si="5"/>
        <v>8.8876807621145471E-3</v>
      </c>
      <c r="I72" s="2">
        <f>VLOOKUP(A:A,MASTER!A:E,5,0)</f>
        <v>840</v>
      </c>
      <c r="J72" s="2">
        <f>VLOOKUP(A:A,MASTER!A:J,10,0)</f>
        <v>647</v>
      </c>
      <c r="K72" s="12">
        <f t="shared" si="6"/>
        <v>-0.22976190476190472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5</v>
      </c>
      <c r="P72" s="1">
        <f>VLOOKUP(A:A,MASTER!A:H,8,0)</f>
        <v>6</v>
      </c>
      <c r="Q72" s="12">
        <f t="shared" si="8"/>
        <v>0.19999999999999996</v>
      </c>
      <c r="R72" s="1">
        <f>VLOOKUP(A:A,MASTER!A:B,2,0)</f>
        <v>887</v>
      </c>
      <c r="S72">
        <f>VLOOKUP(A:A,MASTER!A:G,7,0)</f>
        <v>948</v>
      </c>
      <c r="T72" s="12">
        <f t="shared" si="9"/>
        <v>6.8771138669672993E-2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15950185.407910096</v>
      </c>
      <c r="G73" s="1">
        <f>VLOOKUP(A:A,MASTER!A:K,11,0)</f>
        <v>26924777.455095489</v>
      </c>
      <c r="H73" s="12">
        <f t="shared" si="5"/>
        <v>0.68805419915324739</v>
      </c>
      <c r="I73" s="2">
        <f>VLOOKUP(A:A,MASTER!A:E,5,0)</f>
        <v>458</v>
      </c>
      <c r="J73" s="2">
        <f>VLOOKUP(A:A,MASTER!A:J,10,0)</f>
        <v>492</v>
      </c>
      <c r="K73" s="12">
        <f t="shared" si="6"/>
        <v>7.4235807860262071E-2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654</v>
      </c>
      <c r="S73">
        <f>VLOOKUP(A:A,MASTER!A:G,7,0)</f>
        <v>666</v>
      </c>
      <c r="T73" s="12">
        <f t="shared" si="9"/>
        <v>1.8348623853210899E-2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13942755.30856281</v>
      </c>
      <c r="G74" s="1">
        <f>VLOOKUP(A:A,MASTER!A:K,11,0)</f>
        <v>18454498.654956192</v>
      </c>
      <c r="H74" s="12">
        <f t="shared" si="5"/>
        <v>0.3235905132483059</v>
      </c>
      <c r="I74" s="2">
        <f>VLOOKUP(A:A,MASTER!A:E,5,0)</f>
        <v>472</v>
      </c>
      <c r="J74" s="2">
        <f>VLOOKUP(A:A,MASTER!A:J,10,0)</f>
        <v>590</v>
      </c>
      <c r="K74" s="12">
        <f t="shared" si="6"/>
        <v>0.25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574</v>
      </c>
      <c r="S74">
        <f>VLOOKUP(A:A,MASTER!A:G,7,0)</f>
        <v>906</v>
      </c>
      <c r="T74" s="12">
        <f t="shared" si="9"/>
        <v>0.57839721254355392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20598987.630608793</v>
      </c>
      <c r="G75" s="1">
        <f>VLOOKUP(A:A,MASTER!A:K,11,0)</f>
        <v>22265521.839345772</v>
      </c>
      <c r="H75" s="12">
        <f t="shared" si="5"/>
        <v>8.090369481365256E-2</v>
      </c>
      <c r="I75" s="2">
        <f>VLOOKUP(A:A,MASTER!A:E,5,0)</f>
        <v>470</v>
      </c>
      <c r="J75" s="2">
        <f>VLOOKUP(A:A,MASTER!A:J,10,0)</f>
        <v>464</v>
      </c>
      <c r="K75" s="12">
        <f t="shared" si="6"/>
        <v>-1.2765957446808529E-2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425</v>
      </c>
      <c r="S75">
        <f>VLOOKUP(A:A,MASTER!A:G,7,0)</f>
        <v>480</v>
      </c>
      <c r="T75" s="12">
        <f t="shared" si="9"/>
        <v>0.12941176470588234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59351376.126728058</v>
      </c>
      <c r="G76" s="1">
        <f>VLOOKUP(A:A,MASTER!A:K,11,0)</f>
        <v>56315382.136001162</v>
      </c>
      <c r="H76" s="12">
        <f t="shared" si="5"/>
        <v>-5.115288286230113E-2</v>
      </c>
      <c r="I76" s="2">
        <f>VLOOKUP(A:A,MASTER!A:E,5,0)</f>
        <v>529</v>
      </c>
      <c r="J76" s="2">
        <f>VLOOKUP(A:A,MASTER!A:J,10,0)</f>
        <v>545</v>
      </c>
      <c r="K76" s="12">
        <f t="shared" si="6"/>
        <v>3.0245746691871522E-2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15</v>
      </c>
      <c r="P76" s="1">
        <f>VLOOKUP(A:A,MASTER!A:H,8,0)</f>
        <v>9</v>
      </c>
      <c r="Q76" s="12">
        <f t="shared" si="8"/>
        <v>-0.4</v>
      </c>
      <c r="R76" s="1">
        <f>VLOOKUP(A:A,MASTER!A:B,2,0)</f>
        <v>946</v>
      </c>
      <c r="S76">
        <f>VLOOKUP(A:A,MASTER!A:G,7,0)</f>
        <v>940</v>
      </c>
      <c r="T76" s="12">
        <f t="shared" si="9"/>
        <v>-6.3424947145876986E-3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34754488.096194938</v>
      </c>
      <c r="G77" s="1">
        <f>VLOOKUP(A:A,MASTER!A:K,11,0)</f>
        <v>34275885.936748058</v>
      </c>
      <c r="H77" s="12">
        <f t="shared" si="5"/>
        <v>-1.3770945442274529E-2</v>
      </c>
      <c r="I77" s="2">
        <f>VLOOKUP(A:A,MASTER!A:E,5,0)</f>
        <v>690</v>
      </c>
      <c r="J77" s="2">
        <f>VLOOKUP(A:A,MASTER!A:J,10,0)</f>
        <v>752</v>
      </c>
      <c r="K77" s="12">
        <f t="shared" si="6"/>
        <v>8.9855072463768115E-2</v>
      </c>
      <c r="L77" s="2">
        <f>VLOOKUP(A:A,MASTER!A:D,4,0)</f>
        <v>10</v>
      </c>
      <c r="M77" s="2">
        <f>VLOOKUP(A:A,MASTER!A:I,9,0)</f>
        <v>10</v>
      </c>
      <c r="N77" s="12">
        <f t="shared" si="7"/>
        <v>0</v>
      </c>
      <c r="O77" s="1">
        <f>VLOOKUP(A:A,MASTER!A:C,3,0)</f>
        <v>5</v>
      </c>
      <c r="P77" s="1">
        <f>VLOOKUP(A:A,MASTER!A:H,8,0)</f>
        <v>5</v>
      </c>
      <c r="Q77" s="12">
        <f t="shared" si="8"/>
        <v>0</v>
      </c>
      <c r="R77" s="1">
        <f>VLOOKUP(A:A,MASTER!A:B,2,0)</f>
        <v>790</v>
      </c>
      <c r="S77">
        <f>VLOOKUP(A:A,MASTER!A:G,7,0)</f>
        <v>878</v>
      </c>
      <c r="T77" s="12">
        <f t="shared" si="9"/>
        <v>0.11139240506329107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29197361.8885299</v>
      </c>
      <c r="G78" s="1">
        <f>VLOOKUP(A:A,MASTER!A:K,11,0)</f>
        <v>29829390.760424871</v>
      </c>
      <c r="H78" s="12">
        <f t="shared" si="5"/>
        <v>2.1646780086089334E-2</v>
      </c>
      <c r="I78" s="2">
        <f>VLOOKUP(A:A,MASTER!A:E,5,0)</f>
        <v>908</v>
      </c>
      <c r="J78" s="2">
        <f>VLOOKUP(A:A,MASTER!A:J,10,0)</f>
        <v>974</v>
      </c>
      <c r="K78" s="12">
        <f t="shared" si="6"/>
        <v>7.2687224669603534E-2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2</v>
      </c>
      <c r="Q78" s="12">
        <f t="shared" si="8"/>
        <v>0</v>
      </c>
      <c r="R78" s="1">
        <f>VLOOKUP(A:A,MASTER!A:B,2,0)</f>
        <v>949</v>
      </c>
      <c r="S78">
        <f>VLOOKUP(A:A,MASTER!A:G,7,0)</f>
        <v>1020</v>
      </c>
      <c r="T78" s="12">
        <f t="shared" si="9"/>
        <v>7.4815595363540544E-2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32465080.790720548</v>
      </c>
      <c r="G79" s="1">
        <f>VLOOKUP(A:A,MASTER!A:K,11,0)</f>
        <v>31385070.367013294</v>
      </c>
      <c r="H79" s="12">
        <f t="shared" si="5"/>
        <v>-3.3266833083500313E-2</v>
      </c>
      <c r="I79" s="2">
        <f>VLOOKUP(A:A,MASTER!A:E,5,0)</f>
        <v>800</v>
      </c>
      <c r="J79" s="2">
        <f>VLOOKUP(A:A,MASTER!A:J,10,0)</f>
        <v>832</v>
      </c>
      <c r="K79" s="12">
        <f t="shared" si="6"/>
        <v>4.0000000000000036E-2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2</v>
      </c>
      <c r="Q79" s="12">
        <f t="shared" si="8"/>
        <v>-0.77777777777777779</v>
      </c>
      <c r="R79" s="1">
        <f>VLOOKUP(A:A,MASTER!A:B,2,0)</f>
        <v>1002</v>
      </c>
      <c r="S79">
        <f>VLOOKUP(A:A,MASTER!A:G,7,0)</f>
        <v>989</v>
      </c>
      <c r="T79" s="12">
        <f t="shared" si="9"/>
        <v>-1.2974051896207595E-2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35443721.934231013</v>
      </c>
      <c r="G80" s="1">
        <f>VLOOKUP(A:A,MASTER!A:K,11,0)</f>
        <v>39758559.35539455</v>
      </c>
      <c r="H80" s="12">
        <f t="shared" si="5"/>
        <v>0.12173770658651772</v>
      </c>
      <c r="I80" s="2">
        <f>VLOOKUP(A:A,MASTER!A:E,5,0)</f>
        <v>652</v>
      </c>
      <c r="J80" s="2">
        <f>VLOOKUP(A:A,MASTER!A:J,10,0)</f>
        <v>851</v>
      </c>
      <c r="K80" s="12">
        <f t="shared" si="6"/>
        <v>0.30521472392638027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6</v>
      </c>
      <c r="P80" s="1">
        <f>VLOOKUP(A:A,MASTER!A:H,8,0)</f>
        <v>3</v>
      </c>
      <c r="Q80" s="12">
        <f t="shared" si="8"/>
        <v>-0.5</v>
      </c>
      <c r="R80" s="1">
        <f>VLOOKUP(A:A,MASTER!A:B,2,0)</f>
        <v>742</v>
      </c>
      <c r="S80">
        <f>VLOOKUP(A:A,MASTER!A:G,7,0)</f>
        <v>786</v>
      </c>
      <c r="T80" s="12">
        <f t="shared" si="9"/>
        <v>5.9299191374662996E-2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15407708.647356283</v>
      </c>
      <c r="G81" s="1">
        <f>VLOOKUP(A:A,MASTER!A:K,11,0)</f>
        <v>17518507.446664751</v>
      </c>
      <c r="H81" s="12">
        <f t="shared" si="5"/>
        <v>0.1369962820312447</v>
      </c>
      <c r="I81" s="2">
        <f>VLOOKUP(A:A,MASTER!A:E,5,0)</f>
        <v>491</v>
      </c>
      <c r="J81" s="2">
        <f>VLOOKUP(A:A,MASTER!A:J,10,0)</f>
        <v>608</v>
      </c>
      <c r="K81" s="12">
        <f t="shared" si="6"/>
        <v>0.23828920570264756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4</v>
      </c>
      <c r="Q81" s="12">
        <f t="shared" si="8"/>
        <v>1</v>
      </c>
      <c r="R81" s="1">
        <f>VLOOKUP(A:A,MASTER!A:B,2,0)</f>
        <v>562</v>
      </c>
      <c r="S81">
        <f>VLOOKUP(A:A,MASTER!A:G,7,0)</f>
        <v>880</v>
      </c>
      <c r="T81" s="12">
        <f t="shared" si="9"/>
        <v>0.56583629893238441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66832830.199992917</v>
      </c>
      <c r="G82" s="1">
        <f>VLOOKUP(A:A,MASTER!A:K,11,0)</f>
        <v>75808800.996483237</v>
      </c>
      <c r="H82" s="12">
        <f t="shared" si="5"/>
        <v>0.13430481351201662</v>
      </c>
      <c r="I82" s="2">
        <f>VLOOKUP(A:A,MASTER!A:E,5,0)</f>
        <v>1278</v>
      </c>
      <c r="J82" s="2">
        <f>VLOOKUP(A:A,MASTER!A:J,10,0)</f>
        <v>1364</v>
      </c>
      <c r="K82" s="12">
        <f t="shared" si="6"/>
        <v>6.7292644757433573E-2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10</v>
      </c>
      <c r="Q82" s="12">
        <f t="shared" si="8"/>
        <v>0</v>
      </c>
      <c r="R82" s="1">
        <f>VLOOKUP(A:A,MASTER!A:B,2,0)</f>
        <v>1696</v>
      </c>
      <c r="S82">
        <f>VLOOKUP(A:A,MASTER!A:G,7,0)</f>
        <v>1877</v>
      </c>
      <c r="T82" s="12">
        <f t="shared" si="9"/>
        <v>0.10672169811320753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19998309.885325119</v>
      </c>
      <c r="G83" s="1">
        <f>VLOOKUP(A:A,MASTER!A:K,11,0)</f>
        <v>16156412.258764775</v>
      </c>
      <c r="H83" s="12">
        <f t="shared" si="5"/>
        <v>-0.19211111581881979</v>
      </c>
      <c r="I83" s="2">
        <f>VLOOKUP(A:A,MASTER!A:E,5,0)</f>
        <v>632</v>
      </c>
      <c r="J83" s="2">
        <f>VLOOKUP(A:A,MASTER!A:J,10,0)</f>
        <v>660</v>
      </c>
      <c r="K83" s="12">
        <f t="shared" si="6"/>
        <v>4.4303797468354444E-2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6</v>
      </c>
      <c r="P83" s="1">
        <f>VLOOKUP(A:A,MASTER!A:H,8,0)</f>
        <v>0</v>
      </c>
      <c r="Q83" s="12">
        <f t="shared" si="8"/>
        <v>-1</v>
      </c>
      <c r="R83" s="1">
        <f>VLOOKUP(A:A,MASTER!A:B,2,0)</f>
        <v>653</v>
      </c>
      <c r="S83">
        <f>VLOOKUP(A:A,MASTER!A:G,7,0)</f>
        <v>640</v>
      </c>
      <c r="T83" s="12">
        <f t="shared" si="9"/>
        <v>-1.9908116385911168E-2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31176147.611197244</v>
      </c>
      <c r="G84" s="1">
        <f>VLOOKUP(A:A,MASTER!A:K,11,0)</f>
        <v>33743957.556616075</v>
      </c>
      <c r="H84" s="12">
        <f t="shared" si="5"/>
        <v>8.2364568497763191E-2</v>
      </c>
      <c r="I84" s="2">
        <f>VLOOKUP(A:A,MASTER!A:E,5,0)</f>
        <v>460</v>
      </c>
      <c r="J84" s="2">
        <f>VLOOKUP(A:A,MASTER!A:J,10,0)</f>
        <v>602</v>
      </c>
      <c r="K84" s="12">
        <f t="shared" si="6"/>
        <v>0.30869565217391304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15</v>
      </c>
      <c r="P84" s="1">
        <f>VLOOKUP(A:A,MASTER!A:H,8,0)</f>
        <v>5</v>
      </c>
      <c r="Q84" s="12">
        <f t="shared" si="8"/>
        <v>-0.66666666666666674</v>
      </c>
      <c r="R84" s="1">
        <f>VLOOKUP(A:A,MASTER!A:B,2,0)</f>
        <v>585</v>
      </c>
      <c r="S84">
        <f>VLOOKUP(A:A,MASTER!A:G,7,0)</f>
        <v>859</v>
      </c>
      <c r="T84" s="12">
        <f t="shared" si="9"/>
        <v>0.46837606837606827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8312050.8604278807</v>
      </c>
      <c r="G85" s="1">
        <f>VLOOKUP(A:A,MASTER!A:K,11,0)</f>
        <v>7779734.0833183397</v>
      </c>
      <c r="H85" s="12">
        <f t="shared" si="5"/>
        <v>-6.4041568807501115E-2</v>
      </c>
      <c r="I85" s="2">
        <f>VLOOKUP(A:A,MASTER!A:E,5,0)</f>
        <v>296</v>
      </c>
      <c r="J85" s="2">
        <f>VLOOKUP(A:A,MASTER!A:J,10,0)</f>
        <v>383</v>
      </c>
      <c r="K85" s="12">
        <f t="shared" si="6"/>
        <v>0.29391891891891886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1</v>
      </c>
      <c r="Q85" s="12">
        <f t="shared" si="8"/>
        <v>-0.66666666666666674</v>
      </c>
      <c r="R85" s="1">
        <f>VLOOKUP(A:A,MASTER!A:B,2,0)</f>
        <v>359</v>
      </c>
      <c r="S85">
        <f>VLOOKUP(A:A,MASTER!A:G,7,0)</f>
        <v>438</v>
      </c>
      <c r="T85" s="12">
        <f t="shared" si="9"/>
        <v>0.22005571030640669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D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84526</v>
      </c>
      <c r="C3" s="11">
        <f t="shared" si="0"/>
        <v>2261</v>
      </c>
      <c r="D3" s="11">
        <f t="shared" si="0"/>
        <v>310</v>
      </c>
      <c r="E3" s="11">
        <f t="shared" si="0"/>
        <v>69670</v>
      </c>
      <c r="F3" s="11">
        <f t="shared" si="0"/>
        <v>3318319448.035975</v>
      </c>
      <c r="G3" s="11">
        <f t="shared" si="0"/>
        <v>114181</v>
      </c>
      <c r="H3" s="11">
        <f t="shared" si="0"/>
        <v>1585</v>
      </c>
      <c r="I3" s="11">
        <f t="shared" si="0"/>
        <v>318</v>
      </c>
      <c r="J3" s="11">
        <f t="shared" si="0"/>
        <v>75242</v>
      </c>
      <c r="K3" s="11">
        <f t="shared" si="0"/>
        <v>3455381322.9045367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415</v>
      </c>
      <c r="C6" s="10">
        <v>3</v>
      </c>
      <c r="D6" s="10">
        <v>2</v>
      </c>
      <c r="E6" s="10">
        <v>392</v>
      </c>
      <c r="F6" s="10">
        <v>15576117.1179465</v>
      </c>
      <c r="G6" s="10">
        <v>4053</v>
      </c>
      <c r="H6" s="10">
        <v>3</v>
      </c>
      <c r="I6" s="10">
        <v>2</v>
      </c>
      <c r="J6" s="10">
        <v>450</v>
      </c>
      <c r="K6" s="10">
        <v>15584300.528121127</v>
      </c>
    </row>
    <row r="7" spans="1:11" x14ac:dyDescent="0.35">
      <c r="A7" s="9" t="s">
        <v>127</v>
      </c>
      <c r="B7" s="10">
        <v>677</v>
      </c>
      <c r="C7" s="10">
        <v>2</v>
      </c>
      <c r="D7" s="10">
        <v>1</v>
      </c>
      <c r="E7" s="10">
        <v>511</v>
      </c>
      <c r="F7" s="10">
        <v>18687519.00310263</v>
      </c>
      <c r="G7" s="10">
        <v>1684</v>
      </c>
      <c r="H7" s="10">
        <v>6</v>
      </c>
      <c r="I7" s="10">
        <v>2</v>
      </c>
      <c r="J7" s="10">
        <v>551</v>
      </c>
      <c r="K7" s="10">
        <v>18301391.880558848</v>
      </c>
    </row>
    <row r="8" spans="1:11" x14ac:dyDescent="0.35">
      <c r="A8" s="9" t="s">
        <v>119</v>
      </c>
      <c r="B8" s="10">
        <v>692</v>
      </c>
      <c r="C8" s="10">
        <v>10</v>
      </c>
      <c r="D8" s="10">
        <v>2</v>
      </c>
      <c r="E8" s="10">
        <v>781</v>
      </c>
      <c r="F8" s="10">
        <v>23437084.11282393</v>
      </c>
      <c r="G8" s="10">
        <v>1791</v>
      </c>
      <c r="H8" s="10">
        <v>11</v>
      </c>
      <c r="I8" s="10">
        <v>1</v>
      </c>
      <c r="J8" s="10">
        <v>1034</v>
      </c>
      <c r="K8" s="10">
        <v>26621893.244800474</v>
      </c>
    </row>
    <row r="9" spans="1:11" x14ac:dyDescent="0.35">
      <c r="A9" s="9" t="s">
        <v>121</v>
      </c>
      <c r="B9" s="10">
        <v>1191</v>
      </c>
      <c r="C9" s="10">
        <v>8</v>
      </c>
      <c r="D9" s="10">
        <v>3</v>
      </c>
      <c r="E9" s="10">
        <v>1168</v>
      </c>
      <c r="F9" s="10">
        <v>39968983.478528641</v>
      </c>
      <c r="G9" s="10">
        <v>2067</v>
      </c>
      <c r="H9" s="10">
        <v>11</v>
      </c>
      <c r="I9" s="10">
        <v>3</v>
      </c>
      <c r="J9" s="10">
        <v>1335</v>
      </c>
      <c r="K9" s="10">
        <v>41097014.976106361</v>
      </c>
    </row>
    <row r="10" spans="1:11" x14ac:dyDescent="0.35">
      <c r="A10" s="9" t="s">
        <v>123</v>
      </c>
      <c r="B10" s="10">
        <v>420</v>
      </c>
      <c r="C10" s="10">
        <v>3</v>
      </c>
      <c r="D10" s="10">
        <v>1</v>
      </c>
      <c r="E10" s="10">
        <v>354</v>
      </c>
      <c r="F10" s="10">
        <v>16574884.235469682</v>
      </c>
      <c r="G10" s="10">
        <v>1438</v>
      </c>
      <c r="H10" s="10">
        <v>1</v>
      </c>
      <c r="I10" s="10">
        <v>1</v>
      </c>
      <c r="J10" s="10">
        <v>623</v>
      </c>
      <c r="K10" s="10">
        <v>17795970.414671585</v>
      </c>
    </row>
    <row r="11" spans="1:11" x14ac:dyDescent="0.35">
      <c r="A11" s="9" t="s">
        <v>125</v>
      </c>
      <c r="B11" s="10">
        <v>377</v>
      </c>
      <c r="C11" s="10">
        <v>3</v>
      </c>
      <c r="D11" s="10">
        <v>2</v>
      </c>
      <c r="E11" s="10">
        <v>290</v>
      </c>
      <c r="F11" s="10">
        <v>13719396.203978699</v>
      </c>
      <c r="G11" s="10">
        <v>1219</v>
      </c>
      <c r="H11" s="10">
        <v>3</v>
      </c>
      <c r="I11" s="10">
        <v>2</v>
      </c>
      <c r="J11" s="10">
        <v>473</v>
      </c>
      <c r="K11" s="10">
        <v>14860768.521126136</v>
      </c>
    </row>
    <row r="12" spans="1:11" x14ac:dyDescent="0.35">
      <c r="A12" s="9" t="s">
        <v>131</v>
      </c>
      <c r="B12" s="10">
        <v>586</v>
      </c>
      <c r="C12" s="10">
        <v>2</v>
      </c>
      <c r="D12" s="10">
        <v>1</v>
      </c>
      <c r="E12" s="10">
        <v>484</v>
      </c>
      <c r="F12" s="10">
        <v>15594498.670431616</v>
      </c>
      <c r="G12" s="10">
        <v>1679</v>
      </c>
      <c r="H12" s="10">
        <v>3</v>
      </c>
      <c r="I12" s="10">
        <v>2</v>
      </c>
      <c r="J12" s="10">
        <v>642</v>
      </c>
      <c r="K12" s="10">
        <v>19217853.026664805</v>
      </c>
    </row>
    <row r="13" spans="1:11" x14ac:dyDescent="0.35">
      <c r="A13" s="9" t="s">
        <v>133</v>
      </c>
      <c r="B13" s="10">
        <v>174</v>
      </c>
      <c r="C13" s="10">
        <v>1</v>
      </c>
      <c r="D13" s="10">
        <v>1</v>
      </c>
      <c r="E13" s="10">
        <v>140</v>
      </c>
      <c r="F13" s="10">
        <v>7613584.9053312186</v>
      </c>
      <c r="G13" s="10">
        <v>887</v>
      </c>
      <c r="H13" s="10">
        <v>0</v>
      </c>
      <c r="I13" s="10">
        <v>1</v>
      </c>
      <c r="J13" s="10">
        <v>308</v>
      </c>
      <c r="K13" s="10">
        <v>7625574.8749438496</v>
      </c>
    </row>
    <row r="14" spans="1:11" x14ac:dyDescent="0.35">
      <c r="A14" s="9" t="s">
        <v>141</v>
      </c>
      <c r="B14" s="10">
        <v>195</v>
      </c>
      <c r="C14" s="10">
        <v>1</v>
      </c>
      <c r="D14" s="10">
        <v>0</v>
      </c>
      <c r="E14" s="10">
        <v>134</v>
      </c>
      <c r="F14" s="10">
        <v>6933978.1464532567</v>
      </c>
      <c r="G14" s="10">
        <v>491</v>
      </c>
      <c r="H14" s="10">
        <v>1</v>
      </c>
      <c r="I14" s="10">
        <v>1</v>
      </c>
      <c r="J14" s="10">
        <v>244</v>
      </c>
      <c r="K14" s="10">
        <v>4950311.03876941</v>
      </c>
    </row>
    <row r="15" spans="1:11" x14ac:dyDescent="0.35">
      <c r="A15" s="9" t="s">
        <v>135</v>
      </c>
      <c r="B15" s="10">
        <v>330</v>
      </c>
      <c r="C15" s="10">
        <v>1</v>
      </c>
      <c r="D15" s="10">
        <v>1</v>
      </c>
      <c r="E15" s="10">
        <v>338</v>
      </c>
      <c r="F15" s="10">
        <v>11204461.966508804</v>
      </c>
      <c r="G15" s="10">
        <v>1411</v>
      </c>
      <c r="H15" s="10">
        <v>4</v>
      </c>
      <c r="I15" s="10">
        <v>1</v>
      </c>
      <c r="J15" s="10">
        <v>572</v>
      </c>
      <c r="K15" s="10">
        <v>15614869.844393471</v>
      </c>
    </row>
    <row r="16" spans="1:11" x14ac:dyDescent="0.35">
      <c r="A16" s="9" t="s">
        <v>143</v>
      </c>
      <c r="B16" s="10">
        <v>209</v>
      </c>
      <c r="C16" s="10">
        <v>0</v>
      </c>
      <c r="D16" s="10">
        <v>1</v>
      </c>
      <c r="E16" s="10">
        <v>227</v>
      </c>
      <c r="F16" s="10">
        <v>5390269.2205274189</v>
      </c>
      <c r="G16" s="10">
        <v>1079</v>
      </c>
      <c r="H16" s="10">
        <v>0</v>
      </c>
      <c r="I16" s="10">
        <v>2</v>
      </c>
      <c r="J16" s="10">
        <v>503</v>
      </c>
      <c r="K16" s="10">
        <v>8091693.1655201185</v>
      </c>
    </row>
    <row r="17" spans="1:11" x14ac:dyDescent="0.35">
      <c r="A17" s="9" t="s">
        <v>145</v>
      </c>
      <c r="B17" s="10">
        <v>251</v>
      </c>
      <c r="C17" s="10">
        <v>7</v>
      </c>
      <c r="D17" s="10">
        <v>1</v>
      </c>
      <c r="E17" s="10">
        <v>216</v>
      </c>
      <c r="F17" s="10">
        <v>7416099.4346124213</v>
      </c>
      <c r="G17" s="10">
        <v>758</v>
      </c>
      <c r="H17" s="10">
        <v>3</v>
      </c>
      <c r="I17" s="10">
        <v>1</v>
      </c>
      <c r="J17" s="10">
        <v>367</v>
      </c>
      <c r="K17" s="10">
        <v>8477364.2236793302</v>
      </c>
    </row>
    <row r="18" spans="1:11" x14ac:dyDescent="0.35">
      <c r="A18" s="9" t="s">
        <v>20</v>
      </c>
      <c r="B18" s="10">
        <v>1422</v>
      </c>
      <c r="C18" s="10">
        <v>0</v>
      </c>
      <c r="D18" s="10">
        <v>2</v>
      </c>
      <c r="E18" s="10">
        <v>1192</v>
      </c>
      <c r="F18" s="10">
        <v>20015075.218439002</v>
      </c>
      <c r="G18" s="10">
        <v>1440</v>
      </c>
      <c r="H18" s="10">
        <v>4</v>
      </c>
      <c r="I18" s="10">
        <v>3</v>
      </c>
      <c r="J18" s="10">
        <v>1120</v>
      </c>
      <c r="K18" s="10">
        <v>36638252.177251168</v>
      </c>
    </row>
    <row r="19" spans="1:11" x14ac:dyDescent="0.35">
      <c r="A19" s="9" t="s">
        <v>45</v>
      </c>
      <c r="B19" s="10">
        <v>1267</v>
      </c>
      <c r="C19" s="10">
        <v>2</v>
      </c>
      <c r="D19" s="10">
        <v>2</v>
      </c>
      <c r="E19" s="10">
        <v>908</v>
      </c>
      <c r="F19" s="10">
        <v>45037231.168659486</v>
      </c>
      <c r="G19" s="10">
        <v>1318</v>
      </c>
      <c r="H19" s="10">
        <v>2</v>
      </c>
      <c r="I19" s="10">
        <v>3</v>
      </c>
      <c r="J19" s="10">
        <v>881</v>
      </c>
      <c r="K19" s="10">
        <v>59386239.434296027</v>
      </c>
    </row>
    <row r="20" spans="1:11" x14ac:dyDescent="0.35">
      <c r="A20" s="9" t="s">
        <v>47</v>
      </c>
      <c r="B20" s="10">
        <v>1026</v>
      </c>
      <c r="C20" s="10">
        <v>4</v>
      </c>
      <c r="D20" s="10">
        <v>4</v>
      </c>
      <c r="E20" s="10">
        <v>917</v>
      </c>
      <c r="F20" s="10">
        <v>31426846.765136085</v>
      </c>
      <c r="G20" s="10">
        <v>1875</v>
      </c>
      <c r="H20" s="10">
        <v>4</v>
      </c>
      <c r="I20" s="10">
        <v>5</v>
      </c>
      <c r="J20" s="10">
        <v>1051</v>
      </c>
      <c r="K20" s="10">
        <v>31697383.818457987</v>
      </c>
    </row>
    <row r="21" spans="1:11" x14ac:dyDescent="0.35">
      <c r="A21" s="9" t="s">
        <v>49</v>
      </c>
      <c r="B21" s="10">
        <v>961</v>
      </c>
      <c r="C21" s="10">
        <v>1</v>
      </c>
      <c r="D21" s="10">
        <v>3</v>
      </c>
      <c r="E21" s="10">
        <v>660</v>
      </c>
      <c r="F21" s="10">
        <v>29404864.563154258</v>
      </c>
      <c r="G21" s="10">
        <v>1017</v>
      </c>
      <c r="H21" s="10">
        <v>4</v>
      </c>
      <c r="I21" s="10">
        <v>3</v>
      </c>
      <c r="J21" s="10">
        <v>705</v>
      </c>
      <c r="K21" s="10">
        <v>26272421.334126413</v>
      </c>
    </row>
    <row r="22" spans="1:11" x14ac:dyDescent="0.35">
      <c r="A22" s="9" t="s">
        <v>51</v>
      </c>
      <c r="B22" s="10">
        <v>3175</v>
      </c>
      <c r="C22" s="10">
        <v>743</v>
      </c>
      <c r="D22" s="10">
        <v>11</v>
      </c>
      <c r="E22" s="10">
        <v>2175</v>
      </c>
      <c r="F22" s="10">
        <v>108653667.49750452</v>
      </c>
      <c r="G22" s="10">
        <v>3040</v>
      </c>
      <c r="H22" s="10">
        <v>185</v>
      </c>
      <c r="I22" s="10">
        <v>10</v>
      </c>
      <c r="J22" s="10">
        <v>2150</v>
      </c>
      <c r="K22" s="10">
        <v>113917458.16505688</v>
      </c>
    </row>
    <row r="23" spans="1:11" x14ac:dyDescent="0.35">
      <c r="A23" s="9" t="s">
        <v>53</v>
      </c>
      <c r="B23" s="10">
        <v>1430</v>
      </c>
      <c r="C23" s="10">
        <v>2</v>
      </c>
      <c r="D23" s="10">
        <v>2</v>
      </c>
      <c r="E23" s="10">
        <v>1152</v>
      </c>
      <c r="F23" s="10">
        <v>57097590.610072285</v>
      </c>
      <c r="G23" s="10">
        <v>1368</v>
      </c>
      <c r="H23" s="10">
        <v>7</v>
      </c>
      <c r="I23" s="10">
        <v>2</v>
      </c>
      <c r="J23" s="10">
        <v>1217</v>
      </c>
      <c r="K23" s="10">
        <v>40546267.953088224</v>
      </c>
    </row>
    <row r="24" spans="1:11" x14ac:dyDescent="0.35">
      <c r="A24" s="9" t="s">
        <v>55</v>
      </c>
      <c r="B24" s="10">
        <v>2995</v>
      </c>
      <c r="C24" s="10">
        <v>23</v>
      </c>
      <c r="D24" s="10">
        <v>11</v>
      </c>
      <c r="E24" s="10">
        <v>2178</v>
      </c>
      <c r="F24" s="10">
        <v>115723171.23131691</v>
      </c>
      <c r="G24" s="10">
        <v>2861</v>
      </c>
      <c r="H24" s="10">
        <v>20</v>
      </c>
      <c r="I24" s="10">
        <v>10</v>
      </c>
      <c r="J24" s="10">
        <v>2070</v>
      </c>
      <c r="K24" s="10">
        <v>116484716.88730329</v>
      </c>
    </row>
    <row r="25" spans="1:11" x14ac:dyDescent="0.35">
      <c r="A25" s="9" t="s">
        <v>67</v>
      </c>
      <c r="B25" s="10">
        <v>543</v>
      </c>
      <c r="C25" s="10">
        <v>6</v>
      </c>
      <c r="D25" s="10">
        <v>1</v>
      </c>
      <c r="E25" s="10">
        <v>861</v>
      </c>
      <c r="F25" s="10">
        <v>16434147.783009212</v>
      </c>
      <c r="G25" s="10">
        <v>602</v>
      </c>
      <c r="H25" s="10">
        <v>5</v>
      </c>
      <c r="I25" s="10">
        <v>1</v>
      </c>
      <c r="J25" s="10">
        <v>510</v>
      </c>
      <c r="K25" s="10">
        <v>17459250.199339949</v>
      </c>
    </row>
    <row r="26" spans="1:11" x14ac:dyDescent="0.35">
      <c r="A26" s="9" t="s">
        <v>74</v>
      </c>
      <c r="B26" s="10">
        <v>1747</v>
      </c>
      <c r="C26" s="10">
        <v>23</v>
      </c>
      <c r="D26" s="10">
        <v>1</v>
      </c>
      <c r="E26" s="10">
        <v>1314</v>
      </c>
      <c r="F26" s="10">
        <v>46537343.870023116</v>
      </c>
      <c r="G26" s="10">
        <v>2388</v>
      </c>
      <c r="H26" s="10">
        <v>19</v>
      </c>
      <c r="I26" s="10">
        <v>2</v>
      </c>
      <c r="J26" s="10">
        <v>1463</v>
      </c>
      <c r="K26" s="10">
        <v>48801246.873364367</v>
      </c>
    </row>
    <row r="27" spans="1:11" x14ac:dyDescent="0.35">
      <c r="A27" s="9" t="s">
        <v>70</v>
      </c>
      <c r="B27" s="10">
        <v>874</v>
      </c>
      <c r="C27" s="10">
        <v>13</v>
      </c>
      <c r="D27" s="10">
        <v>1</v>
      </c>
      <c r="E27" s="10">
        <v>731</v>
      </c>
      <c r="F27" s="10">
        <v>20425496.680764668</v>
      </c>
      <c r="G27" s="10">
        <v>984</v>
      </c>
      <c r="H27" s="10">
        <v>13</v>
      </c>
      <c r="I27" s="10">
        <v>1</v>
      </c>
      <c r="J27" s="10">
        <v>807</v>
      </c>
      <c r="K27" s="10">
        <v>20761438.367598273</v>
      </c>
    </row>
    <row r="28" spans="1:11" x14ac:dyDescent="0.35">
      <c r="A28" s="9" t="s">
        <v>72</v>
      </c>
      <c r="B28" s="10">
        <v>889</v>
      </c>
      <c r="C28" s="10">
        <v>6</v>
      </c>
      <c r="D28" s="10">
        <v>1</v>
      </c>
      <c r="E28" s="10">
        <v>731</v>
      </c>
      <c r="F28" s="10">
        <v>23128928.876835328</v>
      </c>
      <c r="G28" s="10">
        <v>927</v>
      </c>
      <c r="H28" s="10">
        <v>5</v>
      </c>
      <c r="I28" s="10">
        <v>1</v>
      </c>
      <c r="J28" s="10">
        <v>704</v>
      </c>
      <c r="K28" s="10">
        <v>24410936.995064031</v>
      </c>
    </row>
    <row r="29" spans="1:11" x14ac:dyDescent="0.35">
      <c r="A29" s="9" t="s">
        <v>79</v>
      </c>
      <c r="B29" s="10">
        <v>238</v>
      </c>
      <c r="C29" s="10">
        <v>1</v>
      </c>
      <c r="D29" s="10">
        <v>0</v>
      </c>
      <c r="E29" s="10">
        <v>190</v>
      </c>
      <c r="F29" s="10">
        <v>6905189.1558202393</v>
      </c>
      <c r="G29" s="10">
        <v>233</v>
      </c>
      <c r="H29" s="10">
        <v>1</v>
      </c>
      <c r="I29" s="10">
        <v>1</v>
      </c>
      <c r="J29" s="10">
        <v>193</v>
      </c>
      <c r="K29" s="10">
        <v>5996071.6071087979</v>
      </c>
    </row>
    <row r="30" spans="1:11" x14ac:dyDescent="0.35">
      <c r="A30" s="9" t="s">
        <v>109</v>
      </c>
      <c r="B30" s="10">
        <v>1651</v>
      </c>
      <c r="C30" s="10">
        <v>7</v>
      </c>
      <c r="D30" s="10">
        <v>5</v>
      </c>
      <c r="E30" s="10">
        <v>1357</v>
      </c>
      <c r="F30" s="10">
        <v>49729362.07224419</v>
      </c>
      <c r="G30" s="10">
        <v>2004</v>
      </c>
      <c r="H30" s="10">
        <v>13</v>
      </c>
      <c r="I30" s="10">
        <v>5</v>
      </c>
      <c r="J30" s="10">
        <v>1426</v>
      </c>
      <c r="K30" s="10">
        <v>46569723.164564334</v>
      </c>
    </row>
    <row r="31" spans="1:11" x14ac:dyDescent="0.35">
      <c r="A31" s="9" t="s">
        <v>111</v>
      </c>
      <c r="B31" s="10">
        <v>862</v>
      </c>
      <c r="C31" s="10">
        <v>6</v>
      </c>
      <c r="D31" s="10">
        <v>1</v>
      </c>
      <c r="E31" s="10">
        <v>607</v>
      </c>
      <c r="F31" s="10">
        <v>35801593.90167363</v>
      </c>
      <c r="G31" s="10">
        <v>1079</v>
      </c>
      <c r="H31" s="10">
        <v>7</v>
      </c>
      <c r="I31" s="10">
        <v>1</v>
      </c>
      <c r="J31" s="10">
        <v>667</v>
      </c>
      <c r="K31" s="10">
        <v>39618291.126881577</v>
      </c>
    </row>
    <row r="32" spans="1:11" x14ac:dyDescent="0.35">
      <c r="A32" s="9" t="s">
        <v>113</v>
      </c>
      <c r="B32" s="10">
        <v>1120</v>
      </c>
      <c r="C32" s="10">
        <v>8</v>
      </c>
      <c r="D32" s="10">
        <v>1</v>
      </c>
      <c r="E32" s="10">
        <v>742</v>
      </c>
      <c r="F32" s="10">
        <v>38995339.025270782</v>
      </c>
      <c r="G32" s="10">
        <v>1098</v>
      </c>
      <c r="H32" s="10">
        <v>3</v>
      </c>
      <c r="I32" s="10">
        <v>2</v>
      </c>
      <c r="J32" s="10">
        <v>777</v>
      </c>
      <c r="K32" s="10">
        <v>36985664.564649515</v>
      </c>
    </row>
    <row r="33" spans="1:11" x14ac:dyDescent="0.35">
      <c r="A33" s="9" t="s">
        <v>115</v>
      </c>
      <c r="B33" s="10">
        <v>1140</v>
      </c>
      <c r="C33" s="10">
        <v>3</v>
      </c>
      <c r="D33" s="10">
        <v>2</v>
      </c>
      <c r="E33" s="10">
        <v>909</v>
      </c>
      <c r="F33" s="10">
        <v>50045951.81350179</v>
      </c>
      <c r="G33" s="10">
        <v>1636</v>
      </c>
      <c r="H33" s="10">
        <v>4</v>
      </c>
      <c r="I33" s="10">
        <v>2</v>
      </c>
      <c r="J33" s="10">
        <v>1027</v>
      </c>
      <c r="K33" s="10">
        <v>51976622.113113418</v>
      </c>
    </row>
    <row r="34" spans="1:11" x14ac:dyDescent="0.35">
      <c r="A34" s="9" t="s">
        <v>16</v>
      </c>
      <c r="B34" s="10">
        <v>1516</v>
      </c>
      <c r="C34" s="10">
        <v>4</v>
      </c>
      <c r="D34" s="10">
        <v>5</v>
      </c>
      <c r="E34" s="10">
        <v>1236</v>
      </c>
      <c r="F34" s="10">
        <v>72870688.049874306</v>
      </c>
      <c r="G34" s="10">
        <v>1556</v>
      </c>
      <c r="H34" s="10">
        <v>6</v>
      </c>
      <c r="I34" s="10">
        <v>4</v>
      </c>
      <c r="J34" s="10">
        <v>1167</v>
      </c>
      <c r="K34" s="10">
        <v>68264550.785701677</v>
      </c>
    </row>
    <row r="35" spans="1:11" x14ac:dyDescent="0.35">
      <c r="A35" s="9" t="s">
        <v>18</v>
      </c>
      <c r="B35" s="10">
        <v>703</v>
      </c>
      <c r="C35" s="10">
        <v>3</v>
      </c>
      <c r="D35" s="10">
        <v>3</v>
      </c>
      <c r="E35" s="10">
        <v>595</v>
      </c>
      <c r="F35" s="10">
        <v>28266085.079626825</v>
      </c>
      <c r="G35" s="10">
        <v>960</v>
      </c>
      <c r="H35" s="10">
        <v>2</v>
      </c>
      <c r="I35" s="10">
        <v>5</v>
      </c>
      <c r="J35" s="10">
        <v>606</v>
      </c>
      <c r="K35" s="10">
        <v>30277654.5951063</v>
      </c>
    </row>
    <row r="36" spans="1:11" x14ac:dyDescent="0.35">
      <c r="A36" s="9" t="s">
        <v>43</v>
      </c>
      <c r="B36" s="10">
        <v>1963</v>
      </c>
      <c r="C36" s="10">
        <v>17</v>
      </c>
      <c r="D36" s="10">
        <v>11</v>
      </c>
      <c r="E36" s="10">
        <v>1649</v>
      </c>
      <c r="F36" s="10">
        <v>86154990.078881606</v>
      </c>
      <c r="G36" s="10">
        <v>1996</v>
      </c>
      <c r="H36" s="10">
        <v>13</v>
      </c>
      <c r="I36" s="10">
        <v>9</v>
      </c>
      <c r="J36" s="10">
        <v>1618</v>
      </c>
      <c r="K36" s="10">
        <v>77022100.49205032</v>
      </c>
    </row>
    <row r="37" spans="1:11" x14ac:dyDescent="0.35">
      <c r="A37" s="9" t="s">
        <v>152</v>
      </c>
      <c r="B37" s="10">
        <v>840</v>
      </c>
      <c r="C37" s="10">
        <v>6</v>
      </c>
      <c r="D37" s="10">
        <v>2</v>
      </c>
      <c r="E37" s="10">
        <v>768</v>
      </c>
      <c r="F37" s="10">
        <v>29071902.492817611</v>
      </c>
      <c r="G37" s="10">
        <v>1190</v>
      </c>
      <c r="H37" s="10">
        <v>5</v>
      </c>
      <c r="I37" s="10">
        <v>2</v>
      </c>
      <c r="J37" s="10">
        <v>792</v>
      </c>
      <c r="K37" s="10">
        <v>29917223.364180356</v>
      </c>
    </row>
    <row r="38" spans="1:11" x14ac:dyDescent="0.35">
      <c r="A38" s="9" t="s">
        <v>149</v>
      </c>
      <c r="B38" s="10">
        <v>711</v>
      </c>
      <c r="C38" s="10">
        <v>5</v>
      </c>
      <c r="D38" s="10">
        <v>1</v>
      </c>
      <c r="E38" s="10">
        <v>575</v>
      </c>
      <c r="F38" s="10">
        <v>25568497.635876447</v>
      </c>
      <c r="G38" s="10">
        <v>1473</v>
      </c>
      <c r="H38" s="10">
        <v>4</v>
      </c>
      <c r="I38" s="10">
        <v>1</v>
      </c>
      <c r="J38" s="10">
        <v>746</v>
      </c>
      <c r="K38" s="10">
        <v>27925758.75010572</v>
      </c>
    </row>
    <row r="39" spans="1:11" x14ac:dyDescent="0.35">
      <c r="A39" s="9" t="s">
        <v>154</v>
      </c>
      <c r="B39" s="10">
        <v>1134</v>
      </c>
      <c r="C39" s="10">
        <v>23</v>
      </c>
      <c r="D39" s="10">
        <v>2</v>
      </c>
      <c r="E39" s="10">
        <v>865</v>
      </c>
      <c r="F39" s="10">
        <v>43512165.739233248</v>
      </c>
      <c r="G39" s="10">
        <v>2161</v>
      </c>
      <c r="H39" s="10">
        <v>21</v>
      </c>
      <c r="I39" s="10">
        <v>1</v>
      </c>
      <c r="J39" s="10">
        <v>1160</v>
      </c>
      <c r="K39" s="10">
        <v>43556903.926125184</v>
      </c>
    </row>
    <row r="40" spans="1:11" x14ac:dyDescent="0.35">
      <c r="A40" s="9" t="s">
        <v>2</v>
      </c>
      <c r="B40" s="10">
        <v>1207</v>
      </c>
      <c r="C40" s="10">
        <v>178</v>
      </c>
      <c r="D40" s="10">
        <v>1</v>
      </c>
      <c r="E40" s="10">
        <v>934</v>
      </c>
      <c r="F40" s="10">
        <v>41812488.579243429</v>
      </c>
      <c r="G40" s="10">
        <v>1941</v>
      </c>
      <c r="H40" s="10">
        <v>207</v>
      </c>
      <c r="I40" s="10">
        <v>1</v>
      </c>
      <c r="J40" s="10">
        <v>993</v>
      </c>
      <c r="K40" s="10">
        <v>41141375.556307934</v>
      </c>
    </row>
    <row r="41" spans="1:11" x14ac:dyDescent="0.35">
      <c r="A41" s="9" t="s">
        <v>156</v>
      </c>
      <c r="B41" s="10">
        <v>2062</v>
      </c>
      <c r="C41" s="10">
        <v>319</v>
      </c>
      <c r="D41" s="10">
        <v>4</v>
      </c>
      <c r="E41" s="10">
        <v>1533</v>
      </c>
      <c r="F41" s="10">
        <v>66020248.355632178</v>
      </c>
      <c r="G41" s="10">
        <v>3762</v>
      </c>
      <c r="H41" s="10">
        <v>81</v>
      </c>
      <c r="I41" s="10">
        <v>5</v>
      </c>
      <c r="J41" s="10">
        <v>1688</v>
      </c>
      <c r="K41" s="10">
        <v>72813183.646974325</v>
      </c>
    </row>
    <row r="42" spans="1:11" x14ac:dyDescent="0.35">
      <c r="A42" s="9" t="s">
        <v>14</v>
      </c>
      <c r="B42" s="10">
        <v>601</v>
      </c>
      <c r="C42" s="10">
        <v>2</v>
      </c>
      <c r="D42" s="10">
        <v>5</v>
      </c>
      <c r="E42" s="10">
        <v>420</v>
      </c>
      <c r="F42" s="10">
        <v>20964322.260357294</v>
      </c>
      <c r="G42" s="10">
        <v>655</v>
      </c>
      <c r="H42" s="10">
        <v>1</v>
      </c>
      <c r="I42" s="10">
        <v>6</v>
      </c>
      <c r="J42" s="10">
        <v>488</v>
      </c>
      <c r="K42" s="10">
        <v>26235857.085454296</v>
      </c>
    </row>
    <row r="43" spans="1:11" x14ac:dyDescent="0.35">
      <c r="A43" s="9" t="s">
        <v>8</v>
      </c>
      <c r="B43" s="10">
        <v>2055</v>
      </c>
      <c r="C43" s="10">
        <v>14</v>
      </c>
      <c r="D43" s="10">
        <v>5</v>
      </c>
      <c r="E43" s="10">
        <v>1940</v>
      </c>
      <c r="F43" s="10">
        <v>77995475.854446486</v>
      </c>
      <c r="G43" s="10">
        <v>2746</v>
      </c>
      <c r="H43" s="10">
        <v>8</v>
      </c>
      <c r="I43" s="10">
        <v>6</v>
      </c>
      <c r="J43" s="10">
        <v>2054</v>
      </c>
      <c r="K43" s="10">
        <v>84982068.581714973</v>
      </c>
    </row>
    <row r="44" spans="1:11" x14ac:dyDescent="0.35">
      <c r="A44" s="9" t="s">
        <v>39</v>
      </c>
      <c r="B44" s="10">
        <v>886</v>
      </c>
      <c r="C44" s="10">
        <v>8</v>
      </c>
      <c r="D44" s="10">
        <v>4</v>
      </c>
      <c r="E44" s="10">
        <v>812</v>
      </c>
      <c r="F44" s="10">
        <v>54436806.236391269</v>
      </c>
      <c r="G44" s="10">
        <v>976</v>
      </c>
      <c r="H44" s="10">
        <v>11</v>
      </c>
      <c r="I44" s="10">
        <v>4</v>
      </c>
      <c r="J44" s="10">
        <v>870</v>
      </c>
      <c r="K44" s="10">
        <v>58701800.197885163</v>
      </c>
    </row>
    <row r="45" spans="1:11" x14ac:dyDescent="0.35">
      <c r="A45" s="9" t="s">
        <v>6</v>
      </c>
      <c r="B45" s="10">
        <v>1099</v>
      </c>
      <c r="C45" s="10">
        <v>3</v>
      </c>
      <c r="D45" s="10">
        <v>3</v>
      </c>
      <c r="E45" s="10">
        <v>948</v>
      </c>
      <c r="F45" s="10">
        <v>44276973.98159267</v>
      </c>
      <c r="G45" s="10">
        <v>1441</v>
      </c>
      <c r="H45" s="10">
        <v>8</v>
      </c>
      <c r="I45" s="10">
        <v>3</v>
      </c>
      <c r="J45" s="10">
        <v>1066</v>
      </c>
      <c r="K45" s="10">
        <v>35908787.661722973</v>
      </c>
    </row>
    <row r="46" spans="1:11" x14ac:dyDescent="0.35">
      <c r="A46" s="9" t="s">
        <v>41</v>
      </c>
      <c r="B46" s="10">
        <v>867</v>
      </c>
      <c r="C46" s="10">
        <v>0</v>
      </c>
      <c r="D46" s="10">
        <v>5</v>
      </c>
      <c r="E46" s="10">
        <v>589</v>
      </c>
      <c r="F46" s="10">
        <v>43215912.445398502</v>
      </c>
      <c r="G46" s="10">
        <v>840</v>
      </c>
      <c r="H46" s="10">
        <v>8</v>
      </c>
      <c r="I46" s="10">
        <v>4</v>
      </c>
      <c r="J46" s="10">
        <v>592</v>
      </c>
      <c r="K46" s="10">
        <v>43959153.096197039</v>
      </c>
    </row>
    <row r="47" spans="1:11" x14ac:dyDescent="0.35">
      <c r="A47" s="9" t="s">
        <v>158</v>
      </c>
      <c r="B47" s="10">
        <v>665</v>
      </c>
      <c r="C47" s="10">
        <v>4</v>
      </c>
      <c r="D47" s="10">
        <v>10</v>
      </c>
      <c r="E47" s="10">
        <v>562</v>
      </c>
      <c r="F47" s="10">
        <v>26953771.96745009</v>
      </c>
      <c r="G47" s="10">
        <v>1224</v>
      </c>
      <c r="H47" s="10">
        <v>3</v>
      </c>
      <c r="I47" s="10">
        <v>10</v>
      </c>
      <c r="J47" s="10">
        <v>685</v>
      </c>
      <c r="K47" s="10">
        <v>27732975.027094074</v>
      </c>
    </row>
    <row r="48" spans="1:11" x14ac:dyDescent="0.35">
      <c r="A48" s="9" t="s">
        <v>160</v>
      </c>
      <c r="B48" s="10">
        <v>707</v>
      </c>
      <c r="C48" s="10">
        <v>2</v>
      </c>
      <c r="D48" s="10">
        <v>1</v>
      </c>
      <c r="E48" s="10">
        <v>687</v>
      </c>
      <c r="F48" s="10">
        <v>26439928.061423115</v>
      </c>
      <c r="G48" s="10">
        <v>772</v>
      </c>
      <c r="H48" s="10">
        <v>2</v>
      </c>
      <c r="I48" s="10">
        <v>1</v>
      </c>
      <c r="J48" s="10">
        <v>758</v>
      </c>
      <c r="K48" s="10">
        <v>23919724.123661119</v>
      </c>
    </row>
    <row r="49" spans="1:11" x14ac:dyDescent="0.35">
      <c r="A49" s="9" t="s">
        <v>83</v>
      </c>
      <c r="B49" s="10">
        <v>1256</v>
      </c>
      <c r="C49" s="10">
        <v>12</v>
      </c>
      <c r="D49" s="10">
        <v>5</v>
      </c>
      <c r="E49" s="10">
        <v>1072</v>
      </c>
      <c r="F49" s="10">
        <v>81776514.348296747</v>
      </c>
      <c r="G49" s="10">
        <v>1384</v>
      </c>
      <c r="H49" s="10">
        <v>9</v>
      </c>
      <c r="I49" s="10">
        <v>5</v>
      </c>
      <c r="J49" s="10">
        <v>1105</v>
      </c>
      <c r="K49" s="10">
        <v>79472292.516941741</v>
      </c>
    </row>
    <row r="50" spans="1:11" x14ac:dyDescent="0.35">
      <c r="A50" s="9" t="s">
        <v>202</v>
      </c>
      <c r="B50" s="10">
        <v>445</v>
      </c>
      <c r="C50" s="10">
        <v>3</v>
      </c>
      <c r="D50" s="10">
        <v>2</v>
      </c>
      <c r="E50" s="10">
        <v>473</v>
      </c>
      <c r="F50" s="10">
        <v>15174776.428236678</v>
      </c>
      <c r="G50" s="10">
        <v>514</v>
      </c>
      <c r="H50" s="10">
        <v>1</v>
      </c>
      <c r="I50" s="10">
        <v>1</v>
      </c>
      <c r="J50" s="10">
        <v>518</v>
      </c>
      <c r="K50" s="10">
        <v>12808672.588199336</v>
      </c>
    </row>
    <row r="51" spans="1:11" x14ac:dyDescent="0.35">
      <c r="A51" s="9" t="s">
        <v>31</v>
      </c>
      <c r="B51" s="10">
        <v>885</v>
      </c>
      <c r="C51" s="10">
        <v>3</v>
      </c>
      <c r="D51" s="10">
        <v>5</v>
      </c>
      <c r="E51" s="10">
        <v>794</v>
      </c>
      <c r="F51" s="10">
        <v>36770762.886997737</v>
      </c>
      <c r="G51" s="10">
        <v>1043</v>
      </c>
      <c r="H51" s="10">
        <v>4</v>
      </c>
      <c r="I51" s="10">
        <v>6</v>
      </c>
      <c r="J51" s="10">
        <v>965</v>
      </c>
      <c r="K51" s="10">
        <v>36441233.259287819</v>
      </c>
    </row>
    <row r="52" spans="1:11" x14ac:dyDescent="0.35">
      <c r="A52" s="9" t="s">
        <v>33</v>
      </c>
      <c r="B52" s="10">
        <v>1314</v>
      </c>
      <c r="C52" s="10">
        <v>20</v>
      </c>
      <c r="D52" s="10">
        <v>12</v>
      </c>
      <c r="E52" s="10">
        <v>1122</v>
      </c>
      <c r="F52" s="10">
        <v>57110232.707274564</v>
      </c>
      <c r="G52" s="10">
        <v>2233</v>
      </c>
      <c r="H52" s="10">
        <v>6</v>
      </c>
      <c r="I52" s="10">
        <v>12</v>
      </c>
      <c r="J52" s="10">
        <v>1144</v>
      </c>
      <c r="K52" s="10">
        <v>64532595.929417528</v>
      </c>
    </row>
    <row r="53" spans="1:11" x14ac:dyDescent="0.35">
      <c r="A53" s="9" t="s">
        <v>85</v>
      </c>
      <c r="B53" s="10">
        <v>480</v>
      </c>
      <c r="C53" s="10">
        <v>10</v>
      </c>
      <c r="D53" s="10">
        <v>5</v>
      </c>
      <c r="E53" s="10">
        <v>398</v>
      </c>
      <c r="F53" s="10">
        <v>29551503.351499051</v>
      </c>
      <c r="G53" s="10">
        <v>530</v>
      </c>
      <c r="H53" s="10">
        <v>4</v>
      </c>
      <c r="I53" s="10">
        <v>6</v>
      </c>
      <c r="J53" s="10">
        <v>397</v>
      </c>
      <c r="K53" s="10">
        <v>32828307.292042971</v>
      </c>
    </row>
    <row r="54" spans="1:11" x14ac:dyDescent="0.35">
      <c r="A54" s="9" t="s">
        <v>81</v>
      </c>
      <c r="B54" s="10">
        <v>447</v>
      </c>
      <c r="C54" s="10">
        <v>2</v>
      </c>
      <c r="D54" s="10">
        <v>6</v>
      </c>
      <c r="E54" s="10">
        <v>337</v>
      </c>
      <c r="F54" s="10">
        <v>27807108.554129984</v>
      </c>
      <c r="G54" s="10">
        <v>532</v>
      </c>
      <c r="H54" s="10">
        <v>4</v>
      </c>
      <c r="I54" s="10">
        <v>4</v>
      </c>
      <c r="J54" s="10">
        <v>390</v>
      </c>
      <c r="K54" s="10">
        <v>24535467.674710847</v>
      </c>
    </row>
    <row r="55" spans="1:11" x14ac:dyDescent="0.35">
      <c r="A55" s="9" t="s">
        <v>87</v>
      </c>
      <c r="B55" s="10">
        <v>425</v>
      </c>
      <c r="C55" s="10">
        <v>12</v>
      </c>
      <c r="D55" s="10">
        <v>2</v>
      </c>
      <c r="E55" s="10">
        <v>384</v>
      </c>
      <c r="F55" s="10">
        <v>23058755.16149392</v>
      </c>
      <c r="G55" s="10">
        <v>703</v>
      </c>
      <c r="H55" s="10">
        <v>1</v>
      </c>
      <c r="I55" s="10">
        <v>3</v>
      </c>
      <c r="J55" s="10">
        <v>408</v>
      </c>
      <c r="K55" s="10">
        <v>21448700.207528297</v>
      </c>
    </row>
    <row r="56" spans="1:11" x14ac:dyDescent="0.35">
      <c r="A56" s="9" t="s">
        <v>166</v>
      </c>
      <c r="B56" s="10">
        <v>1129</v>
      </c>
      <c r="C56" s="10">
        <v>7</v>
      </c>
      <c r="D56" s="10">
        <v>1</v>
      </c>
      <c r="E56" s="10">
        <v>967</v>
      </c>
      <c r="F56" s="10">
        <v>50761603.514413498</v>
      </c>
      <c r="G56" s="10">
        <v>1111</v>
      </c>
      <c r="H56" s="10">
        <v>6</v>
      </c>
      <c r="I56" s="10">
        <v>1</v>
      </c>
      <c r="J56" s="10">
        <v>877</v>
      </c>
      <c r="K56" s="10">
        <v>49678993.679851547</v>
      </c>
    </row>
    <row r="57" spans="1:11" x14ac:dyDescent="0.35">
      <c r="A57" s="9" t="s">
        <v>93</v>
      </c>
      <c r="B57" s="10">
        <v>972</v>
      </c>
      <c r="C57" s="10">
        <v>14</v>
      </c>
      <c r="D57" s="10">
        <v>2</v>
      </c>
      <c r="E57" s="10">
        <v>752</v>
      </c>
      <c r="F57" s="10">
        <v>53221947.367332153</v>
      </c>
      <c r="G57" s="10">
        <v>1625</v>
      </c>
      <c r="H57" s="10">
        <v>7</v>
      </c>
      <c r="I57" s="10">
        <v>1</v>
      </c>
      <c r="J57" s="10">
        <v>30</v>
      </c>
      <c r="K57" s="10">
        <v>47476721.353403822</v>
      </c>
    </row>
    <row r="58" spans="1:11" x14ac:dyDescent="0.35">
      <c r="A58" s="9" t="s">
        <v>95</v>
      </c>
      <c r="B58" s="10">
        <v>2065</v>
      </c>
      <c r="C58" s="10">
        <v>40</v>
      </c>
      <c r="D58" s="10">
        <v>7</v>
      </c>
      <c r="E58" s="10">
        <v>1797</v>
      </c>
      <c r="F58" s="10">
        <v>78159523.72072418</v>
      </c>
      <c r="G58" s="10">
        <v>2740</v>
      </c>
      <c r="H58" s="10">
        <v>14</v>
      </c>
      <c r="I58" s="10">
        <v>8</v>
      </c>
      <c r="J58" s="10">
        <v>2571</v>
      </c>
      <c r="K58" s="10">
        <v>96612128.959148705</v>
      </c>
    </row>
    <row r="59" spans="1:11" x14ac:dyDescent="0.35">
      <c r="A59" s="9" t="s">
        <v>174</v>
      </c>
      <c r="B59" s="10">
        <v>688</v>
      </c>
      <c r="C59" s="10">
        <v>3</v>
      </c>
      <c r="D59" s="10">
        <v>0</v>
      </c>
      <c r="E59" s="10">
        <v>474</v>
      </c>
      <c r="F59" s="10">
        <v>24251953.169244882</v>
      </c>
      <c r="G59" s="10">
        <v>669</v>
      </c>
      <c r="H59" s="10">
        <v>5</v>
      </c>
      <c r="I59" s="10">
        <v>0</v>
      </c>
      <c r="J59" s="10">
        <v>411</v>
      </c>
      <c r="K59" s="10">
        <v>23619215.264623117</v>
      </c>
    </row>
    <row r="60" spans="1:11" x14ac:dyDescent="0.35">
      <c r="A60" s="9" t="s">
        <v>99</v>
      </c>
      <c r="B60" s="10">
        <v>899</v>
      </c>
      <c r="C60" s="10">
        <v>10</v>
      </c>
      <c r="D60" s="10">
        <v>6</v>
      </c>
      <c r="E60" s="10">
        <v>873</v>
      </c>
      <c r="F60" s="10">
        <v>38806451.604102969</v>
      </c>
      <c r="G60" s="10">
        <v>965</v>
      </c>
      <c r="H60" s="10">
        <v>9</v>
      </c>
      <c r="I60" s="10">
        <v>5</v>
      </c>
      <c r="J60" s="10">
        <v>987</v>
      </c>
      <c r="K60" s="10">
        <v>41226556.428805619</v>
      </c>
    </row>
    <row r="61" spans="1:11" x14ac:dyDescent="0.35">
      <c r="A61" s="9" t="s">
        <v>172</v>
      </c>
      <c r="B61" s="10">
        <v>779</v>
      </c>
      <c r="C61" s="10">
        <v>3</v>
      </c>
      <c r="D61" s="10">
        <v>1</v>
      </c>
      <c r="E61" s="10">
        <v>591</v>
      </c>
      <c r="F61" s="10">
        <v>29132791.99260902</v>
      </c>
      <c r="G61" s="10">
        <v>744</v>
      </c>
      <c r="H61" s="10">
        <v>4</v>
      </c>
      <c r="I61" s="10">
        <v>1</v>
      </c>
      <c r="J61" s="10">
        <v>969</v>
      </c>
      <c r="K61" s="10">
        <v>25601111.980963081</v>
      </c>
    </row>
    <row r="62" spans="1:11" x14ac:dyDescent="0.35">
      <c r="A62" s="9" t="s">
        <v>168</v>
      </c>
      <c r="B62" s="10">
        <v>1089</v>
      </c>
      <c r="C62" s="10">
        <v>10</v>
      </c>
      <c r="D62" s="10">
        <v>1</v>
      </c>
      <c r="E62" s="10">
        <v>1139</v>
      </c>
      <c r="F62" s="10">
        <v>50644444.270040818</v>
      </c>
      <c r="G62" s="10">
        <v>1135</v>
      </c>
      <c r="H62" s="10">
        <v>6</v>
      </c>
      <c r="I62" s="10">
        <v>0</v>
      </c>
      <c r="J62" s="10">
        <v>1034</v>
      </c>
      <c r="K62" s="10">
        <v>52427779.178098351</v>
      </c>
    </row>
    <row r="63" spans="1:11" x14ac:dyDescent="0.35">
      <c r="A63" s="9" t="s">
        <v>101</v>
      </c>
      <c r="B63" s="10">
        <v>1367</v>
      </c>
      <c r="C63" s="10">
        <v>15</v>
      </c>
      <c r="D63" s="10">
        <v>4</v>
      </c>
      <c r="E63" s="10">
        <v>1361</v>
      </c>
      <c r="F63" s="10">
        <v>65409793.251872301</v>
      </c>
      <c r="G63" s="10">
        <v>1640</v>
      </c>
      <c r="H63" s="10">
        <v>11</v>
      </c>
      <c r="I63" s="10">
        <v>4</v>
      </c>
      <c r="J63" s="10">
        <v>1376</v>
      </c>
      <c r="K63" s="10">
        <v>66512279.026387118</v>
      </c>
    </row>
    <row r="64" spans="1:11" x14ac:dyDescent="0.35">
      <c r="A64" s="9" t="s">
        <v>103</v>
      </c>
      <c r="B64" s="10">
        <v>777</v>
      </c>
      <c r="C64" s="10">
        <v>6</v>
      </c>
      <c r="D64" s="10">
        <v>5</v>
      </c>
      <c r="E64" s="10">
        <v>720</v>
      </c>
      <c r="F64" s="10">
        <v>33049545.655769039</v>
      </c>
      <c r="G64" s="10">
        <v>796</v>
      </c>
      <c r="H64" s="10">
        <v>3</v>
      </c>
      <c r="I64" s="10">
        <v>4</v>
      </c>
      <c r="J64" s="10">
        <v>721</v>
      </c>
      <c r="K64" s="10">
        <v>35380846.257665277</v>
      </c>
    </row>
    <row r="65" spans="1:11" x14ac:dyDescent="0.35">
      <c r="A65" s="9" t="s">
        <v>105</v>
      </c>
      <c r="B65" s="10">
        <v>664</v>
      </c>
      <c r="C65" s="10">
        <v>7</v>
      </c>
      <c r="D65" s="10">
        <v>5</v>
      </c>
      <c r="E65" s="10">
        <v>493</v>
      </c>
      <c r="F65" s="10">
        <v>38559936.027400665</v>
      </c>
      <c r="G65" s="10">
        <v>634</v>
      </c>
      <c r="H65" s="10">
        <v>11</v>
      </c>
      <c r="I65" s="10">
        <v>6</v>
      </c>
      <c r="J65" s="10">
        <v>517</v>
      </c>
      <c r="K65" s="10">
        <v>39662252.585078441</v>
      </c>
    </row>
    <row r="66" spans="1:11" x14ac:dyDescent="0.35">
      <c r="A66" s="9" t="s">
        <v>24</v>
      </c>
      <c r="B66" s="10">
        <v>2039</v>
      </c>
      <c r="C66" s="10">
        <v>25</v>
      </c>
      <c r="D66" s="10">
        <v>10</v>
      </c>
      <c r="E66" s="10">
        <v>1846</v>
      </c>
      <c r="F66" s="10">
        <v>105317877.79157439</v>
      </c>
      <c r="G66" s="10">
        <v>2126</v>
      </c>
      <c r="H66" s="10">
        <v>18</v>
      </c>
      <c r="I66" s="10">
        <v>11</v>
      </c>
      <c r="J66" s="10">
        <v>1902</v>
      </c>
      <c r="K66" s="10">
        <v>128572521.70171705</v>
      </c>
    </row>
    <row r="67" spans="1:11" x14ac:dyDescent="0.35">
      <c r="A67" s="9" t="s">
        <v>27</v>
      </c>
      <c r="B67" s="10">
        <v>1570</v>
      </c>
      <c r="C67" s="10">
        <v>22</v>
      </c>
      <c r="D67" s="10">
        <v>7</v>
      </c>
      <c r="E67" s="10">
        <v>1190</v>
      </c>
      <c r="F67" s="10">
        <v>93876226.663017645</v>
      </c>
      <c r="G67" s="10">
        <v>1783</v>
      </c>
      <c r="H67" s="10">
        <v>24</v>
      </c>
      <c r="I67" s="10">
        <v>6</v>
      </c>
      <c r="J67" s="10">
        <v>1237</v>
      </c>
      <c r="K67" s="10">
        <v>97074447.921974197</v>
      </c>
    </row>
    <row r="68" spans="1:11" x14ac:dyDescent="0.35">
      <c r="A68" s="9" t="s">
        <v>29</v>
      </c>
      <c r="B68" s="10">
        <v>860</v>
      </c>
      <c r="C68" s="10">
        <v>2</v>
      </c>
      <c r="D68" s="10">
        <v>1</v>
      </c>
      <c r="E68" s="10">
        <v>749</v>
      </c>
      <c r="F68" s="10">
        <v>58138077.427165359</v>
      </c>
      <c r="G68" s="10">
        <v>957</v>
      </c>
      <c r="H68" s="10">
        <v>11</v>
      </c>
      <c r="I68" s="10">
        <v>1</v>
      </c>
      <c r="J68" s="10">
        <v>766</v>
      </c>
      <c r="K68" s="10">
        <v>62251521.754224129</v>
      </c>
    </row>
    <row r="69" spans="1:11" x14ac:dyDescent="0.35">
      <c r="A69" s="9" t="s">
        <v>57</v>
      </c>
      <c r="B69" s="10">
        <v>2106</v>
      </c>
      <c r="C69" s="10">
        <v>385</v>
      </c>
      <c r="D69" s="10">
        <v>13</v>
      </c>
      <c r="E69" s="10">
        <v>1225</v>
      </c>
      <c r="F69" s="10">
        <v>86362225.098990321</v>
      </c>
      <c r="G69" s="10">
        <v>2477</v>
      </c>
      <c r="H69" s="10">
        <v>528</v>
      </c>
      <c r="I69" s="10">
        <v>12</v>
      </c>
      <c r="J69" s="10">
        <v>1249</v>
      </c>
      <c r="K69" s="10">
        <v>90509468.72828646</v>
      </c>
    </row>
    <row r="70" spans="1:11" x14ac:dyDescent="0.35">
      <c r="A70" s="9" t="s">
        <v>137</v>
      </c>
      <c r="B70" s="10">
        <v>261</v>
      </c>
      <c r="C70" s="10">
        <v>2</v>
      </c>
      <c r="D70" s="10">
        <v>1</v>
      </c>
      <c r="E70" s="10">
        <v>252</v>
      </c>
      <c r="F70" s="10">
        <v>6405491.3080369551</v>
      </c>
      <c r="G70" s="10">
        <v>425</v>
      </c>
      <c r="H70" s="10">
        <v>0</v>
      </c>
      <c r="I70" s="10">
        <v>1</v>
      </c>
      <c r="J70" s="10">
        <v>288</v>
      </c>
      <c r="K70" s="10">
        <v>4227077.7301315293</v>
      </c>
    </row>
    <row r="71" spans="1:11" x14ac:dyDescent="0.35">
      <c r="A71" s="9" t="s">
        <v>10</v>
      </c>
      <c r="B71" s="10">
        <v>1764</v>
      </c>
      <c r="C71" s="10">
        <v>6</v>
      </c>
      <c r="D71" s="10">
        <v>7</v>
      </c>
      <c r="E71" s="10">
        <v>1579</v>
      </c>
      <c r="F71" s="10">
        <v>67676228.908374295</v>
      </c>
      <c r="G71" s="10">
        <v>1983</v>
      </c>
      <c r="H71" s="10">
        <v>14</v>
      </c>
      <c r="I71" s="10">
        <v>6</v>
      </c>
      <c r="J71" s="10">
        <v>1599</v>
      </c>
      <c r="K71" s="10">
        <v>65582961.023230992</v>
      </c>
    </row>
    <row r="72" spans="1:11" x14ac:dyDescent="0.35">
      <c r="A72" s="9" t="s">
        <v>12</v>
      </c>
      <c r="B72" s="10">
        <v>669</v>
      </c>
      <c r="C72" s="10">
        <v>3</v>
      </c>
      <c r="D72" s="10">
        <v>2</v>
      </c>
      <c r="E72" s="10">
        <v>581</v>
      </c>
      <c r="F72" s="10">
        <v>28349619.480366256</v>
      </c>
      <c r="G72" s="10">
        <v>998</v>
      </c>
      <c r="H72" s="10">
        <v>5</v>
      </c>
      <c r="I72" s="10">
        <v>4</v>
      </c>
      <c r="J72" s="10">
        <v>627</v>
      </c>
      <c r="K72" s="10">
        <v>30854592.975041281</v>
      </c>
    </row>
    <row r="73" spans="1:11" x14ac:dyDescent="0.35">
      <c r="A73" s="9" t="s">
        <v>162</v>
      </c>
      <c r="B73" s="10">
        <v>1327</v>
      </c>
      <c r="C73" s="10">
        <v>49</v>
      </c>
      <c r="D73" s="10">
        <v>5</v>
      </c>
      <c r="E73" s="10">
        <v>875</v>
      </c>
      <c r="F73" s="10">
        <v>45390232.976103954</v>
      </c>
      <c r="G73" s="10">
        <v>1909</v>
      </c>
      <c r="H73" s="10">
        <v>77</v>
      </c>
      <c r="I73" s="10">
        <v>5</v>
      </c>
      <c r="J73" s="10">
        <v>1106</v>
      </c>
      <c r="K73" s="10">
        <v>48181756.46103324</v>
      </c>
    </row>
    <row r="74" spans="1:11" x14ac:dyDescent="0.35">
      <c r="A74" s="9" t="s">
        <v>63</v>
      </c>
      <c r="B74" s="10">
        <v>1318</v>
      </c>
      <c r="C74" s="10">
        <v>8</v>
      </c>
      <c r="D74" s="10">
        <v>5</v>
      </c>
      <c r="E74" s="10">
        <v>1244</v>
      </c>
      <c r="F74" s="10">
        <v>21556899.945883576</v>
      </c>
      <c r="G74" s="10">
        <v>1338</v>
      </c>
      <c r="H74" s="10">
        <v>8</v>
      </c>
      <c r="I74" s="10">
        <v>5</v>
      </c>
      <c r="J74" s="10">
        <v>1242</v>
      </c>
      <c r="K74" s="10">
        <v>32660356.944518913</v>
      </c>
    </row>
    <row r="75" spans="1:11" x14ac:dyDescent="0.35">
      <c r="A75" s="9" t="s">
        <v>59</v>
      </c>
      <c r="B75" s="10">
        <v>1741</v>
      </c>
      <c r="C75" s="10">
        <v>10</v>
      </c>
      <c r="D75" s="10">
        <v>5</v>
      </c>
      <c r="E75" s="10">
        <v>1207</v>
      </c>
      <c r="F75" s="10">
        <v>80338894.231796458</v>
      </c>
      <c r="G75" s="10">
        <v>1753</v>
      </c>
      <c r="H75" s="10">
        <v>14</v>
      </c>
      <c r="I75" s="10">
        <v>5</v>
      </c>
      <c r="J75" s="10">
        <v>1326</v>
      </c>
      <c r="K75" s="10">
        <v>83243822.310191005</v>
      </c>
    </row>
    <row r="76" spans="1:11" x14ac:dyDescent="0.35">
      <c r="A76" s="9" t="s">
        <v>139</v>
      </c>
      <c r="B76" s="10">
        <v>493</v>
      </c>
      <c r="C76" s="10">
        <v>4</v>
      </c>
      <c r="D76" s="10">
        <v>2</v>
      </c>
      <c r="E76" s="10">
        <v>427</v>
      </c>
      <c r="F76" s="10">
        <v>16712994.166134812</v>
      </c>
      <c r="G76" s="10">
        <v>1007</v>
      </c>
      <c r="H76" s="10">
        <v>2</v>
      </c>
      <c r="I76" s="10">
        <v>1</v>
      </c>
      <c r="J76" s="10">
        <v>563</v>
      </c>
      <c r="K76" s="10">
        <v>16908616.827035986</v>
      </c>
    </row>
    <row r="77" spans="1:11" x14ac:dyDescent="0.35">
      <c r="A77" s="9" t="s">
        <v>170</v>
      </c>
      <c r="B77" s="10">
        <v>887</v>
      </c>
      <c r="C77" s="10">
        <v>5</v>
      </c>
      <c r="D77" s="10">
        <v>1</v>
      </c>
      <c r="E77" s="10">
        <v>840</v>
      </c>
      <c r="F77" s="10">
        <v>26477098.091922052</v>
      </c>
      <c r="G77" s="10">
        <v>948</v>
      </c>
      <c r="H77" s="10">
        <v>6</v>
      </c>
      <c r="I77" s="10">
        <v>1</v>
      </c>
      <c r="J77" s="10">
        <v>647</v>
      </c>
      <c r="K77" s="10">
        <v>26712418.087270249</v>
      </c>
    </row>
    <row r="78" spans="1:11" x14ac:dyDescent="0.35">
      <c r="A78" s="9" t="s">
        <v>61</v>
      </c>
      <c r="B78" s="10">
        <v>654</v>
      </c>
      <c r="C78" s="10">
        <v>2</v>
      </c>
      <c r="D78" s="10">
        <v>4</v>
      </c>
      <c r="E78" s="10">
        <v>458</v>
      </c>
      <c r="F78" s="10">
        <v>15950185.407910096</v>
      </c>
      <c r="G78" s="10">
        <v>666</v>
      </c>
      <c r="H78" s="10">
        <v>2</v>
      </c>
      <c r="I78" s="10">
        <v>3</v>
      </c>
      <c r="J78" s="10">
        <v>492</v>
      </c>
      <c r="K78" s="10">
        <v>26924777.455095489</v>
      </c>
    </row>
    <row r="79" spans="1:11" x14ac:dyDescent="0.35">
      <c r="A79" s="9" t="s">
        <v>129</v>
      </c>
      <c r="B79" s="10">
        <v>574</v>
      </c>
      <c r="C79" s="10">
        <v>5</v>
      </c>
      <c r="D79" s="10">
        <v>1</v>
      </c>
      <c r="E79" s="10">
        <v>472</v>
      </c>
      <c r="F79" s="10">
        <v>13942755.30856281</v>
      </c>
      <c r="G79" s="10">
        <v>906</v>
      </c>
      <c r="H79" s="10">
        <v>6</v>
      </c>
      <c r="I79" s="10">
        <v>1</v>
      </c>
      <c r="J79" s="10">
        <v>590</v>
      </c>
      <c r="K79" s="10">
        <v>18454498.654956192</v>
      </c>
    </row>
    <row r="80" spans="1:11" x14ac:dyDescent="0.35">
      <c r="A80" s="9" t="s">
        <v>35</v>
      </c>
      <c r="B80" s="10">
        <v>425</v>
      </c>
      <c r="C80" s="10">
        <v>6</v>
      </c>
      <c r="D80" s="10">
        <v>6</v>
      </c>
      <c r="E80" s="10">
        <v>470</v>
      </c>
      <c r="F80" s="10">
        <v>20598987.630608793</v>
      </c>
      <c r="G80" s="10">
        <v>480</v>
      </c>
      <c r="H80" s="10">
        <v>2</v>
      </c>
      <c r="I80" s="10">
        <v>7</v>
      </c>
      <c r="J80" s="10">
        <v>464</v>
      </c>
      <c r="K80" s="10">
        <v>22265521.839345772</v>
      </c>
    </row>
    <row r="81" spans="1:11" x14ac:dyDescent="0.35">
      <c r="A81" s="9" t="s">
        <v>107</v>
      </c>
      <c r="B81" s="10">
        <v>946</v>
      </c>
      <c r="C81" s="10">
        <v>15</v>
      </c>
      <c r="D81" s="10">
        <v>3</v>
      </c>
      <c r="E81" s="10">
        <v>529</v>
      </c>
      <c r="F81" s="10">
        <v>59351376.126728058</v>
      </c>
      <c r="G81" s="10">
        <v>940</v>
      </c>
      <c r="H81" s="10">
        <v>9</v>
      </c>
      <c r="I81" s="10">
        <v>3</v>
      </c>
      <c r="J81" s="10">
        <v>545</v>
      </c>
      <c r="K81" s="10">
        <v>56315382.136001162</v>
      </c>
    </row>
    <row r="82" spans="1:11" x14ac:dyDescent="0.35">
      <c r="A82" s="9" t="s">
        <v>37</v>
      </c>
      <c r="B82" s="10">
        <v>790</v>
      </c>
      <c r="C82" s="10">
        <v>5</v>
      </c>
      <c r="D82" s="10">
        <v>10</v>
      </c>
      <c r="E82" s="10">
        <v>690</v>
      </c>
      <c r="F82" s="10">
        <v>34754488.096194938</v>
      </c>
      <c r="G82" s="10">
        <v>878</v>
      </c>
      <c r="H82" s="10">
        <v>5</v>
      </c>
      <c r="I82" s="10">
        <v>10</v>
      </c>
      <c r="J82" s="10">
        <v>752</v>
      </c>
      <c r="K82" s="10">
        <v>34275885.936748058</v>
      </c>
    </row>
    <row r="83" spans="1:11" x14ac:dyDescent="0.35">
      <c r="A83" s="9" t="s">
        <v>76</v>
      </c>
      <c r="B83" s="10">
        <v>949</v>
      </c>
      <c r="C83" s="10">
        <v>2</v>
      </c>
      <c r="D83" s="10">
        <v>2</v>
      </c>
      <c r="E83" s="10">
        <v>908</v>
      </c>
      <c r="F83" s="10">
        <v>29197361.8885299</v>
      </c>
      <c r="G83" s="10">
        <v>1020</v>
      </c>
      <c r="H83" s="10">
        <v>2</v>
      </c>
      <c r="I83" s="10">
        <v>2</v>
      </c>
      <c r="J83" s="10">
        <v>974</v>
      </c>
      <c r="K83" s="10">
        <v>29829390.760424871</v>
      </c>
    </row>
    <row r="84" spans="1:11" x14ac:dyDescent="0.35">
      <c r="A84" s="9" t="s">
        <v>65</v>
      </c>
      <c r="B84" s="10">
        <v>1002</v>
      </c>
      <c r="C84" s="10">
        <v>9</v>
      </c>
      <c r="D84" s="10">
        <v>4</v>
      </c>
      <c r="E84" s="10">
        <v>800</v>
      </c>
      <c r="F84" s="10">
        <v>32465080.790720548</v>
      </c>
      <c r="G84" s="10">
        <v>989</v>
      </c>
      <c r="H84" s="10">
        <v>2</v>
      </c>
      <c r="I84" s="10">
        <v>5</v>
      </c>
      <c r="J84" s="10">
        <v>832</v>
      </c>
      <c r="K84" s="10">
        <v>31385070.367013294</v>
      </c>
    </row>
    <row r="85" spans="1:11" x14ac:dyDescent="0.35">
      <c r="A85" s="9" t="s">
        <v>89</v>
      </c>
      <c r="B85" s="10">
        <v>742</v>
      </c>
      <c r="C85" s="10">
        <v>6</v>
      </c>
      <c r="D85" s="10">
        <v>5</v>
      </c>
      <c r="E85" s="10">
        <v>652</v>
      </c>
      <c r="F85" s="10">
        <v>35443721.934231013</v>
      </c>
      <c r="G85" s="10">
        <v>786</v>
      </c>
      <c r="H85" s="10">
        <v>3</v>
      </c>
      <c r="I85" s="10">
        <v>6</v>
      </c>
      <c r="J85" s="10">
        <v>851</v>
      </c>
      <c r="K85" s="10">
        <v>39758559.35539455</v>
      </c>
    </row>
    <row r="86" spans="1:11" x14ac:dyDescent="0.35">
      <c r="A86" s="9" t="s">
        <v>147</v>
      </c>
      <c r="B86" s="10">
        <v>562</v>
      </c>
      <c r="C86" s="10">
        <v>2</v>
      </c>
      <c r="D86" s="10">
        <v>1</v>
      </c>
      <c r="E86" s="10">
        <v>491</v>
      </c>
      <c r="F86" s="10">
        <v>15407708.647356283</v>
      </c>
      <c r="G86" s="10">
        <v>880</v>
      </c>
      <c r="H86" s="10">
        <v>4</v>
      </c>
      <c r="I86" s="10">
        <v>1</v>
      </c>
      <c r="J86" s="10">
        <v>608</v>
      </c>
      <c r="K86" s="10">
        <v>17518507.446664751</v>
      </c>
    </row>
    <row r="87" spans="1:11" x14ac:dyDescent="0.35">
      <c r="A87" s="9" t="s">
        <v>164</v>
      </c>
      <c r="B87" s="10">
        <v>1696</v>
      </c>
      <c r="C87" s="10">
        <v>10</v>
      </c>
      <c r="D87" s="10">
        <v>10</v>
      </c>
      <c r="E87" s="10">
        <v>1278</v>
      </c>
      <c r="F87" s="10">
        <v>66832830.199992917</v>
      </c>
      <c r="G87" s="10">
        <v>1877</v>
      </c>
      <c r="H87" s="10">
        <v>10</v>
      </c>
      <c r="I87" s="10">
        <v>10</v>
      </c>
      <c r="J87" s="10">
        <v>1364</v>
      </c>
      <c r="K87" s="10">
        <v>75808800.996483237</v>
      </c>
    </row>
    <row r="88" spans="1:11" x14ac:dyDescent="0.35">
      <c r="A88" s="9" t="s">
        <v>91</v>
      </c>
      <c r="B88" s="10">
        <v>653</v>
      </c>
      <c r="C88" s="10">
        <v>6</v>
      </c>
      <c r="D88" s="10">
        <v>3</v>
      </c>
      <c r="E88" s="10">
        <v>632</v>
      </c>
      <c r="F88" s="10">
        <v>19998309.885325119</v>
      </c>
      <c r="G88" s="10">
        <v>640</v>
      </c>
      <c r="H88" s="10">
        <v>0</v>
      </c>
      <c r="I88" s="10">
        <v>3</v>
      </c>
      <c r="J88" s="10">
        <v>660</v>
      </c>
      <c r="K88" s="10">
        <v>16156412.258764775</v>
      </c>
    </row>
    <row r="89" spans="1:11" x14ac:dyDescent="0.35">
      <c r="A89" s="9" t="s">
        <v>97</v>
      </c>
      <c r="B89" s="10">
        <v>585</v>
      </c>
      <c r="C89" s="10">
        <v>15</v>
      </c>
      <c r="D89" s="10">
        <v>6</v>
      </c>
      <c r="E89" s="10">
        <v>460</v>
      </c>
      <c r="F89" s="10">
        <v>31176147.611197244</v>
      </c>
      <c r="G89" s="10">
        <v>859</v>
      </c>
      <c r="H89" s="10">
        <v>5</v>
      </c>
      <c r="I89" s="10">
        <v>8</v>
      </c>
      <c r="J89" s="10">
        <v>602</v>
      </c>
      <c r="K89" s="10">
        <v>33743957.556616075</v>
      </c>
    </row>
    <row r="90" spans="1:11" x14ac:dyDescent="0.35">
      <c r="A90" s="9" t="s">
        <v>78</v>
      </c>
      <c r="B90" s="10">
        <v>359</v>
      </c>
      <c r="C90" s="10">
        <v>3</v>
      </c>
      <c r="D90" s="10">
        <v>1</v>
      </c>
      <c r="E90" s="10">
        <v>296</v>
      </c>
      <c r="F90" s="10">
        <v>8312050.8604278807</v>
      </c>
      <c r="G90" s="10">
        <v>438</v>
      </c>
      <c r="H90" s="10">
        <v>1</v>
      </c>
      <c r="I90" s="10">
        <v>1</v>
      </c>
      <c r="J90" s="10">
        <v>383</v>
      </c>
      <c r="K90" s="10">
        <v>7779734.0833183397</v>
      </c>
    </row>
    <row r="91" spans="1:11" x14ac:dyDescent="0.35">
      <c r="A91" s="14" t="s">
        <v>204</v>
      </c>
      <c r="B91" s="13">
        <v>84526</v>
      </c>
      <c r="C91" s="13">
        <v>2261</v>
      </c>
      <c r="D91" s="13">
        <v>310</v>
      </c>
      <c r="E91" s="13">
        <v>69670</v>
      </c>
      <c r="F91" s="13">
        <v>3318319448.035975</v>
      </c>
      <c r="G91" s="13">
        <v>114181</v>
      </c>
      <c r="H91" s="13">
        <v>1585</v>
      </c>
      <c r="I91" s="13">
        <v>318</v>
      </c>
      <c r="J91" s="13">
        <v>75242</v>
      </c>
      <c r="K91" s="13">
        <v>3455381322.9045367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2026-08-25T10:58:58Z</dcterms:modified>
</cp:coreProperties>
</file>