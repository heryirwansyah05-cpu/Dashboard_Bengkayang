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<sst xmlns="http://schemas.openxmlformats.org/spreadsheetml/2006/main" count="878" uniqueCount="543">
  <si>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</si>
  <si>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</si>
  <si>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</si>
  <si>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</si>
  <si>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</si>
  <si>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</si>
  <si>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</si>
  <si>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</si>
  <si>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</si>
  <si>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</si>
  <si>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</si>
  <si>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</si>
  <si>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</si>
  <si>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</si>
  <si>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</si>
  <si>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</si>
  <si>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</si>
  <si>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</si>
  <si>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</si>
  <si>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</si>
  <si>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</si>
  <si>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</si>
  <si>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</si>
  <si>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</si>
  <si>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</si>
  <si>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</si>
  <si>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</si>
  <si>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</si>
  <si>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</si>
  <si>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</si>
  <si>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</si>
  <si>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</si>
  <si>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</si>
  <si>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</si>
  <si>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</si>
  <si>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</si>
  <si>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</si>
  <si>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</si>
  <si>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</si>
  <si>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</si>
  <si>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</si>
  <si>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</si>
  <si>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</si>
  <si>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</si>
  <si>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</si>
  <si>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</si>
  <si>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</si>
  <si>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</si>
  <si>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</si>
  <si>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</si>
  <si>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</si>
  <si>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</si>
  <si>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</si>
  <si>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</si>
  <si>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</si>
  <si>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</si>
  <si>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</si>
  <si>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</si>
  <si>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</si>
  <si>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</si>
  <si>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</si>
  <si>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</si>
  <si>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</si>
  <si>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</si>
  <si>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</si>
  <si>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</si>
  <si>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</si>
  <si>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</si>
  <si>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</si>
  <si>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</si>
  <si>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</si>
  <si>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</si>
  <si>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</si>
  <si>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</si>
  <si>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</si>
  <si>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</si>
  <si>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</si>
  <si>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</si>
  <si>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</si>
  <si>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</si>
  <si>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</si>
  <si>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</si>
  <si>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</si>
  <si>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</si>
  <si>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</si>
  <si>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</si>
  <si>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</si>
  <si>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</si>
  <si>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</si>
  <si>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</si>
  <si>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</si>
  <si>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</si>
  <si>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</si>
  <si>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</si>
  <si>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</si>
  <si>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</si>
  <si>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</si>
  <si>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</si>
  <si>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</si>
  <si>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</si>
  <si>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</si>
  <si>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</si>
  <si>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</si>
  <si>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</si>
  <si>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</si>
  <si>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</si>
  <si>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</si>
  <si>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</si>
  <si>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</si>
  <si>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</si>
  <si>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</si>
  <si>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</si>
  <si>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</si>
  <si>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</si>
  <si>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</si>
  <si>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</si>
  <si>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</si>
  <si>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</si>
  <si>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</si>
  <si>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</si>
  <si>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</si>
  <si>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</si>
  <si>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</si>
  <si>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</si>
  <si>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</si>
  <si>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</si>
  <si>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</si>
  <si>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</si>
  <si>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</si>
  <si>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</si>
  <si>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</si>
  <si>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</si>
  <si>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</si>
  <si>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</si>
  <si>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</si>
  <si>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</si>
  <si>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</si>
  <si>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</si>
  <si>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</si>
  <si>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</si>
  <si>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</si>
  <si>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</si>
  <si>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</si>
  <si>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</si>
  <si>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</si>
  <si>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</si>
  <si>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</si>
  <si>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</si>
  <si>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</si>
  <si>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</si>
  <si>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</si>
  <si>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</si>
  <si>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</si>
  <si>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</si>
  <si>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</si>
  <si>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</si>
  <si>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</si>
  <si>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</si>
  <si>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</si>
  <si>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</si>
  <si>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</si>
  <si>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</si>
  <si>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</si>
  <si>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</si>
  <si>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</si>
  <si>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</si>
  <si>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</si>
  <si>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</si>
  <si>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</si>
  <si>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</si>
  <si>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</si>
  <si>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</si>
  <si>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</si>
  <si>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</si>
  <si>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</si>
  <si>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</si>
  <si>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</si>
  <si>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</si>
  <si>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</si>
  <si>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</si>
  <si>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</si>
  <si>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</si>
  <si>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</si>
  <si>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</si>
  <si>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</si>
  <si>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</si>
  <si>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</si>
  <si>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</si>
  <si>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</si>
  <si>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</si>
  <si>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</si>
  <si>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</si>
  <si>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</si>
  <si>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</si>
  <si>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</si>
  <si>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</si>
  <si>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</si>
  <si>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</si>
  <si>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</si>
  <si>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</si>
  <si>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</si>
  <si>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</si>
  <si>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</si>
  <si>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</si>
  <si>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</si>
  <si>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</si>
  <si>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</si>
  <si>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</si>
  <si>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</si>
  <si>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</si>
  <si>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</si>
  <si>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</si>
  <si>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</si>
  <si>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</si>
  <si>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</si>
  <si>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</si>
  <si>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</si>
  <si>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</si>
  <si>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</si>
  <si>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</si>
  <si>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</si>
  <si>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</si>
  <si>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</si>
  <si>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</si>
  <si>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</si>
  <si>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</si>
  <si>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</si>
  <si>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</si>
  <si>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</si>
  <si>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</si>
  <si>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</si>
  <si>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</si>
  <si>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</si>
  <si>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</si>
  <si>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</si>
  <si>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</si>
  <si>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</si>
  <si>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</si>
  <si>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</si>
  <si>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</si>
  <si>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</si>
  <si>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</si>
  <si>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</si>
  <si>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</si>
  <si>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</si>
  <si>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</si>
  <si>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</si>
  <si>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</si>
  <si>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</si>
  <si>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</si>
  <si>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</si>
  <si>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</si>
  <si>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</si>
  <si>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</si>
  <si>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</si>
  <si>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</si>
  <si>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</si>
  <si>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</si>
  <si>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</si>
  <si>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</si>
  <si>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</si>
  <si>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</si>
  <si>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</si>
  <si>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</si>
  <si>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</si>
  <si>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</si>
  <si>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</si>
  <si>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</si>
  <si>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</si>
  <si>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</si>
  <si>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</si>
  <si>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</si>
  <si>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</si>
  <si>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</si>
  <si>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</si>
  <si>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</si>
  <si>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</si>
  <si>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</si>
  <si>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</si>
  <si>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</si>
  <si>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</si>
  <si>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</si>
  <si>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</si>
  <si>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</si>
  <si>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</si>
  <si>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</si>
  <si>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</si>
  <si>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</si>
  <si>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</si>
  <si>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</si>
  <si>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</si>
  <si>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</si>
  <si>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</si>
  <si>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</si>
  <si>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</si>
  <si>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</si>
  <si>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</si>
  <si>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</si>
  <si>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</si>
  <si>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</si>
  <si>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</si>
  <si>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</si>
  <si>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</si>
  <si>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</si>
  <si>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</si>
  <si>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</si>
  <si>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</si>
  <si>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</si>
  <si>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</si>
  <si>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</si>
  <si>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</si>
  <si>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</si>
  <si>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</si>
  <si>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</si>
  <si>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</si>
  <si>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</si>
  <si>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</si>
  <si>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</si>
  <si>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</si>
  <si>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</si>
  <si>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</si>
  <si>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</si>
  <si>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</si>
  <si>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</si>
  <si>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</si>
  <si>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</si>
  <si>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</si>
  <si>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</si>
  <si>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</si>
  <si>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</si>
  <si>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</si>
  <si>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</si>
  <si>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</si>
  <si>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</si>
  <si>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</si>
  <si>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</si>
  <si>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</si>
  <si>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</si>
  <si>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</si>
  <si>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</si>
  <si>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</si>
  <si>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</si>
  <si>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</si>
  <si>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</si>
  <si>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</si>
  <si>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</si>
  <si>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</si>
  <si>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</si>
  <si>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</si>
  <si>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</si>
  <si>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</si>
  <si>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</si>
  <si>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</si>
  <si>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</si>
  <si>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</si>
  <si>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</si>
  <si>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</si>
  <si>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</si>
  <si>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</si>
  <si>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</si>
  <si>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</si>
  <si>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</si>
  <si>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</si>
  <si>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</si>
  <si>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</si>
  <si>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</si>
  <si>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</si>
  <si>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</si>
  <si>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</si>
  <si>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</si>
  <si>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</si>
  <si>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</si>
  <si>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</si>
  <si>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</si>
  <si>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</si>
  <si>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</si>
  <si>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</si>
  <si>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</si>
  <si>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</si>
  <si>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</si>
  <si>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</si>
  <si>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</si>
  <si>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</si>
  <si>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</si>
  <si>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</si>
  <si>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</si>
  <si>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</si>
  <si>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</si>
  <si>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</si>
  <si>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</si>
  <si>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</si>
  <si>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</si>
  <si>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</si>
  <si>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</si>
  <si>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</si>
  <si>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</si>
  <si>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</si>
  <si>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</si>
  <si>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</si>
  <si>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</si>
  <si>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</si>
  <si>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</si>
  <si>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</si>
  <si>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</si>
  <si>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</si>
  <si>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</si>
  <si>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</si>
  <si>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</si>
  <si>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</si>
  <si>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</si>
  <si>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</si>
  <si>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</si>
  <si>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</si>
  <si>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</si>
  <si>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</si>
  <si>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</si>
  <si>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</si>
  <si>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</si>
  <si>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</si>
  <si>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</si>
  <si>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</si>
  <si>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</si>
  <si>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</si>
  <si>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</si>
  <si>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</si>
  <si>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</si>
  <si>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</si>
  <si>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</si>
  <si>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</si>
  <si>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</si>
  <si>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</si>
  <si>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</si>
  <si>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</si>
  <si>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</si>
  <si>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</si>
  <si>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</si>
  <si>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</si>
  <si>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</si>
  <si>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</si>
  <si>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</si>
  <si>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</si>
  <si>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</si>
  <si>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</si>
  <si>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</si>
  <si>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</si>
  <si>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</si>
  <si>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</si>
  <si>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</si>
  <si>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</si>
  <si>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</si>
  <si>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</si>
  <si>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</si>
  <si>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</si>
  <si>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</si>
  <si>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</si>
  <si>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</si>
  <si>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</si>
  <si>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</si>
  <si>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</si>
  <si>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</si>
  <si>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</si>
  <si>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</si>
  <si>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</si>
  <si>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</si>
  <si>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</si>
  <si>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</si>
  <si>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</si>
  <si>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</si>
  <si>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</si>
  <si>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</si>
  <si>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</si>
  <si>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</si>
  <si>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</si>
  <si>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</si>
  <si>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</si>
  <si>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</si>
  <si>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</si>
  <si>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</si>
  <si>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</si>
  <si>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</si>
  <si>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</si>
  <si>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</si>
  <si>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</si>
  <si>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</si>
  <si>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</si>
  <si>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</si>
  <si>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</si>
  <si>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</si>
  <si>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</si>
  <si>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</si>
  <si>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</si>
  <si>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</si>
  <si>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</si>
  <si>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</si>
  <si>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</si>
  <si>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</si>
  <si>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</si>
  <si>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</si>
  <si>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</si>
  <si>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</si>
  <si>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</si>
  <si>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</si>
  <si>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</si>
  <si>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</si>
  <si>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</si>
  <si>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</si>
  <si>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</si>
  <si>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</si>
  <si>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</si>
  <si>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</si>
  <si>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</si>
  <si>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</si>
  <si>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</si>
  <si>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</si>
  <si>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</si>
  <si>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</si>
  <si>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</si>
  <si>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</si>
  <si>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</si>
  <si>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</si>
  <si>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</si>
  <si>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</si>
  <si>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</si>
  <si>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</si>
  <si>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</si>
  <si>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</si>
  <si>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</si>
  <si>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</si>
  <si>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</si>
  <si>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</si>
  <si>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</si>
  <si>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</si>
  <si>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</si>
  <si>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</si>
  <si>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</si>
  <si>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</si>
  <si>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</si>
  <si>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</si>
  <si>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</si>
  <si>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</si>
  <si>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22TNR0069</t>
  </si>
  <si>
    <t>22TNR0070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</si>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</sst>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17760088.853078403</v>
      </c>
      <c r="G2" s="1">
        <f>VLOOKUP(A:A,MASTER!A:K,11,0)</f>
        <v>17201652.049137305</v>
      </c>
      <c r="H2" s="12">
        <f>IFERROR(G2/F2-1,0)</f>
        <v>-3.1443356424666891E-2</v>
      </c>
      <c r="I2" s="2">
        <f>VLOOKUP(A:A,MASTER!A:E,5,0)</f>
        <v>383</v>
      </c>
      <c r="J2" s="2">
        <f>VLOOKUP(A:A,MASTER!A:J,10,0)</f>
        <v>334</v>
      </c>
      <c r="K2" s="12">
        <f>IFERROR(J2/I2-1,0)</f>
        <v>-0.12793733681462138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3</v>
      </c>
      <c r="P2" s="1">
        <f>VLOOKUP(A:A,MASTER!A:H,8,0)</f>
        <v>2</v>
      </c>
      <c r="Q2" s="12">
        <f>IFERROR(P2/O2-1,0)</f>
        <v>-0.33333333333333337</v>
      </c>
      <c r="R2" s="1">
        <f>VLOOKUP(A:A,MASTER!A:B,2,0)</f>
        <v>426</v>
      </c>
      <c r="S2">
        <f>VLOOKUP(A:A,MASTER!A:G,7,0)</f>
        <v>387</v>
      </c>
      <c r="T2" s="12">
        <f>IFERROR(S2/R2-1,0)</f>
        <v>-9.1549295774647876E-2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20606149.957101975</v>
      </c>
      <c r="G3" s="1">
        <f>VLOOKUP(A:A,MASTER!A:K,11,0)</f>
        <v>18716570.815236751</v>
      </c>
      <c r="H3" s="12">
        <f t="shared" ref="H3:H66" si="0">IFERROR(G3/F3-1,0)</f>
        <v>-9.1699766613315026E-2</v>
      </c>
      <c r="I3" s="2">
        <f>VLOOKUP(A:A,MASTER!A:E,5,0)</f>
        <v>486</v>
      </c>
      <c r="J3" s="2">
        <f>VLOOKUP(A:A,MASTER!A:J,10,0)</f>
        <v>408</v>
      </c>
      <c r="K3" s="12">
        <f t="shared" ref="K3:K66" si="1">IFERROR(J3/I3-1,0)</f>
        <v>-0.16049382716049387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6</v>
      </c>
      <c r="P3" s="1">
        <f>VLOOKUP(A:A,MASTER!A:H,8,0)</f>
        <v>8</v>
      </c>
      <c r="Q3" s="12">
        <f t="shared" ref="Q3:Q66" si="3">IFERROR(P3/O3-1,0)</f>
        <v>0.33333333333333326</v>
      </c>
      <c r="R3" s="1">
        <f>VLOOKUP(A:A,MASTER!A:B,2,0)</f>
        <v>592</v>
      </c>
      <c r="S3">
        <f>VLOOKUP(A:A,MASTER!A:G,7,0)</f>
        <v>444</v>
      </c>
      <c r="T3" s="12">
        <f t="shared" ref="T3:T66" si="4">IFERROR(S3/R3-1,0)</f>
        <v>-0.25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30656617.735959981</v>
      </c>
      <c r="G4" s="1">
        <f>VLOOKUP(A:A,MASTER!A:K,11,0)</f>
        <v>21599109.489771247</v>
      </c>
      <c r="H4" s="12">
        <f t="shared" si="0"/>
        <v>-0.29545034368107559</v>
      </c>
      <c r="I4" s="2">
        <f>VLOOKUP(A:A,MASTER!A:E,5,0)</f>
        <v>789</v>
      </c>
      <c r="J4" s="2">
        <f>VLOOKUP(A:A,MASTER!A:J,10,0)</f>
        <v>745</v>
      </c>
      <c r="K4" s="12">
        <f t="shared" si="1"/>
        <v>-5.5766793409378956E-2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12</v>
      </c>
      <c r="P4" s="1">
        <f>VLOOKUP(A:A,MASTER!A:H,8,0)</f>
        <v>10</v>
      </c>
      <c r="Q4" s="12">
        <f t="shared" si="3"/>
        <v>-0.16666666666666663</v>
      </c>
      <c r="R4" s="1">
        <f>VLOOKUP(A:A,MASTER!A:B,2,0)</f>
        <v>784</v>
      </c>
      <c r="S4">
        <f>VLOOKUP(A:A,MASTER!A:G,7,0)</f>
        <v>811</v>
      </c>
      <c r="T4" s="12">
        <f t="shared" si="4"/>
        <v>3.4438775510204023E-2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47076318.8654259</v>
      </c>
      <c r="G5" s="1">
        <f>VLOOKUP(A:A,MASTER!A:K,11,0)</f>
        <v>47148225.964592896</v>
      </c>
      <c r="H5" s="12">
        <f t="shared" si="0"/>
        <v>1.5274579852462278E-3</v>
      </c>
      <c r="I5" s="2">
        <f>VLOOKUP(A:A,MASTER!A:E,5,0)</f>
        <v>1161</v>
      </c>
      <c r="J5" s="2">
        <f>VLOOKUP(A:A,MASTER!A:J,10,0)</f>
        <v>959</v>
      </c>
      <c r="K5" s="12">
        <f t="shared" si="1"/>
        <v>-0.1739879414298019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12</v>
      </c>
      <c r="P5" s="1">
        <f>VLOOKUP(A:A,MASTER!A:H,8,0)</f>
        <v>13</v>
      </c>
      <c r="Q5" s="12">
        <f t="shared" si="3"/>
        <v>8.3333333333333259E-2</v>
      </c>
      <c r="R5" s="1">
        <f>VLOOKUP(A:A,MASTER!A:B,2,0)</f>
        <v>1267</v>
      </c>
      <c r="S5">
        <f>VLOOKUP(A:A,MASTER!A:G,7,0)</f>
        <v>1036</v>
      </c>
      <c r="T5" s="12">
        <f t="shared" si="4"/>
        <v>-0.18232044198895025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20130703.290693931</v>
      </c>
      <c r="G6" s="1">
        <f>VLOOKUP(A:A,MASTER!A:K,11,0)</f>
        <v>21133580.972664706</v>
      </c>
      <c r="H6" s="12">
        <f t="shared" si="0"/>
        <v>4.9818313224773814E-2</v>
      </c>
      <c r="I6" s="2">
        <f>VLOOKUP(A:A,MASTER!A:E,5,0)</f>
        <v>376</v>
      </c>
      <c r="J6" s="2">
        <f>VLOOKUP(A:A,MASTER!A:J,10,0)</f>
        <v>383</v>
      </c>
      <c r="K6" s="12">
        <f t="shared" si="1"/>
        <v>1.8617021276595702E-2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4</v>
      </c>
      <c r="Q6" s="12">
        <f t="shared" si="3"/>
        <v>3</v>
      </c>
      <c r="R6" s="1">
        <f>VLOOKUP(A:A,MASTER!A:B,2,0)</f>
        <v>394</v>
      </c>
      <c r="S6">
        <f>VLOOKUP(A:A,MASTER!A:G,7,0)</f>
        <v>444</v>
      </c>
      <c r="T6" s="12">
        <f t="shared" si="4"/>
        <v>0.12690355329949243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16875460.400529109</v>
      </c>
      <c r="G7" s="1">
        <f>VLOOKUP(A:A,MASTER!A:K,11,0)</f>
        <v>14256999.006162396</v>
      </c>
      <c r="H7" s="12">
        <f t="shared" si="0"/>
        <v>-0.15516384929471994</v>
      </c>
      <c r="I7" s="2">
        <f>VLOOKUP(A:A,MASTER!A:E,5,0)</f>
        <v>306</v>
      </c>
      <c r="J7" s="2">
        <f>VLOOKUP(A:A,MASTER!A:J,10,0)</f>
        <v>228</v>
      </c>
      <c r="K7" s="12">
        <f t="shared" si="1"/>
        <v>-0.25490196078431371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4</v>
      </c>
      <c r="P7" s="1">
        <f>VLOOKUP(A:A,MASTER!A:H,8,0)</f>
        <v>4</v>
      </c>
      <c r="Q7" s="12">
        <f t="shared" si="3"/>
        <v>0</v>
      </c>
      <c r="R7" s="1">
        <f>VLOOKUP(A:A,MASTER!A:B,2,0)</f>
        <v>389</v>
      </c>
      <c r="S7">
        <f>VLOOKUP(A:A,MASTER!A:G,7,0)</f>
        <v>271</v>
      </c>
      <c r="T7" s="12">
        <f t="shared" si="4"/>
        <v>-0.30334190231362468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22014757.851862326</v>
      </c>
      <c r="G8" s="1">
        <f>VLOOKUP(A:A,MASTER!A:K,11,0)</f>
        <v>19410865.220765773</v>
      </c>
      <c r="H8" s="12">
        <f t="shared" si="0"/>
        <v>-0.11827941277474818</v>
      </c>
      <c r="I8" s="2">
        <f>VLOOKUP(A:A,MASTER!A:E,5,0)</f>
        <v>518</v>
      </c>
      <c r="J8" s="2">
        <f>VLOOKUP(A:A,MASTER!A:J,10,0)</f>
        <v>483</v>
      </c>
      <c r="K8" s="12">
        <f t="shared" si="1"/>
        <v>-6.7567567567567544E-2</v>
      </c>
      <c r="L8" s="2">
        <f>VLOOKUP(A:A,MASTER!A:D,4,0)</f>
        <v>2</v>
      </c>
      <c r="M8" s="2">
        <f>VLOOKUP(A:A,MASTER!A:I,9,0)</f>
        <v>1</v>
      </c>
      <c r="N8" s="12">
        <f t="shared" si="2"/>
        <v>-0.5</v>
      </c>
      <c r="O8" s="1">
        <f>VLOOKUP(A:A,MASTER!A:C,3,0)</f>
        <v>3</v>
      </c>
      <c r="P8" s="1">
        <f>VLOOKUP(A:A,MASTER!A:H,8,0)</f>
        <v>13</v>
      </c>
      <c r="Q8" s="12">
        <f t="shared" si="3"/>
        <v>3.333333333333333</v>
      </c>
      <c r="R8" s="1">
        <f>VLOOKUP(A:A,MASTER!A:B,2,0)</f>
        <v>627</v>
      </c>
      <c r="S8">
        <f>VLOOKUP(A:A,MASTER!A:G,7,0)</f>
        <v>536</v>
      </c>
      <c r="T8" s="12">
        <f t="shared" si="4"/>
        <v>-0.14513556618819778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8571642.1714649387</v>
      </c>
      <c r="G9" s="1">
        <f>VLOOKUP(A:A,MASTER!A:K,11,0)</f>
        <v>8725354.0149669796</v>
      </c>
      <c r="H9" s="12">
        <f t="shared" si="0"/>
        <v>1.7932601528065195E-2</v>
      </c>
      <c r="I9" s="2">
        <f>VLOOKUP(A:A,MASTER!A:E,5,0)</f>
        <v>130</v>
      </c>
      <c r="J9" s="2">
        <f>VLOOKUP(A:A,MASTER!A:J,10,0)</f>
        <v>121</v>
      </c>
      <c r="K9" s="12">
        <f t="shared" si="1"/>
        <v>-6.9230769230769207E-2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186</v>
      </c>
      <c r="S9">
        <f>VLOOKUP(A:A,MASTER!A:G,7,0)</f>
        <v>142</v>
      </c>
      <c r="T9" s="12">
        <f t="shared" si="4"/>
        <v>-0.23655913978494625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5913884.2596015651</v>
      </c>
      <c r="G10" s="1">
        <f>VLOOKUP(A:A,MASTER!A:K,11,0)</f>
        <v>8930506.4125648011</v>
      </c>
      <c r="H10" s="12">
        <f t="shared" si="0"/>
        <v>0.51009151017211041</v>
      </c>
      <c r="I10" s="2">
        <f>VLOOKUP(A:A,MASTER!A:E,5,0)</f>
        <v>174</v>
      </c>
      <c r="J10" s="2">
        <f>VLOOKUP(A:A,MASTER!A:J,10,0)</f>
        <v>228</v>
      </c>
      <c r="K10" s="12">
        <f t="shared" si="1"/>
        <v>0.31034482758620685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4</v>
      </c>
      <c r="Q10" s="12">
        <f t="shared" si="3"/>
        <v>3</v>
      </c>
      <c r="R10" s="1">
        <f>VLOOKUP(A:A,MASTER!A:B,2,0)</f>
        <v>187</v>
      </c>
      <c r="S10">
        <f>VLOOKUP(A:A,MASTER!A:G,7,0)</f>
        <v>254</v>
      </c>
      <c r="T10" s="12">
        <f t="shared" si="4"/>
        <v>0.35828877005347604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17498015.063818499</v>
      </c>
      <c r="G11" s="1">
        <f>VLOOKUP(A:A,MASTER!A:K,11,0)</f>
        <v>15864460.883030891</v>
      </c>
      <c r="H11" s="12">
        <f t="shared" si="0"/>
        <v>-9.335654214662259E-2</v>
      </c>
      <c r="I11" s="2">
        <f>VLOOKUP(A:A,MASTER!A:E,5,0)</f>
        <v>348</v>
      </c>
      <c r="J11" s="2">
        <f>VLOOKUP(A:A,MASTER!A:J,10,0)</f>
        <v>372</v>
      </c>
      <c r="K11" s="12">
        <f t="shared" si="1"/>
        <v>6.8965517241379226E-2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5</v>
      </c>
      <c r="P11" s="1">
        <f>VLOOKUP(A:A,MASTER!A:H,8,0)</f>
        <v>9</v>
      </c>
      <c r="Q11" s="12">
        <f t="shared" si="3"/>
        <v>0.8</v>
      </c>
      <c r="R11" s="1">
        <f>VLOOKUP(A:A,MASTER!A:B,2,0)</f>
        <v>386</v>
      </c>
      <c r="S11">
        <f>VLOOKUP(A:A,MASTER!A:G,7,0)</f>
        <v>444</v>
      </c>
      <c r="T11" s="12">
        <f t="shared" si="4"/>
        <v>0.15025906735751304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9218487.8996669017</v>
      </c>
      <c r="G12" s="1">
        <f>VLOOKUP(A:A,MASTER!A:K,11,0)</f>
        <v>7958739.3189509548</v>
      </c>
      <c r="H12" s="12">
        <f t="shared" si="0"/>
        <v>-0.13665457875813514</v>
      </c>
      <c r="I12" s="2">
        <f>VLOOKUP(A:A,MASTER!A:E,5,0)</f>
        <v>253</v>
      </c>
      <c r="J12" s="2">
        <f>VLOOKUP(A:A,MASTER!A:J,10,0)</f>
        <v>218</v>
      </c>
      <c r="K12" s="12">
        <f t="shared" si="1"/>
        <v>-0.13833992094861658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240</v>
      </c>
      <c r="S12">
        <f>VLOOKUP(A:A,MASTER!A:G,7,0)</f>
        <v>223</v>
      </c>
      <c r="T12" s="12">
        <f t="shared" si="4"/>
        <v>-7.0833333333333304E-2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9655507.7461661436</v>
      </c>
      <c r="G13" s="1">
        <f>VLOOKUP(A:A,MASTER!A:K,11,0)</f>
        <v>10506463.269982643</v>
      </c>
      <c r="H13" s="12">
        <f t="shared" si="0"/>
        <v>8.8131618366148023E-2</v>
      </c>
      <c r="I13" s="2">
        <f>VLOOKUP(A:A,MASTER!A:E,5,0)</f>
        <v>206</v>
      </c>
      <c r="J13" s="2">
        <f>VLOOKUP(A:A,MASTER!A:J,10,0)</f>
        <v>225</v>
      </c>
      <c r="K13" s="12">
        <f t="shared" si="1"/>
        <v>9.2233009708737823E-2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3</v>
      </c>
      <c r="P13" s="1">
        <f>VLOOKUP(A:A,MASTER!A:H,8,0)</f>
        <v>2</v>
      </c>
      <c r="Q13" s="12">
        <f t="shared" si="3"/>
        <v>-0.33333333333333337</v>
      </c>
      <c r="R13" s="1">
        <f>VLOOKUP(A:A,MASTER!A:B,2,0)</f>
        <v>251</v>
      </c>
      <c r="S13">
        <f>VLOOKUP(A:A,MASTER!A:G,7,0)</f>
        <v>282</v>
      </c>
      <c r="T13" s="12">
        <f t="shared" si="4"/>
        <v>0.12350597609561742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42759579.760946639</v>
      </c>
      <c r="G14" s="1">
        <f>VLOOKUP(A:A,MASTER!A:K,11,0)</f>
        <v>50155012.28230086</v>
      </c>
      <c r="H14" s="12">
        <f t="shared" si="0"/>
        <v>0.17295381672830779</v>
      </c>
      <c r="I14" s="2">
        <f>VLOOKUP(A:A,MASTER!A:E,5,0)</f>
        <v>1274</v>
      </c>
      <c r="J14" s="2">
        <f>VLOOKUP(A:A,MASTER!A:J,10,0)</f>
        <v>1147</v>
      </c>
      <c r="K14" s="12">
        <f t="shared" si="1"/>
        <v>-9.9686028257456871E-2</v>
      </c>
      <c r="L14" s="2">
        <f>VLOOKUP(A:A,MASTER!A:D,4,0)</f>
        <v>4</v>
      </c>
      <c r="M14" s="2">
        <f>VLOOKUP(A:A,MASTER!A:I,9,0)</f>
        <v>5</v>
      </c>
      <c r="N14" s="12">
        <f t="shared" si="2"/>
        <v>0.25</v>
      </c>
      <c r="O14" s="1">
        <f>VLOOKUP(A:A,MASTER!A:C,3,0)</f>
        <v>6</v>
      </c>
      <c r="P14" s="1">
        <f>VLOOKUP(A:A,MASTER!A:H,8,0)</f>
        <v>14</v>
      </c>
      <c r="Q14" s="12">
        <f t="shared" si="3"/>
        <v>1.3333333333333335</v>
      </c>
      <c r="R14" s="1">
        <f>VLOOKUP(A:A,MASTER!A:B,2,0)</f>
        <v>1311</v>
      </c>
      <c r="S14">
        <f>VLOOKUP(A:A,MASTER!A:G,7,0)</f>
        <v>1405</v>
      </c>
      <c r="T14" s="12">
        <f t="shared" si="4"/>
        <v>7.170099160945842E-2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67845213.702016577</v>
      </c>
      <c r="G15" s="1">
        <f>VLOOKUP(A:A,MASTER!A:K,11,0)</f>
        <v>63561640.418578655</v>
      </c>
      <c r="H15" s="12">
        <f t="shared" si="0"/>
        <v>-6.3137442565246116E-2</v>
      </c>
      <c r="I15" s="2">
        <f>VLOOKUP(A:A,MASTER!A:E,5,0)</f>
        <v>922</v>
      </c>
      <c r="J15" s="2">
        <f>VLOOKUP(A:A,MASTER!A:J,10,0)</f>
        <v>920</v>
      </c>
      <c r="K15" s="12">
        <f t="shared" si="1"/>
        <v>-2.1691973969630851E-3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4</v>
      </c>
      <c r="P15" s="1">
        <f>VLOOKUP(A:A,MASTER!A:H,8,0)</f>
        <v>1</v>
      </c>
      <c r="Q15" s="12">
        <f t="shared" si="3"/>
        <v>-0.75</v>
      </c>
      <c r="R15" s="1">
        <f>VLOOKUP(A:A,MASTER!A:B,2,0)</f>
        <v>1211</v>
      </c>
      <c r="S15">
        <f>VLOOKUP(A:A,MASTER!A:G,7,0)</f>
        <v>1025</v>
      </c>
      <c r="T15" s="12">
        <f t="shared" si="4"/>
        <v>-0.15359207266721719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35971702.440834761</v>
      </c>
      <c r="G16" s="1">
        <f>VLOOKUP(A:A,MASTER!A:K,11,0)</f>
        <v>35557323.959894322</v>
      </c>
      <c r="H16" s="12">
        <f t="shared" si="0"/>
        <v>-1.1519568239006683E-2</v>
      </c>
      <c r="I16" s="2">
        <f>VLOOKUP(A:A,MASTER!A:E,5,0)</f>
        <v>957</v>
      </c>
      <c r="J16" s="2">
        <f>VLOOKUP(A:A,MASTER!A:J,10,0)</f>
        <v>974</v>
      </c>
      <c r="K16" s="12">
        <f t="shared" si="1"/>
        <v>1.7763845350052154E-2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6</v>
      </c>
      <c r="P16" s="1">
        <f>VLOOKUP(A:A,MASTER!A:H,8,0)</f>
        <v>12</v>
      </c>
      <c r="Q16" s="12">
        <f t="shared" si="3"/>
        <v>1</v>
      </c>
      <c r="R16" s="1">
        <f>VLOOKUP(A:A,MASTER!A:B,2,0)</f>
        <v>996</v>
      </c>
      <c r="S16">
        <f>VLOOKUP(A:A,MASTER!A:G,7,0)</f>
        <v>1057</v>
      </c>
      <c r="T16" s="12">
        <f t="shared" si="4"/>
        <v>6.124497991967881E-2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30036577.432910126</v>
      </c>
      <c r="G17" s="1">
        <f>VLOOKUP(A:A,MASTER!A:K,11,0)</f>
        <v>34066205.765379243</v>
      </c>
      <c r="H17" s="12">
        <f t="shared" si="0"/>
        <v>0.13415737333821465</v>
      </c>
      <c r="I17" s="2">
        <f>VLOOKUP(A:A,MASTER!A:E,5,0)</f>
        <v>661</v>
      </c>
      <c r="J17" s="2">
        <f>VLOOKUP(A:A,MASTER!A:J,10,0)</f>
        <v>679</v>
      </c>
      <c r="K17" s="12">
        <f t="shared" si="1"/>
        <v>2.7231467473525006E-2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4</v>
      </c>
      <c r="P17" s="1">
        <f>VLOOKUP(A:A,MASTER!A:H,8,0)</f>
        <v>6</v>
      </c>
      <c r="Q17" s="12">
        <f t="shared" si="3"/>
        <v>0.5</v>
      </c>
      <c r="R17" s="1">
        <f>VLOOKUP(A:A,MASTER!A:B,2,0)</f>
        <v>926</v>
      </c>
      <c r="S17">
        <f>VLOOKUP(A:A,MASTER!A:G,7,0)</f>
        <v>811</v>
      </c>
      <c r="T17" s="12">
        <f t="shared" si="4"/>
        <v>-0.12419006479481642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127856786.10033116</v>
      </c>
      <c r="G18" s="1">
        <f>VLOOKUP(A:A,MASTER!A:K,11,0)</f>
        <v>124337429.28364196</v>
      </c>
      <c r="H18" s="12">
        <f t="shared" si="0"/>
        <v>-2.7525772577511098E-2</v>
      </c>
      <c r="I18" s="2">
        <f>VLOOKUP(A:A,MASTER!A:E,5,0)</f>
        <v>2122</v>
      </c>
      <c r="J18" s="2">
        <f>VLOOKUP(A:A,MASTER!A:J,10,0)</f>
        <v>2211</v>
      </c>
      <c r="K18" s="12">
        <f t="shared" si="1"/>
        <v>4.1941564561734257E-2</v>
      </c>
      <c r="L18" s="2">
        <f>VLOOKUP(A:A,MASTER!A:D,4,0)</f>
        <v>10</v>
      </c>
      <c r="M18" s="2">
        <f>VLOOKUP(A:A,MASTER!A:I,9,0)</f>
        <v>11</v>
      </c>
      <c r="N18" s="12">
        <f t="shared" si="2"/>
        <v>0.10000000000000009</v>
      </c>
      <c r="O18" s="1">
        <f>VLOOKUP(A:A,MASTER!A:C,3,0)</f>
        <v>189</v>
      </c>
      <c r="P18" s="1">
        <f>VLOOKUP(A:A,MASTER!A:H,8,0)</f>
        <v>309</v>
      </c>
      <c r="Q18" s="12">
        <f t="shared" si="3"/>
        <v>0.63492063492063489</v>
      </c>
      <c r="R18" s="1">
        <f>VLOOKUP(A:A,MASTER!A:B,2,0)</f>
        <v>2721</v>
      </c>
      <c r="S18">
        <f>VLOOKUP(A:A,MASTER!A:G,7,0)</f>
        <v>2759</v>
      </c>
      <c r="T18" s="12">
        <f t="shared" si="4"/>
        <v>1.3965453877251122E-2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48066592.858261541</v>
      </c>
      <c r="G19" s="1">
        <f>VLOOKUP(A:A,MASTER!A:K,11,0)</f>
        <v>65865305.892187335</v>
      </c>
      <c r="H19" s="12">
        <f t="shared" si="0"/>
        <v>0.37029279538099402</v>
      </c>
      <c r="I19" s="2">
        <f>VLOOKUP(A:A,MASTER!A:E,5,0)</f>
        <v>1182</v>
      </c>
      <c r="J19" s="2">
        <f>VLOOKUP(A:A,MASTER!A:J,10,0)</f>
        <v>1226</v>
      </c>
      <c r="K19" s="12">
        <f t="shared" si="1"/>
        <v>3.7225042301184397E-2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9</v>
      </c>
      <c r="P19" s="1">
        <f>VLOOKUP(A:A,MASTER!A:H,8,0)</f>
        <v>7</v>
      </c>
      <c r="Q19" s="12">
        <f t="shared" si="3"/>
        <v>-0.22222222222222221</v>
      </c>
      <c r="R19" s="1">
        <f>VLOOKUP(A:A,MASTER!A:B,2,0)</f>
        <v>1291</v>
      </c>
      <c r="S19">
        <f>VLOOKUP(A:A,MASTER!A:G,7,0)</f>
        <v>1286</v>
      </c>
      <c r="T19" s="12">
        <f t="shared" si="4"/>
        <v>-3.8729666924864903E-3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132793350.87540713</v>
      </c>
      <c r="G20" s="1">
        <f>VLOOKUP(A:A,MASTER!A:K,11,0)</f>
        <v>119956897.06991762</v>
      </c>
      <c r="H20" s="12">
        <f t="shared" si="0"/>
        <v>-9.6664883601990437E-2</v>
      </c>
      <c r="I20" s="2">
        <f>VLOOKUP(A:A,MASTER!A:E,5,0)</f>
        <v>2220</v>
      </c>
      <c r="J20" s="2">
        <f>VLOOKUP(A:A,MASTER!A:J,10,0)</f>
        <v>2014</v>
      </c>
      <c r="K20" s="12">
        <f t="shared" si="1"/>
        <v>-9.2792792792792844E-2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23</v>
      </c>
      <c r="P20" s="1">
        <f>VLOOKUP(A:A,MASTER!A:H,8,0)</f>
        <v>10</v>
      </c>
      <c r="Q20" s="12">
        <f t="shared" si="3"/>
        <v>-0.56521739130434789</v>
      </c>
      <c r="R20" s="1">
        <f>VLOOKUP(A:A,MASTER!A:B,2,0)</f>
        <v>2792</v>
      </c>
      <c r="S20">
        <f>VLOOKUP(A:A,MASTER!A:G,7,0)</f>
        <v>2459</v>
      </c>
      <c r="T20" s="12">
        <f t="shared" si="4"/>
        <v>-0.11926934097421205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19374995.798617709</v>
      </c>
      <c r="G21" s="1">
        <f>VLOOKUP(A:A,MASTER!A:K,11,0)</f>
        <v>18506036.234718911</v>
      </c>
      <c r="H21" s="12">
        <f t="shared" si="0"/>
        <v>-4.4849535604069346E-2</v>
      </c>
      <c r="I21" s="2">
        <f>VLOOKUP(A:A,MASTER!A:E,5,0)</f>
        <v>490</v>
      </c>
      <c r="J21" s="2">
        <f>VLOOKUP(A:A,MASTER!A:J,10,0)</f>
        <v>724</v>
      </c>
      <c r="K21" s="12">
        <f t="shared" si="1"/>
        <v>0.47755102040816322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6</v>
      </c>
      <c r="P21" s="1">
        <f>VLOOKUP(A:A,MASTER!A:H,8,0)</f>
        <v>2</v>
      </c>
      <c r="Q21" s="12">
        <f t="shared" si="3"/>
        <v>-0.66666666666666674</v>
      </c>
      <c r="R21" s="1">
        <f>VLOOKUP(A:A,MASTER!A:B,2,0)</f>
        <v>501</v>
      </c>
      <c r="S21">
        <f>VLOOKUP(A:A,MASTER!A:G,7,0)</f>
        <v>642</v>
      </c>
      <c r="T21" s="12">
        <f t="shared" si="4"/>
        <v>0.2814371257485031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54865067.948890314</v>
      </c>
      <c r="G22" s="1">
        <f>VLOOKUP(A:A,MASTER!A:K,11,0)</f>
        <v>52390468.285419568</v>
      </c>
      <c r="H22" s="12">
        <f t="shared" si="0"/>
        <v>-4.5103373712686579E-2</v>
      </c>
      <c r="I22" s="2">
        <f>VLOOKUP(A:A,MASTER!A:E,5,0)</f>
        <v>1393</v>
      </c>
      <c r="J22" s="2">
        <f>VLOOKUP(A:A,MASTER!A:J,10,0)</f>
        <v>1523</v>
      </c>
      <c r="K22" s="12">
        <f t="shared" si="1"/>
        <v>9.3323761665470295E-2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25</v>
      </c>
      <c r="P22" s="1">
        <f>VLOOKUP(A:A,MASTER!A:H,8,0)</f>
        <v>22</v>
      </c>
      <c r="Q22" s="12">
        <f t="shared" si="3"/>
        <v>-0.12</v>
      </c>
      <c r="R22" s="1">
        <f>VLOOKUP(A:A,MASTER!A:B,2,0)</f>
        <v>1762</v>
      </c>
      <c r="S22">
        <f>VLOOKUP(A:A,MASTER!A:G,7,0)</f>
        <v>1955</v>
      </c>
      <c r="T22" s="12">
        <f t="shared" si="4"/>
        <v>0.10953461975028378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23348562.33505841</v>
      </c>
      <c r="G23" s="1">
        <f>VLOOKUP(A:A,MASTER!A:K,11,0)</f>
        <v>21619104.414777428</v>
      </c>
      <c r="H23" s="12">
        <f t="shared" si="0"/>
        <v>-7.4071280940675277E-2</v>
      </c>
      <c r="I23" s="2">
        <f>VLOOKUP(A:A,MASTER!A:E,5,0)</f>
        <v>782</v>
      </c>
      <c r="J23" s="2">
        <f>VLOOKUP(A:A,MASTER!A:J,10,0)</f>
        <v>807</v>
      </c>
      <c r="K23" s="12">
        <f t="shared" si="1"/>
        <v>3.1969309462915652E-2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18</v>
      </c>
      <c r="P23" s="1">
        <f>VLOOKUP(A:A,MASTER!A:H,8,0)</f>
        <v>11</v>
      </c>
      <c r="Q23" s="12">
        <f t="shared" si="3"/>
        <v>-0.38888888888888884</v>
      </c>
      <c r="R23" s="1">
        <f>VLOOKUP(A:A,MASTER!A:B,2,0)</f>
        <v>871</v>
      </c>
      <c r="S23">
        <f>VLOOKUP(A:A,MASTER!A:G,7,0)</f>
        <v>885</v>
      </c>
      <c r="T23" s="12">
        <f t="shared" si="4"/>
        <v>1.6073478760045834E-2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27539932.962145608</v>
      </c>
      <c r="G24" s="1">
        <f>VLOOKUP(A:A,MASTER!A:K,11,0)</f>
        <v>27800137.867651787</v>
      </c>
      <c r="H24" s="12">
        <f t="shared" si="0"/>
        <v>9.4482766484522696E-3</v>
      </c>
      <c r="I24" s="2">
        <f>VLOOKUP(A:A,MASTER!A:E,5,0)</f>
        <v>739</v>
      </c>
      <c r="J24" s="2">
        <f>VLOOKUP(A:A,MASTER!A:J,10,0)</f>
        <v>679</v>
      </c>
      <c r="K24" s="12">
        <f t="shared" si="1"/>
        <v>-8.1190798376184037E-2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8</v>
      </c>
      <c r="P24" s="1">
        <f>VLOOKUP(A:A,MASTER!A:H,8,0)</f>
        <v>5</v>
      </c>
      <c r="Q24" s="12">
        <f t="shared" si="3"/>
        <v>-0.375</v>
      </c>
      <c r="R24" s="1">
        <f>VLOOKUP(A:A,MASTER!A:B,2,0)</f>
        <v>874</v>
      </c>
      <c r="S24">
        <f>VLOOKUP(A:A,MASTER!A:G,7,0)</f>
        <v>816</v>
      </c>
      <c r="T24" s="12">
        <f t="shared" si="4"/>
        <v>-6.6361556064073235E-2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6886937.3913142877</v>
      </c>
      <c r="G25" s="1">
        <f>VLOOKUP(A:A,MASTER!A:K,11,0)</f>
        <v>6735187.5290625654</v>
      </c>
      <c r="H25" s="12">
        <f t="shared" si="0"/>
        <v>-2.2034447771095866E-2</v>
      </c>
      <c r="I25" s="2">
        <f>VLOOKUP(A:A,MASTER!A:E,5,0)</f>
        <v>187</v>
      </c>
      <c r="J25" s="2">
        <f>VLOOKUP(A:A,MASTER!A:J,10,0)</f>
        <v>183</v>
      </c>
      <c r="K25" s="12">
        <f t="shared" si="1"/>
        <v>-2.1390374331550777E-2</v>
      </c>
      <c r="L25" s="2">
        <f>VLOOKUP(A:A,MASTER!A:D,4,0)</f>
        <v>1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212</v>
      </c>
      <c r="S25">
        <f>VLOOKUP(A:A,MASTER!A:G,7,0)</f>
        <v>202</v>
      </c>
      <c r="T25" s="12">
        <f t="shared" si="4"/>
        <v>-4.7169811320754707E-2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52245867.280673377</v>
      </c>
      <c r="G26" s="1">
        <f>VLOOKUP(A:A,MASTER!A:K,11,0)</f>
        <v>53444091.942912899</v>
      </c>
      <c r="H26" s="12">
        <f t="shared" si="0"/>
        <v>2.2934343415192293E-2</v>
      </c>
      <c r="I26" s="2">
        <f>VLOOKUP(A:A,MASTER!A:E,5,0)</f>
        <v>1369</v>
      </c>
      <c r="J26" s="2">
        <f>VLOOKUP(A:A,MASTER!A:J,10,0)</f>
        <v>1479</v>
      </c>
      <c r="K26" s="12">
        <f t="shared" si="1"/>
        <v>8.0350620891161517E-2</v>
      </c>
      <c r="L26" s="2">
        <f>VLOOKUP(A:A,MASTER!A:D,4,0)</f>
        <v>6</v>
      </c>
      <c r="M26" s="2">
        <f>VLOOKUP(A:A,MASTER!A:I,9,0)</f>
        <v>6</v>
      </c>
      <c r="N26" s="12">
        <f t="shared" si="2"/>
        <v>0</v>
      </c>
      <c r="O26" s="1">
        <f>VLOOKUP(A:A,MASTER!A:C,3,0)</f>
        <v>14</v>
      </c>
      <c r="P26" s="1">
        <f>VLOOKUP(A:A,MASTER!A:H,8,0)</f>
        <v>9</v>
      </c>
      <c r="Q26" s="12">
        <f t="shared" si="3"/>
        <v>-0.3571428571428571</v>
      </c>
      <c r="R26" s="1">
        <f>VLOOKUP(A:A,MASTER!A:B,2,0)</f>
        <v>1607</v>
      </c>
      <c r="S26">
        <f>VLOOKUP(A:A,MASTER!A:G,7,0)</f>
        <v>1699</v>
      </c>
      <c r="T26" s="12">
        <f t="shared" si="4"/>
        <v>5.724953329184812E-2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44719853.847682461</v>
      </c>
      <c r="G27" s="1">
        <f>VLOOKUP(A:A,MASTER!A:K,11,0)</f>
        <v>48022769.319153361</v>
      </c>
      <c r="H27" s="12">
        <f t="shared" si="0"/>
        <v>7.3857921868903276E-2</v>
      </c>
      <c r="I27" s="2">
        <f>VLOOKUP(A:A,MASTER!A:E,5,0)</f>
        <v>633</v>
      </c>
      <c r="J27" s="2">
        <f>VLOOKUP(A:A,MASTER!A:J,10,0)</f>
        <v>628</v>
      </c>
      <c r="K27" s="12">
        <f t="shared" si="1"/>
        <v>-7.89889415481837E-3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9</v>
      </c>
      <c r="P27" s="1">
        <f>VLOOKUP(A:A,MASTER!A:H,8,0)</f>
        <v>4</v>
      </c>
      <c r="Q27" s="12">
        <f t="shared" si="3"/>
        <v>-0.55555555555555558</v>
      </c>
      <c r="R27" s="1">
        <f>VLOOKUP(A:A,MASTER!A:B,2,0)</f>
        <v>897</v>
      </c>
      <c r="S27">
        <f>VLOOKUP(A:A,MASTER!A:G,7,0)</f>
        <v>806</v>
      </c>
      <c r="T27" s="12">
        <f t="shared" si="4"/>
        <v>-0.10144927536231885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42397132.114321806</v>
      </c>
      <c r="G28" s="1">
        <f>VLOOKUP(A:A,MASTER!A:K,11,0)</f>
        <v>50151172.686785869</v>
      </c>
      <c r="H28" s="12">
        <f t="shared" si="0"/>
        <v>0.18289068589723634</v>
      </c>
      <c r="I28" s="2">
        <f>VLOOKUP(A:A,MASTER!A:E,5,0)</f>
        <v>837</v>
      </c>
      <c r="J28" s="2">
        <f>VLOOKUP(A:A,MASTER!A:J,10,0)</f>
        <v>835</v>
      </c>
      <c r="K28" s="12">
        <f t="shared" si="1"/>
        <v>-2.3894862604539879E-3</v>
      </c>
      <c r="L28" s="2">
        <f>VLOOKUP(A:A,MASTER!A:D,4,0)</f>
        <v>2</v>
      </c>
      <c r="M28" s="2">
        <f>VLOOKUP(A:A,MASTER!A:I,9,0)</f>
        <v>3</v>
      </c>
      <c r="N28" s="12">
        <f t="shared" si="2"/>
        <v>0.5</v>
      </c>
      <c r="O28" s="1">
        <f>VLOOKUP(A:A,MASTER!A:C,3,0)</f>
        <v>3</v>
      </c>
      <c r="P28" s="1">
        <f>VLOOKUP(A:A,MASTER!A:H,8,0)</f>
        <v>2</v>
      </c>
      <c r="Q28" s="12">
        <f t="shared" si="3"/>
        <v>-0.33333333333333337</v>
      </c>
      <c r="R28" s="1">
        <f>VLOOKUP(A:A,MASTER!A:B,2,0)</f>
        <v>999</v>
      </c>
      <c r="S28">
        <f>VLOOKUP(A:A,MASTER!A:G,7,0)</f>
        <v>1014</v>
      </c>
      <c r="T28" s="12">
        <f t="shared" si="4"/>
        <v>1.501501501501501E-2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58415919.261453278</v>
      </c>
      <c r="G29" s="1">
        <f>VLOOKUP(A:A,MASTER!A:K,11,0)</f>
        <v>57547104.808915883</v>
      </c>
      <c r="H29" s="12">
        <f t="shared" si="0"/>
        <v>-1.4872905596997055E-2</v>
      </c>
      <c r="I29" s="2">
        <f>VLOOKUP(A:A,MASTER!A:E,5,0)</f>
        <v>854</v>
      </c>
      <c r="J29" s="2">
        <f>VLOOKUP(A:A,MASTER!A:J,10,0)</f>
        <v>818</v>
      </c>
      <c r="K29" s="12">
        <f t="shared" si="1"/>
        <v>-4.2154566744730726E-2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4</v>
      </c>
      <c r="P29" s="1">
        <f>VLOOKUP(A:A,MASTER!A:H,8,0)</f>
        <v>2</v>
      </c>
      <c r="Q29" s="12">
        <f t="shared" si="3"/>
        <v>-0.5</v>
      </c>
      <c r="R29" s="1">
        <f>VLOOKUP(A:A,MASTER!A:B,2,0)</f>
        <v>1129</v>
      </c>
      <c r="S29">
        <f>VLOOKUP(A:A,MASTER!A:G,7,0)</f>
        <v>972</v>
      </c>
      <c r="T29" s="12">
        <f t="shared" si="4"/>
        <v>-0.13906111603188664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77684620.45929715</v>
      </c>
      <c r="G30" s="1">
        <f>VLOOKUP(A:A,MASTER!A:K,11,0)</f>
        <v>70210950.90802002</v>
      </c>
      <c r="H30" s="12">
        <f t="shared" si="0"/>
        <v>-9.6205265689531916E-2</v>
      </c>
      <c r="I30" s="2">
        <f>VLOOKUP(A:A,MASTER!A:E,5,0)</f>
        <v>1163</v>
      </c>
      <c r="J30" s="2">
        <f>VLOOKUP(A:A,MASTER!A:J,10,0)</f>
        <v>1115</v>
      </c>
      <c r="K30" s="12">
        <f t="shared" si="1"/>
        <v>-4.1272570937231245E-2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6</v>
      </c>
      <c r="P30" s="1">
        <f>VLOOKUP(A:A,MASTER!A:H,8,0)</f>
        <v>6</v>
      </c>
      <c r="Q30" s="12">
        <f t="shared" si="3"/>
        <v>0</v>
      </c>
      <c r="R30" s="1">
        <f>VLOOKUP(A:A,MASTER!A:B,2,0)</f>
        <v>1402</v>
      </c>
      <c r="S30">
        <f>VLOOKUP(A:A,MASTER!A:G,7,0)</f>
        <v>1343</v>
      </c>
      <c r="T30" s="12">
        <f t="shared" si="4"/>
        <v>-4.2082738944365206E-2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34510901.357612282</v>
      </c>
      <c r="G31" s="1">
        <f>VLOOKUP(A:A,MASTER!A:K,11,0)</f>
        <v>32240290.254602402</v>
      </c>
      <c r="H31" s="12">
        <f t="shared" si="0"/>
        <v>-6.5794024893210623E-2</v>
      </c>
      <c r="I31" s="2">
        <f>VLOOKUP(A:A,MASTER!A:E,5,0)</f>
        <v>552</v>
      </c>
      <c r="J31" s="2">
        <f>VLOOKUP(A:A,MASTER!A:J,10,0)</f>
        <v>543</v>
      </c>
      <c r="K31" s="12">
        <f t="shared" si="1"/>
        <v>-1.6304347826086918E-2</v>
      </c>
      <c r="L31" s="2">
        <f>VLOOKUP(A:A,MASTER!A:D,4,0)</f>
        <v>5</v>
      </c>
      <c r="M31" s="2">
        <f>VLOOKUP(A:A,MASTER!A:I,9,0)</f>
        <v>4</v>
      </c>
      <c r="N31" s="12">
        <f t="shared" si="2"/>
        <v>-0.19999999999999996</v>
      </c>
      <c r="O31" s="1">
        <f>VLOOKUP(A:A,MASTER!A:C,3,0)</f>
        <v>3</v>
      </c>
      <c r="P31" s="1">
        <f>VLOOKUP(A:A,MASTER!A:H,8,0)</f>
        <v>5</v>
      </c>
      <c r="Q31" s="12">
        <f t="shared" si="3"/>
        <v>0.66666666666666674</v>
      </c>
      <c r="R31" s="1">
        <f>VLOOKUP(A:A,MASTER!A:B,2,0)</f>
        <v>663</v>
      </c>
      <c r="S31">
        <f>VLOOKUP(A:A,MASTER!A:G,7,0)</f>
        <v>673</v>
      </c>
      <c r="T31" s="12">
        <f t="shared" si="4"/>
        <v>1.5082956259426794E-2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87375645.986355141</v>
      </c>
      <c r="G32" s="1">
        <f>VLOOKUP(A:A,MASTER!A:K,11,0)</f>
        <v>77880813.719669446</v>
      </c>
      <c r="H32" s="12">
        <f t="shared" si="0"/>
        <v>-0.10866680480014346</v>
      </c>
      <c r="I32" s="2">
        <f>VLOOKUP(A:A,MASTER!A:E,5,0)</f>
        <v>1618</v>
      </c>
      <c r="J32" s="2">
        <f>VLOOKUP(A:A,MASTER!A:J,10,0)</f>
        <v>1691</v>
      </c>
      <c r="K32" s="12">
        <f t="shared" si="1"/>
        <v>4.5117428924598357E-2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13</v>
      </c>
      <c r="P32" s="1">
        <f>VLOOKUP(A:A,MASTER!A:H,8,0)</f>
        <v>4</v>
      </c>
      <c r="Q32" s="12">
        <f t="shared" si="3"/>
        <v>-0.69230769230769229</v>
      </c>
      <c r="R32" s="1">
        <f>VLOOKUP(A:A,MASTER!A:B,2,0)</f>
        <v>1827</v>
      </c>
      <c r="S32">
        <f>VLOOKUP(A:A,MASTER!A:G,7,0)</f>
        <v>1871</v>
      </c>
      <c r="T32" s="12">
        <f t="shared" si="4"/>
        <v>2.4083196496989645E-2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33911408.209630743</v>
      </c>
      <c r="G33" s="1">
        <f>VLOOKUP(A:A,MASTER!A:K,11,0)</f>
        <v>34624389.573049486</v>
      </c>
      <c r="H33" s="12">
        <f t="shared" si="0"/>
        <v>2.1024823239757406E-2</v>
      </c>
      <c r="I33" s="2">
        <f>VLOOKUP(A:A,MASTER!A:E,5,0)</f>
        <v>847</v>
      </c>
      <c r="J33" s="2">
        <f>VLOOKUP(A:A,MASTER!A:J,10,0)</f>
        <v>700</v>
      </c>
      <c r="K33" s="12">
        <f t="shared" si="1"/>
        <v>-0.17355371900826444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5</v>
      </c>
      <c r="P33" s="1">
        <f>VLOOKUP(A:A,MASTER!A:H,8,0)</f>
        <v>7</v>
      </c>
      <c r="Q33" s="12">
        <f t="shared" si="3"/>
        <v>0.39999999999999991</v>
      </c>
      <c r="R33" s="1">
        <f>VLOOKUP(A:A,MASTER!A:B,2,0)</f>
        <v>853</v>
      </c>
      <c r="S33">
        <f>VLOOKUP(A:A,MASTER!A:G,7,0)</f>
        <v>884</v>
      </c>
      <c r="T33" s="12">
        <f t="shared" si="4"/>
        <v>3.6342321219226204E-2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31507407.912067052</v>
      </c>
      <c r="G34" s="1">
        <f>VLOOKUP(A:A,MASTER!A:K,11,0)</f>
        <v>29180637.002966914</v>
      </c>
      <c r="H34" s="12">
        <f t="shared" si="0"/>
        <v>-7.3848376089643564E-2</v>
      </c>
      <c r="I34" s="2">
        <f>VLOOKUP(A:A,MASTER!A:E,5,0)</f>
        <v>549</v>
      </c>
      <c r="J34" s="2">
        <f>VLOOKUP(A:A,MASTER!A:J,10,0)</f>
        <v>9</v>
      </c>
      <c r="K34" s="12">
        <f t="shared" si="1"/>
        <v>-0.98360655737704916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5</v>
      </c>
      <c r="P34" s="1">
        <f>VLOOKUP(A:A,MASTER!A:H,8,0)</f>
        <v>4</v>
      </c>
      <c r="Q34" s="12">
        <f t="shared" si="3"/>
        <v>-0.19999999999999996</v>
      </c>
      <c r="R34" s="1">
        <f>VLOOKUP(A:A,MASTER!A:B,2,0)</f>
        <v>689</v>
      </c>
      <c r="S34">
        <f>VLOOKUP(A:A,MASTER!A:G,7,0)</f>
        <v>225</v>
      </c>
      <c r="T34" s="12">
        <f t="shared" si="4"/>
        <v>-0.67343976777939041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49390987.663672179</v>
      </c>
      <c r="G35" s="1">
        <f>VLOOKUP(A:A,MASTER!A:K,11,0)</f>
        <v>54759248.047144808</v>
      </c>
      <c r="H35" s="12">
        <f t="shared" si="0"/>
        <v>0.10868906732596217</v>
      </c>
      <c r="I35" s="2">
        <f>VLOOKUP(A:A,MASTER!A:E,5,0)</f>
        <v>923</v>
      </c>
      <c r="J35" s="2">
        <f>VLOOKUP(A:A,MASTER!A:J,10,0)</f>
        <v>1181</v>
      </c>
      <c r="K35" s="12">
        <f t="shared" si="1"/>
        <v>0.2795232936078007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22</v>
      </c>
      <c r="P35" s="1">
        <f>VLOOKUP(A:A,MASTER!A:H,8,0)</f>
        <v>12</v>
      </c>
      <c r="Q35" s="12">
        <f t="shared" si="3"/>
        <v>-0.45454545454545459</v>
      </c>
      <c r="R35" s="1">
        <f>VLOOKUP(A:A,MASTER!A:B,2,0)</f>
        <v>1179</v>
      </c>
      <c r="S35">
        <f>VLOOKUP(A:A,MASTER!A:G,7,0)</f>
        <v>1601</v>
      </c>
      <c r="T35" s="12">
        <f t="shared" si="4"/>
        <v>0.35793044953350295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46490769.935966089</v>
      </c>
      <c r="G36" s="1">
        <f>VLOOKUP(A:A,MASTER!A:K,11,0)</f>
        <v>47837416.432098202</v>
      </c>
      <c r="H36" s="12">
        <f t="shared" si="0"/>
        <v>2.8965889314952475E-2</v>
      </c>
      <c r="I36" s="2">
        <f>VLOOKUP(A:A,MASTER!A:E,5,0)</f>
        <v>958</v>
      </c>
      <c r="J36" s="2">
        <f>VLOOKUP(A:A,MASTER!A:J,10,0)</f>
        <v>1028</v>
      </c>
      <c r="K36" s="12">
        <f t="shared" si="1"/>
        <v>7.3068893528183798E-2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468</v>
      </c>
      <c r="P36" s="1">
        <f>VLOOKUP(A:A,MASTER!A:H,8,0)</f>
        <v>734</v>
      </c>
      <c r="Q36" s="12">
        <f t="shared" si="3"/>
        <v>0.56837606837606836</v>
      </c>
      <c r="R36" s="1">
        <f>VLOOKUP(A:A,MASTER!A:B,2,0)</f>
        <v>1387</v>
      </c>
      <c r="S36">
        <f>VLOOKUP(A:A,MASTER!A:G,7,0)</f>
        <v>1518</v>
      </c>
      <c r="T36" s="12">
        <f t="shared" si="4"/>
        <v>9.444844989185297E-2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81931582.762003809</v>
      </c>
      <c r="G37" s="1">
        <f>VLOOKUP(A:A,MASTER!A:K,11,0)</f>
        <v>80835356.932574764</v>
      </c>
      <c r="H37" s="12">
        <f t="shared" si="0"/>
        <v>-1.3379771175828226E-2</v>
      </c>
      <c r="I37" s="2">
        <f>VLOOKUP(A:A,MASTER!A:E,5,0)</f>
        <v>1432</v>
      </c>
      <c r="J37" s="2">
        <f>VLOOKUP(A:A,MASTER!A:J,10,0)</f>
        <v>1812</v>
      </c>
      <c r="K37" s="12">
        <f t="shared" si="1"/>
        <v>0.26536312849162003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191</v>
      </c>
      <c r="P37" s="1">
        <f>VLOOKUP(A:A,MASTER!A:H,8,0)</f>
        <v>579</v>
      </c>
      <c r="Q37" s="12">
        <f t="shared" si="3"/>
        <v>2.0314136125654452</v>
      </c>
      <c r="R37" s="1">
        <f>VLOOKUP(A:A,MASTER!A:B,2,0)</f>
        <v>2283</v>
      </c>
      <c r="S37">
        <f>VLOOKUP(A:A,MASTER!A:G,7,0)</f>
        <v>2530</v>
      </c>
      <c r="T37" s="12">
        <f t="shared" si="4"/>
        <v>0.10819097678493206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29518608.302452143</v>
      </c>
      <c r="G38" s="1">
        <f>VLOOKUP(A:A,MASTER!A:K,11,0)</f>
        <v>30447273.994931657</v>
      </c>
      <c r="H38" s="12">
        <f t="shared" si="0"/>
        <v>3.1460348095149415E-2</v>
      </c>
      <c r="I38" s="2">
        <f>VLOOKUP(A:A,MASTER!A:E,5,0)</f>
        <v>397</v>
      </c>
      <c r="J38" s="2">
        <f>VLOOKUP(A:A,MASTER!A:J,10,0)</f>
        <v>465</v>
      </c>
      <c r="K38" s="12">
        <f t="shared" si="1"/>
        <v>0.17128463476070532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2</v>
      </c>
      <c r="P38" s="1">
        <f>VLOOKUP(A:A,MASTER!A:H,8,0)</f>
        <v>1</v>
      </c>
      <c r="Q38" s="12">
        <f t="shared" si="3"/>
        <v>-0.5</v>
      </c>
      <c r="R38" s="1">
        <f>VLOOKUP(A:A,MASTER!A:B,2,0)</f>
        <v>582</v>
      </c>
      <c r="S38">
        <f>VLOOKUP(A:A,MASTER!A:G,7,0)</f>
        <v>539</v>
      </c>
      <c r="T38" s="12">
        <f t="shared" si="4"/>
        <v>-7.3883161512027451E-2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95711862.991976976</v>
      </c>
      <c r="G39" s="1">
        <f>VLOOKUP(A:A,MASTER!A:K,11,0)</f>
        <v>95712599.53319712</v>
      </c>
      <c r="H39" s="12">
        <f t="shared" si="0"/>
        <v>7.6954015637564765E-6</v>
      </c>
      <c r="I39" s="2">
        <f>VLOOKUP(A:A,MASTER!A:E,5,0)</f>
        <v>1876</v>
      </c>
      <c r="J39" s="2">
        <f>VLOOKUP(A:A,MASTER!A:J,10,0)</f>
        <v>2128</v>
      </c>
      <c r="K39" s="12">
        <f t="shared" si="1"/>
        <v>0.13432835820895517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9</v>
      </c>
      <c r="P39" s="1">
        <f>VLOOKUP(A:A,MASTER!A:H,8,0)</f>
        <v>6</v>
      </c>
      <c r="Q39" s="12">
        <f t="shared" si="3"/>
        <v>-0.33333333333333337</v>
      </c>
      <c r="R39" s="1">
        <f>VLOOKUP(A:A,MASTER!A:B,2,0)</f>
        <v>2097</v>
      </c>
      <c r="S39">
        <f>VLOOKUP(A:A,MASTER!A:G,7,0)</f>
        <v>2308</v>
      </c>
      <c r="T39" s="12">
        <f t="shared" si="4"/>
        <v>0.10061993323795893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66077656.481311753</v>
      </c>
      <c r="G40" s="1">
        <f>VLOOKUP(A:A,MASTER!A:K,11,0)</f>
        <v>71121428.579272196</v>
      </c>
      <c r="H40" s="12">
        <f t="shared" si="0"/>
        <v>7.6330977315863802E-2</v>
      </c>
      <c r="I40" s="2">
        <f>VLOOKUP(A:A,MASTER!A:E,5,0)</f>
        <v>934</v>
      </c>
      <c r="J40" s="2">
        <f>VLOOKUP(A:A,MASTER!A:J,10,0)</f>
        <v>780</v>
      </c>
      <c r="K40" s="12">
        <f t="shared" si="1"/>
        <v>-0.16488222698072807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14</v>
      </c>
      <c r="P40" s="1">
        <f>VLOOKUP(A:A,MASTER!A:H,8,0)</f>
        <v>6</v>
      </c>
      <c r="Q40" s="12">
        <f t="shared" si="3"/>
        <v>-0.5714285714285714</v>
      </c>
      <c r="R40" s="1">
        <f>VLOOKUP(A:A,MASTER!A:B,2,0)</f>
        <v>920</v>
      </c>
      <c r="S40">
        <f>VLOOKUP(A:A,MASTER!A:G,7,0)</f>
        <v>1007</v>
      </c>
      <c r="T40" s="12">
        <f t="shared" si="4"/>
        <v>9.4565217391304301E-2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41485493.460575968</v>
      </c>
      <c r="G41" s="1">
        <f>VLOOKUP(A:A,MASTER!A:K,11,0)</f>
        <v>51504295.026711926</v>
      </c>
      <c r="H41" s="12">
        <f t="shared" si="0"/>
        <v>0.24150132324343487</v>
      </c>
      <c r="I41" s="2">
        <f>VLOOKUP(A:A,MASTER!A:E,5,0)</f>
        <v>1055</v>
      </c>
      <c r="J41" s="2">
        <f>VLOOKUP(A:A,MASTER!A:J,10,0)</f>
        <v>1265</v>
      </c>
      <c r="K41" s="12">
        <f t="shared" si="1"/>
        <v>0.19905213270142186</v>
      </c>
      <c r="L41" s="2">
        <f>VLOOKUP(A:A,MASTER!A:D,4,0)</f>
        <v>4</v>
      </c>
      <c r="M41" s="2">
        <f>VLOOKUP(A:A,MASTER!A:I,9,0)</f>
        <v>3</v>
      </c>
      <c r="N41" s="12">
        <f t="shared" si="2"/>
        <v>-0.25</v>
      </c>
      <c r="O41" s="1">
        <f>VLOOKUP(A:A,MASTER!A:C,3,0)</f>
        <v>9</v>
      </c>
      <c r="P41" s="1">
        <f>VLOOKUP(A:A,MASTER!A:H,8,0)</f>
        <v>4</v>
      </c>
      <c r="Q41" s="12">
        <f t="shared" si="3"/>
        <v>-0.55555555555555558</v>
      </c>
      <c r="R41" s="1">
        <f>VLOOKUP(A:A,MASTER!A:B,2,0)</f>
        <v>1068</v>
      </c>
      <c r="S41">
        <f>VLOOKUP(A:A,MASTER!A:G,7,0)</f>
        <v>1168</v>
      </c>
      <c r="T41" s="12">
        <f t="shared" si="4"/>
        <v>9.3632958801498134E-2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49249963.801438831</v>
      </c>
      <c r="G42" s="1">
        <f>VLOOKUP(A:A,MASTER!A:K,11,0)</f>
        <v>52802102.182763182</v>
      </c>
      <c r="H42" s="12">
        <f t="shared" si="0"/>
        <v>7.2124690195621621E-2</v>
      </c>
      <c r="I42" s="2">
        <f>VLOOKUP(A:A,MASTER!A:E,5,0)</f>
        <v>545</v>
      </c>
      <c r="J42" s="2">
        <f>VLOOKUP(A:A,MASTER!A:J,10,0)</f>
        <v>631</v>
      </c>
      <c r="K42" s="12">
        <f t="shared" si="1"/>
        <v>0.15779816513761458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11</v>
      </c>
      <c r="P42" s="1">
        <f>VLOOKUP(A:A,MASTER!A:H,8,0)</f>
        <v>4</v>
      </c>
      <c r="Q42" s="12">
        <f t="shared" si="3"/>
        <v>-0.63636363636363635</v>
      </c>
      <c r="R42" s="1">
        <f>VLOOKUP(A:A,MASTER!A:B,2,0)</f>
        <v>806</v>
      </c>
      <c r="S42">
        <f>VLOOKUP(A:A,MASTER!A:G,7,0)</f>
        <v>765</v>
      </c>
      <c r="T42" s="12">
        <f t="shared" si="4"/>
        <v>-5.0868486352357301E-2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31385283.229581248</v>
      </c>
      <c r="G43" s="1">
        <f>VLOOKUP(A:A,MASTER!A:K,11,0)</f>
        <v>31139025.740748473</v>
      </c>
      <c r="H43" s="12">
        <f t="shared" si="0"/>
        <v>-7.8462726313928144E-3</v>
      </c>
      <c r="I43" s="2">
        <f>VLOOKUP(A:A,MASTER!A:E,5,0)</f>
        <v>566</v>
      </c>
      <c r="J43" s="2">
        <f>VLOOKUP(A:A,MASTER!A:J,10,0)</f>
        <v>994</v>
      </c>
      <c r="K43" s="12">
        <f t="shared" si="1"/>
        <v>0.75618374558303891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4</v>
      </c>
      <c r="P43" s="1">
        <f>VLOOKUP(A:A,MASTER!A:H,8,0)</f>
        <v>2</v>
      </c>
      <c r="Q43" s="12">
        <f t="shared" si="3"/>
        <v>-0.5</v>
      </c>
      <c r="R43" s="1">
        <f>VLOOKUP(A:A,MASTER!A:B,2,0)</f>
        <v>730</v>
      </c>
      <c r="S43">
        <f>VLOOKUP(A:A,MASTER!A:G,7,0)</f>
        <v>927</v>
      </c>
      <c r="T43" s="12">
        <f t="shared" si="4"/>
        <v>0.26986301369863019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27161159.155581944</v>
      </c>
      <c r="G44" s="1">
        <f>VLOOKUP(A:A,MASTER!A:K,11,0)</f>
        <v>29497188.250054847</v>
      </c>
      <c r="H44" s="12">
        <f t="shared" si="0"/>
        <v>8.600623710836075E-2</v>
      </c>
      <c r="I44" s="2">
        <f>VLOOKUP(A:A,MASTER!A:E,5,0)</f>
        <v>748</v>
      </c>
      <c r="J44" s="2">
        <f>VLOOKUP(A:A,MASTER!A:J,10,0)</f>
        <v>902</v>
      </c>
      <c r="K44" s="12">
        <f t="shared" si="1"/>
        <v>0.20588235294117641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3</v>
      </c>
      <c r="P44" s="1">
        <f>VLOOKUP(A:A,MASTER!A:H,8,0)</f>
        <v>2</v>
      </c>
      <c r="Q44" s="12">
        <f t="shared" si="3"/>
        <v>-0.33333333333333337</v>
      </c>
      <c r="R44" s="1">
        <f>VLOOKUP(A:A,MASTER!A:B,2,0)</f>
        <v>702</v>
      </c>
      <c r="S44">
        <f>VLOOKUP(A:A,MASTER!A:G,7,0)</f>
        <v>873</v>
      </c>
      <c r="T44" s="12">
        <f t="shared" si="4"/>
        <v>0.24358974358974361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89370298.486010313</v>
      </c>
      <c r="G45" s="1">
        <f>VLOOKUP(A:A,MASTER!A:K,11,0)</f>
        <v>92957541.410645261</v>
      </c>
      <c r="H45" s="12">
        <f t="shared" si="0"/>
        <v>4.013909526324877E-2</v>
      </c>
      <c r="I45" s="2">
        <f>VLOOKUP(A:A,MASTER!A:E,5,0)</f>
        <v>1221</v>
      </c>
      <c r="J45" s="2">
        <f>VLOOKUP(A:A,MASTER!A:J,10,0)</f>
        <v>1060</v>
      </c>
      <c r="K45" s="12">
        <f t="shared" si="1"/>
        <v>-0.1318591318591319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9</v>
      </c>
      <c r="P45" s="1">
        <f>VLOOKUP(A:A,MASTER!A:H,8,0)</f>
        <v>11</v>
      </c>
      <c r="Q45" s="12">
        <f t="shared" si="3"/>
        <v>0.22222222222222232</v>
      </c>
      <c r="R45" s="1">
        <f>VLOOKUP(A:A,MASTER!A:B,2,0)</f>
        <v>1266</v>
      </c>
      <c r="S45">
        <f>VLOOKUP(A:A,MASTER!A:G,7,0)</f>
        <v>1153</v>
      </c>
      <c r="T45" s="12">
        <f t="shared" si="4"/>
        <v>-8.9257503949447092E-2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40951999.234998055</v>
      </c>
      <c r="G46" s="1">
        <f>VLOOKUP(A:A,MASTER!A:K,11,0)</f>
        <v>35233559.244377941</v>
      </c>
      <c r="H46" s="12">
        <f t="shared" si="0"/>
        <v>-0.13963762691549053</v>
      </c>
      <c r="I46" s="2">
        <f>VLOOKUP(A:A,MASTER!A:E,5,0)</f>
        <v>1033</v>
      </c>
      <c r="J46" s="2">
        <f>VLOOKUP(A:A,MASTER!A:J,10,0)</f>
        <v>541</v>
      </c>
      <c r="K46" s="12">
        <f t="shared" si="1"/>
        <v>-0.47628267182962247</v>
      </c>
      <c r="L46" s="2">
        <f>VLOOKUP(A:A,MASTER!A:D,4,0)</f>
        <v>6</v>
      </c>
      <c r="M46" s="2">
        <f>VLOOKUP(A:A,MASTER!A:I,9,0)</f>
        <v>4</v>
      </c>
      <c r="N46" s="12">
        <f t="shared" si="2"/>
        <v>-0.33333333333333337</v>
      </c>
      <c r="O46" s="1">
        <f>VLOOKUP(A:A,MASTER!A:C,3,0)</f>
        <v>5</v>
      </c>
      <c r="P46" s="1">
        <f>VLOOKUP(A:A,MASTER!A:H,8,0)</f>
        <v>3</v>
      </c>
      <c r="Q46" s="12">
        <f t="shared" si="3"/>
        <v>-0.4</v>
      </c>
      <c r="R46" s="1">
        <f>VLOOKUP(A:A,MASTER!A:B,2,0)</f>
        <v>919</v>
      </c>
      <c r="S46">
        <f>VLOOKUP(A:A,MASTER!A:G,7,0)</f>
        <v>478</v>
      </c>
      <c r="T46" s="12">
        <f t="shared" si="4"/>
        <v>-0.47986942328618065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73162303.138640702</v>
      </c>
      <c r="G47" s="1">
        <f>VLOOKUP(A:A,MASTER!A:K,11,0)</f>
        <v>77195751.622610301</v>
      </c>
      <c r="H47" s="12">
        <f t="shared" si="0"/>
        <v>5.5130146413328696E-2</v>
      </c>
      <c r="I47" s="2">
        <f>VLOOKUP(A:A,MASTER!A:E,5,0)</f>
        <v>1029</v>
      </c>
      <c r="J47" s="2">
        <f>VLOOKUP(A:A,MASTER!A:J,10,0)</f>
        <v>1216</v>
      </c>
      <c r="K47" s="12">
        <f t="shared" si="1"/>
        <v>0.1817298347910592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7</v>
      </c>
      <c r="P47" s="1">
        <f>VLOOKUP(A:A,MASTER!A:H,8,0)</f>
        <v>5</v>
      </c>
      <c r="Q47" s="12">
        <f t="shared" si="3"/>
        <v>-0.2857142857142857</v>
      </c>
      <c r="R47" s="1">
        <f>VLOOKUP(A:A,MASTER!A:B,2,0)</f>
        <v>1413</v>
      </c>
      <c r="S47">
        <f>VLOOKUP(A:A,MASTER!A:G,7,0)</f>
        <v>1744</v>
      </c>
      <c r="T47" s="12">
        <f t="shared" si="4"/>
        <v>0.2342533616418967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36979137.486324593</v>
      </c>
      <c r="G48" s="1">
        <f>VLOOKUP(A:A,MASTER!A:K,11,0)</f>
        <v>37086173.316960797</v>
      </c>
      <c r="H48" s="12">
        <f t="shared" si="0"/>
        <v>2.8944923519589327E-3</v>
      </c>
      <c r="I48" s="2">
        <f>VLOOKUP(A:A,MASTER!A:E,5,0)</f>
        <v>385</v>
      </c>
      <c r="J48" s="2">
        <f>VLOOKUP(A:A,MASTER!A:J,10,0)</f>
        <v>405</v>
      </c>
      <c r="K48" s="12">
        <f t="shared" si="1"/>
        <v>5.1948051948051965E-2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4</v>
      </c>
      <c r="P48" s="1">
        <f>VLOOKUP(A:A,MASTER!A:H,8,0)</f>
        <v>5</v>
      </c>
      <c r="Q48" s="12">
        <f t="shared" si="3"/>
        <v>0.25</v>
      </c>
      <c r="R48" s="1">
        <f>VLOOKUP(A:A,MASTER!A:B,2,0)</f>
        <v>470</v>
      </c>
      <c r="S48">
        <f>VLOOKUP(A:A,MASTER!A:G,7,0)</f>
        <v>498</v>
      </c>
      <c r="T48" s="12">
        <f t="shared" si="4"/>
        <v>5.9574468085106469E-2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27840123.363564543</v>
      </c>
      <c r="G49" s="1">
        <f>VLOOKUP(A:A,MASTER!A:K,11,0)</f>
        <v>29159736.673557907</v>
      </c>
      <c r="H49" s="12">
        <f t="shared" si="0"/>
        <v>4.7399693340453908E-2</v>
      </c>
      <c r="I49" s="2">
        <f>VLOOKUP(A:A,MASTER!A:E,5,0)</f>
        <v>286</v>
      </c>
      <c r="J49" s="2">
        <f>VLOOKUP(A:A,MASTER!A:J,10,0)</f>
        <v>309</v>
      </c>
      <c r="K49" s="12">
        <f t="shared" si="1"/>
        <v>8.0419580419580416E-2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4</v>
      </c>
      <c r="P49" s="1">
        <f>VLOOKUP(A:A,MASTER!A:H,8,0)</f>
        <v>3</v>
      </c>
      <c r="Q49" s="12">
        <f t="shared" si="3"/>
        <v>-0.25</v>
      </c>
      <c r="R49" s="1">
        <f>VLOOKUP(A:A,MASTER!A:B,2,0)</f>
        <v>464</v>
      </c>
      <c r="S49">
        <f>VLOOKUP(A:A,MASTER!A:G,7,0)</f>
        <v>376</v>
      </c>
      <c r="T49" s="12">
        <f t="shared" si="4"/>
        <v>-0.18965517241379315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24472584.994238015</v>
      </c>
      <c r="G50" s="1">
        <f>VLOOKUP(A:A,MASTER!A:K,11,0)</f>
        <v>14754678.110907627</v>
      </c>
      <c r="H50" s="12">
        <f t="shared" si="0"/>
        <v>-0.39709360027224072</v>
      </c>
      <c r="I50" s="2">
        <f>VLOOKUP(A:A,MASTER!A:E,5,0)</f>
        <v>317</v>
      </c>
      <c r="J50" s="2">
        <f>VLOOKUP(A:A,MASTER!A:J,10,0)</f>
        <v>321</v>
      </c>
      <c r="K50" s="12">
        <f t="shared" si="1"/>
        <v>1.2618296529968376E-2</v>
      </c>
      <c r="L50" s="2">
        <f>VLOOKUP(A:A,MASTER!A:D,4,0)</f>
        <v>3</v>
      </c>
      <c r="M50" s="2">
        <f>VLOOKUP(A:A,MASTER!A:I,9,0)</f>
        <v>1</v>
      </c>
      <c r="N50" s="12">
        <f t="shared" si="2"/>
        <v>-0.66666666666666674</v>
      </c>
      <c r="O50" s="1">
        <f>VLOOKUP(A:A,MASTER!A:C,3,0)</f>
        <v>3</v>
      </c>
      <c r="P50" s="1">
        <f>VLOOKUP(A:A,MASTER!A:H,8,0)</f>
        <v>1</v>
      </c>
      <c r="Q50" s="12">
        <f t="shared" si="3"/>
        <v>-0.66666666666666674</v>
      </c>
      <c r="R50" s="1">
        <f>VLOOKUP(A:A,MASTER!A:B,2,0)</f>
        <v>400</v>
      </c>
      <c r="S50">
        <f>VLOOKUP(A:A,MASTER!A:G,7,0)</f>
        <v>374</v>
      </c>
      <c r="T50" s="12">
        <f t="shared" si="4"/>
        <v>-6.4999999999999947E-2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55863510.999792792</v>
      </c>
      <c r="G51" s="1">
        <f>VLOOKUP(A:A,MASTER!A:K,11,0)</f>
        <v>61185564.711989157</v>
      </c>
      <c r="H51" s="12">
        <f t="shared" si="0"/>
        <v>9.526887259585437E-2</v>
      </c>
      <c r="I51" s="2">
        <f>VLOOKUP(A:A,MASTER!A:E,5,0)</f>
        <v>942</v>
      </c>
      <c r="J51" s="2">
        <f>VLOOKUP(A:A,MASTER!A:J,10,0)</f>
        <v>936</v>
      </c>
      <c r="K51" s="12">
        <f t="shared" si="1"/>
        <v>-6.3694267515923553E-3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9</v>
      </c>
      <c r="P51" s="1">
        <f>VLOOKUP(A:A,MASTER!A:H,8,0)</f>
        <v>6</v>
      </c>
      <c r="Q51" s="12">
        <f t="shared" si="3"/>
        <v>-0.33333333333333337</v>
      </c>
      <c r="R51" s="1">
        <f>VLOOKUP(A:A,MASTER!A:B,2,0)</f>
        <v>1080</v>
      </c>
      <c r="S51">
        <f>VLOOKUP(A:A,MASTER!A:G,7,0)</f>
        <v>969</v>
      </c>
      <c r="T51" s="12">
        <f t="shared" si="4"/>
        <v>-0.10277777777777775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48311807.84576229</v>
      </c>
      <c r="G52" s="1">
        <f>VLOOKUP(A:A,MASTER!A:K,11,0)</f>
        <v>68869175.714315787</v>
      </c>
      <c r="H52" s="12">
        <f t="shared" si="0"/>
        <v>0.42551435736339771</v>
      </c>
      <c r="I52" s="2">
        <f>VLOOKUP(A:A,MASTER!A:E,5,0)</f>
        <v>736</v>
      </c>
      <c r="J52" s="2">
        <f>VLOOKUP(A:A,MASTER!A:J,10,0)</f>
        <v>987</v>
      </c>
      <c r="K52" s="12">
        <f t="shared" si="1"/>
        <v>0.34103260869565211</v>
      </c>
      <c r="L52" s="2">
        <f>VLOOKUP(A:A,MASTER!A:D,4,0)</f>
        <v>1</v>
      </c>
      <c r="M52" s="2">
        <f>VLOOKUP(A:A,MASTER!A:I,9,0)</f>
        <v>3</v>
      </c>
      <c r="N52" s="12">
        <f t="shared" si="2"/>
        <v>2</v>
      </c>
      <c r="O52" s="1">
        <f>VLOOKUP(A:A,MASTER!A:C,3,0)</f>
        <v>7</v>
      </c>
      <c r="P52" s="1">
        <f>VLOOKUP(A:A,MASTER!A:H,8,0)</f>
        <v>20</v>
      </c>
      <c r="Q52" s="12">
        <f t="shared" si="3"/>
        <v>1.8571428571428572</v>
      </c>
      <c r="R52" s="1">
        <f>VLOOKUP(A:A,MASTER!A:B,2,0)</f>
        <v>950</v>
      </c>
      <c r="S52">
        <f>VLOOKUP(A:A,MASTER!A:G,7,0)</f>
        <v>1436</v>
      </c>
      <c r="T52" s="12">
        <f t="shared" si="4"/>
        <v>0.51157894736842113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112189803.63736749</v>
      </c>
      <c r="G53" s="1">
        <f>VLOOKUP(A:A,MASTER!A:K,11,0)</f>
        <v>96744425.489550591</v>
      </c>
      <c r="H53" s="12">
        <f t="shared" si="0"/>
        <v>-0.13767185294076445</v>
      </c>
      <c r="I53" s="2">
        <f>VLOOKUP(A:A,MASTER!A:E,5,0)</f>
        <v>1589</v>
      </c>
      <c r="J53" s="2">
        <f>VLOOKUP(A:A,MASTER!A:J,10,0)</f>
        <v>1349</v>
      </c>
      <c r="K53" s="12">
        <f t="shared" si="1"/>
        <v>-0.15103838892385146</v>
      </c>
      <c r="L53" s="2">
        <f>VLOOKUP(A:A,MASTER!A:D,4,0)</f>
        <v>8</v>
      </c>
      <c r="M53" s="2">
        <f>VLOOKUP(A:A,MASTER!A:I,9,0)</f>
        <v>8</v>
      </c>
      <c r="N53" s="12">
        <f t="shared" si="2"/>
        <v>0</v>
      </c>
      <c r="O53" s="1">
        <f>VLOOKUP(A:A,MASTER!A:C,3,0)</f>
        <v>16</v>
      </c>
      <c r="P53" s="1">
        <f>VLOOKUP(A:A,MASTER!A:H,8,0)</f>
        <v>24</v>
      </c>
      <c r="Q53" s="12">
        <f t="shared" si="3"/>
        <v>0.5</v>
      </c>
      <c r="R53" s="1">
        <f>VLOOKUP(A:A,MASTER!A:B,2,0)</f>
        <v>2075</v>
      </c>
      <c r="S53">
        <f>VLOOKUP(A:A,MASTER!A:G,7,0)</f>
        <v>1114</v>
      </c>
      <c r="T53" s="12">
        <f t="shared" si="4"/>
        <v>-0.46313253012048194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26549845.801587813</v>
      </c>
      <c r="G54" s="1">
        <f>VLOOKUP(A:A,MASTER!A:K,11,0)</f>
        <v>28786617.133995883</v>
      </c>
      <c r="H54" s="12">
        <f t="shared" si="0"/>
        <v>8.4247997111693174E-2</v>
      </c>
      <c r="I54" s="2">
        <f>VLOOKUP(A:A,MASTER!A:E,5,0)</f>
        <v>537</v>
      </c>
      <c r="J54" s="2">
        <f>VLOOKUP(A:A,MASTER!A:J,10,0)</f>
        <v>509</v>
      </c>
      <c r="K54" s="12">
        <f t="shared" si="1"/>
        <v>-5.2141527001862142E-2</v>
      </c>
      <c r="L54" s="2">
        <f>VLOOKUP(A:A,MASTER!A:D,4,0)</f>
        <v>1</v>
      </c>
      <c r="M54" s="2">
        <f>VLOOKUP(A:A,MASTER!A:I,9,0)</f>
        <v>0</v>
      </c>
      <c r="N54" s="12">
        <f t="shared" si="2"/>
        <v>-1</v>
      </c>
      <c r="O54" s="1">
        <f>VLOOKUP(A:A,MASTER!A:C,3,0)</f>
        <v>5</v>
      </c>
      <c r="P54" s="1">
        <f>VLOOKUP(A:A,MASTER!A:H,8,0)</f>
        <v>2</v>
      </c>
      <c r="Q54" s="12">
        <f t="shared" si="3"/>
        <v>-0.6</v>
      </c>
      <c r="R54" s="1">
        <f>VLOOKUP(A:A,MASTER!A:B,2,0)</f>
        <v>645</v>
      </c>
      <c r="S54">
        <f>VLOOKUP(A:A,MASTER!A:G,7,0)</f>
        <v>549</v>
      </c>
      <c r="T54" s="12">
        <f t="shared" si="4"/>
        <v>-0.14883720930232558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46750077.55790139</v>
      </c>
      <c r="G55" s="1">
        <f>VLOOKUP(A:A,MASTER!A:K,11,0)</f>
        <v>53653205.081532367</v>
      </c>
      <c r="H55" s="12">
        <f t="shared" si="0"/>
        <v>0.14766023682166618</v>
      </c>
      <c r="I55" s="2">
        <f>VLOOKUP(A:A,MASTER!A:E,5,0)</f>
        <v>952</v>
      </c>
      <c r="J55" s="2">
        <f>VLOOKUP(A:A,MASTER!A:J,10,0)</f>
        <v>822</v>
      </c>
      <c r="K55" s="12">
        <f t="shared" si="1"/>
        <v>-0.13655462184873945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9</v>
      </c>
      <c r="P55" s="1">
        <f>VLOOKUP(A:A,MASTER!A:H,8,0)</f>
        <v>18</v>
      </c>
      <c r="Q55" s="12">
        <f t="shared" si="3"/>
        <v>1</v>
      </c>
      <c r="R55" s="1">
        <f>VLOOKUP(A:A,MASTER!A:B,2,0)</f>
        <v>893</v>
      </c>
      <c r="S55">
        <f>VLOOKUP(A:A,MASTER!A:G,7,0)</f>
        <v>1015</v>
      </c>
      <c r="T55" s="12">
        <f t="shared" si="4"/>
        <v>0.13661814109742432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28450428.864199743</v>
      </c>
      <c r="G56" s="1">
        <f>VLOOKUP(A:A,MASTER!A:K,11,0)</f>
        <v>27510371.094214432</v>
      </c>
      <c r="H56" s="12">
        <f t="shared" si="0"/>
        <v>-3.3041954287312048E-2</v>
      </c>
      <c r="I56" s="2">
        <f>VLOOKUP(A:A,MASTER!A:E,5,0)</f>
        <v>71</v>
      </c>
      <c r="J56" s="2">
        <f>VLOOKUP(A:A,MASTER!A:J,10,0)</f>
        <v>580</v>
      </c>
      <c r="K56" s="12">
        <f t="shared" si="1"/>
        <v>7.169014084507042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2</v>
      </c>
      <c r="Q56" s="12">
        <f t="shared" si="3"/>
        <v>-0.5</v>
      </c>
      <c r="R56" s="1">
        <f>VLOOKUP(A:A,MASTER!A:B,2,0)</f>
        <v>686</v>
      </c>
      <c r="S56">
        <f>VLOOKUP(A:A,MASTER!A:G,7,0)</f>
        <v>699</v>
      </c>
      <c r="T56" s="12">
        <f t="shared" si="4"/>
        <v>1.895043731778423E-2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58969015.289900355</v>
      </c>
      <c r="G57" s="1">
        <f>VLOOKUP(A:A,MASTER!A:K,11,0)</f>
        <v>66609899.44029811</v>
      </c>
      <c r="H57" s="12">
        <f t="shared" si="0"/>
        <v>0.12957455899227832</v>
      </c>
      <c r="I57" s="2">
        <f>VLOOKUP(A:A,MASTER!A:E,5,0)</f>
        <v>1282</v>
      </c>
      <c r="J57" s="2">
        <f>VLOOKUP(A:A,MASTER!A:J,10,0)</f>
        <v>1185</v>
      </c>
      <c r="K57" s="12">
        <f t="shared" si="1"/>
        <v>-7.5663026521060828E-2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6</v>
      </c>
      <c r="P57" s="1">
        <f>VLOOKUP(A:A,MASTER!A:H,8,0)</f>
        <v>8</v>
      </c>
      <c r="Q57" s="12">
        <f t="shared" si="3"/>
        <v>0.33333333333333326</v>
      </c>
      <c r="R57" s="1">
        <f>VLOOKUP(A:A,MASTER!A:B,2,0)</f>
        <v>1086</v>
      </c>
      <c r="S57">
        <f>VLOOKUP(A:A,MASTER!A:G,7,0)</f>
        <v>1259</v>
      </c>
      <c r="T57" s="12">
        <f t="shared" si="4"/>
        <v>0.15930018416206271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75556667.815282509</v>
      </c>
      <c r="G58" s="1">
        <f>VLOOKUP(A:A,MASTER!A:K,11,0)</f>
        <v>91765535.409894958</v>
      </c>
      <c r="H58" s="12">
        <f t="shared" si="0"/>
        <v>0.2145259718737087</v>
      </c>
      <c r="I58" s="2">
        <f>VLOOKUP(A:A,MASTER!A:E,5,0)</f>
        <v>1523</v>
      </c>
      <c r="J58" s="2">
        <f>VLOOKUP(A:A,MASTER!A:J,10,0)</f>
        <v>1567</v>
      </c>
      <c r="K58" s="12">
        <f t="shared" si="1"/>
        <v>2.8890347997373667E-2</v>
      </c>
      <c r="L58" s="2">
        <f>VLOOKUP(A:A,MASTER!A:D,4,0)</f>
        <v>5</v>
      </c>
      <c r="M58" s="2">
        <f>VLOOKUP(A:A,MASTER!A:I,9,0)</f>
        <v>5</v>
      </c>
      <c r="N58" s="12">
        <f t="shared" si="2"/>
        <v>0</v>
      </c>
      <c r="O58" s="1">
        <f>VLOOKUP(A:A,MASTER!A:C,3,0)</f>
        <v>14</v>
      </c>
      <c r="P58" s="1">
        <f>VLOOKUP(A:A,MASTER!A:H,8,0)</f>
        <v>22</v>
      </c>
      <c r="Q58" s="12">
        <f t="shared" si="3"/>
        <v>0.5714285714285714</v>
      </c>
      <c r="R58" s="1">
        <f>VLOOKUP(A:A,MASTER!A:B,2,0)</f>
        <v>1566</v>
      </c>
      <c r="S58">
        <f>VLOOKUP(A:A,MASTER!A:G,7,0)</f>
        <v>1857</v>
      </c>
      <c r="T58" s="12">
        <f t="shared" si="4"/>
        <v>0.18582375478927204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39911849.558443338</v>
      </c>
      <c r="G59" s="1">
        <f>VLOOKUP(A:A,MASTER!A:K,11,0)</f>
        <v>35295686.421699174</v>
      </c>
      <c r="H59" s="12">
        <f t="shared" si="0"/>
        <v>-0.11565896313536328</v>
      </c>
      <c r="I59" s="2">
        <f>VLOOKUP(A:A,MASTER!A:E,5,0)</f>
        <v>934</v>
      </c>
      <c r="J59" s="2">
        <f>VLOOKUP(A:A,MASTER!A:J,10,0)</f>
        <v>645</v>
      </c>
      <c r="K59" s="12">
        <f t="shared" si="1"/>
        <v>-0.30942184154175589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5</v>
      </c>
      <c r="P59" s="1">
        <f>VLOOKUP(A:A,MASTER!A:H,8,0)</f>
        <v>6</v>
      </c>
      <c r="Q59" s="12">
        <f t="shared" si="3"/>
        <v>0.19999999999999996</v>
      </c>
      <c r="R59" s="1">
        <f>VLOOKUP(A:A,MASTER!A:B,2,0)</f>
        <v>774</v>
      </c>
      <c r="S59">
        <f>VLOOKUP(A:A,MASTER!A:G,7,0)</f>
        <v>588</v>
      </c>
      <c r="T59" s="12">
        <f t="shared" si="4"/>
        <v>-0.24031007751937983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44790613.217883505</v>
      </c>
      <c r="G60" s="1">
        <f>VLOOKUP(A:A,MASTER!A:K,11,0)</f>
        <v>48098820.264205925</v>
      </c>
      <c r="H60" s="12">
        <f t="shared" si="0"/>
        <v>7.3859382773566296E-2</v>
      </c>
      <c r="I60" s="2">
        <f>VLOOKUP(A:A,MASTER!A:E,5,0)</f>
        <v>133</v>
      </c>
      <c r="J60" s="2">
        <f>VLOOKUP(A:A,MASTER!A:J,10,0)</f>
        <v>489</v>
      </c>
      <c r="K60" s="12">
        <f t="shared" si="1"/>
        <v>2.6766917293233083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12</v>
      </c>
      <c r="P60" s="1">
        <f>VLOOKUP(A:A,MASTER!A:H,8,0)</f>
        <v>9</v>
      </c>
      <c r="Q60" s="12">
        <f t="shared" si="3"/>
        <v>-0.25</v>
      </c>
      <c r="R60" s="1">
        <f>VLOOKUP(A:A,MASTER!A:B,2,0)</f>
        <v>633</v>
      </c>
      <c r="S60">
        <f>VLOOKUP(A:A,MASTER!A:G,7,0)</f>
        <v>709</v>
      </c>
      <c r="T60" s="12">
        <f t="shared" si="4"/>
        <v>0.1200631911532386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143542346.98635045</v>
      </c>
      <c r="G61" s="1">
        <f>VLOOKUP(A:A,MASTER!A:K,11,0)</f>
        <v>149080534.20420626</v>
      </c>
      <c r="H61" s="12">
        <f t="shared" si="0"/>
        <v>3.8582253489156448E-2</v>
      </c>
      <c r="I61" s="2">
        <f>VLOOKUP(A:A,MASTER!A:E,5,0)</f>
        <v>1881</v>
      </c>
      <c r="J61" s="2">
        <f>VLOOKUP(A:A,MASTER!A:J,10,0)</f>
        <v>1677</v>
      </c>
      <c r="K61" s="12">
        <f t="shared" si="1"/>
        <v>-0.10845295055821369</v>
      </c>
      <c r="L61" s="2">
        <f>VLOOKUP(A:A,MASTER!A:D,4,0)</f>
        <v>11</v>
      </c>
      <c r="M61" s="2">
        <f>VLOOKUP(A:A,MASTER!A:I,9,0)</f>
        <v>11</v>
      </c>
      <c r="N61" s="12">
        <f t="shared" si="2"/>
        <v>0</v>
      </c>
      <c r="O61" s="1">
        <f>VLOOKUP(A:A,MASTER!A:C,3,0)</f>
        <v>18</v>
      </c>
      <c r="P61" s="1">
        <f>VLOOKUP(A:A,MASTER!A:H,8,0)</f>
        <v>25</v>
      </c>
      <c r="Q61" s="12">
        <f t="shared" si="3"/>
        <v>0.38888888888888884</v>
      </c>
      <c r="R61" s="1">
        <f>VLOOKUP(A:A,MASTER!A:B,2,0)</f>
        <v>1995</v>
      </c>
      <c r="S61">
        <f>VLOOKUP(A:A,MASTER!A:G,7,0)</f>
        <v>2376</v>
      </c>
      <c r="T61" s="12">
        <f t="shared" si="4"/>
        <v>0.19097744360902258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109102013.65435642</v>
      </c>
      <c r="G62" s="1">
        <f>VLOOKUP(A:A,MASTER!A:K,11,0)</f>
        <v>108335201.56491014</v>
      </c>
      <c r="H62" s="12">
        <f t="shared" si="0"/>
        <v>-7.0283953866845383E-3</v>
      </c>
      <c r="I62" s="2">
        <f>VLOOKUP(A:A,MASTER!A:E,5,0)</f>
        <v>1097</v>
      </c>
      <c r="J62" s="2">
        <f>VLOOKUP(A:A,MASTER!A:J,10,0)</f>
        <v>1320</v>
      </c>
      <c r="K62" s="12">
        <f t="shared" si="1"/>
        <v>0.20328167730173208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27</v>
      </c>
      <c r="P62" s="1">
        <f>VLOOKUP(A:A,MASTER!A:H,8,0)</f>
        <v>24</v>
      </c>
      <c r="Q62" s="12">
        <f t="shared" si="3"/>
        <v>-0.11111111111111116</v>
      </c>
      <c r="R62" s="1">
        <f>VLOOKUP(A:A,MASTER!A:B,2,0)</f>
        <v>1576</v>
      </c>
      <c r="S62">
        <f>VLOOKUP(A:A,MASTER!A:G,7,0)</f>
        <v>1727</v>
      </c>
      <c r="T62" s="12">
        <f t="shared" si="4"/>
        <v>9.5812182741116692E-2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70536583.366326377</v>
      </c>
      <c r="G63" s="1">
        <f>VLOOKUP(A:A,MASTER!A:K,11,0)</f>
        <v>70787334.946779042</v>
      </c>
      <c r="H63" s="12">
        <f t="shared" si="0"/>
        <v>3.5549153146587908E-3</v>
      </c>
      <c r="I63" s="2">
        <f>VLOOKUP(A:A,MASTER!A:E,5,0)</f>
        <v>845</v>
      </c>
      <c r="J63" s="2">
        <f>VLOOKUP(A:A,MASTER!A:J,10,0)</f>
        <v>735</v>
      </c>
      <c r="K63" s="12">
        <f t="shared" si="1"/>
        <v>-0.13017751479289941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12</v>
      </c>
      <c r="P63" s="1">
        <f>VLOOKUP(A:A,MASTER!A:H,8,0)</f>
        <v>3</v>
      </c>
      <c r="Q63" s="12">
        <f t="shared" si="3"/>
        <v>-0.75</v>
      </c>
      <c r="R63" s="1">
        <f>VLOOKUP(A:A,MASTER!A:B,2,0)</f>
        <v>910</v>
      </c>
      <c r="S63">
        <f>VLOOKUP(A:A,MASTER!A:G,7,0)</f>
        <v>920</v>
      </c>
      <c r="T63" s="12">
        <f t="shared" si="4"/>
        <v>1.098901098901095E-2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101264357.76749197</v>
      </c>
      <c r="G64" s="1">
        <f>VLOOKUP(A:A,MASTER!A:K,11,0)</f>
        <v>99067868.964320451</v>
      </c>
      <c r="H64" s="12">
        <f t="shared" si="0"/>
        <v>-2.169064073081628E-2</v>
      </c>
      <c r="I64" s="2">
        <f>VLOOKUP(A:A,MASTER!A:E,5,0)</f>
        <v>1328</v>
      </c>
      <c r="J64" s="2">
        <f>VLOOKUP(A:A,MASTER!A:J,10,0)</f>
        <v>1393</v>
      </c>
      <c r="K64" s="12">
        <f t="shared" si="1"/>
        <v>4.8945783132530174E-2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628</v>
      </c>
      <c r="P64" s="1">
        <f>VLOOKUP(A:A,MASTER!A:H,8,0)</f>
        <v>860</v>
      </c>
      <c r="Q64" s="12">
        <f t="shared" si="3"/>
        <v>0.36942675159235661</v>
      </c>
      <c r="R64" s="1">
        <f>VLOOKUP(A:A,MASTER!A:B,2,0)</f>
        <v>2264</v>
      </c>
      <c r="S64">
        <f>VLOOKUP(A:A,MASTER!A:G,7,0)</f>
        <v>2326</v>
      </c>
      <c r="T64" s="12">
        <f t="shared" si="4"/>
        <v>2.7385159010600679E-2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5175236.3298330838</v>
      </c>
      <c r="G65" s="1">
        <f>VLOOKUP(A:A,MASTER!A:K,11,0)</f>
        <v>7510028.4711127384</v>
      </c>
      <c r="H65" s="12">
        <f t="shared" si="0"/>
        <v>0.45114696073308758</v>
      </c>
      <c r="I65" s="2">
        <f>VLOOKUP(A:A,MASTER!A:E,5,0)</f>
        <v>251</v>
      </c>
      <c r="J65" s="2">
        <f>VLOOKUP(A:A,MASTER!A:J,10,0)</f>
        <v>230</v>
      </c>
      <c r="K65" s="12">
        <f t="shared" si="1"/>
        <v>-8.3665338645418363E-2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1</v>
      </c>
      <c r="P65" s="1">
        <f>VLOOKUP(A:A,MASTER!A:H,8,0)</f>
        <v>3</v>
      </c>
      <c r="Q65" s="12">
        <f t="shared" si="3"/>
        <v>2</v>
      </c>
      <c r="R65" s="1">
        <f>VLOOKUP(A:A,MASTER!A:B,2,0)</f>
        <v>231</v>
      </c>
      <c r="S65">
        <f>VLOOKUP(A:A,MASTER!A:G,7,0)</f>
        <v>226</v>
      </c>
      <c r="T65" s="12">
        <f t="shared" si="4"/>
        <v>-2.1645021645021689E-2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73741650.596946076</v>
      </c>
      <c r="G66" s="1">
        <f>VLOOKUP(A:A,MASTER!A:K,11,0)</f>
        <v>72609689.47866793</v>
      </c>
      <c r="H66" s="12">
        <f t="shared" si="0"/>
        <v>-1.5350363181659277E-2</v>
      </c>
      <c r="I66" s="2">
        <f>VLOOKUP(A:A,MASTER!A:E,5,0)</f>
        <v>1507</v>
      </c>
      <c r="J66" s="2">
        <f>VLOOKUP(A:A,MASTER!A:J,10,0)</f>
        <v>1285</v>
      </c>
      <c r="K66" s="12">
        <f t="shared" si="1"/>
        <v>-0.14731254147312545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17</v>
      </c>
      <c r="P66" s="1">
        <f>VLOOKUP(A:A,MASTER!A:H,8,0)</f>
        <v>11</v>
      </c>
      <c r="Q66" s="12">
        <f t="shared" si="3"/>
        <v>-0.3529411764705882</v>
      </c>
      <c r="R66" s="1">
        <f>VLOOKUP(A:A,MASTER!A:B,2,0)</f>
        <v>1611</v>
      </c>
      <c r="S66">
        <f>VLOOKUP(A:A,MASTER!A:G,7,0)</f>
        <v>1647</v>
      </c>
      <c r="T66" s="12">
        <f t="shared" si="4"/>
        <v>2.2346368715083775E-2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34516342.417943686</v>
      </c>
      <c r="G67" s="1">
        <f>VLOOKUP(A:A,MASTER!A:K,11,0)</f>
        <v>31143217.025539689</v>
      </c>
      <c r="H67" s="12">
        <f t="shared" ref="H67:H85" si="5">IFERROR(G67/F67-1,0)</f>
        <v>-9.7725458612046956E-2</v>
      </c>
      <c r="I67" s="2">
        <f>VLOOKUP(A:A,MASTER!A:E,5,0)</f>
        <v>609</v>
      </c>
      <c r="J67" s="2">
        <f>VLOOKUP(A:A,MASTER!A:J,10,0)</f>
        <v>472</v>
      </c>
      <c r="K67" s="12">
        <f t="shared" ref="K67:K85" si="6">IFERROR(J67/I67-1,0)</f>
        <v>-0.22495894909688008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6</v>
      </c>
      <c r="P67" s="1">
        <f>VLOOKUP(A:A,MASTER!A:H,8,0)</f>
        <v>3</v>
      </c>
      <c r="Q67" s="12">
        <f t="shared" ref="Q67:Q85" si="8">IFERROR(P67/O67-1,0)</f>
        <v>-0.5</v>
      </c>
      <c r="R67" s="1">
        <f>VLOOKUP(A:A,MASTER!A:B,2,0)</f>
        <v>792</v>
      </c>
      <c r="S67">
        <f>VLOOKUP(A:A,MASTER!A:G,7,0)</f>
        <v>583</v>
      </c>
      <c r="T67" s="12">
        <f t="shared" ref="T67:T85" si="9">IFERROR(S67/R67-1,0)</f>
        <v>-0.26388888888888884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54136171.5402366</v>
      </c>
      <c r="G68" s="1">
        <f>VLOOKUP(A:A,MASTER!A:K,11,0)</f>
        <v>57223742.608097695</v>
      </c>
      <c r="H68" s="12">
        <f t="shared" si="5"/>
        <v>5.7033421093810821E-2</v>
      </c>
      <c r="I68" s="2">
        <f>VLOOKUP(A:A,MASTER!A:E,5,0)</f>
        <v>877</v>
      </c>
      <c r="J68" s="2">
        <f>VLOOKUP(A:A,MASTER!A:J,10,0)</f>
        <v>1169</v>
      </c>
      <c r="K68" s="12">
        <f t="shared" si="6"/>
        <v>0.33295324971493723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77</v>
      </c>
      <c r="P68" s="1">
        <f>VLOOKUP(A:A,MASTER!A:H,8,0)</f>
        <v>67</v>
      </c>
      <c r="Q68" s="12">
        <f t="shared" si="8"/>
        <v>-0.12987012987012991</v>
      </c>
      <c r="R68" s="1">
        <f>VLOOKUP(A:A,MASTER!A:B,2,0)</f>
        <v>1311</v>
      </c>
      <c r="S68">
        <f>VLOOKUP(A:A,MASTER!A:G,7,0)</f>
        <v>1418</v>
      </c>
      <c r="T68" s="12">
        <f t="shared" si="9"/>
        <v>8.1617086193745303E-2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37601669.307093062</v>
      </c>
      <c r="G69" s="1">
        <f>VLOOKUP(A:A,MASTER!A:K,11,0)</f>
        <v>40952380.391324013</v>
      </c>
      <c r="H69" s="12">
        <f t="shared" si="5"/>
        <v>8.9110700295395695E-2</v>
      </c>
      <c r="I69" s="2">
        <f>VLOOKUP(A:A,MASTER!A:E,5,0)</f>
        <v>1349</v>
      </c>
      <c r="J69" s="2">
        <f>VLOOKUP(A:A,MASTER!A:J,10,0)</f>
        <v>1241</v>
      </c>
      <c r="K69" s="12">
        <f t="shared" si="6"/>
        <v>-8.0059303187546282E-2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13</v>
      </c>
      <c r="P69" s="1">
        <f>VLOOKUP(A:A,MASTER!A:H,8,0)</f>
        <v>10</v>
      </c>
      <c r="Q69" s="12">
        <f t="shared" si="8"/>
        <v>-0.23076923076923073</v>
      </c>
      <c r="R69" s="1">
        <f>VLOOKUP(A:A,MASTER!A:B,2,0)</f>
        <v>1264</v>
      </c>
      <c r="S69">
        <f>VLOOKUP(A:A,MASTER!A:G,7,0)</f>
        <v>1501</v>
      </c>
      <c r="T69" s="12">
        <f t="shared" si="9"/>
        <v>0.1875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93961731.901577145</v>
      </c>
      <c r="G70" s="1">
        <f>VLOOKUP(A:A,MASTER!A:K,11,0)</f>
        <v>94051876.907967433</v>
      </c>
      <c r="H70" s="12">
        <f t="shared" si="5"/>
        <v>9.5938000041040361E-4</v>
      </c>
      <c r="I70" s="2">
        <f>VLOOKUP(A:A,MASTER!A:E,5,0)</f>
        <v>1204</v>
      </c>
      <c r="J70" s="2">
        <f>VLOOKUP(A:A,MASTER!A:J,10,0)</f>
        <v>1264</v>
      </c>
      <c r="K70" s="12">
        <f t="shared" si="6"/>
        <v>4.9833887043189362E-2</v>
      </c>
      <c r="L70" s="2">
        <f>VLOOKUP(A:A,MASTER!A:D,4,0)</f>
        <v>5</v>
      </c>
      <c r="M70" s="2">
        <f>VLOOKUP(A:A,MASTER!A:I,9,0)</f>
        <v>8</v>
      </c>
      <c r="N70" s="12">
        <f t="shared" si="7"/>
        <v>0.60000000000000009</v>
      </c>
      <c r="O70" s="1">
        <f>VLOOKUP(A:A,MASTER!A:C,3,0)</f>
        <v>17</v>
      </c>
      <c r="P70" s="1">
        <f>VLOOKUP(A:A,MASTER!A:H,8,0)</f>
        <v>18</v>
      </c>
      <c r="Q70" s="12">
        <f t="shared" si="8"/>
        <v>5.8823529411764719E-2</v>
      </c>
      <c r="R70" s="1">
        <f>VLOOKUP(A:A,MASTER!A:B,2,0)</f>
        <v>1723</v>
      </c>
      <c r="S70">
        <f>VLOOKUP(A:A,MASTER!A:G,7,0)</f>
        <v>1648</v>
      </c>
      <c r="T70" s="12">
        <f t="shared" si="9"/>
        <v>-4.3528728961114371E-2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19195081.221059989</v>
      </c>
      <c r="G71" s="1">
        <f>VLOOKUP(A:A,MASTER!A:K,11,0)</f>
        <v>17741382.796650443</v>
      </c>
      <c r="H71" s="12">
        <f t="shared" si="5"/>
        <v>-7.5732861334007473E-2</v>
      </c>
      <c r="I71" s="2">
        <f>VLOOKUP(A:A,MASTER!A:E,5,0)</f>
        <v>408</v>
      </c>
      <c r="J71" s="2">
        <f>VLOOKUP(A:A,MASTER!A:J,10,0)</f>
        <v>462</v>
      </c>
      <c r="K71" s="12">
        <f t="shared" si="6"/>
        <v>0.13235294117647056</v>
      </c>
      <c r="L71" s="2">
        <f>VLOOKUP(A:A,MASTER!A:D,4,0)</f>
        <v>1</v>
      </c>
      <c r="M71" s="2">
        <f>VLOOKUP(A:A,MASTER!A:I,9,0)</f>
        <v>2</v>
      </c>
      <c r="N71" s="12">
        <f t="shared" si="7"/>
        <v>1</v>
      </c>
      <c r="O71" s="1">
        <f>VLOOKUP(A:A,MASTER!A:C,3,0)</f>
        <v>4</v>
      </c>
      <c r="P71" s="1">
        <f>VLOOKUP(A:A,MASTER!A:H,8,0)</f>
        <v>6</v>
      </c>
      <c r="Q71" s="12">
        <f t="shared" si="8"/>
        <v>0.5</v>
      </c>
      <c r="R71" s="1">
        <f>VLOOKUP(A:A,MASTER!A:B,2,0)</f>
        <v>518</v>
      </c>
      <c r="S71">
        <f>VLOOKUP(A:A,MASTER!A:G,7,0)</f>
        <v>521</v>
      </c>
      <c r="T71" s="12">
        <f t="shared" si="9"/>
        <v>5.791505791505891E-3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30229324.169110976</v>
      </c>
      <c r="G72" s="1">
        <f>VLOOKUP(A:A,MASTER!A:K,11,0)</f>
        <v>34897341.989254922</v>
      </c>
      <c r="H72" s="12">
        <f t="shared" si="5"/>
        <v>0.1544201846534774</v>
      </c>
      <c r="I72" s="2">
        <f>VLOOKUP(A:A,MASTER!A:E,5,0)</f>
        <v>928</v>
      </c>
      <c r="J72" s="2">
        <f>VLOOKUP(A:A,MASTER!A:J,10,0)</f>
        <v>789</v>
      </c>
      <c r="K72" s="12">
        <f t="shared" si="6"/>
        <v>-0.14978448275862066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7</v>
      </c>
      <c r="P72" s="1">
        <f>VLOOKUP(A:A,MASTER!A:H,8,0)</f>
        <v>4</v>
      </c>
      <c r="Q72" s="12">
        <f t="shared" si="8"/>
        <v>-0.4285714285714286</v>
      </c>
      <c r="R72" s="1">
        <f>VLOOKUP(A:A,MASTER!A:B,2,0)</f>
        <v>880</v>
      </c>
      <c r="S72">
        <f>VLOOKUP(A:A,MASTER!A:G,7,0)</f>
        <v>798</v>
      </c>
      <c r="T72" s="12">
        <f t="shared" si="9"/>
        <v>-9.3181818181818143E-2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30432800.249368832</v>
      </c>
      <c r="G73" s="1">
        <f>VLOOKUP(A:A,MASTER!A:K,11,0)</f>
        <v>33080608.251563609</v>
      </c>
      <c r="H73" s="12">
        <f t="shared" si="5"/>
        <v>8.7005072832549768E-2</v>
      </c>
      <c r="I73" s="2">
        <f>VLOOKUP(A:A,MASTER!A:E,5,0)</f>
        <v>474</v>
      </c>
      <c r="J73" s="2">
        <f>VLOOKUP(A:A,MASTER!A:J,10,0)</f>
        <v>497</v>
      </c>
      <c r="K73" s="12">
        <f t="shared" si="6"/>
        <v>4.8523206751054815E-2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635</v>
      </c>
      <c r="S73">
        <f>VLOOKUP(A:A,MASTER!A:G,7,0)</f>
        <v>626</v>
      </c>
      <c r="T73" s="12">
        <f t="shared" si="9"/>
        <v>-1.4173228346456734E-2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20126426.274791665</v>
      </c>
      <c r="G74" s="1">
        <f>VLOOKUP(A:A,MASTER!A:K,11,0)</f>
        <v>22854594.852415569</v>
      </c>
      <c r="H74" s="12">
        <f t="shared" si="5"/>
        <v>0.13555156491149822</v>
      </c>
      <c r="I74" s="2">
        <f>VLOOKUP(A:A,MASTER!A:E,5,0)</f>
        <v>574</v>
      </c>
      <c r="J74" s="2">
        <f>VLOOKUP(A:A,MASTER!A:J,10,0)</f>
        <v>685</v>
      </c>
      <c r="K74" s="12">
        <f t="shared" si="6"/>
        <v>0.19337979094076663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6</v>
      </c>
      <c r="P74" s="1">
        <f>VLOOKUP(A:A,MASTER!A:H,8,0)</f>
        <v>16</v>
      </c>
      <c r="Q74" s="12">
        <f t="shared" si="8"/>
        <v>1.6666666666666665</v>
      </c>
      <c r="R74" s="1">
        <f>VLOOKUP(A:A,MASTER!A:B,2,0)</f>
        <v>584</v>
      </c>
      <c r="S74">
        <f>VLOOKUP(A:A,MASTER!A:G,7,0)</f>
        <v>772</v>
      </c>
      <c r="T74" s="12">
        <f t="shared" si="9"/>
        <v>0.32191780821917804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24748269.742627814</v>
      </c>
      <c r="G75" s="1">
        <f>VLOOKUP(A:A,MASTER!A:K,11,0)</f>
        <v>23314797.416328564</v>
      </c>
      <c r="H75" s="12">
        <f t="shared" si="5"/>
        <v>-5.7922123090090483E-2</v>
      </c>
      <c r="I75" s="2">
        <f>VLOOKUP(A:A,MASTER!A:E,5,0)</f>
        <v>428</v>
      </c>
      <c r="J75" s="2">
        <f>VLOOKUP(A:A,MASTER!A:J,10,0)</f>
        <v>482</v>
      </c>
      <c r="K75" s="12">
        <f t="shared" si="6"/>
        <v>0.12616822429906538</v>
      </c>
      <c r="L75" s="2">
        <f>VLOOKUP(A:A,MASTER!A:D,4,0)</f>
        <v>7</v>
      </c>
      <c r="M75" s="2">
        <f>VLOOKUP(A:A,MASTER!A:I,9,0)</f>
        <v>8</v>
      </c>
      <c r="N75" s="12">
        <f t="shared" si="7"/>
        <v>0.14285714285714279</v>
      </c>
      <c r="O75" s="1">
        <f>VLOOKUP(A:A,MASTER!A:C,3,0)</f>
        <v>2</v>
      </c>
      <c r="P75" s="1">
        <f>VLOOKUP(A:A,MASTER!A:H,8,0)</f>
        <v>4</v>
      </c>
      <c r="Q75" s="12">
        <f t="shared" si="8"/>
        <v>1</v>
      </c>
      <c r="R75" s="1">
        <f>VLOOKUP(A:A,MASTER!A:B,2,0)</f>
        <v>446</v>
      </c>
      <c r="S75">
        <f>VLOOKUP(A:A,MASTER!A:G,7,0)</f>
        <v>562</v>
      </c>
      <c r="T75" s="12">
        <f t="shared" si="9"/>
        <v>0.26008968609865479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63640589.998963937</v>
      </c>
      <c r="G76" s="1">
        <f>VLOOKUP(A:A,MASTER!A:K,11,0)</f>
        <v>45225445.704684928</v>
      </c>
      <c r="H76" s="12">
        <f t="shared" si="5"/>
        <v>-0.28936162116942676</v>
      </c>
      <c r="I76" s="2">
        <f>VLOOKUP(A:A,MASTER!A:E,5,0)</f>
        <v>672</v>
      </c>
      <c r="J76" s="2">
        <f>VLOOKUP(A:A,MASTER!A:J,10,0)</f>
        <v>680</v>
      </c>
      <c r="K76" s="12">
        <f t="shared" si="6"/>
        <v>1.1904761904761862E-2</v>
      </c>
      <c r="L76" s="2">
        <f>VLOOKUP(A:A,MASTER!A:D,4,0)</f>
        <v>3</v>
      </c>
      <c r="M76" s="2">
        <f>VLOOKUP(A:A,MASTER!A:I,9,0)</f>
        <v>2</v>
      </c>
      <c r="N76" s="12">
        <f t="shared" si="7"/>
        <v>-0.33333333333333337</v>
      </c>
      <c r="O76" s="1">
        <f>VLOOKUP(A:A,MASTER!A:C,3,0)</f>
        <v>11</v>
      </c>
      <c r="P76" s="1">
        <f>VLOOKUP(A:A,MASTER!A:H,8,0)</f>
        <v>11</v>
      </c>
      <c r="Q76" s="12">
        <f t="shared" si="8"/>
        <v>0</v>
      </c>
      <c r="R76" s="1">
        <f>VLOOKUP(A:A,MASTER!A:B,2,0)</f>
        <v>913</v>
      </c>
      <c r="S76">
        <f>VLOOKUP(A:A,MASTER!A:G,7,0)</f>
        <v>244</v>
      </c>
      <c r="T76" s="12">
        <f t="shared" si="9"/>
        <v>-0.73274917853231103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38586398.389271758</v>
      </c>
      <c r="G77" s="1">
        <f>VLOOKUP(A:A,MASTER!A:K,11,0)</f>
        <v>38770839.328537166</v>
      </c>
      <c r="H77" s="12">
        <f t="shared" si="5"/>
        <v>4.7799470011351541E-3</v>
      </c>
      <c r="I77" s="2">
        <f>VLOOKUP(A:A,MASTER!A:E,5,0)</f>
        <v>819</v>
      </c>
      <c r="J77" s="2">
        <f>VLOOKUP(A:A,MASTER!A:J,10,0)</f>
        <v>735</v>
      </c>
      <c r="K77" s="12">
        <f t="shared" si="6"/>
        <v>-0.10256410256410253</v>
      </c>
      <c r="L77" s="2">
        <f>VLOOKUP(A:A,MASTER!A:D,4,0)</f>
        <v>9</v>
      </c>
      <c r="M77" s="2">
        <f>VLOOKUP(A:A,MASTER!A:I,9,0)</f>
        <v>9</v>
      </c>
      <c r="N77" s="12">
        <f t="shared" si="7"/>
        <v>0</v>
      </c>
      <c r="O77" s="1">
        <f>VLOOKUP(A:A,MASTER!A:C,3,0)</f>
        <v>5</v>
      </c>
      <c r="P77" s="1">
        <f>VLOOKUP(A:A,MASTER!A:H,8,0)</f>
        <v>1</v>
      </c>
      <c r="Q77" s="12">
        <f t="shared" si="8"/>
        <v>-0.8</v>
      </c>
      <c r="R77" s="1">
        <f>VLOOKUP(A:A,MASTER!A:B,2,0)</f>
        <v>779</v>
      </c>
      <c r="S77">
        <f>VLOOKUP(A:A,MASTER!A:G,7,0)</f>
        <v>765</v>
      </c>
      <c r="T77" s="12">
        <f t="shared" si="9"/>
        <v>-1.797175866495504E-2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33698893.559810221</v>
      </c>
      <c r="G78" s="1">
        <f>VLOOKUP(A:A,MASTER!A:K,11,0)</f>
        <v>32444008.590488203</v>
      </c>
      <c r="H78" s="12">
        <f t="shared" si="5"/>
        <v>-3.7238165315273464E-2</v>
      </c>
      <c r="I78" s="2">
        <f>VLOOKUP(A:A,MASTER!A:E,5,0)</f>
        <v>904</v>
      </c>
      <c r="J78" s="2">
        <f>VLOOKUP(A:A,MASTER!A:J,10,0)</f>
        <v>888</v>
      </c>
      <c r="K78" s="12">
        <f t="shared" si="6"/>
        <v>-1.7699115044247815E-2</v>
      </c>
      <c r="L78" s="2">
        <f>VLOOKUP(A:A,MASTER!A:D,4,0)</f>
        <v>2</v>
      </c>
      <c r="M78" s="2">
        <f>VLOOKUP(A:A,MASTER!A:I,9,0)</f>
        <v>1</v>
      </c>
      <c r="N78" s="12">
        <f t="shared" si="7"/>
        <v>-0.5</v>
      </c>
      <c r="O78" s="1">
        <f>VLOOKUP(A:A,MASTER!A:C,3,0)</f>
        <v>5</v>
      </c>
      <c r="P78" s="1">
        <f>VLOOKUP(A:A,MASTER!A:H,8,0)</f>
        <v>5</v>
      </c>
      <c r="Q78" s="12">
        <f t="shared" si="8"/>
        <v>0</v>
      </c>
      <c r="R78" s="1">
        <f>VLOOKUP(A:A,MASTER!A:B,2,0)</f>
        <v>943</v>
      </c>
      <c r="S78">
        <f>VLOOKUP(A:A,MASTER!A:G,7,0)</f>
        <v>1013</v>
      </c>
      <c r="T78" s="12">
        <f t="shared" si="9"/>
        <v>7.4231177094379541E-2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36116676.584809415</v>
      </c>
      <c r="G79" s="1">
        <f>VLOOKUP(A:A,MASTER!A:K,11,0)</f>
        <v>38728010.493973821</v>
      </c>
      <c r="H79" s="12">
        <f t="shared" si="5"/>
        <v>7.2302718746351191E-2</v>
      </c>
      <c r="I79" s="2">
        <f>VLOOKUP(A:A,MASTER!A:E,5,0)</f>
        <v>854</v>
      </c>
      <c r="J79" s="2">
        <f>VLOOKUP(A:A,MASTER!A:J,10,0)</f>
        <v>808</v>
      </c>
      <c r="K79" s="12">
        <f t="shared" si="6"/>
        <v>-5.3864168618266928E-2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3</v>
      </c>
      <c r="P79" s="1">
        <f>VLOOKUP(A:A,MASTER!A:H,8,0)</f>
        <v>6</v>
      </c>
      <c r="Q79" s="12">
        <f t="shared" si="8"/>
        <v>1</v>
      </c>
      <c r="R79" s="1">
        <f>VLOOKUP(A:A,MASTER!A:B,2,0)</f>
        <v>939</v>
      </c>
      <c r="S79">
        <f>VLOOKUP(A:A,MASTER!A:G,7,0)</f>
        <v>911</v>
      </c>
      <c r="T79" s="12">
        <f t="shared" si="9"/>
        <v>-2.9818956336528202E-2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44615074.644224182</v>
      </c>
      <c r="G80" s="1">
        <f>VLOOKUP(A:A,MASTER!A:K,11,0)</f>
        <v>47716274.776052192</v>
      </c>
      <c r="H80" s="12">
        <f t="shared" si="5"/>
        <v>6.9510141057883112E-2</v>
      </c>
      <c r="I80" s="2">
        <f>VLOOKUP(A:A,MASTER!A:E,5,0)</f>
        <v>753</v>
      </c>
      <c r="J80" s="2">
        <f>VLOOKUP(A:A,MASTER!A:J,10,0)</f>
        <v>783</v>
      </c>
      <c r="K80" s="12">
        <f t="shared" si="6"/>
        <v>3.9840637450199168E-2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3</v>
      </c>
      <c r="P80" s="1">
        <f>VLOOKUP(A:A,MASTER!A:H,8,0)</f>
        <v>5</v>
      </c>
      <c r="Q80" s="12">
        <f t="shared" si="8"/>
        <v>0.66666666666666674</v>
      </c>
      <c r="R80" s="1">
        <f>VLOOKUP(A:A,MASTER!A:B,2,0)</f>
        <v>747</v>
      </c>
      <c r="S80">
        <f>VLOOKUP(A:A,MASTER!A:G,7,0)</f>
        <v>819</v>
      </c>
      <c r="T80" s="12">
        <f t="shared" si="9"/>
        <v>9.6385542168674787E-2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20093811.750767443</v>
      </c>
      <c r="G81" s="1">
        <f>VLOOKUP(A:A,MASTER!A:K,11,0)</f>
        <v>18771005.929710887</v>
      </c>
      <c r="H81" s="12">
        <f t="shared" si="5"/>
        <v>-6.5831502626973348E-2</v>
      </c>
      <c r="I81" s="2">
        <f>VLOOKUP(A:A,MASTER!A:E,5,0)</f>
        <v>573</v>
      </c>
      <c r="J81" s="2">
        <f>VLOOKUP(A:A,MASTER!A:J,10,0)</f>
        <v>529</v>
      </c>
      <c r="K81" s="12">
        <f t="shared" si="6"/>
        <v>-7.678883071553233E-2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5</v>
      </c>
      <c r="P81" s="1">
        <f>VLOOKUP(A:A,MASTER!A:H,8,0)</f>
        <v>6</v>
      </c>
      <c r="Q81" s="12">
        <f t="shared" si="8"/>
        <v>0.19999999999999996</v>
      </c>
      <c r="R81" s="1">
        <f>VLOOKUP(A:A,MASTER!A:B,2,0)</f>
        <v>596</v>
      </c>
      <c r="S81">
        <f>VLOOKUP(A:A,MASTER!A:G,7,0)</f>
        <v>595</v>
      </c>
      <c r="T81" s="12">
        <f t="shared" si="9"/>
        <v>-1.6778523489933139E-3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86394677.030640095</v>
      </c>
      <c r="G82" s="1">
        <f>VLOOKUP(A:A,MASTER!A:K,11,0)</f>
        <v>92582344.293364391</v>
      </c>
      <c r="H82" s="12">
        <f t="shared" si="5"/>
        <v>7.1620931698486823E-2</v>
      </c>
      <c r="I82" s="2">
        <f>VLOOKUP(A:A,MASTER!A:E,5,0)</f>
        <v>1365</v>
      </c>
      <c r="J82" s="2">
        <f>VLOOKUP(A:A,MASTER!A:J,10,0)</f>
        <v>596</v>
      </c>
      <c r="K82" s="12">
        <f t="shared" si="6"/>
        <v>-0.56336996336996337</v>
      </c>
      <c r="L82" s="2">
        <f>VLOOKUP(A:A,MASTER!A:D,4,0)</f>
        <v>10</v>
      </c>
      <c r="M82" s="2">
        <f>VLOOKUP(A:A,MASTER!A:I,9,0)</f>
        <v>8</v>
      </c>
      <c r="N82" s="12">
        <f t="shared" si="7"/>
        <v>-0.19999999999999996</v>
      </c>
      <c r="O82" s="1">
        <f>VLOOKUP(A:A,MASTER!A:C,3,0)</f>
        <v>13</v>
      </c>
      <c r="P82" s="1">
        <f>VLOOKUP(A:A,MASTER!A:H,8,0)</f>
        <v>2</v>
      </c>
      <c r="Q82" s="12">
        <f t="shared" si="8"/>
        <v>-0.84615384615384615</v>
      </c>
      <c r="R82" s="1">
        <f>VLOOKUP(A:A,MASTER!A:B,2,0)</f>
        <v>1763</v>
      </c>
      <c r="S82">
        <f>VLOOKUP(A:A,MASTER!A:G,7,0)</f>
        <v>964</v>
      </c>
      <c r="T82" s="12">
        <f t="shared" si="9"/>
        <v>-0.45320476460578563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18959128.048734762</v>
      </c>
      <c r="G83" s="1">
        <f>VLOOKUP(A:A,MASTER!A:K,11,0)</f>
        <v>26310070.435699839</v>
      </c>
      <c r="H83" s="12">
        <f t="shared" si="5"/>
        <v>0.3877257629184927</v>
      </c>
      <c r="I83" s="2">
        <f>VLOOKUP(A:A,MASTER!A:E,5,0)</f>
        <v>1064</v>
      </c>
      <c r="J83" s="2">
        <f>VLOOKUP(A:A,MASTER!A:J,10,0)</f>
        <v>1014</v>
      </c>
      <c r="K83" s="12">
        <f t="shared" si="6"/>
        <v>-4.6992481203007475E-2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1</v>
      </c>
      <c r="P83" s="1">
        <f>VLOOKUP(A:A,MASTER!A:H,8,0)</f>
        <v>3</v>
      </c>
      <c r="Q83" s="12">
        <f t="shared" si="8"/>
        <v>2</v>
      </c>
      <c r="R83" s="1">
        <f>VLOOKUP(A:A,MASTER!A:B,2,0)</f>
        <v>614</v>
      </c>
      <c r="S83">
        <f>VLOOKUP(A:A,MASTER!A:G,7,0)</f>
        <v>1145</v>
      </c>
      <c r="T83" s="12">
        <f t="shared" si="9"/>
        <v>0.8648208469055374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38221406.840568416</v>
      </c>
      <c r="G84" s="1">
        <f>VLOOKUP(A:A,MASTER!A:K,11,0)</f>
        <v>42212651.467900507</v>
      </c>
      <c r="H84" s="12">
        <f t="shared" si="5"/>
        <v>0.10442432545669056</v>
      </c>
      <c r="I84" s="2">
        <f>VLOOKUP(A:A,MASTER!A:E,5,0)</f>
        <v>528</v>
      </c>
      <c r="J84" s="2">
        <f>VLOOKUP(A:A,MASTER!A:J,10,0)</f>
        <v>712</v>
      </c>
      <c r="K84" s="12">
        <f t="shared" si="6"/>
        <v>0.3484848484848484</v>
      </c>
      <c r="L84" s="2">
        <f>VLOOKUP(A:A,MASTER!A:D,4,0)</f>
        <v>8</v>
      </c>
      <c r="M84" s="2">
        <f>VLOOKUP(A:A,MASTER!A:I,9,0)</f>
        <v>8</v>
      </c>
      <c r="N84" s="12">
        <f t="shared" si="7"/>
        <v>0</v>
      </c>
      <c r="O84" s="1">
        <f>VLOOKUP(A:A,MASTER!A:C,3,0)</f>
        <v>8</v>
      </c>
      <c r="P84" s="1">
        <f>VLOOKUP(A:A,MASTER!A:H,8,0)</f>
        <v>17</v>
      </c>
      <c r="Q84" s="12">
        <f t="shared" si="8"/>
        <v>1.125</v>
      </c>
      <c r="R84" s="1">
        <f>VLOOKUP(A:A,MASTER!A:B,2,0)</f>
        <v>671</v>
      </c>
      <c r="S84">
        <f>VLOOKUP(A:A,MASTER!A:G,7,0)</f>
        <v>885</v>
      </c>
      <c r="T84" s="12">
        <f t="shared" si="9"/>
        <v>0.31892697466467967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8718599.3043148499</v>
      </c>
      <c r="G85" s="1">
        <f>VLOOKUP(A:A,MASTER!A:K,11,0)</f>
        <v>5319485.4885244695</v>
      </c>
      <c r="H85" s="12">
        <f t="shared" si="5"/>
        <v>-0.38986925504285452</v>
      </c>
      <c r="I85" s="2">
        <f>VLOOKUP(A:A,MASTER!A:E,5,0)</f>
        <v>319</v>
      </c>
      <c r="J85" s="2">
        <f>VLOOKUP(A:A,MASTER!A:J,10,0)</f>
        <v>206</v>
      </c>
      <c r="K85" s="12">
        <f t="shared" si="6"/>
        <v>-0.35423197492163006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359</v>
      </c>
      <c r="S85">
        <f>VLOOKUP(A:A,MASTER!A:G,7,0)</f>
        <v>188</v>
      </c>
      <c r="T85" s="12">
        <f t="shared" si="9"/>
        <v>-0.4763231197771588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tabSelected="1"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429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83838</v>
      </c>
      <c r="C3" s="11">
        <f t="shared" si="0"/>
        <v>2157</v>
      </c>
      <c r="D3" s="11">
        <f t="shared" si="0"/>
        <v>321</v>
      </c>
      <c r="E3" s="11">
        <f t="shared" si="0"/>
        <v>70996</v>
      </c>
      <c r="F3" s="11">
        <f t="shared" si="0"/>
        <v>3906538505.3593373</v>
      </c>
      <c r="G3" s="11">
        <f t="shared" si="0"/>
        <v>83758</v>
      </c>
      <c r="H3" s="11">
        <f t="shared" si="0"/>
        <v>3123</v>
      </c>
      <c r="I3" s="11">
        <f t="shared" si="0"/>
        <v>318</v>
      </c>
      <c r="J3" s="11">
        <f t="shared" si="0"/>
        <v>70791</v>
      </c>
      <c r="K3" s="11">
        <f t="shared" si="0"/>
        <v>3961205614.6609774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426</v>
      </c>
      <c r="C6" s="10">
        <v>3</v>
      </c>
      <c r="D6" s="10">
        <v>2</v>
      </c>
      <c r="E6" s="10">
        <v>383</v>
      </c>
      <c r="F6" s="10">
        <v>17760088.853078403</v>
      </c>
      <c r="G6" s="10">
        <v>387</v>
      </c>
      <c r="H6" s="10">
        <v>2</v>
      </c>
      <c r="I6" s="10">
        <v>2</v>
      </c>
      <c r="J6" s="10">
        <v>334</v>
      </c>
      <c r="K6" s="10">
        <v>17201652.049137305</v>
      </c>
    </row>
    <row r="7" spans="1:11" x14ac:dyDescent="0.35">
      <c r="A7" s="9" t="s">
        <v>127</v>
      </c>
      <c r="B7" s="10">
        <v>592</v>
      </c>
      <c r="C7" s="10">
        <v>6</v>
      </c>
      <c r="D7" s="10">
        <v>2</v>
      </c>
      <c r="E7" s="10">
        <v>486</v>
      </c>
      <c r="F7" s="10">
        <v>20606149.957101975</v>
      </c>
      <c r="G7" s="10">
        <v>444</v>
      </c>
      <c r="H7" s="10">
        <v>8</v>
      </c>
      <c r="I7" s="10">
        <v>3</v>
      </c>
      <c r="J7" s="10">
        <v>408</v>
      </c>
      <c r="K7" s="10">
        <v>18716570.815236751</v>
      </c>
    </row>
    <row r="8" spans="1:11" x14ac:dyDescent="0.35">
      <c r="A8" s="9" t="s">
        <v>119</v>
      </c>
      <c r="B8" s="10">
        <v>784</v>
      </c>
      <c r="C8" s="10">
        <v>12</v>
      </c>
      <c r="D8" s="10">
        <v>1</v>
      </c>
      <c r="E8" s="10">
        <v>789</v>
      </c>
      <c r="F8" s="10">
        <v>30656617.735959981</v>
      </c>
      <c r="G8" s="10">
        <v>811</v>
      </c>
      <c r="H8" s="10">
        <v>10</v>
      </c>
      <c r="I8" s="10">
        <v>1</v>
      </c>
      <c r="J8" s="10">
        <v>745</v>
      </c>
      <c r="K8" s="10">
        <v>21599109.489771247</v>
      </c>
    </row>
    <row r="9" spans="1:11" x14ac:dyDescent="0.35">
      <c r="A9" s="9" t="s">
        <v>121</v>
      </c>
      <c r="B9" s="10">
        <v>1267</v>
      </c>
      <c r="C9" s="10">
        <v>12</v>
      </c>
      <c r="D9" s="10">
        <v>3</v>
      </c>
      <c r="E9" s="10">
        <v>1161</v>
      </c>
      <c r="F9" s="10">
        <v>47076318.8654259</v>
      </c>
      <c r="G9" s="10">
        <v>1036</v>
      </c>
      <c r="H9" s="10">
        <v>13</v>
      </c>
      <c r="I9" s="10">
        <v>2</v>
      </c>
      <c r="J9" s="10">
        <v>959</v>
      </c>
      <c r="K9" s="10">
        <v>47148225.964592896</v>
      </c>
    </row>
    <row r="10" spans="1:11" x14ac:dyDescent="0.35">
      <c r="A10" s="9" t="s">
        <v>123</v>
      </c>
      <c r="B10" s="10">
        <v>394</v>
      </c>
      <c r="C10" s="10">
        <v>1</v>
      </c>
      <c r="D10" s="10">
        <v>1</v>
      </c>
      <c r="E10" s="10">
        <v>376</v>
      </c>
      <c r="F10" s="10">
        <v>20130703.290693931</v>
      </c>
      <c r="G10" s="10">
        <v>444</v>
      </c>
      <c r="H10" s="10">
        <v>4</v>
      </c>
      <c r="I10" s="10">
        <v>1</v>
      </c>
      <c r="J10" s="10">
        <v>383</v>
      </c>
      <c r="K10" s="10">
        <v>21133580.972664706</v>
      </c>
    </row>
    <row r="11" spans="1:11" x14ac:dyDescent="0.35">
      <c r="A11" s="9" t="s">
        <v>125</v>
      </c>
      <c r="B11" s="10">
        <v>389</v>
      </c>
      <c r="C11" s="10">
        <v>4</v>
      </c>
      <c r="D11" s="10">
        <v>2</v>
      </c>
      <c r="E11" s="10">
        <v>306</v>
      </c>
      <c r="F11" s="10">
        <v>16875460.400529109</v>
      </c>
      <c r="G11" s="10">
        <v>271</v>
      </c>
      <c r="H11" s="10">
        <v>4</v>
      </c>
      <c r="I11" s="10">
        <v>2</v>
      </c>
      <c r="J11" s="10">
        <v>228</v>
      </c>
      <c r="K11" s="10">
        <v>14256999.006162396</v>
      </c>
    </row>
    <row r="12" spans="1:11" x14ac:dyDescent="0.35">
      <c r="A12" s="9" t="s">
        <v>131</v>
      </c>
      <c r="B12" s="10">
        <v>627</v>
      </c>
      <c r="C12" s="10">
        <v>3</v>
      </c>
      <c r="D12" s="10">
        <v>2</v>
      </c>
      <c r="E12" s="10">
        <v>518</v>
      </c>
      <c r="F12" s="10">
        <v>22014757.851862326</v>
      </c>
      <c r="G12" s="10">
        <v>536</v>
      </c>
      <c r="H12" s="10">
        <v>13</v>
      </c>
      <c r="I12" s="10">
        <v>1</v>
      </c>
      <c r="J12" s="10">
        <v>483</v>
      </c>
      <c r="K12" s="10">
        <v>19410865.220765773</v>
      </c>
    </row>
    <row r="13" spans="1:11" x14ac:dyDescent="0.35">
      <c r="A13" s="9" t="s">
        <v>133</v>
      </c>
      <c r="B13" s="10">
        <v>186</v>
      </c>
      <c r="C13" s="10">
        <v>0</v>
      </c>
      <c r="D13" s="10">
        <v>1</v>
      </c>
      <c r="E13" s="10">
        <v>130</v>
      </c>
      <c r="F13" s="10">
        <v>8571642.1714649387</v>
      </c>
      <c r="G13" s="10">
        <v>142</v>
      </c>
      <c r="H13" s="10">
        <v>0</v>
      </c>
      <c r="I13" s="10">
        <v>1</v>
      </c>
      <c r="J13" s="10">
        <v>121</v>
      </c>
      <c r="K13" s="10">
        <v>8725354.0149669796</v>
      </c>
    </row>
    <row r="14" spans="1:11" x14ac:dyDescent="0.35">
      <c r="A14" s="9" t="s">
        <v>141</v>
      </c>
      <c r="B14" s="10">
        <v>187</v>
      </c>
      <c r="C14" s="10">
        <v>1</v>
      </c>
      <c r="D14" s="10">
        <v>1</v>
      </c>
      <c r="E14" s="10">
        <v>174</v>
      </c>
      <c r="F14" s="10">
        <v>5913884.2596015651</v>
      </c>
      <c r="G14" s="10">
        <v>254</v>
      </c>
      <c r="H14" s="10">
        <v>4</v>
      </c>
      <c r="I14" s="10">
        <v>1</v>
      </c>
      <c r="J14" s="10">
        <v>228</v>
      </c>
      <c r="K14" s="10">
        <v>8930506.4125648011</v>
      </c>
    </row>
    <row r="15" spans="1:11" x14ac:dyDescent="0.35">
      <c r="A15" s="9" t="s">
        <v>135</v>
      </c>
      <c r="B15" s="10">
        <v>386</v>
      </c>
      <c r="C15" s="10">
        <v>5</v>
      </c>
      <c r="D15" s="10">
        <v>1</v>
      </c>
      <c r="E15" s="10">
        <v>348</v>
      </c>
      <c r="F15" s="10">
        <v>17498015.063818499</v>
      </c>
      <c r="G15" s="10">
        <v>444</v>
      </c>
      <c r="H15" s="10">
        <v>9</v>
      </c>
      <c r="I15" s="10">
        <v>1</v>
      </c>
      <c r="J15" s="10">
        <v>372</v>
      </c>
      <c r="K15" s="10">
        <v>15864460.883030891</v>
      </c>
    </row>
    <row r="16" spans="1:11" x14ac:dyDescent="0.35">
      <c r="A16" s="9" t="s">
        <v>143</v>
      </c>
      <c r="B16" s="10">
        <v>240</v>
      </c>
      <c r="C16" s="10">
        <v>0</v>
      </c>
      <c r="D16" s="10">
        <v>2</v>
      </c>
      <c r="E16" s="10">
        <v>253</v>
      </c>
      <c r="F16" s="10">
        <v>9218487.8996669017</v>
      </c>
      <c r="G16" s="10">
        <v>223</v>
      </c>
      <c r="H16" s="10">
        <v>1</v>
      </c>
      <c r="I16" s="10">
        <v>2</v>
      </c>
      <c r="J16" s="10">
        <v>218</v>
      </c>
      <c r="K16" s="10">
        <v>7958739.3189509548</v>
      </c>
    </row>
    <row r="17" spans="1:11" x14ac:dyDescent="0.35">
      <c r="A17" s="9" t="s">
        <v>145</v>
      </c>
      <c r="B17" s="10">
        <v>251</v>
      </c>
      <c r="C17" s="10">
        <v>3</v>
      </c>
      <c r="D17" s="10">
        <v>1</v>
      </c>
      <c r="E17" s="10">
        <v>206</v>
      </c>
      <c r="F17" s="10">
        <v>9655507.7461661436</v>
      </c>
      <c r="G17" s="10">
        <v>282</v>
      </c>
      <c r="H17" s="10">
        <v>2</v>
      </c>
      <c r="I17" s="10">
        <v>0</v>
      </c>
      <c r="J17" s="10">
        <v>225</v>
      </c>
      <c r="K17" s="10">
        <v>10506463.269982643</v>
      </c>
    </row>
    <row r="18" spans="1:11" x14ac:dyDescent="0.35">
      <c r="A18" s="9" t="s">
        <v>20</v>
      </c>
      <c r="B18" s="10">
        <v>1311</v>
      </c>
      <c r="C18" s="10">
        <v>6</v>
      </c>
      <c r="D18" s="10">
        <v>4</v>
      </c>
      <c r="E18" s="10">
        <v>1274</v>
      </c>
      <c r="F18" s="10">
        <v>42759579.760946639</v>
      </c>
      <c r="G18" s="10">
        <v>1405</v>
      </c>
      <c r="H18" s="10">
        <v>14</v>
      </c>
      <c r="I18" s="10">
        <v>5</v>
      </c>
      <c r="J18" s="10">
        <v>1147</v>
      </c>
      <c r="K18" s="10">
        <v>50155012.28230086</v>
      </c>
    </row>
    <row r="19" spans="1:11" x14ac:dyDescent="0.35">
      <c r="A19" s="9" t="s">
        <v>45</v>
      </c>
      <c r="B19" s="10">
        <v>1211</v>
      </c>
      <c r="C19" s="10">
        <v>4</v>
      </c>
      <c r="D19" s="10">
        <v>3</v>
      </c>
      <c r="E19" s="10">
        <v>922</v>
      </c>
      <c r="F19" s="10">
        <v>67845213.702016577</v>
      </c>
      <c r="G19" s="10">
        <v>1025</v>
      </c>
      <c r="H19" s="10">
        <v>1</v>
      </c>
      <c r="I19" s="10">
        <v>3</v>
      </c>
      <c r="J19" s="10">
        <v>920</v>
      </c>
      <c r="K19" s="10">
        <v>63561640.418578655</v>
      </c>
    </row>
    <row r="20" spans="1:11" x14ac:dyDescent="0.35">
      <c r="A20" s="9" t="s">
        <v>47</v>
      </c>
      <c r="B20" s="10">
        <v>996</v>
      </c>
      <c r="C20" s="10">
        <v>6</v>
      </c>
      <c r="D20" s="10">
        <v>5</v>
      </c>
      <c r="E20" s="10">
        <v>957</v>
      </c>
      <c r="F20" s="10">
        <v>35971702.440834761</v>
      </c>
      <c r="G20" s="10">
        <v>1057</v>
      </c>
      <c r="H20" s="10">
        <v>12</v>
      </c>
      <c r="I20" s="10">
        <v>5</v>
      </c>
      <c r="J20" s="10">
        <v>974</v>
      </c>
      <c r="K20" s="10">
        <v>35557323.959894322</v>
      </c>
    </row>
    <row r="21" spans="1:11" x14ac:dyDescent="0.35">
      <c r="A21" s="9" t="s">
        <v>49</v>
      </c>
      <c r="B21" s="10">
        <v>926</v>
      </c>
      <c r="C21" s="10">
        <v>4</v>
      </c>
      <c r="D21" s="10">
        <v>3</v>
      </c>
      <c r="E21" s="10">
        <v>661</v>
      </c>
      <c r="F21" s="10">
        <v>30036577.432910126</v>
      </c>
      <c r="G21" s="10">
        <v>811</v>
      </c>
      <c r="H21" s="10">
        <v>6</v>
      </c>
      <c r="I21" s="10">
        <v>3</v>
      </c>
      <c r="J21" s="10">
        <v>679</v>
      </c>
      <c r="K21" s="10">
        <v>34066205.765379243</v>
      </c>
    </row>
    <row r="22" spans="1:11" x14ac:dyDescent="0.35">
      <c r="A22" s="9" t="s">
        <v>51</v>
      </c>
      <c r="B22" s="10">
        <v>2721</v>
      </c>
      <c r="C22" s="10">
        <v>189</v>
      </c>
      <c r="D22" s="10">
        <v>10</v>
      </c>
      <c r="E22" s="10">
        <v>2122</v>
      </c>
      <c r="F22" s="10">
        <v>127856786.10033116</v>
      </c>
      <c r="G22" s="10">
        <v>2759</v>
      </c>
      <c r="H22" s="10">
        <v>309</v>
      </c>
      <c r="I22" s="10">
        <v>11</v>
      </c>
      <c r="J22" s="10">
        <v>2211</v>
      </c>
      <c r="K22" s="10">
        <v>124337429.28364196</v>
      </c>
    </row>
    <row r="23" spans="1:11" x14ac:dyDescent="0.35">
      <c r="A23" s="9" t="s">
        <v>53</v>
      </c>
      <c r="B23" s="10">
        <v>1291</v>
      </c>
      <c r="C23" s="10">
        <v>9</v>
      </c>
      <c r="D23" s="10">
        <v>2</v>
      </c>
      <c r="E23" s="10">
        <v>1182</v>
      </c>
      <c r="F23" s="10">
        <v>48066592.858261541</v>
      </c>
      <c r="G23" s="10">
        <v>1286</v>
      </c>
      <c r="H23" s="10">
        <v>7</v>
      </c>
      <c r="I23" s="10">
        <v>2</v>
      </c>
      <c r="J23" s="10">
        <v>1226</v>
      </c>
      <c r="K23" s="10">
        <v>65865305.892187335</v>
      </c>
    </row>
    <row r="24" spans="1:11" x14ac:dyDescent="0.35">
      <c r="A24" s="9" t="s">
        <v>55</v>
      </c>
      <c r="B24" s="10">
        <v>2792</v>
      </c>
      <c r="C24" s="10">
        <v>23</v>
      </c>
      <c r="D24" s="10">
        <v>10</v>
      </c>
      <c r="E24" s="10">
        <v>2220</v>
      </c>
      <c r="F24" s="10">
        <v>132793350.87540713</v>
      </c>
      <c r="G24" s="10">
        <v>2459</v>
      </c>
      <c r="H24" s="10">
        <v>10</v>
      </c>
      <c r="I24" s="10">
        <v>11</v>
      </c>
      <c r="J24" s="10">
        <v>2014</v>
      </c>
      <c r="K24" s="10">
        <v>119956897.06991762</v>
      </c>
    </row>
    <row r="25" spans="1:11" x14ac:dyDescent="0.35">
      <c r="A25" s="9" t="s">
        <v>67</v>
      </c>
      <c r="B25" s="10">
        <v>501</v>
      </c>
      <c r="C25" s="10">
        <v>6</v>
      </c>
      <c r="D25" s="10">
        <v>1</v>
      </c>
      <c r="E25" s="10">
        <v>490</v>
      </c>
      <c r="F25" s="10">
        <v>19374995.798617709</v>
      </c>
      <c r="G25" s="10">
        <v>642</v>
      </c>
      <c r="H25" s="10">
        <v>2</v>
      </c>
      <c r="I25" s="10">
        <v>1</v>
      </c>
      <c r="J25" s="10">
        <v>724</v>
      </c>
      <c r="K25" s="10">
        <v>18506036.234718911</v>
      </c>
    </row>
    <row r="26" spans="1:11" x14ac:dyDescent="0.35">
      <c r="A26" s="9" t="s">
        <v>74</v>
      </c>
      <c r="B26" s="10">
        <v>1762</v>
      </c>
      <c r="C26" s="10">
        <v>25</v>
      </c>
      <c r="D26" s="10">
        <v>2</v>
      </c>
      <c r="E26" s="10">
        <v>1393</v>
      </c>
      <c r="F26" s="10">
        <v>54865067.948890314</v>
      </c>
      <c r="G26" s="10">
        <v>1955</v>
      </c>
      <c r="H26" s="10">
        <v>22</v>
      </c>
      <c r="I26" s="10">
        <v>1</v>
      </c>
      <c r="J26" s="10">
        <v>1523</v>
      </c>
      <c r="K26" s="10">
        <v>52390468.285419568</v>
      </c>
    </row>
    <row r="27" spans="1:11" x14ac:dyDescent="0.35">
      <c r="A27" s="9" t="s">
        <v>70</v>
      </c>
      <c r="B27" s="10">
        <v>871</v>
      </c>
      <c r="C27" s="10">
        <v>18</v>
      </c>
      <c r="D27" s="10">
        <v>1</v>
      </c>
      <c r="E27" s="10">
        <v>782</v>
      </c>
      <c r="F27" s="10">
        <v>23348562.33505841</v>
      </c>
      <c r="G27" s="10">
        <v>885</v>
      </c>
      <c r="H27" s="10">
        <v>11</v>
      </c>
      <c r="I27" s="10">
        <v>0</v>
      </c>
      <c r="J27" s="10">
        <v>807</v>
      </c>
      <c r="K27" s="10">
        <v>21619104.414777428</v>
      </c>
    </row>
    <row r="28" spans="1:11" x14ac:dyDescent="0.35">
      <c r="A28" s="9" t="s">
        <v>72</v>
      </c>
      <c r="B28" s="10">
        <v>874</v>
      </c>
      <c r="C28" s="10">
        <v>8</v>
      </c>
      <c r="D28" s="10">
        <v>1</v>
      </c>
      <c r="E28" s="10">
        <v>739</v>
      </c>
      <c r="F28" s="10">
        <v>27539932.962145608</v>
      </c>
      <c r="G28" s="10">
        <v>816</v>
      </c>
      <c r="H28" s="10">
        <v>5</v>
      </c>
      <c r="I28" s="10">
        <v>0</v>
      </c>
      <c r="J28" s="10">
        <v>679</v>
      </c>
      <c r="K28" s="10">
        <v>27800137.867651787</v>
      </c>
    </row>
    <row r="29" spans="1:11" x14ac:dyDescent="0.35">
      <c r="A29" s="9" t="s">
        <v>79</v>
      </c>
      <c r="B29" s="10">
        <v>212</v>
      </c>
      <c r="C29" s="10">
        <v>1</v>
      </c>
      <c r="D29" s="10">
        <v>1</v>
      </c>
      <c r="E29" s="10">
        <v>187</v>
      </c>
      <c r="F29" s="10">
        <v>6886937.3913142877</v>
      </c>
      <c r="G29" s="10">
        <v>202</v>
      </c>
      <c r="H29" s="10">
        <v>1</v>
      </c>
      <c r="I29" s="10">
        <v>0</v>
      </c>
      <c r="J29" s="10">
        <v>183</v>
      </c>
      <c r="K29" s="10">
        <v>6735187.5290625654</v>
      </c>
    </row>
    <row r="30" spans="1:11" x14ac:dyDescent="0.35">
      <c r="A30" s="9" t="s">
        <v>109</v>
      </c>
      <c r="B30" s="10">
        <v>1607</v>
      </c>
      <c r="C30" s="10">
        <v>14</v>
      </c>
      <c r="D30" s="10">
        <v>6</v>
      </c>
      <c r="E30" s="10">
        <v>1369</v>
      </c>
      <c r="F30" s="10">
        <v>52245867.280673377</v>
      </c>
      <c r="G30" s="10">
        <v>1699</v>
      </c>
      <c r="H30" s="10">
        <v>9</v>
      </c>
      <c r="I30" s="10">
        <v>6</v>
      </c>
      <c r="J30" s="10">
        <v>1479</v>
      </c>
      <c r="K30" s="10">
        <v>53444091.942912899</v>
      </c>
    </row>
    <row r="31" spans="1:11" x14ac:dyDescent="0.35">
      <c r="A31" s="9" t="s">
        <v>111</v>
      </c>
      <c r="B31" s="10">
        <v>897</v>
      </c>
      <c r="C31" s="10">
        <v>9</v>
      </c>
      <c r="D31" s="10">
        <v>1</v>
      </c>
      <c r="E31" s="10">
        <v>633</v>
      </c>
      <c r="F31" s="10">
        <v>44719853.847682461</v>
      </c>
      <c r="G31" s="10">
        <v>806</v>
      </c>
      <c r="H31" s="10">
        <v>4</v>
      </c>
      <c r="I31" s="10">
        <v>1</v>
      </c>
      <c r="J31" s="10">
        <v>628</v>
      </c>
      <c r="K31" s="10">
        <v>48022769.319153361</v>
      </c>
    </row>
    <row r="32" spans="1:11" x14ac:dyDescent="0.35">
      <c r="A32" s="9" t="s">
        <v>113</v>
      </c>
      <c r="B32" s="10">
        <v>999</v>
      </c>
      <c r="C32" s="10">
        <v>3</v>
      </c>
      <c r="D32" s="10">
        <v>2</v>
      </c>
      <c r="E32" s="10">
        <v>837</v>
      </c>
      <c r="F32" s="10">
        <v>42397132.114321806</v>
      </c>
      <c r="G32" s="10">
        <v>1014</v>
      </c>
      <c r="H32" s="10">
        <v>2</v>
      </c>
      <c r="I32" s="10">
        <v>3</v>
      </c>
      <c r="J32" s="10">
        <v>835</v>
      </c>
      <c r="K32" s="10">
        <v>50151172.686785869</v>
      </c>
    </row>
    <row r="33" spans="1:11" x14ac:dyDescent="0.35">
      <c r="A33" s="9" t="s">
        <v>115</v>
      </c>
      <c r="B33" s="10">
        <v>1129</v>
      </c>
      <c r="C33" s="10">
        <v>4</v>
      </c>
      <c r="D33" s="10">
        <v>2</v>
      </c>
      <c r="E33" s="10">
        <v>854</v>
      </c>
      <c r="F33" s="10">
        <v>58415919.261453278</v>
      </c>
      <c r="G33" s="10">
        <v>972</v>
      </c>
      <c r="H33" s="10">
        <v>2</v>
      </c>
      <c r="I33" s="10">
        <v>3</v>
      </c>
      <c r="J33" s="10">
        <v>818</v>
      </c>
      <c r="K33" s="10">
        <v>57547104.808915883</v>
      </c>
    </row>
    <row r="34" spans="1:11" x14ac:dyDescent="0.35">
      <c r="A34" s="9" t="s">
        <v>16</v>
      </c>
      <c r="B34" s="10">
        <v>1402</v>
      </c>
      <c r="C34" s="10">
        <v>6</v>
      </c>
      <c r="D34" s="10">
        <v>4</v>
      </c>
      <c r="E34" s="10">
        <v>1163</v>
      </c>
      <c r="F34" s="10">
        <v>77684620.45929715</v>
      </c>
      <c r="G34" s="10">
        <v>1343</v>
      </c>
      <c r="H34" s="10">
        <v>6</v>
      </c>
      <c r="I34" s="10">
        <v>2</v>
      </c>
      <c r="J34" s="10">
        <v>1115</v>
      </c>
      <c r="K34" s="10">
        <v>70210950.90802002</v>
      </c>
    </row>
    <row r="35" spans="1:11" x14ac:dyDescent="0.35">
      <c r="A35" s="9" t="s">
        <v>18</v>
      </c>
      <c r="B35" s="10">
        <v>663</v>
      </c>
      <c r="C35" s="10">
        <v>3</v>
      </c>
      <c r="D35" s="10">
        <v>5</v>
      </c>
      <c r="E35" s="10">
        <v>552</v>
      </c>
      <c r="F35" s="10">
        <v>34510901.357612282</v>
      </c>
      <c r="G35" s="10">
        <v>673</v>
      </c>
      <c r="H35" s="10">
        <v>5</v>
      </c>
      <c r="I35" s="10">
        <v>4</v>
      </c>
      <c r="J35" s="10">
        <v>543</v>
      </c>
      <c r="K35" s="10">
        <v>32240290.254602402</v>
      </c>
    </row>
    <row r="36" spans="1:11" x14ac:dyDescent="0.35">
      <c r="A36" s="9" t="s">
        <v>43</v>
      </c>
      <c r="B36" s="10">
        <v>1827</v>
      </c>
      <c r="C36" s="10">
        <v>13</v>
      </c>
      <c r="D36" s="10">
        <v>9</v>
      </c>
      <c r="E36" s="10">
        <v>1618</v>
      </c>
      <c r="F36" s="10">
        <v>87375645.986355141</v>
      </c>
      <c r="G36" s="10">
        <v>1871</v>
      </c>
      <c r="H36" s="10">
        <v>4</v>
      </c>
      <c r="I36" s="10">
        <v>7</v>
      </c>
      <c r="J36" s="10">
        <v>1691</v>
      </c>
      <c r="K36" s="10">
        <v>77880813.719669446</v>
      </c>
    </row>
    <row r="37" spans="1:11" x14ac:dyDescent="0.35">
      <c r="A37" s="9" t="s">
        <v>152</v>
      </c>
      <c r="B37" s="10">
        <v>853</v>
      </c>
      <c r="C37" s="10">
        <v>5</v>
      </c>
      <c r="D37" s="10">
        <v>2</v>
      </c>
      <c r="E37" s="10">
        <v>847</v>
      </c>
      <c r="F37" s="10">
        <v>33911408.209630743</v>
      </c>
      <c r="G37" s="10">
        <v>884</v>
      </c>
      <c r="H37" s="10">
        <v>7</v>
      </c>
      <c r="I37" s="10">
        <v>3</v>
      </c>
      <c r="J37" s="10">
        <v>700</v>
      </c>
      <c r="K37" s="10">
        <v>34624389.573049486</v>
      </c>
    </row>
    <row r="38" spans="1:11" x14ac:dyDescent="0.35">
      <c r="A38" s="9" t="s">
        <v>149</v>
      </c>
      <c r="B38" s="10">
        <v>689</v>
      </c>
      <c r="C38" s="10">
        <v>5</v>
      </c>
      <c r="D38" s="10">
        <v>1</v>
      </c>
      <c r="E38" s="10">
        <v>549</v>
      </c>
      <c r="F38" s="10">
        <v>31507407.912067052</v>
      </c>
      <c r="G38" s="10">
        <v>225</v>
      </c>
      <c r="H38" s="10">
        <v>4</v>
      </c>
      <c r="I38" s="10">
        <v>1</v>
      </c>
      <c r="J38" s="10">
        <v>9</v>
      </c>
      <c r="K38" s="10">
        <v>29180637.002966914</v>
      </c>
    </row>
    <row r="39" spans="1:11" x14ac:dyDescent="0.35">
      <c r="A39" s="9" t="s">
        <v>154</v>
      </c>
      <c r="B39" s="10">
        <v>1179</v>
      </c>
      <c r="C39" s="10">
        <v>22</v>
      </c>
      <c r="D39" s="10">
        <v>1</v>
      </c>
      <c r="E39" s="10">
        <v>923</v>
      </c>
      <c r="F39" s="10">
        <v>49390987.663672179</v>
      </c>
      <c r="G39" s="10">
        <v>1601</v>
      </c>
      <c r="H39" s="10">
        <v>12</v>
      </c>
      <c r="I39" s="10">
        <v>2</v>
      </c>
      <c r="J39" s="10">
        <v>1181</v>
      </c>
      <c r="K39" s="10">
        <v>54759248.047144808</v>
      </c>
    </row>
    <row r="40" spans="1:11" x14ac:dyDescent="0.35">
      <c r="A40" s="9" t="s">
        <v>2</v>
      </c>
      <c r="B40" s="10">
        <v>1387</v>
      </c>
      <c r="C40" s="10">
        <v>468</v>
      </c>
      <c r="D40" s="10">
        <v>1</v>
      </c>
      <c r="E40" s="10">
        <v>958</v>
      </c>
      <c r="F40" s="10">
        <v>46490769.935966089</v>
      </c>
      <c r="G40" s="10">
        <v>1518</v>
      </c>
      <c r="H40" s="10">
        <v>734</v>
      </c>
      <c r="I40" s="10">
        <v>1</v>
      </c>
      <c r="J40" s="10">
        <v>1028</v>
      </c>
      <c r="K40" s="10">
        <v>47837416.432098202</v>
      </c>
    </row>
    <row r="41" spans="1:11" x14ac:dyDescent="0.35">
      <c r="A41" s="9" t="s">
        <v>156</v>
      </c>
      <c r="B41" s="10">
        <v>2283</v>
      </c>
      <c r="C41" s="10">
        <v>191</v>
      </c>
      <c r="D41" s="10">
        <v>5</v>
      </c>
      <c r="E41" s="10">
        <v>1432</v>
      </c>
      <c r="F41" s="10">
        <v>81931582.762003809</v>
      </c>
      <c r="G41" s="10">
        <v>2530</v>
      </c>
      <c r="H41" s="10">
        <v>579</v>
      </c>
      <c r="I41" s="10">
        <v>5</v>
      </c>
      <c r="J41" s="10">
        <v>1812</v>
      </c>
      <c r="K41" s="10">
        <v>80835356.932574764</v>
      </c>
    </row>
    <row r="42" spans="1:11" x14ac:dyDescent="0.35">
      <c r="A42" s="9" t="s">
        <v>14</v>
      </c>
      <c r="B42" s="10">
        <v>582</v>
      </c>
      <c r="C42" s="10">
        <v>2</v>
      </c>
      <c r="D42" s="10">
        <v>6</v>
      </c>
      <c r="E42" s="10">
        <v>397</v>
      </c>
      <c r="F42" s="10">
        <v>29518608.302452143</v>
      </c>
      <c r="G42" s="10">
        <v>539</v>
      </c>
      <c r="H42" s="10">
        <v>1</v>
      </c>
      <c r="I42" s="10">
        <v>7</v>
      </c>
      <c r="J42" s="10">
        <v>465</v>
      </c>
      <c r="K42" s="10">
        <v>30447273.994931657</v>
      </c>
    </row>
    <row r="43" spans="1:11" x14ac:dyDescent="0.35">
      <c r="A43" s="9" t="s">
        <v>8</v>
      </c>
      <c r="B43" s="10">
        <v>2097</v>
      </c>
      <c r="C43" s="10">
        <v>9</v>
      </c>
      <c r="D43" s="10">
        <v>6</v>
      </c>
      <c r="E43" s="10">
        <v>1876</v>
      </c>
      <c r="F43" s="10">
        <v>95711862.991976976</v>
      </c>
      <c r="G43" s="10">
        <v>2308</v>
      </c>
      <c r="H43" s="10">
        <v>6</v>
      </c>
      <c r="I43" s="10">
        <v>5</v>
      </c>
      <c r="J43" s="10">
        <v>2128</v>
      </c>
      <c r="K43" s="10">
        <v>95712599.53319712</v>
      </c>
    </row>
    <row r="44" spans="1:11" x14ac:dyDescent="0.35">
      <c r="A44" s="9" t="s">
        <v>39</v>
      </c>
      <c r="B44" s="10">
        <v>920</v>
      </c>
      <c r="C44" s="10">
        <v>14</v>
      </c>
      <c r="D44" s="10">
        <v>4</v>
      </c>
      <c r="E44" s="10">
        <v>934</v>
      </c>
      <c r="F44" s="10">
        <v>66077656.481311753</v>
      </c>
      <c r="G44" s="10">
        <v>1007</v>
      </c>
      <c r="H44" s="10">
        <v>6</v>
      </c>
      <c r="I44" s="10">
        <v>4</v>
      </c>
      <c r="J44" s="10">
        <v>780</v>
      </c>
      <c r="K44" s="10">
        <v>71121428.579272196</v>
      </c>
    </row>
    <row r="45" spans="1:11" x14ac:dyDescent="0.35">
      <c r="A45" s="9" t="s">
        <v>6</v>
      </c>
      <c r="B45" s="10">
        <v>1068</v>
      </c>
      <c r="C45" s="10">
        <v>9</v>
      </c>
      <c r="D45" s="10">
        <v>4</v>
      </c>
      <c r="E45" s="10">
        <v>1055</v>
      </c>
      <c r="F45" s="10">
        <v>41485493.460575968</v>
      </c>
      <c r="G45" s="10">
        <v>1168</v>
      </c>
      <c r="H45" s="10">
        <v>4</v>
      </c>
      <c r="I45" s="10">
        <v>3</v>
      </c>
      <c r="J45" s="10">
        <v>1265</v>
      </c>
      <c r="K45" s="10">
        <v>51504295.026711926</v>
      </c>
    </row>
    <row r="46" spans="1:11" x14ac:dyDescent="0.35">
      <c r="A46" s="9" t="s">
        <v>41</v>
      </c>
      <c r="B46" s="10">
        <v>806</v>
      </c>
      <c r="C46" s="10">
        <v>11</v>
      </c>
      <c r="D46" s="10">
        <v>4</v>
      </c>
      <c r="E46" s="10">
        <v>545</v>
      </c>
      <c r="F46" s="10">
        <v>49249963.801438831</v>
      </c>
      <c r="G46" s="10">
        <v>765</v>
      </c>
      <c r="H46" s="10">
        <v>4</v>
      </c>
      <c r="I46" s="10">
        <v>5</v>
      </c>
      <c r="J46" s="10">
        <v>631</v>
      </c>
      <c r="K46" s="10">
        <v>52802102.182763182</v>
      </c>
    </row>
    <row r="47" spans="1:11" x14ac:dyDescent="0.35">
      <c r="A47" s="9" t="s">
        <v>158</v>
      </c>
      <c r="B47" s="10">
        <v>730</v>
      </c>
      <c r="C47" s="10">
        <v>4</v>
      </c>
      <c r="D47" s="10">
        <v>10</v>
      </c>
      <c r="E47" s="10">
        <v>566</v>
      </c>
      <c r="F47" s="10">
        <v>31385283.229581248</v>
      </c>
      <c r="G47" s="10">
        <v>927</v>
      </c>
      <c r="H47" s="10">
        <v>2</v>
      </c>
      <c r="I47" s="10">
        <v>9</v>
      </c>
      <c r="J47" s="10">
        <v>994</v>
      </c>
      <c r="K47" s="10">
        <v>31139025.740748473</v>
      </c>
    </row>
    <row r="48" spans="1:11" x14ac:dyDescent="0.35">
      <c r="A48" s="9" t="s">
        <v>160</v>
      </c>
      <c r="B48" s="10">
        <v>702</v>
      </c>
      <c r="C48" s="10">
        <v>3</v>
      </c>
      <c r="D48" s="10">
        <v>1</v>
      </c>
      <c r="E48" s="10">
        <v>748</v>
      </c>
      <c r="F48" s="10">
        <v>27161159.155581944</v>
      </c>
      <c r="G48" s="10">
        <v>873</v>
      </c>
      <c r="H48" s="10">
        <v>2</v>
      </c>
      <c r="I48" s="10">
        <v>2</v>
      </c>
      <c r="J48" s="10">
        <v>902</v>
      </c>
      <c r="K48" s="10">
        <v>29497188.250054847</v>
      </c>
    </row>
    <row r="49" spans="1:11" x14ac:dyDescent="0.35">
      <c r="A49" s="9" t="s">
        <v>83</v>
      </c>
      <c r="B49" s="10">
        <v>1266</v>
      </c>
      <c r="C49" s="10">
        <v>9</v>
      </c>
      <c r="D49" s="10">
        <v>5</v>
      </c>
      <c r="E49" s="10">
        <v>1221</v>
      </c>
      <c r="F49" s="10">
        <v>89370298.486010313</v>
      </c>
      <c r="G49" s="10">
        <v>1153</v>
      </c>
      <c r="H49" s="10">
        <v>11</v>
      </c>
      <c r="I49" s="10">
        <v>6</v>
      </c>
      <c r="J49" s="10">
        <v>1060</v>
      </c>
      <c r="K49" s="10">
        <v>92957541.410645261</v>
      </c>
    </row>
    <row r="50" spans="1:11" x14ac:dyDescent="0.35">
      <c r="A50" s="9" t="s">
        <v>201</v>
      </c>
      <c r="B50" s="10">
        <v>437</v>
      </c>
      <c r="C50" s="10">
        <v>1</v>
      </c>
      <c r="D50" s="10">
        <v>1</v>
      </c>
      <c r="E50" s="10">
        <v>500</v>
      </c>
      <c r="F50" s="10">
        <v>14568118.474464623</v>
      </c>
      <c r="G50" s="10">
        <v>461</v>
      </c>
      <c r="H50" s="10">
        <v>1</v>
      </c>
      <c r="I50" s="10">
        <v>1</v>
      </c>
      <c r="J50" s="10">
        <v>423</v>
      </c>
      <c r="K50" s="10">
        <v>14606705.785215577</v>
      </c>
    </row>
    <row r="51" spans="1:11" x14ac:dyDescent="0.35">
      <c r="A51" s="9" t="s">
        <v>31</v>
      </c>
      <c r="B51" s="10">
        <v>919</v>
      </c>
      <c r="C51" s="10">
        <v>5</v>
      </c>
      <c r="D51" s="10">
        <v>6</v>
      </c>
      <c r="E51" s="10">
        <v>1033</v>
      </c>
      <c r="F51" s="10">
        <v>40951999.234998055</v>
      </c>
      <c r="G51" s="10">
        <v>478</v>
      </c>
      <c r="H51" s="10">
        <v>3</v>
      </c>
      <c r="I51" s="10">
        <v>4</v>
      </c>
      <c r="J51" s="10">
        <v>541</v>
      </c>
      <c r="K51" s="10">
        <v>35233559.244377941</v>
      </c>
    </row>
    <row r="52" spans="1:11" x14ac:dyDescent="0.35">
      <c r="A52" s="9" t="s">
        <v>33</v>
      </c>
      <c r="B52" s="10">
        <v>1413</v>
      </c>
      <c r="C52" s="10">
        <v>7</v>
      </c>
      <c r="D52" s="10">
        <v>12</v>
      </c>
      <c r="E52" s="10">
        <v>1029</v>
      </c>
      <c r="F52" s="10">
        <v>73162303.138640702</v>
      </c>
      <c r="G52" s="10">
        <v>1744</v>
      </c>
      <c r="H52" s="10">
        <v>5</v>
      </c>
      <c r="I52" s="10">
        <v>11</v>
      </c>
      <c r="J52" s="10">
        <v>1216</v>
      </c>
      <c r="K52" s="10">
        <v>77195751.622610301</v>
      </c>
    </row>
    <row r="53" spans="1:11" x14ac:dyDescent="0.35">
      <c r="A53" s="9" t="s">
        <v>85</v>
      </c>
      <c r="B53" s="10">
        <v>470</v>
      </c>
      <c r="C53" s="10">
        <v>4</v>
      </c>
      <c r="D53" s="10">
        <v>6</v>
      </c>
      <c r="E53" s="10">
        <v>385</v>
      </c>
      <c r="F53" s="10">
        <v>36979137.486324593</v>
      </c>
      <c r="G53" s="10">
        <v>498</v>
      </c>
      <c r="H53" s="10">
        <v>5</v>
      </c>
      <c r="I53" s="10">
        <v>6</v>
      </c>
      <c r="J53" s="10">
        <v>405</v>
      </c>
      <c r="K53" s="10">
        <v>37086173.316960797</v>
      </c>
    </row>
    <row r="54" spans="1:11" x14ac:dyDescent="0.35">
      <c r="A54" s="9" t="s">
        <v>81</v>
      </c>
      <c r="B54" s="10">
        <v>464</v>
      </c>
      <c r="C54" s="10">
        <v>4</v>
      </c>
      <c r="D54" s="10">
        <v>4</v>
      </c>
      <c r="E54" s="10">
        <v>286</v>
      </c>
      <c r="F54" s="10">
        <v>27840123.363564543</v>
      </c>
      <c r="G54" s="10">
        <v>376</v>
      </c>
      <c r="H54" s="10">
        <v>3</v>
      </c>
      <c r="I54" s="10">
        <v>3</v>
      </c>
      <c r="J54" s="10">
        <v>309</v>
      </c>
      <c r="K54" s="10">
        <v>29159736.673557907</v>
      </c>
    </row>
    <row r="55" spans="1:11" x14ac:dyDescent="0.35">
      <c r="A55" s="9" t="s">
        <v>87</v>
      </c>
      <c r="B55" s="10">
        <v>400</v>
      </c>
      <c r="C55" s="10">
        <v>3</v>
      </c>
      <c r="D55" s="10">
        <v>3</v>
      </c>
      <c r="E55" s="10">
        <v>317</v>
      </c>
      <c r="F55" s="10">
        <v>24472584.994238015</v>
      </c>
      <c r="G55" s="10">
        <v>374</v>
      </c>
      <c r="H55" s="10">
        <v>1</v>
      </c>
      <c r="I55" s="10">
        <v>1</v>
      </c>
      <c r="J55" s="10">
        <v>321</v>
      </c>
      <c r="K55" s="10">
        <v>14754678.110907627</v>
      </c>
    </row>
    <row r="56" spans="1:11" x14ac:dyDescent="0.35">
      <c r="A56" s="9" t="s">
        <v>166</v>
      </c>
      <c r="B56" s="10">
        <v>1080</v>
      </c>
      <c r="C56" s="10">
        <v>9</v>
      </c>
      <c r="D56" s="10">
        <v>1</v>
      </c>
      <c r="E56" s="10">
        <v>942</v>
      </c>
      <c r="F56" s="10">
        <v>55863510.999792792</v>
      </c>
      <c r="G56" s="10">
        <v>969</v>
      </c>
      <c r="H56" s="10">
        <v>6</v>
      </c>
      <c r="I56" s="10">
        <v>0</v>
      </c>
      <c r="J56" s="10">
        <v>936</v>
      </c>
      <c r="K56" s="10">
        <v>61185564.711989157</v>
      </c>
    </row>
    <row r="57" spans="1:11" x14ac:dyDescent="0.35">
      <c r="A57" s="9" t="s">
        <v>93</v>
      </c>
      <c r="B57" s="10">
        <v>950</v>
      </c>
      <c r="C57" s="10">
        <v>7</v>
      </c>
      <c r="D57" s="10">
        <v>1</v>
      </c>
      <c r="E57" s="10">
        <v>736</v>
      </c>
      <c r="F57" s="10">
        <v>48311807.84576229</v>
      </c>
      <c r="G57" s="10">
        <v>1436</v>
      </c>
      <c r="H57" s="10">
        <v>20</v>
      </c>
      <c r="I57" s="10">
        <v>3</v>
      </c>
      <c r="J57" s="10">
        <v>987</v>
      </c>
      <c r="K57" s="10">
        <v>68869175.714315787</v>
      </c>
    </row>
    <row r="58" spans="1:11" x14ac:dyDescent="0.35">
      <c r="A58" s="9" t="s">
        <v>95</v>
      </c>
      <c r="B58" s="10">
        <v>2075</v>
      </c>
      <c r="C58" s="10">
        <v>16</v>
      </c>
      <c r="D58" s="10">
        <v>8</v>
      </c>
      <c r="E58" s="10">
        <v>1589</v>
      </c>
      <c r="F58" s="10">
        <v>112189803.63736749</v>
      </c>
      <c r="G58" s="10">
        <v>1114</v>
      </c>
      <c r="H58" s="10">
        <v>24</v>
      </c>
      <c r="I58" s="10">
        <v>8</v>
      </c>
      <c r="J58" s="10">
        <v>1349</v>
      </c>
      <c r="K58" s="10">
        <v>96744425.489550591</v>
      </c>
    </row>
    <row r="59" spans="1:11" x14ac:dyDescent="0.35">
      <c r="A59" s="9" t="s">
        <v>174</v>
      </c>
      <c r="B59" s="10">
        <v>645</v>
      </c>
      <c r="C59" s="10">
        <v>5</v>
      </c>
      <c r="D59" s="10">
        <v>1</v>
      </c>
      <c r="E59" s="10">
        <v>537</v>
      </c>
      <c r="F59" s="10">
        <v>26549845.801587813</v>
      </c>
      <c r="G59" s="10">
        <v>549</v>
      </c>
      <c r="H59" s="10">
        <v>2</v>
      </c>
      <c r="I59" s="10">
        <v>0</v>
      </c>
      <c r="J59" s="10">
        <v>509</v>
      </c>
      <c r="K59" s="10">
        <v>28786617.133995883</v>
      </c>
    </row>
    <row r="60" spans="1:11" x14ac:dyDescent="0.35">
      <c r="A60" s="9" t="s">
        <v>99</v>
      </c>
      <c r="B60" s="10">
        <v>893</v>
      </c>
      <c r="C60" s="10">
        <v>9</v>
      </c>
      <c r="D60" s="10">
        <v>5</v>
      </c>
      <c r="E60" s="10">
        <v>952</v>
      </c>
      <c r="F60" s="10">
        <v>46750077.55790139</v>
      </c>
      <c r="G60" s="10">
        <v>1015</v>
      </c>
      <c r="H60" s="10">
        <v>18</v>
      </c>
      <c r="I60" s="10">
        <v>6</v>
      </c>
      <c r="J60" s="10">
        <v>822</v>
      </c>
      <c r="K60" s="10">
        <v>53653205.081532367</v>
      </c>
    </row>
    <row r="61" spans="1:11" x14ac:dyDescent="0.35">
      <c r="A61" s="9" t="s">
        <v>172</v>
      </c>
      <c r="B61" s="10">
        <v>686</v>
      </c>
      <c r="C61" s="10">
        <v>4</v>
      </c>
      <c r="D61" s="10">
        <v>1</v>
      </c>
      <c r="E61" s="10">
        <v>71</v>
      </c>
      <c r="F61" s="10">
        <v>28450428.864199743</v>
      </c>
      <c r="G61" s="10">
        <v>699</v>
      </c>
      <c r="H61" s="10">
        <v>2</v>
      </c>
      <c r="I61" s="10">
        <v>0</v>
      </c>
      <c r="J61" s="10">
        <v>580</v>
      </c>
      <c r="K61" s="10">
        <v>27510371.094214432</v>
      </c>
    </row>
    <row r="62" spans="1:11" x14ac:dyDescent="0.35">
      <c r="A62" s="9" t="s">
        <v>168</v>
      </c>
      <c r="B62" s="10">
        <v>1086</v>
      </c>
      <c r="C62" s="10">
        <v>6</v>
      </c>
      <c r="D62" s="10">
        <v>1</v>
      </c>
      <c r="E62" s="10">
        <v>1282</v>
      </c>
      <c r="F62" s="10">
        <v>58969015.289900355</v>
      </c>
      <c r="G62" s="10">
        <v>1259</v>
      </c>
      <c r="H62" s="10">
        <v>8</v>
      </c>
      <c r="I62" s="10">
        <v>1</v>
      </c>
      <c r="J62" s="10">
        <v>1185</v>
      </c>
      <c r="K62" s="10">
        <v>66609899.44029811</v>
      </c>
    </row>
    <row r="63" spans="1:11" x14ac:dyDescent="0.35">
      <c r="A63" s="9" t="s">
        <v>101</v>
      </c>
      <c r="B63" s="10">
        <v>1566</v>
      </c>
      <c r="C63" s="10">
        <v>14</v>
      </c>
      <c r="D63" s="10">
        <v>5</v>
      </c>
      <c r="E63" s="10">
        <v>1523</v>
      </c>
      <c r="F63" s="10">
        <v>75556667.815282509</v>
      </c>
      <c r="G63" s="10">
        <v>1857</v>
      </c>
      <c r="H63" s="10">
        <v>22</v>
      </c>
      <c r="I63" s="10">
        <v>5</v>
      </c>
      <c r="J63" s="10">
        <v>1567</v>
      </c>
      <c r="K63" s="10">
        <v>91765535.409894958</v>
      </c>
    </row>
    <row r="64" spans="1:11" x14ac:dyDescent="0.35">
      <c r="A64" s="9" t="s">
        <v>103</v>
      </c>
      <c r="B64" s="10">
        <v>774</v>
      </c>
      <c r="C64" s="10">
        <v>5</v>
      </c>
      <c r="D64" s="10">
        <v>4</v>
      </c>
      <c r="E64" s="10">
        <v>934</v>
      </c>
      <c r="F64" s="10">
        <v>39911849.558443338</v>
      </c>
      <c r="G64" s="10">
        <v>588</v>
      </c>
      <c r="H64" s="10">
        <v>6</v>
      </c>
      <c r="I64" s="10">
        <v>5</v>
      </c>
      <c r="J64" s="10">
        <v>645</v>
      </c>
      <c r="K64" s="10">
        <v>35295686.421699174</v>
      </c>
    </row>
    <row r="65" spans="1:11" x14ac:dyDescent="0.35">
      <c r="A65" s="9" t="s">
        <v>105</v>
      </c>
      <c r="B65" s="10">
        <v>633</v>
      </c>
      <c r="C65" s="10">
        <v>12</v>
      </c>
      <c r="D65" s="10">
        <v>5</v>
      </c>
      <c r="E65" s="10">
        <v>133</v>
      </c>
      <c r="F65" s="10">
        <v>44790613.217883505</v>
      </c>
      <c r="G65" s="10">
        <v>709</v>
      </c>
      <c r="H65" s="10">
        <v>9</v>
      </c>
      <c r="I65" s="10">
        <v>7</v>
      </c>
      <c r="J65" s="10">
        <v>489</v>
      </c>
      <c r="K65" s="10">
        <v>48098820.264205925</v>
      </c>
    </row>
    <row r="66" spans="1:11" x14ac:dyDescent="0.35">
      <c r="A66" s="9" t="s">
        <v>24</v>
      </c>
      <c r="B66" s="10">
        <v>1995</v>
      </c>
      <c r="C66" s="10">
        <v>18</v>
      </c>
      <c r="D66" s="10">
        <v>11</v>
      </c>
      <c r="E66" s="10">
        <v>1881</v>
      </c>
      <c r="F66" s="10">
        <v>143542346.98635045</v>
      </c>
      <c r="G66" s="10">
        <v>2376</v>
      </c>
      <c r="H66" s="10">
        <v>25</v>
      </c>
      <c r="I66" s="10">
        <v>11</v>
      </c>
      <c r="J66" s="10">
        <v>1677</v>
      </c>
      <c r="K66" s="10">
        <v>149080534.20420626</v>
      </c>
    </row>
    <row r="67" spans="1:11" x14ac:dyDescent="0.35">
      <c r="A67" s="9" t="s">
        <v>27</v>
      </c>
      <c r="B67" s="10">
        <v>1576</v>
      </c>
      <c r="C67" s="10">
        <v>27</v>
      </c>
      <c r="D67" s="10">
        <v>6</v>
      </c>
      <c r="E67" s="10">
        <v>1097</v>
      </c>
      <c r="F67" s="10">
        <v>109102013.65435642</v>
      </c>
      <c r="G67" s="10">
        <v>1727</v>
      </c>
      <c r="H67" s="10">
        <v>24</v>
      </c>
      <c r="I67" s="10">
        <v>7</v>
      </c>
      <c r="J67" s="10">
        <v>1320</v>
      </c>
      <c r="K67" s="10">
        <v>108335201.56491014</v>
      </c>
    </row>
    <row r="68" spans="1:11" x14ac:dyDescent="0.35">
      <c r="A68" s="9" t="s">
        <v>29</v>
      </c>
      <c r="B68" s="10">
        <v>910</v>
      </c>
      <c r="C68" s="10">
        <v>12</v>
      </c>
      <c r="D68" s="10">
        <v>1</v>
      </c>
      <c r="E68" s="10">
        <v>845</v>
      </c>
      <c r="F68" s="10">
        <v>70536583.366326377</v>
      </c>
      <c r="G68" s="10">
        <v>920</v>
      </c>
      <c r="H68" s="10">
        <v>3</v>
      </c>
      <c r="I68" s="10">
        <v>1</v>
      </c>
      <c r="J68" s="10">
        <v>735</v>
      </c>
      <c r="K68" s="10">
        <v>70787334.946779042</v>
      </c>
    </row>
    <row r="69" spans="1:11" x14ac:dyDescent="0.35">
      <c r="A69" s="9" t="s">
        <v>57</v>
      </c>
      <c r="B69" s="10">
        <v>2264</v>
      </c>
      <c r="C69" s="10">
        <v>628</v>
      </c>
      <c r="D69" s="10">
        <v>12</v>
      </c>
      <c r="E69" s="10">
        <v>1328</v>
      </c>
      <c r="F69" s="10">
        <v>101264357.76749197</v>
      </c>
      <c r="G69" s="10">
        <v>2326</v>
      </c>
      <c r="H69" s="10">
        <v>860</v>
      </c>
      <c r="I69" s="10">
        <v>13</v>
      </c>
      <c r="J69" s="10">
        <v>1393</v>
      </c>
      <c r="K69" s="10">
        <v>99067868.964320451</v>
      </c>
    </row>
    <row r="70" spans="1:11" x14ac:dyDescent="0.35">
      <c r="A70" s="9" t="s">
        <v>137</v>
      </c>
      <c r="B70" s="10">
        <v>231</v>
      </c>
      <c r="C70" s="10">
        <v>1</v>
      </c>
      <c r="D70" s="10">
        <v>1</v>
      </c>
      <c r="E70" s="10">
        <v>251</v>
      </c>
      <c r="F70" s="10">
        <v>5175236.3298330838</v>
      </c>
      <c r="G70" s="10">
        <v>226</v>
      </c>
      <c r="H70" s="10">
        <v>3</v>
      </c>
      <c r="I70" s="10">
        <v>0</v>
      </c>
      <c r="J70" s="10">
        <v>230</v>
      </c>
      <c r="K70" s="10">
        <v>7510028.4711127384</v>
      </c>
    </row>
    <row r="71" spans="1:11" x14ac:dyDescent="0.35">
      <c r="A71" s="9" t="s">
        <v>10</v>
      </c>
      <c r="B71" s="10">
        <v>1611</v>
      </c>
      <c r="C71" s="10">
        <v>17</v>
      </c>
      <c r="D71" s="10">
        <v>6</v>
      </c>
      <c r="E71" s="10">
        <v>1507</v>
      </c>
      <c r="F71" s="10">
        <v>73741650.596946076</v>
      </c>
      <c r="G71" s="10">
        <v>1647</v>
      </c>
      <c r="H71" s="10">
        <v>11</v>
      </c>
      <c r="I71" s="10">
        <v>8</v>
      </c>
      <c r="J71" s="10">
        <v>1285</v>
      </c>
      <c r="K71" s="10">
        <v>72609689.47866793</v>
      </c>
    </row>
    <row r="72" spans="1:11" x14ac:dyDescent="0.35">
      <c r="A72" s="9" t="s">
        <v>12</v>
      </c>
      <c r="B72" s="10">
        <v>792</v>
      </c>
      <c r="C72" s="10">
        <v>6</v>
      </c>
      <c r="D72" s="10">
        <v>3</v>
      </c>
      <c r="E72" s="10">
        <v>609</v>
      </c>
      <c r="F72" s="10">
        <v>34516342.417943686</v>
      </c>
      <c r="G72" s="10">
        <v>583</v>
      </c>
      <c r="H72" s="10">
        <v>3</v>
      </c>
      <c r="I72" s="10">
        <v>4</v>
      </c>
      <c r="J72" s="10">
        <v>472</v>
      </c>
      <c r="K72" s="10">
        <v>31143217.025539689</v>
      </c>
    </row>
    <row r="73" spans="1:11" x14ac:dyDescent="0.35">
      <c r="A73" s="9" t="s">
        <v>162</v>
      </c>
      <c r="B73" s="10">
        <v>1311</v>
      </c>
      <c r="C73" s="10">
        <v>77</v>
      </c>
      <c r="D73" s="10">
        <v>5</v>
      </c>
      <c r="E73" s="10">
        <v>877</v>
      </c>
      <c r="F73" s="10">
        <v>54136171.5402366</v>
      </c>
      <c r="G73" s="10">
        <v>1418</v>
      </c>
      <c r="H73" s="10">
        <v>67</v>
      </c>
      <c r="I73" s="10">
        <v>5</v>
      </c>
      <c r="J73" s="10">
        <v>1169</v>
      </c>
      <c r="K73" s="10">
        <v>57223742.608097695</v>
      </c>
    </row>
    <row r="74" spans="1:11" x14ac:dyDescent="0.35">
      <c r="A74" s="9" t="s">
        <v>63</v>
      </c>
      <c r="B74" s="10">
        <v>1264</v>
      </c>
      <c r="C74" s="10">
        <v>13</v>
      </c>
      <c r="D74" s="10">
        <v>5</v>
      </c>
      <c r="E74" s="10">
        <v>1349</v>
      </c>
      <c r="F74" s="10">
        <v>37601669.307093062</v>
      </c>
      <c r="G74" s="10">
        <v>1501</v>
      </c>
      <c r="H74" s="10">
        <v>10</v>
      </c>
      <c r="I74" s="10">
        <v>4</v>
      </c>
      <c r="J74" s="10">
        <v>1241</v>
      </c>
      <c r="K74" s="10">
        <v>40952380.391324013</v>
      </c>
    </row>
    <row r="75" spans="1:11" x14ac:dyDescent="0.35">
      <c r="A75" s="9" t="s">
        <v>59</v>
      </c>
      <c r="B75" s="10">
        <v>1723</v>
      </c>
      <c r="C75" s="10">
        <v>17</v>
      </c>
      <c r="D75" s="10">
        <v>5</v>
      </c>
      <c r="E75" s="10">
        <v>1204</v>
      </c>
      <c r="F75" s="10">
        <v>93961731.901577145</v>
      </c>
      <c r="G75" s="10">
        <v>1648</v>
      </c>
      <c r="H75" s="10">
        <v>18</v>
      </c>
      <c r="I75" s="10">
        <v>8</v>
      </c>
      <c r="J75" s="10">
        <v>1264</v>
      </c>
      <c r="K75" s="10">
        <v>94051876.907967433</v>
      </c>
    </row>
    <row r="76" spans="1:11" x14ac:dyDescent="0.35">
      <c r="A76" s="9" t="s">
        <v>139</v>
      </c>
      <c r="B76" s="10">
        <v>518</v>
      </c>
      <c r="C76" s="10">
        <v>4</v>
      </c>
      <c r="D76" s="10">
        <v>1</v>
      </c>
      <c r="E76" s="10">
        <v>408</v>
      </c>
      <c r="F76" s="10">
        <v>19195081.221059989</v>
      </c>
      <c r="G76" s="10">
        <v>521</v>
      </c>
      <c r="H76" s="10">
        <v>6</v>
      </c>
      <c r="I76" s="10">
        <v>2</v>
      </c>
      <c r="J76" s="10">
        <v>462</v>
      </c>
      <c r="K76" s="10">
        <v>17741382.796650443</v>
      </c>
    </row>
    <row r="77" spans="1:11" x14ac:dyDescent="0.35">
      <c r="A77" s="9" t="s">
        <v>170</v>
      </c>
      <c r="B77" s="10">
        <v>880</v>
      </c>
      <c r="C77" s="10">
        <v>7</v>
      </c>
      <c r="D77" s="10">
        <v>1</v>
      </c>
      <c r="E77" s="10">
        <v>928</v>
      </c>
      <c r="F77" s="10">
        <v>30229324.169110976</v>
      </c>
      <c r="G77" s="10">
        <v>798</v>
      </c>
      <c r="H77" s="10">
        <v>4</v>
      </c>
      <c r="I77" s="10">
        <v>0</v>
      </c>
      <c r="J77" s="10">
        <v>789</v>
      </c>
      <c r="K77" s="10">
        <v>34897341.989254922</v>
      </c>
    </row>
    <row r="78" spans="1:11" x14ac:dyDescent="0.35">
      <c r="A78" s="9" t="s">
        <v>61</v>
      </c>
      <c r="B78" s="10">
        <v>635</v>
      </c>
      <c r="C78" s="10">
        <v>2</v>
      </c>
      <c r="D78" s="10">
        <v>3</v>
      </c>
      <c r="E78" s="10">
        <v>474</v>
      </c>
      <c r="F78" s="10">
        <v>30432800.249368832</v>
      </c>
      <c r="G78" s="10">
        <v>626</v>
      </c>
      <c r="H78" s="10">
        <v>2</v>
      </c>
      <c r="I78" s="10">
        <v>3</v>
      </c>
      <c r="J78" s="10">
        <v>497</v>
      </c>
      <c r="K78" s="10">
        <v>33080608.251563609</v>
      </c>
    </row>
    <row r="79" spans="1:11" x14ac:dyDescent="0.35">
      <c r="A79" s="9" t="s">
        <v>129</v>
      </c>
      <c r="B79" s="10">
        <v>584</v>
      </c>
      <c r="C79" s="10">
        <v>6</v>
      </c>
      <c r="D79" s="10">
        <v>1</v>
      </c>
      <c r="E79" s="10">
        <v>574</v>
      </c>
      <c r="F79" s="10">
        <v>20126426.274791665</v>
      </c>
      <c r="G79" s="10">
        <v>772</v>
      </c>
      <c r="H79" s="10">
        <v>16</v>
      </c>
      <c r="I79" s="10">
        <v>1</v>
      </c>
      <c r="J79" s="10">
        <v>685</v>
      </c>
      <c r="K79" s="10">
        <v>22854594.852415569</v>
      </c>
    </row>
    <row r="80" spans="1:11" x14ac:dyDescent="0.35">
      <c r="A80" s="9" t="s">
        <v>35</v>
      </c>
      <c r="B80" s="10">
        <v>446</v>
      </c>
      <c r="C80" s="10">
        <v>2</v>
      </c>
      <c r="D80" s="10">
        <v>7</v>
      </c>
      <c r="E80" s="10">
        <v>428</v>
      </c>
      <c r="F80" s="10">
        <v>24748269.742627814</v>
      </c>
      <c r="G80" s="10">
        <v>562</v>
      </c>
      <c r="H80" s="10">
        <v>4</v>
      </c>
      <c r="I80" s="10">
        <v>8</v>
      </c>
      <c r="J80" s="10">
        <v>482</v>
      </c>
      <c r="K80" s="10">
        <v>23314797.416328564</v>
      </c>
    </row>
    <row r="81" spans="1:11" x14ac:dyDescent="0.35">
      <c r="A81" s="9" t="s">
        <v>107</v>
      </c>
      <c r="B81" s="10">
        <v>913</v>
      </c>
      <c r="C81" s="10">
        <v>11</v>
      </c>
      <c r="D81" s="10">
        <v>3</v>
      </c>
      <c r="E81" s="10">
        <v>672</v>
      </c>
      <c r="F81" s="10">
        <v>63640589.998963937</v>
      </c>
      <c r="G81" s="10">
        <v>244</v>
      </c>
      <c r="H81" s="10">
        <v>11</v>
      </c>
      <c r="I81" s="10">
        <v>2</v>
      </c>
      <c r="J81" s="10">
        <v>680</v>
      </c>
      <c r="K81" s="10">
        <v>45225445.704684928</v>
      </c>
    </row>
    <row r="82" spans="1:11" x14ac:dyDescent="0.35">
      <c r="A82" s="9" t="s">
        <v>37</v>
      </c>
      <c r="B82" s="10">
        <v>779</v>
      </c>
      <c r="C82" s="10">
        <v>5</v>
      </c>
      <c r="D82" s="10">
        <v>9</v>
      </c>
      <c r="E82" s="10">
        <v>819</v>
      </c>
      <c r="F82" s="10">
        <v>38586398.389271758</v>
      </c>
      <c r="G82" s="10">
        <v>765</v>
      </c>
      <c r="H82" s="10">
        <v>1</v>
      </c>
      <c r="I82" s="10">
        <v>9</v>
      </c>
      <c r="J82" s="10">
        <v>735</v>
      </c>
      <c r="K82" s="10">
        <v>38770839.328537166</v>
      </c>
    </row>
    <row r="83" spans="1:11" x14ac:dyDescent="0.35">
      <c r="A83" s="9" t="s">
        <v>76</v>
      </c>
      <c r="B83" s="10">
        <v>943</v>
      </c>
      <c r="C83" s="10">
        <v>5</v>
      </c>
      <c r="D83" s="10">
        <v>2</v>
      </c>
      <c r="E83" s="10">
        <v>904</v>
      </c>
      <c r="F83" s="10">
        <v>33698893.559810221</v>
      </c>
      <c r="G83" s="10">
        <v>1013</v>
      </c>
      <c r="H83" s="10">
        <v>5</v>
      </c>
      <c r="I83" s="10">
        <v>1</v>
      </c>
      <c r="J83" s="10">
        <v>888</v>
      </c>
      <c r="K83" s="10">
        <v>32444008.590488203</v>
      </c>
    </row>
    <row r="84" spans="1:11" x14ac:dyDescent="0.35">
      <c r="A84" s="9" t="s">
        <v>65</v>
      </c>
      <c r="B84" s="10">
        <v>939</v>
      </c>
      <c r="C84" s="10">
        <v>3</v>
      </c>
      <c r="D84" s="10">
        <v>5</v>
      </c>
      <c r="E84" s="10">
        <v>854</v>
      </c>
      <c r="F84" s="10">
        <v>36116676.584809415</v>
      </c>
      <c r="G84" s="10">
        <v>911</v>
      </c>
      <c r="H84" s="10">
        <v>6</v>
      </c>
      <c r="I84" s="10">
        <v>4</v>
      </c>
      <c r="J84" s="10">
        <v>808</v>
      </c>
      <c r="K84" s="10">
        <v>38728010.493973821</v>
      </c>
    </row>
    <row r="85" spans="1:11" x14ac:dyDescent="0.35">
      <c r="A85" s="9" t="s">
        <v>89</v>
      </c>
      <c r="B85" s="10">
        <v>747</v>
      </c>
      <c r="C85" s="10">
        <v>3</v>
      </c>
      <c r="D85" s="10">
        <v>6</v>
      </c>
      <c r="E85" s="10">
        <v>753</v>
      </c>
      <c r="F85" s="10">
        <v>44615074.644224182</v>
      </c>
      <c r="G85" s="10">
        <v>819</v>
      </c>
      <c r="H85" s="10">
        <v>5</v>
      </c>
      <c r="I85" s="10">
        <v>7</v>
      </c>
      <c r="J85" s="10">
        <v>783</v>
      </c>
      <c r="K85" s="10">
        <v>47716274.776052192</v>
      </c>
    </row>
    <row r="86" spans="1:11" x14ac:dyDescent="0.35">
      <c r="A86" s="9" t="s">
        <v>147</v>
      </c>
      <c r="B86" s="10">
        <v>596</v>
      </c>
      <c r="C86" s="10">
        <v>5</v>
      </c>
      <c r="D86" s="10">
        <v>1</v>
      </c>
      <c r="E86" s="10">
        <v>573</v>
      </c>
      <c r="F86" s="10">
        <v>20093811.750767443</v>
      </c>
      <c r="G86" s="10">
        <v>595</v>
      </c>
      <c r="H86" s="10">
        <v>6</v>
      </c>
      <c r="I86" s="10">
        <v>1</v>
      </c>
      <c r="J86" s="10">
        <v>529</v>
      </c>
      <c r="K86" s="10">
        <v>18771005.929710887</v>
      </c>
    </row>
    <row r="87" spans="1:11" x14ac:dyDescent="0.35">
      <c r="A87" s="9" t="s">
        <v>164</v>
      </c>
      <c r="B87" s="10">
        <v>1763</v>
      </c>
      <c r="C87" s="10">
        <v>13</v>
      </c>
      <c r="D87" s="10">
        <v>10</v>
      </c>
      <c r="E87" s="10">
        <v>1365</v>
      </c>
      <c r="F87" s="10">
        <v>86394677.030640095</v>
      </c>
      <c r="G87" s="10">
        <v>964</v>
      </c>
      <c r="H87" s="10">
        <v>2</v>
      </c>
      <c r="I87" s="10">
        <v>8</v>
      </c>
      <c r="J87" s="10">
        <v>596</v>
      </c>
      <c r="K87" s="10">
        <v>92582344.293364391</v>
      </c>
    </row>
    <row r="88" spans="1:11" x14ac:dyDescent="0.35">
      <c r="A88" s="9" t="s">
        <v>91</v>
      </c>
      <c r="B88" s="10">
        <v>614</v>
      </c>
      <c r="C88" s="10">
        <v>1</v>
      </c>
      <c r="D88" s="10">
        <v>3</v>
      </c>
      <c r="E88" s="10">
        <v>1064</v>
      </c>
      <c r="F88" s="10">
        <v>18959128.048734762</v>
      </c>
      <c r="G88" s="10">
        <v>1145</v>
      </c>
      <c r="H88" s="10">
        <v>3</v>
      </c>
      <c r="I88" s="10">
        <v>3</v>
      </c>
      <c r="J88" s="10">
        <v>1014</v>
      </c>
      <c r="K88" s="10">
        <v>26310070.435699839</v>
      </c>
    </row>
    <row r="89" spans="1:11" x14ac:dyDescent="0.35">
      <c r="A89" s="9" t="s">
        <v>97</v>
      </c>
      <c r="B89" s="10">
        <v>671</v>
      </c>
      <c r="C89" s="10">
        <v>8</v>
      </c>
      <c r="D89" s="10">
        <v>8</v>
      </c>
      <c r="E89" s="10">
        <v>528</v>
      </c>
      <c r="F89" s="10">
        <v>38221406.840568416</v>
      </c>
      <c r="G89" s="10">
        <v>885</v>
      </c>
      <c r="H89" s="10">
        <v>17</v>
      </c>
      <c r="I89" s="10">
        <v>8</v>
      </c>
      <c r="J89" s="10">
        <v>712</v>
      </c>
      <c r="K89" s="10">
        <v>42212651.467900507</v>
      </c>
    </row>
    <row r="90" spans="1:11" x14ac:dyDescent="0.35">
      <c r="A90" s="9" t="s">
        <v>78</v>
      </c>
      <c r="B90" s="10">
        <v>359</v>
      </c>
      <c r="C90" s="10">
        <v>2</v>
      </c>
      <c r="D90" s="10">
        <v>1</v>
      </c>
      <c r="E90" s="10">
        <v>319</v>
      </c>
      <c r="F90" s="10">
        <v>8718599.3043148499</v>
      </c>
      <c r="G90" s="10">
        <v>188</v>
      </c>
      <c r="H90" s="10">
        <v>2</v>
      </c>
      <c r="I90" s="10">
        <v>1</v>
      </c>
      <c r="J90" s="10">
        <v>206</v>
      </c>
      <c r="K90" s="10">
        <v>5319485.4885244695</v>
      </c>
    </row>
    <row r="91" spans="1:11" x14ac:dyDescent="0.35">
      <c r="A91" s="9" t="s">
        <v>205</v>
      </c>
      <c r="B91" s="10">
        <v>827</v>
      </c>
      <c r="C91" s="10">
        <v>2</v>
      </c>
      <c r="D91" s="10">
        <v>2</v>
      </c>
      <c r="E91" s="10">
        <v>426</v>
      </c>
      <c r="F91" s="10">
        <v>41537229.103333071</v>
      </c>
      <c r="G91" s="10">
        <v>793</v>
      </c>
      <c r="H91" s="10">
        <v>5</v>
      </c>
      <c r="I91" s="10">
        <v>2</v>
      </c>
      <c r="J91" s="10">
        <v>551</v>
      </c>
      <c r="K91" s="10">
        <v>43312071.504986703</v>
      </c>
    </row>
    <row r="92" spans="1:11" x14ac:dyDescent="0.35">
      <c r="A92" s="9" t="s">
        <v>206</v>
      </c>
      <c r="B92" s="10">
        <v>269</v>
      </c>
      <c r="C92" s="10">
        <v>2</v>
      </c>
      <c r="D92" s="10">
        <v>1</v>
      </c>
      <c r="E92" s="10">
        <v>274</v>
      </c>
      <c r="F92" s="10">
        <v>13106958.911369003</v>
      </c>
      <c r="G92" s="10">
        <v>229</v>
      </c>
      <c r="H92" s="10">
        <v>3</v>
      </c>
      <c r="I92" s="10">
        <v>0</v>
      </c>
      <c r="J92" s="10">
        <v>189</v>
      </c>
      <c r="K92" s="10">
        <v>12106310.903704785</v>
      </c>
    </row>
    <row r="93" spans="1:11" x14ac:dyDescent="0.35">
      <c r="A93" s="9" t="s">
        <v>207</v>
      </c>
      <c r="B93" s="10">
        <v>630</v>
      </c>
      <c r="C93" s="10">
        <v>5</v>
      </c>
      <c r="D93" s="10">
        <v>1</v>
      </c>
      <c r="E93" s="10">
        <v>529</v>
      </c>
      <c r="F93" s="10">
        <v>27041104.359391183</v>
      </c>
      <c r="G93" s="10">
        <v>644</v>
      </c>
      <c r="H93" s="10">
        <v>7</v>
      </c>
      <c r="I93" s="10">
        <v>1</v>
      </c>
      <c r="J93" s="10">
        <v>527</v>
      </c>
      <c r="K93" s="10">
        <v>29393617.511903096</v>
      </c>
    </row>
    <row r="94" spans="1:11" x14ac:dyDescent="0.35">
      <c r="A94" s="9" t="s">
        <v>208</v>
      </c>
      <c r="B94" s="10">
        <v>307</v>
      </c>
      <c r="C94" s="10">
        <v>1</v>
      </c>
      <c r="D94" s="10">
        <v>0</v>
      </c>
      <c r="E94" s="10">
        <v>326</v>
      </c>
      <c r="F94" s="10">
        <v>7593355.3343017073</v>
      </c>
      <c r="G94" s="10">
        <v>262</v>
      </c>
      <c r="H94" s="10">
        <v>1</v>
      </c>
      <c r="I94" s="10">
        <v>0</v>
      </c>
      <c r="J94" s="10">
        <v>272</v>
      </c>
      <c r="K94" s="10">
        <v>9939029.0389170032</v>
      </c>
    </row>
    <row r="95" spans="1:11" x14ac:dyDescent="0.35">
      <c r="A95" s="9" t="s">
        <v>209</v>
      </c>
      <c r="B95" s="10">
        <v>218</v>
      </c>
      <c r="C95" s="10">
        <v>4</v>
      </c>
      <c r="D95" s="10">
        <v>1</v>
      </c>
      <c r="E95" s="10">
        <v>211</v>
      </c>
      <c r="F95" s="10">
        <v>9901431.0690850001</v>
      </c>
      <c r="G95" s="10">
        <v>256</v>
      </c>
      <c r="H95" s="10">
        <v>4</v>
      </c>
      <c r="I95" s="10">
        <v>1</v>
      </c>
      <c r="J95" s="10">
        <v>237</v>
      </c>
      <c r="K95" s="10">
        <v>10298352.400827732</v>
      </c>
    </row>
    <row r="96" spans="1:11" x14ac:dyDescent="0.35">
      <c r="A96" s="9" t="s">
        <v>210</v>
      </c>
      <c r="B96" s="10">
        <v>381</v>
      </c>
      <c r="C96" s="10">
        <v>1</v>
      </c>
      <c r="D96" s="10">
        <v>1</v>
      </c>
      <c r="E96" s="10">
        <v>383</v>
      </c>
      <c r="F96" s="10">
        <v>12964460.060438834</v>
      </c>
      <c r="G96" s="10">
        <v>308</v>
      </c>
      <c r="H96" s="10">
        <v>4</v>
      </c>
      <c r="I96" s="10">
        <v>1</v>
      </c>
      <c r="J96" s="10">
        <v>353</v>
      </c>
      <c r="K96" s="10">
        <v>11232934.74032223</v>
      </c>
    </row>
    <row r="97" spans="1:11" x14ac:dyDescent="0.35">
      <c r="A97" s="9" t="s">
        <v>211</v>
      </c>
      <c r="B97" s="10">
        <v>764</v>
      </c>
      <c r="C97" s="10">
        <v>15</v>
      </c>
      <c r="D97" s="10">
        <v>4</v>
      </c>
      <c r="E97" s="10">
        <v>644</v>
      </c>
      <c r="F97" s="10">
        <v>24337114.350541793</v>
      </c>
      <c r="G97" s="10">
        <v>656</v>
      </c>
      <c r="H97" s="10">
        <v>19</v>
      </c>
      <c r="I97" s="10">
        <v>3</v>
      </c>
      <c r="J97" s="10">
        <v>557</v>
      </c>
      <c r="K97" s="10">
        <v>22835998.947879665</v>
      </c>
    </row>
    <row r="98" spans="1:11" x14ac:dyDescent="0.35">
      <c r="A98" s="9" t="s">
        <v>212</v>
      </c>
      <c r="B98" s="10">
        <v>254</v>
      </c>
      <c r="C98" s="10">
        <v>2</v>
      </c>
      <c r="D98" s="10">
        <v>1</v>
      </c>
      <c r="E98" s="10">
        <v>216</v>
      </c>
      <c r="F98" s="10">
        <v>9432666.4758326449</v>
      </c>
      <c r="G98" s="10">
        <v>273</v>
      </c>
      <c r="H98" s="10">
        <v>4</v>
      </c>
      <c r="I98" s="10">
        <v>2</v>
      </c>
      <c r="J98" s="10">
        <v>223</v>
      </c>
      <c r="K98" s="10">
        <v>9871379.8294805661</v>
      </c>
    </row>
    <row r="99" spans="1:11" x14ac:dyDescent="0.35">
      <c r="A99" s="9" t="s">
        <v>213</v>
      </c>
      <c r="B99" s="10">
        <v>418</v>
      </c>
      <c r="C99" s="10">
        <v>7</v>
      </c>
      <c r="D99" s="10">
        <v>1</v>
      </c>
      <c r="E99" s="10">
        <v>366</v>
      </c>
      <c r="F99" s="10">
        <v>12905285.844984328</v>
      </c>
      <c r="G99" s="10">
        <v>446</v>
      </c>
      <c r="H99" s="10">
        <v>3</v>
      </c>
      <c r="I99" s="10">
        <v>1</v>
      </c>
      <c r="J99" s="10">
        <v>354</v>
      </c>
      <c r="K99" s="10">
        <v>12611660.366366506</v>
      </c>
    </row>
    <row r="100" spans="1:11" x14ac:dyDescent="0.35">
      <c r="A100" s="9" t="s">
        <v>214</v>
      </c>
      <c r="B100" s="10">
        <v>168</v>
      </c>
      <c r="C100" s="10">
        <v>9</v>
      </c>
      <c r="D100" s="10">
        <v>1</v>
      </c>
      <c r="E100" s="10">
        <v>168</v>
      </c>
      <c r="F100" s="10">
        <v>3951888.2551385271</v>
      </c>
      <c r="G100" s="10">
        <v>178</v>
      </c>
      <c r="H100" s="10">
        <v>3</v>
      </c>
      <c r="I100" s="10">
        <v>1</v>
      </c>
      <c r="J100" s="10">
        <v>144</v>
      </c>
      <c r="K100" s="10">
        <v>5674159.4934682138</v>
      </c>
    </row>
    <row r="101" spans="1:11" x14ac:dyDescent="0.35">
      <c r="A101" s="9" t="s">
        <v>215</v>
      </c>
      <c r="B101" s="10">
        <v>441</v>
      </c>
      <c r="C101" s="10">
        <v>4</v>
      </c>
      <c r="D101" s="10">
        <v>1</v>
      </c>
      <c r="E101" s="10">
        <v>418</v>
      </c>
      <c r="F101" s="10">
        <v>10874953.445986716</v>
      </c>
      <c r="G101" s="10">
        <v>266</v>
      </c>
      <c r="H101" s="10">
        <v>4</v>
      </c>
      <c r="I101" s="10">
        <v>1</v>
      </c>
      <c r="J101" s="10">
        <v>387</v>
      </c>
      <c r="K101" s="10">
        <v>9652250.8079396263</v>
      </c>
    </row>
    <row r="102" spans="1:11" x14ac:dyDescent="0.35">
      <c r="A102" s="9" t="s">
        <v>216</v>
      </c>
      <c r="B102" s="10">
        <v>430</v>
      </c>
      <c r="C102" s="10">
        <v>7</v>
      </c>
      <c r="D102" s="10">
        <v>2</v>
      </c>
      <c r="E102" s="10">
        <v>374</v>
      </c>
      <c r="F102" s="10">
        <v>14295924.816789871</v>
      </c>
      <c r="G102" s="10">
        <v>437</v>
      </c>
      <c r="H102" s="10">
        <v>11</v>
      </c>
      <c r="I102" s="10">
        <v>3</v>
      </c>
      <c r="J102" s="10">
        <v>410</v>
      </c>
      <c r="K102" s="10">
        <v>14306310.159984292</v>
      </c>
    </row>
    <row r="103" spans="1:11" x14ac:dyDescent="0.35">
      <c r="A103" s="9" t="s">
        <v>217</v>
      </c>
      <c r="B103" s="10">
        <v>657</v>
      </c>
      <c r="C103" s="10">
        <v>8</v>
      </c>
      <c r="D103" s="10">
        <v>1</v>
      </c>
      <c r="E103" s="10">
        <v>467</v>
      </c>
      <c r="F103" s="10">
        <v>18106280.187765229</v>
      </c>
      <c r="G103" s="10">
        <v>495</v>
      </c>
      <c r="H103" s="10">
        <v>4</v>
      </c>
      <c r="I103" s="10">
        <v>1</v>
      </c>
      <c r="J103" s="10">
        <v>473</v>
      </c>
      <c r="K103" s="10">
        <v>15353462.208717376</v>
      </c>
    </row>
    <row r="104" spans="1:11" x14ac:dyDescent="0.35">
      <c r="A104" s="9" t="s">
        <v>218</v>
      </c>
      <c r="B104" s="10">
        <v>587</v>
      </c>
      <c r="C104" s="10">
        <v>5</v>
      </c>
      <c r="D104" s="10">
        <v>1</v>
      </c>
      <c r="E104" s="10">
        <v>542</v>
      </c>
      <c r="F104" s="10">
        <v>14790535.89191477</v>
      </c>
      <c r="G104" s="10">
        <v>649</v>
      </c>
      <c r="H104" s="10">
        <v>4</v>
      </c>
      <c r="I104" s="10">
        <v>1</v>
      </c>
      <c r="J104" s="10">
        <v>545</v>
      </c>
      <c r="K104" s="10">
        <v>16781318.214537349</v>
      </c>
    </row>
    <row r="105" spans="1:11" x14ac:dyDescent="0.35">
      <c r="A105" s="9" t="s">
        <v>219</v>
      </c>
      <c r="B105" s="10">
        <v>788</v>
      </c>
      <c r="C105" s="10">
        <v>7</v>
      </c>
      <c r="D105" s="10">
        <v>1</v>
      </c>
      <c r="E105" s="10">
        <v>807</v>
      </c>
      <c r="F105" s="10">
        <v>26206569.554087896</v>
      </c>
      <c r="G105" s="10">
        <v>727</v>
      </c>
      <c r="H105" s="10">
        <v>9</v>
      </c>
      <c r="I105" s="10">
        <v>0</v>
      </c>
      <c r="J105" s="10">
        <v>719</v>
      </c>
      <c r="K105" s="10">
        <v>24336970.113880351</v>
      </c>
    </row>
    <row r="106" spans="1:11" x14ac:dyDescent="0.35">
      <c r="A106" s="9" t="s">
        <v>220</v>
      </c>
      <c r="B106" s="10">
        <v>783</v>
      </c>
      <c r="C106" s="10">
        <v>18</v>
      </c>
      <c r="D106" s="10">
        <v>3</v>
      </c>
      <c r="E106" s="10">
        <v>804</v>
      </c>
      <c r="F106" s="10">
        <v>24578151.330170456</v>
      </c>
      <c r="G106" s="10">
        <v>1093</v>
      </c>
      <c r="H106" s="10">
        <v>16</v>
      </c>
      <c r="I106" s="10">
        <v>2</v>
      </c>
      <c r="J106" s="10">
        <v>880</v>
      </c>
      <c r="K106" s="10">
        <v>27793503.809166573</v>
      </c>
    </row>
    <row r="107" spans="1:11" x14ac:dyDescent="0.35">
      <c r="A107" s="9" t="s">
        <v>221</v>
      </c>
      <c r="B107" s="10">
        <v>1029</v>
      </c>
      <c r="C107" s="10">
        <v>16</v>
      </c>
      <c r="D107" s="10">
        <v>2</v>
      </c>
      <c r="E107" s="10">
        <v>708</v>
      </c>
      <c r="F107" s="10">
        <v>33993162.272039555</v>
      </c>
      <c r="G107" s="10">
        <v>813</v>
      </c>
      <c r="H107" s="10">
        <v>14</v>
      </c>
      <c r="I107" s="10">
        <v>2</v>
      </c>
      <c r="J107" s="10">
        <v>713</v>
      </c>
      <c r="K107" s="10">
        <v>33749037.866850123</v>
      </c>
    </row>
    <row r="108" spans="1:11" x14ac:dyDescent="0.35">
      <c r="A108" s="9" t="s">
        <v>222</v>
      </c>
      <c r="B108" s="10">
        <v>539</v>
      </c>
      <c r="C108" s="10">
        <v>9</v>
      </c>
      <c r="D108" s="10">
        <v>1</v>
      </c>
      <c r="E108" s="10">
        <v>527</v>
      </c>
      <c r="F108" s="10">
        <v>29028687.134063039</v>
      </c>
      <c r="G108" s="10">
        <v>626</v>
      </c>
      <c r="H108" s="10">
        <v>9</v>
      </c>
      <c r="I108" s="10">
        <v>0</v>
      </c>
      <c r="J108" s="10">
        <v>523</v>
      </c>
      <c r="K108" s="10">
        <v>27732259.991260201</v>
      </c>
    </row>
    <row r="109" spans="1:11" x14ac:dyDescent="0.35">
      <c r="A109" s="9" t="s">
        <v>223</v>
      </c>
      <c r="B109" s="10">
        <v>374</v>
      </c>
      <c r="C109" s="10">
        <v>6</v>
      </c>
      <c r="D109" s="10">
        <v>1</v>
      </c>
      <c r="E109" s="10">
        <v>410</v>
      </c>
      <c r="F109" s="10">
        <v>11653293.687521627</v>
      </c>
      <c r="G109" s="10">
        <v>385</v>
      </c>
      <c r="H109" s="10">
        <v>6</v>
      </c>
      <c r="I109" s="10">
        <v>2</v>
      </c>
      <c r="J109" s="10">
        <v>375</v>
      </c>
      <c r="K109" s="10">
        <v>10789852.886496115</v>
      </c>
    </row>
    <row r="110" spans="1:11" x14ac:dyDescent="0.35">
      <c r="A110" s="9" t="s">
        <v>224</v>
      </c>
      <c r="B110" s="10">
        <v>603</v>
      </c>
      <c r="C110" s="10">
        <v>9</v>
      </c>
      <c r="D110" s="10">
        <v>1</v>
      </c>
      <c r="E110" s="10">
        <v>503</v>
      </c>
      <c r="F110" s="10">
        <v>15026479.627743509</v>
      </c>
      <c r="G110" s="10">
        <v>561</v>
      </c>
      <c r="H110" s="10">
        <v>24</v>
      </c>
      <c r="I110" s="10">
        <v>1</v>
      </c>
      <c r="J110" s="10">
        <v>543</v>
      </c>
      <c r="K110" s="10">
        <v>15787066.603011664</v>
      </c>
    </row>
    <row r="111" spans="1:11" x14ac:dyDescent="0.35">
      <c r="A111" s="9" t="s">
        <v>225</v>
      </c>
      <c r="B111" s="10">
        <v>895</v>
      </c>
      <c r="C111" s="10">
        <v>12</v>
      </c>
      <c r="D111" s="10">
        <v>6</v>
      </c>
      <c r="E111" s="10">
        <v>946</v>
      </c>
      <c r="F111" s="10">
        <v>26209859.892924953</v>
      </c>
      <c r="G111" s="10">
        <v>776</v>
      </c>
      <c r="H111" s="10">
        <v>10</v>
      </c>
      <c r="I111" s="10">
        <v>4</v>
      </c>
      <c r="J111" s="10">
        <v>729</v>
      </c>
      <c r="K111" s="10">
        <v>20423327.468004283</v>
      </c>
    </row>
    <row r="112" spans="1:11" x14ac:dyDescent="0.35">
      <c r="A112" s="9" t="s">
        <v>226</v>
      </c>
      <c r="B112" s="10">
        <v>524</v>
      </c>
      <c r="C112" s="10">
        <v>9</v>
      </c>
      <c r="D112" s="10">
        <v>2</v>
      </c>
      <c r="E112" s="10">
        <v>462</v>
      </c>
      <c r="F112" s="10">
        <v>14463918.462856708</v>
      </c>
      <c r="G112" s="10">
        <v>402</v>
      </c>
      <c r="H112" s="10">
        <v>3</v>
      </c>
      <c r="I112" s="10">
        <v>2</v>
      </c>
      <c r="J112" s="10">
        <v>438</v>
      </c>
      <c r="K112" s="10">
        <v>12387233.865102232</v>
      </c>
    </row>
    <row r="113" spans="1:11" x14ac:dyDescent="0.35">
      <c r="A113" s="9" t="s">
        <v>227</v>
      </c>
      <c r="B113" s="10">
        <v>291</v>
      </c>
      <c r="C113" s="10">
        <v>1</v>
      </c>
      <c r="D113" s="10">
        <v>1</v>
      </c>
      <c r="E113" s="10">
        <v>326</v>
      </c>
      <c r="F113" s="10">
        <v>7239351.942218232</v>
      </c>
      <c r="G113" s="10">
        <v>284</v>
      </c>
      <c r="H113" s="10">
        <v>1</v>
      </c>
      <c r="I113" s="10">
        <v>1</v>
      </c>
      <c r="J113" s="10">
        <v>275</v>
      </c>
      <c r="K113" s="10">
        <v>6619736.6639613956</v>
      </c>
    </row>
    <row r="114" spans="1:11" x14ac:dyDescent="0.35">
      <c r="A114" s="9" t="s">
        <v>228</v>
      </c>
      <c r="B114" s="10">
        <v>884</v>
      </c>
      <c r="C114" s="10">
        <v>4</v>
      </c>
      <c r="D114" s="10">
        <v>5</v>
      </c>
      <c r="E114" s="10">
        <v>761</v>
      </c>
      <c r="F114" s="10">
        <v>25420553.62099335</v>
      </c>
      <c r="G114" s="10">
        <v>864</v>
      </c>
      <c r="H114" s="10">
        <v>12</v>
      </c>
      <c r="I114" s="10">
        <v>4</v>
      </c>
      <c r="J114" s="10">
        <v>817</v>
      </c>
      <c r="K114" s="10">
        <v>27176798.418159332</v>
      </c>
    </row>
    <row r="115" spans="1:11" x14ac:dyDescent="0.35">
      <c r="A115" s="9" t="s">
        <v>229</v>
      </c>
      <c r="B115" s="10">
        <v>221</v>
      </c>
      <c r="C115" s="10">
        <v>4</v>
      </c>
      <c r="D115" s="10">
        <v>1</v>
      </c>
      <c r="E115" s="10">
        <v>169</v>
      </c>
      <c r="F115" s="10">
        <v>7311766.6134177232</v>
      </c>
      <c r="G115" s="10">
        <v>242</v>
      </c>
      <c r="H115" s="10">
        <v>2</v>
      </c>
      <c r="I115" s="10">
        <v>1</v>
      </c>
      <c r="J115" s="10">
        <v>237</v>
      </c>
      <c r="K115" s="10">
        <v>8081118.0346854851</v>
      </c>
    </row>
    <row r="116" spans="1:11" x14ac:dyDescent="0.35">
      <c r="A116" s="9" t="s">
        <v>230</v>
      </c>
      <c r="B116" s="10">
        <v>698</v>
      </c>
      <c r="C116" s="10">
        <v>1</v>
      </c>
      <c r="D116" s="10">
        <v>2</v>
      </c>
      <c r="E116" s="10">
        <v>651</v>
      </c>
      <c r="F116" s="10">
        <v>16342839.336198481</v>
      </c>
      <c r="G116" s="10">
        <v>591</v>
      </c>
      <c r="H116" s="10">
        <v>5</v>
      </c>
      <c r="I116" s="10">
        <v>2</v>
      </c>
      <c r="J116" s="10">
        <v>592</v>
      </c>
      <c r="K116" s="10">
        <v>12691790.07520335</v>
      </c>
    </row>
    <row r="117" spans="1:11" x14ac:dyDescent="0.35">
      <c r="A117" s="9" t="s">
        <v>231</v>
      </c>
      <c r="B117" s="10">
        <v>875</v>
      </c>
      <c r="C117" s="10">
        <v>15</v>
      </c>
      <c r="D117" s="10">
        <v>5</v>
      </c>
      <c r="E117" s="10">
        <v>672</v>
      </c>
      <c r="F117" s="10">
        <v>25761597.401184756</v>
      </c>
      <c r="G117" s="10">
        <v>890</v>
      </c>
      <c r="H117" s="10">
        <v>12</v>
      </c>
      <c r="I117" s="10">
        <v>6</v>
      </c>
      <c r="J117" s="10">
        <v>823</v>
      </c>
      <c r="K117" s="10">
        <v>24162988.678847305</v>
      </c>
    </row>
    <row r="118" spans="1:11" x14ac:dyDescent="0.35">
      <c r="A118" s="9" t="s">
        <v>232</v>
      </c>
      <c r="B118" s="10">
        <v>451</v>
      </c>
      <c r="C118" s="10">
        <v>19</v>
      </c>
      <c r="D118" s="10">
        <v>2</v>
      </c>
      <c r="E118" s="10">
        <v>563</v>
      </c>
      <c r="F118" s="10">
        <v>12799416.902510701</v>
      </c>
      <c r="G118" s="10">
        <v>250</v>
      </c>
      <c r="H118" s="10">
        <v>10</v>
      </c>
      <c r="I118" s="10">
        <v>2</v>
      </c>
      <c r="J118" s="10">
        <v>299</v>
      </c>
      <c r="K118" s="10">
        <v>8723595.5407022554</v>
      </c>
    </row>
    <row r="119" spans="1:11" x14ac:dyDescent="0.35">
      <c r="A119" s="9" t="s">
        <v>233</v>
      </c>
      <c r="B119" s="10">
        <v>264</v>
      </c>
      <c r="C119" s="10">
        <v>1</v>
      </c>
      <c r="D119" s="10">
        <v>1</v>
      </c>
      <c r="E119" s="10">
        <v>381</v>
      </c>
      <c r="F119" s="10">
        <v>14853238.826201014</v>
      </c>
      <c r="G119" s="10">
        <v>396</v>
      </c>
      <c r="H119" s="10">
        <v>4</v>
      </c>
      <c r="I119" s="10">
        <v>1</v>
      </c>
      <c r="J119" s="10">
        <v>449</v>
      </c>
      <c r="K119" s="10">
        <v>14282749.808483183</v>
      </c>
    </row>
    <row r="120" spans="1:11" x14ac:dyDescent="0.35">
      <c r="A120" s="9" t="s">
        <v>234</v>
      </c>
      <c r="B120" s="10">
        <v>1086</v>
      </c>
      <c r="C120" s="10">
        <v>52</v>
      </c>
      <c r="D120" s="10">
        <v>1</v>
      </c>
      <c r="E120" s="10">
        <v>881</v>
      </c>
      <c r="F120" s="10">
        <v>33446513.62516072</v>
      </c>
      <c r="G120" s="10">
        <v>1125</v>
      </c>
      <c r="H120" s="10">
        <v>19</v>
      </c>
      <c r="I120" s="10">
        <v>2</v>
      </c>
      <c r="J120" s="10">
        <v>964</v>
      </c>
      <c r="K120" s="10">
        <v>31985728.19569087</v>
      </c>
    </row>
    <row r="121" spans="1:11" x14ac:dyDescent="0.35">
      <c r="A121" s="9" t="s">
        <v>235</v>
      </c>
      <c r="B121" s="10">
        <v>1176</v>
      </c>
      <c r="C121" s="10">
        <v>42</v>
      </c>
      <c r="D121" s="10">
        <v>2</v>
      </c>
      <c r="E121" s="10">
        <v>822</v>
      </c>
      <c r="F121" s="10">
        <v>34322996.791152775</v>
      </c>
      <c r="G121" s="10">
        <v>1171</v>
      </c>
      <c r="H121" s="10">
        <v>45</v>
      </c>
      <c r="I121" s="10">
        <v>2</v>
      </c>
      <c r="J121" s="10">
        <v>899</v>
      </c>
      <c r="K121" s="10">
        <v>32766647.836313222</v>
      </c>
    </row>
    <row r="122" spans="1:11" x14ac:dyDescent="0.35">
      <c r="A122" s="9" t="s">
        <v>236</v>
      </c>
      <c r="B122" s="10">
        <v>752</v>
      </c>
      <c r="C122" s="10">
        <v>193</v>
      </c>
      <c r="D122" s="10">
        <v>1</v>
      </c>
      <c r="E122" s="10">
        <v>648</v>
      </c>
      <c r="F122" s="10">
        <v>28953483.630783167</v>
      </c>
      <c r="G122" s="10">
        <v>1080</v>
      </c>
      <c r="H122" s="10">
        <v>216</v>
      </c>
      <c r="I122" s="10">
        <v>1</v>
      </c>
      <c r="J122" s="10">
        <v>766</v>
      </c>
      <c r="K122" s="10">
        <v>27548639.260589287</v>
      </c>
    </row>
    <row r="123" spans="1:11" x14ac:dyDescent="0.35">
      <c r="A123" s="9" t="s">
        <v>237</v>
      </c>
      <c r="B123" s="10">
        <v>888</v>
      </c>
      <c r="C123" s="10">
        <v>190</v>
      </c>
      <c r="D123" s="10">
        <v>5</v>
      </c>
      <c r="E123" s="10">
        <v>1359</v>
      </c>
      <c r="F123" s="10">
        <v>27406877.435397793</v>
      </c>
      <c r="G123" s="10">
        <v>794</v>
      </c>
      <c r="H123" s="10">
        <v>207</v>
      </c>
      <c r="I123" s="10">
        <v>5</v>
      </c>
      <c r="J123" s="10">
        <v>543</v>
      </c>
      <c r="K123" s="10">
        <v>22931174.625268359</v>
      </c>
    </row>
    <row r="124" spans="1:11" x14ac:dyDescent="0.35">
      <c r="A124" s="9" t="s">
        <v>238</v>
      </c>
      <c r="B124" s="10">
        <v>571</v>
      </c>
      <c r="C124" s="10">
        <v>19</v>
      </c>
      <c r="D124" s="10">
        <v>1</v>
      </c>
      <c r="E124" s="10">
        <v>471</v>
      </c>
      <c r="F124" s="10">
        <v>24216226.836679179</v>
      </c>
      <c r="G124" s="10">
        <v>635</v>
      </c>
      <c r="H124" s="10">
        <v>30</v>
      </c>
      <c r="I124" s="10">
        <v>0</v>
      </c>
      <c r="J124" s="10">
        <v>476</v>
      </c>
      <c r="K124" s="10">
        <v>20841300.958103839</v>
      </c>
    </row>
    <row r="125" spans="1:11" x14ac:dyDescent="0.35">
      <c r="A125" s="9" t="s">
        <v>239</v>
      </c>
      <c r="B125" s="10">
        <v>382</v>
      </c>
      <c r="C125" s="10">
        <v>6</v>
      </c>
      <c r="D125" s="10">
        <v>1</v>
      </c>
      <c r="E125" s="10">
        <v>380</v>
      </c>
      <c r="F125" s="10">
        <v>15413370.498884579</v>
      </c>
      <c r="G125" s="10">
        <v>453</v>
      </c>
      <c r="H125" s="10">
        <v>3</v>
      </c>
      <c r="I125" s="10">
        <v>1</v>
      </c>
      <c r="J125" s="10">
        <v>356</v>
      </c>
      <c r="K125" s="10">
        <v>13904117.422126189</v>
      </c>
    </row>
    <row r="126" spans="1:11" x14ac:dyDescent="0.35">
      <c r="A126" s="9" t="s">
        <v>240</v>
      </c>
      <c r="B126" s="10">
        <v>431</v>
      </c>
      <c r="C126" s="10">
        <v>12</v>
      </c>
      <c r="D126" s="10">
        <v>1</v>
      </c>
      <c r="E126" s="10">
        <v>300</v>
      </c>
      <c r="F126" s="10">
        <v>16324413.135204529</v>
      </c>
      <c r="G126" s="10">
        <v>393</v>
      </c>
      <c r="H126" s="10">
        <v>10</v>
      </c>
      <c r="I126" s="10">
        <v>1</v>
      </c>
      <c r="J126" s="10">
        <v>362</v>
      </c>
      <c r="K126" s="10">
        <v>12798087.353999157</v>
      </c>
    </row>
    <row r="127" spans="1:11" x14ac:dyDescent="0.35">
      <c r="A127" s="9" t="s">
        <v>241</v>
      </c>
      <c r="B127" s="10">
        <v>658</v>
      </c>
      <c r="C127" s="10">
        <v>4</v>
      </c>
      <c r="D127" s="10">
        <v>1</v>
      </c>
      <c r="E127" s="10">
        <v>844</v>
      </c>
      <c r="F127" s="10">
        <v>18529452.307313818</v>
      </c>
      <c r="G127" s="10">
        <v>718</v>
      </c>
      <c r="H127" s="10">
        <v>5</v>
      </c>
      <c r="I127" s="10">
        <v>1</v>
      </c>
      <c r="J127" s="10">
        <v>796</v>
      </c>
      <c r="K127" s="10">
        <v>19323279.688832704</v>
      </c>
    </row>
    <row r="128" spans="1:11" x14ac:dyDescent="0.35">
      <c r="A128" s="9" t="s">
        <v>242</v>
      </c>
      <c r="B128" s="10">
        <v>1702</v>
      </c>
      <c r="C128" s="10">
        <v>18</v>
      </c>
      <c r="D128" s="10">
        <v>1</v>
      </c>
      <c r="E128" s="10">
        <v>1315</v>
      </c>
      <c r="F128" s="10">
        <v>44260931.475198984</v>
      </c>
      <c r="G128" s="10">
        <v>1519</v>
      </c>
      <c r="H128" s="10">
        <v>23</v>
      </c>
      <c r="I128" s="10">
        <v>0</v>
      </c>
      <c r="J128" s="10">
        <v>1537</v>
      </c>
      <c r="K128" s="10">
        <v>43963349.909663245</v>
      </c>
    </row>
    <row r="129" spans="1:11" x14ac:dyDescent="0.35">
      <c r="A129" s="9" t="s">
        <v>243</v>
      </c>
      <c r="B129" s="10">
        <v>152</v>
      </c>
      <c r="C129" s="10">
        <v>0</v>
      </c>
      <c r="D129" s="10">
        <v>0</v>
      </c>
      <c r="E129" s="10">
        <v>112</v>
      </c>
      <c r="F129" s="10">
        <v>4087962.1012932151</v>
      </c>
      <c r="G129" s="10">
        <v>102</v>
      </c>
      <c r="H129" s="10">
        <v>0</v>
      </c>
      <c r="I129" s="10">
        <v>0</v>
      </c>
      <c r="J129" s="10">
        <v>17</v>
      </c>
      <c r="K129" s="10">
        <v>4098172.4327227222</v>
      </c>
    </row>
    <row r="130" spans="1:11" x14ac:dyDescent="0.35">
      <c r="A130" s="9" t="s">
        <v>244</v>
      </c>
      <c r="B130" s="10">
        <v>388</v>
      </c>
      <c r="C130" s="10">
        <v>2</v>
      </c>
      <c r="D130" s="10">
        <v>1</v>
      </c>
      <c r="E130" s="10">
        <v>283</v>
      </c>
      <c r="F130" s="10">
        <v>19113272.795103487</v>
      </c>
      <c r="G130" s="10">
        <v>382</v>
      </c>
      <c r="H130" s="10">
        <v>3</v>
      </c>
      <c r="I130" s="10">
        <v>1</v>
      </c>
      <c r="J130" s="10">
        <v>280</v>
      </c>
      <c r="K130" s="10">
        <v>18866306.16543008</v>
      </c>
    </row>
    <row r="131" spans="1:11" x14ac:dyDescent="0.35">
      <c r="A131" s="9" t="s">
        <v>245</v>
      </c>
      <c r="B131" s="10">
        <v>363</v>
      </c>
      <c r="C131" s="10">
        <v>4</v>
      </c>
      <c r="D131" s="10">
        <v>1</v>
      </c>
      <c r="E131" s="10">
        <v>394</v>
      </c>
      <c r="F131" s="10">
        <v>11462593.882329935</v>
      </c>
      <c r="G131" s="10">
        <v>336</v>
      </c>
      <c r="H131" s="10">
        <v>8</v>
      </c>
      <c r="I131" s="10">
        <v>1</v>
      </c>
      <c r="J131" s="10">
        <v>306</v>
      </c>
      <c r="K131" s="10">
        <v>12892751.641544158</v>
      </c>
    </row>
    <row r="132" spans="1:11" x14ac:dyDescent="0.35">
      <c r="A132" s="9" t="s">
        <v>246</v>
      </c>
      <c r="B132" s="10">
        <v>709</v>
      </c>
      <c r="C132" s="10">
        <v>14</v>
      </c>
      <c r="D132" s="10">
        <v>3</v>
      </c>
      <c r="E132" s="10">
        <v>587</v>
      </c>
      <c r="F132" s="10">
        <v>33298932.174413968</v>
      </c>
      <c r="G132" s="10">
        <v>712</v>
      </c>
      <c r="H132" s="10">
        <v>18</v>
      </c>
      <c r="I132" s="10">
        <v>3</v>
      </c>
      <c r="J132" s="10">
        <v>612</v>
      </c>
      <c r="K132" s="10">
        <v>32149605.147920053</v>
      </c>
    </row>
    <row r="133" spans="1:11" x14ac:dyDescent="0.35">
      <c r="A133" s="9" t="s">
        <v>247</v>
      </c>
      <c r="B133" s="10">
        <v>322</v>
      </c>
      <c r="C133" s="10">
        <v>3</v>
      </c>
      <c r="D133" s="10">
        <v>1</v>
      </c>
      <c r="E133" s="10">
        <v>327</v>
      </c>
      <c r="F133" s="10">
        <v>13306266.152538881</v>
      </c>
      <c r="G133" s="10">
        <v>321</v>
      </c>
      <c r="H133" s="10">
        <v>3</v>
      </c>
      <c r="I133" s="10">
        <v>2</v>
      </c>
      <c r="J133" s="10">
        <v>263</v>
      </c>
      <c r="K133" s="10">
        <v>12998834.634150447</v>
      </c>
    </row>
    <row r="134" spans="1:11" x14ac:dyDescent="0.35">
      <c r="A134" s="9" t="s">
        <v>248</v>
      </c>
      <c r="B134" s="10">
        <v>348</v>
      </c>
      <c r="C134" s="10">
        <v>2</v>
      </c>
      <c r="D134" s="10">
        <v>2</v>
      </c>
      <c r="E134" s="10">
        <v>175</v>
      </c>
      <c r="F134" s="10">
        <v>12002437.147993976</v>
      </c>
      <c r="G134" s="10">
        <v>246</v>
      </c>
      <c r="H134" s="10">
        <v>3</v>
      </c>
      <c r="I134" s="10">
        <v>0</v>
      </c>
      <c r="J134" s="10">
        <v>204</v>
      </c>
      <c r="K134" s="10">
        <v>11260513.73234438</v>
      </c>
    </row>
    <row r="135" spans="1:11" x14ac:dyDescent="0.35">
      <c r="A135" s="9" t="s">
        <v>249</v>
      </c>
      <c r="B135" s="10">
        <v>213</v>
      </c>
      <c r="C135" s="10">
        <v>2</v>
      </c>
      <c r="D135" s="10">
        <v>1</v>
      </c>
      <c r="E135" s="10">
        <v>184</v>
      </c>
      <c r="F135" s="10">
        <v>10540589.937409785</v>
      </c>
      <c r="G135" s="10">
        <v>182</v>
      </c>
      <c r="H135" s="10">
        <v>2</v>
      </c>
      <c r="I135" s="10">
        <v>0</v>
      </c>
      <c r="J135" s="10">
        <v>173</v>
      </c>
      <c r="K135" s="10">
        <v>10629535.471423233</v>
      </c>
    </row>
    <row r="136" spans="1:11" x14ac:dyDescent="0.35">
      <c r="A136" s="9" t="s">
        <v>250</v>
      </c>
      <c r="B136" s="10">
        <v>447</v>
      </c>
      <c r="C136" s="10">
        <v>8</v>
      </c>
      <c r="D136" s="10">
        <v>0</v>
      </c>
      <c r="E136" s="10">
        <v>395</v>
      </c>
      <c r="F136" s="10">
        <v>19323090.939605419</v>
      </c>
      <c r="G136" s="10">
        <v>464</v>
      </c>
      <c r="H136" s="10">
        <v>13</v>
      </c>
      <c r="I136" s="10">
        <v>0</v>
      </c>
      <c r="J136" s="10">
        <v>379</v>
      </c>
      <c r="K136" s="10">
        <v>20885529.958684023</v>
      </c>
    </row>
    <row r="137" spans="1:11" x14ac:dyDescent="0.35">
      <c r="A137" s="9" t="s">
        <v>251</v>
      </c>
      <c r="B137" s="10">
        <v>638</v>
      </c>
      <c r="C137" s="10">
        <v>7</v>
      </c>
      <c r="D137" s="10">
        <v>1</v>
      </c>
      <c r="E137" s="10">
        <v>578</v>
      </c>
      <c r="F137" s="10">
        <v>31849905.907203421</v>
      </c>
      <c r="G137" s="10">
        <v>715</v>
      </c>
      <c r="H137" s="10">
        <v>11</v>
      </c>
      <c r="I137" s="10">
        <v>1</v>
      </c>
      <c r="J137" s="10">
        <v>649</v>
      </c>
      <c r="K137" s="10">
        <v>33061384.558688931</v>
      </c>
    </row>
    <row r="138" spans="1:11" x14ac:dyDescent="0.35">
      <c r="A138" s="9" t="s">
        <v>252</v>
      </c>
      <c r="B138" s="10">
        <v>551</v>
      </c>
      <c r="C138" s="10">
        <v>10</v>
      </c>
      <c r="D138" s="10">
        <v>0</v>
      </c>
      <c r="E138" s="10">
        <v>624</v>
      </c>
      <c r="F138" s="10">
        <v>26094702.510009944</v>
      </c>
      <c r="G138" s="10">
        <v>593</v>
      </c>
      <c r="H138" s="10">
        <v>28</v>
      </c>
      <c r="I138" s="10">
        <v>1</v>
      </c>
      <c r="J138" s="10">
        <v>698</v>
      </c>
      <c r="K138" s="10">
        <v>27693816.742748987</v>
      </c>
    </row>
    <row r="139" spans="1:11" x14ac:dyDescent="0.35">
      <c r="A139" s="9" t="s">
        <v>253</v>
      </c>
      <c r="B139" s="10">
        <v>233</v>
      </c>
      <c r="C139" s="10">
        <v>0</v>
      </c>
      <c r="D139" s="10">
        <v>2</v>
      </c>
      <c r="E139" s="10">
        <v>185</v>
      </c>
      <c r="F139" s="10">
        <v>9667625.3855729867</v>
      </c>
      <c r="G139" s="10">
        <v>195</v>
      </c>
      <c r="H139" s="10">
        <v>1</v>
      </c>
      <c r="I139" s="10">
        <v>1</v>
      </c>
      <c r="J139" s="10">
        <v>163</v>
      </c>
      <c r="K139" s="10">
        <v>9276383.9922499154</v>
      </c>
    </row>
    <row r="140" spans="1:11" x14ac:dyDescent="0.35">
      <c r="A140" s="9" t="s">
        <v>254</v>
      </c>
      <c r="B140" s="10">
        <v>992</v>
      </c>
      <c r="C140" s="10">
        <v>20</v>
      </c>
      <c r="D140" s="10">
        <v>1</v>
      </c>
      <c r="E140" s="10">
        <v>848</v>
      </c>
      <c r="F140" s="10">
        <v>40261507.114198163</v>
      </c>
      <c r="G140" s="10">
        <v>1074</v>
      </c>
      <c r="H140" s="10">
        <v>34</v>
      </c>
      <c r="I140" s="10">
        <v>1</v>
      </c>
      <c r="J140" s="10">
        <v>859</v>
      </c>
      <c r="K140" s="10">
        <v>39233919.469408996</v>
      </c>
    </row>
    <row r="141" spans="1:11" x14ac:dyDescent="0.35">
      <c r="A141" s="9" t="s">
        <v>255</v>
      </c>
      <c r="B141" s="10">
        <v>324</v>
      </c>
      <c r="C141" s="10">
        <v>2</v>
      </c>
      <c r="D141" s="10">
        <v>2</v>
      </c>
      <c r="E141" s="10">
        <v>270</v>
      </c>
      <c r="F141" s="10">
        <v>13226975.575237172</v>
      </c>
      <c r="G141" s="10">
        <v>285</v>
      </c>
      <c r="H141" s="10">
        <v>7</v>
      </c>
      <c r="I141" s="10">
        <v>1</v>
      </c>
      <c r="J141" s="10">
        <v>272</v>
      </c>
      <c r="K141" s="10">
        <v>14161424.911742279</v>
      </c>
    </row>
    <row r="142" spans="1:11" x14ac:dyDescent="0.35">
      <c r="A142" s="9" t="s">
        <v>256</v>
      </c>
      <c r="B142" s="10">
        <v>387</v>
      </c>
      <c r="C142" s="10">
        <v>11</v>
      </c>
      <c r="D142" s="10">
        <v>1</v>
      </c>
      <c r="E142" s="10">
        <v>384</v>
      </c>
      <c r="F142" s="10">
        <v>12483349.502178688</v>
      </c>
      <c r="G142" s="10">
        <v>343</v>
      </c>
      <c r="H142" s="10">
        <v>5</v>
      </c>
      <c r="I142" s="10">
        <v>0</v>
      </c>
      <c r="J142" s="10">
        <v>371</v>
      </c>
      <c r="K142" s="10">
        <v>13866172.227210987</v>
      </c>
    </row>
    <row r="143" spans="1:11" x14ac:dyDescent="0.35">
      <c r="A143" s="9" t="s">
        <v>257</v>
      </c>
      <c r="B143" s="10">
        <v>1890</v>
      </c>
      <c r="C143" s="10">
        <v>44</v>
      </c>
      <c r="D143" s="10">
        <v>2</v>
      </c>
      <c r="E143" s="10">
        <v>1578</v>
      </c>
      <c r="F143" s="10">
        <v>102891050.47487241</v>
      </c>
      <c r="G143" s="10">
        <v>1765</v>
      </c>
      <c r="H143" s="10">
        <v>43</v>
      </c>
      <c r="I143" s="10">
        <v>2</v>
      </c>
      <c r="J143" s="10">
        <v>1478</v>
      </c>
      <c r="K143" s="10">
        <v>108930442.72002822</v>
      </c>
    </row>
    <row r="144" spans="1:11" x14ac:dyDescent="0.35">
      <c r="A144" s="9" t="s">
        <v>258</v>
      </c>
      <c r="B144" s="10">
        <v>1541</v>
      </c>
      <c r="C144" s="10">
        <v>21</v>
      </c>
      <c r="D144" s="10">
        <v>3</v>
      </c>
      <c r="E144" s="10">
        <v>1242</v>
      </c>
      <c r="F144" s="10">
        <v>46998729.11170911</v>
      </c>
      <c r="G144" s="10">
        <v>1372</v>
      </c>
      <c r="H144" s="10">
        <v>12</v>
      </c>
      <c r="I144" s="10">
        <v>5</v>
      </c>
      <c r="J144" s="10">
        <v>1182</v>
      </c>
      <c r="K144" s="10">
        <v>42479247.640648179</v>
      </c>
    </row>
    <row r="145" spans="1:11" x14ac:dyDescent="0.35">
      <c r="A145" s="9" t="s">
        <v>259</v>
      </c>
      <c r="B145" s="10">
        <v>1039</v>
      </c>
      <c r="C145" s="10">
        <v>13</v>
      </c>
      <c r="D145" s="10">
        <v>1</v>
      </c>
      <c r="E145" s="10">
        <v>850</v>
      </c>
      <c r="F145" s="10">
        <v>33454571.92934392</v>
      </c>
      <c r="G145" s="10">
        <v>970</v>
      </c>
      <c r="H145" s="10">
        <v>23</v>
      </c>
      <c r="I145" s="10">
        <v>1</v>
      </c>
      <c r="J145" s="10">
        <v>876</v>
      </c>
      <c r="K145" s="10">
        <v>29529619.412901457</v>
      </c>
    </row>
    <row r="146" spans="1:11" x14ac:dyDescent="0.35">
      <c r="A146" s="9" t="s">
        <v>260</v>
      </c>
      <c r="B146" s="10">
        <v>848</v>
      </c>
      <c r="C146" s="10">
        <v>7</v>
      </c>
      <c r="D146" s="10">
        <v>3</v>
      </c>
      <c r="E146" s="10">
        <v>924</v>
      </c>
      <c r="F146" s="10">
        <v>27923496.960431255</v>
      </c>
      <c r="G146" s="10">
        <v>842</v>
      </c>
      <c r="H146" s="10">
        <v>10</v>
      </c>
      <c r="I146" s="10">
        <v>3</v>
      </c>
      <c r="J146" s="10">
        <v>863</v>
      </c>
      <c r="K146" s="10">
        <v>26231379.494526919</v>
      </c>
    </row>
    <row r="147" spans="1:11" x14ac:dyDescent="0.35">
      <c r="A147" s="9" t="s">
        <v>261</v>
      </c>
      <c r="B147" s="10">
        <v>510</v>
      </c>
      <c r="C147" s="10">
        <v>6</v>
      </c>
      <c r="D147" s="10">
        <v>2</v>
      </c>
      <c r="E147" s="10">
        <v>555</v>
      </c>
      <c r="F147" s="10">
        <v>32701986.622648329</v>
      </c>
      <c r="G147" s="10">
        <v>485</v>
      </c>
      <c r="H147" s="10">
        <v>3</v>
      </c>
      <c r="I147" s="10">
        <v>2</v>
      </c>
      <c r="J147" s="10">
        <v>446</v>
      </c>
      <c r="K147" s="10">
        <v>35217431.966737956</v>
      </c>
    </row>
    <row r="148" spans="1:11" x14ac:dyDescent="0.35">
      <c r="A148" s="9" t="s">
        <v>262</v>
      </c>
      <c r="B148" s="10">
        <v>1157</v>
      </c>
      <c r="C148" s="10">
        <v>97</v>
      </c>
      <c r="D148" s="10">
        <v>3</v>
      </c>
      <c r="E148" s="10">
        <v>959</v>
      </c>
      <c r="F148" s="10">
        <v>32802427.313110247</v>
      </c>
      <c r="G148" s="10">
        <v>1386</v>
      </c>
      <c r="H148" s="10">
        <v>145</v>
      </c>
      <c r="I148" s="10">
        <v>5</v>
      </c>
      <c r="J148" s="10">
        <v>1087</v>
      </c>
      <c r="K148" s="10">
        <v>34938872.417730644</v>
      </c>
    </row>
    <row r="149" spans="1:11" x14ac:dyDescent="0.35">
      <c r="A149" s="9" t="s">
        <v>263</v>
      </c>
      <c r="B149" s="10">
        <v>426</v>
      </c>
      <c r="C149" s="10">
        <v>2</v>
      </c>
      <c r="D149" s="10">
        <v>3</v>
      </c>
      <c r="E149" s="10">
        <v>417</v>
      </c>
      <c r="F149" s="10">
        <v>14709386.516485255</v>
      </c>
      <c r="G149" s="10">
        <v>563</v>
      </c>
      <c r="H149" s="10">
        <v>6</v>
      </c>
      <c r="I149" s="10">
        <v>3</v>
      </c>
      <c r="J149" s="10">
        <v>549</v>
      </c>
      <c r="K149" s="10">
        <v>14693615.4112966</v>
      </c>
    </row>
    <row r="150" spans="1:11" x14ac:dyDescent="0.35">
      <c r="A150" s="9" t="s">
        <v>264</v>
      </c>
      <c r="B150" s="10">
        <v>779</v>
      </c>
      <c r="C150" s="10">
        <v>5</v>
      </c>
      <c r="D150" s="10">
        <v>0</v>
      </c>
      <c r="E150" s="10">
        <v>600</v>
      </c>
      <c r="F150" s="10">
        <v>34114012.357901186</v>
      </c>
      <c r="G150" s="10">
        <v>772</v>
      </c>
      <c r="H150" s="10">
        <v>14</v>
      </c>
      <c r="I150" s="10">
        <v>1</v>
      </c>
      <c r="J150" s="10">
        <v>699</v>
      </c>
      <c r="K150" s="10">
        <v>32197300.62401443</v>
      </c>
    </row>
    <row r="151" spans="1:11" x14ac:dyDescent="0.35">
      <c r="A151" s="9" t="s">
        <v>265</v>
      </c>
      <c r="B151" s="10">
        <v>488</v>
      </c>
      <c r="C151" s="10">
        <v>7</v>
      </c>
      <c r="D151" s="10">
        <v>0</v>
      </c>
      <c r="E151" s="10">
        <v>456</v>
      </c>
      <c r="F151" s="10">
        <v>18996962.154747456</v>
      </c>
      <c r="G151" s="10">
        <v>496</v>
      </c>
      <c r="H151" s="10">
        <v>9</v>
      </c>
      <c r="I151" s="10">
        <v>1</v>
      </c>
      <c r="J151" s="10">
        <v>414</v>
      </c>
      <c r="K151" s="10">
        <v>18854959.726534724</v>
      </c>
    </row>
    <row r="152" spans="1:11" x14ac:dyDescent="0.35">
      <c r="A152" s="9" t="s">
        <v>266</v>
      </c>
      <c r="B152" s="10">
        <v>835</v>
      </c>
      <c r="C152" s="10">
        <v>14</v>
      </c>
      <c r="D152" s="10">
        <v>1</v>
      </c>
      <c r="E152" s="10">
        <v>826</v>
      </c>
      <c r="F152" s="10">
        <v>32362672.98687806</v>
      </c>
      <c r="G152" s="10">
        <v>940</v>
      </c>
      <c r="H152" s="10">
        <v>14</v>
      </c>
      <c r="I152" s="10">
        <v>1</v>
      </c>
      <c r="J152" s="10">
        <v>654</v>
      </c>
      <c r="K152" s="10">
        <v>34269630.259649478</v>
      </c>
    </row>
    <row r="153" spans="1:11" x14ac:dyDescent="0.35">
      <c r="A153" s="9" t="s">
        <v>267</v>
      </c>
      <c r="B153" s="10">
        <v>1350</v>
      </c>
      <c r="C153" s="10">
        <v>37</v>
      </c>
      <c r="D153" s="10">
        <v>7</v>
      </c>
      <c r="E153" s="10">
        <v>1078</v>
      </c>
      <c r="F153" s="10">
        <v>69949333.855069593</v>
      </c>
      <c r="G153" s="10">
        <v>1357</v>
      </c>
      <c r="H153" s="10">
        <v>26</v>
      </c>
      <c r="I153" s="10">
        <v>8</v>
      </c>
      <c r="J153" s="10">
        <v>1151</v>
      </c>
      <c r="K153" s="10">
        <v>68957466.110250428</v>
      </c>
    </row>
    <row r="154" spans="1:11" x14ac:dyDescent="0.35">
      <c r="A154" s="9" t="s">
        <v>268</v>
      </c>
      <c r="B154" s="10">
        <v>448</v>
      </c>
      <c r="C154" s="10">
        <v>11</v>
      </c>
      <c r="D154" s="10">
        <v>0</v>
      </c>
      <c r="E154" s="10">
        <v>403</v>
      </c>
      <c r="F154" s="10">
        <v>16132029.63020681</v>
      </c>
      <c r="G154" s="10">
        <v>491</v>
      </c>
      <c r="H154" s="10">
        <v>12</v>
      </c>
      <c r="I154" s="10">
        <v>0</v>
      </c>
      <c r="J154" s="10">
        <v>418</v>
      </c>
      <c r="K154" s="10">
        <v>14319375.984373556</v>
      </c>
    </row>
    <row r="155" spans="1:11" x14ac:dyDescent="0.35">
      <c r="A155" s="9" t="s">
        <v>269</v>
      </c>
      <c r="B155" s="10">
        <v>1294</v>
      </c>
      <c r="C155" s="10">
        <v>10</v>
      </c>
      <c r="D155" s="10">
        <v>1</v>
      </c>
      <c r="E155" s="10">
        <v>1289</v>
      </c>
      <c r="F155" s="10">
        <v>34356636.291042484</v>
      </c>
      <c r="G155" s="10">
        <v>1235</v>
      </c>
      <c r="H155" s="10">
        <v>13</v>
      </c>
      <c r="I155" s="10">
        <v>1</v>
      </c>
      <c r="J155" s="10">
        <v>1175</v>
      </c>
      <c r="K155" s="10">
        <v>33783517.099851556</v>
      </c>
    </row>
    <row r="156" spans="1:11" x14ac:dyDescent="0.35">
      <c r="A156" s="9" t="s">
        <v>270</v>
      </c>
      <c r="B156" s="10">
        <v>810</v>
      </c>
      <c r="C156" s="10">
        <v>12</v>
      </c>
      <c r="D156" s="10">
        <v>4</v>
      </c>
      <c r="E156" s="10">
        <v>653</v>
      </c>
      <c r="F156" s="10">
        <v>32265013.514880557</v>
      </c>
      <c r="G156" s="10">
        <v>884</v>
      </c>
      <c r="H156" s="10">
        <v>12</v>
      </c>
      <c r="I156" s="10">
        <v>4</v>
      </c>
      <c r="J156" s="10">
        <v>751</v>
      </c>
      <c r="K156" s="10">
        <v>31542540.986295108</v>
      </c>
    </row>
    <row r="157" spans="1:11" x14ac:dyDescent="0.35">
      <c r="A157" s="9" t="s">
        <v>271</v>
      </c>
      <c r="B157" s="10">
        <v>1096</v>
      </c>
      <c r="C157" s="10">
        <v>13</v>
      </c>
      <c r="D157" s="10">
        <v>2</v>
      </c>
      <c r="E157" s="10">
        <v>1309</v>
      </c>
      <c r="F157" s="10">
        <v>21826195.904885978</v>
      </c>
      <c r="G157" s="10">
        <v>904</v>
      </c>
      <c r="H157" s="10">
        <v>15</v>
      </c>
      <c r="I157" s="10">
        <v>2</v>
      </c>
      <c r="J157" s="10">
        <v>1296</v>
      </c>
      <c r="K157" s="10">
        <v>24868790.109223206</v>
      </c>
    </row>
    <row r="158" spans="1:11" x14ac:dyDescent="0.35">
      <c r="A158" s="9" t="s">
        <v>272</v>
      </c>
      <c r="B158" s="10">
        <v>896</v>
      </c>
      <c r="C158" s="10">
        <v>19</v>
      </c>
      <c r="D158" s="10">
        <v>4</v>
      </c>
      <c r="E158" s="10">
        <v>831</v>
      </c>
      <c r="F158" s="10">
        <v>20949713.601981793</v>
      </c>
      <c r="G158" s="10">
        <v>879</v>
      </c>
      <c r="H158" s="10">
        <v>12</v>
      </c>
      <c r="I158" s="10">
        <v>4</v>
      </c>
      <c r="J158" s="10">
        <v>850</v>
      </c>
      <c r="K158" s="10">
        <v>22392653.237812866</v>
      </c>
    </row>
    <row r="159" spans="1:11" x14ac:dyDescent="0.35">
      <c r="A159" s="9" t="s">
        <v>273</v>
      </c>
      <c r="B159" s="10">
        <v>620</v>
      </c>
      <c r="C159" s="10">
        <v>12</v>
      </c>
      <c r="D159" s="10">
        <v>0</v>
      </c>
      <c r="E159" s="10">
        <v>631</v>
      </c>
      <c r="F159" s="10">
        <v>14410837.199527642</v>
      </c>
      <c r="G159" s="10">
        <v>635</v>
      </c>
      <c r="H159" s="10">
        <v>12</v>
      </c>
      <c r="I159" s="10">
        <v>1</v>
      </c>
      <c r="J159" s="10">
        <v>622</v>
      </c>
      <c r="K159" s="10">
        <v>17586863.938809101</v>
      </c>
    </row>
    <row r="160" spans="1:11" x14ac:dyDescent="0.35">
      <c r="A160" s="9" t="s">
        <v>274</v>
      </c>
      <c r="B160" s="10">
        <v>976</v>
      </c>
      <c r="C160" s="10">
        <v>14</v>
      </c>
      <c r="D160" s="10">
        <v>1</v>
      </c>
      <c r="E160" s="10">
        <v>1055</v>
      </c>
      <c r="F160" s="10">
        <v>18398457.694995999</v>
      </c>
      <c r="G160" s="10">
        <v>1060</v>
      </c>
      <c r="H160" s="10">
        <v>11</v>
      </c>
      <c r="I160" s="10">
        <v>1</v>
      </c>
      <c r="J160" s="10">
        <v>976</v>
      </c>
      <c r="K160" s="10">
        <v>20032234.277706675</v>
      </c>
    </row>
    <row r="161" spans="1:11" x14ac:dyDescent="0.35">
      <c r="A161" s="9" t="s">
        <v>275</v>
      </c>
      <c r="B161" s="10">
        <v>469</v>
      </c>
      <c r="C161" s="10">
        <v>10</v>
      </c>
      <c r="D161" s="10">
        <v>1</v>
      </c>
      <c r="E161" s="10">
        <v>411</v>
      </c>
      <c r="F161" s="10">
        <v>19804419.230025608</v>
      </c>
      <c r="G161" s="10">
        <v>417</v>
      </c>
      <c r="H161" s="10">
        <v>8</v>
      </c>
      <c r="I161" s="10">
        <v>1</v>
      </c>
      <c r="J161" s="10">
        <v>373</v>
      </c>
      <c r="K161" s="10">
        <v>21366766.19226484</v>
      </c>
    </row>
    <row r="162" spans="1:11" x14ac:dyDescent="0.35">
      <c r="A162" s="9" t="s">
        <v>276</v>
      </c>
      <c r="B162" s="10">
        <v>495</v>
      </c>
      <c r="C162" s="10">
        <v>3</v>
      </c>
      <c r="D162" s="10">
        <v>1</v>
      </c>
      <c r="E162" s="10">
        <v>377</v>
      </c>
      <c r="F162" s="10">
        <v>25596118.999936935</v>
      </c>
      <c r="G162" s="10">
        <v>446</v>
      </c>
      <c r="H162" s="10">
        <v>5</v>
      </c>
      <c r="I162" s="10">
        <v>1</v>
      </c>
      <c r="J162" s="10">
        <v>373</v>
      </c>
      <c r="K162" s="10">
        <v>29413549.263688233</v>
      </c>
    </row>
    <row r="163" spans="1:11" x14ac:dyDescent="0.35">
      <c r="A163" s="9" t="s">
        <v>277</v>
      </c>
      <c r="B163" s="10">
        <v>720</v>
      </c>
      <c r="C163" s="10">
        <v>6</v>
      </c>
      <c r="D163" s="10">
        <v>1</v>
      </c>
      <c r="E163" s="10">
        <v>484</v>
      </c>
      <c r="F163" s="10">
        <v>16535211.74395901</v>
      </c>
      <c r="G163" s="10">
        <v>567</v>
      </c>
      <c r="H163" s="10">
        <v>8</v>
      </c>
      <c r="I163" s="10">
        <v>1</v>
      </c>
      <c r="J163" s="10">
        <v>555</v>
      </c>
      <c r="K163" s="10">
        <v>19295904.19557108</v>
      </c>
    </row>
    <row r="164" spans="1:11" x14ac:dyDescent="0.35">
      <c r="A164" s="9" t="s">
        <v>278</v>
      </c>
      <c r="B164" s="10">
        <v>753</v>
      </c>
      <c r="C164" s="10">
        <v>10</v>
      </c>
      <c r="D164" s="10">
        <v>1</v>
      </c>
      <c r="E164" s="10">
        <v>644</v>
      </c>
      <c r="F164" s="10">
        <v>23930120.873155739</v>
      </c>
      <c r="G164" s="10">
        <v>784</v>
      </c>
      <c r="H164" s="10">
        <v>12</v>
      </c>
      <c r="I164" s="10">
        <v>1</v>
      </c>
      <c r="J164" s="10">
        <v>558</v>
      </c>
      <c r="K164" s="10">
        <v>23858554.162464816</v>
      </c>
    </row>
    <row r="165" spans="1:11" x14ac:dyDescent="0.35">
      <c r="A165" s="9" t="s">
        <v>279</v>
      </c>
      <c r="B165" s="10">
        <v>898</v>
      </c>
      <c r="C165" s="10">
        <v>17</v>
      </c>
      <c r="D165" s="10">
        <v>3</v>
      </c>
      <c r="E165" s="10">
        <v>822</v>
      </c>
      <c r="F165" s="10">
        <v>16788304.239819817</v>
      </c>
      <c r="G165" s="10">
        <v>725</v>
      </c>
      <c r="H165" s="10">
        <v>16</v>
      </c>
      <c r="I165" s="10">
        <v>3</v>
      </c>
      <c r="J165" s="10">
        <v>748</v>
      </c>
      <c r="K165" s="10">
        <v>15615191.936809424</v>
      </c>
    </row>
    <row r="166" spans="1:11" x14ac:dyDescent="0.35">
      <c r="A166" s="9" t="s">
        <v>280</v>
      </c>
      <c r="B166" s="10">
        <v>665</v>
      </c>
      <c r="C166" s="10">
        <v>3</v>
      </c>
      <c r="D166" s="10">
        <v>8</v>
      </c>
      <c r="E166" s="10">
        <v>544</v>
      </c>
      <c r="F166" s="10">
        <v>32605272.532009445</v>
      </c>
      <c r="G166" s="10">
        <v>580</v>
      </c>
      <c r="H166" s="10">
        <v>4</v>
      </c>
      <c r="I166" s="10">
        <v>12</v>
      </c>
      <c r="J166" s="10">
        <v>539</v>
      </c>
      <c r="K166" s="10">
        <v>34190733.909302473</v>
      </c>
    </row>
    <row r="167" spans="1:11" x14ac:dyDescent="0.35">
      <c r="A167" s="9" t="s">
        <v>281</v>
      </c>
      <c r="B167" s="10">
        <v>1076</v>
      </c>
      <c r="C167" s="10">
        <v>20</v>
      </c>
      <c r="D167" s="10">
        <v>1</v>
      </c>
      <c r="E167" s="10">
        <v>870</v>
      </c>
      <c r="F167" s="10">
        <v>25639361.428012539</v>
      </c>
      <c r="G167" s="10">
        <v>1077</v>
      </c>
      <c r="H167" s="10">
        <v>14</v>
      </c>
      <c r="I167" s="10">
        <v>1</v>
      </c>
      <c r="J167" s="10">
        <v>1111</v>
      </c>
      <c r="K167" s="10">
        <v>26778617.242943063</v>
      </c>
    </row>
    <row r="168" spans="1:11" x14ac:dyDescent="0.35">
      <c r="A168" s="9" t="s">
        <v>282</v>
      </c>
      <c r="B168" s="10">
        <v>972</v>
      </c>
      <c r="C168" s="10">
        <v>9</v>
      </c>
      <c r="D168" s="10">
        <v>1</v>
      </c>
      <c r="E168" s="10">
        <v>901</v>
      </c>
      <c r="F168" s="10">
        <v>41141618.566855542</v>
      </c>
      <c r="G168" s="10">
        <v>869</v>
      </c>
      <c r="H168" s="10">
        <v>19</v>
      </c>
      <c r="I168" s="10">
        <v>1</v>
      </c>
      <c r="J168" s="10">
        <v>847</v>
      </c>
      <c r="K168" s="10">
        <v>43017796.252332717</v>
      </c>
    </row>
    <row r="169" spans="1:11" x14ac:dyDescent="0.35">
      <c r="A169" s="9" t="s">
        <v>283</v>
      </c>
      <c r="B169" s="10">
        <v>1321</v>
      </c>
      <c r="C169" s="10">
        <v>19</v>
      </c>
      <c r="D169" s="10">
        <v>3</v>
      </c>
      <c r="E169" s="10">
        <v>1655</v>
      </c>
      <c r="F169" s="10">
        <v>64949183.159220703</v>
      </c>
      <c r="G169" s="10">
        <v>1172</v>
      </c>
      <c r="H169" s="10">
        <v>24</v>
      </c>
      <c r="I169" s="10">
        <v>2</v>
      </c>
      <c r="J169" s="10">
        <v>938</v>
      </c>
      <c r="K169" s="10">
        <v>65923649.254305355</v>
      </c>
    </row>
    <row r="170" spans="1:11" x14ac:dyDescent="0.35">
      <c r="A170" s="9" t="s">
        <v>284</v>
      </c>
      <c r="B170" s="10">
        <v>878</v>
      </c>
      <c r="C170" s="10">
        <v>12</v>
      </c>
      <c r="D170" s="10">
        <v>2</v>
      </c>
      <c r="E170" s="10">
        <v>824</v>
      </c>
      <c r="F170" s="10">
        <v>28637095.581276465</v>
      </c>
      <c r="G170" s="10">
        <v>829</v>
      </c>
      <c r="H170" s="10">
        <v>11</v>
      </c>
      <c r="I170" s="10">
        <v>2</v>
      </c>
      <c r="J170" s="10">
        <v>687</v>
      </c>
      <c r="K170" s="10">
        <v>35261036.431570314</v>
      </c>
    </row>
    <row r="171" spans="1:11" x14ac:dyDescent="0.35">
      <c r="A171" s="9" t="s">
        <v>285</v>
      </c>
      <c r="B171" s="10">
        <v>1473</v>
      </c>
      <c r="C171" s="10">
        <v>18</v>
      </c>
      <c r="D171" s="10">
        <v>3</v>
      </c>
      <c r="E171" s="10">
        <v>1552</v>
      </c>
      <c r="F171" s="10">
        <v>56308571.436402202</v>
      </c>
      <c r="G171" s="10">
        <v>1654</v>
      </c>
      <c r="H171" s="10">
        <v>37</v>
      </c>
      <c r="I171" s="10">
        <v>3</v>
      </c>
      <c r="J171" s="10">
        <v>1510</v>
      </c>
      <c r="K171" s="10">
        <v>59614546.594074376</v>
      </c>
    </row>
    <row r="172" spans="1:11" x14ac:dyDescent="0.35">
      <c r="A172" s="9" t="s">
        <v>286</v>
      </c>
      <c r="B172" s="10">
        <v>120</v>
      </c>
      <c r="C172" s="10">
        <v>1</v>
      </c>
      <c r="D172" s="10">
        <v>2</v>
      </c>
      <c r="E172" s="10">
        <v>133</v>
      </c>
      <c r="F172" s="10">
        <v>4816666.8411662234</v>
      </c>
      <c r="G172" s="10">
        <v>173</v>
      </c>
      <c r="H172" s="10">
        <v>3</v>
      </c>
      <c r="I172" s="10">
        <v>2</v>
      </c>
      <c r="J172" s="10">
        <v>167</v>
      </c>
      <c r="K172" s="10">
        <v>6094974.3143606307</v>
      </c>
    </row>
    <row r="173" spans="1:11" x14ac:dyDescent="0.35">
      <c r="A173" s="9" t="s">
        <v>287</v>
      </c>
      <c r="B173" s="10">
        <v>245</v>
      </c>
      <c r="C173" s="10">
        <v>1</v>
      </c>
      <c r="D173" s="10">
        <v>1</v>
      </c>
      <c r="E173" s="10">
        <v>0</v>
      </c>
      <c r="F173" s="10">
        <v>5691616.332660255</v>
      </c>
      <c r="G173" s="10">
        <v>13</v>
      </c>
      <c r="H173" s="10">
        <v>0</v>
      </c>
      <c r="I173" s="10">
        <v>0</v>
      </c>
      <c r="J173" s="10">
        <v>0</v>
      </c>
      <c r="K173" s="10">
        <v>9699.0314658210009</v>
      </c>
    </row>
    <row r="174" spans="1:11" x14ac:dyDescent="0.35">
      <c r="A174" s="9" t="s">
        <v>288</v>
      </c>
      <c r="B174" s="10">
        <v>265</v>
      </c>
      <c r="C174" s="10">
        <v>14</v>
      </c>
      <c r="D174" s="10">
        <v>2</v>
      </c>
      <c r="E174" s="10">
        <v>223</v>
      </c>
      <c r="F174" s="10">
        <v>11627501.855977017</v>
      </c>
      <c r="G174" s="10">
        <v>261</v>
      </c>
      <c r="H174" s="10">
        <v>8</v>
      </c>
      <c r="I174" s="10">
        <v>1</v>
      </c>
      <c r="J174" s="10">
        <v>244</v>
      </c>
      <c r="K174" s="10">
        <v>12625909.877365747</v>
      </c>
    </row>
    <row r="175" spans="1:11" x14ac:dyDescent="0.35">
      <c r="A175" s="9" t="s">
        <v>289</v>
      </c>
      <c r="B175" s="10">
        <v>402</v>
      </c>
      <c r="C175" s="10">
        <v>6</v>
      </c>
      <c r="D175" s="10">
        <v>3</v>
      </c>
      <c r="E175" s="10">
        <v>453</v>
      </c>
      <c r="F175" s="10">
        <v>17338828.379853729</v>
      </c>
      <c r="G175" s="10">
        <v>438</v>
      </c>
      <c r="H175" s="10">
        <v>8</v>
      </c>
      <c r="I175" s="10">
        <v>3</v>
      </c>
      <c r="J175" s="10">
        <v>476</v>
      </c>
      <c r="K175" s="10">
        <v>18352804.21608666</v>
      </c>
    </row>
    <row r="176" spans="1:11" x14ac:dyDescent="0.35">
      <c r="A176" s="9" t="s">
        <v>290</v>
      </c>
      <c r="B176" s="10">
        <v>431</v>
      </c>
      <c r="C176" s="10">
        <v>18</v>
      </c>
      <c r="D176" s="10">
        <v>3</v>
      </c>
      <c r="E176" s="10">
        <v>377</v>
      </c>
      <c r="F176" s="10">
        <v>16921044.171061765</v>
      </c>
      <c r="G176" s="10">
        <v>456</v>
      </c>
      <c r="H176" s="10">
        <v>28</v>
      </c>
      <c r="I176" s="10">
        <v>4</v>
      </c>
      <c r="J176" s="10">
        <v>312</v>
      </c>
      <c r="K176" s="10">
        <v>14771955.718895152</v>
      </c>
    </row>
    <row r="177" spans="1:11" x14ac:dyDescent="0.35">
      <c r="A177" s="9" t="s">
        <v>291</v>
      </c>
      <c r="B177" s="10">
        <v>717</v>
      </c>
      <c r="C177" s="10">
        <v>16</v>
      </c>
      <c r="D177" s="10">
        <v>1</v>
      </c>
      <c r="E177" s="10">
        <v>775</v>
      </c>
      <c r="F177" s="10">
        <v>23048424.156589136</v>
      </c>
      <c r="G177" s="10">
        <v>975</v>
      </c>
      <c r="H177" s="10">
        <v>145</v>
      </c>
      <c r="I177" s="10">
        <v>2</v>
      </c>
      <c r="J177" s="10">
        <v>921</v>
      </c>
      <c r="K177" s="10">
        <v>25924603.230738968</v>
      </c>
    </row>
    <row r="178" spans="1:11" x14ac:dyDescent="0.35">
      <c r="A178" s="9" t="s">
        <v>292</v>
      </c>
      <c r="B178" s="10">
        <v>548</v>
      </c>
      <c r="C178" s="10">
        <v>16</v>
      </c>
      <c r="D178" s="10">
        <v>3</v>
      </c>
      <c r="E178" s="10">
        <v>508</v>
      </c>
      <c r="F178" s="10">
        <v>27235265.510534443</v>
      </c>
      <c r="G178" s="10">
        <v>632</v>
      </c>
      <c r="H178" s="10">
        <v>76</v>
      </c>
      <c r="I178" s="10">
        <v>2</v>
      </c>
      <c r="J178" s="10">
        <v>501</v>
      </c>
      <c r="K178" s="10">
        <v>20569262.410070635</v>
      </c>
    </row>
    <row r="179" spans="1:11" x14ac:dyDescent="0.35">
      <c r="A179" s="9" t="s">
        <v>293</v>
      </c>
      <c r="B179" s="10">
        <v>437</v>
      </c>
      <c r="C179" s="10">
        <v>17</v>
      </c>
      <c r="D179" s="10">
        <v>2</v>
      </c>
      <c r="E179" s="10">
        <v>388</v>
      </c>
      <c r="F179" s="10">
        <v>17996223.734264061</v>
      </c>
      <c r="G179" s="10">
        <v>476</v>
      </c>
      <c r="H179" s="10">
        <v>26</v>
      </c>
      <c r="I179" s="10">
        <v>2</v>
      </c>
      <c r="J179" s="10">
        <v>444</v>
      </c>
      <c r="K179" s="10">
        <v>18727781.933891039</v>
      </c>
    </row>
    <row r="180" spans="1:11" x14ac:dyDescent="0.35">
      <c r="A180" s="9" t="s">
        <v>294</v>
      </c>
      <c r="B180" s="10">
        <v>132</v>
      </c>
      <c r="C180" s="10">
        <v>0</v>
      </c>
      <c r="D180" s="10">
        <v>1</v>
      </c>
      <c r="E180" s="10">
        <v>103</v>
      </c>
      <c r="F180" s="10">
        <v>7241425.6921561677</v>
      </c>
      <c r="G180" s="10">
        <v>168</v>
      </c>
      <c r="H180" s="10">
        <v>4</v>
      </c>
      <c r="I180" s="10">
        <v>1</v>
      </c>
      <c r="J180" s="10">
        <v>134</v>
      </c>
      <c r="K180" s="10">
        <v>8448889.9016503077</v>
      </c>
    </row>
    <row r="181" spans="1:11" x14ac:dyDescent="0.35">
      <c r="A181" s="9" t="s">
        <v>295</v>
      </c>
      <c r="B181" s="10">
        <v>788</v>
      </c>
      <c r="C181" s="10">
        <v>12</v>
      </c>
      <c r="D181" s="10">
        <v>3</v>
      </c>
      <c r="E181" s="10">
        <v>748</v>
      </c>
      <c r="F181" s="10">
        <v>16880502.003881071</v>
      </c>
      <c r="G181" s="10">
        <v>964</v>
      </c>
      <c r="H181" s="10">
        <v>17</v>
      </c>
      <c r="I181" s="10">
        <v>3</v>
      </c>
      <c r="J181" s="10">
        <v>997</v>
      </c>
      <c r="K181" s="10">
        <v>21151978.252921797</v>
      </c>
    </row>
    <row r="182" spans="1:11" x14ac:dyDescent="0.35">
      <c r="A182" s="9" t="s">
        <v>296</v>
      </c>
      <c r="B182" s="10">
        <v>420</v>
      </c>
      <c r="C182" s="10">
        <v>6</v>
      </c>
      <c r="D182" s="10">
        <v>1</v>
      </c>
      <c r="E182" s="10">
        <v>320</v>
      </c>
      <c r="F182" s="10">
        <v>15655607.486765964</v>
      </c>
      <c r="G182" s="10">
        <v>503</v>
      </c>
      <c r="H182" s="10">
        <v>9</v>
      </c>
      <c r="I182" s="10">
        <v>1</v>
      </c>
      <c r="J182" s="10">
        <v>473</v>
      </c>
      <c r="K182" s="10">
        <v>14863720.639526548</v>
      </c>
    </row>
    <row r="183" spans="1:11" x14ac:dyDescent="0.35">
      <c r="A183" s="9" t="s">
        <v>297</v>
      </c>
      <c r="B183" s="10">
        <v>1501</v>
      </c>
      <c r="C183" s="10">
        <v>60</v>
      </c>
      <c r="D183" s="10">
        <v>6</v>
      </c>
      <c r="E183" s="10">
        <v>1291</v>
      </c>
      <c r="F183" s="10">
        <v>41315131.204659291</v>
      </c>
      <c r="G183" s="10">
        <v>1267</v>
      </c>
      <c r="H183" s="10">
        <v>54</v>
      </c>
      <c r="I183" s="10">
        <v>4</v>
      </c>
      <c r="J183" s="10">
        <v>1247</v>
      </c>
      <c r="K183" s="10">
        <v>41636622.616837829</v>
      </c>
    </row>
    <row r="184" spans="1:11" x14ac:dyDescent="0.35">
      <c r="A184" s="9" t="s">
        <v>298</v>
      </c>
      <c r="B184" s="10">
        <v>265</v>
      </c>
      <c r="C184" s="10">
        <v>4</v>
      </c>
      <c r="D184" s="10">
        <v>1</v>
      </c>
      <c r="E184" s="10">
        <v>111</v>
      </c>
      <c r="F184" s="10">
        <v>8224343.6176966745</v>
      </c>
      <c r="G184" s="10">
        <v>200</v>
      </c>
      <c r="H184" s="10">
        <v>5</v>
      </c>
      <c r="I184" s="10">
        <v>1</v>
      </c>
      <c r="J184" s="10">
        <v>117</v>
      </c>
      <c r="K184" s="10">
        <v>7243490.6566815265</v>
      </c>
    </row>
    <row r="185" spans="1:11" x14ac:dyDescent="0.35">
      <c r="A185" s="9" t="s">
        <v>299</v>
      </c>
      <c r="B185" s="10">
        <v>301</v>
      </c>
      <c r="C185" s="10">
        <v>63</v>
      </c>
      <c r="D185" s="10">
        <v>2</v>
      </c>
      <c r="E185" s="10">
        <v>203</v>
      </c>
      <c r="F185" s="10">
        <v>5508265.3905748567</v>
      </c>
      <c r="G185" s="10">
        <v>195</v>
      </c>
      <c r="H185" s="10">
        <v>357</v>
      </c>
      <c r="I185" s="10">
        <v>2</v>
      </c>
      <c r="J185" s="10">
        <v>161</v>
      </c>
      <c r="K185" s="10">
        <v>5582962.0042966679</v>
      </c>
    </row>
    <row r="186" spans="1:11" x14ac:dyDescent="0.35">
      <c r="A186" s="9" t="s">
        <v>300</v>
      </c>
      <c r="B186" s="10">
        <v>371</v>
      </c>
      <c r="C186" s="10">
        <v>6</v>
      </c>
      <c r="D186" s="10">
        <v>0</v>
      </c>
      <c r="E186" s="10">
        <v>315</v>
      </c>
      <c r="F186" s="10">
        <v>14285138.827811064</v>
      </c>
      <c r="G186" s="10">
        <v>339</v>
      </c>
      <c r="H186" s="10">
        <v>6</v>
      </c>
      <c r="I186" s="10">
        <v>0</v>
      </c>
      <c r="J186" s="10">
        <v>322</v>
      </c>
      <c r="K186" s="10">
        <v>14329768.009520136</v>
      </c>
    </row>
    <row r="187" spans="1:11" x14ac:dyDescent="0.35">
      <c r="A187" s="9" t="s">
        <v>301</v>
      </c>
      <c r="B187" s="10">
        <v>482</v>
      </c>
      <c r="C187" s="10">
        <v>5</v>
      </c>
      <c r="D187" s="10">
        <v>2</v>
      </c>
      <c r="E187" s="10">
        <v>427</v>
      </c>
      <c r="F187" s="10">
        <v>21837759.331770461</v>
      </c>
      <c r="G187" s="10">
        <v>334</v>
      </c>
      <c r="H187" s="10">
        <v>11</v>
      </c>
      <c r="I187" s="10">
        <v>2</v>
      </c>
      <c r="J187" s="10">
        <v>310</v>
      </c>
      <c r="K187" s="10">
        <v>22840902.235226326</v>
      </c>
    </row>
    <row r="188" spans="1:11" x14ac:dyDescent="0.35">
      <c r="A188" s="9" t="s">
        <v>302</v>
      </c>
      <c r="B188" s="10">
        <v>1004</v>
      </c>
      <c r="C188" s="10">
        <v>8</v>
      </c>
      <c r="D188" s="10">
        <v>3</v>
      </c>
      <c r="E188" s="10">
        <v>880</v>
      </c>
      <c r="F188" s="10">
        <v>40056240.575493589</v>
      </c>
      <c r="G188" s="10">
        <v>856</v>
      </c>
      <c r="H188" s="10">
        <v>15</v>
      </c>
      <c r="I188" s="10">
        <v>1</v>
      </c>
      <c r="J188" s="10">
        <v>942</v>
      </c>
      <c r="K188" s="10">
        <v>38297511.019225001</v>
      </c>
    </row>
    <row r="189" spans="1:11" x14ac:dyDescent="0.35">
      <c r="A189" s="9" t="s">
        <v>303</v>
      </c>
      <c r="B189" s="10">
        <v>583</v>
      </c>
      <c r="C189" s="10">
        <v>8</v>
      </c>
      <c r="D189" s="10">
        <v>0</v>
      </c>
      <c r="E189" s="10">
        <v>567</v>
      </c>
      <c r="F189" s="10">
        <v>19444951.954201557</v>
      </c>
      <c r="G189" s="10">
        <v>596</v>
      </c>
      <c r="H189" s="10">
        <v>14</v>
      </c>
      <c r="I189" s="10">
        <v>1</v>
      </c>
      <c r="J189" s="10">
        <v>564</v>
      </c>
      <c r="K189" s="10">
        <v>26041923.751346789</v>
      </c>
    </row>
    <row r="190" spans="1:11" x14ac:dyDescent="0.35">
      <c r="A190" s="9" t="s">
        <v>304</v>
      </c>
      <c r="B190" s="10">
        <v>337</v>
      </c>
      <c r="C190" s="10">
        <v>3</v>
      </c>
      <c r="D190" s="10">
        <v>2</v>
      </c>
      <c r="E190" s="10">
        <v>347</v>
      </c>
      <c r="F190" s="10">
        <v>18471055.060263757</v>
      </c>
      <c r="G190" s="10">
        <v>298</v>
      </c>
      <c r="H190" s="10">
        <v>5</v>
      </c>
      <c r="I190" s="10">
        <v>2</v>
      </c>
      <c r="J190" s="10">
        <v>304</v>
      </c>
      <c r="K190" s="10">
        <v>19037529.384704255</v>
      </c>
    </row>
    <row r="191" spans="1:11" x14ac:dyDescent="0.35">
      <c r="A191" s="9" t="s">
        <v>305</v>
      </c>
      <c r="B191" s="10">
        <v>544</v>
      </c>
      <c r="C191" s="10">
        <v>10</v>
      </c>
      <c r="D191" s="10">
        <v>2</v>
      </c>
      <c r="E191" s="10">
        <v>481</v>
      </c>
      <c r="F191" s="10">
        <v>17451650.249569323</v>
      </c>
      <c r="G191" s="10">
        <v>528</v>
      </c>
      <c r="H191" s="10">
        <v>13</v>
      </c>
      <c r="I191" s="10">
        <v>2</v>
      </c>
      <c r="J191" s="10">
        <v>469</v>
      </c>
      <c r="K191" s="10">
        <v>17861669.185086645</v>
      </c>
    </row>
    <row r="192" spans="1:11" x14ac:dyDescent="0.35">
      <c r="A192" s="9" t="s">
        <v>306</v>
      </c>
      <c r="B192" s="10">
        <v>505</v>
      </c>
      <c r="C192" s="10">
        <v>8</v>
      </c>
      <c r="D192" s="10">
        <v>2</v>
      </c>
      <c r="E192" s="10">
        <v>506</v>
      </c>
      <c r="F192" s="10">
        <v>17792566.520485315</v>
      </c>
      <c r="G192" s="10">
        <v>401</v>
      </c>
      <c r="H192" s="10">
        <v>7</v>
      </c>
      <c r="I192" s="10">
        <v>2</v>
      </c>
      <c r="J192" s="10">
        <v>419</v>
      </c>
      <c r="K192" s="10">
        <v>15213326.101617986</v>
      </c>
    </row>
    <row r="193" spans="1:11" x14ac:dyDescent="0.35">
      <c r="A193" s="9" t="s">
        <v>307</v>
      </c>
      <c r="B193" s="10">
        <v>833</v>
      </c>
      <c r="C193" s="10">
        <v>22</v>
      </c>
      <c r="D193" s="10">
        <v>1</v>
      </c>
      <c r="E193" s="10">
        <v>808</v>
      </c>
      <c r="F193" s="10">
        <v>35920056.860466592</v>
      </c>
      <c r="G193" s="10">
        <v>867</v>
      </c>
      <c r="H193" s="10">
        <v>20</v>
      </c>
      <c r="I193" s="10">
        <v>1</v>
      </c>
      <c r="J193" s="10">
        <v>749</v>
      </c>
      <c r="K193" s="10">
        <v>38007309.163510516</v>
      </c>
    </row>
    <row r="194" spans="1:11" x14ac:dyDescent="0.35">
      <c r="A194" s="9" t="s">
        <v>308</v>
      </c>
      <c r="B194" s="10">
        <v>1010</v>
      </c>
      <c r="C194" s="10">
        <v>44</v>
      </c>
      <c r="D194" s="10">
        <v>4</v>
      </c>
      <c r="E194" s="10">
        <v>848</v>
      </c>
      <c r="F194" s="10">
        <v>45920905.707752064</v>
      </c>
      <c r="G194" s="10">
        <v>962</v>
      </c>
      <c r="H194" s="10">
        <v>48</v>
      </c>
      <c r="I194" s="10">
        <v>4</v>
      </c>
      <c r="J194" s="10">
        <v>851</v>
      </c>
      <c r="K194" s="10">
        <v>50322816.611621782</v>
      </c>
    </row>
    <row r="195" spans="1:11" x14ac:dyDescent="0.35">
      <c r="A195" s="9" t="s">
        <v>309</v>
      </c>
      <c r="B195" s="10">
        <v>169</v>
      </c>
      <c r="C195" s="10">
        <v>0</v>
      </c>
      <c r="D195" s="10">
        <v>0</v>
      </c>
      <c r="E195" s="10">
        <v>116</v>
      </c>
      <c r="F195" s="10">
        <v>5055765.8350131791</v>
      </c>
      <c r="G195" s="10">
        <v>134</v>
      </c>
      <c r="H195" s="10">
        <v>1</v>
      </c>
      <c r="I195" s="10">
        <v>0</v>
      </c>
      <c r="J195" s="10">
        <v>114</v>
      </c>
      <c r="K195" s="10">
        <v>5662958.2022705739</v>
      </c>
    </row>
    <row r="196" spans="1:11" x14ac:dyDescent="0.35">
      <c r="A196" s="9" t="s">
        <v>310</v>
      </c>
      <c r="B196" s="10">
        <v>172</v>
      </c>
      <c r="C196" s="10">
        <v>9</v>
      </c>
      <c r="D196" s="10">
        <v>1</v>
      </c>
      <c r="E196" s="10">
        <v>180</v>
      </c>
      <c r="F196" s="10">
        <v>9309431.9739524517</v>
      </c>
      <c r="G196" s="10">
        <v>217</v>
      </c>
      <c r="H196" s="10">
        <v>7</v>
      </c>
      <c r="I196" s="10">
        <v>1</v>
      </c>
      <c r="J196" s="10">
        <v>200</v>
      </c>
      <c r="K196" s="10">
        <v>10411820.158768645</v>
      </c>
    </row>
    <row r="197" spans="1:11" x14ac:dyDescent="0.35">
      <c r="A197" s="9" t="s">
        <v>311</v>
      </c>
      <c r="B197" s="10">
        <v>687</v>
      </c>
      <c r="C197" s="10">
        <v>135</v>
      </c>
      <c r="D197" s="10">
        <v>1</v>
      </c>
      <c r="E197" s="10">
        <v>591</v>
      </c>
      <c r="F197" s="10">
        <v>36763437.122981682</v>
      </c>
      <c r="G197" s="10">
        <v>568</v>
      </c>
      <c r="H197" s="10">
        <v>28</v>
      </c>
      <c r="I197" s="10">
        <v>1</v>
      </c>
      <c r="J197" s="10">
        <v>526</v>
      </c>
      <c r="K197" s="10">
        <v>36105916.72179208</v>
      </c>
    </row>
    <row r="198" spans="1:11" x14ac:dyDescent="0.35">
      <c r="A198" s="9" t="s">
        <v>312</v>
      </c>
      <c r="B198" s="10">
        <v>394</v>
      </c>
      <c r="C198" s="10">
        <v>8</v>
      </c>
      <c r="D198" s="10">
        <v>0</v>
      </c>
      <c r="E198" s="10">
        <v>275</v>
      </c>
      <c r="F198" s="10">
        <v>18990238.452235844</v>
      </c>
      <c r="G198" s="10">
        <v>367</v>
      </c>
      <c r="H198" s="10">
        <v>13</v>
      </c>
      <c r="I198" s="10">
        <v>0</v>
      </c>
      <c r="J198" s="10">
        <v>313</v>
      </c>
      <c r="K198" s="10">
        <v>18897284.710562032</v>
      </c>
    </row>
    <row r="199" spans="1:11" x14ac:dyDescent="0.35">
      <c r="A199" s="9" t="s">
        <v>313</v>
      </c>
      <c r="B199" s="10">
        <v>1375</v>
      </c>
      <c r="C199" s="10">
        <v>16</v>
      </c>
      <c r="D199" s="10">
        <v>4</v>
      </c>
      <c r="E199" s="10">
        <v>1198</v>
      </c>
      <c r="F199" s="10">
        <v>47667363.270878524</v>
      </c>
      <c r="G199" s="10">
        <v>1284</v>
      </c>
      <c r="H199" s="10">
        <v>24</v>
      </c>
      <c r="I199" s="10">
        <v>3</v>
      </c>
      <c r="J199" s="10">
        <v>1186</v>
      </c>
      <c r="K199" s="10">
        <v>48061984.365018673</v>
      </c>
    </row>
    <row r="200" spans="1:11" x14ac:dyDescent="0.35">
      <c r="A200" s="9" t="s">
        <v>314</v>
      </c>
      <c r="B200" s="10">
        <v>672</v>
      </c>
      <c r="C200" s="10">
        <v>10</v>
      </c>
      <c r="D200" s="10">
        <v>1</v>
      </c>
      <c r="E200" s="10">
        <v>500</v>
      </c>
      <c r="F200" s="10">
        <v>29293890.507975783</v>
      </c>
      <c r="G200" s="10">
        <v>560</v>
      </c>
      <c r="H200" s="10">
        <v>9</v>
      </c>
      <c r="I200" s="10">
        <v>1</v>
      </c>
      <c r="J200" s="10">
        <v>524</v>
      </c>
      <c r="K200" s="10">
        <v>29598683.523434907</v>
      </c>
    </row>
    <row r="201" spans="1:11" x14ac:dyDescent="0.35">
      <c r="A201" s="9" t="s">
        <v>315</v>
      </c>
      <c r="B201" s="10">
        <v>862</v>
      </c>
      <c r="C201" s="10">
        <v>9</v>
      </c>
      <c r="D201" s="10">
        <v>2</v>
      </c>
      <c r="E201" s="10">
        <v>614</v>
      </c>
      <c r="F201" s="10">
        <v>39257339.136290275</v>
      </c>
      <c r="G201" s="10">
        <v>685</v>
      </c>
      <c r="H201" s="10">
        <v>16</v>
      </c>
      <c r="I201" s="10">
        <v>2</v>
      </c>
      <c r="J201" s="10">
        <v>623</v>
      </c>
      <c r="K201" s="10">
        <v>45689104.97148028</v>
      </c>
    </row>
    <row r="202" spans="1:11" x14ac:dyDescent="0.35">
      <c r="A202" s="9" t="s">
        <v>316</v>
      </c>
      <c r="B202" s="10">
        <v>641</v>
      </c>
      <c r="C202" s="10">
        <v>11</v>
      </c>
      <c r="D202" s="10">
        <v>5</v>
      </c>
      <c r="E202" s="10">
        <v>519</v>
      </c>
      <c r="F202" s="10">
        <v>33036804.222143792</v>
      </c>
      <c r="G202" s="10">
        <v>622</v>
      </c>
      <c r="H202" s="10">
        <v>24</v>
      </c>
      <c r="I202" s="10">
        <v>6</v>
      </c>
      <c r="J202" s="10">
        <v>545</v>
      </c>
      <c r="K202" s="10">
        <v>34260088.544006445</v>
      </c>
    </row>
    <row r="203" spans="1:11" x14ac:dyDescent="0.35">
      <c r="A203" s="9" t="s">
        <v>317</v>
      </c>
      <c r="B203" s="10">
        <v>463</v>
      </c>
      <c r="C203" s="10">
        <v>6</v>
      </c>
      <c r="D203" s="10">
        <v>1</v>
      </c>
      <c r="E203" s="10">
        <v>366</v>
      </c>
      <c r="F203" s="10">
        <v>16944716.154814363</v>
      </c>
      <c r="G203" s="10">
        <v>453</v>
      </c>
      <c r="H203" s="10">
        <v>5</v>
      </c>
      <c r="I203" s="10">
        <v>0</v>
      </c>
      <c r="J203" s="10">
        <v>433</v>
      </c>
      <c r="K203" s="10">
        <v>18101519.652280584</v>
      </c>
    </row>
    <row r="204" spans="1:11" x14ac:dyDescent="0.35">
      <c r="A204" s="9" t="s">
        <v>318</v>
      </c>
      <c r="B204" s="10">
        <v>919</v>
      </c>
      <c r="C204" s="10">
        <v>18</v>
      </c>
      <c r="D204" s="10">
        <v>3</v>
      </c>
      <c r="E204" s="10">
        <v>667</v>
      </c>
      <c r="F204" s="10">
        <v>53578477.036826737</v>
      </c>
      <c r="G204" s="10">
        <v>830</v>
      </c>
      <c r="H204" s="10">
        <v>15</v>
      </c>
      <c r="I204" s="10">
        <v>4</v>
      </c>
      <c r="J204" s="10">
        <v>741</v>
      </c>
      <c r="K204" s="10">
        <v>50707554.674714036</v>
      </c>
    </row>
    <row r="205" spans="1:11" x14ac:dyDescent="0.35">
      <c r="A205" s="9" t="s">
        <v>319</v>
      </c>
      <c r="B205" s="10">
        <v>582</v>
      </c>
      <c r="C205" s="10">
        <v>6</v>
      </c>
      <c r="D205" s="10">
        <v>3</v>
      </c>
      <c r="E205" s="10">
        <v>515</v>
      </c>
      <c r="F205" s="10">
        <v>27535028.823359232</v>
      </c>
      <c r="G205" s="10">
        <v>604</v>
      </c>
      <c r="H205" s="10">
        <v>5</v>
      </c>
      <c r="I205" s="10">
        <v>4</v>
      </c>
      <c r="J205" s="10">
        <v>528</v>
      </c>
      <c r="K205" s="10">
        <v>28132151.964787442</v>
      </c>
    </row>
    <row r="206" spans="1:11" x14ac:dyDescent="0.35">
      <c r="A206" s="9" t="s">
        <v>320</v>
      </c>
      <c r="B206" s="10">
        <v>552</v>
      </c>
      <c r="C206" s="10">
        <v>7</v>
      </c>
      <c r="D206" s="10">
        <v>1</v>
      </c>
      <c r="E206" s="10">
        <v>571</v>
      </c>
      <c r="F206" s="10">
        <v>21811611.746478651</v>
      </c>
      <c r="G206" s="10">
        <v>673</v>
      </c>
      <c r="H206" s="10">
        <v>14</v>
      </c>
      <c r="I206" s="10">
        <v>1</v>
      </c>
      <c r="J206" s="10">
        <v>757</v>
      </c>
      <c r="K206" s="10">
        <v>23261466.032507718</v>
      </c>
    </row>
    <row r="207" spans="1:11" x14ac:dyDescent="0.35">
      <c r="A207" s="9" t="s">
        <v>321</v>
      </c>
      <c r="B207" s="10">
        <v>161</v>
      </c>
      <c r="C207" s="10">
        <v>0</v>
      </c>
      <c r="D207" s="10">
        <v>0</v>
      </c>
      <c r="E207" s="10">
        <v>129</v>
      </c>
      <c r="F207" s="10">
        <v>7781060.4700767742</v>
      </c>
      <c r="G207" s="10">
        <v>130</v>
      </c>
      <c r="H207" s="10">
        <v>1</v>
      </c>
      <c r="I207" s="10">
        <v>1</v>
      </c>
      <c r="J207" s="10">
        <v>105</v>
      </c>
      <c r="K207" s="10">
        <v>5160831.9495317964</v>
      </c>
    </row>
    <row r="208" spans="1:11" x14ac:dyDescent="0.35">
      <c r="A208" s="9" t="s">
        <v>322</v>
      </c>
      <c r="B208" s="10">
        <v>1009</v>
      </c>
      <c r="C208" s="10">
        <v>27</v>
      </c>
      <c r="D208" s="10">
        <v>5</v>
      </c>
      <c r="E208" s="10">
        <v>1035</v>
      </c>
      <c r="F208" s="10">
        <v>55125160.812866099</v>
      </c>
      <c r="G208" s="10">
        <v>860</v>
      </c>
      <c r="H208" s="10">
        <v>34</v>
      </c>
      <c r="I208" s="10">
        <v>4</v>
      </c>
      <c r="J208" s="10">
        <v>795</v>
      </c>
      <c r="K208" s="10">
        <v>54684235.082875215</v>
      </c>
    </row>
    <row r="209" spans="1:11" x14ac:dyDescent="0.35">
      <c r="A209" s="9" t="s">
        <v>323</v>
      </c>
      <c r="B209" s="10">
        <v>559</v>
      </c>
      <c r="C209" s="10">
        <v>19</v>
      </c>
      <c r="D209" s="10">
        <v>3</v>
      </c>
      <c r="E209" s="10">
        <v>522</v>
      </c>
      <c r="F209" s="10">
        <v>26721877.021199785</v>
      </c>
      <c r="G209" s="10">
        <v>599</v>
      </c>
      <c r="H209" s="10">
        <v>13</v>
      </c>
      <c r="I209" s="10">
        <v>2</v>
      </c>
      <c r="J209" s="10">
        <v>474</v>
      </c>
      <c r="K209" s="10">
        <v>26717882.735133443</v>
      </c>
    </row>
    <row r="210" spans="1:11" x14ac:dyDescent="0.35">
      <c r="A210" s="9" t="s">
        <v>324</v>
      </c>
      <c r="B210" s="10">
        <v>901</v>
      </c>
      <c r="C210" s="10">
        <v>8</v>
      </c>
      <c r="D210" s="10">
        <v>3</v>
      </c>
      <c r="E210" s="10">
        <v>841</v>
      </c>
      <c r="F210" s="10">
        <v>35545675.180159666</v>
      </c>
      <c r="G210" s="10">
        <v>530</v>
      </c>
      <c r="H210" s="10">
        <v>19</v>
      </c>
      <c r="I210" s="10">
        <v>3</v>
      </c>
      <c r="J210" s="10">
        <v>78</v>
      </c>
      <c r="K210" s="10">
        <v>36010881.08033096</v>
      </c>
    </row>
    <row r="211" spans="1:11" x14ac:dyDescent="0.35">
      <c r="A211" s="9" t="s">
        <v>325</v>
      </c>
      <c r="B211" s="10">
        <v>396</v>
      </c>
      <c r="C211" s="10">
        <v>8</v>
      </c>
      <c r="D211" s="10">
        <v>1</v>
      </c>
      <c r="E211" s="10">
        <v>340</v>
      </c>
      <c r="F211" s="10">
        <v>19367691.053955201</v>
      </c>
      <c r="G211" s="10">
        <v>353</v>
      </c>
      <c r="H211" s="10">
        <v>10</v>
      </c>
      <c r="I211" s="10">
        <v>0</v>
      </c>
      <c r="J211" s="10">
        <v>320</v>
      </c>
      <c r="K211" s="10">
        <v>21444887.328429747</v>
      </c>
    </row>
    <row r="212" spans="1:11" x14ac:dyDescent="0.35">
      <c r="A212" s="9" t="s">
        <v>326</v>
      </c>
      <c r="B212" s="10">
        <v>802</v>
      </c>
      <c r="C212" s="10">
        <v>208</v>
      </c>
      <c r="D212" s="10">
        <v>4</v>
      </c>
      <c r="E212" s="10">
        <v>539</v>
      </c>
      <c r="F212" s="10">
        <v>34019704.027230404</v>
      </c>
      <c r="G212" s="10">
        <v>911</v>
      </c>
      <c r="H212" s="10">
        <v>323</v>
      </c>
      <c r="I212" s="10">
        <v>6</v>
      </c>
      <c r="J212" s="10">
        <v>559</v>
      </c>
      <c r="K212" s="10">
        <v>33087379.943445865</v>
      </c>
    </row>
    <row r="213" spans="1:11" x14ac:dyDescent="0.35">
      <c r="A213" s="9" t="s">
        <v>327</v>
      </c>
      <c r="B213" s="10">
        <v>1249</v>
      </c>
      <c r="C213" s="10">
        <v>12</v>
      </c>
      <c r="D213" s="10">
        <v>1</v>
      </c>
      <c r="E213" s="10">
        <v>1235</v>
      </c>
      <c r="F213" s="10">
        <v>51905110.385527581</v>
      </c>
      <c r="G213" s="10">
        <v>1213</v>
      </c>
      <c r="H213" s="10">
        <v>14</v>
      </c>
      <c r="I213" s="10">
        <v>1</v>
      </c>
      <c r="J213" s="10">
        <v>1139</v>
      </c>
      <c r="K213" s="10">
        <v>50555584.920113765</v>
      </c>
    </row>
    <row r="214" spans="1:11" x14ac:dyDescent="0.35">
      <c r="A214" s="9" t="s">
        <v>328</v>
      </c>
      <c r="B214" s="10">
        <v>453</v>
      </c>
      <c r="C214" s="10">
        <v>13</v>
      </c>
      <c r="D214" s="10">
        <v>5</v>
      </c>
      <c r="E214" s="10">
        <v>458</v>
      </c>
      <c r="F214" s="10">
        <v>24775357.857379325</v>
      </c>
      <c r="G214" s="10">
        <v>484</v>
      </c>
      <c r="H214" s="10">
        <v>8</v>
      </c>
      <c r="I214" s="10">
        <v>4</v>
      </c>
      <c r="J214" s="10">
        <v>494</v>
      </c>
      <c r="K214" s="10">
        <v>22472739.618636657</v>
      </c>
    </row>
    <row r="215" spans="1:11" x14ac:dyDescent="0.35">
      <c r="A215" s="9" t="s">
        <v>329</v>
      </c>
      <c r="B215" s="10">
        <v>571</v>
      </c>
      <c r="C215" s="10">
        <v>8</v>
      </c>
      <c r="D215" s="10">
        <v>1</v>
      </c>
      <c r="E215" s="10">
        <v>680</v>
      </c>
      <c r="F215" s="10">
        <v>23920498.04587305</v>
      </c>
      <c r="G215" s="10">
        <v>822</v>
      </c>
      <c r="H215" s="10">
        <v>15</v>
      </c>
      <c r="I215" s="10">
        <v>1</v>
      </c>
      <c r="J215" s="10">
        <v>797</v>
      </c>
      <c r="K215" s="10">
        <v>33427409.442008704</v>
      </c>
    </row>
    <row r="216" spans="1:11" x14ac:dyDescent="0.35">
      <c r="A216" s="9" t="s">
        <v>330</v>
      </c>
      <c r="B216" s="10">
        <v>838</v>
      </c>
      <c r="C216" s="10">
        <v>21</v>
      </c>
      <c r="D216" s="10">
        <v>3</v>
      </c>
      <c r="E216" s="10">
        <v>746</v>
      </c>
      <c r="F216" s="10">
        <v>39894677.060136929</v>
      </c>
      <c r="G216" s="10">
        <v>885</v>
      </c>
      <c r="H216" s="10">
        <v>31</v>
      </c>
      <c r="I216" s="10">
        <v>2</v>
      </c>
      <c r="J216" s="10">
        <v>896</v>
      </c>
      <c r="K216" s="10">
        <v>37703949.266861171</v>
      </c>
    </row>
    <row r="217" spans="1:11" x14ac:dyDescent="0.35">
      <c r="A217" s="9" t="s">
        <v>331</v>
      </c>
      <c r="B217" s="10">
        <v>472</v>
      </c>
      <c r="C217" s="10">
        <v>7</v>
      </c>
      <c r="D217" s="10">
        <v>3</v>
      </c>
      <c r="E217" s="10">
        <v>401</v>
      </c>
      <c r="F217" s="10">
        <v>23622986.651526321</v>
      </c>
      <c r="G217" s="10">
        <v>413</v>
      </c>
      <c r="H217" s="10">
        <v>3</v>
      </c>
      <c r="I217" s="10">
        <v>2</v>
      </c>
      <c r="J217" s="10">
        <v>361</v>
      </c>
      <c r="K217" s="10">
        <v>21443827.549902853</v>
      </c>
    </row>
    <row r="218" spans="1:11" x14ac:dyDescent="0.35">
      <c r="A218" s="9" t="s">
        <v>332</v>
      </c>
      <c r="B218" s="10">
        <v>562</v>
      </c>
      <c r="C218" s="10">
        <v>10</v>
      </c>
      <c r="D218" s="10">
        <v>3</v>
      </c>
      <c r="E218" s="10">
        <v>603</v>
      </c>
      <c r="F218" s="10">
        <v>30266387.185824275</v>
      </c>
      <c r="G218" s="10">
        <v>291</v>
      </c>
      <c r="H218" s="10">
        <v>10</v>
      </c>
      <c r="I218" s="10">
        <v>3</v>
      </c>
      <c r="J218" s="10">
        <v>389</v>
      </c>
      <c r="K218" s="10">
        <v>26670581.269259702</v>
      </c>
    </row>
    <row r="219" spans="1:11" x14ac:dyDescent="0.35">
      <c r="A219" s="9" t="s">
        <v>333</v>
      </c>
      <c r="B219" s="10">
        <v>1131</v>
      </c>
      <c r="C219" s="10">
        <v>49</v>
      </c>
      <c r="D219" s="10">
        <v>6</v>
      </c>
      <c r="E219" s="10">
        <v>1386</v>
      </c>
      <c r="F219" s="10">
        <v>56254022.500903502</v>
      </c>
      <c r="G219" s="10">
        <v>1499</v>
      </c>
      <c r="H219" s="10">
        <v>51</v>
      </c>
      <c r="I219" s="10">
        <v>6</v>
      </c>
      <c r="J219" s="10">
        <v>1430</v>
      </c>
      <c r="K219" s="10">
        <v>60185758.285219707</v>
      </c>
    </row>
    <row r="220" spans="1:11" x14ac:dyDescent="0.35">
      <c r="A220" s="9" t="s">
        <v>334</v>
      </c>
      <c r="B220" s="10">
        <v>338</v>
      </c>
      <c r="C220" s="10">
        <v>3</v>
      </c>
      <c r="D220" s="10">
        <v>3</v>
      </c>
      <c r="E220" s="10">
        <v>252</v>
      </c>
      <c r="F220" s="10">
        <v>9353526.3314294498</v>
      </c>
      <c r="G220" s="10">
        <v>348</v>
      </c>
      <c r="H220" s="10">
        <v>8</v>
      </c>
      <c r="I220" s="10">
        <v>4</v>
      </c>
      <c r="J220" s="10">
        <v>339</v>
      </c>
      <c r="K220" s="10">
        <v>13586940.691322261</v>
      </c>
    </row>
    <row r="221" spans="1:11" x14ac:dyDescent="0.35">
      <c r="A221" s="9" t="s">
        <v>335</v>
      </c>
      <c r="B221" s="10">
        <v>203</v>
      </c>
      <c r="C221" s="10">
        <v>9</v>
      </c>
      <c r="D221" s="10">
        <v>1</v>
      </c>
      <c r="E221" s="10">
        <v>150</v>
      </c>
      <c r="F221" s="10">
        <v>4857410.4689021166</v>
      </c>
      <c r="G221" s="10">
        <v>169</v>
      </c>
      <c r="H221" s="10">
        <v>9</v>
      </c>
      <c r="I221" s="10">
        <v>1</v>
      </c>
      <c r="J221" s="10">
        <v>145</v>
      </c>
      <c r="K221" s="10">
        <v>5423758.5962454667</v>
      </c>
    </row>
    <row r="222" spans="1:11" x14ac:dyDescent="0.35">
      <c r="A222" s="9" t="s">
        <v>336</v>
      </c>
      <c r="B222" s="10">
        <v>547</v>
      </c>
      <c r="C222" s="10">
        <v>20</v>
      </c>
      <c r="D222" s="10">
        <v>4</v>
      </c>
      <c r="E222" s="10">
        <v>488</v>
      </c>
      <c r="F222" s="10">
        <v>26157903.420643888</v>
      </c>
      <c r="G222" s="10">
        <v>528</v>
      </c>
      <c r="H222" s="10">
        <v>14</v>
      </c>
      <c r="I222" s="10">
        <v>3</v>
      </c>
      <c r="J222" s="10">
        <v>441</v>
      </c>
      <c r="K222" s="10">
        <v>26605508.250811879</v>
      </c>
    </row>
    <row r="223" spans="1:11" x14ac:dyDescent="0.35">
      <c r="A223" s="9" t="s">
        <v>337</v>
      </c>
      <c r="B223" s="10">
        <v>610</v>
      </c>
      <c r="C223" s="10">
        <v>17</v>
      </c>
      <c r="D223" s="10">
        <v>5</v>
      </c>
      <c r="E223" s="10">
        <v>384</v>
      </c>
      <c r="F223" s="10">
        <v>21649990.352825917</v>
      </c>
      <c r="G223" s="10">
        <v>523</v>
      </c>
      <c r="H223" s="10">
        <v>9</v>
      </c>
      <c r="I223" s="10">
        <v>5</v>
      </c>
      <c r="J223" s="10">
        <v>375</v>
      </c>
      <c r="K223" s="10">
        <v>22105936.28932612</v>
      </c>
    </row>
    <row r="224" spans="1:11" x14ac:dyDescent="0.35">
      <c r="A224" s="9" t="s">
        <v>338</v>
      </c>
      <c r="B224" s="10">
        <v>848</v>
      </c>
      <c r="C224" s="10">
        <v>22</v>
      </c>
      <c r="D224" s="10">
        <v>4</v>
      </c>
      <c r="E224" s="10">
        <v>809</v>
      </c>
      <c r="F224" s="10">
        <v>29746553.102454551</v>
      </c>
      <c r="G224" s="10">
        <v>812</v>
      </c>
      <c r="H224" s="10">
        <v>22</v>
      </c>
      <c r="I224" s="10">
        <v>4</v>
      </c>
      <c r="J224" s="10">
        <v>761</v>
      </c>
      <c r="K224" s="10">
        <v>36188847.821527861</v>
      </c>
    </row>
    <row r="225" spans="1:11" x14ac:dyDescent="0.35">
      <c r="A225" s="9" t="s">
        <v>339</v>
      </c>
      <c r="B225" s="10">
        <v>367</v>
      </c>
      <c r="C225" s="10">
        <v>3</v>
      </c>
      <c r="D225" s="10">
        <v>3</v>
      </c>
      <c r="E225" s="10">
        <v>304</v>
      </c>
      <c r="F225" s="10">
        <v>13270573.099587301</v>
      </c>
      <c r="G225" s="10">
        <v>358</v>
      </c>
      <c r="H225" s="10">
        <v>10</v>
      </c>
      <c r="I225" s="10">
        <v>3</v>
      </c>
      <c r="J225" s="10">
        <v>327</v>
      </c>
      <c r="K225" s="10">
        <v>13117718.50856833</v>
      </c>
    </row>
    <row r="226" spans="1:11" x14ac:dyDescent="0.35">
      <c r="A226" s="9" t="s">
        <v>340</v>
      </c>
      <c r="B226" s="10">
        <v>511</v>
      </c>
      <c r="C226" s="10">
        <v>6</v>
      </c>
      <c r="D226" s="10">
        <v>3</v>
      </c>
      <c r="E226" s="10">
        <v>426</v>
      </c>
      <c r="F226" s="10">
        <v>11660722.598428136</v>
      </c>
      <c r="G226" s="10">
        <v>648</v>
      </c>
      <c r="H226" s="10">
        <v>12</v>
      </c>
      <c r="I226" s="10">
        <v>1</v>
      </c>
      <c r="J226" s="10">
        <v>558</v>
      </c>
      <c r="K226" s="10">
        <v>13202978.205177261</v>
      </c>
    </row>
    <row r="227" spans="1:11" x14ac:dyDescent="0.35">
      <c r="A227" s="9" t="s">
        <v>341</v>
      </c>
      <c r="B227" s="10">
        <v>816</v>
      </c>
      <c r="C227" s="10">
        <v>17</v>
      </c>
      <c r="D227" s="10">
        <v>2</v>
      </c>
      <c r="E227" s="10">
        <v>800</v>
      </c>
      <c r="F227" s="10">
        <v>27382203.415269513</v>
      </c>
      <c r="G227" s="10">
        <v>816</v>
      </c>
      <c r="H227" s="10">
        <v>23</v>
      </c>
      <c r="I227" s="10">
        <v>2</v>
      </c>
      <c r="J227" s="10">
        <v>749</v>
      </c>
      <c r="K227" s="10">
        <v>30587295.474083569</v>
      </c>
    </row>
    <row r="228" spans="1:11" x14ac:dyDescent="0.35">
      <c r="A228" s="9" t="s">
        <v>342</v>
      </c>
      <c r="B228" s="10">
        <v>399</v>
      </c>
      <c r="C228" s="10">
        <v>6</v>
      </c>
      <c r="D228" s="10">
        <v>1</v>
      </c>
      <c r="E228" s="10">
        <v>339</v>
      </c>
      <c r="F228" s="10">
        <v>13835700.18329902</v>
      </c>
      <c r="G228" s="10">
        <v>310</v>
      </c>
      <c r="H228" s="10">
        <v>4</v>
      </c>
      <c r="I228" s="10">
        <v>1</v>
      </c>
      <c r="J228" s="10">
        <v>295</v>
      </c>
      <c r="K228" s="10">
        <v>12899747.244485153</v>
      </c>
    </row>
    <row r="229" spans="1:11" x14ac:dyDescent="0.35">
      <c r="A229" s="9" t="s">
        <v>343</v>
      </c>
      <c r="B229" s="10">
        <v>460</v>
      </c>
      <c r="C229" s="10">
        <v>10</v>
      </c>
      <c r="D229" s="10">
        <v>0</v>
      </c>
      <c r="E229" s="10">
        <v>366</v>
      </c>
      <c r="F229" s="10">
        <v>23571911.01526764</v>
      </c>
      <c r="G229" s="10">
        <v>439</v>
      </c>
      <c r="H229" s="10">
        <v>8</v>
      </c>
      <c r="I229" s="10">
        <v>1</v>
      </c>
      <c r="J229" s="10">
        <v>385</v>
      </c>
      <c r="K229" s="10">
        <v>28062606.358970329</v>
      </c>
    </row>
    <row r="230" spans="1:11" x14ac:dyDescent="0.35">
      <c r="A230" s="9" t="s">
        <v>344</v>
      </c>
      <c r="B230" s="10">
        <v>337</v>
      </c>
      <c r="C230" s="10">
        <v>3</v>
      </c>
      <c r="D230" s="10">
        <v>0</v>
      </c>
      <c r="E230" s="10">
        <v>299</v>
      </c>
      <c r="F230" s="10">
        <v>9543687.9631612338</v>
      </c>
      <c r="G230" s="10">
        <v>280</v>
      </c>
      <c r="H230" s="10">
        <v>6</v>
      </c>
      <c r="I230" s="10">
        <v>0</v>
      </c>
      <c r="J230" s="10">
        <v>299</v>
      </c>
      <c r="K230" s="10">
        <v>9292135.4841741882</v>
      </c>
    </row>
    <row r="231" spans="1:11" x14ac:dyDescent="0.35">
      <c r="A231" s="9" t="s">
        <v>345</v>
      </c>
      <c r="B231" s="10">
        <v>578</v>
      </c>
      <c r="C231" s="10">
        <v>5</v>
      </c>
      <c r="D231" s="10">
        <v>2</v>
      </c>
      <c r="E231" s="10">
        <v>529</v>
      </c>
      <c r="F231" s="10">
        <v>13467270.517475892</v>
      </c>
      <c r="G231" s="10">
        <v>467</v>
      </c>
      <c r="H231" s="10">
        <v>9</v>
      </c>
      <c r="I231" s="10">
        <v>2</v>
      </c>
      <c r="J231" s="10">
        <v>485</v>
      </c>
      <c r="K231" s="10">
        <v>13650615.378608679</v>
      </c>
    </row>
    <row r="232" spans="1:11" x14ac:dyDescent="0.35">
      <c r="A232" s="9" t="s">
        <v>346</v>
      </c>
      <c r="B232" s="10">
        <v>362</v>
      </c>
      <c r="C232" s="10">
        <v>8</v>
      </c>
      <c r="D232" s="10">
        <v>2</v>
      </c>
      <c r="E232" s="10">
        <v>310</v>
      </c>
      <c r="F232" s="10">
        <v>13183783.977524752</v>
      </c>
      <c r="G232" s="10">
        <v>601</v>
      </c>
      <c r="H232" s="10">
        <v>12</v>
      </c>
      <c r="I232" s="10">
        <v>1</v>
      </c>
      <c r="J232" s="10">
        <v>547</v>
      </c>
      <c r="K232" s="10">
        <v>16201182.85179035</v>
      </c>
    </row>
    <row r="233" spans="1:11" x14ac:dyDescent="0.35">
      <c r="A233" s="9" t="s">
        <v>347</v>
      </c>
      <c r="B233" s="10">
        <v>310</v>
      </c>
      <c r="C233" s="10">
        <v>3</v>
      </c>
      <c r="D233" s="10">
        <v>1</v>
      </c>
      <c r="E233" s="10">
        <v>296</v>
      </c>
      <c r="F233" s="10">
        <v>11109348.41554556</v>
      </c>
      <c r="G233" s="10">
        <v>338</v>
      </c>
      <c r="H233" s="10">
        <v>11</v>
      </c>
      <c r="I233" s="10">
        <v>0</v>
      </c>
      <c r="J233" s="10">
        <v>277</v>
      </c>
      <c r="K233" s="10">
        <v>11848621.492509088</v>
      </c>
    </row>
    <row r="234" spans="1:11" x14ac:dyDescent="0.35">
      <c r="A234" s="9" t="s">
        <v>348</v>
      </c>
      <c r="B234" s="10">
        <v>314</v>
      </c>
      <c r="C234" s="10">
        <v>8</v>
      </c>
      <c r="D234" s="10">
        <v>1</v>
      </c>
      <c r="E234" s="10">
        <v>306</v>
      </c>
      <c r="F234" s="10">
        <v>10726252.017856488</v>
      </c>
      <c r="G234" s="10">
        <v>22</v>
      </c>
      <c r="H234" s="10">
        <v>1</v>
      </c>
      <c r="I234" s="10">
        <v>1</v>
      </c>
      <c r="J234" s="10">
        <v>1</v>
      </c>
      <c r="K234" s="10">
        <v>5594204.5402652631</v>
      </c>
    </row>
    <row r="235" spans="1:11" x14ac:dyDescent="0.35">
      <c r="A235" s="9" t="s">
        <v>349</v>
      </c>
      <c r="B235" s="10">
        <v>952</v>
      </c>
      <c r="C235" s="10">
        <v>29</v>
      </c>
      <c r="D235" s="10">
        <v>3</v>
      </c>
      <c r="E235" s="10">
        <v>955</v>
      </c>
      <c r="F235" s="10">
        <v>40061718.59960492</v>
      </c>
      <c r="G235" s="10">
        <v>1221</v>
      </c>
      <c r="H235" s="10">
        <v>36</v>
      </c>
      <c r="I235" s="10">
        <v>3</v>
      </c>
      <c r="J235" s="10">
        <v>1164</v>
      </c>
      <c r="K235" s="10">
        <v>43132128.080233619</v>
      </c>
    </row>
    <row r="236" spans="1:11" x14ac:dyDescent="0.35">
      <c r="A236" s="9" t="s">
        <v>350</v>
      </c>
      <c r="B236" s="10">
        <v>617</v>
      </c>
      <c r="C236" s="10">
        <v>5</v>
      </c>
      <c r="D236" s="10">
        <v>1</v>
      </c>
      <c r="E236" s="10">
        <v>517</v>
      </c>
      <c r="F236" s="10">
        <v>24428030.266621944</v>
      </c>
      <c r="G236" s="10">
        <v>608</v>
      </c>
      <c r="H236" s="10">
        <v>5</v>
      </c>
      <c r="I236" s="10">
        <v>1</v>
      </c>
      <c r="J236" s="10">
        <v>556</v>
      </c>
      <c r="K236" s="10">
        <v>24460868.920817699</v>
      </c>
    </row>
    <row r="237" spans="1:11" x14ac:dyDescent="0.35">
      <c r="A237" s="9" t="s">
        <v>351</v>
      </c>
      <c r="B237" s="10">
        <v>439</v>
      </c>
      <c r="C237" s="10">
        <v>5</v>
      </c>
      <c r="D237" s="10">
        <v>2</v>
      </c>
      <c r="E237" s="10">
        <v>330</v>
      </c>
      <c r="F237" s="10">
        <v>12403609.15326638</v>
      </c>
      <c r="G237" s="10">
        <v>373</v>
      </c>
      <c r="H237" s="10">
        <v>7</v>
      </c>
      <c r="I237" s="10">
        <v>2</v>
      </c>
      <c r="J237" s="10">
        <v>353</v>
      </c>
      <c r="K237" s="10">
        <v>13097607.828695238</v>
      </c>
    </row>
    <row r="238" spans="1:11" x14ac:dyDescent="0.35">
      <c r="A238" s="9" t="s">
        <v>352</v>
      </c>
      <c r="B238" s="10">
        <v>813</v>
      </c>
      <c r="C238" s="10">
        <v>11</v>
      </c>
      <c r="D238" s="10">
        <v>2</v>
      </c>
      <c r="E238" s="10">
        <v>826</v>
      </c>
      <c r="F238" s="10">
        <v>22774650.285749655</v>
      </c>
      <c r="G238" s="10">
        <v>626</v>
      </c>
      <c r="H238" s="10">
        <v>11</v>
      </c>
      <c r="I238" s="10">
        <v>3</v>
      </c>
      <c r="J238" s="10">
        <v>702</v>
      </c>
      <c r="K238" s="10">
        <v>25489197.452067524</v>
      </c>
    </row>
    <row r="239" spans="1:11" x14ac:dyDescent="0.35">
      <c r="A239" s="9" t="s">
        <v>353</v>
      </c>
      <c r="B239" s="10">
        <v>594</v>
      </c>
      <c r="C239" s="10">
        <v>2</v>
      </c>
      <c r="D239" s="10">
        <v>2</v>
      </c>
      <c r="E239" s="10">
        <v>401</v>
      </c>
      <c r="F239" s="10">
        <v>21394976.137206934</v>
      </c>
      <c r="G239" s="10">
        <v>502</v>
      </c>
      <c r="H239" s="10">
        <v>12</v>
      </c>
      <c r="I239" s="10">
        <v>1</v>
      </c>
      <c r="J239" s="10">
        <v>435</v>
      </c>
      <c r="K239" s="10">
        <v>20719389.527237669</v>
      </c>
    </row>
    <row r="240" spans="1:11" x14ac:dyDescent="0.35">
      <c r="A240" s="9" t="s">
        <v>354</v>
      </c>
      <c r="B240" s="10">
        <v>957</v>
      </c>
      <c r="C240" s="10">
        <v>46</v>
      </c>
      <c r="D240" s="10">
        <v>2</v>
      </c>
      <c r="E240" s="10">
        <v>803</v>
      </c>
      <c r="F240" s="10">
        <v>42303469.572765119</v>
      </c>
      <c r="G240" s="10">
        <v>806</v>
      </c>
      <c r="H240" s="10">
        <v>18</v>
      </c>
      <c r="I240" s="10">
        <v>2</v>
      </c>
      <c r="J240" s="10">
        <v>725</v>
      </c>
      <c r="K240" s="10">
        <v>29842141.775660075</v>
      </c>
    </row>
    <row r="241" spans="1:11" x14ac:dyDescent="0.35">
      <c r="A241" s="9" t="s">
        <v>355</v>
      </c>
      <c r="B241" s="10">
        <v>98</v>
      </c>
      <c r="C241" s="10">
        <v>3</v>
      </c>
      <c r="D241" s="10">
        <v>1</v>
      </c>
      <c r="E241" s="10">
        <v>93</v>
      </c>
      <c r="F241" s="10">
        <v>2540584.9307514541</v>
      </c>
      <c r="G241" s="10">
        <v>148</v>
      </c>
      <c r="H241" s="10">
        <v>4</v>
      </c>
      <c r="I241" s="10">
        <v>0</v>
      </c>
      <c r="J241" s="10">
        <v>147</v>
      </c>
      <c r="K241" s="10">
        <v>3213136.5189246321</v>
      </c>
    </row>
    <row r="242" spans="1:11" x14ac:dyDescent="0.35">
      <c r="A242" s="9" t="s">
        <v>356</v>
      </c>
      <c r="B242" s="10">
        <v>619</v>
      </c>
      <c r="C242" s="10">
        <v>16</v>
      </c>
      <c r="D242" s="10">
        <v>6</v>
      </c>
      <c r="E242" s="10">
        <v>569</v>
      </c>
      <c r="F242" s="10">
        <v>20659277.59217665</v>
      </c>
      <c r="G242" s="10">
        <v>611</v>
      </c>
      <c r="H242" s="10">
        <v>13</v>
      </c>
      <c r="I242" s="10">
        <v>5</v>
      </c>
      <c r="J242" s="10">
        <v>582</v>
      </c>
      <c r="K242" s="10">
        <v>19977546.840313766</v>
      </c>
    </row>
    <row r="243" spans="1:11" x14ac:dyDescent="0.35">
      <c r="A243" s="9" t="s">
        <v>357</v>
      </c>
      <c r="B243" s="10">
        <v>537</v>
      </c>
      <c r="C243" s="10">
        <v>16</v>
      </c>
      <c r="D243" s="10">
        <v>1</v>
      </c>
      <c r="E243" s="10">
        <v>449</v>
      </c>
      <c r="F243" s="10">
        <v>16157981.633544205</v>
      </c>
      <c r="G243" s="10">
        <v>441</v>
      </c>
      <c r="H243" s="10">
        <v>21</v>
      </c>
      <c r="I243" s="10">
        <v>0</v>
      </c>
      <c r="J243" s="10">
        <v>409</v>
      </c>
      <c r="K243" s="10">
        <v>18966693.880809605</v>
      </c>
    </row>
    <row r="244" spans="1:11" x14ac:dyDescent="0.35">
      <c r="A244" s="9" t="s">
        <v>358</v>
      </c>
      <c r="B244" s="10">
        <v>777</v>
      </c>
      <c r="C244" s="10">
        <v>10</v>
      </c>
      <c r="D244" s="10">
        <v>1</v>
      </c>
      <c r="E244" s="10">
        <v>669</v>
      </c>
      <c r="F244" s="10">
        <v>28324134.940035574</v>
      </c>
      <c r="G244" s="10">
        <v>784</v>
      </c>
      <c r="H244" s="10">
        <v>11</v>
      </c>
      <c r="I244" s="10">
        <v>1</v>
      </c>
      <c r="J244" s="10">
        <v>693</v>
      </c>
      <c r="K244" s="10">
        <v>29215172.425183751</v>
      </c>
    </row>
    <row r="245" spans="1:11" x14ac:dyDescent="0.35">
      <c r="A245" s="9" t="s">
        <v>359</v>
      </c>
      <c r="B245" s="10">
        <v>195</v>
      </c>
      <c r="C245" s="10">
        <v>5</v>
      </c>
      <c r="D245" s="10">
        <v>0</v>
      </c>
      <c r="E245" s="10">
        <v>96</v>
      </c>
      <c r="F245" s="10">
        <v>7644458.1745719444</v>
      </c>
      <c r="G245" s="10">
        <v>168</v>
      </c>
      <c r="H245" s="10">
        <v>4</v>
      </c>
      <c r="I245" s="10">
        <v>0</v>
      </c>
      <c r="J245" s="10">
        <v>136</v>
      </c>
      <c r="K245" s="10">
        <v>9051681.791805692</v>
      </c>
    </row>
    <row r="246" spans="1:11" x14ac:dyDescent="0.35">
      <c r="A246" s="9" t="s">
        <v>360</v>
      </c>
      <c r="B246" s="10">
        <v>697</v>
      </c>
      <c r="C246" s="10">
        <v>13</v>
      </c>
      <c r="D246" s="10">
        <v>2</v>
      </c>
      <c r="E246" s="10">
        <v>570</v>
      </c>
      <c r="F246" s="10">
        <v>20170939.113697369</v>
      </c>
      <c r="G246" s="10">
        <v>754</v>
      </c>
      <c r="H246" s="10">
        <v>10</v>
      </c>
      <c r="I246" s="10">
        <v>2</v>
      </c>
      <c r="J246" s="10">
        <v>596</v>
      </c>
      <c r="K246" s="10">
        <v>18383026.351650469</v>
      </c>
    </row>
    <row r="247" spans="1:11" x14ac:dyDescent="0.35">
      <c r="A247" s="9" t="s">
        <v>361</v>
      </c>
      <c r="B247" s="10">
        <v>1284</v>
      </c>
      <c r="C247" s="10">
        <v>30</v>
      </c>
      <c r="D247" s="10">
        <v>1</v>
      </c>
      <c r="E247" s="10">
        <v>1282</v>
      </c>
      <c r="F247" s="10">
        <v>28454156.940354213</v>
      </c>
      <c r="G247" s="10">
        <v>1350</v>
      </c>
      <c r="H247" s="10">
        <v>115</v>
      </c>
      <c r="I247" s="10">
        <v>2</v>
      </c>
      <c r="J247" s="10">
        <v>1272</v>
      </c>
      <c r="K247" s="10">
        <v>34716586.175310649</v>
      </c>
    </row>
    <row r="248" spans="1:11" x14ac:dyDescent="0.35">
      <c r="A248" s="9" t="s">
        <v>362</v>
      </c>
      <c r="B248" s="10">
        <v>542</v>
      </c>
      <c r="C248" s="10">
        <v>11</v>
      </c>
      <c r="D248" s="10">
        <v>3</v>
      </c>
      <c r="E248" s="10">
        <v>369</v>
      </c>
      <c r="F248" s="10">
        <v>17436084.242039721</v>
      </c>
      <c r="G248" s="10">
        <v>542</v>
      </c>
      <c r="H248" s="10">
        <v>9</v>
      </c>
      <c r="I248" s="10">
        <v>3</v>
      </c>
      <c r="J248" s="10">
        <v>454</v>
      </c>
      <c r="K248" s="10">
        <v>18413413.944265049</v>
      </c>
    </row>
    <row r="249" spans="1:11" x14ac:dyDescent="0.35">
      <c r="A249" s="9" t="s">
        <v>363</v>
      </c>
      <c r="B249" s="10">
        <v>204</v>
      </c>
      <c r="C249" s="10">
        <v>4</v>
      </c>
      <c r="D249" s="10">
        <v>1</v>
      </c>
      <c r="E249" s="10">
        <v>336</v>
      </c>
      <c r="F249" s="10">
        <v>6500763.8701328402</v>
      </c>
      <c r="G249" s="10">
        <v>224</v>
      </c>
      <c r="H249" s="10">
        <v>3</v>
      </c>
      <c r="I249" s="10">
        <v>1</v>
      </c>
      <c r="J249" s="10">
        <v>207</v>
      </c>
      <c r="K249" s="10">
        <v>6717825.3666461669</v>
      </c>
    </row>
    <row r="250" spans="1:11" x14ac:dyDescent="0.35">
      <c r="A250" s="9" t="s">
        <v>364</v>
      </c>
      <c r="B250" s="10">
        <v>338</v>
      </c>
      <c r="C250" s="10">
        <v>8</v>
      </c>
      <c r="D250" s="10">
        <v>2</v>
      </c>
      <c r="E250" s="10">
        <v>295</v>
      </c>
      <c r="F250" s="10">
        <v>11554563.758000443</v>
      </c>
      <c r="G250" s="10">
        <v>265</v>
      </c>
      <c r="H250" s="10">
        <v>4</v>
      </c>
      <c r="I250" s="10">
        <v>2</v>
      </c>
      <c r="J250" s="10">
        <v>227</v>
      </c>
      <c r="K250" s="10">
        <v>11614264.055132885</v>
      </c>
    </row>
    <row r="251" spans="1:11" x14ac:dyDescent="0.35">
      <c r="A251" s="9" t="s">
        <v>365</v>
      </c>
      <c r="B251" s="10">
        <v>1098</v>
      </c>
      <c r="C251" s="10">
        <v>15</v>
      </c>
      <c r="D251" s="10">
        <v>0</v>
      </c>
      <c r="E251" s="10">
        <v>997</v>
      </c>
      <c r="F251" s="10">
        <v>35030628.906486161</v>
      </c>
      <c r="G251" s="10">
        <v>1030</v>
      </c>
      <c r="H251" s="10">
        <v>28</v>
      </c>
      <c r="I251" s="10">
        <v>0</v>
      </c>
      <c r="J251" s="10">
        <v>970</v>
      </c>
      <c r="K251" s="10">
        <v>42046407.637899563</v>
      </c>
    </row>
    <row r="252" spans="1:11" x14ac:dyDescent="0.35">
      <c r="A252" s="9" t="s">
        <v>366</v>
      </c>
      <c r="B252" s="10">
        <v>639</v>
      </c>
      <c r="C252" s="10">
        <v>11</v>
      </c>
      <c r="D252" s="10">
        <v>4</v>
      </c>
      <c r="E252" s="10">
        <v>539</v>
      </c>
      <c r="F252" s="10">
        <v>15702845.933597643</v>
      </c>
      <c r="G252" s="10">
        <v>458</v>
      </c>
      <c r="H252" s="10">
        <v>8</v>
      </c>
      <c r="I252" s="10">
        <v>3</v>
      </c>
      <c r="J252" s="10">
        <v>413</v>
      </c>
      <c r="K252" s="10">
        <v>17496903.300091825</v>
      </c>
    </row>
    <row r="253" spans="1:11" x14ac:dyDescent="0.35">
      <c r="A253" s="9" t="s">
        <v>367</v>
      </c>
      <c r="B253" s="10">
        <v>595</v>
      </c>
      <c r="C253" s="10">
        <v>11</v>
      </c>
      <c r="D253" s="10">
        <v>3</v>
      </c>
      <c r="E253" s="10">
        <v>556</v>
      </c>
      <c r="F253" s="10">
        <v>19254483.495593317</v>
      </c>
      <c r="G253" s="10">
        <v>609</v>
      </c>
      <c r="H253" s="10">
        <v>8</v>
      </c>
      <c r="I253" s="10">
        <v>5</v>
      </c>
      <c r="J253" s="10">
        <v>591</v>
      </c>
      <c r="K253" s="10">
        <v>20517098.562588245</v>
      </c>
    </row>
    <row r="254" spans="1:11" x14ac:dyDescent="0.35">
      <c r="A254" s="9" t="s">
        <v>368</v>
      </c>
      <c r="B254" s="10">
        <v>332</v>
      </c>
      <c r="C254" s="10">
        <v>5</v>
      </c>
      <c r="D254" s="10">
        <v>1</v>
      </c>
      <c r="E254" s="10">
        <v>365</v>
      </c>
      <c r="F254" s="10">
        <v>13431059.806275284</v>
      </c>
      <c r="G254" s="10">
        <v>364</v>
      </c>
      <c r="H254" s="10">
        <v>10</v>
      </c>
      <c r="I254" s="10">
        <v>1</v>
      </c>
      <c r="J254" s="10">
        <v>349</v>
      </c>
      <c r="K254" s="10">
        <v>14392481.650966069</v>
      </c>
    </row>
    <row r="255" spans="1:11" x14ac:dyDescent="0.35">
      <c r="A255" s="9" t="s">
        <v>369</v>
      </c>
      <c r="B255" s="10">
        <v>400</v>
      </c>
      <c r="C255" s="10">
        <v>8</v>
      </c>
      <c r="D255" s="10">
        <v>0</v>
      </c>
      <c r="E255" s="10">
        <v>363</v>
      </c>
      <c r="F255" s="10">
        <v>13359414.330827136</v>
      </c>
      <c r="G255" s="10">
        <v>910</v>
      </c>
      <c r="H255" s="10">
        <v>469</v>
      </c>
      <c r="I255" s="10">
        <v>0</v>
      </c>
      <c r="J255" s="10">
        <v>806</v>
      </c>
      <c r="K255" s="10">
        <v>14432692.36421068</v>
      </c>
    </row>
    <row r="256" spans="1:11" x14ac:dyDescent="0.35">
      <c r="A256" s="9" t="s">
        <v>370</v>
      </c>
      <c r="B256" s="10">
        <v>633</v>
      </c>
      <c r="C256" s="10">
        <v>9</v>
      </c>
      <c r="D256" s="10">
        <v>3</v>
      </c>
      <c r="E256" s="10">
        <v>392</v>
      </c>
      <c r="F256" s="10">
        <v>19328264.402308077</v>
      </c>
      <c r="G256" s="10">
        <v>612</v>
      </c>
      <c r="H256" s="10">
        <v>11</v>
      </c>
      <c r="I256" s="10">
        <v>3</v>
      </c>
      <c r="J256" s="10">
        <v>508</v>
      </c>
      <c r="K256" s="10">
        <v>18893283.58216067</v>
      </c>
    </row>
    <row r="257" spans="1:11" x14ac:dyDescent="0.35">
      <c r="A257" s="9" t="s">
        <v>371</v>
      </c>
      <c r="B257" s="10">
        <v>635</v>
      </c>
      <c r="C257" s="10">
        <v>5</v>
      </c>
      <c r="D257" s="10">
        <v>4</v>
      </c>
      <c r="E257" s="10">
        <v>446</v>
      </c>
      <c r="F257" s="10">
        <v>22838860.716324531</v>
      </c>
      <c r="G257" s="10">
        <v>647</v>
      </c>
      <c r="H257" s="10">
        <v>9</v>
      </c>
      <c r="I257" s="10">
        <v>4</v>
      </c>
      <c r="J257" s="10">
        <v>571</v>
      </c>
      <c r="K257" s="10">
        <v>24335201.322881456</v>
      </c>
    </row>
    <row r="258" spans="1:11" x14ac:dyDescent="0.35">
      <c r="A258" s="9" t="s">
        <v>372</v>
      </c>
      <c r="B258" s="10">
        <v>688</v>
      </c>
      <c r="C258" s="10">
        <v>7</v>
      </c>
      <c r="D258" s="10">
        <v>4</v>
      </c>
      <c r="E258" s="10">
        <v>487</v>
      </c>
      <c r="F258" s="10">
        <v>24137974.059462257</v>
      </c>
      <c r="G258" s="10">
        <v>685</v>
      </c>
      <c r="H258" s="10">
        <v>16</v>
      </c>
      <c r="I258" s="10">
        <v>4</v>
      </c>
      <c r="J258" s="10">
        <v>561</v>
      </c>
      <c r="K258" s="10">
        <v>23895545.263127852</v>
      </c>
    </row>
    <row r="259" spans="1:11" x14ac:dyDescent="0.35">
      <c r="A259" s="9" t="s">
        <v>373</v>
      </c>
      <c r="B259" s="10">
        <v>840</v>
      </c>
      <c r="C259" s="10">
        <v>6</v>
      </c>
      <c r="D259" s="10">
        <v>1</v>
      </c>
      <c r="E259" s="10">
        <v>784</v>
      </c>
      <c r="F259" s="10">
        <v>18972329.863605808</v>
      </c>
      <c r="G259" s="10">
        <v>819</v>
      </c>
      <c r="H259" s="10">
        <v>8</v>
      </c>
      <c r="I259" s="10">
        <v>1</v>
      </c>
      <c r="J259" s="10">
        <v>716</v>
      </c>
      <c r="K259" s="10">
        <v>18412199.521435656</v>
      </c>
    </row>
    <row r="260" spans="1:11" x14ac:dyDescent="0.35">
      <c r="A260" s="9" t="s">
        <v>374</v>
      </c>
      <c r="B260" s="10">
        <v>853</v>
      </c>
      <c r="C260" s="10">
        <v>10</v>
      </c>
      <c r="D260" s="10">
        <v>1</v>
      </c>
      <c r="E260" s="10">
        <v>536</v>
      </c>
      <c r="F260" s="10">
        <v>28930702.177237678</v>
      </c>
      <c r="G260" s="10">
        <v>745</v>
      </c>
      <c r="H260" s="10">
        <v>14</v>
      </c>
      <c r="I260" s="10">
        <v>1</v>
      </c>
      <c r="J260" s="10">
        <v>690</v>
      </c>
      <c r="K260" s="10">
        <v>30326461.569066852</v>
      </c>
    </row>
    <row r="261" spans="1:11" x14ac:dyDescent="0.35">
      <c r="A261" s="9" t="s">
        <v>375</v>
      </c>
      <c r="B261" s="10">
        <v>840</v>
      </c>
      <c r="C261" s="10">
        <v>14</v>
      </c>
      <c r="D261" s="10">
        <v>2</v>
      </c>
      <c r="E261" s="10">
        <v>951</v>
      </c>
      <c r="F261" s="10">
        <v>28685556.212856539</v>
      </c>
      <c r="G261" s="10">
        <v>829</v>
      </c>
      <c r="H261" s="10">
        <v>18</v>
      </c>
      <c r="I261" s="10">
        <v>3</v>
      </c>
      <c r="J261" s="10">
        <v>763</v>
      </c>
      <c r="K261" s="10">
        <v>27252083.650241435</v>
      </c>
    </row>
    <row r="262" spans="1:11" x14ac:dyDescent="0.35">
      <c r="A262" s="9" t="s">
        <v>376</v>
      </c>
      <c r="B262" s="10">
        <v>1334</v>
      </c>
      <c r="C262" s="10">
        <v>31</v>
      </c>
      <c r="D262" s="10">
        <v>9</v>
      </c>
      <c r="E262" s="10">
        <v>1139</v>
      </c>
      <c r="F262" s="10">
        <v>52630505.704039209</v>
      </c>
      <c r="G262" s="10">
        <v>1414</v>
      </c>
      <c r="H262" s="10">
        <v>29</v>
      </c>
      <c r="I262" s="10">
        <v>8</v>
      </c>
      <c r="J262" s="10">
        <v>1273</v>
      </c>
      <c r="K262" s="10">
        <v>52262319.14704632</v>
      </c>
    </row>
    <row r="263" spans="1:11" x14ac:dyDescent="0.35">
      <c r="A263" s="9" t="s">
        <v>377</v>
      </c>
      <c r="B263" s="10">
        <v>575</v>
      </c>
      <c r="C263" s="10">
        <v>11</v>
      </c>
      <c r="D263" s="10">
        <v>1</v>
      </c>
      <c r="E263" s="10">
        <v>436</v>
      </c>
      <c r="F263" s="10">
        <v>24217910.212173581</v>
      </c>
      <c r="G263" s="10">
        <v>504</v>
      </c>
      <c r="H263" s="10">
        <v>9</v>
      </c>
      <c r="I263" s="10">
        <v>1</v>
      </c>
      <c r="J263" s="10">
        <v>411</v>
      </c>
      <c r="K263" s="10">
        <v>25084938.986250773</v>
      </c>
    </row>
    <row r="264" spans="1:11" x14ac:dyDescent="0.35">
      <c r="A264" s="9" t="s">
        <v>378</v>
      </c>
      <c r="B264" s="10">
        <v>440</v>
      </c>
      <c r="C264" s="10">
        <v>8</v>
      </c>
      <c r="D264" s="10">
        <v>1</v>
      </c>
      <c r="E264" s="10">
        <v>413</v>
      </c>
      <c r="F264" s="10">
        <v>14426579.325803025</v>
      </c>
      <c r="G264" s="10">
        <v>411</v>
      </c>
      <c r="H264" s="10">
        <v>6</v>
      </c>
      <c r="I264" s="10">
        <v>1</v>
      </c>
      <c r="J264" s="10">
        <v>367</v>
      </c>
      <c r="K264" s="10">
        <v>14432681.10336807</v>
      </c>
    </row>
    <row r="265" spans="1:11" x14ac:dyDescent="0.35">
      <c r="A265" s="9" t="s">
        <v>379</v>
      </c>
      <c r="B265" s="10">
        <v>694</v>
      </c>
      <c r="C265" s="10">
        <v>38</v>
      </c>
      <c r="D265" s="10">
        <v>2</v>
      </c>
      <c r="E265" s="10">
        <v>532</v>
      </c>
      <c r="F265" s="10">
        <v>35128068.597316705</v>
      </c>
      <c r="G265" s="10">
        <v>712</v>
      </c>
      <c r="H265" s="10">
        <v>17</v>
      </c>
      <c r="I265" s="10">
        <v>2</v>
      </c>
      <c r="J265" s="10">
        <v>630</v>
      </c>
      <c r="K265" s="10">
        <v>36188540.16821</v>
      </c>
    </row>
    <row r="266" spans="1:11" x14ac:dyDescent="0.35">
      <c r="A266" s="9" t="s">
        <v>380</v>
      </c>
      <c r="B266" s="10">
        <v>692</v>
      </c>
      <c r="C266" s="10">
        <v>7</v>
      </c>
      <c r="D266" s="10">
        <v>1</v>
      </c>
      <c r="E266" s="10">
        <v>688</v>
      </c>
      <c r="F266" s="10">
        <v>17162051.94151571</v>
      </c>
      <c r="G266" s="10">
        <v>648</v>
      </c>
      <c r="H266" s="10">
        <v>8</v>
      </c>
      <c r="I266" s="10">
        <v>0</v>
      </c>
      <c r="J266" s="10">
        <v>680</v>
      </c>
      <c r="K266" s="10">
        <v>16769993.977183027</v>
      </c>
    </row>
    <row r="267" spans="1:11" x14ac:dyDescent="0.35">
      <c r="A267" s="9" t="s">
        <v>381</v>
      </c>
      <c r="B267" s="10">
        <v>866</v>
      </c>
      <c r="C267" s="10">
        <v>71</v>
      </c>
      <c r="D267" s="10">
        <v>3</v>
      </c>
      <c r="E267" s="10">
        <v>723</v>
      </c>
      <c r="F267" s="10">
        <v>35290877.706637278</v>
      </c>
      <c r="G267" s="10">
        <v>970</v>
      </c>
      <c r="H267" s="10">
        <v>57</v>
      </c>
      <c r="I267" s="10">
        <v>2</v>
      </c>
      <c r="J267" s="10">
        <v>775</v>
      </c>
      <c r="K267" s="10">
        <v>36566606.611452855</v>
      </c>
    </row>
    <row r="268" spans="1:11" x14ac:dyDescent="0.35">
      <c r="A268" s="9" t="s">
        <v>382</v>
      </c>
      <c r="B268" s="10">
        <v>909</v>
      </c>
      <c r="C268" s="10">
        <v>9</v>
      </c>
      <c r="D268" s="10">
        <v>4</v>
      </c>
      <c r="E268" s="10">
        <v>706</v>
      </c>
      <c r="F268" s="10">
        <v>38515662.560423665</v>
      </c>
      <c r="G268" s="10">
        <v>817</v>
      </c>
      <c r="H268" s="10">
        <v>16</v>
      </c>
      <c r="I268" s="10">
        <v>4</v>
      </c>
      <c r="J268" s="10">
        <v>671</v>
      </c>
      <c r="K268" s="10">
        <v>40233017.027568057</v>
      </c>
    </row>
    <row r="269" spans="1:11" x14ac:dyDescent="0.35">
      <c r="A269" s="9" t="s">
        <v>383</v>
      </c>
      <c r="B269" s="10">
        <v>574</v>
      </c>
      <c r="C269" s="10">
        <v>6</v>
      </c>
      <c r="D269" s="10">
        <v>2</v>
      </c>
      <c r="E269" s="10">
        <v>453</v>
      </c>
      <c r="F269" s="10">
        <v>18040964.512670137</v>
      </c>
      <c r="G269" s="10">
        <v>627</v>
      </c>
      <c r="H269" s="10">
        <v>10</v>
      </c>
      <c r="I269" s="10">
        <v>2</v>
      </c>
      <c r="J269" s="10">
        <v>552</v>
      </c>
      <c r="K269" s="10">
        <v>17756769.25919636</v>
      </c>
    </row>
    <row r="270" spans="1:11" x14ac:dyDescent="0.35">
      <c r="A270" s="9" t="s">
        <v>384</v>
      </c>
      <c r="B270" s="10">
        <v>580</v>
      </c>
      <c r="C270" s="10">
        <v>5</v>
      </c>
      <c r="D270" s="10">
        <v>3</v>
      </c>
      <c r="E270" s="10">
        <v>597</v>
      </c>
      <c r="F270" s="10">
        <v>23570859.264481179</v>
      </c>
      <c r="G270" s="10">
        <v>629</v>
      </c>
      <c r="H270" s="10">
        <v>10</v>
      </c>
      <c r="I270" s="10">
        <v>4</v>
      </c>
      <c r="J270" s="10">
        <v>578</v>
      </c>
      <c r="K270" s="10">
        <v>23600627.341463227</v>
      </c>
    </row>
    <row r="271" spans="1:11" x14ac:dyDescent="0.35">
      <c r="A271" s="9" t="s">
        <v>385</v>
      </c>
      <c r="B271" s="10">
        <v>674</v>
      </c>
      <c r="C271" s="10">
        <v>13</v>
      </c>
      <c r="D271" s="10">
        <v>2</v>
      </c>
      <c r="E271" s="10">
        <v>547</v>
      </c>
      <c r="F271" s="10">
        <v>23196606.106614683</v>
      </c>
      <c r="G271" s="10">
        <v>681</v>
      </c>
      <c r="H271" s="10">
        <v>16</v>
      </c>
      <c r="I271" s="10">
        <v>2</v>
      </c>
      <c r="J271" s="10">
        <v>590</v>
      </c>
      <c r="K271" s="10">
        <v>24261570.777758699</v>
      </c>
    </row>
    <row r="272" spans="1:11" x14ac:dyDescent="0.35">
      <c r="A272" s="9" t="s">
        <v>386</v>
      </c>
      <c r="B272" s="10">
        <v>260</v>
      </c>
      <c r="C272" s="10">
        <v>6</v>
      </c>
      <c r="D272" s="10">
        <v>1</v>
      </c>
      <c r="E272" s="10">
        <v>232</v>
      </c>
      <c r="F272" s="10">
        <v>12496012.588323381</v>
      </c>
      <c r="G272" s="10">
        <v>295</v>
      </c>
      <c r="H272" s="10">
        <v>7</v>
      </c>
      <c r="I272" s="10">
        <v>1</v>
      </c>
      <c r="J272" s="10">
        <v>255</v>
      </c>
      <c r="K272" s="10">
        <v>11746936.96247384</v>
      </c>
    </row>
    <row r="273" spans="1:11" x14ac:dyDescent="0.35">
      <c r="A273" s="9" t="s">
        <v>387</v>
      </c>
      <c r="B273" s="10">
        <v>937</v>
      </c>
      <c r="C273" s="10">
        <v>9</v>
      </c>
      <c r="D273" s="10">
        <v>1</v>
      </c>
      <c r="E273" s="10">
        <v>746</v>
      </c>
      <c r="F273" s="10">
        <v>25022802.309112061</v>
      </c>
      <c r="G273" s="10">
        <v>797</v>
      </c>
      <c r="H273" s="10">
        <v>14</v>
      </c>
      <c r="I273" s="10">
        <v>1</v>
      </c>
      <c r="J273" s="10">
        <v>761</v>
      </c>
      <c r="K273" s="10">
        <v>24393730.954180598</v>
      </c>
    </row>
    <row r="274" spans="1:11" x14ac:dyDescent="0.35">
      <c r="A274" s="9" t="s">
        <v>388</v>
      </c>
      <c r="B274" s="10">
        <v>1207</v>
      </c>
      <c r="C274" s="10">
        <v>14</v>
      </c>
      <c r="D274" s="10">
        <v>3</v>
      </c>
      <c r="E274" s="10">
        <v>1166</v>
      </c>
      <c r="F274" s="10">
        <v>49801524.668101795</v>
      </c>
      <c r="G274" s="10">
        <v>1106</v>
      </c>
      <c r="H274" s="10">
        <v>16</v>
      </c>
      <c r="I274" s="10">
        <v>2</v>
      </c>
      <c r="J274" s="10">
        <v>1021</v>
      </c>
      <c r="K274" s="10">
        <v>51153485.917759545</v>
      </c>
    </row>
    <row r="275" spans="1:11" x14ac:dyDescent="0.35">
      <c r="A275" s="9" t="s">
        <v>389</v>
      </c>
      <c r="B275" s="10">
        <v>540</v>
      </c>
      <c r="C275" s="10">
        <v>9</v>
      </c>
      <c r="D275" s="10">
        <v>2</v>
      </c>
      <c r="E275" s="10">
        <v>502</v>
      </c>
      <c r="F275" s="10">
        <v>27172653.102742728</v>
      </c>
      <c r="G275" s="10">
        <v>601</v>
      </c>
      <c r="H275" s="10">
        <v>12</v>
      </c>
      <c r="I275" s="10">
        <v>2</v>
      </c>
      <c r="J275" s="10">
        <v>555</v>
      </c>
      <c r="K275" s="10">
        <v>26672972.571179777</v>
      </c>
    </row>
    <row r="276" spans="1:11" x14ac:dyDescent="0.35">
      <c r="A276" s="9" t="s">
        <v>390</v>
      </c>
      <c r="B276" s="10">
        <v>513</v>
      </c>
      <c r="C276" s="10">
        <v>12</v>
      </c>
      <c r="D276" s="10">
        <v>1</v>
      </c>
      <c r="E276" s="10">
        <v>596</v>
      </c>
      <c r="F276" s="10">
        <v>16373527.039540352</v>
      </c>
      <c r="G276" s="10">
        <v>661</v>
      </c>
      <c r="H276" s="10">
        <v>11</v>
      </c>
      <c r="I276" s="10">
        <v>1</v>
      </c>
      <c r="J276" s="10">
        <v>697</v>
      </c>
      <c r="K276" s="10">
        <v>17954433.71119732</v>
      </c>
    </row>
    <row r="277" spans="1:11" x14ac:dyDescent="0.35">
      <c r="A277" s="9" t="s">
        <v>391</v>
      </c>
      <c r="B277" s="10">
        <v>542</v>
      </c>
      <c r="C277" s="10">
        <v>1</v>
      </c>
      <c r="D277" s="10">
        <v>4</v>
      </c>
      <c r="E277" s="10">
        <v>457</v>
      </c>
      <c r="F277" s="10">
        <v>19187818.008512758</v>
      </c>
      <c r="G277" s="10">
        <v>482</v>
      </c>
      <c r="H277" s="10">
        <v>6</v>
      </c>
      <c r="I277" s="10">
        <v>5</v>
      </c>
      <c r="J277" s="10">
        <v>482</v>
      </c>
      <c r="K277" s="10">
        <v>25058807.163448196</v>
      </c>
    </row>
    <row r="278" spans="1:11" x14ac:dyDescent="0.35">
      <c r="A278" s="9" t="s">
        <v>392</v>
      </c>
      <c r="B278" s="10">
        <v>562</v>
      </c>
      <c r="C278" s="10">
        <v>8</v>
      </c>
      <c r="D278" s="10">
        <v>2</v>
      </c>
      <c r="E278" s="10">
        <v>504</v>
      </c>
      <c r="F278" s="10">
        <v>15711359.529835572</v>
      </c>
      <c r="G278" s="10">
        <v>528</v>
      </c>
      <c r="H278" s="10">
        <v>6</v>
      </c>
      <c r="I278" s="10">
        <v>2</v>
      </c>
      <c r="J278" s="10">
        <v>476</v>
      </c>
      <c r="K278" s="10">
        <v>15567376.278448066</v>
      </c>
    </row>
    <row r="279" spans="1:11" x14ac:dyDescent="0.35">
      <c r="A279" s="9" t="s">
        <v>393</v>
      </c>
      <c r="B279" s="10">
        <v>218</v>
      </c>
      <c r="C279" s="10">
        <v>6</v>
      </c>
      <c r="D279" s="10">
        <v>2</v>
      </c>
      <c r="E279" s="10">
        <v>153</v>
      </c>
      <c r="F279" s="10">
        <v>13130174.477401853</v>
      </c>
      <c r="G279" s="10">
        <v>183</v>
      </c>
      <c r="H279" s="10">
        <v>4</v>
      </c>
      <c r="I279" s="10">
        <v>2</v>
      </c>
      <c r="J279" s="10">
        <v>158</v>
      </c>
      <c r="K279" s="10">
        <v>11929673.549005372</v>
      </c>
    </row>
    <row r="280" spans="1:11" x14ac:dyDescent="0.35">
      <c r="A280" s="9" t="s">
        <v>394</v>
      </c>
      <c r="B280" s="10">
        <v>304</v>
      </c>
      <c r="C280" s="10">
        <v>4</v>
      </c>
      <c r="D280" s="10">
        <v>5</v>
      </c>
      <c r="E280" s="10">
        <v>209</v>
      </c>
      <c r="F280" s="10">
        <v>13919725.360945581</v>
      </c>
      <c r="G280" s="10">
        <v>299</v>
      </c>
      <c r="H280" s="10">
        <v>7</v>
      </c>
      <c r="I280" s="10">
        <v>6</v>
      </c>
      <c r="J280" s="10">
        <v>238</v>
      </c>
      <c r="K280" s="10">
        <v>14480694.73504344</v>
      </c>
    </row>
    <row r="281" spans="1:11" x14ac:dyDescent="0.35">
      <c r="A281" s="9" t="s">
        <v>395</v>
      </c>
      <c r="B281" s="10">
        <v>625</v>
      </c>
      <c r="C281" s="10">
        <v>7</v>
      </c>
      <c r="D281" s="10">
        <v>2</v>
      </c>
      <c r="E281" s="10">
        <v>635</v>
      </c>
      <c r="F281" s="10">
        <v>21367461.481793173</v>
      </c>
      <c r="G281" s="10">
        <v>702</v>
      </c>
      <c r="H281" s="10">
        <v>7</v>
      </c>
      <c r="I281" s="10">
        <v>2</v>
      </c>
      <c r="J281" s="10">
        <v>656</v>
      </c>
      <c r="K281" s="10">
        <v>22276306.908709753</v>
      </c>
    </row>
    <row r="282" spans="1:11" x14ac:dyDescent="0.35">
      <c r="A282" s="9" t="s">
        <v>396</v>
      </c>
      <c r="B282" s="10">
        <v>465</v>
      </c>
      <c r="C282" s="10">
        <v>12</v>
      </c>
      <c r="D282" s="10">
        <v>4</v>
      </c>
      <c r="E282" s="10">
        <v>341</v>
      </c>
      <c r="F282" s="10">
        <v>13065367.281996738</v>
      </c>
      <c r="G282" s="10">
        <v>561</v>
      </c>
      <c r="H282" s="10">
        <v>8</v>
      </c>
      <c r="I282" s="10">
        <v>4</v>
      </c>
      <c r="J282" s="10">
        <v>556</v>
      </c>
      <c r="K282" s="10">
        <v>14041589.11476058</v>
      </c>
    </row>
    <row r="283" spans="1:11" x14ac:dyDescent="0.35">
      <c r="A283" s="9" t="s">
        <v>397</v>
      </c>
      <c r="B283" s="10">
        <v>230</v>
      </c>
      <c r="C283" s="10">
        <v>2</v>
      </c>
      <c r="D283" s="10">
        <v>1</v>
      </c>
      <c r="E283" s="10">
        <v>265</v>
      </c>
      <c r="F283" s="10">
        <v>8871022.8228284121</v>
      </c>
      <c r="G283" s="10">
        <v>268</v>
      </c>
      <c r="H283" s="10">
        <v>1</v>
      </c>
      <c r="I283" s="10">
        <v>1</v>
      </c>
      <c r="J283" s="10">
        <v>255</v>
      </c>
      <c r="K283" s="10">
        <v>7459899.5204770006</v>
      </c>
    </row>
    <row r="284" spans="1:11" x14ac:dyDescent="0.35">
      <c r="A284" s="9" t="s">
        <v>398</v>
      </c>
      <c r="B284" s="10">
        <v>959</v>
      </c>
      <c r="C284" s="10">
        <v>18</v>
      </c>
      <c r="D284" s="10">
        <v>2</v>
      </c>
      <c r="E284" s="10">
        <v>981</v>
      </c>
      <c r="F284" s="10">
        <v>33827298.830202214</v>
      </c>
      <c r="G284" s="10">
        <v>1043</v>
      </c>
      <c r="H284" s="10">
        <v>15</v>
      </c>
      <c r="I284" s="10">
        <v>2</v>
      </c>
      <c r="J284" s="10">
        <v>1089</v>
      </c>
      <c r="K284" s="10">
        <v>39837037.854681827</v>
      </c>
    </row>
    <row r="285" spans="1:11" x14ac:dyDescent="0.35">
      <c r="A285" s="9" t="s">
        <v>399</v>
      </c>
      <c r="B285" s="10">
        <v>1895</v>
      </c>
      <c r="C285" s="10">
        <v>34</v>
      </c>
      <c r="D285" s="10">
        <v>1</v>
      </c>
      <c r="E285" s="10">
        <v>1652</v>
      </c>
      <c r="F285" s="10">
        <v>57036562.666544333</v>
      </c>
      <c r="G285" s="10">
        <v>1738</v>
      </c>
      <c r="H285" s="10">
        <v>39</v>
      </c>
      <c r="I285" s="10">
        <v>1</v>
      </c>
      <c r="J285" s="10">
        <v>1612</v>
      </c>
      <c r="K285" s="10">
        <v>57809366.174179189</v>
      </c>
    </row>
    <row r="286" spans="1:11" x14ac:dyDescent="0.35">
      <c r="A286" s="9" t="s">
        <v>400</v>
      </c>
      <c r="B286" s="10">
        <v>373</v>
      </c>
      <c r="C286" s="10">
        <v>1</v>
      </c>
      <c r="D286" s="10">
        <v>27</v>
      </c>
      <c r="E286" s="10">
        <v>920</v>
      </c>
      <c r="F286" s="10">
        <v>24457772.946169596</v>
      </c>
      <c r="G286" s="10">
        <v>330</v>
      </c>
      <c r="H286" s="10">
        <v>1</v>
      </c>
      <c r="I286" s="10">
        <v>28</v>
      </c>
      <c r="J286" s="10">
        <v>237</v>
      </c>
      <c r="K286" s="10">
        <v>22662504.235707596</v>
      </c>
    </row>
    <row r="287" spans="1:11" x14ac:dyDescent="0.35">
      <c r="A287" s="9" t="s">
        <v>401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402</v>
      </c>
      <c r="B288" s="10">
        <v>739</v>
      </c>
      <c r="C288" s="10">
        <v>3</v>
      </c>
      <c r="D288" s="10">
        <v>15</v>
      </c>
      <c r="E288" s="10">
        <v>8</v>
      </c>
      <c r="F288" s="10">
        <v>29246930.916789271</v>
      </c>
      <c r="G288" s="10">
        <v>863</v>
      </c>
      <c r="H288" s="10">
        <v>2</v>
      </c>
      <c r="I288" s="10">
        <v>18</v>
      </c>
      <c r="J288" s="10">
        <v>821</v>
      </c>
      <c r="K288" s="10">
        <v>35899009.986590326</v>
      </c>
    </row>
    <row r="289" spans="1:11" x14ac:dyDescent="0.35">
      <c r="A289" s="9" t="s">
        <v>403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404</v>
      </c>
      <c r="B290" s="10">
        <v>1660</v>
      </c>
      <c r="C290" s="10">
        <v>32</v>
      </c>
      <c r="D290" s="10">
        <v>6</v>
      </c>
      <c r="E290" s="10">
        <v>1661</v>
      </c>
      <c r="F290" s="10">
        <v>64578121.028819673</v>
      </c>
      <c r="G290" s="10">
        <v>1785</v>
      </c>
      <c r="H290" s="10">
        <v>37</v>
      </c>
      <c r="I290" s="10">
        <v>7</v>
      </c>
      <c r="J290" s="10">
        <v>1731</v>
      </c>
      <c r="K290" s="10">
        <v>72605224.500334173</v>
      </c>
    </row>
    <row r="291" spans="1:11" x14ac:dyDescent="0.35">
      <c r="A291" s="9" t="s">
        <v>405</v>
      </c>
      <c r="B291" s="10">
        <v>597</v>
      </c>
      <c r="C291" s="10">
        <v>5</v>
      </c>
      <c r="D291" s="10">
        <v>1</v>
      </c>
      <c r="E291" s="10">
        <v>599</v>
      </c>
      <c r="F291" s="10">
        <v>23425178.410929125</v>
      </c>
      <c r="G291" s="10">
        <v>625</v>
      </c>
      <c r="H291" s="10">
        <v>5</v>
      </c>
      <c r="I291" s="10">
        <v>1</v>
      </c>
      <c r="J291" s="10">
        <v>570</v>
      </c>
      <c r="K291" s="10">
        <v>26952947.262445536</v>
      </c>
    </row>
    <row r="292" spans="1:11" x14ac:dyDescent="0.35">
      <c r="A292" s="9" t="s">
        <v>406</v>
      </c>
      <c r="B292" s="10">
        <v>1741</v>
      </c>
      <c r="C292" s="10">
        <v>16</v>
      </c>
      <c r="D292" s="10">
        <v>7</v>
      </c>
      <c r="E292" s="10">
        <v>1608</v>
      </c>
      <c r="F292" s="10">
        <v>77486934.060662687</v>
      </c>
      <c r="G292" s="10">
        <v>1749</v>
      </c>
      <c r="H292" s="10">
        <v>22</v>
      </c>
      <c r="I292" s="10">
        <v>8</v>
      </c>
      <c r="J292" s="10">
        <v>1488</v>
      </c>
      <c r="K292" s="10">
        <v>80752216.369743899</v>
      </c>
    </row>
    <row r="293" spans="1:11" x14ac:dyDescent="0.35">
      <c r="A293" s="9" t="s">
        <v>407</v>
      </c>
      <c r="B293" s="10">
        <v>744</v>
      </c>
      <c r="C293" s="10">
        <v>9</v>
      </c>
      <c r="D293" s="10">
        <v>1</v>
      </c>
      <c r="E293" s="10">
        <v>684</v>
      </c>
      <c r="F293" s="10">
        <v>37330958.878135733</v>
      </c>
      <c r="G293" s="10">
        <v>684</v>
      </c>
      <c r="H293" s="10">
        <v>5</v>
      </c>
      <c r="I293" s="10">
        <v>2</v>
      </c>
      <c r="J293" s="10">
        <v>638</v>
      </c>
      <c r="K293" s="10">
        <v>39049209.938935243</v>
      </c>
    </row>
    <row r="294" spans="1:11" x14ac:dyDescent="0.35">
      <c r="A294" s="9" t="s">
        <v>408</v>
      </c>
      <c r="B294" s="10">
        <v>776</v>
      </c>
      <c r="C294" s="10">
        <v>9</v>
      </c>
      <c r="D294" s="10">
        <v>1</v>
      </c>
      <c r="E294" s="10">
        <v>642</v>
      </c>
      <c r="F294" s="10">
        <v>31520288.904738218</v>
      </c>
      <c r="G294" s="10">
        <v>777</v>
      </c>
      <c r="H294" s="10">
        <v>8</v>
      </c>
      <c r="I294" s="10">
        <v>0</v>
      </c>
      <c r="J294" s="10">
        <v>724</v>
      </c>
      <c r="K294" s="10">
        <v>35688473.921853662</v>
      </c>
    </row>
    <row r="295" spans="1:11" x14ac:dyDescent="0.35">
      <c r="A295" s="9" t="s">
        <v>409</v>
      </c>
      <c r="B295" s="10">
        <v>1196</v>
      </c>
      <c r="C295" s="10">
        <v>5</v>
      </c>
      <c r="D295" s="10">
        <v>33</v>
      </c>
      <c r="E295" s="10">
        <v>1128</v>
      </c>
      <c r="F295" s="10">
        <v>85562824.482981622</v>
      </c>
      <c r="G295" s="10">
        <v>1190</v>
      </c>
      <c r="H295" s="10">
        <v>23</v>
      </c>
      <c r="I295" s="10">
        <v>35</v>
      </c>
      <c r="J295" s="10">
        <v>1006</v>
      </c>
      <c r="K295" s="10">
        <v>88264744.196587369</v>
      </c>
    </row>
    <row r="296" spans="1:11" x14ac:dyDescent="0.35">
      <c r="A296" s="9" t="s">
        <v>410</v>
      </c>
      <c r="B296" s="10">
        <v>661</v>
      </c>
      <c r="C296" s="10">
        <v>3</v>
      </c>
      <c r="D296" s="10">
        <v>1</v>
      </c>
      <c r="E296" s="10">
        <v>627</v>
      </c>
      <c r="F296" s="10">
        <v>34773040.961613335</v>
      </c>
      <c r="G296" s="10">
        <v>720</v>
      </c>
      <c r="H296" s="10">
        <v>4</v>
      </c>
      <c r="I296" s="10">
        <v>0</v>
      </c>
      <c r="J296" s="10">
        <v>660</v>
      </c>
      <c r="K296" s="10">
        <v>44439343.145639904</v>
      </c>
    </row>
    <row r="297" spans="1:11" x14ac:dyDescent="0.35">
      <c r="A297" s="9" t="s">
        <v>411</v>
      </c>
      <c r="B297" s="10">
        <v>634</v>
      </c>
      <c r="C297" s="10">
        <v>6</v>
      </c>
      <c r="D297" s="10">
        <v>1</v>
      </c>
      <c r="E297" s="10">
        <v>497</v>
      </c>
      <c r="F297" s="10">
        <v>41503858.047123246</v>
      </c>
      <c r="G297" s="10">
        <v>578</v>
      </c>
      <c r="H297" s="10">
        <v>2</v>
      </c>
      <c r="I297" s="10">
        <v>1</v>
      </c>
      <c r="J297" s="10">
        <v>516</v>
      </c>
      <c r="K297" s="10">
        <v>46264108.167564116</v>
      </c>
    </row>
    <row r="298" spans="1:11" x14ac:dyDescent="0.35">
      <c r="A298" s="9" t="s">
        <v>412</v>
      </c>
      <c r="B298" s="10">
        <v>458</v>
      </c>
      <c r="C298" s="10">
        <v>2</v>
      </c>
      <c r="D298" s="10">
        <v>2</v>
      </c>
      <c r="E298" s="10">
        <v>481</v>
      </c>
      <c r="F298" s="10">
        <v>21327980.359396897</v>
      </c>
      <c r="G298" s="10">
        <v>545</v>
      </c>
      <c r="H298" s="10">
        <v>4</v>
      </c>
      <c r="I298" s="10">
        <v>3</v>
      </c>
      <c r="J298" s="10">
        <v>493</v>
      </c>
      <c r="K298" s="10">
        <v>28164160.723179761</v>
      </c>
    </row>
    <row r="299" spans="1:11" x14ac:dyDescent="0.35">
      <c r="A299" s="9" t="s">
        <v>413</v>
      </c>
      <c r="B299" s="10">
        <v>899</v>
      </c>
      <c r="C299" s="10">
        <v>6</v>
      </c>
      <c r="D299" s="10">
        <v>5</v>
      </c>
      <c r="E299" s="10">
        <v>854</v>
      </c>
      <c r="F299" s="10">
        <v>56063793.594335765</v>
      </c>
      <c r="G299" s="10">
        <v>915</v>
      </c>
      <c r="H299" s="10">
        <v>8</v>
      </c>
      <c r="I299" s="10">
        <v>6</v>
      </c>
      <c r="J299" s="10">
        <v>916</v>
      </c>
      <c r="K299" s="10">
        <v>62347129.174837396</v>
      </c>
    </row>
    <row r="300" spans="1:11" x14ac:dyDescent="0.35">
      <c r="A300" s="9" t="s">
        <v>414</v>
      </c>
      <c r="B300" s="10">
        <v>223</v>
      </c>
      <c r="C300" s="10">
        <v>6</v>
      </c>
      <c r="D300" s="10">
        <v>0</v>
      </c>
      <c r="E300" s="10">
        <v>285</v>
      </c>
      <c r="F300" s="10">
        <v>2486696.285455273</v>
      </c>
      <c r="G300" s="10">
        <v>272</v>
      </c>
      <c r="H300" s="10">
        <v>8</v>
      </c>
      <c r="I300" s="10">
        <v>0</v>
      </c>
      <c r="J300" s="10">
        <v>236</v>
      </c>
      <c r="K300" s="10">
        <v>2840122.9281384652</v>
      </c>
    </row>
    <row r="301" spans="1:11" x14ac:dyDescent="0.35">
      <c r="A301" s="9" t="s">
        <v>415</v>
      </c>
      <c r="B301" s="10">
        <v>276</v>
      </c>
      <c r="C301" s="10">
        <v>1</v>
      </c>
      <c r="D301" s="10">
        <v>0</v>
      </c>
      <c r="E301" s="10">
        <v>203</v>
      </c>
      <c r="F301" s="10">
        <v>11188460.923491908</v>
      </c>
      <c r="G301" s="10">
        <v>344</v>
      </c>
      <c r="H301" s="10">
        <v>2</v>
      </c>
      <c r="I301" s="10">
        <v>0</v>
      </c>
      <c r="J301" s="10">
        <v>222</v>
      </c>
      <c r="K301" s="10">
        <v>12299187.927531105</v>
      </c>
    </row>
    <row r="302" spans="1:11" x14ac:dyDescent="0.35">
      <c r="A302" s="9" t="s">
        <v>416</v>
      </c>
      <c r="B302" s="10">
        <v>445</v>
      </c>
      <c r="C302" s="10">
        <v>15</v>
      </c>
      <c r="D302" s="10">
        <v>3</v>
      </c>
      <c r="E302" s="10">
        <v>528</v>
      </c>
      <c r="F302" s="10">
        <v>23046129.337338746</v>
      </c>
      <c r="G302" s="10">
        <v>532</v>
      </c>
      <c r="H302" s="10">
        <v>13</v>
      </c>
      <c r="I302" s="10">
        <v>4</v>
      </c>
      <c r="J302" s="10">
        <v>528</v>
      </c>
      <c r="K302" s="10">
        <v>25062462.351231884</v>
      </c>
    </row>
    <row r="303" spans="1:11" x14ac:dyDescent="0.35">
      <c r="A303" s="9" t="s">
        <v>417</v>
      </c>
      <c r="B303" s="10">
        <v>661</v>
      </c>
      <c r="C303" s="10">
        <v>15</v>
      </c>
      <c r="D303" s="10">
        <v>0</v>
      </c>
      <c r="E303" s="10">
        <v>599</v>
      </c>
      <c r="F303" s="10">
        <v>19682100.674599856</v>
      </c>
      <c r="G303" s="10">
        <v>680</v>
      </c>
      <c r="H303" s="10">
        <v>11</v>
      </c>
      <c r="I303" s="10">
        <v>1</v>
      </c>
      <c r="J303" s="10">
        <v>660</v>
      </c>
      <c r="K303" s="10">
        <v>18923881.222323377</v>
      </c>
    </row>
    <row r="304" spans="1:11" x14ac:dyDescent="0.35">
      <c r="A304" s="9" t="s">
        <v>418</v>
      </c>
      <c r="B304" s="10">
        <v>819</v>
      </c>
      <c r="C304" s="10">
        <v>12</v>
      </c>
      <c r="D304" s="10">
        <v>2</v>
      </c>
      <c r="E304" s="10">
        <v>727</v>
      </c>
      <c r="F304" s="10">
        <v>34890507.765697278</v>
      </c>
      <c r="G304" s="10">
        <v>684</v>
      </c>
      <c r="H304" s="10">
        <v>18</v>
      </c>
      <c r="I304" s="10">
        <v>2</v>
      </c>
      <c r="J304" s="10">
        <v>678</v>
      </c>
      <c r="K304" s="10">
        <v>38948573.847014576</v>
      </c>
    </row>
    <row r="305" spans="1:11" x14ac:dyDescent="0.35">
      <c r="A305" s="9" t="s">
        <v>419</v>
      </c>
      <c r="B305" s="10">
        <v>358</v>
      </c>
      <c r="C305" s="10">
        <v>5</v>
      </c>
      <c r="D305" s="10">
        <v>1</v>
      </c>
      <c r="E305" s="10">
        <v>296</v>
      </c>
      <c r="F305" s="10">
        <v>10340038.926419193</v>
      </c>
      <c r="G305" s="10">
        <v>362</v>
      </c>
      <c r="H305" s="10">
        <v>6</v>
      </c>
      <c r="I305" s="10">
        <v>0</v>
      </c>
      <c r="J305" s="10">
        <v>316</v>
      </c>
      <c r="K305" s="10">
        <v>11229656.088477444</v>
      </c>
    </row>
    <row r="306" spans="1:11" x14ac:dyDescent="0.35">
      <c r="A306" s="9" t="s">
        <v>420</v>
      </c>
      <c r="B306" s="10">
        <v>537</v>
      </c>
      <c r="C306" s="10">
        <v>7</v>
      </c>
      <c r="D306" s="10">
        <v>5</v>
      </c>
      <c r="E306" s="10">
        <v>434</v>
      </c>
      <c r="F306" s="10">
        <v>23353760.259117536</v>
      </c>
      <c r="G306" s="10">
        <v>455</v>
      </c>
      <c r="H306" s="10">
        <v>16</v>
      </c>
      <c r="I306" s="10">
        <v>4</v>
      </c>
      <c r="J306" s="10">
        <v>396</v>
      </c>
      <c r="K306" s="10">
        <v>22550421.723632704</v>
      </c>
    </row>
    <row r="307" spans="1:11" x14ac:dyDescent="0.35">
      <c r="A307" s="9" t="s">
        <v>421</v>
      </c>
      <c r="B307" s="10">
        <v>586</v>
      </c>
      <c r="C307" s="10">
        <v>2</v>
      </c>
      <c r="D307" s="10">
        <v>1</v>
      </c>
      <c r="E307" s="10">
        <v>739</v>
      </c>
      <c r="F307" s="10">
        <v>17818359.478230234</v>
      </c>
      <c r="G307" s="10">
        <v>569</v>
      </c>
      <c r="H307" s="10">
        <v>11</v>
      </c>
      <c r="I307" s="10">
        <v>0</v>
      </c>
      <c r="J307" s="10">
        <v>510</v>
      </c>
      <c r="K307" s="10">
        <v>17170979.570128869</v>
      </c>
    </row>
    <row r="308" spans="1:11" x14ac:dyDescent="0.35">
      <c r="A308" s="9" t="s">
        <v>422</v>
      </c>
      <c r="B308" s="10">
        <v>228</v>
      </c>
      <c r="C308" s="10">
        <v>1</v>
      </c>
      <c r="D308" s="10">
        <v>1</v>
      </c>
      <c r="E308" s="10">
        <v>199</v>
      </c>
      <c r="F308" s="10">
        <v>9110753.106078228</v>
      </c>
      <c r="G308" s="10">
        <v>186</v>
      </c>
      <c r="H308" s="10">
        <v>5</v>
      </c>
      <c r="I308" s="10">
        <v>0</v>
      </c>
      <c r="J308" s="10">
        <v>165</v>
      </c>
      <c r="K308" s="10">
        <v>8466877.1406675428</v>
      </c>
    </row>
    <row r="309" spans="1:11" x14ac:dyDescent="0.35">
      <c r="A309" s="9" t="s">
        <v>423</v>
      </c>
      <c r="B309" s="10">
        <v>649</v>
      </c>
      <c r="C309" s="10">
        <v>21</v>
      </c>
      <c r="D309" s="10">
        <v>3</v>
      </c>
      <c r="E309" s="10">
        <v>424</v>
      </c>
      <c r="F309" s="10">
        <v>29892485.768835377</v>
      </c>
      <c r="G309" s="10">
        <v>487</v>
      </c>
      <c r="H309" s="10">
        <v>21</v>
      </c>
      <c r="I309" s="10">
        <v>3</v>
      </c>
      <c r="J309" s="10">
        <v>394</v>
      </c>
      <c r="K309" s="10">
        <v>33564671.548740886</v>
      </c>
    </row>
    <row r="310" spans="1:11" x14ac:dyDescent="0.35">
      <c r="A310" s="9" t="s">
        <v>424</v>
      </c>
      <c r="B310" s="10">
        <v>331</v>
      </c>
      <c r="C310" s="10">
        <v>4</v>
      </c>
      <c r="D310" s="10">
        <v>1</v>
      </c>
      <c r="E310" s="10">
        <v>303</v>
      </c>
      <c r="F310" s="10">
        <v>13984709.162724121</v>
      </c>
      <c r="G310" s="10">
        <v>308</v>
      </c>
      <c r="H310" s="10">
        <v>4</v>
      </c>
      <c r="I310" s="10">
        <v>1</v>
      </c>
      <c r="J310" s="10">
        <v>286</v>
      </c>
      <c r="K310" s="10">
        <v>13392185.624007491</v>
      </c>
    </row>
    <row r="311" spans="1:11" x14ac:dyDescent="0.35">
      <c r="A311" s="9" t="s">
        <v>425</v>
      </c>
      <c r="B311" s="10">
        <v>275</v>
      </c>
      <c r="C311" s="10">
        <v>3</v>
      </c>
      <c r="D311" s="10">
        <v>1</v>
      </c>
      <c r="E311" s="10">
        <v>187</v>
      </c>
      <c r="F311" s="10">
        <v>10638310.585244659</v>
      </c>
      <c r="G311" s="10">
        <v>218</v>
      </c>
      <c r="H311" s="10">
        <v>5</v>
      </c>
      <c r="I311" s="10">
        <v>1</v>
      </c>
      <c r="J311" s="10">
        <v>197</v>
      </c>
      <c r="K311" s="10">
        <v>9799237.3538381327</v>
      </c>
    </row>
    <row r="312" spans="1:11" x14ac:dyDescent="0.35">
      <c r="A312" s="9" t="s">
        <v>426</v>
      </c>
      <c r="B312" s="10">
        <v>1013</v>
      </c>
      <c r="C312" s="10">
        <v>10</v>
      </c>
      <c r="D312" s="10">
        <v>3</v>
      </c>
      <c r="E312" s="10">
        <v>921</v>
      </c>
      <c r="F312" s="10">
        <v>42295340.994285285</v>
      </c>
      <c r="G312" s="10">
        <v>869</v>
      </c>
      <c r="H312" s="10">
        <v>19</v>
      </c>
      <c r="I312" s="10">
        <v>2</v>
      </c>
      <c r="J312" s="10">
        <v>848</v>
      </c>
      <c r="K312" s="10">
        <v>39104619.678278029</v>
      </c>
    </row>
    <row r="313" spans="1:11" x14ac:dyDescent="0.35">
      <c r="A313" s="9" t="s">
        <v>427</v>
      </c>
      <c r="B313" s="10">
        <v>429</v>
      </c>
      <c r="C313" s="10">
        <v>13</v>
      </c>
      <c r="D313" s="10">
        <v>1</v>
      </c>
      <c r="E313" s="10">
        <v>312</v>
      </c>
      <c r="F313" s="10">
        <v>14657540.772983739</v>
      </c>
      <c r="G313" s="10">
        <v>406</v>
      </c>
      <c r="H313" s="10">
        <v>58</v>
      </c>
      <c r="I313" s="10">
        <v>1</v>
      </c>
      <c r="J313" s="10">
        <v>303</v>
      </c>
      <c r="K313" s="10">
        <v>15893528.544693084</v>
      </c>
    </row>
    <row r="314" spans="1:11" x14ac:dyDescent="0.35">
      <c r="A314" s="9" t="s">
        <v>428</v>
      </c>
      <c r="B314" s="10">
        <v>250</v>
      </c>
      <c r="C314" s="10">
        <v>2</v>
      </c>
      <c r="D314" s="10">
        <v>1</v>
      </c>
      <c r="E314" s="10">
        <v>249</v>
      </c>
      <c r="F314" s="10">
        <v>12124913.384534875</v>
      </c>
      <c r="G314" s="10">
        <v>260</v>
      </c>
      <c r="H314" s="10">
        <v>8</v>
      </c>
      <c r="I314" s="10">
        <v>1</v>
      </c>
      <c r="J314" s="10">
        <v>216</v>
      </c>
      <c r="K314" s="10">
        <v>14350489.126630288</v>
      </c>
    </row>
    <row r="315" spans="1:11" x14ac:dyDescent="0.35">
      <c r="A315" s="9" t="s">
        <v>429</v>
      </c>
      <c r="B315" s="10">
        <v>980</v>
      </c>
      <c r="C315" s="10">
        <v>19</v>
      </c>
      <c r="D315" s="10">
        <v>3</v>
      </c>
      <c r="E315" s="10">
        <v>751</v>
      </c>
      <c r="F315" s="10">
        <v>30607067.247613367</v>
      </c>
      <c r="G315" s="10">
        <v>818</v>
      </c>
      <c r="H315" s="10">
        <v>32</v>
      </c>
      <c r="I315" s="10">
        <v>3</v>
      </c>
      <c r="J315" s="10">
        <v>725</v>
      </c>
      <c r="K315" s="10">
        <v>34851151.485584185</v>
      </c>
    </row>
    <row r="316" spans="1:11" x14ac:dyDescent="0.35">
      <c r="A316" s="9" t="s">
        <v>430</v>
      </c>
      <c r="B316" s="10">
        <v>1128</v>
      </c>
      <c r="C316" s="10">
        <v>9</v>
      </c>
      <c r="D316" s="10">
        <v>2</v>
      </c>
      <c r="E316" s="10">
        <v>1025</v>
      </c>
      <c r="F316" s="10">
        <v>45066908.905392364</v>
      </c>
      <c r="G316" s="10">
        <v>1021</v>
      </c>
      <c r="H316" s="10">
        <v>21</v>
      </c>
      <c r="I316" s="10">
        <v>1</v>
      </c>
      <c r="J316" s="10">
        <v>941</v>
      </c>
      <c r="K316" s="10">
        <v>45900957.321843542</v>
      </c>
    </row>
    <row r="317" spans="1:11" x14ac:dyDescent="0.35">
      <c r="A317" s="9" t="s">
        <v>431</v>
      </c>
      <c r="B317" s="10">
        <v>166</v>
      </c>
      <c r="C317" s="10">
        <v>2</v>
      </c>
      <c r="D317" s="10">
        <v>3</v>
      </c>
      <c r="E317" s="10">
        <v>118</v>
      </c>
      <c r="F317" s="10">
        <v>11105648.986239906</v>
      </c>
      <c r="G317" s="10">
        <v>240</v>
      </c>
      <c r="H317" s="10">
        <v>48</v>
      </c>
      <c r="I317" s="10">
        <v>4</v>
      </c>
      <c r="J317" s="10">
        <v>154</v>
      </c>
      <c r="K317" s="10">
        <v>11911391.462172221</v>
      </c>
    </row>
    <row r="318" spans="1:11" x14ac:dyDescent="0.35">
      <c r="A318" s="9" t="s">
        <v>432</v>
      </c>
      <c r="B318" s="10">
        <v>763</v>
      </c>
      <c r="C318" s="10">
        <v>5</v>
      </c>
      <c r="D318" s="10">
        <v>1</v>
      </c>
      <c r="E318" s="10">
        <v>607</v>
      </c>
      <c r="F318" s="10">
        <v>22909725.059672706</v>
      </c>
      <c r="G318" s="10">
        <v>657</v>
      </c>
      <c r="H318" s="10">
        <v>10</v>
      </c>
      <c r="I318" s="10">
        <v>1</v>
      </c>
      <c r="J318" s="10">
        <v>624</v>
      </c>
      <c r="K318" s="10">
        <v>25183176.608770549</v>
      </c>
    </row>
    <row r="319" spans="1:11" x14ac:dyDescent="0.35">
      <c r="A319" s="9" t="s">
        <v>433</v>
      </c>
      <c r="B319" s="10">
        <v>717</v>
      </c>
      <c r="C319" s="10">
        <v>12</v>
      </c>
      <c r="D319" s="10">
        <v>5</v>
      </c>
      <c r="E319" s="10">
        <v>633</v>
      </c>
      <c r="F319" s="10">
        <v>31728872.93089629</v>
      </c>
      <c r="G319" s="10">
        <v>679</v>
      </c>
      <c r="H319" s="10">
        <v>14</v>
      </c>
      <c r="I319" s="10">
        <v>5</v>
      </c>
      <c r="J319" s="10">
        <v>594</v>
      </c>
      <c r="K319" s="10">
        <v>32087296.060396723</v>
      </c>
    </row>
    <row r="320" spans="1:11" x14ac:dyDescent="0.35">
      <c r="A320" s="9" t="s">
        <v>434</v>
      </c>
      <c r="B320" s="10">
        <v>582</v>
      </c>
      <c r="C320" s="10">
        <v>6</v>
      </c>
      <c r="D320" s="10">
        <v>2</v>
      </c>
      <c r="E320" s="10">
        <v>507</v>
      </c>
      <c r="F320" s="10">
        <v>16591476.105212282</v>
      </c>
      <c r="G320" s="10">
        <v>563</v>
      </c>
      <c r="H320" s="10">
        <v>7</v>
      </c>
      <c r="I320" s="10">
        <v>2</v>
      </c>
      <c r="J320" s="10">
        <v>525</v>
      </c>
      <c r="K320" s="10">
        <v>18370448.434085775</v>
      </c>
    </row>
    <row r="321" spans="1:11" x14ac:dyDescent="0.35">
      <c r="A321" s="9" t="s">
        <v>435</v>
      </c>
      <c r="B321" s="10">
        <v>700</v>
      </c>
      <c r="C321" s="10">
        <v>16</v>
      </c>
      <c r="D321" s="10">
        <v>1</v>
      </c>
      <c r="E321" s="10">
        <v>582</v>
      </c>
      <c r="F321" s="10">
        <v>22510794.428421475</v>
      </c>
      <c r="G321" s="10">
        <v>686</v>
      </c>
      <c r="H321" s="10">
        <v>11</v>
      </c>
      <c r="I321" s="10">
        <v>1</v>
      </c>
      <c r="J321" s="10">
        <v>592</v>
      </c>
      <c r="K321" s="10">
        <v>23347919.212328743</v>
      </c>
    </row>
    <row r="322" spans="1:11" x14ac:dyDescent="0.35">
      <c r="A322" s="9" t="s">
        <v>436</v>
      </c>
      <c r="B322" s="10">
        <v>944</v>
      </c>
      <c r="C322" s="10">
        <v>15</v>
      </c>
      <c r="D322" s="10">
        <v>1</v>
      </c>
      <c r="E322" s="10">
        <v>866</v>
      </c>
      <c r="F322" s="10">
        <v>29050684.430815406</v>
      </c>
      <c r="G322" s="10">
        <v>851</v>
      </c>
      <c r="H322" s="10">
        <v>18</v>
      </c>
      <c r="I322" s="10">
        <v>2</v>
      </c>
      <c r="J322" s="10">
        <v>828</v>
      </c>
      <c r="K322" s="10">
        <v>29097348.086223323</v>
      </c>
    </row>
    <row r="323" spans="1:11" x14ac:dyDescent="0.35">
      <c r="A323" s="9" t="s">
        <v>437</v>
      </c>
      <c r="B323" s="10">
        <v>699</v>
      </c>
      <c r="C323" s="10">
        <v>7</v>
      </c>
      <c r="D323" s="10">
        <v>2</v>
      </c>
      <c r="E323" s="10">
        <v>628</v>
      </c>
      <c r="F323" s="10">
        <v>17865021.412600406</v>
      </c>
      <c r="G323" s="10">
        <v>774</v>
      </c>
      <c r="H323" s="10">
        <v>11</v>
      </c>
      <c r="I323" s="10">
        <v>2</v>
      </c>
      <c r="J323" s="10">
        <v>672</v>
      </c>
      <c r="K323" s="10">
        <v>17224536.768610161</v>
      </c>
    </row>
    <row r="324" spans="1:11" x14ac:dyDescent="0.35">
      <c r="A324" s="9" t="s">
        <v>438</v>
      </c>
      <c r="B324" s="10">
        <v>708</v>
      </c>
      <c r="C324" s="10">
        <v>9</v>
      </c>
      <c r="D324" s="10">
        <v>2</v>
      </c>
      <c r="E324" s="10">
        <v>557</v>
      </c>
      <c r="F324" s="10">
        <v>32281763.317120429</v>
      </c>
      <c r="G324" s="10">
        <v>565</v>
      </c>
      <c r="H324" s="10">
        <v>8</v>
      </c>
      <c r="I324" s="10">
        <v>2</v>
      </c>
      <c r="J324" s="10">
        <v>517</v>
      </c>
      <c r="K324" s="10">
        <v>34286099.671212316</v>
      </c>
    </row>
    <row r="325" spans="1:11" x14ac:dyDescent="0.35">
      <c r="A325" s="9" t="s">
        <v>439</v>
      </c>
      <c r="B325" s="10">
        <v>832</v>
      </c>
      <c r="C325" s="10">
        <v>15</v>
      </c>
      <c r="D325" s="10">
        <v>0</v>
      </c>
      <c r="E325" s="10">
        <v>787</v>
      </c>
      <c r="F325" s="10">
        <v>57585670.482890494</v>
      </c>
      <c r="G325" s="10">
        <v>858</v>
      </c>
      <c r="H325" s="10">
        <v>31</v>
      </c>
      <c r="I325" s="10">
        <v>1</v>
      </c>
      <c r="J325" s="10">
        <v>751</v>
      </c>
      <c r="K325" s="10">
        <v>63980445.528211243</v>
      </c>
    </row>
    <row r="326" spans="1:11" x14ac:dyDescent="0.35">
      <c r="A326" s="9" t="s">
        <v>440</v>
      </c>
      <c r="B326" s="10">
        <v>396</v>
      </c>
      <c r="C326" s="10">
        <v>10</v>
      </c>
      <c r="D326" s="10">
        <v>0</v>
      </c>
      <c r="E326" s="10">
        <v>367</v>
      </c>
      <c r="F326" s="10">
        <v>14013181.708036166</v>
      </c>
      <c r="G326" s="10">
        <v>412</v>
      </c>
      <c r="H326" s="10">
        <v>10</v>
      </c>
      <c r="I326" s="10">
        <v>1</v>
      </c>
      <c r="J326" s="10">
        <v>377</v>
      </c>
      <c r="K326" s="10">
        <v>16739037.627705695</v>
      </c>
    </row>
    <row r="327" spans="1:11" x14ac:dyDescent="0.35">
      <c r="A327" s="9" t="s">
        <v>441</v>
      </c>
      <c r="B327" s="10">
        <v>2106</v>
      </c>
      <c r="C327" s="10">
        <v>30</v>
      </c>
      <c r="D327" s="10">
        <v>3</v>
      </c>
      <c r="E327" s="10">
        <v>1873</v>
      </c>
      <c r="F327" s="10">
        <v>74232991.530854374</v>
      </c>
      <c r="G327" s="10">
        <v>1592</v>
      </c>
      <c r="H327" s="10">
        <v>35</v>
      </c>
      <c r="I327" s="10">
        <v>2</v>
      </c>
      <c r="J327" s="10">
        <v>1484</v>
      </c>
      <c r="K327" s="10">
        <v>69249314.735566467</v>
      </c>
    </row>
    <row r="328" spans="1:11" x14ac:dyDescent="0.35">
      <c r="A328" s="9" t="s">
        <v>442</v>
      </c>
      <c r="B328" s="10">
        <v>1074</v>
      </c>
      <c r="C328" s="10">
        <v>21</v>
      </c>
      <c r="D328" s="10">
        <v>5</v>
      </c>
      <c r="E328" s="10">
        <v>983</v>
      </c>
      <c r="F328" s="10">
        <v>37600232.715458795</v>
      </c>
      <c r="G328" s="10">
        <v>981</v>
      </c>
      <c r="H328" s="10">
        <v>20</v>
      </c>
      <c r="I328" s="10">
        <v>5</v>
      </c>
      <c r="J328" s="10">
        <v>899</v>
      </c>
      <c r="K328" s="10">
        <v>41717894.425429195</v>
      </c>
    </row>
    <row r="329" spans="1:11" x14ac:dyDescent="0.35">
      <c r="A329" s="9" t="s">
        <v>443</v>
      </c>
      <c r="B329" s="10">
        <v>387</v>
      </c>
      <c r="C329" s="10">
        <v>135</v>
      </c>
      <c r="D329" s="10">
        <v>0</v>
      </c>
      <c r="E329" s="10">
        <v>300</v>
      </c>
      <c r="F329" s="10">
        <v>8170634.1297520418</v>
      </c>
      <c r="G329" s="10">
        <v>233</v>
      </c>
      <c r="H329" s="10">
        <v>3</v>
      </c>
      <c r="I329" s="10">
        <v>1</v>
      </c>
      <c r="J329" s="10">
        <v>163</v>
      </c>
      <c r="K329" s="10">
        <v>8612518.1939984988</v>
      </c>
    </row>
    <row r="330" spans="1:11" x14ac:dyDescent="0.35">
      <c r="A330" s="9" t="s">
        <v>444</v>
      </c>
      <c r="B330" s="10">
        <v>812</v>
      </c>
      <c r="C330" s="10">
        <v>28</v>
      </c>
      <c r="D330" s="10">
        <v>8</v>
      </c>
      <c r="E330" s="10">
        <v>673</v>
      </c>
      <c r="F330" s="10">
        <v>32587469.128706411</v>
      </c>
      <c r="G330" s="10">
        <v>781</v>
      </c>
      <c r="H330" s="10">
        <v>23</v>
      </c>
      <c r="I330" s="10">
        <v>12</v>
      </c>
      <c r="J330" s="10">
        <v>640</v>
      </c>
      <c r="K330" s="10">
        <v>41114838.086732343</v>
      </c>
    </row>
    <row r="331" spans="1:11" x14ac:dyDescent="0.35">
      <c r="A331" s="9" t="s">
        <v>445</v>
      </c>
      <c r="B331" s="10">
        <v>616</v>
      </c>
      <c r="C331" s="10">
        <v>9</v>
      </c>
      <c r="D331" s="10">
        <v>1</v>
      </c>
      <c r="E331" s="10">
        <v>577</v>
      </c>
      <c r="F331" s="10">
        <v>19795458.862268001</v>
      </c>
      <c r="G331" s="10">
        <v>613</v>
      </c>
      <c r="H331" s="10">
        <v>18</v>
      </c>
      <c r="I331" s="10">
        <v>1</v>
      </c>
      <c r="J331" s="10">
        <v>573</v>
      </c>
      <c r="K331" s="10">
        <v>24033250.324819542</v>
      </c>
    </row>
    <row r="332" spans="1:11" x14ac:dyDescent="0.35">
      <c r="A332" s="9" t="s">
        <v>446</v>
      </c>
      <c r="B332" s="10">
        <v>270</v>
      </c>
      <c r="C332" s="10">
        <v>6</v>
      </c>
      <c r="D332" s="10">
        <v>1</v>
      </c>
      <c r="E332" s="10">
        <v>239</v>
      </c>
      <c r="F332" s="10">
        <v>7308317.065024348</v>
      </c>
      <c r="G332" s="10">
        <v>195</v>
      </c>
      <c r="H332" s="10">
        <v>6</v>
      </c>
      <c r="I332" s="10">
        <v>1</v>
      </c>
      <c r="J332" s="10">
        <v>203</v>
      </c>
      <c r="K332" s="10">
        <v>7234626.8107215893</v>
      </c>
    </row>
    <row r="333" spans="1:11" x14ac:dyDescent="0.35">
      <c r="A333" s="9" t="s">
        <v>447</v>
      </c>
      <c r="B333" s="10">
        <v>999</v>
      </c>
      <c r="C333" s="10">
        <v>24</v>
      </c>
      <c r="D333" s="10">
        <v>6</v>
      </c>
      <c r="E333" s="10">
        <v>717</v>
      </c>
      <c r="F333" s="10">
        <v>48873893.141862847</v>
      </c>
      <c r="G333" s="10">
        <v>1061</v>
      </c>
      <c r="H333" s="10">
        <v>38</v>
      </c>
      <c r="I333" s="10">
        <v>7</v>
      </c>
      <c r="J333" s="10">
        <v>928</v>
      </c>
      <c r="K333" s="10">
        <v>53671895.998297997</v>
      </c>
    </row>
    <row r="334" spans="1:11" x14ac:dyDescent="0.35">
      <c r="A334" s="9" t="s">
        <v>448</v>
      </c>
      <c r="B334" s="10">
        <v>827</v>
      </c>
      <c r="C334" s="10">
        <v>8</v>
      </c>
      <c r="D334" s="10">
        <v>2</v>
      </c>
      <c r="E334" s="10">
        <v>704</v>
      </c>
      <c r="F334" s="10">
        <v>30868824.121582709</v>
      </c>
      <c r="G334" s="10">
        <v>898</v>
      </c>
      <c r="H334" s="10">
        <v>11</v>
      </c>
      <c r="I334" s="10">
        <v>2</v>
      </c>
      <c r="J334" s="10">
        <v>994</v>
      </c>
      <c r="K334" s="10">
        <v>32669888.442766003</v>
      </c>
    </row>
    <row r="335" spans="1:11" x14ac:dyDescent="0.35">
      <c r="A335" s="9" t="s">
        <v>449</v>
      </c>
      <c r="B335" s="10">
        <v>479</v>
      </c>
      <c r="C335" s="10">
        <v>1</v>
      </c>
      <c r="D335" s="10">
        <v>1</v>
      </c>
      <c r="E335" s="10">
        <v>331</v>
      </c>
      <c r="F335" s="10">
        <v>15486815.872180941</v>
      </c>
      <c r="G335" s="10">
        <v>402</v>
      </c>
      <c r="H335" s="10">
        <v>11</v>
      </c>
      <c r="I335" s="10">
        <v>1</v>
      </c>
      <c r="J335" s="10">
        <v>390</v>
      </c>
      <c r="K335" s="10">
        <v>16505196.213528927</v>
      </c>
    </row>
    <row r="336" spans="1:11" x14ac:dyDescent="0.35">
      <c r="A336" s="9" t="s">
        <v>450</v>
      </c>
      <c r="B336" s="10">
        <v>220</v>
      </c>
      <c r="C336" s="10">
        <v>3</v>
      </c>
      <c r="D336" s="10">
        <v>1</v>
      </c>
      <c r="E336" s="10">
        <v>176</v>
      </c>
      <c r="F336" s="10">
        <v>6613022.7203789325</v>
      </c>
      <c r="G336" s="10">
        <v>187</v>
      </c>
      <c r="H336" s="10">
        <v>2</v>
      </c>
      <c r="I336" s="10">
        <v>0</v>
      </c>
      <c r="J336" s="10">
        <v>184</v>
      </c>
      <c r="K336" s="10">
        <v>6807934.7610349637</v>
      </c>
    </row>
    <row r="337" spans="1:11" x14ac:dyDescent="0.35">
      <c r="A337" s="9" t="s">
        <v>451</v>
      </c>
      <c r="B337" s="10">
        <v>636</v>
      </c>
      <c r="C337" s="10">
        <v>8</v>
      </c>
      <c r="D337" s="10">
        <v>0</v>
      </c>
      <c r="E337" s="10">
        <v>639</v>
      </c>
      <c r="F337" s="10">
        <v>27937709.382647369</v>
      </c>
      <c r="G337" s="10">
        <v>637</v>
      </c>
      <c r="H337" s="10">
        <v>16</v>
      </c>
      <c r="I337" s="10">
        <v>1</v>
      </c>
      <c r="J337" s="10">
        <v>634</v>
      </c>
      <c r="K337" s="10">
        <v>26987457.379830889</v>
      </c>
    </row>
    <row r="338" spans="1:11" x14ac:dyDescent="0.35">
      <c r="A338" s="9" t="s">
        <v>452</v>
      </c>
      <c r="B338" s="10">
        <v>692</v>
      </c>
      <c r="C338" s="10">
        <v>11</v>
      </c>
      <c r="D338" s="10">
        <v>1</v>
      </c>
      <c r="E338" s="10">
        <v>544</v>
      </c>
      <c r="F338" s="10">
        <v>26818215.252649713</v>
      </c>
      <c r="G338" s="10">
        <v>554</v>
      </c>
      <c r="H338" s="10">
        <v>10</v>
      </c>
      <c r="I338" s="10">
        <v>1</v>
      </c>
      <c r="J338" s="10">
        <v>482</v>
      </c>
      <c r="K338" s="10">
        <v>27115682.099486332</v>
      </c>
    </row>
    <row r="339" spans="1:11" x14ac:dyDescent="0.35">
      <c r="A339" s="9" t="s">
        <v>453</v>
      </c>
      <c r="B339" s="10">
        <v>199</v>
      </c>
      <c r="C339" s="10">
        <v>7</v>
      </c>
      <c r="D339" s="10">
        <v>0</v>
      </c>
      <c r="E339" s="10">
        <v>174</v>
      </c>
      <c r="F339" s="10">
        <v>10419541.269774484</v>
      </c>
      <c r="G339" s="10">
        <v>167</v>
      </c>
      <c r="H339" s="10">
        <v>2</v>
      </c>
      <c r="I339" s="10">
        <v>0</v>
      </c>
      <c r="J339" s="10">
        <v>135</v>
      </c>
      <c r="K339" s="10">
        <v>11097979.647569535</v>
      </c>
    </row>
    <row r="340" spans="1:11" x14ac:dyDescent="0.35">
      <c r="A340" s="9" t="s">
        <v>454</v>
      </c>
      <c r="B340" s="10">
        <v>735</v>
      </c>
      <c r="C340" s="10">
        <v>21</v>
      </c>
      <c r="D340" s="10">
        <v>2</v>
      </c>
      <c r="E340" s="10">
        <v>837</v>
      </c>
      <c r="F340" s="10">
        <v>20790631.412967008</v>
      </c>
      <c r="G340" s="10">
        <v>757</v>
      </c>
      <c r="H340" s="10">
        <v>30</v>
      </c>
      <c r="I340" s="10">
        <v>3</v>
      </c>
      <c r="J340" s="10">
        <v>721</v>
      </c>
      <c r="K340" s="10">
        <v>25028434.220628649</v>
      </c>
    </row>
    <row r="341" spans="1:11" x14ac:dyDescent="0.35">
      <c r="A341" s="9" t="s">
        <v>455</v>
      </c>
      <c r="B341" s="10">
        <v>986</v>
      </c>
      <c r="C341" s="10">
        <v>7</v>
      </c>
      <c r="D341" s="10">
        <v>2</v>
      </c>
      <c r="E341" s="10">
        <v>748</v>
      </c>
      <c r="F341" s="10">
        <v>44119555.37499661</v>
      </c>
      <c r="G341" s="10">
        <v>1344</v>
      </c>
      <c r="H341" s="10">
        <v>20</v>
      </c>
      <c r="I341" s="10">
        <v>2</v>
      </c>
      <c r="J341" s="10">
        <v>1110</v>
      </c>
      <c r="K341" s="10">
        <v>47594772.626271009</v>
      </c>
    </row>
    <row r="342" spans="1:11" x14ac:dyDescent="0.35">
      <c r="A342" s="9" t="s">
        <v>456</v>
      </c>
      <c r="B342" s="10">
        <v>111</v>
      </c>
      <c r="C342" s="10">
        <v>0</v>
      </c>
      <c r="D342" s="10">
        <v>2</v>
      </c>
      <c r="E342" s="10">
        <v>178</v>
      </c>
      <c r="F342" s="10">
        <v>7100871.0671611466</v>
      </c>
      <c r="G342" s="10">
        <v>129</v>
      </c>
      <c r="H342" s="10">
        <v>0</v>
      </c>
      <c r="I342" s="10">
        <v>1</v>
      </c>
      <c r="J342" s="10">
        <v>96</v>
      </c>
      <c r="K342" s="10">
        <v>7536273.3815078763</v>
      </c>
    </row>
    <row r="343" spans="1:11" x14ac:dyDescent="0.35">
      <c r="A343" s="9" t="s">
        <v>457</v>
      </c>
      <c r="B343" s="10">
        <v>1283</v>
      </c>
      <c r="C343" s="10">
        <v>7</v>
      </c>
      <c r="D343" s="10">
        <v>1</v>
      </c>
      <c r="E343" s="10">
        <v>1050</v>
      </c>
      <c r="F343" s="10">
        <v>30021342.371238064</v>
      </c>
      <c r="G343" s="10">
        <v>1338</v>
      </c>
      <c r="H343" s="10">
        <v>13</v>
      </c>
      <c r="I343" s="10">
        <v>2</v>
      </c>
      <c r="J343" s="10">
        <v>1148</v>
      </c>
      <c r="K343" s="10">
        <v>59265718.301241197</v>
      </c>
    </row>
    <row r="344" spans="1:11" x14ac:dyDescent="0.35">
      <c r="A344" s="9" t="s">
        <v>458</v>
      </c>
      <c r="B344" s="10">
        <v>119</v>
      </c>
      <c r="C344" s="10">
        <v>2</v>
      </c>
      <c r="D344" s="10">
        <v>1</v>
      </c>
      <c r="E344" s="10">
        <v>99</v>
      </c>
      <c r="F344" s="10">
        <v>3624911.238692225</v>
      </c>
      <c r="G344" s="10">
        <v>105</v>
      </c>
      <c r="H344" s="10">
        <v>0</v>
      </c>
      <c r="I344" s="10">
        <v>0</v>
      </c>
      <c r="J344" s="10">
        <v>76</v>
      </c>
      <c r="K344" s="10">
        <v>3117531.0054622111</v>
      </c>
    </row>
    <row r="345" spans="1:11" x14ac:dyDescent="0.35">
      <c r="A345" s="9" t="s">
        <v>459</v>
      </c>
      <c r="B345" s="10">
        <v>708</v>
      </c>
      <c r="C345" s="10">
        <v>15</v>
      </c>
      <c r="D345" s="10">
        <v>1</v>
      </c>
      <c r="E345" s="10">
        <v>573</v>
      </c>
      <c r="F345" s="10">
        <v>30729890.015869692</v>
      </c>
      <c r="G345" s="10">
        <v>673</v>
      </c>
      <c r="H345" s="10">
        <v>27</v>
      </c>
      <c r="I345" s="10">
        <v>1</v>
      </c>
      <c r="J345" s="10">
        <v>585</v>
      </c>
      <c r="K345" s="10">
        <v>37411157.360626876</v>
      </c>
    </row>
    <row r="346" spans="1:11" x14ac:dyDescent="0.35">
      <c r="A346" s="9" t="s">
        <v>460</v>
      </c>
      <c r="B346" s="10">
        <v>564</v>
      </c>
      <c r="C346" s="10">
        <v>13</v>
      </c>
      <c r="D346" s="10">
        <v>1</v>
      </c>
      <c r="E346" s="10">
        <v>477</v>
      </c>
      <c r="F346" s="10">
        <v>20499040.865852065</v>
      </c>
      <c r="G346" s="10">
        <v>656</v>
      </c>
      <c r="H346" s="10">
        <v>16</v>
      </c>
      <c r="I346" s="10">
        <v>1</v>
      </c>
      <c r="J346" s="10">
        <v>651</v>
      </c>
      <c r="K346" s="10">
        <v>21703883.902275477</v>
      </c>
    </row>
    <row r="347" spans="1:11" x14ac:dyDescent="0.35">
      <c r="A347" s="9" t="s">
        <v>461</v>
      </c>
      <c r="B347" s="10">
        <v>656</v>
      </c>
      <c r="C347" s="10">
        <v>17</v>
      </c>
      <c r="D347" s="10">
        <v>7</v>
      </c>
      <c r="E347" s="10">
        <v>579</v>
      </c>
      <c r="F347" s="10">
        <v>29787121.350809328</v>
      </c>
      <c r="G347" s="10">
        <v>647</v>
      </c>
      <c r="H347" s="10">
        <v>10</v>
      </c>
      <c r="I347" s="10">
        <v>7</v>
      </c>
      <c r="J347" s="10">
        <v>563</v>
      </c>
      <c r="K347" s="10">
        <v>28899856.886372432</v>
      </c>
    </row>
    <row r="348" spans="1:11" x14ac:dyDescent="0.35">
      <c r="A348" s="9" t="s">
        <v>462</v>
      </c>
      <c r="B348" s="10">
        <v>700</v>
      </c>
      <c r="C348" s="10">
        <v>9</v>
      </c>
      <c r="D348" s="10">
        <v>1</v>
      </c>
      <c r="E348" s="10">
        <v>623</v>
      </c>
      <c r="F348" s="10">
        <v>18444723.822946642</v>
      </c>
      <c r="G348" s="10">
        <v>724</v>
      </c>
      <c r="H348" s="10">
        <v>8</v>
      </c>
      <c r="I348" s="10">
        <v>0</v>
      </c>
      <c r="J348" s="10">
        <v>720</v>
      </c>
      <c r="K348" s="10">
        <v>21091256.716740735</v>
      </c>
    </row>
    <row r="349" spans="1:11" x14ac:dyDescent="0.35">
      <c r="A349" s="9" t="s">
        <v>463</v>
      </c>
      <c r="B349" s="10">
        <v>572</v>
      </c>
      <c r="C349" s="10">
        <v>19</v>
      </c>
      <c r="D349" s="10">
        <v>5</v>
      </c>
      <c r="E349" s="10">
        <v>439</v>
      </c>
      <c r="F349" s="10">
        <v>23746067.483681303</v>
      </c>
      <c r="G349" s="10">
        <v>596</v>
      </c>
      <c r="H349" s="10">
        <v>24</v>
      </c>
      <c r="I349" s="10">
        <v>5</v>
      </c>
      <c r="J349" s="10">
        <v>424</v>
      </c>
      <c r="K349" s="10">
        <v>12440595.166079748</v>
      </c>
    </row>
    <row r="350" spans="1:11" x14ac:dyDescent="0.35">
      <c r="A350" s="9" t="s">
        <v>464</v>
      </c>
      <c r="B350" s="10">
        <v>974</v>
      </c>
      <c r="C350" s="10">
        <v>10</v>
      </c>
      <c r="D350" s="10">
        <v>2</v>
      </c>
      <c r="E350" s="10">
        <v>769</v>
      </c>
      <c r="F350" s="10">
        <v>29521141.82566148</v>
      </c>
      <c r="G350" s="10">
        <v>1005</v>
      </c>
      <c r="H350" s="10">
        <v>14</v>
      </c>
      <c r="I350" s="10">
        <v>1</v>
      </c>
      <c r="J350" s="10">
        <v>808</v>
      </c>
      <c r="K350" s="10">
        <v>33242922.677724447</v>
      </c>
    </row>
    <row r="351" spans="1:11" x14ac:dyDescent="0.35">
      <c r="A351" s="9" t="s">
        <v>465</v>
      </c>
      <c r="B351" s="10">
        <v>520</v>
      </c>
      <c r="C351" s="10">
        <v>6</v>
      </c>
      <c r="D351" s="10">
        <v>3</v>
      </c>
      <c r="E351" s="10">
        <v>492</v>
      </c>
      <c r="F351" s="10">
        <v>16106017.478695352</v>
      </c>
      <c r="G351" s="10">
        <v>557</v>
      </c>
      <c r="H351" s="10">
        <v>16</v>
      </c>
      <c r="I351" s="10">
        <v>2</v>
      </c>
      <c r="J351" s="10">
        <v>562</v>
      </c>
      <c r="K351" s="10">
        <v>18970954.329768401</v>
      </c>
    </row>
    <row r="352" spans="1:11" x14ac:dyDescent="0.35">
      <c r="A352" s="9" t="s">
        <v>466</v>
      </c>
      <c r="B352" s="10">
        <v>908</v>
      </c>
      <c r="C352" s="10">
        <v>124</v>
      </c>
      <c r="D352" s="10">
        <v>6</v>
      </c>
      <c r="E352" s="10">
        <v>760</v>
      </c>
      <c r="F352" s="10">
        <v>31918961.823860399</v>
      </c>
      <c r="G352" s="10">
        <v>849</v>
      </c>
      <c r="H352" s="10">
        <v>25</v>
      </c>
      <c r="I352" s="10">
        <v>5</v>
      </c>
      <c r="J352" s="10">
        <v>743</v>
      </c>
      <c r="K352" s="10">
        <v>34947565.898570709</v>
      </c>
    </row>
    <row r="353" spans="1:11" x14ac:dyDescent="0.35">
      <c r="A353" s="9" t="s">
        <v>467</v>
      </c>
      <c r="B353" s="10">
        <v>396</v>
      </c>
      <c r="C353" s="10">
        <v>1</v>
      </c>
      <c r="D353" s="10">
        <v>1</v>
      </c>
      <c r="E353" s="10">
        <v>373</v>
      </c>
      <c r="F353" s="10">
        <v>11195411.023386251</v>
      </c>
      <c r="G353" s="10">
        <v>460</v>
      </c>
      <c r="H353" s="10">
        <v>3</v>
      </c>
      <c r="I353" s="10">
        <v>1</v>
      </c>
      <c r="J353" s="10">
        <v>409</v>
      </c>
      <c r="K353" s="10">
        <v>12595891.0052731</v>
      </c>
    </row>
    <row r="354" spans="1:11" x14ac:dyDescent="0.35">
      <c r="A354" s="9" t="s">
        <v>468</v>
      </c>
      <c r="B354" s="10">
        <v>649</v>
      </c>
      <c r="C354" s="10">
        <v>5</v>
      </c>
      <c r="D354" s="10">
        <v>2</v>
      </c>
      <c r="E354" s="10">
        <v>551</v>
      </c>
      <c r="F354" s="10">
        <v>18995431.803444158</v>
      </c>
      <c r="G354" s="10">
        <v>577</v>
      </c>
      <c r="H354" s="10">
        <v>10</v>
      </c>
      <c r="I354" s="10">
        <v>2</v>
      </c>
      <c r="J354" s="10">
        <v>463</v>
      </c>
      <c r="K354" s="10">
        <v>25366067.130353946</v>
      </c>
    </row>
    <row r="355" spans="1:11" x14ac:dyDescent="0.35">
      <c r="A355" s="9" t="s">
        <v>469</v>
      </c>
      <c r="B355" s="10">
        <v>850</v>
      </c>
      <c r="C355" s="10">
        <v>4</v>
      </c>
      <c r="D355" s="10">
        <v>1</v>
      </c>
      <c r="E355" s="10">
        <v>311</v>
      </c>
      <c r="F355" s="10">
        <v>12898709.313264916</v>
      </c>
      <c r="G355" s="10">
        <v>1566</v>
      </c>
      <c r="H355" s="10">
        <v>7</v>
      </c>
      <c r="I355" s="10">
        <v>1</v>
      </c>
      <c r="J355" s="10">
        <v>345</v>
      </c>
      <c r="K355" s="10">
        <v>12094078.144901598</v>
      </c>
    </row>
    <row r="356" spans="1:11" x14ac:dyDescent="0.35">
      <c r="A356" s="9" t="s">
        <v>470</v>
      </c>
      <c r="B356" s="10">
        <v>1502</v>
      </c>
      <c r="C356" s="10">
        <v>9</v>
      </c>
      <c r="D356" s="10">
        <v>16</v>
      </c>
      <c r="E356" s="10">
        <v>801</v>
      </c>
      <c r="F356" s="10">
        <v>54062577.818995699</v>
      </c>
      <c r="G356" s="10">
        <v>1229</v>
      </c>
      <c r="H356" s="10">
        <v>18</v>
      </c>
      <c r="I356" s="10">
        <v>18</v>
      </c>
      <c r="J356" s="10">
        <v>958</v>
      </c>
      <c r="K356" s="10">
        <v>54721616.798371054</v>
      </c>
    </row>
    <row r="357" spans="1:11" x14ac:dyDescent="0.35">
      <c r="A357" s="9" t="s">
        <v>471</v>
      </c>
      <c r="B357" s="10">
        <v>1176</v>
      </c>
      <c r="C357" s="10">
        <v>13</v>
      </c>
      <c r="D357" s="10">
        <v>7</v>
      </c>
      <c r="E357" s="10">
        <v>1259</v>
      </c>
      <c r="F357" s="10">
        <v>35631650.096217915</v>
      </c>
      <c r="G357" s="10">
        <v>1305</v>
      </c>
      <c r="H357" s="10">
        <v>28</v>
      </c>
      <c r="I357" s="10">
        <v>6</v>
      </c>
      <c r="J357" s="10">
        <v>1252</v>
      </c>
      <c r="K357" s="10">
        <v>39833999.805063136</v>
      </c>
    </row>
    <row r="358" spans="1:11" x14ac:dyDescent="0.35">
      <c r="A358" s="9" t="s">
        <v>472</v>
      </c>
      <c r="B358" s="10">
        <v>282</v>
      </c>
      <c r="C358" s="10">
        <v>9</v>
      </c>
      <c r="D358" s="10">
        <v>3</v>
      </c>
      <c r="E358" s="10">
        <v>279</v>
      </c>
      <c r="F358" s="10">
        <v>11160518.893254474</v>
      </c>
      <c r="G358" s="10">
        <v>353</v>
      </c>
      <c r="H358" s="10">
        <v>4</v>
      </c>
      <c r="I358" s="10">
        <v>2</v>
      </c>
      <c r="J358" s="10">
        <v>268</v>
      </c>
      <c r="K358" s="10">
        <v>11069810.273285419</v>
      </c>
    </row>
    <row r="359" spans="1:11" x14ac:dyDescent="0.35">
      <c r="A359" s="9" t="s">
        <v>473</v>
      </c>
      <c r="B359" s="10">
        <v>528</v>
      </c>
      <c r="C359" s="10">
        <v>106</v>
      </c>
      <c r="D359" s="10">
        <v>4</v>
      </c>
      <c r="E359" s="10">
        <v>518</v>
      </c>
      <c r="F359" s="10">
        <v>18643124.372976854</v>
      </c>
      <c r="G359" s="10">
        <v>458</v>
      </c>
      <c r="H359" s="10">
        <v>5</v>
      </c>
      <c r="I359" s="10">
        <v>3</v>
      </c>
      <c r="J359" s="10">
        <v>403</v>
      </c>
      <c r="K359" s="10">
        <v>18157513.398885109</v>
      </c>
    </row>
    <row r="360" spans="1:11" x14ac:dyDescent="0.35">
      <c r="A360" s="9" t="s">
        <v>474</v>
      </c>
      <c r="B360" s="10">
        <v>581</v>
      </c>
      <c r="C360" s="10">
        <v>15</v>
      </c>
      <c r="D360" s="10">
        <v>4</v>
      </c>
      <c r="E360" s="10">
        <v>420</v>
      </c>
      <c r="F360" s="10">
        <v>8395051.2239600196</v>
      </c>
      <c r="G360" s="10">
        <v>607</v>
      </c>
      <c r="H360" s="10">
        <v>6</v>
      </c>
      <c r="I360" s="10">
        <v>6</v>
      </c>
      <c r="J360" s="10">
        <v>580</v>
      </c>
      <c r="K360" s="10">
        <v>15999971.154236903</v>
      </c>
    </row>
    <row r="361" spans="1:11" x14ac:dyDescent="0.35">
      <c r="A361" s="9" t="s">
        <v>475</v>
      </c>
      <c r="B361" s="10">
        <v>242</v>
      </c>
      <c r="C361" s="10">
        <v>1</v>
      </c>
      <c r="D361" s="10">
        <v>2</v>
      </c>
      <c r="E361" s="10">
        <v>243</v>
      </c>
      <c r="F361" s="10">
        <v>10916593.664261768</v>
      </c>
      <c r="G361" s="10">
        <v>230</v>
      </c>
      <c r="H361" s="10">
        <v>8</v>
      </c>
      <c r="I361" s="10">
        <v>1</v>
      </c>
      <c r="J361" s="10">
        <v>188</v>
      </c>
      <c r="K361" s="10">
        <v>11037238.329938913</v>
      </c>
    </row>
    <row r="362" spans="1:11" x14ac:dyDescent="0.35">
      <c r="A362" s="9" t="s">
        <v>476</v>
      </c>
      <c r="B362" s="10">
        <v>808</v>
      </c>
      <c r="C362" s="10">
        <v>11</v>
      </c>
      <c r="D362" s="10">
        <v>1</v>
      </c>
      <c r="E362" s="10">
        <v>904</v>
      </c>
      <c r="F362" s="10">
        <v>30911281.611320145</v>
      </c>
      <c r="G362" s="10">
        <v>809</v>
      </c>
      <c r="H362" s="10">
        <v>18</v>
      </c>
      <c r="I362" s="10">
        <v>2</v>
      </c>
      <c r="J362" s="10">
        <v>735</v>
      </c>
      <c r="K362" s="10">
        <v>31390025.439036444</v>
      </c>
    </row>
    <row r="363" spans="1:11" x14ac:dyDescent="0.35">
      <c r="A363" s="9" t="s">
        <v>477</v>
      </c>
      <c r="B363" s="10">
        <v>463</v>
      </c>
      <c r="C363" s="10">
        <v>2</v>
      </c>
      <c r="D363" s="10">
        <v>4</v>
      </c>
      <c r="E363" s="10">
        <v>428</v>
      </c>
      <c r="F363" s="10">
        <v>22104355.879333142</v>
      </c>
      <c r="G363" s="10">
        <v>535</v>
      </c>
      <c r="H363" s="10">
        <v>15</v>
      </c>
      <c r="I363" s="10">
        <v>6</v>
      </c>
      <c r="J363" s="10">
        <v>491</v>
      </c>
      <c r="K363" s="10">
        <v>21215373.424957715</v>
      </c>
    </row>
    <row r="364" spans="1:11" x14ac:dyDescent="0.35">
      <c r="A364" s="9" t="s">
        <v>478</v>
      </c>
      <c r="B364" s="10">
        <v>1265</v>
      </c>
      <c r="C364" s="10">
        <v>11</v>
      </c>
      <c r="D364" s="10">
        <v>2</v>
      </c>
      <c r="E364" s="10">
        <v>970</v>
      </c>
      <c r="F364" s="10">
        <v>39302770.846924797</v>
      </c>
      <c r="G364" s="10">
        <v>1060</v>
      </c>
      <c r="H364" s="10">
        <v>29</v>
      </c>
      <c r="I364" s="10">
        <v>1</v>
      </c>
      <c r="J364" s="10">
        <v>888</v>
      </c>
      <c r="K364" s="10">
        <v>39338158.222662285</v>
      </c>
    </row>
    <row r="365" spans="1:11" x14ac:dyDescent="0.35">
      <c r="A365" s="9" t="s">
        <v>479</v>
      </c>
      <c r="B365" s="10">
        <v>554</v>
      </c>
      <c r="C365" s="10">
        <v>4</v>
      </c>
      <c r="D365" s="10">
        <v>1</v>
      </c>
      <c r="E365" s="10">
        <v>519</v>
      </c>
      <c r="F365" s="10">
        <v>22292535.255343225</v>
      </c>
      <c r="G365" s="10">
        <v>532</v>
      </c>
      <c r="H365" s="10">
        <v>11</v>
      </c>
      <c r="I365" s="10">
        <v>1</v>
      </c>
      <c r="J365" s="10">
        <v>505</v>
      </c>
      <c r="K365" s="10">
        <v>26119109.129999988</v>
      </c>
    </row>
    <row r="366" spans="1:11" x14ac:dyDescent="0.35">
      <c r="A366" s="9" t="s">
        <v>480</v>
      </c>
      <c r="B366" s="10">
        <v>410</v>
      </c>
      <c r="C366" s="10">
        <v>6</v>
      </c>
      <c r="D366" s="10">
        <v>3</v>
      </c>
      <c r="E366" s="10">
        <v>189</v>
      </c>
      <c r="F366" s="10">
        <v>16019015.679463044</v>
      </c>
      <c r="G366" s="10">
        <v>500</v>
      </c>
      <c r="H366" s="10">
        <v>16</v>
      </c>
      <c r="I366" s="10">
        <v>2</v>
      </c>
      <c r="J366" s="10">
        <v>419</v>
      </c>
      <c r="K366" s="10">
        <v>22167326.079428464</v>
      </c>
    </row>
    <row r="367" spans="1:11" x14ac:dyDescent="0.35">
      <c r="A367" s="9" t="s">
        <v>481</v>
      </c>
      <c r="B367" s="10">
        <v>231</v>
      </c>
      <c r="C367" s="10">
        <v>2</v>
      </c>
      <c r="D367" s="10">
        <v>1</v>
      </c>
      <c r="E367" s="10">
        <v>69</v>
      </c>
      <c r="F367" s="10">
        <v>12175475.035815397</v>
      </c>
      <c r="G367" s="10">
        <v>461</v>
      </c>
      <c r="H367" s="10">
        <v>3</v>
      </c>
      <c r="I367" s="10">
        <v>0</v>
      </c>
      <c r="J367" s="10">
        <v>196</v>
      </c>
      <c r="K367" s="10">
        <v>10725818.510026067</v>
      </c>
    </row>
    <row r="368" spans="1:11" x14ac:dyDescent="0.35">
      <c r="A368" s="9" t="s">
        <v>482</v>
      </c>
      <c r="B368" s="10">
        <v>389</v>
      </c>
      <c r="C368" s="10">
        <v>2</v>
      </c>
      <c r="D368" s="10">
        <v>1</v>
      </c>
      <c r="E368" s="10">
        <v>233</v>
      </c>
      <c r="F368" s="10">
        <v>11606616.670464152</v>
      </c>
      <c r="G368" s="10">
        <v>660</v>
      </c>
      <c r="H368" s="10">
        <v>15</v>
      </c>
      <c r="I368" s="10">
        <v>1</v>
      </c>
      <c r="J368" s="10">
        <v>633</v>
      </c>
      <c r="K368" s="10">
        <v>22730366.391992427</v>
      </c>
    </row>
    <row r="369" spans="1:11" x14ac:dyDescent="0.35">
      <c r="A369" s="9" t="s">
        <v>483</v>
      </c>
      <c r="B369" s="10">
        <v>671</v>
      </c>
      <c r="C369" s="10">
        <v>33</v>
      </c>
      <c r="D369" s="10">
        <v>5</v>
      </c>
      <c r="E369" s="10">
        <v>339</v>
      </c>
      <c r="F369" s="10">
        <v>20323398.150294386</v>
      </c>
      <c r="G369" s="10">
        <v>645</v>
      </c>
      <c r="H369" s="10">
        <v>10</v>
      </c>
      <c r="I369" s="10">
        <v>5</v>
      </c>
      <c r="J369" s="10">
        <v>683</v>
      </c>
      <c r="K369" s="10">
        <v>20304910.84711495</v>
      </c>
    </row>
    <row r="370" spans="1:11" x14ac:dyDescent="0.35">
      <c r="A370" s="9" t="s">
        <v>484</v>
      </c>
      <c r="B370" s="10">
        <v>327</v>
      </c>
      <c r="C370" s="10">
        <v>2</v>
      </c>
      <c r="D370" s="10">
        <v>1</v>
      </c>
      <c r="E370" s="10">
        <v>141</v>
      </c>
      <c r="F370" s="10">
        <v>11576981.559204288</v>
      </c>
      <c r="G370" s="10">
        <v>500</v>
      </c>
      <c r="H370" s="10">
        <v>10</v>
      </c>
      <c r="I370" s="10">
        <v>1</v>
      </c>
      <c r="J370" s="10">
        <v>395</v>
      </c>
      <c r="K370" s="10">
        <v>15434629.442707306</v>
      </c>
    </row>
    <row r="371" spans="1:11" x14ac:dyDescent="0.35">
      <c r="A371" s="9" t="s">
        <v>485</v>
      </c>
      <c r="B371" s="10">
        <v>1473</v>
      </c>
      <c r="C371" s="10">
        <v>14</v>
      </c>
      <c r="D371" s="10">
        <v>6</v>
      </c>
      <c r="E371" s="10">
        <v>1399</v>
      </c>
      <c r="F371" s="10">
        <v>57097839.458484851</v>
      </c>
      <c r="G371" s="10">
        <v>1263</v>
      </c>
      <c r="H371" s="10">
        <v>18</v>
      </c>
      <c r="I371" s="10">
        <v>4</v>
      </c>
      <c r="J371" s="10">
        <v>986</v>
      </c>
      <c r="K371" s="10">
        <v>48662035.038182579</v>
      </c>
    </row>
    <row r="372" spans="1:11" x14ac:dyDescent="0.35">
      <c r="A372" s="9" t="s">
        <v>486</v>
      </c>
      <c r="B372" s="10">
        <v>595</v>
      </c>
      <c r="C372" s="10">
        <v>10</v>
      </c>
      <c r="D372" s="10">
        <v>6</v>
      </c>
      <c r="E372" s="10">
        <v>344</v>
      </c>
      <c r="F372" s="10">
        <v>17280999.996246733</v>
      </c>
      <c r="G372" s="10">
        <v>452</v>
      </c>
      <c r="H372" s="10">
        <v>5</v>
      </c>
      <c r="I372" s="10">
        <v>6</v>
      </c>
      <c r="J372" s="10">
        <v>424</v>
      </c>
      <c r="K372" s="10">
        <v>17907083.595432643</v>
      </c>
    </row>
    <row r="373" spans="1:11" x14ac:dyDescent="0.35">
      <c r="A373" s="9" t="s">
        <v>487</v>
      </c>
      <c r="B373" s="10">
        <v>978</v>
      </c>
      <c r="C373" s="10">
        <v>8</v>
      </c>
      <c r="D373" s="10">
        <v>16</v>
      </c>
      <c r="E373" s="10">
        <v>925</v>
      </c>
      <c r="F373" s="10">
        <v>53630005.004238695</v>
      </c>
      <c r="G373" s="10">
        <v>1039</v>
      </c>
      <c r="H373" s="10">
        <v>9</v>
      </c>
      <c r="I373" s="10">
        <v>14</v>
      </c>
      <c r="J373" s="10">
        <v>832</v>
      </c>
      <c r="K373" s="10">
        <v>44001987.507848397</v>
      </c>
    </row>
    <row r="374" spans="1:11" x14ac:dyDescent="0.35">
      <c r="A374" s="9" t="s">
        <v>488</v>
      </c>
      <c r="B374" s="10">
        <v>861</v>
      </c>
      <c r="C374" s="10">
        <v>68</v>
      </c>
      <c r="D374" s="10">
        <v>2</v>
      </c>
      <c r="E374" s="10">
        <v>836</v>
      </c>
      <c r="F374" s="10">
        <v>28080508.91755588</v>
      </c>
      <c r="G374" s="10">
        <v>789</v>
      </c>
      <c r="H374" s="10">
        <v>17</v>
      </c>
      <c r="I374" s="10">
        <v>3</v>
      </c>
      <c r="J374" s="10">
        <v>600</v>
      </c>
      <c r="K374" s="10">
        <v>27218133.015879553</v>
      </c>
    </row>
    <row r="375" spans="1:11" x14ac:dyDescent="0.35">
      <c r="A375" s="9" t="s">
        <v>489</v>
      </c>
      <c r="B375" s="10">
        <v>574</v>
      </c>
      <c r="C375" s="10">
        <v>48</v>
      </c>
      <c r="D375" s="10">
        <v>1</v>
      </c>
      <c r="E375" s="10">
        <v>448</v>
      </c>
      <c r="F375" s="10">
        <v>19596636.072430406</v>
      </c>
      <c r="G375" s="10">
        <v>354</v>
      </c>
      <c r="H375" s="10">
        <v>23</v>
      </c>
      <c r="I375" s="10">
        <v>1</v>
      </c>
      <c r="J375" s="10">
        <v>193</v>
      </c>
      <c r="K375" s="10">
        <v>17470614.904691759</v>
      </c>
    </row>
    <row r="376" spans="1:11" x14ac:dyDescent="0.35">
      <c r="A376" s="9" t="s">
        <v>490</v>
      </c>
      <c r="B376" s="10">
        <v>892</v>
      </c>
      <c r="C376" s="10">
        <v>435</v>
      </c>
      <c r="D376" s="10">
        <v>4</v>
      </c>
      <c r="E376" s="10">
        <v>366</v>
      </c>
      <c r="F376" s="10">
        <v>18934391.80930094</v>
      </c>
      <c r="G376" s="10">
        <v>444</v>
      </c>
      <c r="H376" s="10">
        <v>221</v>
      </c>
      <c r="I376" s="10">
        <v>3</v>
      </c>
      <c r="J376" s="10">
        <v>190</v>
      </c>
      <c r="K376" s="10">
        <v>16658156.9360392</v>
      </c>
    </row>
    <row r="377" spans="1:11" x14ac:dyDescent="0.35">
      <c r="A377" s="9" t="s">
        <v>491</v>
      </c>
      <c r="B377" s="10">
        <v>302</v>
      </c>
      <c r="C377" s="10">
        <v>2</v>
      </c>
      <c r="D377" s="10">
        <v>1</v>
      </c>
      <c r="E377" s="10">
        <v>162</v>
      </c>
      <c r="F377" s="10">
        <v>8892205.9172154535</v>
      </c>
      <c r="G377" s="10">
        <v>341</v>
      </c>
      <c r="H377" s="10">
        <v>4</v>
      </c>
      <c r="I377" s="10">
        <v>1</v>
      </c>
      <c r="J377" s="10">
        <v>343</v>
      </c>
      <c r="K377" s="10">
        <v>13346734.159636453</v>
      </c>
    </row>
    <row r="378" spans="1:11" x14ac:dyDescent="0.35">
      <c r="A378" s="9" t="s">
        <v>492</v>
      </c>
      <c r="B378" s="10">
        <v>1125</v>
      </c>
      <c r="C378" s="10">
        <v>169</v>
      </c>
      <c r="D378" s="10">
        <v>4</v>
      </c>
      <c r="E378" s="10">
        <v>1074</v>
      </c>
      <c r="F378" s="10">
        <v>46587099.870931841</v>
      </c>
      <c r="G378" s="10">
        <v>1465</v>
      </c>
      <c r="H378" s="10">
        <v>66</v>
      </c>
      <c r="I378" s="10">
        <v>2</v>
      </c>
      <c r="J378" s="10">
        <v>1303</v>
      </c>
      <c r="K378" s="10">
        <v>42428634.721578501</v>
      </c>
    </row>
    <row r="379" spans="1:11" x14ac:dyDescent="0.35">
      <c r="A379" s="9" t="s">
        <v>493</v>
      </c>
      <c r="B379" s="10">
        <v>461</v>
      </c>
      <c r="C379" s="10">
        <v>34</v>
      </c>
      <c r="D379" s="10">
        <v>1</v>
      </c>
      <c r="E379" s="10">
        <v>251</v>
      </c>
      <c r="F379" s="10">
        <v>15009851.177224075</v>
      </c>
      <c r="G379" s="10">
        <v>736</v>
      </c>
      <c r="H379" s="10">
        <v>111</v>
      </c>
      <c r="I379" s="10">
        <v>1</v>
      </c>
      <c r="J379" s="10">
        <v>545</v>
      </c>
      <c r="K379" s="10">
        <v>19426870.75772541</v>
      </c>
    </row>
    <row r="380" spans="1:11" x14ac:dyDescent="0.35">
      <c r="A380" s="9" t="s">
        <v>494</v>
      </c>
      <c r="B380" s="10">
        <v>510</v>
      </c>
      <c r="C380" s="10">
        <v>5</v>
      </c>
      <c r="D380" s="10">
        <v>1</v>
      </c>
      <c r="E380" s="10">
        <v>750</v>
      </c>
      <c r="F380" s="10">
        <v>14050300.398775537</v>
      </c>
      <c r="G380" s="10">
        <v>560</v>
      </c>
      <c r="H380" s="10">
        <v>8</v>
      </c>
      <c r="I380" s="10">
        <v>0</v>
      </c>
      <c r="J380" s="10">
        <v>438</v>
      </c>
      <c r="K380" s="10">
        <v>13866429.826327214</v>
      </c>
    </row>
    <row r="381" spans="1:11" x14ac:dyDescent="0.35">
      <c r="A381" s="9" t="s">
        <v>495</v>
      </c>
      <c r="B381" s="10">
        <v>641</v>
      </c>
      <c r="C381" s="10">
        <v>5</v>
      </c>
      <c r="D381" s="10">
        <v>5</v>
      </c>
      <c r="E381" s="10">
        <v>482</v>
      </c>
      <c r="F381" s="10">
        <v>24882048.93131876</v>
      </c>
      <c r="G381" s="10">
        <v>665</v>
      </c>
      <c r="H381" s="10">
        <v>8</v>
      </c>
      <c r="I381" s="10">
        <v>5</v>
      </c>
      <c r="J381" s="10">
        <v>633</v>
      </c>
      <c r="K381" s="10">
        <v>25606651.080784786</v>
      </c>
    </row>
    <row r="382" spans="1:11" x14ac:dyDescent="0.35">
      <c r="A382" s="9" t="s">
        <v>496</v>
      </c>
      <c r="B382" s="10">
        <v>542</v>
      </c>
      <c r="C382" s="10">
        <v>6</v>
      </c>
      <c r="D382" s="10">
        <v>1</v>
      </c>
      <c r="E382" s="10">
        <v>471</v>
      </c>
      <c r="F382" s="10">
        <v>16758897.301344184</v>
      </c>
      <c r="G382" s="10">
        <v>480</v>
      </c>
      <c r="H382" s="10">
        <v>6</v>
      </c>
      <c r="I382" s="10">
        <v>2</v>
      </c>
      <c r="J382" s="10">
        <v>430</v>
      </c>
      <c r="K382" s="10">
        <v>15771729.257494545</v>
      </c>
    </row>
    <row r="383" spans="1:11" x14ac:dyDescent="0.35">
      <c r="A383" s="9" t="s">
        <v>497</v>
      </c>
      <c r="B383" s="10">
        <v>252</v>
      </c>
      <c r="C383" s="10">
        <v>2</v>
      </c>
      <c r="D383" s="10">
        <v>2</v>
      </c>
      <c r="E383" s="10">
        <v>203</v>
      </c>
      <c r="F383" s="10">
        <v>9032020.3941700645</v>
      </c>
      <c r="G383" s="10">
        <v>177</v>
      </c>
      <c r="H383" s="10">
        <v>4</v>
      </c>
      <c r="I383" s="10">
        <v>2</v>
      </c>
      <c r="J383" s="10">
        <v>148</v>
      </c>
      <c r="K383" s="10">
        <v>6579323.469720277</v>
      </c>
    </row>
    <row r="384" spans="1:11" x14ac:dyDescent="0.35">
      <c r="A384" s="9" t="s">
        <v>498</v>
      </c>
      <c r="B384" s="10">
        <v>610</v>
      </c>
      <c r="C384" s="10">
        <v>12</v>
      </c>
      <c r="D384" s="10">
        <v>2</v>
      </c>
      <c r="E384" s="10">
        <v>438</v>
      </c>
      <c r="F384" s="10">
        <v>19709945.467588011</v>
      </c>
      <c r="G384" s="10">
        <v>572</v>
      </c>
      <c r="H384" s="10">
        <v>15</v>
      </c>
      <c r="I384" s="10">
        <v>2</v>
      </c>
      <c r="J384" s="10">
        <v>385</v>
      </c>
      <c r="K384" s="10">
        <v>19202802.764736071</v>
      </c>
    </row>
    <row r="385" spans="1:11" x14ac:dyDescent="0.35">
      <c r="A385" s="9" t="s">
        <v>499</v>
      </c>
      <c r="B385" s="10">
        <v>471</v>
      </c>
      <c r="C385" s="10">
        <v>4</v>
      </c>
      <c r="D385" s="10">
        <v>1</v>
      </c>
      <c r="E385" s="10">
        <v>412</v>
      </c>
      <c r="F385" s="10">
        <v>22751246.802897967</v>
      </c>
      <c r="G385" s="10">
        <v>444</v>
      </c>
      <c r="H385" s="10">
        <v>11</v>
      </c>
      <c r="I385" s="10">
        <v>2</v>
      </c>
      <c r="J385" s="10">
        <v>454</v>
      </c>
      <c r="K385" s="10">
        <v>22892958.784605544</v>
      </c>
    </row>
    <row r="386" spans="1:11" x14ac:dyDescent="0.35">
      <c r="A386" s="9" t="s">
        <v>500</v>
      </c>
      <c r="B386" s="10">
        <v>439</v>
      </c>
      <c r="C386" s="10">
        <v>8</v>
      </c>
      <c r="D386" s="10">
        <v>1</v>
      </c>
      <c r="E386" s="10">
        <v>433</v>
      </c>
      <c r="F386" s="10">
        <v>19931453.236539535</v>
      </c>
      <c r="G386" s="10">
        <v>514</v>
      </c>
      <c r="H386" s="10">
        <v>3</v>
      </c>
      <c r="I386" s="10">
        <v>1</v>
      </c>
      <c r="J386" s="10">
        <v>420</v>
      </c>
      <c r="K386" s="10">
        <v>18102367.823451959</v>
      </c>
    </row>
    <row r="387" spans="1:11" x14ac:dyDescent="0.35">
      <c r="A387" s="9" t="s">
        <v>501</v>
      </c>
      <c r="B387" s="10">
        <v>746</v>
      </c>
      <c r="C387" s="10">
        <v>28</v>
      </c>
      <c r="D387" s="10">
        <v>4</v>
      </c>
      <c r="E387" s="10">
        <v>666</v>
      </c>
      <c r="F387" s="10">
        <v>27112003.985321213</v>
      </c>
      <c r="G387" s="10">
        <v>966</v>
      </c>
      <c r="H387" s="10">
        <v>22</v>
      </c>
      <c r="I387" s="10">
        <v>3</v>
      </c>
      <c r="J387" s="10">
        <v>849</v>
      </c>
      <c r="K387" s="10">
        <v>29650634.654929891</v>
      </c>
    </row>
    <row r="388" spans="1:11" x14ac:dyDescent="0.35">
      <c r="A388" s="9" t="s">
        <v>502</v>
      </c>
      <c r="B388" s="10">
        <v>1971</v>
      </c>
      <c r="C388" s="10">
        <v>13</v>
      </c>
      <c r="D388" s="10">
        <v>18</v>
      </c>
      <c r="E388" s="10">
        <v>1644</v>
      </c>
      <c r="F388" s="10">
        <v>95111743.234894276</v>
      </c>
      <c r="G388" s="10">
        <v>1700</v>
      </c>
      <c r="H388" s="10">
        <v>33</v>
      </c>
      <c r="I388" s="10">
        <v>18</v>
      </c>
      <c r="J388" s="10">
        <v>1519</v>
      </c>
      <c r="K388" s="10">
        <v>91496667.645984918</v>
      </c>
    </row>
    <row r="389" spans="1:11" x14ac:dyDescent="0.35">
      <c r="A389" s="9" t="s">
        <v>503</v>
      </c>
      <c r="B389" s="10">
        <v>515</v>
      </c>
      <c r="C389" s="10">
        <v>8</v>
      </c>
      <c r="D389" s="10">
        <v>3</v>
      </c>
      <c r="E389" s="10">
        <v>511</v>
      </c>
      <c r="F389" s="10">
        <v>18808171.858196348</v>
      </c>
      <c r="G389" s="10">
        <v>521</v>
      </c>
      <c r="H389" s="10">
        <v>15</v>
      </c>
      <c r="I389" s="10">
        <v>3</v>
      </c>
      <c r="J389" s="10">
        <v>406</v>
      </c>
      <c r="K389" s="10">
        <v>17548925.602616731</v>
      </c>
    </row>
    <row r="390" spans="1:11" x14ac:dyDescent="0.35">
      <c r="A390" s="9" t="s">
        <v>504</v>
      </c>
      <c r="B390" s="10">
        <v>206</v>
      </c>
      <c r="C390" s="10">
        <v>4</v>
      </c>
      <c r="D390" s="10">
        <v>0</v>
      </c>
      <c r="E390" s="10">
        <v>165</v>
      </c>
      <c r="F390" s="10">
        <v>8015673.5842802217</v>
      </c>
      <c r="G390" s="10">
        <v>257</v>
      </c>
      <c r="H390" s="10">
        <v>3</v>
      </c>
      <c r="I390" s="10">
        <v>0</v>
      </c>
      <c r="J390" s="10">
        <v>229</v>
      </c>
      <c r="K390" s="10">
        <v>7988805.4436891349</v>
      </c>
    </row>
    <row r="391" spans="1:11" x14ac:dyDescent="0.35">
      <c r="A391" s="9" t="s">
        <v>505</v>
      </c>
      <c r="B391" s="10">
        <v>836</v>
      </c>
      <c r="C391" s="10">
        <v>5</v>
      </c>
      <c r="D391" s="10">
        <v>1</v>
      </c>
      <c r="E391" s="10">
        <v>706</v>
      </c>
      <c r="F391" s="10">
        <v>24127759.47703715</v>
      </c>
      <c r="G391" s="10">
        <v>760</v>
      </c>
      <c r="H391" s="10">
        <v>10</v>
      </c>
      <c r="I391" s="10">
        <v>1</v>
      </c>
      <c r="J391" s="10">
        <v>760</v>
      </c>
      <c r="K391" s="10">
        <v>23926144.038803332</v>
      </c>
    </row>
    <row r="392" spans="1:11" x14ac:dyDescent="0.35">
      <c r="A392" s="9" t="s">
        <v>506</v>
      </c>
      <c r="B392" s="10">
        <v>826</v>
      </c>
      <c r="C392" s="10">
        <v>75</v>
      </c>
      <c r="D392" s="10">
        <v>2</v>
      </c>
      <c r="E392" s="10">
        <v>468</v>
      </c>
      <c r="F392" s="10">
        <v>29422342.714746833</v>
      </c>
      <c r="G392" s="10">
        <v>652</v>
      </c>
      <c r="H392" s="10">
        <v>22</v>
      </c>
      <c r="I392" s="10">
        <v>1</v>
      </c>
      <c r="J392" s="10">
        <v>387</v>
      </c>
      <c r="K392" s="10">
        <v>26468884.502758533</v>
      </c>
    </row>
    <row r="393" spans="1:11" x14ac:dyDescent="0.35">
      <c r="A393" s="9" t="s">
        <v>507</v>
      </c>
      <c r="B393" s="10">
        <v>887</v>
      </c>
      <c r="C393" s="10">
        <v>76</v>
      </c>
      <c r="D393" s="10">
        <v>2</v>
      </c>
      <c r="E393" s="10">
        <v>805</v>
      </c>
      <c r="F393" s="10">
        <v>39053913.628740191</v>
      </c>
      <c r="G393" s="10">
        <v>1276</v>
      </c>
      <c r="H393" s="10">
        <v>70</v>
      </c>
      <c r="I393" s="10">
        <v>2</v>
      </c>
      <c r="J393" s="10">
        <v>1158</v>
      </c>
      <c r="K393" s="10">
        <v>37747041.183945589</v>
      </c>
    </row>
    <row r="394" spans="1:11" x14ac:dyDescent="0.35">
      <c r="A394" s="9" t="s">
        <v>508</v>
      </c>
      <c r="B394" s="10">
        <v>554</v>
      </c>
      <c r="C394" s="10">
        <v>14</v>
      </c>
      <c r="D394" s="10">
        <v>1</v>
      </c>
      <c r="E394" s="10">
        <v>547</v>
      </c>
      <c r="F394" s="10">
        <v>19733300.261774831</v>
      </c>
      <c r="G394" s="10">
        <v>606</v>
      </c>
      <c r="H394" s="10">
        <v>15</v>
      </c>
      <c r="I394" s="10">
        <v>2</v>
      </c>
      <c r="J394" s="10">
        <v>601</v>
      </c>
      <c r="K394" s="10">
        <v>18812477.320235059</v>
      </c>
    </row>
    <row r="395" spans="1:11" x14ac:dyDescent="0.35">
      <c r="A395" s="9" t="s">
        <v>509</v>
      </c>
      <c r="B395" s="10">
        <v>335</v>
      </c>
      <c r="C395" s="10">
        <v>9</v>
      </c>
      <c r="D395" s="10">
        <v>2</v>
      </c>
      <c r="E395" s="10">
        <v>196</v>
      </c>
      <c r="F395" s="10">
        <v>9335895.0747582167</v>
      </c>
      <c r="G395" s="10">
        <v>469</v>
      </c>
      <c r="H395" s="10">
        <v>11</v>
      </c>
      <c r="I395" s="10">
        <v>2</v>
      </c>
      <c r="J395" s="10">
        <v>551</v>
      </c>
      <c r="K395" s="10">
        <v>14318375.637220973</v>
      </c>
    </row>
    <row r="396" spans="1:11" x14ac:dyDescent="0.35">
      <c r="A396" s="9" t="s">
        <v>510</v>
      </c>
      <c r="B396" s="10">
        <v>448</v>
      </c>
      <c r="C396" s="10">
        <v>1</v>
      </c>
      <c r="D396" s="10">
        <v>2</v>
      </c>
      <c r="E396" s="10">
        <v>429</v>
      </c>
      <c r="F396" s="10">
        <v>16775010.815641304</v>
      </c>
      <c r="G396" s="10">
        <v>398</v>
      </c>
      <c r="H396" s="10">
        <v>6</v>
      </c>
      <c r="I396" s="10">
        <v>1</v>
      </c>
      <c r="J396" s="10">
        <v>398</v>
      </c>
      <c r="K396" s="10">
        <v>16360550.543259099</v>
      </c>
    </row>
    <row r="397" spans="1:11" x14ac:dyDescent="0.35">
      <c r="A397" s="9" t="s">
        <v>511</v>
      </c>
      <c r="B397" s="10">
        <v>168</v>
      </c>
      <c r="C397" s="10">
        <v>2</v>
      </c>
      <c r="D397" s="10">
        <v>2</v>
      </c>
      <c r="E397" s="10">
        <v>209</v>
      </c>
      <c r="F397" s="10">
        <v>10296837.029774329</v>
      </c>
      <c r="G397" s="10">
        <v>169</v>
      </c>
      <c r="H397" s="10">
        <v>5</v>
      </c>
      <c r="I397" s="10">
        <v>1</v>
      </c>
      <c r="J397" s="10">
        <v>138</v>
      </c>
      <c r="K397" s="10">
        <v>11772516.199412677</v>
      </c>
    </row>
    <row r="398" spans="1:11" x14ac:dyDescent="0.35">
      <c r="A398" s="9" t="s">
        <v>512</v>
      </c>
      <c r="B398" s="10">
        <v>762</v>
      </c>
      <c r="C398" s="10">
        <v>4</v>
      </c>
      <c r="D398" s="10">
        <v>7</v>
      </c>
      <c r="E398" s="10">
        <v>617</v>
      </c>
      <c r="F398" s="10">
        <v>25567477.16214744</v>
      </c>
      <c r="G398" s="10">
        <v>754</v>
      </c>
      <c r="H398" s="10">
        <v>19</v>
      </c>
      <c r="I398" s="10">
        <v>5</v>
      </c>
      <c r="J398" s="10">
        <v>619</v>
      </c>
      <c r="K398" s="10">
        <v>26206070.309989899</v>
      </c>
    </row>
    <row r="399" spans="1:11" x14ac:dyDescent="0.35">
      <c r="A399" s="9" t="s">
        <v>513</v>
      </c>
      <c r="B399" s="10">
        <v>1122</v>
      </c>
      <c r="C399" s="10">
        <v>16</v>
      </c>
      <c r="D399" s="10">
        <v>1</v>
      </c>
      <c r="E399" s="10">
        <v>570</v>
      </c>
      <c r="F399" s="10">
        <v>34288276.402715117</v>
      </c>
      <c r="G399" s="10">
        <v>982</v>
      </c>
      <c r="H399" s="10">
        <v>14</v>
      </c>
      <c r="I399" s="10">
        <v>2</v>
      </c>
      <c r="J399" s="10">
        <v>651</v>
      </c>
      <c r="K399" s="10">
        <v>27515095.478049889</v>
      </c>
    </row>
    <row r="400" spans="1:11" x14ac:dyDescent="0.35">
      <c r="A400" s="9" t="s">
        <v>514</v>
      </c>
      <c r="B400" s="10">
        <v>559</v>
      </c>
      <c r="C400" s="10">
        <v>16</v>
      </c>
      <c r="D400" s="10">
        <v>2</v>
      </c>
      <c r="E400" s="10">
        <v>379</v>
      </c>
      <c r="F400" s="10">
        <v>18297934.87637978</v>
      </c>
      <c r="G400" s="10">
        <v>747</v>
      </c>
      <c r="H400" s="10">
        <v>7</v>
      </c>
      <c r="I400" s="10">
        <v>2</v>
      </c>
      <c r="J400" s="10">
        <v>697</v>
      </c>
      <c r="K400" s="10">
        <v>23852067.921639353</v>
      </c>
    </row>
    <row r="401" spans="1:11" x14ac:dyDescent="0.35">
      <c r="A401" s="9" t="s">
        <v>515</v>
      </c>
      <c r="B401" s="10">
        <v>994</v>
      </c>
      <c r="C401" s="10">
        <v>21</v>
      </c>
      <c r="D401" s="10">
        <v>2</v>
      </c>
      <c r="E401" s="10">
        <v>887</v>
      </c>
      <c r="F401" s="10">
        <v>31319858.146540381</v>
      </c>
      <c r="G401" s="10">
        <v>982</v>
      </c>
      <c r="H401" s="10">
        <v>20</v>
      </c>
      <c r="I401" s="10">
        <v>1</v>
      </c>
      <c r="J401" s="10">
        <v>780</v>
      </c>
      <c r="K401" s="10">
        <v>31849667.183899134</v>
      </c>
    </row>
    <row r="402" spans="1:11" x14ac:dyDescent="0.35">
      <c r="A402" s="9" t="s">
        <v>516</v>
      </c>
      <c r="B402" s="10">
        <v>295</v>
      </c>
      <c r="C402" s="10">
        <v>3</v>
      </c>
      <c r="D402" s="10">
        <v>0</v>
      </c>
      <c r="E402" s="10">
        <v>375</v>
      </c>
      <c r="F402" s="10">
        <v>11004147.650008902</v>
      </c>
      <c r="G402" s="10">
        <v>331</v>
      </c>
      <c r="H402" s="10">
        <v>5</v>
      </c>
      <c r="I402" s="10">
        <v>1</v>
      </c>
      <c r="J402" s="10">
        <v>319</v>
      </c>
      <c r="K402" s="10">
        <v>10477410.136946538</v>
      </c>
    </row>
    <row r="403" spans="1:11" x14ac:dyDescent="0.35">
      <c r="A403" s="9" t="s">
        <v>517</v>
      </c>
      <c r="B403" s="10">
        <v>769</v>
      </c>
      <c r="C403" s="10">
        <v>13</v>
      </c>
      <c r="D403" s="10">
        <v>2</v>
      </c>
      <c r="E403" s="10">
        <v>801</v>
      </c>
      <c r="F403" s="10">
        <v>26569382.276775755</v>
      </c>
      <c r="G403" s="10">
        <v>746</v>
      </c>
      <c r="H403" s="10">
        <v>10</v>
      </c>
      <c r="I403" s="10">
        <v>1</v>
      </c>
      <c r="J403" s="10">
        <v>682</v>
      </c>
      <c r="K403" s="10">
        <v>23087012.145601109</v>
      </c>
    </row>
    <row r="404" spans="1:11" x14ac:dyDescent="0.35">
      <c r="A404" s="9" t="s">
        <v>518</v>
      </c>
      <c r="B404" s="10">
        <v>610</v>
      </c>
      <c r="C404" s="10">
        <v>11</v>
      </c>
      <c r="D404" s="10">
        <v>1</v>
      </c>
      <c r="E404" s="10">
        <v>531</v>
      </c>
      <c r="F404" s="10">
        <v>18344381.412128326</v>
      </c>
      <c r="G404" s="10">
        <v>572</v>
      </c>
      <c r="H404" s="10">
        <v>8</v>
      </c>
      <c r="I404" s="10">
        <v>1</v>
      </c>
      <c r="J404" s="10">
        <v>636</v>
      </c>
      <c r="K404" s="10">
        <v>16636140.825253872</v>
      </c>
    </row>
    <row r="405" spans="1:11" x14ac:dyDescent="0.35">
      <c r="A405" s="9" t="s">
        <v>519</v>
      </c>
      <c r="B405" s="10">
        <v>1003</v>
      </c>
      <c r="C405" s="10">
        <v>18</v>
      </c>
      <c r="D405" s="10">
        <v>4</v>
      </c>
      <c r="E405" s="10">
        <v>1134</v>
      </c>
      <c r="F405" s="10">
        <v>39549856.495457426</v>
      </c>
      <c r="G405" s="10">
        <v>766</v>
      </c>
      <c r="H405" s="10">
        <v>11</v>
      </c>
      <c r="I405" s="10">
        <v>4</v>
      </c>
      <c r="J405" s="10">
        <v>865</v>
      </c>
      <c r="K405" s="10">
        <v>36781032.815797709</v>
      </c>
    </row>
    <row r="406" spans="1:11" x14ac:dyDescent="0.35">
      <c r="A406" s="9" t="s">
        <v>520</v>
      </c>
      <c r="B406" s="10">
        <v>547</v>
      </c>
      <c r="C406" s="10">
        <v>202</v>
      </c>
      <c r="D406" s="10">
        <v>2</v>
      </c>
      <c r="E406" s="10">
        <v>349</v>
      </c>
      <c r="F406" s="10">
        <v>18381547.240886234</v>
      </c>
      <c r="G406" s="10">
        <v>823</v>
      </c>
      <c r="H406" s="10">
        <v>437</v>
      </c>
      <c r="I406" s="10">
        <v>1</v>
      </c>
      <c r="J406" s="10">
        <v>466</v>
      </c>
      <c r="K406" s="10">
        <v>17804979.400143269</v>
      </c>
    </row>
    <row r="407" spans="1:11" x14ac:dyDescent="0.35">
      <c r="A407" s="9" t="s">
        <v>521</v>
      </c>
      <c r="B407" s="10">
        <v>641</v>
      </c>
      <c r="C407" s="10">
        <v>12</v>
      </c>
      <c r="D407" s="10">
        <v>4</v>
      </c>
      <c r="E407" s="10">
        <v>602</v>
      </c>
      <c r="F407" s="10">
        <v>22191703.133182969</v>
      </c>
      <c r="G407" s="10">
        <v>557</v>
      </c>
      <c r="H407" s="10">
        <v>14</v>
      </c>
      <c r="I407" s="10">
        <v>3</v>
      </c>
      <c r="J407" s="10">
        <v>475</v>
      </c>
      <c r="K407" s="10">
        <v>20902053.47932554</v>
      </c>
    </row>
    <row r="408" spans="1:11" x14ac:dyDescent="0.35">
      <c r="A408" s="9" t="s">
        <v>522</v>
      </c>
      <c r="B408" s="10">
        <v>623</v>
      </c>
      <c r="C408" s="10">
        <v>3</v>
      </c>
      <c r="D408" s="10">
        <v>1</v>
      </c>
      <c r="E408" s="10">
        <v>602</v>
      </c>
      <c r="F408" s="10">
        <v>12143236.281071439</v>
      </c>
      <c r="G408" s="10">
        <v>630</v>
      </c>
      <c r="H408" s="10">
        <v>8</v>
      </c>
      <c r="I408" s="10">
        <v>1</v>
      </c>
      <c r="J408" s="10">
        <v>728</v>
      </c>
      <c r="K408" s="10">
        <v>18781291.24743906</v>
      </c>
    </row>
    <row r="409" spans="1:11" x14ac:dyDescent="0.35">
      <c r="A409" s="9" t="s">
        <v>523</v>
      </c>
      <c r="B409" s="10">
        <v>328</v>
      </c>
      <c r="C409" s="10">
        <v>2</v>
      </c>
      <c r="D409" s="10">
        <v>2</v>
      </c>
      <c r="E409" s="10">
        <v>250</v>
      </c>
      <c r="F409" s="10">
        <v>11558492.875598824</v>
      </c>
      <c r="G409" s="10">
        <v>521</v>
      </c>
      <c r="H409" s="10">
        <v>6</v>
      </c>
      <c r="I409" s="10">
        <v>3</v>
      </c>
      <c r="J409" s="10">
        <v>477</v>
      </c>
      <c r="K409" s="10">
        <v>19628584.688570395</v>
      </c>
    </row>
    <row r="410" spans="1:11" x14ac:dyDescent="0.35">
      <c r="A410" s="9" t="s">
        <v>524</v>
      </c>
      <c r="B410" s="10">
        <v>635</v>
      </c>
      <c r="C410" s="10">
        <v>31</v>
      </c>
      <c r="D410" s="10">
        <v>2</v>
      </c>
      <c r="E410" s="10">
        <v>458</v>
      </c>
      <c r="F410" s="10">
        <v>21681084.83641421</v>
      </c>
      <c r="G410" s="10">
        <v>686</v>
      </c>
      <c r="H410" s="10">
        <v>10</v>
      </c>
      <c r="I410" s="10">
        <v>3</v>
      </c>
      <c r="J410" s="10">
        <v>615</v>
      </c>
      <c r="K410" s="10">
        <v>20310818.669385813</v>
      </c>
    </row>
    <row r="411" spans="1:11" x14ac:dyDescent="0.35">
      <c r="A411" s="9" t="s">
        <v>525</v>
      </c>
      <c r="B411" s="10">
        <v>984</v>
      </c>
      <c r="C411" s="10">
        <v>24</v>
      </c>
      <c r="D411" s="10">
        <v>4</v>
      </c>
      <c r="E411" s="10">
        <v>864</v>
      </c>
      <c r="F411" s="10">
        <v>24492216.045102436</v>
      </c>
      <c r="G411" s="10">
        <v>724</v>
      </c>
      <c r="H411" s="10">
        <v>13</v>
      </c>
      <c r="I411" s="10">
        <v>2</v>
      </c>
      <c r="J411" s="10">
        <v>674</v>
      </c>
      <c r="K411" s="10">
        <v>22612828.592075147</v>
      </c>
    </row>
    <row r="412" spans="1:11" x14ac:dyDescent="0.35">
      <c r="A412" s="9" t="s">
        <v>526</v>
      </c>
      <c r="B412" s="10">
        <v>1437</v>
      </c>
      <c r="C412" s="10">
        <v>8</v>
      </c>
      <c r="D412" s="10">
        <v>4</v>
      </c>
      <c r="E412" s="10">
        <v>1452</v>
      </c>
      <c r="F412" s="10">
        <v>48297848.328622289</v>
      </c>
      <c r="G412" s="10">
        <v>1166</v>
      </c>
      <c r="H412" s="10">
        <v>10</v>
      </c>
      <c r="I412" s="10">
        <v>3</v>
      </c>
      <c r="J412" s="10">
        <v>1174</v>
      </c>
      <c r="K412" s="10">
        <v>39876411.4647981</v>
      </c>
    </row>
    <row r="413" spans="1:11" x14ac:dyDescent="0.35">
      <c r="A413" s="9" t="s">
        <v>527</v>
      </c>
      <c r="B413" s="10">
        <v>616</v>
      </c>
      <c r="C413" s="10">
        <v>5</v>
      </c>
      <c r="D413" s="10">
        <v>1</v>
      </c>
      <c r="E413" s="10">
        <v>668</v>
      </c>
      <c r="F413" s="10">
        <v>20989433.754470177</v>
      </c>
      <c r="G413" s="10">
        <v>588</v>
      </c>
      <c r="H413" s="10">
        <v>4</v>
      </c>
      <c r="I413" s="10">
        <v>1</v>
      </c>
      <c r="J413" s="10">
        <v>604</v>
      </c>
      <c r="K413" s="10">
        <v>23017866.126027711</v>
      </c>
    </row>
    <row r="414" spans="1:11" x14ac:dyDescent="0.35">
      <c r="A414" s="9" t="s">
        <v>528</v>
      </c>
      <c r="B414" s="10">
        <v>870</v>
      </c>
      <c r="C414" s="10">
        <v>0</v>
      </c>
      <c r="D414" s="10">
        <v>3</v>
      </c>
      <c r="E414" s="10">
        <v>684</v>
      </c>
      <c r="F414" s="10">
        <v>25386855.337799925</v>
      </c>
      <c r="G414" s="10">
        <v>878</v>
      </c>
      <c r="H414" s="10">
        <v>8</v>
      </c>
      <c r="I414" s="10">
        <v>5</v>
      </c>
      <c r="J414" s="10">
        <v>898</v>
      </c>
      <c r="K414" s="10">
        <v>32672481.437832914</v>
      </c>
    </row>
    <row r="415" spans="1:11" x14ac:dyDescent="0.35">
      <c r="A415" s="9" t="s">
        <v>529</v>
      </c>
      <c r="B415" s="10">
        <v>664</v>
      </c>
      <c r="C415" s="10">
        <v>8</v>
      </c>
      <c r="D415" s="10">
        <v>9</v>
      </c>
      <c r="E415" s="10">
        <v>761</v>
      </c>
      <c r="F415" s="10">
        <v>23536780.370694939</v>
      </c>
      <c r="G415" s="10">
        <v>728</v>
      </c>
      <c r="H415" s="10">
        <v>10</v>
      </c>
      <c r="I415" s="10">
        <v>8</v>
      </c>
      <c r="J415" s="10">
        <v>771</v>
      </c>
      <c r="K415" s="10">
        <v>25614632.470622301</v>
      </c>
    </row>
    <row r="416" spans="1:11" x14ac:dyDescent="0.35">
      <c r="A416" s="9" t="s">
        <v>530</v>
      </c>
      <c r="B416" s="10">
        <v>1973</v>
      </c>
      <c r="C416" s="10">
        <v>9</v>
      </c>
      <c r="D416" s="10">
        <v>20</v>
      </c>
      <c r="E416" s="10">
        <v>1388</v>
      </c>
      <c r="F416" s="10">
        <v>98218261.041444466</v>
      </c>
      <c r="G416" s="10">
        <v>1718</v>
      </c>
      <c r="H416" s="10">
        <v>38</v>
      </c>
      <c r="I416" s="10">
        <v>19</v>
      </c>
      <c r="J416" s="10">
        <v>1418</v>
      </c>
      <c r="K416" s="10">
        <v>87653861.422823235</v>
      </c>
    </row>
    <row r="417" spans="1:11" x14ac:dyDescent="0.35">
      <c r="A417" s="9" t="s">
        <v>531</v>
      </c>
      <c r="B417" s="10">
        <v>1291</v>
      </c>
      <c r="C417" s="10">
        <v>16</v>
      </c>
      <c r="D417" s="10">
        <v>5</v>
      </c>
      <c r="E417" s="10">
        <v>1246</v>
      </c>
      <c r="F417" s="10">
        <v>44146646.452793173</v>
      </c>
      <c r="G417" s="10">
        <v>1231</v>
      </c>
      <c r="H417" s="10">
        <v>18</v>
      </c>
      <c r="I417" s="10">
        <v>5</v>
      </c>
      <c r="J417" s="10">
        <v>1094</v>
      </c>
      <c r="K417" s="10">
        <v>43727312.374552354</v>
      </c>
    </row>
    <row r="418" spans="1:11" x14ac:dyDescent="0.35">
      <c r="A418" s="9" t="s">
        <v>532</v>
      </c>
      <c r="B418" s="10">
        <v>880</v>
      </c>
      <c r="C418" s="10">
        <v>8</v>
      </c>
      <c r="D418" s="10">
        <v>3</v>
      </c>
      <c r="E418" s="10">
        <v>944</v>
      </c>
      <c r="F418" s="10">
        <v>24000262.825177319</v>
      </c>
      <c r="G418" s="10">
        <v>794</v>
      </c>
      <c r="H418" s="10">
        <v>8</v>
      </c>
      <c r="I418" s="10">
        <v>4</v>
      </c>
      <c r="J418" s="10">
        <v>770</v>
      </c>
      <c r="K418" s="10">
        <v>23732011.930385821</v>
      </c>
    </row>
    <row r="419" spans="1:11" x14ac:dyDescent="0.35">
      <c r="A419" s="9" t="s">
        <v>533</v>
      </c>
      <c r="B419" s="10">
        <v>544</v>
      </c>
      <c r="C419" s="10">
        <v>4</v>
      </c>
      <c r="D419" s="10">
        <v>2</v>
      </c>
      <c r="E419" s="10">
        <v>410</v>
      </c>
      <c r="F419" s="10">
        <v>21022245.519745559</v>
      </c>
      <c r="G419" s="10">
        <v>573</v>
      </c>
      <c r="H419" s="10">
        <v>6</v>
      </c>
      <c r="I419" s="10">
        <v>2</v>
      </c>
      <c r="J419" s="10">
        <v>553</v>
      </c>
      <c r="K419" s="10">
        <v>22938682.228868503</v>
      </c>
    </row>
    <row r="420" spans="1:11" x14ac:dyDescent="0.35">
      <c r="A420" s="9" t="s">
        <v>534</v>
      </c>
      <c r="B420" s="10">
        <v>1281</v>
      </c>
      <c r="C420" s="10">
        <v>4</v>
      </c>
      <c r="D420" s="10">
        <v>10</v>
      </c>
      <c r="E420" s="10">
        <v>1268</v>
      </c>
      <c r="F420" s="10">
        <v>46980344.455551982</v>
      </c>
      <c r="G420" s="10">
        <v>1205</v>
      </c>
      <c r="H420" s="10">
        <v>8</v>
      </c>
      <c r="I420" s="10">
        <v>10</v>
      </c>
      <c r="J420" s="10">
        <v>1029</v>
      </c>
      <c r="K420" s="10">
        <v>43818590.273100764</v>
      </c>
    </row>
    <row r="421" spans="1:11" x14ac:dyDescent="0.35">
      <c r="A421" s="9" t="s">
        <v>535</v>
      </c>
      <c r="B421" s="10">
        <v>998</v>
      </c>
      <c r="C421" s="10">
        <v>7</v>
      </c>
      <c r="D421" s="10">
        <v>3</v>
      </c>
      <c r="E421" s="10">
        <v>643</v>
      </c>
      <c r="F421" s="10">
        <v>29140886.239872057</v>
      </c>
      <c r="G421" s="10">
        <v>1054</v>
      </c>
      <c r="H421" s="10">
        <v>14</v>
      </c>
      <c r="I421" s="10">
        <v>4</v>
      </c>
      <c r="J421" s="10">
        <v>691</v>
      </c>
      <c r="K421" s="10">
        <v>28598518.921266887</v>
      </c>
    </row>
    <row r="422" spans="1:11" x14ac:dyDescent="0.35">
      <c r="A422" s="9" t="s">
        <v>536</v>
      </c>
      <c r="B422" s="10">
        <v>1467</v>
      </c>
      <c r="C422" s="10">
        <v>3</v>
      </c>
      <c r="D422" s="10">
        <v>23</v>
      </c>
      <c r="E422" s="10">
        <v>1475</v>
      </c>
      <c r="F422" s="10">
        <v>75146121.667764321</v>
      </c>
      <c r="G422" s="10">
        <v>1410</v>
      </c>
      <c r="H422" s="10">
        <v>8</v>
      </c>
      <c r="I422" s="10">
        <v>20</v>
      </c>
      <c r="J422" s="10">
        <v>1248</v>
      </c>
      <c r="K422" s="10">
        <v>62199092.069259144</v>
      </c>
    </row>
    <row r="423" spans="1:11" x14ac:dyDescent="0.35">
      <c r="A423" s="9" t="s">
        <v>537</v>
      </c>
      <c r="B423" s="10">
        <v>211</v>
      </c>
      <c r="C423" s="10">
        <v>1</v>
      </c>
      <c r="D423" s="10">
        <v>1</v>
      </c>
      <c r="E423" s="10">
        <v>133</v>
      </c>
      <c r="F423" s="10">
        <v>5678322.2131422618</v>
      </c>
      <c r="G423" s="10">
        <v>471</v>
      </c>
      <c r="H423" s="10">
        <v>8</v>
      </c>
      <c r="I423" s="10">
        <v>0</v>
      </c>
      <c r="J423" s="10">
        <v>405</v>
      </c>
      <c r="K423" s="10">
        <v>14006881.454906313</v>
      </c>
    </row>
    <row r="424" spans="1:11" x14ac:dyDescent="0.35">
      <c r="A424" s="9" t="s">
        <v>538</v>
      </c>
      <c r="B424" s="10">
        <v>510</v>
      </c>
      <c r="C424" s="10">
        <v>8</v>
      </c>
      <c r="D424" s="10">
        <v>2</v>
      </c>
      <c r="E424" s="10">
        <v>348</v>
      </c>
      <c r="F424" s="10">
        <v>17107347.262227032</v>
      </c>
      <c r="G424" s="10">
        <v>541</v>
      </c>
      <c r="H424" s="10">
        <v>7</v>
      </c>
      <c r="I424" s="10">
        <v>2</v>
      </c>
      <c r="J424" s="10">
        <v>431</v>
      </c>
      <c r="K424" s="10">
        <v>19579661.176130597</v>
      </c>
    </row>
    <row r="425" spans="1:11" x14ac:dyDescent="0.35">
      <c r="A425" s="9" t="s">
        <v>539</v>
      </c>
      <c r="B425" s="10">
        <v>1327</v>
      </c>
      <c r="C425" s="10">
        <v>5</v>
      </c>
      <c r="D425" s="10">
        <v>22</v>
      </c>
      <c r="E425" s="10">
        <v>1175</v>
      </c>
      <c r="F425" s="10">
        <v>41314171.330663331</v>
      </c>
      <c r="G425" s="10">
        <v>1537</v>
      </c>
      <c r="H425" s="10">
        <v>2</v>
      </c>
      <c r="I425" s="10">
        <v>25</v>
      </c>
      <c r="J425" s="10">
        <v>1412</v>
      </c>
      <c r="K425" s="10">
        <v>48550462.743083149</v>
      </c>
    </row>
    <row r="426" spans="1:11" x14ac:dyDescent="0.35">
      <c r="A426" s="9" t="s">
        <v>540</v>
      </c>
      <c r="B426" s="10">
        <v>274</v>
      </c>
      <c r="C426" s="10">
        <v>3</v>
      </c>
      <c r="D426" s="10">
        <v>2</v>
      </c>
      <c r="E426" s="10">
        <v>511</v>
      </c>
      <c r="F426" s="10">
        <v>7296737.2350890907</v>
      </c>
      <c r="G426" s="10"/>
      <c r="H426" s="10"/>
      <c r="I426" s="10"/>
      <c r="J426" s="10"/>
      <c r="K426" s="10"/>
    </row>
    <row r="427" spans="1:11" x14ac:dyDescent="0.35">
      <c r="A427" s="9" t="s">
        <v>541</v>
      </c>
      <c r="B427" s="10">
        <v>289</v>
      </c>
      <c r="C427" s="10">
        <v>1</v>
      </c>
      <c r="D427" s="10">
        <v>2</v>
      </c>
      <c r="E427" s="10">
        <v>545</v>
      </c>
      <c r="F427" s="10">
        <v>7724081.625000203</v>
      </c>
      <c r="G427" s="10"/>
      <c r="H427" s="10"/>
      <c r="I427" s="10"/>
      <c r="J427" s="10"/>
      <c r="K427" s="10"/>
    </row>
    <row r="428" spans="1:11" x14ac:dyDescent="0.35">
      <c r="A428" s="9" t="s">
        <v>542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203</v>
      </c>
      <c r="B429" s="13">
        <v>307860</v>
      </c>
      <c r="C429" s="13">
        <v>7868</v>
      </c>
      <c r="D429" s="13">
        <v>1220</v>
      </c>
      <c r="E429" s="13">
        <v>268736</v>
      </c>
      <c r="F429" s="13">
        <v>12202159633.109213</v>
      </c>
      <c r="G429" s="13">
        <v>304369</v>
      </c>
      <c r="H429" s="13">
        <v>10156</v>
      </c>
      <c r="I429" s="13">
        <v>1203</v>
      </c>
      <c r="J429" s="13">
        <v>267749</v>
      </c>
      <c r="K429" s="13">
        <v>12478646001.518694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2026-09-28T05:27:51Z</dcterms:modified>
</cp:coreProperties>
</file>