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<sst xmlns="http://schemas.openxmlformats.org/spreadsheetml/2006/main" count="683" uniqueCount="502">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</sst>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M27" activePane="bottomRight" state="frozen"/>
      <selection pane="topRight" activeCell="C1" sqref="C1"/>
      <selection pane="bottomLeft" activeCell="A2" sqref="A2"/>
      <selection pane="bottomRight" activeCell="P1" sqref="P1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79677128.957050323</v>
      </c>
      <c r="G2" s="1">
        <f>VLOOKUP(A:A,MASTER!A:K,11,0)</f>
        <v>8070319.2571861809</v>
      </c>
      <c r="H2" s="12">
        <f t="shared" ref="H2:H36" si="0">IFERROR(G2/F2-1,0)</f>
        <v>-0.89871222315833621</v>
      </c>
      <c r="I2" s="2">
        <f>VLOOKUP(A:A,MASTER!A:E,5,0)</f>
        <v>1294</v>
      </c>
      <c r="J2" s="2">
        <f>VLOOKUP(A:A,MASTER!A:J,10,0)</f>
        <v>1320</v>
      </c>
      <c r="K2" s="12">
        <f t="shared" ref="K2:K36" si="1">IFERROR(J2/I2-1,0)</f>
        <v>2.0092735703245657E-2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8</v>
      </c>
      <c r="P2" s="1">
        <f>VLOOKUP(A:A,MASTER!A:H,8,0)</f>
        <v>10</v>
      </c>
      <c r="Q2" s="12">
        <f t="shared" ref="Q2:Q36" si="3">IFERROR(P2/O2-1,0)</f>
        <v>0.25</v>
      </c>
      <c r="R2" s="1">
        <f>VLOOKUP(A:A,MASTER!A:B,2,0)</f>
        <v>3024</v>
      </c>
      <c r="S2">
        <f>VLOOKUP(A:A,MASTER!A:G,7,0)</f>
        <v>3047</v>
      </c>
      <c r="T2" s="12">
        <f t="shared" ref="T2:T36" si="4">IFERROR(S2/R2-1,0)</f>
        <v>7.6058201058200048E-3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38826150.968128286</v>
      </c>
      <c r="G3" s="1">
        <f>VLOOKUP(A:A,MASTER!A:K,11,0)</f>
        <v>3442048.7356350902</v>
      </c>
      <c r="H3" s="12">
        <f t="shared" si="0"/>
        <v>-0.91134715520833864</v>
      </c>
      <c r="I3" s="2">
        <f>VLOOKUP(A:A,MASTER!A:E,5,0)</f>
        <v>729</v>
      </c>
      <c r="J3" s="2">
        <f>VLOOKUP(A:A,MASTER!A:J,10,0)</f>
        <v>617</v>
      </c>
      <c r="K3" s="12">
        <f t="shared" si="1"/>
        <v>-0.1536351165980796</v>
      </c>
      <c r="L3" s="2">
        <f>VLOOKUP(A:A,MASTER!A:D,4,0)</f>
        <v>4</v>
      </c>
      <c r="M3" s="2">
        <f>VLOOKUP(A:A,MASTER!A:I,9,0)</f>
        <v>3</v>
      </c>
      <c r="N3" s="12">
        <f t="shared" si="2"/>
        <v>-0.25</v>
      </c>
      <c r="O3" s="1">
        <f>VLOOKUP(A:A,MASTER!A:C,3,0)</f>
        <v>5</v>
      </c>
      <c r="P3" s="1">
        <f>VLOOKUP(A:A,MASTER!A:H,8,0)</f>
        <v>1</v>
      </c>
      <c r="Q3" s="12">
        <f t="shared" si="3"/>
        <v>-0.8</v>
      </c>
      <c r="R3" s="1">
        <f>VLOOKUP(A:A,MASTER!A:B,2,0)</f>
        <v>1521</v>
      </c>
      <c r="S3">
        <f>VLOOKUP(A:A,MASTER!A:G,7,0)</f>
        <v>1396</v>
      </c>
      <c r="T3" s="12">
        <f t="shared" si="4"/>
        <v>-8.2182774490466848E-2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84522342.585679978</v>
      </c>
      <c r="G4" s="1">
        <f>VLOOKUP(A:A,MASTER!A:K,11,0)</f>
        <v>3408721.844971803</v>
      </c>
      <c r="H4" s="12">
        <f t="shared" si="0"/>
        <v>-0.9596707599352633</v>
      </c>
      <c r="I4" s="2">
        <f>VLOOKUP(A:A,MASTER!A:E,5,0)</f>
        <v>1708</v>
      </c>
      <c r="J4" s="2">
        <f>VLOOKUP(A:A,MASTER!A:J,10,0)</f>
        <v>1615</v>
      </c>
      <c r="K4" s="12">
        <f t="shared" si="1"/>
        <v>-5.4449648711943799E-2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5</v>
      </c>
      <c r="P4" s="1">
        <f>VLOOKUP(A:A,MASTER!A:H,8,0)</f>
        <v>11</v>
      </c>
      <c r="Q4" s="12">
        <f t="shared" si="3"/>
        <v>1.2000000000000002</v>
      </c>
      <c r="R4" s="1">
        <f>VLOOKUP(A:A,MASTER!A:B,2,0)</f>
        <v>3802</v>
      </c>
      <c r="S4">
        <f>VLOOKUP(A:A,MASTER!A:G,7,0)</f>
        <v>3712</v>
      </c>
      <c r="T4" s="12">
        <f t="shared" si="4"/>
        <v>-2.3671751709626543E-2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53131029.685232334</v>
      </c>
      <c r="G5" s="1">
        <f>VLOOKUP(A:A,MASTER!A:K,11,0)</f>
        <v>17511062.036094807</v>
      </c>
      <c r="H5" s="12">
        <f t="shared" si="0"/>
        <v>-0.67041741634150986</v>
      </c>
      <c r="I5" s="2">
        <f>VLOOKUP(A:A,MASTER!A:E,5,0)</f>
        <v>1080</v>
      </c>
      <c r="J5" s="2">
        <f>VLOOKUP(A:A,MASTER!A:J,10,0)</f>
        <v>1008</v>
      </c>
      <c r="K5" s="12">
        <f t="shared" si="1"/>
        <v>-6.6666666666666652E-2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9</v>
      </c>
      <c r="P5" s="1">
        <f>VLOOKUP(A:A,MASTER!A:H,8,0)</f>
        <v>3</v>
      </c>
      <c r="Q5" s="12">
        <f t="shared" si="3"/>
        <v>-0.66666666666666674</v>
      </c>
      <c r="R5" s="1">
        <f>VLOOKUP(A:A,MASTER!A:B,2,0)</f>
        <v>2063</v>
      </c>
      <c r="S5">
        <f>VLOOKUP(A:A,MASTER!A:G,7,0)</f>
        <v>2012</v>
      </c>
      <c r="T5" s="12">
        <f t="shared" si="4"/>
        <v>-2.4721279689772224E-2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54950650.076285921</v>
      </c>
      <c r="G6" s="1">
        <f>VLOOKUP(A:A,MASTER!A:K,11,0)</f>
        <v>24159735.836012583</v>
      </c>
      <c r="H6" s="12">
        <f t="shared" si="0"/>
        <v>-0.56033757921930805</v>
      </c>
      <c r="I6" s="2">
        <f>VLOOKUP(A:A,MASTER!A:E,5,0)</f>
        <v>449</v>
      </c>
      <c r="J6" s="2">
        <f>VLOOKUP(A:A,MASTER!A:J,10,0)</f>
        <v>1049</v>
      </c>
      <c r="K6" s="12">
        <f t="shared" si="1"/>
        <v>1.3363028953229397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9</v>
      </c>
      <c r="P6" s="1">
        <f>VLOOKUP(A:A,MASTER!A:H,8,0)</f>
        <v>11</v>
      </c>
      <c r="Q6" s="12">
        <f t="shared" si="3"/>
        <v>0.22222222222222232</v>
      </c>
      <c r="R6" s="1">
        <f>VLOOKUP(A:A,MASTER!A:B,2,0)</f>
        <v>2019</v>
      </c>
      <c r="S6">
        <f>VLOOKUP(A:A,MASTER!A:G,7,0)</f>
        <v>1915</v>
      </c>
      <c r="T6" s="12">
        <f t="shared" si="4"/>
        <v>-5.1510648836057493E-2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105846305.20577115</v>
      </c>
      <c r="G7" s="1">
        <f>VLOOKUP(A:A,MASTER!A:K,11,0)</f>
        <v>46874375.679294191</v>
      </c>
      <c r="H7" s="12">
        <f t="shared" si="0"/>
        <v>-0.5571467932851526</v>
      </c>
      <c r="I7" s="2">
        <f>VLOOKUP(A:A,MASTER!A:E,5,0)</f>
        <v>1986</v>
      </c>
      <c r="J7" s="2">
        <f>VLOOKUP(A:A,MASTER!A:J,10,0)</f>
        <v>1830</v>
      </c>
      <c r="K7" s="12">
        <f t="shared" si="1"/>
        <v>-7.8549848942598199E-2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21</v>
      </c>
      <c r="P7" s="1">
        <f>VLOOKUP(A:A,MASTER!A:H,8,0)</f>
        <v>23</v>
      </c>
      <c r="Q7" s="12">
        <f t="shared" si="3"/>
        <v>9.5238095238095344E-2</v>
      </c>
      <c r="R7" s="1">
        <f>VLOOKUP(A:A,MASTER!A:B,2,0)</f>
        <v>3438</v>
      </c>
      <c r="S7">
        <f>VLOOKUP(A:A,MASTER!A:G,7,0)</f>
        <v>3668</v>
      </c>
      <c r="T7" s="12">
        <f t="shared" si="4"/>
        <v>6.6899360093077398E-2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74790320.101942718</v>
      </c>
      <c r="G8" s="1">
        <f>VLOOKUP(A:A,MASTER!A:K,11,0)</f>
        <v>24653365.829322297</v>
      </c>
      <c r="H8" s="12">
        <f t="shared" si="0"/>
        <v>-0.67036688978308145</v>
      </c>
      <c r="I8" s="2">
        <f>VLOOKUP(A:A,MASTER!A:E,5,0)</f>
        <v>1354</v>
      </c>
      <c r="J8" s="2">
        <f>VLOOKUP(A:A,MASTER!A:J,10,0)</f>
        <v>1265</v>
      </c>
      <c r="K8" s="12">
        <f t="shared" si="1"/>
        <v>-6.5731166912850858E-2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896</v>
      </c>
      <c r="P8" s="1">
        <f>VLOOKUP(A:A,MASTER!A:H,8,0)</f>
        <v>898</v>
      </c>
      <c r="Q8" s="12">
        <f t="shared" si="3"/>
        <v>2.2321428571427937E-3</v>
      </c>
      <c r="R8" s="1">
        <f>VLOOKUP(A:A,MASTER!A:B,2,0)</f>
        <v>3658</v>
      </c>
      <c r="S8">
        <f>VLOOKUP(A:A,MASTER!A:G,7,0)</f>
        <v>3968</v>
      </c>
      <c r="T8" s="12">
        <f t="shared" si="4"/>
        <v>8.4745762711864403E-2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143715909.68853474</v>
      </c>
      <c r="G9" s="1">
        <f>VLOOKUP(A:A,MASTER!A:K,11,0)</f>
        <v>56251369.999739133</v>
      </c>
      <c r="H9" s="12">
        <f t="shared" si="0"/>
        <v>-0.60859329964477338</v>
      </c>
      <c r="I9" s="2">
        <f>VLOOKUP(A:A,MASTER!A:E,5,0)</f>
        <v>2943</v>
      </c>
      <c r="J9" s="2">
        <f>VLOOKUP(A:A,MASTER!A:J,10,0)</f>
        <v>2674</v>
      </c>
      <c r="K9" s="12">
        <f t="shared" si="1"/>
        <v>-9.1403329935439981E-2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713</v>
      </c>
      <c r="P9" s="1">
        <f>VLOOKUP(A:A,MASTER!A:H,8,0)</f>
        <v>801</v>
      </c>
      <c r="Q9" s="12">
        <f t="shared" si="3"/>
        <v>0.12342215988779803</v>
      </c>
      <c r="R9" s="1">
        <f>VLOOKUP(A:A,MASTER!A:B,2,0)</f>
        <v>6279</v>
      </c>
      <c r="S9">
        <f>VLOOKUP(A:A,MASTER!A:G,7,0)</f>
        <v>6137</v>
      </c>
      <c r="T9" s="12">
        <f t="shared" si="4"/>
        <v>-2.2615066093326974E-2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36794717.577305377</v>
      </c>
      <c r="G10" s="1">
        <f>VLOOKUP(A:A,MASTER!A:K,11,0)</f>
        <v>4295705.4925142322</v>
      </c>
      <c r="H10" s="12">
        <f t="shared" si="0"/>
        <v>-0.88325211401639403</v>
      </c>
      <c r="I10" s="2">
        <f>VLOOKUP(A:A,MASTER!A:E,5,0)</f>
        <v>528</v>
      </c>
      <c r="J10" s="2">
        <f>VLOOKUP(A:A,MASTER!A:J,10,0)</f>
        <v>507</v>
      </c>
      <c r="K10" s="12">
        <f t="shared" si="1"/>
        <v>-3.9772727272727293E-2</v>
      </c>
      <c r="L10" s="2">
        <f>VLOOKUP(A:A,MASTER!A:D,4,0)</f>
        <v>11</v>
      </c>
      <c r="M10" s="2">
        <f>VLOOKUP(A:A,MASTER!A:I,9,0)</f>
        <v>12</v>
      </c>
      <c r="N10" s="12">
        <f t="shared" si="2"/>
        <v>9.0909090909090828E-2</v>
      </c>
      <c r="O10" s="1">
        <f>VLOOKUP(A:A,MASTER!A:C,3,0)</f>
        <v>2</v>
      </c>
      <c r="P10" s="1">
        <f>VLOOKUP(A:A,MASTER!A:H,8,0)</f>
        <v>8</v>
      </c>
      <c r="Q10" s="12">
        <f t="shared" si="3"/>
        <v>3</v>
      </c>
      <c r="R10" s="1">
        <f>VLOOKUP(A:A,MASTER!A:B,2,0)</f>
        <v>1259</v>
      </c>
      <c r="S10">
        <f>VLOOKUP(A:A,MASTER!A:G,7,0)</f>
        <v>1234</v>
      </c>
      <c r="T10" s="12">
        <f t="shared" si="4"/>
        <v>-1.9857029388403502E-2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127617090.21139714</v>
      </c>
      <c r="G11" s="1">
        <f>VLOOKUP(A:A,MASTER!A:K,11,0)</f>
        <v>29455209.213108808</v>
      </c>
      <c r="H11" s="12">
        <f t="shared" si="0"/>
        <v>-0.76919071603719857</v>
      </c>
      <c r="I11" s="2">
        <f>VLOOKUP(A:A,MASTER!A:E,5,0)</f>
        <v>2772</v>
      </c>
      <c r="J11" s="2">
        <f>VLOOKUP(A:A,MASTER!A:J,10,0)</f>
        <v>2773</v>
      </c>
      <c r="K11" s="12">
        <f t="shared" si="1"/>
        <v>3.6075036075033928E-4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11</v>
      </c>
      <c r="P11" s="1">
        <f>VLOOKUP(A:A,MASTER!A:H,8,0)</f>
        <v>10</v>
      </c>
      <c r="Q11" s="12">
        <f t="shared" si="3"/>
        <v>-9.0909090909090939E-2</v>
      </c>
      <c r="R11" s="1">
        <f>VLOOKUP(A:A,MASTER!A:B,2,0)</f>
        <v>4707</v>
      </c>
      <c r="S11">
        <f>VLOOKUP(A:A,MASTER!A:G,7,0)</f>
        <v>5101</v>
      </c>
      <c r="T11" s="12">
        <f t="shared" si="4"/>
        <v>8.3705120033991998E-2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79689296.498790219</v>
      </c>
      <c r="G12" s="1">
        <f>VLOOKUP(A:A,MASTER!A:K,11,0)</f>
        <v>8681121.5348008852</v>
      </c>
      <c r="H12" s="12">
        <f t="shared" si="0"/>
        <v>-0.8910628915524097</v>
      </c>
      <c r="I12" s="2">
        <f>VLOOKUP(A:A,MASTER!A:E,5,0)</f>
        <v>936</v>
      </c>
      <c r="J12" s="2">
        <f>VLOOKUP(A:A,MASTER!A:J,10,0)</f>
        <v>1141</v>
      </c>
      <c r="K12" s="12">
        <f t="shared" si="1"/>
        <v>0.21901709401709413</v>
      </c>
      <c r="L12" s="2">
        <f>VLOOKUP(A:A,MASTER!A:D,4,0)</f>
        <v>7</v>
      </c>
      <c r="M12" s="2">
        <f>VLOOKUP(A:A,MASTER!A:I,9,0)</f>
        <v>7</v>
      </c>
      <c r="N12" s="12">
        <f t="shared" si="2"/>
        <v>0</v>
      </c>
      <c r="O12" s="1">
        <f>VLOOKUP(A:A,MASTER!A:C,3,0)</f>
        <v>8</v>
      </c>
      <c r="P12" s="1">
        <f>VLOOKUP(A:A,MASTER!A:H,8,0)</f>
        <v>12</v>
      </c>
      <c r="Q12" s="12">
        <f t="shared" si="3"/>
        <v>0.5</v>
      </c>
      <c r="R12" s="1">
        <f>VLOOKUP(A:A,MASTER!A:B,2,0)</f>
        <v>2002</v>
      </c>
      <c r="S12">
        <f>VLOOKUP(A:A,MASTER!A:G,7,0)</f>
        <v>2184</v>
      </c>
      <c r="T12" s="12">
        <f t="shared" si="4"/>
        <v>9.0909090909090828E-2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73182934.587394983</v>
      </c>
      <c r="G13" s="1">
        <f>VLOOKUP(A:A,MASTER!A:K,11,0)</f>
        <v>20087647.922003504</v>
      </c>
      <c r="H13" s="12">
        <f t="shared" si="0"/>
        <v>-0.72551458840428351</v>
      </c>
      <c r="I13" s="2">
        <f>VLOOKUP(A:A,MASTER!A:E,5,0)</f>
        <v>1496</v>
      </c>
      <c r="J13" s="2">
        <f>VLOOKUP(A:A,MASTER!A:J,10,0)</f>
        <v>1342</v>
      </c>
      <c r="K13" s="12">
        <f t="shared" si="1"/>
        <v>-0.1029411764705882</v>
      </c>
      <c r="L13" s="2">
        <f>VLOOKUP(A:A,MASTER!A:D,4,0)</f>
        <v>9</v>
      </c>
      <c r="M13" s="2">
        <f>VLOOKUP(A:A,MASTER!A:I,9,0)</f>
        <v>12</v>
      </c>
      <c r="N13" s="12">
        <f t="shared" si="2"/>
        <v>0.33333333333333326</v>
      </c>
      <c r="O13" s="1">
        <f>VLOOKUP(A:A,MASTER!A:C,3,0)</f>
        <v>9</v>
      </c>
      <c r="P13" s="1">
        <f>VLOOKUP(A:A,MASTER!A:H,8,0)</f>
        <v>5</v>
      </c>
      <c r="Q13" s="12">
        <f t="shared" si="3"/>
        <v>-0.44444444444444442</v>
      </c>
      <c r="R13" s="1">
        <f>VLOOKUP(A:A,MASTER!A:B,2,0)</f>
        <v>2612</v>
      </c>
      <c r="S13">
        <f>VLOOKUP(A:A,MASTER!A:G,7,0)</f>
        <v>2633</v>
      </c>
      <c r="T13" s="12">
        <f t="shared" si="4"/>
        <v>8.0398162327717237E-3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57223826.659421422</v>
      </c>
      <c r="G14" s="1">
        <f>VLOOKUP(A:A,MASTER!A:K,11,0)</f>
        <v>2705755.864645015</v>
      </c>
      <c r="H14" s="12">
        <f t="shared" si="0"/>
        <v>-0.95271627182941054</v>
      </c>
      <c r="I14" s="2">
        <f>VLOOKUP(A:A,MASTER!A:E,5,0)</f>
        <v>685</v>
      </c>
      <c r="J14" s="2">
        <f>VLOOKUP(A:A,MASTER!A:J,10,0)</f>
        <v>653</v>
      </c>
      <c r="K14" s="12">
        <f t="shared" si="1"/>
        <v>-4.6715328467153316E-2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4</v>
      </c>
      <c r="P14" s="1">
        <f>VLOOKUP(A:A,MASTER!A:H,8,0)</f>
        <v>9</v>
      </c>
      <c r="Q14" s="12">
        <f t="shared" si="3"/>
        <v>1.25</v>
      </c>
      <c r="R14" s="1">
        <f>VLOOKUP(A:A,MASTER!A:B,2,0)</f>
        <v>1677</v>
      </c>
      <c r="S14">
        <f>VLOOKUP(A:A,MASTER!A:G,7,0)</f>
        <v>1652</v>
      </c>
      <c r="T14" s="12">
        <f t="shared" si="4"/>
        <v>-1.490757304710788E-2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53617689.694278374</v>
      </c>
      <c r="G15" s="1">
        <f>VLOOKUP(A:A,MASTER!A:K,11,0)</f>
        <v>15113339.458265796</v>
      </c>
      <c r="H15" s="12">
        <f t="shared" si="0"/>
        <v>-0.71812773835575083</v>
      </c>
      <c r="I15" s="2">
        <f>VLOOKUP(A:A,MASTER!A:E,5,0)</f>
        <v>1159</v>
      </c>
      <c r="J15" s="2">
        <f>VLOOKUP(A:A,MASTER!A:J,10,0)</f>
        <v>901</v>
      </c>
      <c r="K15" s="12">
        <f t="shared" si="1"/>
        <v>-0.22260569456427959</v>
      </c>
      <c r="L15" s="2">
        <f>VLOOKUP(A:A,MASTER!A:D,4,0)</f>
        <v>10</v>
      </c>
      <c r="M15" s="2">
        <f>VLOOKUP(A:A,MASTER!A:I,9,0)</f>
        <v>8</v>
      </c>
      <c r="N15" s="12">
        <f t="shared" si="2"/>
        <v>-0.19999999999999996</v>
      </c>
      <c r="O15" s="1">
        <f>VLOOKUP(A:A,MASTER!A:C,3,0)</f>
        <v>4</v>
      </c>
      <c r="P15" s="1">
        <f>VLOOKUP(A:A,MASTER!A:H,8,0)</f>
        <v>5</v>
      </c>
      <c r="Q15" s="12">
        <f t="shared" si="3"/>
        <v>0.25</v>
      </c>
      <c r="R15" s="1">
        <f>VLOOKUP(A:A,MASTER!A:B,2,0)</f>
        <v>1918</v>
      </c>
      <c r="S15">
        <f>VLOOKUP(A:A,MASTER!A:G,7,0)</f>
        <v>1853</v>
      </c>
      <c r="T15" s="12">
        <f t="shared" si="4"/>
        <v>-3.3889468196037553E-2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32576878.893066425</v>
      </c>
      <c r="G16" s="1">
        <f>VLOOKUP(A:A,MASTER!A:K,11,0)</f>
        <v>2448931.8442734922</v>
      </c>
      <c r="H16" s="12">
        <f t="shared" si="0"/>
        <v>-0.92482607519547499</v>
      </c>
      <c r="I16" s="2">
        <f>VLOOKUP(A:A,MASTER!A:E,5,0)</f>
        <v>977</v>
      </c>
      <c r="J16" s="2">
        <f>VLOOKUP(A:A,MASTER!A:J,10,0)</f>
        <v>807</v>
      </c>
      <c r="K16" s="12">
        <f t="shared" si="1"/>
        <v>-0.1740020470829069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2</v>
      </c>
      <c r="P16" s="1">
        <f>VLOOKUP(A:A,MASTER!A:H,8,0)</f>
        <v>1</v>
      </c>
      <c r="Q16" s="12">
        <f t="shared" si="3"/>
        <v>-0.5</v>
      </c>
      <c r="R16" s="1">
        <f>VLOOKUP(A:A,MASTER!A:B,2,0)</f>
        <v>1485</v>
      </c>
      <c r="S16">
        <f>VLOOKUP(A:A,MASTER!A:G,7,0)</f>
        <v>1466</v>
      </c>
      <c r="T16" s="12">
        <f t="shared" si="4"/>
        <v>-1.2794612794612803E-2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101552498.57663956</v>
      </c>
      <c r="G17" s="1">
        <f>VLOOKUP(A:A,MASTER!A:K,11,0)</f>
        <v>5200745.1594547722</v>
      </c>
      <c r="H17" s="12">
        <f t="shared" si="0"/>
        <v>-0.94878761987791094</v>
      </c>
      <c r="I17" s="2">
        <f>VLOOKUP(A:A,MASTER!A:E,5,0)</f>
        <v>1136</v>
      </c>
      <c r="J17" s="2">
        <f>VLOOKUP(A:A,MASTER!A:J,10,0)</f>
        <v>1218</v>
      </c>
      <c r="K17" s="12">
        <f t="shared" si="1"/>
        <v>7.2183098591549255E-2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12</v>
      </c>
      <c r="P17" s="1">
        <f>VLOOKUP(A:A,MASTER!A:H,8,0)</f>
        <v>12</v>
      </c>
      <c r="Q17" s="12">
        <f t="shared" si="3"/>
        <v>0</v>
      </c>
      <c r="R17" s="1">
        <f>VLOOKUP(A:A,MASTER!A:B,2,0)</f>
        <v>2685</v>
      </c>
      <c r="S17">
        <f>VLOOKUP(A:A,MASTER!A:G,7,0)</f>
        <v>2621</v>
      </c>
      <c r="T17" s="12">
        <f t="shared" si="4"/>
        <v>-2.3836126629422694E-2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38844327.173672833</v>
      </c>
      <c r="G18" s="1">
        <f>VLOOKUP(A:A,MASTER!A:K,11,0)</f>
        <v>2774005.408615686</v>
      </c>
      <c r="H18" s="12">
        <f t="shared" si="0"/>
        <v>-0.92858660168798601</v>
      </c>
      <c r="I18" s="2">
        <f>VLOOKUP(A:A,MASTER!A:E,5,0)</f>
        <v>617</v>
      </c>
      <c r="J18" s="2">
        <f>VLOOKUP(A:A,MASTER!A:J,10,0)</f>
        <v>1057</v>
      </c>
      <c r="K18" s="12">
        <f t="shared" si="1"/>
        <v>0.71312803889789311</v>
      </c>
      <c r="L18" s="2">
        <f>VLOOKUP(A:A,MASTER!A:D,4,0)</f>
        <v>5</v>
      </c>
      <c r="M18" s="2">
        <f>VLOOKUP(A:A,MASTER!A:I,9,0)</f>
        <v>5</v>
      </c>
      <c r="N18" s="12">
        <f t="shared" si="2"/>
        <v>0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1858</v>
      </c>
      <c r="S18">
        <f>VLOOKUP(A:A,MASTER!A:G,7,0)</f>
        <v>1824</v>
      </c>
      <c r="T18" s="12">
        <f t="shared" si="4"/>
        <v>-1.829924650161463E-2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135021471.61345166</v>
      </c>
      <c r="G19" s="1">
        <f>VLOOKUP(A:A,MASTER!A:K,11,0)</f>
        <v>53473738.681835189</v>
      </c>
      <c r="H19" s="12">
        <f t="shared" si="0"/>
        <v>-0.60396122155353682</v>
      </c>
      <c r="I19" s="2">
        <f>VLOOKUP(A:A,MASTER!A:E,5,0)</f>
        <v>2026</v>
      </c>
      <c r="J19" s="2">
        <f>VLOOKUP(A:A,MASTER!A:J,10,0)</f>
        <v>1791</v>
      </c>
      <c r="K19" s="12">
        <f t="shared" si="1"/>
        <v>-0.11599210266535043</v>
      </c>
      <c r="L19" s="2">
        <f>VLOOKUP(A:A,MASTER!A:D,4,0)</f>
        <v>20</v>
      </c>
      <c r="M19" s="2">
        <f>VLOOKUP(A:A,MASTER!A:I,9,0)</f>
        <v>18</v>
      </c>
      <c r="N19" s="12">
        <f t="shared" si="2"/>
        <v>-9.9999999999999978E-2</v>
      </c>
      <c r="O19" s="1">
        <f>VLOOKUP(A:A,MASTER!A:C,3,0)</f>
        <v>11</v>
      </c>
      <c r="P19" s="1">
        <f>VLOOKUP(A:A,MASTER!A:H,8,0)</f>
        <v>6</v>
      </c>
      <c r="Q19" s="12">
        <f t="shared" si="3"/>
        <v>-0.45454545454545459</v>
      </c>
      <c r="R19" s="1">
        <f>VLOOKUP(A:A,MASTER!A:B,2,0)</f>
        <v>3811</v>
      </c>
      <c r="S19">
        <f>VLOOKUP(A:A,MASTER!A:G,7,0)</f>
        <v>3826</v>
      </c>
      <c r="T19" s="12">
        <f t="shared" si="4"/>
        <v>3.9359748097611558E-3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44583115.681267232</v>
      </c>
      <c r="G20" s="1">
        <f>VLOOKUP(A:A,MASTER!A:K,11,0)</f>
        <v>5875966.4528934211</v>
      </c>
      <c r="H20" s="12">
        <f t="shared" si="0"/>
        <v>-0.86820197819053813</v>
      </c>
      <c r="I20" s="2">
        <f>VLOOKUP(A:A,MASTER!A:E,5,0)</f>
        <v>463</v>
      </c>
      <c r="J20" s="2">
        <f>VLOOKUP(A:A,MASTER!A:J,10,0)</f>
        <v>449</v>
      </c>
      <c r="K20" s="12">
        <f t="shared" si="1"/>
        <v>-3.0237580993520474E-2</v>
      </c>
      <c r="L20" s="2">
        <f>VLOOKUP(A:A,MASTER!A:D,4,0)</f>
        <v>8</v>
      </c>
      <c r="M20" s="2">
        <f>VLOOKUP(A:A,MASTER!A:I,9,0)</f>
        <v>7</v>
      </c>
      <c r="N20" s="12">
        <f t="shared" si="2"/>
        <v>-0.125</v>
      </c>
      <c r="O20" s="1">
        <f>VLOOKUP(A:A,MASTER!A:C,3,0)</f>
        <v>5</v>
      </c>
      <c r="P20" s="1">
        <f>VLOOKUP(A:A,MASTER!A:H,8,0)</f>
        <v>1</v>
      </c>
      <c r="Q20" s="12">
        <f t="shared" si="3"/>
        <v>-0.8</v>
      </c>
      <c r="R20" s="1">
        <f>VLOOKUP(A:A,MASTER!A:B,2,0)</f>
        <v>1051</v>
      </c>
      <c r="S20">
        <f>VLOOKUP(A:A,MASTER!A:G,7,0)</f>
        <v>1051</v>
      </c>
      <c r="T20" s="12">
        <f t="shared" si="4"/>
        <v>0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37519659.657777436</v>
      </c>
      <c r="G21" s="1">
        <f>VLOOKUP(A:A,MASTER!A:K,11,0)</f>
        <v>7181692.9531044327</v>
      </c>
      <c r="H21" s="12">
        <f t="shared" si="0"/>
        <v>-0.80858853682016962</v>
      </c>
      <c r="I21" s="2">
        <f>VLOOKUP(A:A,MASTER!A:E,5,0)</f>
        <v>396</v>
      </c>
      <c r="J21" s="2">
        <f>VLOOKUP(A:A,MASTER!A:J,10,0)</f>
        <v>411</v>
      </c>
      <c r="K21" s="12">
        <f t="shared" si="1"/>
        <v>3.7878787878787845E-2</v>
      </c>
      <c r="L21" s="2">
        <f>VLOOKUP(A:A,MASTER!A:D,4,0)</f>
        <v>4</v>
      </c>
      <c r="M21" s="2">
        <f>VLOOKUP(A:A,MASTER!A:I,9,0)</f>
        <v>5</v>
      </c>
      <c r="N21" s="12">
        <f t="shared" si="2"/>
        <v>0.25</v>
      </c>
      <c r="O21" s="1">
        <f>VLOOKUP(A:A,MASTER!A:C,3,0)</f>
        <v>3</v>
      </c>
      <c r="P21" s="1">
        <f>VLOOKUP(A:A,MASTER!A:H,8,0)</f>
        <v>3</v>
      </c>
      <c r="Q21" s="12">
        <f t="shared" si="3"/>
        <v>0</v>
      </c>
      <c r="R21" s="1">
        <f>VLOOKUP(A:A,MASTER!A:B,2,0)</f>
        <v>1025</v>
      </c>
      <c r="S21">
        <f>VLOOKUP(A:A,MASTER!A:G,7,0)</f>
        <v>1005</v>
      </c>
      <c r="T21" s="12">
        <f t="shared" si="4"/>
        <v>-1.9512195121951237E-2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29238566.623034149</v>
      </c>
      <c r="G22" s="1">
        <f>VLOOKUP(A:A,MASTER!A:K,11,0)</f>
        <v>20843451.558311615</v>
      </c>
      <c r="H22" s="12">
        <f t="shared" si="0"/>
        <v>-0.28712471349771507</v>
      </c>
      <c r="I22" s="2">
        <f>VLOOKUP(A:A,MASTER!A:E,5,0)</f>
        <v>457</v>
      </c>
      <c r="J22" s="2">
        <f>VLOOKUP(A:A,MASTER!A:J,10,0)</f>
        <v>572</v>
      </c>
      <c r="K22" s="12">
        <f t="shared" si="1"/>
        <v>0.25164113785557984</v>
      </c>
      <c r="L22" s="2">
        <f>VLOOKUP(A:A,MASTER!A:D,4,0)</f>
        <v>3</v>
      </c>
      <c r="M22" s="2">
        <f>VLOOKUP(A:A,MASTER!A:I,9,0)</f>
        <v>5</v>
      </c>
      <c r="N22" s="12">
        <f t="shared" si="2"/>
        <v>0.66666666666666674</v>
      </c>
      <c r="O22" s="1">
        <f>VLOOKUP(A:A,MASTER!A:C,3,0)</f>
        <v>4</v>
      </c>
      <c r="P22" s="1">
        <f>VLOOKUP(A:A,MASTER!A:H,8,0)</f>
        <v>9</v>
      </c>
      <c r="Q22" s="12">
        <f t="shared" si="3"/>
        <v>1.25</v>
      </c>
      <c r="R22" s="1">
        <f>VLOOKUP(A:A,MASTER!A:B,2,0)</f>
        <v>959</v>
      </c>
      <c r="S22">
        <f>VLOOKUP(A:A,MASTER!A:G,7,0)</f>
        <v>1004</v>
      </c>
      <c r="T22" s="12">
        <f t="shared" si="4"/>
        <v>4.6923879040667416E-2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66617581.94694709</v>
      </c>
      <c r="G23" s="1">
        <f>VLOOKUP(A:A,MASTER!A:K,11,0)</f>
        <v>3883010.0607610298</v>
      </c>
      <c r="H23" s="12">
        <f t="shared" si="0"/>
        <v>-0.94171193328732072</v>
      </c>
      <c r="I23" s="2">
        <f>VLOOKUP(A:A,MASTER!A:E,5,0)</f>
        <v>991</v>
      </c>
      <c r="J23" s="2">
        <f>VLOOKUP(A:A,MASTER!A:J,10,0)</f>
        <v>998</v>
      </c>
      <c r="K23" s="12">
        <f t="shared" si="1"/>
        <v>7.0635721493441661E-3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7</v>
      </c>
      <c r="P23" s="1">
        <f>VLOOKUP(A:A,MASTER!A:H,8,0)</f>
        <v>10</v>
      </c>
      <c r="Q23" s="12">
        <f t="shared" si="3"/>
        <v>0.4285714285714286</v>
      </c>
      <c r="R23" s="1">
        <f>VLOOKUP(A:A,MASTER!A:B,2,0)</f>
        <v>2275</v>
      </c>
      <c r="S23">
        <f>VLOOKUP(A:A,MASTER!A:G,7,0)</f>
        <v>2225</v>
      </c>
      <c r="T23" s="12">
        <f t="shared" si="4"/>
        <v>-2.1978021978022011E-2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124157359.0911631</v>
      </c>
      <c r="G24" s="1">
        <f>VLOOKUP(A:A,MASTER!A:K,11,0)</f>
        <v>49400632.648243628</v>
      </c>
      <c r="H24" s="12">
        <f t="shared" si="0"/>
        <v>-0.602112730088186</v>
      </c>
      <c r="I24" s="2">
        <f>VLOOKUP(A:A,MASTER!A:E,5,0)</f>
        <v>1570</v>
      </c>
      <c r="J24" s="2">
        <f>VLOOKUP(A:A,MASTER!A:J,10,0)</f>
        <v>1626</v>
      </c>
      <c r="K24" s="12">
        <f t="shared" si="1"/>
        <v>3.566878980891719E-2</v>
      </c>
      <c r="L24" s="2">
        <f>VLOOKUP(A:A,MASTER!A:D,4,0)</f>
        <v>5</v>
      </c>
      <c r="M24" s="2">
        <f>VLOOKUP(A:A,MASTER!A:I,9,0)</f>
        <v>6</v>
      </c>
      <c r="N24" s="12">
        <f t="shared" si="2"/>
        <v>0.19999999999999996</v>
      </c>
      <c r="O24" s="1">
        <f>VLOOKUP(A:A,MASTER!A:C,3,0)</f>
        <v>30</v>
      </c>
      <c r="P24" s="1">
        <f>VLOOKUP(A:A,MASTER!A:H,8,0)</f>
        <v>142</v>
      </c>
      <c r="Q24" s="12">
        <f t="shared" si="3"/>
        <v>3.7333333333333334</v>
      </c>
      <c r="R24" s="1">
        <f>VLOOKUP(A:A,MASTER!A:B,2,0)</f>
        <v>2831</v>
      </c>
      <c r="S24">
        <f>VLOOKUP(A:A,MASTER!A:G,7,0)</f>
        <v>2890</v>
      </c>
      <c r="T24" s="12">
        <f t="shared" si="4"/>
        <v>2.0840692334864075E-2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135724021.35861766</v>
      </c>
      <c r="G25" s="1">
        <f>VLOOKUP(A:A,MASTER!A:K,11,0)</f>
        <v>36643716.715841807</v>
      </c>
      <c r="H25" s="12">
        <f t="shared" si="0"/>
        <v>-0.73001303417749674</v>
      </c>
      <c r="I25" s="2">
        <f>VLOOKUP(A:A,MASTER!A:E,5,0)</f>
        <v>2012</v>
      </c>
      <c r="J25" s="2">
        <f>VLOOKUP(A:A,MASTER!A:J,10,0)</f>
        <v>2075</v>
      </c>
      <c r="K25" s="12">
        <f t="shared" si="1"/>
        <v>3.1312127236580611E-2</v>
      </c>
      <c r="L25" s="2">
        <f>VLOOKUP(A:A,MASTER!A:D,4,0)</f>
        <v>10</v>
      </c>
      <c r="M25" s="2">
        <f>VLOOKUP(A:A,MASTER!A:I,9,0)</f>
        <v>10</v>
      </c>
      <c r="N25" s="12">
        <f t="shared" si="2"/>
        <v>0</v>
      </c>
      <c r="O25" s="1">
        <f>VLOOKUP(A:A,MASTER!A:C,3,0)</f>
        <v>36</v>
      </c>
      <c r="P25" s="1">
        <f>VLOOKUP(A:A,MASTER!A:H,8,0)</f>
        <v>46</v>
      </c>
      <c r="Q25" s="12">
        <f t="shared" si="3"/>
        <v>0.27777777777777768</v>
      </c>
      <c r="R25" s="1">
        <f>VLOOKUP(A:A,MASTER!A:B,2,0)</f>
        <v>4479</v>
      </c>
      <c r="S25">
        <f>VLOOKUP(A:A,MASTER!A:G,7,0)</f>
        <v>4764</v>
      </c>
      <c r="T25" s="12">
        <f t="shared" si="4"/>
        <v>6.3630274614869364E-2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31777931.755580042</v>
      </c>
      <c r="G26" s="1">
        <f>VLOOKUP(A:A,MASTER!A:K,11,0)</f>
        <v>1971732.1722517619</v>
      </c>
      <c r="H26" s="12">
        <f t="shared" si="0"/>
        <v>-0.93795278473698851</v>
      </c>
      <c r="I26" s="2">
        <f>VLOOKUP(A:A,MASTER!A:E,5,0)</f>
        <v>544</v>
      </c>
      <c r="J26" s="2">
        <f>VLOOKUP(A:A,MASTER!A:J,10,0)</f>
        <v>590</v>
      </c>
      <c r="K26" s="12">
        <f t="shared" si="1"/>
        <v>8.4558823529411686E-2</v>
      </c>
      <c r="L26" s="2">
        <f>VLOOKUP(A:A,MASTER!A:D,4,0)</f>
        <v>1</v>
      </c>
      <c r="M26" s="2">
        <f>VLOOKUP(A:A,MASTER!A:I,9,0)</f>
        <v>1</v>
      </c>
      <c r="N26" s="12">
        <f t="shared" si="2"/>
        <v>0</v>
      </c>
      <c r="O26" s="1">
        <f>VLOOKUP(A:A,MASTER!A:C,3,0)</f>
        <v>4</v>
      </c>
      <c r="P26" s="1">
        <f>VLOOKUP(A:A,MASTER!A:H,8,0)</f>
        <v>1</v>
      </c>
      <c r="Q26" s="12">
        <f t="shared" si="3"/>
        <v>-0.75</v>
      </c>
      <c r="R26" s="1">
        <f>VLOOKUP(A:A,MASTER!A:B,2,0)</f>
        <v>1343</v>
      </c>
      <c r="S26">
        <f>VLOOKUP(A:A,MASTER!A:G,7,0)</f>
        <v>1331</v>
      </c>
      <c r="T26" s="12">
        <f t="shared" si="4"/>
        <v>-8.9352196574832288E-3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60643571.759971246</v>
      </c>
      <c r="G27" s="1">
        <f>VLOOKUP(A:A,MASTER!A:K,11,0)</f>
        <v>4759543.0778358476</v>
      </c>
      <c r="H27" s="12">
        <f t="shared" si="0"/>
        <v>-0.92151611556334057</v>
      </c>
      <c r="I27" s="2">
        <f>VLOOKUP(A:A,MASTER!A:E,5,0)</f>
        <v>895</v>
      </c>
      <c r="J27" s="2">
        <f>VLOOKUP(A:A,MASTER!A:J,10,0)</f>
        <v>932</v>
      </c>
      <c r="K27" s="12">
        <f t="shared" si="1"/>
        <v>4.134078212290504E-2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18</v>
      </c>
      <c r="P27" s="1">
        <f>VLOOKUP(A:A,MASTER!A:H,8,0)</f>
        <v>10</v>
      </c>
      <c r="Q27" s="12">
        <f t="shared" si="3"/>
        <v>-0.44444444444444442</v>
      </c>
      <c r="R27" s="1">
        <f>VLOOKUP(A:A,MASTER!A:B,2,0)</f>
        <v>1947</v>
      </c>
      <c r="S27">
        <f>VLOOKUP(A:A,MASTER!A:G,7,0)</f>
        <v>2017</v>
      </c>
      <c r="T27" s="12">
        <f t="shared" si="4"/>
        <v>3.5952747817154629E-2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30661249.336889558</v>
      </c>
      <c r="G28" s="1">
        <f>VLOOKUP(A:A,MASTER!A:K,11,0)</f>
        <v>1698877.4774272051</v>
      </c>
      <c r="H28" s="12">
        <f t="shared" si="0"/>
        <v>-0.94459203345692666</v>
      </c>
      <c r="I28" s="2">
        <f>VLOOKUP(A:A,MASTER!A:E,5,0)</f>
        <v>643</v>
      </c>
      <c r="J28" s="2">
        <f>VLOOKUP(A:A,MASTER!A:J,10,0)</f>
        <v>122</v>
      </c>
      <c r="K28" s="12">
        <f t="shared" si="1"/>
        <v>-0.81026438569206838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3</v>
      </c>
      <c r="P28" s="1">
        <f>VLOOKUP(A:A,MASTER!A:H,8,0)</f>
        <v>60</v>
      </c>
      <c r="Q28" s="12">
        <f t="shared" si="3"/>
        <v>19</v>
      </c>
      <c r="R28" s="1">
        <f>VLOOKUP(A:A,MASTER!A:B,2,0)</f>
        <v>1386</v>
      </c>
      <c r="S28">
        <f>VLOOKUP(A:A,MASTER!A:G,7,0)</f>
        <v>1431</v>
      </c>
      <c r="T28" s="12">
        <f t="shared" si="4"/>
        <v>3.2467532467532534E-2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72324710.601057902</v>
      </c>
      <c r="G29" s="1">
        <f>VLOOKUP(A:A,MASTER!A:K,11,0)</f>
        <v>3622265.2079898668</v>
      </c>
      <c r="H29" s="12">
        <f t="shared" si="0"/>
        <v>-0.94991663045884511</v>
      </c>
      <c r="I29" s="2">
        <f>VLOOKUP(A:A,MASTER!A:E,5,0)</f>
        <v>1257</v>
      </c>
      <c r="J29" s="2">
        <f>VLOOKUP(A:A,MASTER!A:J,10,0)</f>
        <v>1458</v>
      </c>
      <c r="K29" s="12">
        <f t="shared" si="1"/>
        <v>0.15990453460620535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8</v>
      </c>
      <c r="P29" s="1">
        <f>VLOOKUP(A:A,MASTER!A:H,8,0)</f>
        <v>12</v>
      </c>
      <c r="Q29" s="12">
        <f t="shared" si="3"/>
        <v>0.5</v>
      </c>
      <c r="R29" s="1">
        <f>VLOOKUP(A:A,MASTER!A:B,2,0)</f>
        <v>2247</v>
      </c>
      <c r="S29">
        <f>VLOOKUP(A:A,MASTER!A:G,7,0)</f>
        <v>2324</v>
      </c>
      <c r="T29" s="12">
        <f t="shared" si="4"/>
        <v>3.4267912772585563E-2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100082734.12745284</v>
      </c>
      <c r="G30" s="1">
        <f>VLOOKUP(A:A,MASTER!A:K,11,0)</f>
        <v>4642956.161031059</v>
      </c>
      <c r="H30" s="12">
        <f t="shared" si="0"/>
        <v>-0.95360881972790257</v>
      </c>
      <c r="I30" s="2">
        <f>VLOOKUP(A:A,MASTER!A:E,5,0)</f>
        <v>1619</v>
      </c>
      <c r="J30" s="2">
        <f>VLOOKUP(A:A,MASTER!A:J,10,0)</f>
        <v>1703</v>
      </c>
      <c r="K30" s="12">
        <f t="shared" si="1"/>
        <v>5.1883878937615702E-2</v>
      </c>
      <c r="L30" s="2">
        <f>VLOOKUP(A:A,MASTER!A:D,4,0)</f>
        <v>8</v>
      </c>
      <c r="M30" s="2">
        <f>VLOOKUP(A:A,MASTER!A:I,9,0)</f>
        <v>9</v>
      </c>
      <c r="N30" s="12">
        <f t="shared" si="2"/>
        <v>0.125</v>
      </c>
      <c r="O30" s="1">
        <f>VLOOKUP(A:A,MASTER!A:C,3,0)</f>
        <v>27</v>
      </c>
      <c r="P30" s="1">
        <f>VLOOKUP(A:A,MASTER!A:H,8,0)</f>
        <v>10</v>
      </c>
      <c r="Q30" s="12">
        <f t="shared" si="3"/>
        <v>-0.62962962962962965</v>
      </c>
      <c r="R30" s="1">
        <f>VLOOKUP(A:A,MASTER!A:B,2,0)</f>
        <v>3399</v>
      </c>
      <c r="S30">
        <f>VLOOKUP(A:A,MASTER!A:G,7,0)</f>
        <v>3521</v>
      </c>
      <c r="T30" s="12">
        <f t="shared" si="4"/>
        <v>3.5892909679317464E-2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38026607.533075698</v>
      </c>
      <c r="G31" s="1">
        <f>VLOOKUP(A:A,MASTER!A:K,11,0)</f>
        <v>2303983.0026497962</v>
      </c>
      <c r="H31" s="12">
        <f t="shared" si="0"/>
        <v>-0.93941129245763555</v>
      </c>
      <c r="I31" s="2">
        <f>VLOOKUP(A:A,MASTER!A:E,5,0)</f>
        <v>755</v>
      </c>
      <c r="J31" s="2">
        <f>VLOOKUP(A:A,MASTER!A:J,10,0)</f>
        <v>748</v>
      </c>
      <c r="K31" s="12">
        <f t="shared" si="1"/>
        <v>-9.2715231788079722E-3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4</v>
      </c>
      <c r="Q31" s="12">
        <f t="shared" si="3"/>
        <v>-0.33333333333333337</v>
      </c>
      <c r="R31" s="1">
        <f>VLOOKUP(A:A,MASTER!A:B,2,0)</f>
        <v>1639</v>
      </c>
      <c r="S31">
        <f>VLOOKUP(A:A,MASTER!A:G,7,0)</f>
        <v>1667</v>
      </c>
      <c r="T31" s="12">
        <f t="shared" si="4"/>
        <v>1.7083587553386126E-2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51328621.439718425</v>
      </c>
      <c r="G32" s="1">
        <f>VLOOKUP(A:A,MASTER!A:K,11,0)</f>
        <v>982351.27827157394</v>
      </c>
      <c r="H32" s="12">
        <f t="shared" si="0"/>
        <v>-0.98086153006417154</v>
      </c>
      <c r="I32" s="2">
        <f>VLOOKUP(A:A,MASTER!A:E,5,0)</f>
        <v>520</v>
      </c>
      <c r="J32" s="2">
        <f>VLOOKUP(A:A,MASTER!A:J,10,0)</f>
        <v>475</v>
      </c>
      <c r="K32" s="12">
        <f t="shared" si="1"/>
        <v>-8.6538461538461564E-2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9</v>
      </c>
      <c r="P32" s="1">
        <f>VLOOKUP(A:A,MASTER!A:H,8,0)</f>
        <v>3</v>
      </c>
      <c r="Q32" s="12">
        <f t="shared" si="3"/>
        <v>-0.66666666666666674</v>
      </c>
      <c r="R32" s="1">
        <f>VLOOKUP(A:A,MASTER!A:B,2,0)</f>
        <v>1304</v>
      </c>
      <c r="S32">
        <f>VLOOKUP(A:A,MASTER!A:G,7,0)</f>
        <v>1288</v>
      </c>
      <c r="T32" s="12">
        <f t="shared" si="4"/>
        <v>-1.2269938650306789E-2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162989633.21389291</v>
      </c>
      <c r="G33" s="1">
        <f>VLOOKUP(A:A,MASTER!A:K,11,0)</f>
        <v>9349023.4574489724</v>
      </c>
      <c r="H33" s="12">
        <f t="shared" si="0"/>
        <v>-0.94264037980145554</v>
      </c>
      <c r="I33" s="2">
        <f>VLOOKUP(A:A,MASTER!A:E,5,0)</f>
        <v>1730</v>
      </c>
      <c r="J33" s="2">
        <f>VLOOKUP(A:A,MASTER!A:J,10,0)</f>
        <v>1652</v>
      </c>
      <c r="K33" s="12">
        <f t="shared" si="1"/>
        <v>-4.5086705202312172E-2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30</v>
      </c>
      <c r="P33" s="1">
        <f>VLOOKUP(A:A,MASTER!A:H,8,0)</f>
        <v>20</v>
      </c>
      <c r="Q33" s="12">
        <f t="shared" si="3"/>
        <v>-0.33333333333333337</v>
      </c>
      <c r="R33" s="1">
        <f>VLOOKUP(A:A,MASTER!A:B,2,0)</f>
        <v>3976</v>
      </c>
      <c r="S33">
        <f>VLOOKUP(A:A,MASTER!A:G,7,0)</f>
        <v>3863</v>
      </c>
      <c r="T33" s="12">
        <f t="shared" si="4"/>
        <v>-2.8420523138833031E-2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127974000.696372</v>
      </c>
      <c r="G34" s="1">
        <f>VLOOKUP(A:A,MASTER!A:K,11,0)</f>
        <v>16617157.215702342</v>
      </c>
      <c r="H34" s="12">
        <f t="shared" si="0"/>
        <v>-0.8701520846009354</v>
      </c>
      <c r="I34" s="2">
        <f>VLOOKUP(A:A,MASTER!A:E,5,0)</f>
        <v>1525</v>
      </c>
      <c r="J34" s="2">
        <f>VLOOKUP(A:A,MASTER!A:J,10,0)</f>
        <v>1503</v>
      </c>
      <c r="K34" s="12">
        <f t="shared" si="1"/>
        <v>-1.442622950819672E-2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30</v>
      </c>
      <c r="P34" s="1">
        <f>VLOOKUP(A:A,MASTER!A:H,8,0)</f>
        <v>20</v>
      </c>
      <c r="Q34" s="12">
        <f t="shared" si="3"/>
        <v>-0.33333333333333337</v>
      </c>
      <c r="R34" s="1">
        <f>VLOOKUP(A:A,MASTER!A:B,2,0)</f>
        <v>3536</v>
      </c>
      <c r="S34">
        <f>VLOOKUP(A:A,MASTER!A:G,7,0)</f>
        <v>3602</v>
      </c>
      <c r="T34" s="12">
        <f t="shared" si="4"/>
        <v>1.8665158371040658E-2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76979784.170097515</v>
      </c>
      <c r="G35" s="1">
        <f>VLOOKUP(A:A,MASTER!A:K,11,0)</f>
        <v>4111925.1666641501</v>
      </c>
      <c r="H35" s="12">
        <f t="shared" si="0"/>
        <v>-0.94658435054093837</v>
      </c>
      <c r="I35" s="2">
        <f>VLOOKUP(A:A,MASTER!A:E,5,0)</f>
        <v>810</v>
      </c>
      <c r="J35" s="2">
        <f>VLOOKUP(A:A,MASTER!A:J,10,0)</f>
        <v>857</v>
      </c>
      <c r="K35" s="12">
        <f t="shared" si="1"/>
        <v>5.8024691358024683E-2</v>
      </c>
      <c r="L35" s="2">
        <f>VLOOKUP(A:A,MASTER!A:D,4,0)</f>
        <v>2</v>
      </c>
      <c r="M35" s="2">
        <f>VLOOKUP(A:A,MASTER!A:I,9,0)</f>
        <v>3</v>
      </c>
      <c r="N35" s="12">
        <f t="shared" si="2"/>
        <v>0.5</v>
      </c>
      <c r="O35" s="1">
        <f>VLOOKUP(A:A,MASTER!A:C,3,0)</f>
        <v>6</v>
      </c>
      <c r="P35" s="1">
        <f>VLOOKUP(A:A,MASTER!A:H,8,0)</f>
        <v>4</v>
      </c>
      <c r="Q35" s="12">
        <f t="shared" si="3"/>
        <v>-0.33333333333333337</v>
      </c>
      <c r="R35" s="1">
        <f>VLOOKUP(A:A,MASTER!A:B,2,0)</f>
        <v>1864</v>
      </c>
      <c r="S35">
        <f>VLOOKUP(A:A,MASTER!A:G,7,0)</f>
        <v>1946</v>
      </c>
      <c r="T35" s="12">
        <f t="shared" si="4"/>
        <v>4.3991416309012932E-2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97642019.902817786</v>
      </c>
      <c r="G36" s="1">
        <f>VLOOKUP(A:A,MASTER!A:K,11,0)</f>
        <v>21066059.836939387</v>
      </c>
      <c r="H36" s="12">
        <f t="shared" si="0"/>
        <v>-0.78425210930799827</v>
      </c>
      <c r="I36" s="2">
        <f>VLOOKUP(A:A,MASTER!A:E,5,0)</f>
        <v>1919</v>
      </c>
      <c r="J36" s="2">
        <f>VLOOKUP(A:A,MASTER!A:J,10,0)</f>
        <v>2131</v>
      </c>
      <c r="K36" s="12">
        <f t="shared" si="1"/>
        <v>0.1104742053152683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11</v>
      </c>
      <c r="P36" s="1">
        <f>VLOOKUP(A:A,MASTER!A:H,8,0)</f>
        <v>15</v>
      </c>
      <c r="Q36" s="12">
        <f t="shared" si="3"/>
        <v>0.36363636363636354</v>
      </c>
      <c r="R36" s="1">
        <f>VLOOKUP(A:A,MASTER!A:B,2,0)</f>
        <v>3551</v>
      </c>
      <c r="S36">
        <f>VLOOKUP(A:A,MASTER!A:G,7,0)</f>
        <v>3636</v>
      </c>
      <c r="T36" s="12">
        <f t="shared" si="4"/>
        <v>2.3936919177696359E-2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43591660.907105342</v>
      </c>
      <c r="G37" s="1">
        <f>VLOOKUP(A:A,MASTER!A:K,11,0)</f>
        <v>10230450.049898492</v>
      </c>
      <c r="H37" s="12">
        <f t="shared" ref="H37:H46" si="5">IFERROR(G37/F37-1,0)</f>
        <v>-0.76531176291493508</v>
      </c>
      <c r="I37" s="2">
        <f>VLOOKUP(A:A,MASTER!A:E,5,0)</f>
        <v>719</v>
      </c>
      <c r="J37" s="2">
        <f>VLOOKUP(A:A,MASTER!A:J,10,0)</f>
        <v>787</v>
      </c>
      <c r="K37" s="12">
        <f t="shared" ref="K37:K46" si="6">IFERROR(J37/I37-1,0)</f>
        <v>9.457579972183594E-2</v>
      </c>
      <c r="L37" s="2">
        <f>VLOOKUP(A:A,MASTER!A:D,4,0)</f>
        <v>6</v>
      </c>
      <c r="M37" s="2">
        <f>VLOOKUP(A:A,MASTER!A:I,9,0)</f>
        <v>5</v>
      </c>
      <c r="N37" s="12">
        <f t="shared" ref="N37:N46" si="7">IFERROR(M37/L37-1,0)</f>
        <v>-0.16666666666666663</v>
      </c>
      <c r="O37" s="1">
        <f>VLOOKUP(A:A,MASTER!A:C,3,0)</f>
        <v>5</v>
      </c>
      <c r="P37" s="1">
        <f>VLOOKUP(A:A,MASTER!A:H,8,0)</f>
        <v>5</v>
      </c>
      <c r="Q37" s="12">
        <f t="shared" ref="Q37:Q46" si="8">IFERROR(P37/O37-1,0)</f>
        <v>0</v>
      </c>
      <c r="R37" s="1">
        <f>VLOOKUP(A:A,MASTER!A:B,2,0)</f>
        <v>1769</v>
      </c>
      <c r="S37">
        <f>VLOOKUP(A:A,MASTER!A:G,7,0)</f>
        <v>1769</v>
      </c>
      <c r="T37" s="12">
        <f t="shared" ref="T37:T46" si="9">IFERROR(S37/R37-1,0)</f>
        <v>0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94099512.825927198</v>
      </c>
      <c r="G38" s="1">
        <f>VLOOKUP(A:A,MASTER!A:K,11,0)</f>
        <v>35124781.107774563</v>
      </c>
      <c r="H38" s="12">
        <f t="shared" si="5"/>
        <v>-0.6267272799514787</v>
      </c>
      <c r="I38" s="2">
        <f>VLOOKUP(A:A,MASTER!A:E,5,0)</f>
        <v>1506</v>
      </c>
      <c r="J38" s="2">
        <f>VLOOKUP(A:A,MASTER!A:J,10,0)</f>
        <v>1558</v>
      </c>
      <c r="K38" s="12">
        <f t="shared" si="6"/>
        <v>3.4528552456839279E-2</v>
      </c>
      <c r="L38" s="2">
        <f>VLOOKUP(A:A,MASTER!A:D,4,0)</f>
        <v>11</v>
      </c>
      <c r="M38" s="2">
        <f>VLOOKUP(A:A,MASTER!A:I,9,0)</f>
        <v>12</v>
      </c>
      <c r="N38" s="12">
        <f t="shared" si="7"/>
        <v>9.0909090909090828E-2</v>
      </c>
      <c r="O38" s="1">
        <f>VLOOKUP(A:A,MASTER!A:C,3,0)</f>
        <v>70</v>
      </c>
      <c r="P38" s="1">
        <f>VLOOKUP(A:A,MASTER!A:H,8,0)</f>
        <v>60</v>
      </c>
      <c r="Q38" s="12">
        <f t="shared" si="8"/>
        <v>-0.1428571428571429</v>
      </c>
      <c r="R38" s="1">
        <f>VLOOKUP(A:A,MASTER!A:B,2,0)</f>
        <v>3397</v>
      </c>
      <c r="S38">
        <f>VLOOKUP(A:A,MASTER!A:G,7,0)</f>
        <v>3331</v>
      </c>
      <c r="T38" s="12">
        <f t="shared" si="9"/>
        <v>-1.9428907859876388E-2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39276308.817687325</v>
      </c>
      <c r="G39" s="1">
        <f>VLOOKUP(A:A,MASTER!A:K,11,0)</f>
        <v>3252810.6948514869</v>
      </c>
      <c r="H39" s="12">
        <f t="shared" si="5"/>
        <v>-0.91718135454249594</v>
      </c>
      <c r="I39" s="2">
        <f>VLOOKUP(A:A,MASTER!A:E,5,0)</f>
        <v>833</v>
      </c>
      <c r="J39" s="2">
        <f>VLOOKUP(A:A,MASTER!A:J,10,0)</f>
        <v>960</v>
      </c>
      <c r="K39" s="12">
        <f t="shared" si="6"/>
        <v>0.15246098439375744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5</v>
      </c>
      <c r="P39" s="1">
        <f>VLOOKUP(A:A,MASTER!A:H,8,0)</f>
        <v>3</v>
      </c>
      <c r="Q39" s="12">
        <f t="shared" si="8"/>
        <v>-0.4</v>
      </c>
      <c r="R39" s="1">
        <f>VLOOKUP(A:A,MASTER!A:B,2,0)</f>
        <v>1870</v>
      </c>
      <c r="S39">
        <f>VLOOKUP(A:A,MASTER!A:G,7,0)</f>
        <v>1921</v>
      </c>
      <c r="T39" s="12">
        <f t="shared" si="9"/>
        <v>2.7272727272727337E-2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30498535.727767222</v>
      </c>
      <c r="G40" s="1">
        <f>VLOOKUP(A:A,MASTER!A:K,11,0)</f>
        <v>6616744.4281489439</v>
      </c>
      <c r="H40" s="12">
        <f t="shared" si="5"/>
        <v>-0.78304714405928788</v>
      </c>
      <c r="I40" s="2">
        <f>VLOOKUP(A:A,MASTER!A:E,5,0)</f>
        <v>502</v>
      </c>
      <c r="J40" s="2">
        <f>VLOOKUP(A:A,MASTER!A:J,10,0)</f>
        <v>428</v>
      </c>
      <c r="K40" s="12">
        <f t="shared" si="6"/>
        <v>-0.14741035856573703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5</v>
      </c>
      <c r="P40" s="1">
        <f>VLOOKUP(A:A,MASTER!A:H,8,0)</f>
        <v>5</v>
      </c>
      <c r="Q40" s="12">
        <f t="shared" si="8"/>
        <v>0</v>
      </c>
      <c r="R40" s="1">
        <f>VLOOKUP(A:A,MASTER!A:B,2,0)</f>
        <v>966</v>
      </c>
      <c r="S40">
        <f>VLOOKUP(A:A,MASTER!A:G,7,0)</f>
        <v>973</v>
      </c>
      <c r="T40" s="12">
        <f t="shared" si="9"/>
        <v>7.2463768115942351E-3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49001746.695091344</v>
      </c>
      <c r="G41" s="1">
        <f>VLOOKUP(A:A,MASTER!A:K,11,0)</f>
        <v>3133802.314065889</v>
      </c>
      <c r="H41" s="12">
        <f t="shared" si="5"/>
        <v>-0.93604713045096799</v>
      </c>
      <c r="I41" s="2">
        <f>VLOOKUP(A:A,MASTER!A:E,5,0)</f>
        <v>760</v>
      </c>
      <c r="J41" s="2">
        <f>VLOOKUP(A:A,MASTER!A:J,10,0)</f>
        <v>832</v>
      </c>
      <c r="K41" s="12">
        <f t="shared" si="6"/>
        <v>9.473684210526323E-2</v>
      </c>
      <c r="L41" s="2">
        <f>VLOOKUP(A:A,MASTER!A:D,4,0)</f>
        <v>3</v>
      </c>
      <c r="M41" s="2">
        <f>VLOOKUP(A:A,MASTER!A:I,9,0)</f>
        <v>6</v>
      </c>
      <c r="N41" s="12">
        <f t="shared" si="7"/>
        <v>1</v>
      </c>
      <c r="O41" s="1">
        <f>VLOOKUP(A:A,MASTER!A:C,3,0)</f>
        <v>13</v>
      </c>
      <c r="P41" s="1">
        <f>VLOOKUP(A:A,MASTER!A:H,8,0)</f>
        <v>10</v>
      </c>
      <c r="Q41" s="12">
        <f t="shared" si="8"/>
        <v>-0.23076923076923073</v>
      </c>
      <c r="R41" s="1">
        <f>VLOOKUP(A:A,MASTER!A:B,2,0)</f>
        <v>1777</v>
      </c>
      <c r="S41">
        <f>VLOOKUP(A:A,MASTER!A:G,7,0)</f>
        <v>1927</v>
      </c>
      <c r="T41" s="12">
        <f t="shared" si="9"/>
        <v>8.4411930219471021E-2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49509879.975240745</v>
      </c>
      <c r="G42" s="1">
        <f>VLOOKUP(A:A,MASTER!A:K,11,0)</f>
        <v>9276260.7234989833</v>
      </c>
      <c r="H42" s="12">
        <f t="shared" si="5"/>
        <v>-0.81263819003120341</v>
      </c>
      <c r="I42" s="2">
        <f>VLOOKUP(A:A,MASTER!A:E,5,0)</f>
        <v>817</v>
      </c>
      <c r="J42" s="2">
        <f>VLOOKUP(A:A,MASTER!A:J,10,0)</f>
        <v>775</v>
      </c>
      <c r="K42" s="12">
        <f t="shared" si="6"/>
        <v>-5.1407588739290078E-2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5</v>
      </c>
      <c r="Q42" s="12">
        <f t="shared" si="8"/>
        <v>1.5</v>
      </c>
      <c r="R42" s="1">
        <f>VLOOKUP(A:A,MASTER!A:B,2,0)</f>
        <v>1627</v>
      </c>
      <c r="S42">
        <f>VLOOKUP(A:A,MASTER!A:G,7,0)</f>
        <v>1702</v>
      </c>
      <c r="T42" s="12">
        <f t="shared" si="9"/>
        <v>4.6097111247695111E-2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51640774.261005893</v>
      </c>
      <c r="G43" s="1">
        <f>VLOOKUP(A:A,MASTER!A:K,11,0)</f>
        <v>2407480.6795849889</v>
      </c>
      <c r="H43" s="12">
        <f t="shared" si="5"/>
        <v>-0.95338023656622661</v>
      </c>
      <c r="I43" s="2">
        <f>VLOOKUP(A:A,MASTER!A:E,5,0)</f>
        <v>809</v>
      </c>
      <c r="J43" s="2">
        <f>VLOOKUP(A:A,MASTER!A:J,10,0)</f>
        <v>755</v>
      </c>
      <c r="K43" s="12">
        <f t="shared" si="6"/>
        <v>-6.6749072929542685E-2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5</v>
      </c>
      <c r="P43" s="1">
        <f>VLOOKUP(A:A,MASTER!A:H,8,0)</f>
        <v>4</v>
      </c>
      <c r="Q43" s="12">
        <f t="shared" si="8"/>
        <v>-0.19999999999999996</v>
      </c>
      <c r="R43" s="1">
        <f>VLOOKUP(A:A,MASTER!A:B,2,0)</f>
        <v>1600</v>
      </c>
      <c r="S43">
        <f>VLOOKUP(A:A,MASTER!A:G,7,0)</f>
        <v>1653</v>
      </c>
      <c r="T43" s="12">
        <f t="shared" si="9"/>
        <v>3.3125000000000071E-2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99565586.510919929</v>
      </c>
      <c r="G44" s="1">
        <f>VLOOKUP(A:A,MASTER!A:K,11,0)</f>
        <v>6158522.925382345</v>
      </c>
      <c r="H44" s="12">
        <f t="shared" si="5"/>
        <v>-0.93814606892606511</v>
      </c>
      <c r="I44" s="2">
        <f>VLOOKUP(A:A,MASTER!A:E,5,0)</f>
        <v>1098</v>
      </c>
      <c r="J44" s="2">
        <f>VLOOKUP(A:A,MASTER!A:J,10,0)</f>
        <v>1487</v>
      </c>
      <c r="K44" s="12">
        <f t="shared" si="6"/>
        <v>0.35428051001821492</v>
      </c>
      <c r="L44" s="2">
        <f>VLOOKUP(A:A,MASTER!A:D,4,0)</f>
        <v>10</v>
      </c>
      <c r="M44" s="2">
        <f>VLOOKUP(A:A,MASTER!A:I,9,0)</f>
        <v>11</v>
      </c>
      <c r="N44" s="12">
        <f t="shared" si="7"/>
        <v>0.10000000000000009</v>
      </c>
      <c r="O44" s="1">
        <f>VLOOKUP(A:A,MASTER!A:C,3,0)</f>
        <v>4</v>
      </c>
      <c r="P44" s="1">
        <f>VLOOKUP(A:A,MASTER!A:H,8,0)</f>
        <v>6</v>
      </c>
      <c r="Q44" s="12">
        <f t="shared" si="8"/>
        <v>0.5</v>
      </c>
      <c r="R44" s="1">
        <f>VLOOKUP(A:A,MASTER!A:B,2,0)</f>
        <v>3714</v>
      </c>
      <c r="S44">
        <f>VLOOKUP(A:A,MASTER!A:G,7,0)</f>
        <v>3711</v>
      </c>
      <c r="T44" s="12">
        <f t="shared" si="9"/>
        <v>-8.077544426494665E-4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30172005.421001475</v>
      </c>
      <c r="G45" s="1">
        <f>VLOOKUP(A:A,MASTER!A:K,11,0)</f>
        <v>1426696.4926113109</v>
      </c>
      <c r="H45" s="12">
        <f t="shared" si="5"/>
        <v>-0.9527145619688161</v>
      </c>
      <c r="I45" s="2">
        <f>VLOOKUP(A:A,MASTER!A:E,5,0)</f>
        <v>1100</v>
      </c>
      <c r="J45" s="2">
        <f>VLOOKUP(A:A,MASTER!A:J,10,0)</f>
        <v>1082</v>
      </c>
      <c r="K45" s="12">
        <f t="shared" si="6"/>
        <v>-1.6363636363636358E-2</v>
      </c>
      <c r="L45" s="2">
        <f>VLOOKUP(A:A,MASTER!A:D,4,0)</f>
        <v>5</v>
      </c>
      <c r="M45" s="2">
        <f>VLOOKUP(A:A,MASTER!A:I,9,0)</f>
        <v>5</v>
      </c>
      <c r="N45" s="12">
        <f t="shared" si="7"/>
        <v>0</v>
      </c>
      <c r="O45" s="1">
        <f>VLOOKUP(A:A,MASTER!A:C,3,0)</f>
        <v>5</v>
      </c>
      <c r="P45" s="1">
        <f>VLOOKUP(A:A,MASTER!A:H,8,0)</f>
        <v>12</v>
      </c>
      <c r="Q45" s="12">
        <f t="shared" si="8"/>
        <v>1.4</v>
      </c>
      <c r="R45" s="1">
        <f>VLOOKUP(A:A,MASTER!A:B,2,0)</f>
        <v>1441</v>
      </c>
      <c r="S45">
        <f>VLOOKUP(A:A,MASTER!A:G,7,0)</f>
        <v>1439</v>
      </c>
      <c r="T45" s="12">
        <f t="shared" si="9"/>
        <v>-1.3879250520472119E-3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61588975.431075007</v>
      </c>
      <c r="G46" s="1">
        <f>VLOOKUP(A:A,MASTER!A:K,11,0)</f>
        <v>15527829.835963439</v>
      </c>
      <c r="H46" s="12">
        <f t="shared" si="5"/>
        <v>-0.74787971828917943</v>
      </c>
      <c r="I46" s="2">
        <f>VLOOKUP(A:A,MASTER!A:E,5,0)</f>
        <v>875</v>
      </c>
      <c r="J46" s="2">
        <f>VLOOKUP(A:A,MASTER!A:J,10,0)</f>
        <v>799</v>
      </c>
      <c r="K46" s="12">
        <f t="shared" si="6"/>
        <v>-8.6857142857142855E-2</v>
      </c>
      <c r="L46" s="2">
        <f>VLOOKUP(A:A,MASTER!A:D,4,0)</f>
        <v>10</v>
      </c>
      <c r="M46" s="2">
        <f>VLOOKUP(A:A,MASTER!A:I,9,0)</f>
        <v>10</v>
      </c>
      <c r="N46" s="12">
        <f t="shared" si="7"/>
        <v>0</v>
      </c>
      <c r="O46" s="1">
        <f>VLOOKUP(A:A,MASTER!A:C,3,0)</f>
        <v>18</v>
      </c>
      <c r="P46" s="1">
        <f>VLOOKUP(A:A,MASTER!A:H,8,0)</f>
        <v>13</v>
      </c>
      <c r="Q46" s="12">
        <f t="shared" si="8"/>
        <v>-0.27777777777777779</v>
      </c>
      <c r="R46" s="1">
        <f>VLOOKUP(A:A,MASTER!A:B,2,0)</f>
        <v>1654</v>
      </c>
      <c r="S46">
        <f>VLOOKUP(A:A,MASTER!A:G,7,0)</f>
        <v>1681</v>
      </c>
      <c r="T46" s="12">
        <f t="shared" si="9"/>
        <v>1.6324062877871803E-2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198659</v>
      </c>
      <c r="C3" s="11">
        <f t="shared" si="0"/>
        <v>3818</v>
      </c>
      <c r="D3" s="11">
        <f t="shared" si="0"/>
        <v>488</v>
      </c>
      <c r="E3" s="11">
        <f t="shared" si="0"/>
        <v>92708</v>
      </c>
      <c r="F3" s="11">
        <f t="shared" si="0"/>
        <v>5248205567.6188774</v>
      </c>
      <c r="G3" s="11">
        <f t="shared" si="0"/>
        <v>199022</v>
      </c>
      <c r="H3" s="11">
        <f t="shared" si="0"/>
        <v>4287</v>
      </c>
      <c r="I3" s="11">
        <f t="shared" si="0"/>
        <v>507</v>
      </c>
      <c r="J3" s="11">
        <f t="shared" si="0"/>
        <v>93347</v>
      </c>
      <c r="K3" s="11">
        <f t="shared" si="0"/>
        <v>1112884048.8637145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3666</v>
      </c>
      <c r="C6" s="10">
        <v>7</v>
      </c>
      <c r="D6" s="10">
        <v>4</v>
      </c>
      <c r="E6" s="10">
        <v>580</v>
      </c>
      <c r="F6" s="10">
        <v>24410077.067124367</v>
      </c>
      <c r="G6" s="10">
        <v>3123</v>
      </c>
      <c r="H6" s="10">
        <v>3</v>
      </c>
      <c r="I6" s="10">
        <v>3</v>
      </c>
      <c r="J6" s="10">
        <v>490</v>
      </c>
      <c r="K6" s="10">
        <v>4767844.9188793637</v>
      </c>
    </row>
    <row r="7" spans="1:11" x14ac:dyDescent="0.35">
      <c r="A7" s="9" t="s">
        <v>95</v>
      </c>
      <c r="B7" s="10">
        <v>1851</v>
      </c>
      <c r="C7" s="10">
        <v>8</v>
      </c>
      <c r="D7" s="10">
        <v>4</v>
      </c>
      <c r="E7" s="10">
        <v>781</v>
      </c>
      <c r="F7" s="10">
        <v>25686239.95410369</v>
      </c>
      <c r="G7" s="10">
        <v>1706</v>
      </c>
      <c r="H7" s="10">
        <v>10</v>
      </c>
      <c r="I7" s="10">
        <v>5</v>
      </c>
      <c r="J7" s="10">
        <v>981</v>
      </c>
      <c r="K7" s="10">
        <v>6923206.798648214</v>
      </c>
    </row>
    <row r="8" spans="1:11" x14ac:dyDescent="0.35">
      <c r="A8" s="9" t="s">
        <v>91</v>
      </c>
      <c r="B8" s="10">
        <v>2375</v>
      </c>
      <c r="C8" s="10">
        <v>15</v>
      </c>
      <c r="D8" s="10">
        <v>2</v>
      </c>
      <c r="E8" s="10">
        <v>714</v>
      </c>
      <c r="F8" s="10">
        <v>43636674.980749413</v>
      </c>
      <c r="G8" s="10">
        <v>2132</v>
      </c>
      <c r="H8" s="10">
        <v>9</v>
      </c>
      <c r="I8" s="10">
        <v>2</v>
      </c>
      <c r="J8" s="10">
        <v>631</v>
      </c>
      <c r="K8" s="10">
        <v>17611439.364642929</v>
      </c>
    </row>
    <row r="9" spans="1:11" x14ac:dyDescent="0.35">
      <c r="A9" s="9" t="s">
        <v>92</v>
      </c>
      <c r="B9" s="10">
        <v>3206</v>
      </c>
      <c r="C9" s="10">
        <v>20</v>
      </c>
      <c r="D9" s="10">
        <v>3</v>
      </c>
      <c r="E9" s="10">
        <v>1469</v>
      </c>
      <c r="F9" s="10">
        <v>74852852.570257962</v>
      </c>
      <c r="G9" s="10">
        <v>2738</v>
      </c>
      <c r="H9" s="10">
        <v>12</v>
      </c>
      <c r="I9" s="10">
        <v>3</v>
      </c>
      <c r="J9" s="10">
        <v>1261</v>
      </c>
      <c r="K9" s="10">
        <v>21252462.332674265</v>
      </c>
    </row>
    <row r="10" spans="1:11" x14ac:dyDescent="0.35">
      <c r="A10" s="9" t="s">
        <v>93</v>
      </c>
      <c r="B10" s="10">
        <v>1808</v>
      </c>
      <c r="C10" s="10">
        <v>8</v>
      </c>
      <c r="D10" s="10">
        <v>4</v>
      </c>
      <c r="E10" s="10">
        <v>1326</v>
      </c>
      <c r="F10" s="10">
        <v>67905654.102548271</v>
      </c>
      <c r="G10" s="10">
        <v>1792</v>
      </c>
      <c r="H10" s="10">
        <v>9</v>
      </c>
      <c r="I10" s="10">
        <v>4</v>
      </c>
      <c r="J10" s="10">
        <v>1339</v>
      </c>
      <c r="K10" s="10">
        <v>43527692.065594129</v>
      </c>
    </row>
    <row r="11" spans="1:11" x14ac:dyDescent="0.35">
      <c r="A11" s="9" t="s">
        <v>94</v>
      </c>
      <c r="B11" s="10">
        <v>1443</v>
      </c>
      <c r="C11" s="10">
        <v>14</v>
      </c>
      <c r="D11" s="10">
        <v>8</v>
      </c>
      <c r="E11" s="10">
        <v>765</v>
      </c>
      <c r="F11" s="10">
        <v>49493499.640783817</v>
      </c>
      <c r="G11" s="10">
        <v>1276</v>
      </c>
      <c r="H11" s="10">
        <v>6</v>
      </c>
      <c r="I11" s="10">
        <v>8</v>
      </c>
      <c r="J11" s="10">
        <v>778</v>
      </c>
      <c r="K11" s="10">
        <v>30269283.86081795</v>
      </c>
    </row>
    <row r="12" spans="1:11" x14ac:dyDescent="0.35">
      <c r="A12" s="9" t="s">
        <v>97</v>
      </c>
      <c r="B12" s="10">
        <v>2195</v>
      </c>
      <c r="C12" s="10">
        <v>21</v>
      </c>
      <c r="D12" s="10">
        <v>3</v>
      </c>
      <c r="E12" s="10">
        <v>1027</v>
      </c>
      <c r="F12" s="10">
        <v>48082812.216363057</v>
      </c>
      <c r="G12" s="10">
        <v>2161</v>
      </c>
      <c r="H12" s="10">
        <v>21</v>
      </c>
      <c r="I12" s="10">
        <v>2</v>
      </c>
      <c r="J12" s="10">
        <v>954</v>
      </c>
      <c r="K12" s="10">
        <v>26199449.370430924</v>
      </c>
    </row>
    <row r="13" spans="1:11" x14ac:dyDescent="0.35">
      <c r="A13" s="9" t="s">
        <v>98</v>
      </c>
      <c r="B13" s="10">
        <v>1133</v>
      </c>
      <c r="C13" s="10">
        <v>8</v>
      </c>
      <c r="D13" s="10">
        <v>2</v>
      </c>
      <c r="E13" s="10">
        <v>734</v>
      </c>
      <c r="F13" s="10">
        <v>44761600.271028653</v>
      </c>
      <c r="G13" s="10">
        <v>943</v>
      </c>
      <c r="H13" s="10">
        <v>14</v>
      </c>
      <c r="I13" s="10">
        <v>3</v>
      </c>
      <c r="J13" s="10">
        <v>748</v>
      </c>
      <c r="K13" s="10">
        <v>35050088.924223833</v>
      </c>
    </row>
    <row r="14" spans="1:11" x14ac:dyDescent="0.35">
      <c r="A14" s="9" t="s">
        <v>102</v>
      </c>
      <c r="B14" s="10">
        <v>883</v>
      </c>
      <c r="C14" s="10">
        <v>9</v>
      </c>
      <c r="D14" s="10">
        <v>2</v>
      </c>
      <c r="E14" s="10">
        <v>531</v>
      </c>
      <c r="F14" s="10">
        <v>28046845.671943724</v>
      </c>
      <c r="G14" s="10">
        <v>800</v>
      </c>
      <c r="H14" s="10">
        <v>6</v>
      </c>
      <c r="I14" s="10">
        <v>2</v>
      </c>
      <c r="J14" s="10">
        <v>552</v>
      </c>
      <c r="K14" s="10">
        <v>17045314.369437084</v>
      </c>
    </row>
    <row r="15" spans="1:11" x14ac:dyDescent="0.35">
      <c r="A15" s="9" t="s">
        <v>99</v>
      </c>
      <c r="B15" s="10">
        <v>1513</v>
      </c>
      <c r="C15" s="10">
        <v>24</v>
      </c>
      <c r="D15" s="10">
        <v>2</v>
      </c>
      <c r="E15" s="10">
        <v>1114</v>
      </c>
      <c r="F15" s="10">
        <v>47865564.775976792</v>
      </c>
      <c r="G15" s="10">
        <v>1607</v>
      </c>
      <c r="H15" s="10">
        <v>16</v>
      </c>
      <c r="I15" s="10">
        <v>1</v>
      </c>
      <c r="J15" s="10">
        <v>1040</v>
      </c>
      <c r="K15" s="10">
        <v>31774292.394825663</v>
      </c>
    </row>
    <row r="16" spans="1:11" x14ac:dyDescent="0.35">
      <c r="A16" s="9" t="s">
        <v>103</v>
      </c>
      <c r="B16" s="10">
        <v>1284</v>
      </c>
      <c r="C16" s="10">
        <v>3</v>
      </c>
      <c r="D16" s="10">
        <v>2</v>
      </c>
      <c r="E16" s="10">
        <v>1054</v>
      </c>
      <c r="F16" s="10">
        <v>32605475.574002095</v>
      </c>
      <c r="G16" s="10">
        <v>1210</v>
      </c>
      <c r="H16" s="10">
        <v>7</v>
      </c>
      <c r="I16" s="10">
        <v>2</v>
      </c>
      <c r="J16" s="10">
        <v>1027</v>
      </c>
      <c r="K16" s="10">
        <v>22337941.64089283</v>
      </c>
    </row>
    <row r="17" spans="1:11" x14ac:dyDescent="0.35">
      <c r="A17" s="9" t="s">
        <v>104</v>
      </c>
      <c r="B17" s="10">
        <v>964</v>
      </c>
      <c r="C17" s="10">
        <v>10</v>
      </c>
      <c r="D17" s="10">
        <v>1</v>
      </c>
      <c r="E17" s="10">
        <v>746</v>
      </c>
      <c r="F17" s="10">
        <v>33446748.383907892</v>
      </c>
      <c r="G17" s="10">
        <v>1049</v>
      </c>
      <c r="H17" s="10">
        <v>8</v>
      </c>
      <c r="I17" s="10">
        <v>1</v>
      </c>
      <c r="J17" s="10">
        <v>795</v>
      </c>
      <c r="K17" s="10">
        <v>22425900.538328949</v>
      </c>
    </row>
    <row r="18" spans="1:11" x14ac:dyDescent="0.35">
      <c r="A18" s="9" t="s">
        <v>19</v>
      </c>
      <c r="B18" s="10">
        <v>2906</v>
      </c>
      <c r="C18" s="10">
        <v>15</v>
      </c>
      <c r="D18" s="10">
        <v>7</v>
      </c>
      <c r="E18" s="10">
        <v>1439</v>
      </c>
      <c r="F18" s="10">
        <v>57158104.946085669</v>
      </c>
      <c r="G18" s="10">
        <v>3077</v>
      </c>
      <c r="H18" s="10">
        <v>4</v>
      </c>
      <c r="I18" s="10">
        <v>7</v>
      </c>
      <c r="J18" s="10">
        <v>796</v>
      </c>
      <c r="K18" s="10">
        <v>5715472.932295816</v>
      </c>
    </row>
    <row r="19" spans="1:11" x14ac:dyDescent="0.35">
      <c r="A19" s="9" t="s">
        <v>40</v>
      </c>
      <c r="B19" s="10">
        <v>2577</v>
      </c>
      <c r="C19" s="10">
        <v>1</v>
      </c>
      <c r="D19" s="10">
        <v>6</v>
      </c>
      <c r="E19" s="10">
        <v>926</v>
      </c>
      <c r="F19" s="10">
        <v>70390338.939551368</v>
      </c>
      <c r="G19" s="10">
        <v>2537</v>
      </c>
      <c r="H19" s="10">
        <v>8</v>
      </c>
      <c r="I19" s="10">
        <v>5</v>
      </c>
      <c r="J19" s="10">
        <v>1016</v>
      </c>
      <c r="K19" s="10">
        <v>4264601.5262558227</v>
      </c>
    </row>
    <row r="20" spans="1:11" x14ac:dyDescent="0.35">
      <c r="A20" s="9" t="s">
        <v>41</v>
      </c>
      <c r="B20" s="10">
        <v>2868</v>
      </c>
      <c r="C20" s="10">
        <v>22</v>
      </c>
      <c r="D20" s="10">
        <v>9</v>
      </c>
      <c r="E20" s="10">
        <v>1513</v>
      </c>
      <c r="F20" s="10">
        <v>62104161.701993987</v>
      </c>
      <c r="G20" s="10">
        <v>2830</v>
      </c>
      <c r="H20" s="10">
        <v>9</v>
      </c>
      <c r="I20" s="10">
        <v>6</v>
      </c>
      <c r="J20" s="10">
        <v>1621</v>
      </c>
      <c r="K20" s="10">
        <v>23574828.645358272</v>
      </c>
    </row>
    <row r="21" spans="1:11" x14ac:dyDescent="0.35">
      <c r="A21" s="9" t="s">
        <v>42</v>
      </c>
      <c r="B21" s="10">
        <v>1934</v>
      </c>
      <c r="C21" s="10">
        <v>8</v>
      </c>
      <c r="D21" s="10">
        <v>5</v>
      </c>
      <c r="E21" s="10">
        <v>750</v>
      </c>
      <c r="F21" s="10">
        <v>37071201.712371044</v>
      </c>
      <c r="G21" s="10">
        <v>1913</v>
      </c>
      <c r="H21" s="10">
        <v>6</v>
      </c>
      <c r="I21" s="10">
        <v>5</v>
      </c>
      <c r="J21" s="10">
        <v>810</v>
      </c>
      <c r="K21" s="10">
        <v>1442137.264992947</v>
      </c>
    </row>
    <row r="22" spans="1:11" x14ac:dyDescent="0.35">
      <c r="A22" s="9" t="s">
        <v>43</v>
      </c>
      <c r="B22" s="10">
        <v>5667</v>
      </c>
      <c r="C22" s="10">
        <v>315</v>
      </c>
      <c r="D22" s="10">
        <v>12</v>
      </c>
      <c r="E22" s="10">
        <v>2280</v>
      </c>
      <c r="F22" s="10">
        <v>135718007.04849026</v>
      </c>
      <c r="G22" s="10">
        <v>5726</v>
      </c>
      <c r="H22" s="10">
        <v>411</v>
      </c>
      <c r="I22" s="10">
        <v>12</v>
      </c>
      <c r="J22" s="10">
        <v>2252</v>
      </c>
      <c r="K22" s="10">
        <v>7148391.9365760814</v>
      </c>
    </row>
    <row r="23" spans="1:11" x14ac:dyDescent="0.35">
      <c r="A23" s="9" t="s">
        <v>44</v>
      </c>
      <c r="B23" s="10">
        <v>2772</v>
      </c>
      <c r="C23" s="10">
        <v>9</v>
      </c>
      <c r="D23" s="10">
        <v>4</v>
      </c>
      <c r="E23" s="10">
        <v>1260</v>
      </c>
      <c r="F23" s="10">
        <v>71741361.451553747</v>
      </c>
      <c r="G23" s="10">
        <v>2801</v>
      </c>
      <c r="H23" s="10">
        <v>7</v>
      </c>
      <c r="I23" s="10">
        <v>5</v>
      </c>
      <c r="J23" s="10">
        <v>1431</v>
      </c>
      <c r="K23" s="10">
        <v>2804560.38461409</v>
      </c>
    </row>
    <row r="24" spans="1:11" x14ac:dyDescent="0.35">
      <c r="A24" s="9" t="s">
        <v>45</v>
      </c>
      <c r="B24" s="10">
        <v>5525</v>
      </c>
      <c r="C24" s="10">
        <v>11</v>
      </c>
      <c r="D24" s="10">
        <v>13</v>
      </c>
      <c r="E24" s="10">
        <v>2085</v>
      </c>
      <c r="F24" s="10">
        <v>127124497.26414771</v>
      </c>
      <c r="G24" s="10">
        <v>5250</v>
      </c>
      <c r="H24" s="10">
        <v>10</v>
      </c>
      <c r="I24" s="10">
        <v>13</v>
      </c>
      <c r="J24" s="10">
        <v>2153</v>
      </c>
      <c r="K24" s="10">
        <v>2161266.9381378558</v>
      </c>
    </row>
    <row r="25" spans="1:11" x14ac:dyDescent="0.35">
      <c r="A25" s="9" t="s">
        <v>51</v>
      </c>
      <c r="B25" s="10">
        <v>1127</v>
      </c>
      <c r="C25" s="10">
        <v>3</v>
      </c>
      <c r="D25" s="10">
        <v>2</v>
      </c>
      <c r="E25" s="10">
        <v>596</v>
      </c>
      <c r="F25" s="10">
        <v>23678683.974308781</v>
      </c>
      <c r="G25" s="10">
        <v>1122</v>
      </c>
      <c r="H25" s="10">
        <v>1</v>
      </c>
      <c r="I25" s="10">
        <v>2</v>
      </c>
      <c r="J25" s="10">
        <v>633</v>
      </c>
      <c r="K25" s="10">
        <v>4542956.9370236406</v>
      </c>
    </row>
    <row r="26" spans="1:11" x14ac:dyDescent="0.35">
      <c r="A26" s="9" t="s">
        <v>54</v>
      </c>
      <c r="B26" s="10">
        <v>4224</v>
      </c>
      <c r="C26" s="10">
        <v>32</v>
      </c>
      <c r="D26" s="10">
        <v>3</v>
      </c>
      <c r="E26" s="10">
        <v>2043</v>
      </c>
      <c r="F26" s="10">
        <v>72869136.910108745</v>
      </c>
      <c r="G26" s="10">
        <v>4236</v>
      </c>
      <c r="H26" s="10">
        <v>31</v>
      </c>
      <c r="I26" s="10">
        <v>3</v>
      </c>
      <c r="J26" s="10">
        <v>1978</v>
      </c>
      <c r="K26" s="10">
        <v>19192434.03438738</v>
      </c>
    </row>
    <row r="27" spans="1:11" x14ac:dyDescent="0.35">
      <c r="A27" s="9" t="s">
        <v>52</v>
      </c>
      <c r="B27" s="10">
        <v>1808</v>
      </c>
      <c r="C27" s="10">
        <v>18</v>
      </c>
      <c r="D27" s="10">
        <v>1</v>
      </c>
      <c r="E27" s="10">
        <v>974</v>
      </c>
      <c r="F27" s="10">
        <v>25860321.921165433</v>
      </c>
      <c r="G27" s="10">
        <v>1848</v>
      </c>
      <c r="H27" s="10">
        <v>16</v>
      </c>
      <c r="I27" s="10">
        <v>2</v>
      </c>
      <c r="J27" s="10">
        <v>958</v>
      </c>
      <c r="K27" s="10">
        <v>3222192.0022973642</v>
      </c>
    </row>
    <row r="28" spans="1:11" x14ac:dyDescent="0.35">
      <c r="A28" s="9" t="s">
        <v>53</v>
      </c>
      <c r="B28" s="10">
        <v>1820</v>
      </c>
      <c r="C28" s="10">
        <v>5</v>
      </c>
      <c r="D28" s="10">
        <v>1</v>
      </c>
      <c r="E28" s="10">
        <v>751</v>
      </c>
      <c r="F28" s="10">
        <v>30421511.706869867</v>
      </c>
      <c r="G28" s="10">
        <v>1905</v>
      </c>
      <c r="H28" s="10">
        <v>3</v>
      </c>
      <c r="I28" s="10">
        <v>1</v>
      </c>
      <c r="J28" s="10">
        <v>765</v>
      </c>
      <c r="K28" s="10">
        <v>1586289.4841974489</v>
      </c>
    </row>
    <row r="29" spans="1:11" x14ac:dyDescent="0.35">
      <c r="A29" s="9" t="s">
        <v>57</v>
      </c>
      <c r="B29" s="10">
        <v>453</v>
      </c>
      <c r="C29" s="10">
        <v>1</v>
      </c>
      <c r="D29" s="10">
        <v>0</v>
      </c>
      <c r="E29" s="10">
        <v>193</v>
      </c>
      <c r="F29" s="10">
        <v>8028101.2972805835</v>
      </c>
      <c r="G29" s="10">
        <v>460</v>
      </c>
      <c r="H29" s="10">
        <v>0</v>
      </c>
      <c r="I29" s="10">
        <v>0</v>
      </c>
      <c r="J29" s="10">
        <v>204</v>
      </c>
      <c r="K29" s="10">
        <v>1288282.331771537</v>
      </c>
    </row>
    <row r="30" spans="1:11" x14ac:dyDescent="0.35">
      <c r="A30" s="9" t="s">
        <v>86</v>
      </c>
      <c r="B30" s="10">
        <v>3609</v>
      </c>
      <c r="C30" s="10">
        <v>11</v>
      </c>
      <c r="D30" s="10">
        <v>11</v>
      </c>
      <c r="E30" s="10">
        <v>1842</v>
      </c>
      <c r="F30" s="10">
        <v>71646918.102499545</v>
      </c>
      <c r="G30" s="10">
        <v>3582</v>
      </c>
      <c r="H30" s="10">
        <v>13</v>
      </c>
      <c r="I30" s="10">
        <v>11</v>
      </c>
      <c r="J30" s="10">
        <v>1736</v>
      </c>
      <c r="K30" s="10">
        <v>16330187.408337496</v>
      </c>
    </row>
    <row r="31" spans="1:11" x14ac:dyDescent="0.35">
      <c r="A31" s="9" t="s">
        <v>87</v>
      </c>
      <c r="B31" s="10">
        <v>1936</v>
      </c>
      <c r="C31" s="10">
        <v>4</v>
      </c>
      <c r="D31" s="10">
        <v>1</v>
      </c>
      <c r="E31" s="10">
        <v>783</v>
      </c>
      <c r="F31" s="10">
        <v>60975365.132675424</v>
      </c>
      <c r="G31" s="10">
        <v>1949</v>
      </c>
      <c r="H31" s="10">
        <v>3</v>
      </c>
      <c r="I31" s="10">
        <v>0</v>
      </c>
      <c r="J31" s="10">
        <v>790</v>
      </c>
      <c r="K31" s="10">
        <v>11168520.025809068</v>
      </c>
    </row>
    <row r="32" spans="1:11" x14ac:dyDescent="0.35">
      <c r="A32" s="9" t="s">
        <v>88</v>
      </c>
      <c r="B32" s="10">
        <v>2172</v>
      </c>
      <c r="C32" s="10">
        <v>6</v>
      </c>
      <c r="D32" s="10">
        <v>4</v>
      </c>
      <c r="E32" s="10">
        <v>970</v>
      </c>
      <c r="F32" s="10">
        <v>59285520.5725182</v>
      </c>
      <c r="G32" s="10">
        <v>2242</v>
      </c>
      <c r="H32" s="10">
        <v>10</v>
      </c>
      <c r="I32" s="10">
        <v>6</v>
      </c>
      <c r="J32" s="10">
        <v>1014</v>
      </c>
      <c r="K32" s="10">
        <v>6335325.0888184682</v>
      </c>
    </row>
    <row r="33" spans="1:11" x14ac:dyDescent="0.35">
      <c r="A33" s="9" t="s">
        <v>89</v>
      </c>
      <c r="B33" s="10">
        <v>2722</v>
      </c>
      <c r="C33" s="10">
        <v>2</v>
      </c>
      <c r="D33" s="10">
        <v>5</v>
      </c>
      <c r="E33" s="10">
        <v>1266</v>
      </c>
      <c r="F33" s="10">
        <v>86026417.426653132</v>
      </c>
      <c r="G33" s="10">
        <v>2635</v>
      </c>
      <c r="H33" s="10">
        <v>5</v>
      </c>
      <c r="I33" s="10">
        <v>4</v>
      </c>
      <c r="J33" s="10">
        <v>1210</v>
      </c>
      <c r="K33" s="10">
        <v>26948418.757384989</v>
      </c>
    </row>
    <row r="34" spans="1:11" x14ac:dyDescent="0.35">
      <c r="A34" s="9" t="s">
        <v>15</v>
      </c>
      <c r="B34" s="10">
        <v>3024</v>
      </c>
      <c r="C34" s="10">
        <v>8</v>
      </c>
      <c r="D34" s="10">
        <v>3</v>
      </c>
      <c r="E34" s="10">
        <v>1294</v>
      </c>
      <c r="F34" s="10">
        <v>79677128.957050323</v>
      </c>
      <c r="G34" s="10">
        <v>3047</v>
      </c>
      <c r="H34" s="10">
        <v>10</v>
      </c>
      <c r="I34" s="10">
        <v>4</v>
      </c>
      <c r="J34" s="10">
        <v>1320</v>
      </c>
      <c r="K34" s="10">
        <v>8070319.2571861809</v>
      </c>
    </row>
    <row r="35" spans="1:11" x14ac:dyDescent="0.35">
      <c r="A35" s="9" t="s">
        <v>17</v>
      </c>
      <c r="B35" s="10">
        <v>1521</v>
      </c>
      <c r="C35" s="10">
        <v>5</v>
      </c>
      <c r="D35" s="10">
        <v>4</v>
      </c>
      <c r="E35" s="10">
        <v>729</v>
      </c>
      <c r="F35" s="10">
        <v>38826150.968128286</v>
      </c>
      <c r="G35" s="10">
        <v>1396</v>
      </c>
      <c r="H35" s="10">
        <v>1</v>
      </c>
      <c r="I35" s="10">
        <v>3</v>
      </c>
      <c r="J35" s="10">
        <v>617</v>
      </c>
      <c r="K35" s="10">
        <v>3442048.7356350902</v>
      </c>
    </row>
    <row r="36" spans="1:11" x14ac:dyDescent="0.35">
      <c r="A36" s="9" t="s">
        <v>38</v>
      </c>
      <c r="B36" s="10">
        <v>3802</v>
      </c>
      <c r="C36" s="10">
        <v>5</v>
      </c>
      <c r="D36" s="10">
        <v>9</v>
      </c>
      <c r="E36" s="10">
        <v>1708</v>
      </c>
      <c r="F36" s="10">
        <v>84522342.585679978</v>
      </c>
      <c r="G36" s="10">
        <v>3712</v>
      </c>
      <c r="H36" s="10">
        <v>11</v>
      </c>
      <c r="I36" s="10">
        <v>11</v>
      </c>
      <c r="J36" s="10">
        <v>1615</v>
      </c>
      <c r="K36" s="10">
        <v>3408721.844971803</v>
      </c>
    </row>
    <row r="37" spans="1:11" x14ac:dyDescent="0.35">
      <c r="A37" s="9" t="s">
        <v>108</v>
      </c>
      <c r="B37" s="10">
        <v>2063</v>
      </c>
      <c r="C37" s="10">
        <v>9</v>
      </c>
      <c r="D37" s="10">
        <v>5</v>
      </c>
      <c r="E37" s="10">
        <v>1080</v>
      </c>
      <c r="F37" s="10">
        <v>53131029.685232334</v>
      </c>
      <c r="G37" s="10">
        <v>2012</v>
      </c>
      <c r="H37" s="10">
        <v>3</v>
      </c>
      <c r="I37" s="10">
        <v>5</v>
      </c>
      <c r="J37" s="10">
        <v>1008</v>
      </c>
      <c r="K37" s="10">
        <v>17511062.036094807</v>
      </c>
    </row>
    <row r="38" spans="1:11" x14ac:dyDescent="0.35">
      <c r="A38" s="9" t="s">
        <v>106</v>
      </c>
      <c r="B38" s="10">
        <v>2019</v>
      </c>
      <c r="C38" s="10">
        <v>9</v>
      </c>
      <c r="D38" s="10">
        <v>2</v>
      </c>
      <c r="E38" s="10">
        <v>449</v>
      </c>
      <c r="F38" s="10">
        <v>54950650.076285921</v>
      </c>
      <c r="G38" s="10">
        <v>1915</v>
      </c>
      <c r="H38" s="10">
        <v>11</v>
      </c>
      <c r="I38" s="10">
        <v>4</v>
      </c>
      <c r="J38" s="10">
        <v>1049</v>
      </c>
      <c r="K38" s="10">
        <v>24159735.836012583</v>
      </c>
    </row>
    <row r="39" spans="1:11" x14ac:dyDescent="0.35">
      <c r="A39" s="9" t="s">
        <v>110</v>
      </c>
      <c r="B39" s="10">
        <v>3438</v>
      </c>
      <c r="C39" s="10">
        <v>21</v>
      </c>
      <c r="D39" s="10">
        <v>4</v>
      </c>
      <c r="E39" s="10">
        <v>1986</v>
      </c>
      <c r="F39" s="10">
        <v>105846305.20577115</v>
      </c>
      <c r="G39" s="10">
        <v>3668</v>
      </c>
      <c r="H39" s="10">
        <v>23</v>
      </c>
      <c r="I39" s="10">
        <v>5</v>
      </c>
      <c r="J39" s="10">
        <v>1830</v>
      </c>
      <c r="K39" s="10">
        <v>46874375.679294191</v>
      </c>
    </row>
    <row r="40" spans="1:11" x14ac:dyDescent="0.35">
      <c r="A40" s="9" t="s">
        <v>2</v>
      </c>
      <c r="B40" s="10">
        <v>3658</v>
      </c>
      <c r="C40" s="10">
        <v>896</v>
      </c>
      <c r="D40" s="10">
        <v>4</v>
      </c>
      <c r="E40" s="10">
        <v>1354</v>
      </c>
      <c r="F40" s="10">
        <v>74790320.101942718</v>
      </c>
      <c r="G40" s="10">
        <v>3968</v>
      </c>
      <c r="H40" s="10">
        <v>898</v>
      </c>
      <c r="I40" s="10">
        <v>4</v>
      </c>
      <c r="J40" s="10">
        <v>1265</v>
      </c>
      <c r="K40" s="10">
        <v>24653365.829322297</v>
      </c>
    </row>
    <row r="41" spans="1:11" x14ac:dyDescent="0.35">
      <c r="A41" s="9" t="s">
        <v>112</v>
      </c>
      <c r="B41" s="10">
        <v>6279</v>
      </c>
      <c r="C41" s="10">
        <v>713</v>
      </c>
      <c r="D41" s="10">
        <v>7</v>
      </c>
      <c r="E41" s="10">
        <v>2943</v>
      </c>
      <c r="F41" s="10">
        <v>143715909.68853474</v>
      </c>
      <c r="G41" s="10">
        <v>6137</v>
      </c>
      <c r="H41" s="10">
        <v>801</v>
      </c>
      <c r="I41" s="10">
        <v>8</v>
      </c>
      <c r="J41" s="10">
        <v>2674</v>
      </c>
      <c r="K41" s="10">
        <v>56251369.999739133</v>
      </c>
    </row>
    <row r="42" spans="1:11" x14ac:dyDescent="0.35">
      <c r="A42" s="9" t="s">
        <v>13</v>
      </c>
      <c r="B42" s="10">
        <v>1259</v>
      </c>
      <c r="C42" s="10">
        <v>2</v>
      </c>
      <c r="D42" s="10">
        <v>11</v>
      </c>
      <c r="E42" s="10">
        <v>528</v>
      </c>
      <c r="F42" s="10">
        <v>36794717.577305377</v>
      </c>
      <c r="G42" s="10">
        <v>1234</v>
      </c>
      <c r="H42" s="10">
        <v>8</v>
      </c>
      <c r="I42" s="10">
        <v>12</v>
      </c>
      <c r="J42" s="10">
        <v>507</v>
      </c>
      <c r="K42" s="10">
        <v>4295705.4925142322</v>
      </c>
    </row>
    <row r="43" spans="1:11" x14ac:dyDescent="0.35">
      <c r="A43" s="9" t="s">
        <v>7</v>
      </c>
      <c r="B43" s="10">
        <v>4707</v>
      </c>
      <c r="C43" s="10">
        <v>11</v>
      </c>
      <c r="D43" s="10">
        <v>9</v>
      </c>
      <c r="E43" s="10">
        <v>2772</v>
      </c>
      <c r="F43" s="10">
        <v>127617090.21139714</v>
      </c>
      <c r="G43" s="10">
        <v>5101</v>
      </c>
      <c r="H43" s="10">
        <v>10</v>
      </c>
      <c r="I43" s="10">
        <v>10</v>
      </c>
      <c r="J43" s="10">
        <v>2773</v>
      </c>
      <c r="K43" s="10">
        <v>29455209.213108808</v>
      </c>
    </row>
    <row r="44" spans="1:11" x14ac:dyDescent="0.35">
      <c r="A44" s="9" t="s">
        <v>34</v>
      </c>
      <c r="B44" s="10">
        <v>2002</v>
      </c>
      <c r="C44" s="10">
        <v>8</v>
      </c>
      <c r="D44" s="10">
        <v>7</v>
      </c>
      <c r="E44" s="10">
        <v>936</v>
      </c>
      <c r="F44" s="10">
        <v>79689296.498790219</v>
      </c>
      <c r="G44" s="10">
        <v>2184</v>
      </c>
      <c r="H44" s="10">
        <v>12</v>
      </c>
      <c r="I44" s="10">
        <v>7</v>
      </c>
      <c r="J44" s="10">
        <v>1141</v>
      </c>
      <c r="K44" s="10">
        <v>8681121.5348008852</v>
      </c>
    </row>
    <row r="45" spans="1:11" x14ac:dyDescent="0.35">
      <c r="A45" s="9" t="s">
        <v>5</v>
      </c>
      <c r="B45" s="10">
        <v>2612</v>
      </c>
      <c r="C45" s="10">
        <v>9</v>
      </c>
      <c r="D45" s="10">
        <v>9</v>
      </c>
      <c r="E45" s="10">
        <v>1496</v>
      </c>
      <c r="F45" s="10">
        <v>73182934.587394983</v>
      </c>
      <c r="G45" s="10">
        <v>2633</v>
      </c>
      <c r="H45" s="10">
        <v>5</v>
      </c>
      <c r="I45" s="10">
        <v>12</v>
      </c>
      <c r="J45" s="10">
        <v>1342</v>
      </c>
      <c r="K45" s="10">
        <v>20087647.922003504</v>
      </c>
    </row>
    <row r="46" spans="1:11" x14ac:dyDescent="0.35">
      <c r="A46" s="9" t="s">
        <v>36</v>
      </c>
      <c r="B46" s="10">
        <v>1677</v>
      </c>
      <c r="C46" s="10">
        <v>4</v>
      </c>
      <c r="D46" s="10">
        <v>6</v>
      </c>
      <c r="E46" s="10">
        <v>685</v>
      </c>
      <c r="F46" s="10">
        <v>57223826.659421422</v>
      </c>
      <c r="G46" s="10">
        <v>1652</v>
      </c>
      <c r="H46" s="10">
        <v>9</v>
      </c>
      <c r="I46" s="10">
        <v>8</v>
      </c>
      <c r="J46" s="10">
        <v>653</v>
      </c>
      <c r="K46" s="10">
        <v>2705755.864645015</v>
      </c>
    </row>
    <row r="47" spans="1:11" x14ac:dyDescent="0.35">
      <c r="A47" s="9" t="s">
        <v>114</v>
      </c>
      <c r="B47" s="10">
        <v>1918</v>
      </c>
      <c r="C47" s="10">
        <v>4</v>
      </c>
      <c r="D47" s="10">
        <v>10</v>
      </c>
      <c r="E47" s="10">
        <v>1159</v>
      </c>
      <c r="F47" s="10">
        <v>53617689.694278374</v>
      </c>
      <c r="G47" s="10">
        <v>1853</v>
      </c>
      <c r="H47" s="10">
        <v>5</v>
      </c>
      <c r="I47" s="10">
        <v>8</v>
      </c>
      <c r="J47" s="10">
        <v>901</v>
      </c>
      <c r="K47" s="10">
        <v>15113339.458265796</v>
      </c>
    </row>
    <row r="48" spans="1:11" x14ac:dyDescent="0.35">
      <c r="A48" s="9" t="s">
        <v>116</v>
      </c>
      <c r="B48" s="10">
        <v>1485</v>
      </c>
      <c r="C48" s="10">
        <v>2</v>
      </c>
      <c r="D48" s="10">
        <v>3</v>
      </c>
      <c r="E48" s="10">
        <v>977</v>
      </c>
      <c r="F48" s="10">
        <v>32576878.893066425</v>
      </c>
      <c r="G48" s="10">
        <v>1466</v>
      </c>
      <c r="H48" s="10">
        <v>1</v>
      </c>
      <c r="I48" s="10">
        <v>1</v>
      </c>
      <c r="J48" s="10">
        <v>807</v>
      </c>
      <c r="K48" s="10">
        <v>2448931.8442734922</v>
      </c>
    </row>
    <row r="49" spans="1:11" x14ac:dyDescent="0.35">
      <c r="A49" s="9" t="s">
        <v>60</v>
      </c>
      <c r="B49" s="10">
        <v>2685</v>
      </c>
      <c r="C49" s="10">
        <v>12</v>
      </c>
      <c r="D49" s="10">
        <v>9</v>
      </c>
      <c r="E49" s="10">
        <v>1136</v>
      </c>
      <c r="F49" s="10">
        <v>101552498.57663956</v>
      </c>
      <c r="G49" s="10">
        <v>2621</v>
      </c>
      <c r="H49" s="10">
        <v>12</v>
      </c>
      <c r="I49" s="10">
        <v>10</v>
      </c>
      <c r="J49" s="10">
        <v>1218</v>
      </c>
      <c r="K49" s="10">
        <v>5200745.1594547722</v>
      </c>
    </row>
    <row r="50" spans="1:11" x14ac:dyDescent="0.35">
      <c r="A50" s="9" t="s">
        <v>154</v>
      </c>
      <c r="B50" s="10">
        <v>935</v>
      </c>
      <c r="C50" s="10">
        <v>1</v>
      </c>
      <c r="D50" s="10">
        <v>2</v>
      </c>
      <c r="E50" s="10">
        <v>501</v>
      </c>
      <c r="F50" s="10">
        <v>16967217.85894959</v>
      </c>
      <c r="G50" s="10">
        <v>873</v>
      </c>
      <c r="H50" s="10">
        <v>1</v>
      </c>
      <c r="I50" s="10">
        <v>2</v>
      </c>
      <c r="J50" s="10">
        <v>531</v>
      </c>
      <c r="K50" s="10">
        <v>1937724.501892559</v>
      </c>
    </row>
    <row r="51" spans="1:11" x14ac:dyDescent="0.35">
      <c r="A51" s="9" t="s">
        <v>26</v>
      </c>
      <c r="B51" s="10">
        <v>1858</v>
      </c>
      <c r="C51" s="10">
        <v>3</v>
      </c>
      <c r="D51" s="10">
        <v>5</v>
      </c>
      <c r="E51" s="10">
        <v>617</v>
      </c>
      <c r="F51" s="10">
        <v>38844327.173672833</v>
      </c>
      <c r="G51" s="10">
        <v>1824</v>
      </c>
      <c r="H51" s="10">
        <v>1</v>
      </c>
      <c r="I51" s="10">
        <v>5</v>
      </c>
      <c r="J51" s="10">
        <v>1057</v>
      </c>
      <c r="K51" s="10">
        <v>2774005.408615686</v>
      </c>
    </row>
    <row r="52" spans="1:11" x14ac:dyDescent="0.35">
      <c r="A52" s="9" t="s">
        <v>28</v>
      </c>
      <c r="B52" s="10">
        <v>3811</v>
      </c>
      <c r="C52" s="10">
        <v>11</v>
      </c>
      <c r="D52" s="10">
        <v>20</v>
      </c>
      <c r="E52" s="10">
        <v>2026</v>
      </c>
      <c r="F52" s="10">
        <v>135021471.61345166</v>
      </c>
      <c r="G52" s="10">
        <v>3826</v>
      </c>
      <c r="H52" s="10">
        <v>6</v>
      </c>
      <c r="I52" s="10">
        <v>18</v>
      </c>
      <c r="J52" s="10">
        <v>1791</v>
      </c>
      <c r="K52" s="10">
        <v>53473738.681835189</v>
      </c>
    </row>
    <row r="53" spans="1:11" x14ac:dyDescent="0.35">
      <c r="A53" s="9" t="s">
        <v>62</v>
      </c>
      <c r="B53" s="10">
        <v>1051</v>
      </c>
      <c r="C53" s="10">
        <v>5</v>
      </c>
      <c r="D53" s="10">
        <v>8</v>
      </c>
      <c r="E53" s="10">
        <v>463</v>
      </c>
      <c r="F53" s="10">
        <v>44583115.681267232</v>
      </c>
      <c r="G53" s="10">
        <v>1051</v>
      </c>
      <c r="H53" s="10">
        <v>1</v>
      </c>
      <c r="I53" s="10">
        <v>7</v>
      </c>
      <c r="J53" s="10">
        <v>449</v>
      </c>
      <c r="K53" s="10">
        <v>5875966.4528934211</v>
      </c>
    </row>
    <row r="54" spans="1:11" x14ac:dyDescent="0.35">
      <c r="A54" s="9" t="s">
        <v>58</v>
      </c>
      <c r="B54" s="10">
        <v>1025</v>
      </c>
      <c r="C54" s="10">
        <v>3</v>
      </c>
      <c r="D54" s="10">
        <v>4</v>
      </c>
      <c r="E54" s="10">
        <v>396</v>
      </c>
      <c r="F54" s="10">
        <v>37519659.657777436</v>
      </c>
      <c r="G54" s="10">
        <v>1005</v>
      </c>
      <c r="H54" s="10">
        <v>3</v>
      </c>
      <c r="I54" s="10">
        <v>5</v>
      </c>
      <c r="J54" s="10">
        <v>411</v>
      </c>
      <c r="K54" s="10">
        <v>7181692.9531044327</v>
      </c>
    </row>
    <row r="55" spans="1:11" x14ac:dyDescent="0.35">
      <c r="A55" s="9" t="s">
        <v>64</v>
      </c>
      <c r="B55" s="10">
        <v>959</v>
      </c>
      <c r="C55" s="10">
        <v>4</v>
      </c>
      <c r="D55" s="10">
        <v>3</v>
      </c>
      <c r="E55" s="10">
        <v>457</v>
      </c>
      <c r="F55" s="10">
        <v>29238566.623034149</v>
      </c>
      <c r="G55" s="10">
        <v>1004</v>
      </c>
      <c r="H55" s="10">
        <v>9</v>
      </c>
      <c r="I55" s="10">
        <v>5</v>
      </c>
      <c r="J55" s="10">
        <v>572</v>
      </c>
      <c r="K55" s="10">
        <v>20843451.558311615</v>
      </c>
    </row>
    <row r="56" spans="1:11" x14ac:dyDescent="0.35">
      <c r="A56" s="9" t="s">
        <v>122</v>
      </c>
      <c r="B56" s="10">
        <v>2275</v>
      </c>
      <c r="C56" s="10">
        <v>7</v>
      </c>
      <c r="D56" s="10">
        <v>0</v>
      </c>
      <c r="E56" s="10">
        <v>991</v>
      </c>
      <c r="F56" s="10">
        <v>66617581.94694709</v>
      </c>
      <c r="G56" s="10">
        <v>2225</v>
      </c>
      <c r="H56" s="10">
        <v>10</v>
      </c>
      <c r="I56" s="10">
        <v>0</v>
      </c>
      <c r="J56" s="10">
        <v>998</v>
      </c>
      <c r="K56" s="10">
        <v>3883010.0607610298</v>
      </c>
    </row>
    <row r="57" spans="1:11" x14ac:dyDescent="0.35">
      <c r="A57" s="9" t="s">
        <v>70</v>
      </c>
      <c r="B57" s="10">
        <v>2831</v>
      </c>
      <c r="C57" s="10">
        <v>30</v>
      </c>
      <c r="D57" s="10">
        <v>5</v>
      </c>
      <c r="E57" s="10">
        <v>1570</v>
      </c>
      <c r="F57" s="10">
        <v>124157359.0911631</v>
      </c>
      <c r="G57" s="10">
        <v>2890</v>
      </c>
      <c r="H57" s="10">
        <v>142</v>
      </c>
      <c r="I57" s="10">
        <v>6</v>
      </c>
      <c r="J57" s="10">
        <v>1626</v>
      </c>
      <c r="K57" s="10">
        <v>49400632.648243628</v>
      </c>
    </row>
    <row r="58" spans="1:11" x14ac:dyDescent="0.35">
      <c r="A58" s="9" t="s">
        <v>72</v>
      </c>
      <c r="B58" s="10">
        <v>4479</v>
      </c>
      <c r="C58" s="10">
        <v>36</v>
      </c>
      <c r="D58" s="10">
        <v>10</v>
      </c>
      <c r="E58" s="10">
        <v>2012</v>
      </c>
      <c r="F58" s="10">
        <v>135724021.35861766</v>
      </c>
      <c r="G58" s="10">
        <v>4764</v>
      </c>
      <c r="H58" s="10">
        <v>46</v>
      </c>
      <c r="I58" s="10">
        <v>10</v>
      </c>
      <c r="J58" s="10">
        <v>2075</v>
      </c>
      <c r="K58" s="10">
        <v>36643716.715841807</v>
      </c>
    </row>
    <row r="59" spans="1:11" x14ac:dyDescent="0.35">
      <c r="A59" s="9" t="s">
        <v>130</v>
      </c>
      <c r="B59" s="10">
        <v>1343</v>
      </c>
      <c r="C59" s="10">
        <v>4</v>
      </c>
      <c r="D59" s="10">
        <v>1</v>
      </c>
      <c r="E59" s="10">
        <v>544</v>
      </c>
      <c r="F59" s="10">
        <v>31777931.755580042</v>
      </c>
      <c r="G59" s="10">
        <v>1331</v>
      </c>
      <c r="H59" s="10">
        <v>1</v>
      </c>
      <c r="I59" s="10">
        <v>1</v>
      </c>
      <c r="J59" s="10">
        <v>590</v>
      </c>
      <c r="K59" s="10">
        <v>1971732.1722517619</v>
      </c>
    </row>
    <row r="60" spans="1:11" x14ac:dyDescent="0.35">
      <c r="A60" s="9" t="s">
        <v>76</v>
      </c>
      <c r="B60" s="10">
        <v>1947</v>
      </c>
      <c r="C60" s="10">
        <v>18</v>
      </c>
      <c r="D60" s="10">
        <v>9</v>
      </c>
      <c r="E60" s="10">
        <v>895</v>
      </c>
      <c r="F60" s="10">
        <v>60643571.759971246</v>
      </c>
      <c r="G60" s="10">
        <v>2017</v>
      </c>
      <c r="H60" s="10">
        <v>10</v>
      </c>
      <c r="I60" s="10">
        <v>10</v>
      </c>
      <c r="J60" s="10">
        <v>932</v>
      </c>
      <c r="K60" s="10">
        <v>4759543.0778358476</v>
      </c>
    </row>
    <row r="61" spans="1:11" x14ac:dyDescent="0.35">
      <c r="A61" s="9" t="s">
        <v>128</v>
      </c>
      <c r="B61" s="10">
        <v>1386</v>
      </c>
      <c r="C61" s="10">
        <v>3</v>
      </c>
      <c r="D61" s="10">
        <v>1</v>
      </c>
      <c r="E61" s="10">
        <v>643</v>
      </c>
      <c r="F61" s="10">
        <v>30661249.336889558</v>
      </c>
      <c r="G61" s="10">
        <v>1431</v>
      </c>
      <c r="H61" s="10">
        <v>60</v>
      </c>
      <c r="I61" s="10">
        <v>2</v>
      </c>
      <c r="J61" s="10">
        <v>122</v>
      </c>
      <c r="K61" s="10">
        <v>1698877.4774272051</v>
      </c>
    </row>
    <row r="62" spans="1:11" x14ac:dyDescent="0.35">
      <c r="A62" s="9" t="s">
        <v>124</v>
      </c>
      <c r="B62" s="10">
        <v>2247</v>
      </c>
      <c r="C62" s="10">
        <v>8</v>
      </c>
      <c r="D62" s="10">
        <v>2</v>
      </c>
      <c r="E62" s="10">
        <v>1257</v>
      </c>
      <c r="F62" s="10">
        <v>72324710.601057902</v>
      </c>
      <c r="G62" s="10">
        <v>2324</v>
      </c>
      <c r="H62" s="10">
        <v>12</v>
      </c>
      <c r="I62" s="10">
        <v>1</v>
      </c>
      <c r="J62" s="10">
        <v>1458</v>
      </c>
      <c r="K62" s="10">
        <v>3622265.2079898668</v>
      </c>
    </row>
    <row r="63" spans="1:11" x14ac:dyDescent="0.35">
      <c r="A63" s="9" t="s">
        <v>78</v>
      </c>
      <c r="B63" s="10">
        <v>3399</v>
      </c>
      <c r="C63" s="10">
        <v>27</v>
      </c>
      <c r="D63" s="10">
        <v>8</v>
      </c>
      <c r="E63" s="10">
        <v>1619</v>
      </c>
      <c r="F63" s="10">
        <v>100082734.12745284</v>
      </c>
      <c r="G63" s="10">
        <v>3521</v>
      </c>
      <c r="H63" s="10">
        <v>10</v>
      </c>
      <c r="I63" s="10">
        <v>9</v>
      </c>
      <c r="J63" s="10">
        <v>1703</v>
      </c>
      <c r="K63" s="10">
        <v>4642956.161031059</v>
      </c>
    </row>
    <row r="64" spans="1:11" x14ac:dyDescent="0.35">
      <c r="A64" s="9" t="s">
        <v>80</v>
      </c>
      <c r="B64" s="10">
        <v>1639</v>
      </c>
      <c r="C64" s="10">
        <v>6</v>
      </c>
      <c r="D64" s="10">
        <v>6</v>
      </c>
      <c r="E64" s="10">
        <v>755</v>
      </c>
      <c r="F64" s="10">
        <v>38026607.533075698</v>
      </c>
      <c r="G64" s="10">
        <v>1667</v>
      </c>
      <c r="H64" s="10">
        <v>4</v>
      </c>
      <c r="I64" s="10">
        <v>7</v>
      </c>
      <c r="J64" s="10">
        <v>748</v>
      </c>
      <c r="K64" s="10">
        <v>2303983.0026497962</v>
      </c>
    </row>
    <row r="65" spans="1:11" x14ac:dyDescent="0.35">
      <c r="A65" s="9" t="s">
        <v>82</v>
      </c>
      <c r="B65" s="10">
        <v>1304</v>
      </c>
      <c r="C65" s="10">
        <v>9</v>
      </c>
      <c r="D65" s="10">
        <v>8</v>
      </c>
      <c r="E65" s="10">
        <v>520</v>
      </c>
      <c r="F65" s="10">
        <v>51328621.439718425</v>
      </c>
      <c r="G65" s="10">
        <v>1288</v>
      </c>
      <c r="H65" s="10">
        <v>3</v>
      </c>
      <c r="I65" s="10">
        <v>8</v>
      </c>
      <c r="J65" s="10">
        <v>475</v>
      </c>
      <c r="K65" s="10">
        <v>982351.27827157394</v>
      </c>
    </row>
    <row r="66" spans="1:11" x14ac:dyDescent="0.35">
      <c r="A66" s="9" t="s">
        <v>20</v>
      </c>
      <c r="B66" s="10">
        <v>3976</v>
      </c>
      <c r="C66" s="10">
        <v>30</v>
      </c>
      <c r="D66" s="10">
        <v>14</v>
      </c>
      <c r="E66" s="10">
        <v>1730</v>
      </c>
      <c r="F66" s="10">
        <v>162989633.21389291</v>
      </c>
      <c r="G66" s="10">
        <v>3863</v>
      </c>
      <c r="H66" s="10">
        <v>20</v>
      </c>
      <c r="I66" s="10">
        <v>13</v>
      </c>
      <c r="J66" s="10">
        <v>1652</v>
      </c>
      <c r="K66" s="10">
        <v>9349023.4574489724</v>
      </c>
    </row>
    <row r="67" spans="1:11" x14ac:dyDescent="0.35">
      <c r="A67" s="9" t="s">
        <v>22</v>
      </c>
      <c r="B67" s="10">
        <v>3536</v>
      </c>
      <c r="C67" s="10">
        <v>30</v>
      </c>
      <c r="D67" s="10">
        <v>11</v>
      </c>
      <c r="E67" s="10">
        <v>1525</v>
      </c>
      <c r="F67" s="10">
        <v>127974000.696372</v>
      </c>
      <c r="G67" s="10">
        <v>3602</v>
      </c>
      <c r="H67" s="10">
        <v>20</v>
      </c>
      <c r="I67" s="10">
        <v>12</v>
      </c>
      <c r="J67" s="10">
        <v>1503</v>
      </c>
      <c r="K67" s="10">
        <v>16617157.215702342</v>
      </c>
    </row>
    <row r="68" spans="1:11" x14ac:dyDescent="0.35">
      <c r="A68" s="9" t="s">
        <v>24</v>
      </c>
      <c r="B68" s="10">
        <v>1864</v>
      </c>
      <c r="C68" s="10">
        <v>6</v>
      </c>
      <c r="D68" s="10">
        <v>2</v>
      </c>
      <c r="E68" s="10">
        <v>810</v>
      </c>
      <c r="F68" s="10">
        <v>76979784.170097515</v>
      </c>
      <c r="G68" s="10">
        <v>1946</v>
      </c>
      <c r="H68" s="10">
        <v>4</v>
      </c>
      <c r="I68" s="10">
        <v>3</v>
      </c>
      <c r="J68" s="10">
        <v>857</v>
      </c>
      <c r="K68" s="10">
        <v>4111925.1666641501</v>
      </c>
    </row>
    <row r="69" spans="1:11" x14ac:dyDescent="0.35">
      <c r="A69" s="9" t="s">
        <v>46</v>
      </c>
      <c r="B69" s="10">
        <v>5357</v>
      </c>
      <c r="C69" s="10">
        <v>1007</v>
      </c>
      <c r="D69" s="10">
        <v>15</v>
      </c>
      <c r="E69" s="10">
        <v>1393</v>
      </c>
      <c r="F69" s="10">
        <v>109575671.13071907</v>
      </c>
      <c r="G69" s="10">
        <v>6318</v>
      </c>
      <c r="H69" s="10">
        <v>1240</v>
      </c>
      <c r="I69" s="10">
        <v>15</v>
      </c>
      <c r="J69" s="10">
        <v>1917</v>
      </c>
      <c r="K69" s="10">
        <v>6797116.4941648776</v>
      </c>
    </row>
    <row r="70" spans="1:11" x14ac:dyDescent="0.35">
      <c r="A70" s="9" t="s">
        <v>100</v>
      </c>
      <c r="B70" s="10">
        <v>776</v>
      </c>
      <c r="C70" s="10">
        <v>5</v>
      </c>
      <c r="D70" s="10">
        <v>1</v>
      </c>
      <c r="E70" s="10">
        <v>463</v>
      </c>
      <c r="F70" s="10">
        <v>15838644.18189073</v>
      </c>
      <c r="G70" s="10">
        <v>680</v>
      </c>
      <c r="H70" s="10">
        <v>4</v>
      </c>
      <c r="I70" s="10">
        <v>1</v>
      </c>
      <c r="J70" s="10">
        <v>438</v>
      </c>
      <c r="K70" s="10">
        <v>7744880.1741000982</v>
      </c>
    </row>
    <row r="71" spans="1:11" x14ac:dyDescent="0.35">
      <c r="A71" s="9" t="s">
        <v>9</v>
      </c>
      <c r="B71" s="10">
        <v>3551</v>
      </c>
      <c r="C71" s="10">
        <v>11</v>
      </c>
      <c r="D71" s="10">
        <v>11</v>
      </c>
      <c r="E71" s="10">
        <v>1919</v>
      </c>
      <c r="F71" s="10">
        <v>97642019.902817786</v>
      </c>
      <c r="G71" s="10">
        <v>3636</v>
      </c>
      <c r="H71" s="10">
        <v>15</v>
      </c>
      <c r="I71" s="10">
        <v>12</v>
      </c>
      <c r="J71" s="10">
        <v>2131</v>
      </c>
      <c r="K71" s="10">
        <v>21066059.836939387</v>
      </c>
    </row>
    <row r="72" spans="1:11" x14ac:dyDescent="0.35">
      <c r="A72" s="9" t="s">
        <v>11</v>
      </c>
      <c r="B72" s="10">
        <v>1769</v>
      </c>
      <c r="C72" s="10">
        <v>5</v>
      </c>
      <c r="D72" s="10">
        <v>6</v>
      </c>
      <c r="E72" s="10">
        <v>719</v>
      </c>
      <c r="F72" s="10">
        <v>43591660.907105342</v>
      </c>
      <c r="G72" s="10">
        <v>1769</v>
      </c>
      <c r="H72" s="10">
        <v>5</v>
      </c>
      <c r="I72" s="10">
        <v>5</v>
      </c>
      <c r="J72" s="10">
        <v>787</v>
      </c>
      <c r="K72" s="10">
        <v>10230450.049898492</v>
      </c>
    </row>
    <row r="73" spans="1:11" x14ac:dyDescent="0.35">
      <c r="A73" s="9" t="s">
        <v>118</v>
      </c>
      <c r="B73" s="10">
        <v>3397</v>
      </c>
      <c r="C73" s="10">
        <v>70</v>
      </c>
      <c r="D73" s="10">
        <v>11</v>
      </c>
      <c r="E73" s="10">
        <v>1506</v>
      </c>
      <c r="F73" s="10">
        <v>94099512.825927198</v>
      </c>
      <c r="G73" s="10">
        <v>3331</v>
      </c>
      <c r="H73" s="10">
        <v>60</v>
      </c>
      <c r="I73" s="10">
        <v>12</v>
      </c>
      <c r="J73" s="10">
        <v>1558</v>
      </c>
      <c r="K73" s="10">
        <v>35124781.107774563</v>
      </c>
    </row>
    <row r="74" spans="1:11" x14ac:dyDescent="0.35">
      <c r="A74" s="9" t="s">
        <v>49</v>
      </c>
      <c r="B74" s="10">
        <v>2757</v>
      </c>
      <c r="C74" s="10">
        <v>12</v>
      </c>
      <c r="D74" s="10">
        <v>6</v>
      </c>
      <c r="E74" s="10">
        <v>1335</v>
      </c>
      <c r="F74" s="10">
        <v>44138809.508614302</v>
      </c>
      <c r="G74" s="10">
        <v>2623</v>
      </c>
      <c r="H74" s="10">
        <v>9</v>
      </c>
      <c r="I74" s="10">
        <v>5</v>
      </c>
      <c r="J74" s="10">
        <v>1742</v>
      </c>
      <c r="K74" s="10">
        <v>1568442.1573844519</v>
      </c>
    </row>
    <row r="75" spans="1:11" x14ac:dyDescent="0.35">
      <c r="A75" s="9" t="s">
        <v>47</v>
      </c>
      <c r="B75" s="10">
        <v>3575</v>
      </c>
      <c r="C75" s="10">
        <v>21</v>
      </c>
      <c r="D75" s="10">
        <v>12</v>
      </c>
      <c r="E75" s="10">
        <v>1392</v>
      </c>
      <c r="F75" s="10">
        <v>100124077.89875464</v>
      </c>
      <c r="G75" s="10">
        <v>3567</v>
      </c>
      <c r="H75" s="10">
        <v>8</v>
      </c>
      <c r="I75" s="10">
        <v>12</v>
      </c>
      <c r="J75" s="10">
        <v>1378</v>
      </c>
      <c r="K75" s="10">
        <v>1852041.4891801609</v>
      </c>
    </row>
    <row r="76" spans="1:11" x14ac:dyDescent="0.35">
      <c r="A76" s="9" t="s">
        <v>101</v>
      </c>
      <c r="B76" s="10">
        <v>1438</v>
      </c>
      <c r="C76" s="10">
        <v>9</v>
      </c>
      <c r="D76" s="10">
        <v>2</v>
      </c>
      <c r="E76" s="10">
        <v>999</v>
      </c>
      <c r="F76" s="10">
        <v>37853102.050913602</v>
      </c>
      <c r="G76" s="10">
        <v>1440</v>
      </c>
      <c r="H76" s="10">
        <v>17</v>
      </c>
      <c r="I76" s="10">
        <v>2</v>
      </c>
      <c r="J76" s="10">
        <v>981</v>
      </c>
      <c r="K76" s="10">
        <v>18676803.106759984</v>
      </c>
    </row>
    <row r="77" spans="1:11" x14ac:dyDescent="0.35">
      <c r="A77" s="9" t="s">
        <v>126</v>
      </c>
      <c r="B77" s="10">
        <v>1870</v>
      </c>
      <c r="C77" s="10">
        <v>5</v>
      </c>
      <c r="D77" s="10">
        <v>0</v>
      </c>
      <c r="E77" s="10">
        <v>833</v>
      </c>
      <c r="F77" s="10">
        <v>39276308.817687325</v>
      </c>
      <c r="G77" s="10">
        <v>1921</v>
      </c>
      <c r="H77" s="10">
        <v>3</v>
      </c>
      <c r="I77" s="10">
        <v>1</v>
      </c>
      <c r="J77" s="10">
        <v>960</v>
      </c>
      <c r="K77" s="10">
        <v>3252810.6948514869</v>
      </c>
    </row>
    <row r="78" spans="1:11" x14ac:dyDescent="0.35">
      <c r="A78" s="9" t="s">
        <v>48</v>
      </c>
      <c r="B78" s="10">
        <v>1278</v>
      </c>
      <c r="C78" s="10">
        <v>3</v>
      </c>
      <c r="D78" s="10">
        <v>4</v>
      </c>
      <c r="E78" s="10">
        <v>537</v>
      </c>
      <c r="F78" s="10">
        <v>37137180.875871442</v>
      </c>
      <c r="G78" s="10">
        <v>1324</v>
      </c>
      <c r="H78" s="10">
        <v>2</v>
      </c>
      <c r="I78" s="10">
        <v>5</v>
      </c>
      <c r="J78" s="10">
        <v>521</v>
      </c>
      <c r="K78" s="10">
        <v>3398499.040153279</v>
      </c>
    </row>
    <row r="79" spans="1:11" x14ac:dyDescent="0.35">
      <c r="A79" s="9" t="s">
        <v>96</v>
      </c>
      <c r="B79" s="10">
        <v>1643</v>
      </c>
      <c r="C79" s="10">
        <v>20</v>
      </c>
      <c r="D79" s="10">
        <v>2</v>
      </c>
      <c r="E79" s="10">
        <v>1619</v>
      </c>
      <c r="F79" s="10">
        <v>39810862.768230759</v>
      </c>
      <c r="G79" s="10">
        <v>1905</v>
      </c>
      <c r="H79" s="10">
        <v>13</v>
      </c>
      <c r="I79" s="10">
        <v>2</v>
      </c>
      <c r="J79" s="10">
        <v>1759</v>
      </c>
      <c r="K79" s="10">
        <v>18835936.253919814</v>
      </c>
    </row>
    <row r="80" spans="1:11" x14ac:dyDescent="0.35">
      <c r="A80" s="9" t="s">
        <v>30</v>
      </c>
      <c r="B80" s="10">
        <v>966</v>
      </c>
      <c r="C80" s="10">
        <v>5</v>
      </c>
      <c r="D80" s="10">
        <v>16</v>
      </c>
      <c r="E80" s="10">
        <v>502</v>
      </c>
      <c r="F80" s="10">
        <v>30498535.727767222</v>
      </c>
      <c r="G80" s="10">
        <v>973</v>
      </c>
      <c r="H80" s="10">
        <v>5</v>
      </c>
      <c r="I80" s="10">
        <v>15</v>
      </c>
      <c r="J80" s="10">
        <v>428</v>
      </c>
      <c r="K80" s="10">
        <v>6616744.4281489439</v>
      </c>
    </row>
    <row r="81" spans="1:11" x14ac:dyDescent="0.35">
      <c r="A81" s="9" t="s">
        <v>84</v>
      </c>
      <c r="B81" s="10">
        <v>1777</v>
      </c>
      <c r="C81" s="10">
        <v>13</v>
      </c>
      <c r="D81" s="10">
        <v>3</v>
      </c>
      <c r="E81" s="10">
        <v>760</v>
      </c>
      <c r="F81" s="10">
        <v>49001746.695091344</v>
      </c>
      <c r="G81" s="10">
        <v>1927</v>
      </c>
      <c r="H81" s="10">
        <v>10</v>
      </c>
      <c r="I81" s="10">
        <v>6</v>
      </c>
      <c r="J81" s="10">
        <v>832</v>
      </c>
      <c r="K81" s="10">
        <v>3133802.314065889</v>
      </c>
    </row>
    <row r="82" spans="1:11" x14ac:dyDescent="0.35">
      <c r="A82" s="9" t="s">
        <v>32</v>
      </c>
      <c r="B82" s="10">
        <v>1627</v>
      </c>
      <c r="C82" s="10">
        <v>2</v>
      </c>
      <c r="D82" s="10">
        <v>14</v>
      </c>
      <c r="E82" s="10">
        <v>817</v>
      </c>
      <c r="F82" s="10">
        <v>49509879.975240745</v>
      </c>
      <c r="G82" s="10">
        <v>1702</v>
      </c>
      <c r="H82" s="10">
        <v>5</v>
      </c>
      <c r="I82" s="10">
        <v>14</v>
      </c>
      <c r="J82" s="10">
        <v>775</v>
      </c>
      <c r="K82" s="10">
        <v>9276260.7234989833</v>
      </c>
    </row>
    <row r="83" spans="1:11" x14ac:dyDescent="0.35">
      <c r="A83" s="9" t="s">
        <v>55</v>
      </c>
      <c r="B83" s="10">
        <v>1929</v>
      </c>
      <c r="C83" s="10">
        <v>8</v>
      </c>
      <c r="D83" s="10">
        <v>2</v>
      </c>
      <c r="E83" s="10">
        <v>993</v>
      </c>
      <c r="F83" s="10">
        <v>38724035.025036052</v>
      </c>
      <c r="G83" s="10">
        <v>1871</v>
      </c>
      <c r="H83" s="10">
        <v>0</v>
      </c>
      <c r="I83" s="10">
        <v>3</v>
      </c>
      <c r="J83" s="10">
        <v>725</v>
      </c>
      <c r="K83" s="10">
        <v>5279865.898073324</v>
      </c>
    </row>
    <row r="84" spans="1:11" x14ac:dyDescent="0.35">
      <c r="A84" s="9" t="s">
        <v>50</v>
      </c>
      <c r="B84" s="10">
        <v>1985</v>
      </c>
      <c r="C84" s="10">
        <v>8</v>
      </c>
      <c r="D84" s="10">
        <v>4</v>
      </c>
      <c r="E84" s="10">
        <v>893</v>
      </c>
      <c r="F84" s="10">
        <v>41513903.237861581</v>
      </c>
      <c r="G84" s="10">
        <v>1902</v>
      </c>
      <c r="H84" s="10">
        <v>9</v>
      </c>
      <c r="I84" s="10">
        <v>4</v>
      </c>
      <c r="J84" s="10">
        <v>909</v>
      </c>
      <c r="K84" s="10">
        <v>1375302.632802173</v>
      </c>
    </row>
    <row r="85" spans="1:11" x14ac:dyDescent="0.35">
      <c r="A85" s="9" t="s">
        <v>66</v>
      </c>
      <c r="B85" s="10">
        <v>1600</v>
      </c>
      <c r="C85" s="10">
        <v>5</v>
      </c>
      <c r="D85" s="10">
        <v>8</v>
      </c>
      <c r="E85" s="10">
        <v>809</v>
      </c>
      <c r="F85" s="10">
        <v>51640774.261005893</v>
      </c>
      <c r="G85" s="10">
        <v>1653</v>
      </c>
      <c r="H85" s="10">
        <v>4</v>
      </c>
      <c r="I85" s="10">
        <v>8</v>
      </c>
      <c r="J85" s="10">
        <v>755</v>
      </c>
      <c r="K85" s="10">
        <v>2407480.6795849889</v>
      </c>
    </row>
    <row r="86" spans="1:11" x14ac:dyDescent="0.35">
      <c r="A86" s="9" t="s">
        <v>105</v>
      </c>
      <c r="B86" s="10">
        <v>1383</v>
      </c>
      <c r="C86" s="10">
        <v>11</v>
      </c>
      <c r="D86" s="10">
        <v>3</v>
      </c>
      <c r="E86" s="10">
        <v>791</v>
      </c>
      <c r="F86" s="10">
        <v>29879105.887746044</v>
      </c>
      <c r="G86" s="10">
        <v>1376</v>
      </c>
      <c r="H86" s="10">
        <v>5</v>
      </c>
      <c r="I86" s="10">
        <v>4</v>
      </c>
      <c r="J86" s="10">
        <v>879</v>
      </c>
      <c r="K86" s="10">
        <v>10649218.012605581</v>
      </c>
    </row>
    <row r="87" spans="1:11" x14ac:dyDescent="0.35">
      <c r="A87" s="9" t="s">
        <v>120</v>
      </c>
      <c r="B87" s="10">
        <v>3714</v>
      </c>
      <c r="C87" s="10">
        <v>4</v>
      </c>
      <c r="D87" s="10">
        <v>10</v>
      </c>
      <c r="E87" s="10">
        <v>1098</v>
      </c>
      <c r="F87" s="10">
        <v>99565586.510919929</v>
      </c>
      <c r="G87" s="10">
        <v>3711</v>
      </c>
      <c r="H87" s="10">
        <v>6</v>
      </c>
      <c r="I87" s="10">
        <v>11</v>
      </c>
      <c r="J87" s="10">
        <v>1487</v>
      </c>
      <c r="K87" s="10">
        <v>6158522.925382345</v>
      </c>
    </row>
    <row r="88" spans="1:11" x14ac:dyDescent="0.35">
      <c r="A88" s="9" t="s">
        <v>68</v>
      </c>
      <c r="B88" s="10">
        <v>1441</v>
      </c>
      <c r="C88" s="10">
        <v>5</v>
      </c>
      <c r="D88" s="10">
        <v>5</v>
      </c>
      <c r="E88" s="10">
        <v>1100</v>
      </c>
      <c r="F88" s="10">
        <v>30172005.421001475</v>
      </c>
      <c r="G88" s="10">
        <v>1439</v>
      </c>
      <c r="H88" s="10">
        <v>12</v>
      </c>
      <c r="I88" s="10">
        <v>5</v>
      </c>
      <c r="J88" s="10">
        <v>1082</v>
      </c>
      <c r="K88" s="10">
        <v>1426696.4926113109</v>
      </c>
    </row>
    <row r="89" spans="1:11" x14ac:dyDescent="0.35">
      <c r="A89" s="9" t="s">
        <v>74</v>
      </c>
      <c r="B89" s="10">
        <v>1654</v>
      </c>
      <c r="C89" s="10">
        <v>18</v>
      </c>
      <c r="D89" s="10">
        <v>10</v>
      </c>
      <c r="E89" s="10">
        <v>875</v>
      </c>
      <c r="F89" s="10">
        <v>61588975.431075007</v>
      </c>
      <c r="G89" s="10">
        <v>1681</v>
      </c>
      <c r="H89" s="10">
        <v>13</v>
      </c>
      <c r="I89" s="10">
        <v>10</v>
      </c>
      <c r="J89" s="10">
        <v>799</v>
      </c>
      <c r="K89" s="10">
        <v>15527829.835963439</v>
      </c>
    </row>
    <row r="90" spans="1:11" x14ac:dyDescent="0.35">
      <c r="A90" s="9" t="s">
        <v>56</v>
      </c>
      <c r="B90" s="10">
        <v>717</v>
      </c>
      <c r="C90" s="10">
        <v>2</v>
      </c>
      <c r="D90" s="10">
        <v>1</v>
      </c>
      <c r="E90" s="10">
        <v>280</v>
      </c>
      <c r="F90" s="10">
        <v>6952537.6546288123</v>
      </c>
      <c r="G90" s="10">
        <v>572</v>
      </c>
      <c r="H90" s="10">
        <v>1</v>
      </c>
      <c r="I90" s="10">
        <v>1</v>
      </c>
      <c r="J90" s="10">
        <v>271</v>
      </c>
      <c r="K90" s="10">
        <v>1140513.332101749</v>
      </c>
    </row>
    <row r="91" spans="1:11" x14ac:dyDescent="0.35">
      <c r="A91" s="9" t="s">
        <v>158</v>
      </c>
      <c r="B91" s="10">
        <v>2960</v>
      </c>
      <c r="C91" s="10">
        <v>9</v>
      </c>
      <c r="D91" s="10">
        <v>5</v>
      </c>
      <c r="E91" s="10">
        <v>1642</v>
      </c>
      <c r="F91" s="10">
        <v>101816188.05641079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1012</v>
      </c>
      <c r="C92" s="10">
        <v>10</v>
      </c>
      <c r="D92" s="10">
        <v>1</v>
      </c>
      <c r="E92" s="10">
        <v>585</v>
      </c>
      <c r="F92" s="10">
        <v>39003419.358875483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1681</v>
      </c>
      <c r="C93" s="10">
        <v>9</v>
      </c>
      <c r="D93" s="10">
        <v>2</v>
      </c>
      <c r="E93" s="10">
        <v>856</v>
      </c>
      <c r="F93" s="10">
        <v>48898462.594380364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850</v>
      </c>
      <c r="C94" s="10">
        <v>2</v>
      </c>
      <c r="D94" s="10">
        <v>0</v>
      </c>
      <c r="E94" s="10">
        <v>544</v>
      </c>
      <c r="F94" s="10">
        <v>21550890.156856164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655</v>
      </c>
      <c r="C95" s="10">
        <v>6</v>
      </c>
      <c r="D95" s="10">
        <v>2</v>
      </c>
      <c r="E95" s="10">
        <v>448</v>
      </c>
      <c r="F95" s="10">
        <v>22643661.314028665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1615</v>
      </c>
      <c r="C96" s="10">
        <v>6</v>
      </c>
      <c r="D96" s="10">
        <v>4</v>
      </c>
      <c r="E96" s="10">
        <v>881</v>
      </c>
      <c r="F96" s="10">
        <v>26044188.496515814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1956</v>
      </c>
      <c r="C97" s="10">
        <v>27</v>
      </c>
      <c r="D97" s="10">
        <v>6</v>
      </c>
      <c r="E97" s="10">
        <v>949</v>
      </c>
      <c r="F97" s="10">
        <v>42725996.561650932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824</v>
      </c>
      <c r="C98" s="10">
        <v>7</v>
      </c>
      <c r="D98" s="10">
        <v>2</v>
      </c>
      <c r="E98" s="10">
        <v>397</v>
      </c>
      <c r="F98" s="10">
        <v>19258933.013129022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983</v>
      </c>
      <c r="C99" s="10">
        <v>6</v>
      </c>
      <c r="D99" s="10">
        <v>2</v>
      </c>
      <c r="E99" s="10">
        <v>538</v>
      </c>
      <c r="F99" s="10">
        <v>20027301.540280461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745</v>
      </c>
      <c r="C100" s="10">
        <v>10</v>
      </c>
      <c r="D100" s="10">
        <v>2</v>
      </c>
      <c r="E100" s="10">
        <v>468</v>
      </c>
      <c r="F100" s="10">
        <v>16705523.485049171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1395</v>
      </c>
      <c r="C101" s="10">
        <v>8</v>
      </c>
      <c r="D101" s="10">
        <v>2</v>
      </c>
      <c r="E101" s="10">
        <v>840</v>
      </c>
      <c r="F101" s="10">
        <v>26743881.289807737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1253</v>
      </c>
      <c r="C102" s="10">
        <v>17</v>
      </c>
      <c r="D102" s="10">
        <v>5</v>
      </c>
      <c r="E102" s="10">
        <v>686</v>
      </c>
      <c r="F102" s="10">
        <v>29264231.070824973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2268</v>
      </c>
      <c r="C103" s="10">
        <v>15</v>
      </c>
      <c r="D103" s="10">
        <v>2</v>
      </c>
      <c r="E103" s="10">
        <v>1575</v>
      </c>
      <c r="F103" s="10">
        <v>41280309.741413392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2284</v>
      </c>
      <c r="C104" s="10">
        <v>18</v>
      </c>
      <c r="D104" s="10">
        <v>2</v>
      </c>
      <c r="E104" s="10">
        <v>1465</v>
      </c>
      <c r="F104" s="10">
        <v>46912249.779825345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1766</v>
      </c>
      <c r="C105" s="10">
        <v>9</v>
      </c>
      <c r="D105" s="10">
        <v>2</v>
      </c>
      <c r="E105" s="10">
        <v>958</v>
      </c>
      <c r="F105" s="10">
        <v>35489095.65934062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3167</v>
      </c>
      <c r="C106" s="10">
        <v>53</v>
      </c>
      <c r="D106" s="10">
        <v>5</v>
      </c>
      <c r="E106" s="10">
        <v>2242</v>
      </c>
      <c r="F106" s="10">
        <v>77255422.430991977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3477</v>
      </c>
      <c r="C107" s="10">
        <v>28</v>
      </c>
      <c r="D107" s="10">
        <v>3</v>
      </c>
      <c r="E107" s="10">
        <v>1741</v>
      </c>
      <c r="F107" s="10">
        <v>71136402.618096203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2157</v>
      </c>
      <c r="C108" s="10">
        <v>40</v>
      </c>
      <c r="D108" s="10">
        <v>1</v>
      </c>
      <c r="E108" s="10">
        <v>1467</v>
      </c>
      <c r="F108" s="10">
        <v>62332882.248707071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1196</v>
      </c>
      <c r="C109" s="10">
        <v>12</v>
      </c>
      <c r="D109" s="10">
        <v>4</v>
      </c>
      <c r="E109" s="10">
        <v>937</v>
      </c>
      <c r="F109" s="10">
        <v>24358977.435340166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1947</v>
      </c>
      <c r="C110" s="10">
        <v>39</v>
      </c>
      <c r="D110" s="10">
        <v>3</v>
      </c>
      <c r="E110" s="10">
        <v>1166</v>
      </c>
      <c r="F110" s="10">
        <v>39580959.88960544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3072</v>
      </c>
      <c r="C111" s="10">
        <v>31</v>
      </c>
      <c r="D111" s="10">
        <v>6</v>
      </c>
      <c r="E111" s="10">
        <v>1934</v>
      </c>
      <c r="F111" s="10">
        <v>59130328.397284269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1329</v>
      </c>
      <c r="C112" s="10">
        <v>11</v>
      </c>
      <c r="D112" s="10">
        <v>2</v>
      </c>
      <c r="E112" s="10">
        <v>815</v>
      </c>
      <c r="F112" s="10">
        <v>24318110.545727447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785</v>
      </c>
      <c r="C113" s="10">
        <v>1</v>
      </c>
      <c r="D113" s="10">
        <v>2</v>
      </c>
      <c r="E113" s="10">
        <v>580</v>
      </c>
      <c r="F113" s="10">
        <v>12677655.605728401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1998</v>
      </c>
      <c r="C114" s="10">
        <v>13</v>
      </c>
      <c r="D114" s="10">
        <v>5</v>
      </c>
      <c r="E114" s="10">
        <v>1044</v>
      </c>
      <c r="F114" s="10">
        <v>33599645.293140389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824</v>
      </c>
      <c r="C115" s="10">
        <v>3</v>
      </c>
      <c r="D115" s="10">
        <v>3</v>
      </c>
      <c r="E115" s="10">
        <v>527</v>
      </c>
      <c r="F115" s="10">
        <v>22001742.716649186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1447</v>
      </c>
      <c r="C116" s="10">
        <v>7</v>
      </c>
      <c r="D116" s="10">
        <v>3</v>
      </c>
      <c r="E116" s="10">
        <v>802</v>
      </c>
      <c r="F116" s="10">
        <v>17544178.357986957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2664</v>
      </c>
      <c r="C117" s="10">
        <v>23</v>
      </c>
      <c r="D117" s="10">
        <v>7</v>
      </c>
      <c r="E117" s="10">
        <v>1566</v>
      </c>
      <c r="F117" s="10">
        <v>53950304.198642015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1913</v>
      </c>
      <c r="C118" s="10">
        <v>22</v>
      </c>
      <c r="D118" s="10">
        <v>4</v>
      </c>
      <c r="E118" s="10">
        <v>1281</v>
      </c>
      <c r="F118" s="10">
        <v>39172543.827829443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1325</v>
      </c>
      <c r="C119" s="10">
        <v>12</v>
      </c>
      <c r="D119" s="10">
        <v>3</v>
      </c>
      <c r="E119" s="10">
        <v>897</v>
      </c>
      <c r="F119" s="10">
        <v>34605134.812380895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3585</v>
      </c>
      <c r="C120" s="10">
        <v>35</v>
      </c>
      <c r="D120" s="10">
        <v>7</v>
      </c>
      <c r="E120" s="10">
        <v>2154</v>
      </c>
      <c r="F120" s="10">
        <v>85108148.209899813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4459</v>
      </c>
      <c r="C121" s="10">
        <v>77</v>
      </c>
      <c r="D121" s="10">
        <v>5</v>
      </c>
      <c r="E121" s="10">
        <v>2335</v>
      </c>
      <c r="F121" s="10">
        <v>91863517.62673898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2650</v>
      </c>
      <c r="C122" s="10">
        <v>232</v>
      </c>
      <c r="D122" s="10">
        <v>2</v>
      </c>
      <c r="E122" s="10">
        <v>1750</v>
      </c>
      <c r="F122" s="10">
        <v>60966933.874649346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2735</v>
      </c>
      <c r="C123" s="10">
        <v>229</v>
      </c>
      <c r="D123" s="10">
        <v>8</v>
      </c>
      <c r="E123" s="10">
        <v>1548</v>
      </c>
      <c r="F123" s="10">
        <v>54491377.037554793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2211</v>
      </c>
      <c r="C124" s="10">
        <v>59</v>
      </c>
      <c r="D124" s="10">
        <v>1</v>
      </c>
      <c r="E124" s="10">
        <v>1391</v>
      </c>
      <c r="F124" s="10">
        <v>58522295.668258399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1597</v>
      </c>
      <c r="C125" s="10">
        <v>11</v>
      </c>
      <c r="D125" s="10">
        <v>4</v>
      </c>
      <c r="E125" s="10">
        <v>1295</v>
      </c>
      <c r="F125" s="10">
        <v>51267583.755322449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1623</v>
      </c>
      <c r="C126" s="10">
        <v>21</v>
      </c>
      <c r="D126" s="10">
        <v>2</v>
      </c>
      <c r="E126" s="10">
        <v>1053</v>
      </c>
      <c r="F126" s="10">
        <v>40114651.389919594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1739</v>
      </c>
      <c r="C127" s="10">
        <v>10</v>
      </c>
      <c r="D127" s="10">
        <v>4</v>
      </c>
      <c r="E127" s="10">
        <v>1427</v>
      </c>
      <c r="F127" s="10">
        <v>37459105.371770963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3780</v>
      </c>
      <c r="C128" s="10">
        <v>27</v>
      </c>
      <c r="D128" s="10">
        <v>1</v>
      </c>
      <c r="E128" s="10">
        <v>1881</v>
      </c>
      <c r="F128" s="10">
        <v>56544755.497298904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335</v>
      </c>
      <c r="C129" s="10">
        <v>1</v>
      </c>
      <c r="D129" s="10">
        <v>1</v>
      </c>
      <c r="E129" s="10">
        <v>38</v>
      </c>
      <c r="F129" s="10">
        <v>6519214.8399762502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1204</v>
      </c>
      <c r="C130" s="10">
        <v>8</v>
      </c>
      <c r="D130" s="10">
        <v>3</v>
      </c>
      <c r="E130" s="10">
        <v>605</v>
      </c>
      <c r="F130" s="10">
        <v>37000822.553711198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1463</v>
      </c>
      <c r="C131" s="10">
        <v>14</v>
      </c>
      <c r="D131" s="10">
        <v>4</v>
      </c>
      <c r="E131" s="10">
        <v>1053</v>
      </c>
      <c r="F131" s="10">
        <v>41884240.50195688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2116</v>
      </c>
      <c r="C132" s="10">
        <v>30</v>
      </c>
      <c r="D132" s="10">
        <v>8</v>
      </c>
      <c r="E132" s="10">
        <v>1188</v>
      </c>
      <c r="F132" s="10">
        <v>72686912.885910287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1288</v>
      </c>
      <c r="C133" s="10">
        <v>10</v>
      </c>
      <c r="D133" s="10">
        <v>4</v>
      </c>
      <c r="E133" s="10">
        <v>921</v>
      </c>
      <c r="F133" s="10">
        <v>35374463.119476177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995</v>
      </c>
      <c r="C134" s="10">
        <v>8</v>
      </c>
      <c r="D134" s="10">
        <v>1</v>
      </c>
      <c r="E134" s="10">
        <v>512</v>
      </c>
      <c r="F134" s="10">
        <v>28100576.465323523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833</v>
      </c>
      <c r="C135" s="10">
        <v>4</v>
      </c>
      <c r="D135" s="10">
        <v>2</v>
      </c>
      <c r="E135" s="10">
        <v>393</v>
      </c>
      <c r="F135" s="10">
        <v>22160476.560782805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1511</v>
      </c>
      <c r="C136" s="10">
        <v>23</v>
      </c>
      <c r="D136" s="10">
        <v>1</v>
      </c>
      <c r="E136" s="10">
        <v>937</v>
      </c>
      <c r="F136" s="10">
        <v>50609954.946605138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2040</v>
      </c>
      <c r="C137" s="10">
        <v>12</v>
      </c>
      <c r="D137" s="10">
        <v>2</v>
      </c>
      <c r="E137" s="10">
        <v>1342</v>
      </c>
      <c r="F137" s="10">
        <v>61068056.57249935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1953</v>
      </c>
      <c r="C138" s="10">
        <v>68</v>
      </c>
      <c r="D138" s="10">
        <v>4</v>
      </c>
      <c r="E138" s="10">
        <v>1382</v>
      </c>
      <c r="F138" s="10">
        <v>71372594.50798583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651</v>
      </c>
      <c r="C139" s="10">
        <v>2</v>
      </c>
      <c r="D139" s="10">
        <v>2</v>
      </c>
      <c r="E139" s="10">
        <v>290</v>
      </c>
      <c r="F139" s="10">
        <v>16336576.660293195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3308</v>
      </c>
      <c r="C140" s="10">
        <v>58</v>
      </c>
      <c r="D140" s="10">
        <v>5</v>
      </c>
      <c r="E140" s="10">
        <v>1839</v>
      </c>
      <c r="F140" s="10">
        <v>101002959.45913327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1133</v>
      </c>
      <c r="C141" s="10">
        <v>12</v>
      </c>
      <c r="D141" s="10">
        <v>4</v>
      </c>
      <c r="E141" s="10">
        <v>693</v>
      </c>
      <c r="F141" s="10">
        <v>44717086.564759195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2178</v>
      </c>
      <c r="C142" s="10">
        <v>24</v>
      </c>
      <c r="D142" s="10">
        <v>1</v>
      </c>
      <c r="E142" s="10">
        <v>1584</v>
      </c>
      <c r="F142" s="10">
        <v>62205632.410224959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4356</v>
      </c>
      <c r="C143" s="10">
        <v>53</v>
      </c>
      <c r="D143" s="10">
        <v>7</v>
      </c>
      <c r="E143" s="10">
        <v>2130</v>
      </c>
      <c r="F143" s="10">
        <v>151392167.78812855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3952</v>
      </c>
      <c r="C144" s="10">
        <v>24</v>
      </c>
      <c r="D144" s="10">
        <v>7</v>
      </c>
      <c r="E144" s="10">
        <v>1965</v>
      </c>
      <c r="F144" s="10">
        <v>84320795.420738935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4237</v>
      </c>
      <c r="C145" s="10">
        <v>45</v>
      </c>
      <c r="D145" s="10">
        <v>3</v>
      </c>
      <c r="E145" s="10">
        <v>2477</v>
      </c>
      <c r="F145" s="10">
        <v>86833791.849435821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1773</v>
      </c>
      <c r="C146" s="10">
        <v>14</v>
      </c>
      <c r="D146" s="10">
        <v>7</v>
      </c>
      <c r="E146" s="10">
        <v>1015</v>
      </c>
      <c r="F146" s="10">
        <v>31213531.860533182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1134</v>
      </c>
      <c r="C147" s="10">
        <v>4</v>
      </c>
      <c r="D147" s="10">
        <v>4</v>
      </c>
      <c r="E147" s="10">
        <v>553</v>
      </c>
      <c r="F147" s="10">
        <v>41575501.568717487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4565</v>
      </c>
      <c r="C148" s="10">
        <v>170</v>
      </c>
      <c r="D148" s="10">
        <v>11</v>
      </c>
      <c r="E148" s="10">
        <v>3431</v>
      </c>
      <c r="F148" s="10">
        <v>114293723.16636497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1106</v>
      </c>
      <c r="C149" s="10">
        <v>10</v>
      </c>
      <c r="D149" s="10">
        <v>5</v>
      </c>
      <c r="E149" s="10">
        <v>774</v>
      </c>
      <c r="F149" s="10">
        <v>26232860.907473747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1797</v>
      </c>
      <c r="C150" s="10">
        <v>18</v>
      </c>
      <c r="D150" s="10">
        <v>6</v>
      </c>
      <c r="E150" s="10">
        <v>916</v>
      </c>
      <c r="F150" s="10">
        <v>47008323.970647633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2124</v>
      </c>
      <c r="C151" s="10">
        <v>20</v>
      </c>
      <c r="D151" s="10">
        <v>3</v>
      </c>
      <c r="E151" s="10">
        <v>1359</v>
      </c>
      <c r="F151" s="10">
        <v>61267111.307072535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3373</v>
      </c>
      <c r="C152" s="10">
        <v>23</v>
      </c>
      <c r="D152" s="10">
        <v>3</v>
      </c>
      <c r="E152" s="10">
        <v>1686</v>
      </c>
      <c r="F152" s="10">
        <v>83715367.160787567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3172</v>
      </c>
      <c r="C153" s="10">
        <v>36</v>
      </c>
      <c r="D153" s="10">
        <v>20</v>
      </c>
      <c r="E153" s="10">
        <v>1545</v>
      </c>
      <c r="F153" s="10">
        <v>108802989.0269479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1993</v>
      </c>
      <c r="C154" s="10">
        <v>23</v>
      </c>
      <c r="D154" s="10">
        <v>2</v>
      </c>
      <c r="E154" s="10">
        <v>1271</v>
      </c>
      <c r="F154" s="10">
        <v>46949743.544972368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3578</v>
      </c>
      <c r="C155" s="10">
        <v>20</v>
      </c>
      <c r="D155" s="10">
        <v>4</v>
      </c>
      <c r="E155" s="10">
        <v>1938</v>
      </c>
      <c r="F155" s="10">
        <v>62827329.840847522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2104</v>
      </c>
      <c r="C156" s="10">
        <v>17</v>
      </c>
      <c r="D156" s="10">
        <v>7</v>
      </c>
      <c r="E156" s="10">
        <v>1134</v>
      </c>
      <c r="F156" s="10">
        <v>51111627.632033959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2554</v>
      </c>
      <c r="C157" s="10">
        <v>19</v>
      </c>
      <c r="D157" s="10">
        <v>3</v>
      </c>
      <c r="E157" s="10">
        <v>1741</v>
      </c>
      <c r="F157" s="10">
        <v>35510254.363070697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1933</v>
      </c>
      <c r="C158" s="10">
        <v>16</v>
      </c>
      <c r="D158" s="10">
        <v>5</v>
      </c>
      <c r="E158" s="10">
        <v>1073</v>
      </c>
      <c r="F158" s="10">
        <v>27200446.890748296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1736</v>
      </c>
      <c r="C159" s="10">
        <v>15</v>
      </c>
      <c r="D159" s="10">
        <v>2</v>
      </c>
      <c r="E159" s="10">
        <v>1063</v>
      </c>
      <c r="F159" s="10">
        <v>38053221.179336086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2277</v>
      </c>
      <c r="C160" s="10">
        <v>17</v>
      </c>
      <c r="D160" s="10">
        <v>2</v>
      </c>
      <c r="E160" s="10">
        <v>1300</v>
      </c>
      <c r="F160" s="10">
        <v>29156323.130657617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1334</v>
      </c>
      <c r="C161" s="10">
        <v>17</v>
      </c>
      <c r="D161" s="10">
        <v>2</v>
      </c>
      <c r="E161" s="10">
        <v>732</v>
      </c>
      <c r="F161" s="10">
        <v>43923963.325148255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1266</v>
      </c>
      <c r="C162" s="10">
        <v>15</v>
      </c>
      <c r="D162" s="10">
        <v>6</v>
      </c>
      <c r="E162" s="10">
        <v>688</v>
      </c>
      <c r="F162" s="10">
        <v>56764463.537126735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1645</v>
      </c>
      <c r="C163" s="10">
        <v>10</v>
      </c>
      <c r="D163" s="10">
        <v>2</v>
      </c>
      <c r="E163" s="10">
        <v>833</v>
      </c>
      <c r="F163" s="10">
        <v>30263790.416717052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2537</v>
      </c>
      <c r="C164" s="10">
        <v>23</v>
      </c>
      <c r="D164" s="10">
        <v>2</v>
      </c>
      <c r="E164" s="10">
        <v>1616</v>
      </c>
      <c r="F164" s="10">
        <v>60636612.865209378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1947</v>
      </c>
      <c r="C165" s="10">
        <v>23</v>
      </c>
      <c r="D165" s="10">
        <v>3</v>
      </c>
      <c r="E165" s="10">
        <v>884</v>
      </c>
      <c r="F165" s="10">
        <v>19773293.758163851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1491</v>
      </c>
      <c r="C166" s="10">
        <v>7</v>
      </c>
      <c r="D166" s="10">
        <v>19</v>
      </c>
      <c r="E166" s="10">
        <v>733</v>
      </c>
      <c r="F166" s="10">
        <v>47154927.308755144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2362</v>
      </c>
      <c r="C167" s="10">
        <v>19</v>
      </c>
      <c r="D167" s="10">
        <v>4</v>
      </c>
      <c r="E167" s="10">
        <v>1234</v>
      </c>
      <c r="F167" s="10">
        <v>32476428.689839747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2310</v>
      </c>
      <c r="C168" s="10">
        <v>26</v>
      </c>
      <c r="D168" s="10">
        <v>3</v>
      </c>
      <c r="E168" s="10">
        <v>1211</v>
      </c>
      <c r="F168" s="10">
        <v>66167998.09345635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2888</v>
      </c>
      <c r="C169" s="10">
        <v>34</v>
      </c>
      <c r="D169" s="10">
        <v>10</v>
      </c>
      <c r="E169" s="10">
        <v>1141</v>
      </c>
      <c r="F169" s="10">
        <v>82113541.589931071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2018</v>
      </c>
      <c r="C170" s="10">
        <v>14</v>
      </c>
      <c r="D170" s="10">
        <v>16</v>
      </c>
      <c r="E170" s="10">
        <v>902</v>
      </c>
      <c r="F170" s="10">
        <v>52533243.322881646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3263</v>
      </c>
      <c r="C171" s="10">
        <v>43</v>
      </c>
      <c r="D171" s="10">
        <v>9</v>
      </c>
      <c r="E171" s="10">
        <v>1718</v>
      </c>
      <c r="F171" s="10">
        <v>78212071.915283412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1263</v>
      </c>
      <c r="C172" s="10">
        <v>10</v>
      </c>
      <c r="D172" s="10">
        <v>2</v>
      </c>
      <c r="E172" s="10">
        <v>614</v>
      </c>
      <c r="F172" s="10">
        <v>28171199.52899424</v>
      </c>
      <c r="G172" s="10">
        <v>1319</v>
      </c>
      <c r="H172" s="10">
        <v>11</v>
      </c>
      <c r="I172" s="10">
        <v>2</v>
      </c>
      <c r="J172" s="10">
        <v>607</v>
      </c>
      <c r="K172" s="10">
        <v>22182689.498852052</v>
      </c>
    </row>
    <row r="173" spans="1:11" x14ac:dyDescent="0.35">
      <c r="A173" s="9" t="s">
        <v>240</v>
      </c>
      <c r="B173" s="10">
        <v>517</v>
      </c>
      <c r="C173" s="10">
        <v>0</v>
      </c>
      <c r="D173" s="10">
        <v>0</v>
      </c>
      <c r="E173" s="10">
        <v>19</v>
      </c>
      <c r="F173" s="10">
        <v>44034.956886093001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1499</v>
      </c>
      <c r="C174" s="10">
        <v>17</v>
      </c>
      <c r="D174" s="10">
        <v>2</v>
      </c>
      <c r="E174" s="10">
        <v>905</v>
      </c>
      <c r="F174" s="10">
        <v>56589466.029724605</v>
      </c>
      <c r="G174" s="10">
        <v>1528</v>
      </c>
      <c r="H174" s="10">
        <v>14</v>
      </c>
      <c r="I174" s="10">
        <v>3</v>
      </c>
      <c r="J174" s="10">
        <v>908</v>
      </c>
      <c r="K174" s="10">
        <v>45030892.178728737</v>
      </c>
    </row>
    <row r="175" spans="1:11" x14ac:dyDescent="0.35">
      <c r="A175" s="9" t="s">
        <v>242</v>
      </c>
      <c r="B175" s="10">
        <v>1580</v>
      </c>
      <c r="C175" s="10">
        <v>21</v>
      </c>
      <c r="D175" s="10">
        <v>6</v>
      </c>
      <c r="E175" s="10">
        <v>1021</v>
      </c>
      <c r="F175" s="10">
        <v>53240813.392515354</v>
      </c>
      <c r="G175" s="10">
        <v>1549</v>
      </c>
      <c r="H175" s="10">
        <v>12</v>
      </c>
      <c r="I175" s="10">
        <v>7</v>
      </c>
      <c r="J175" s="10">
        <v>991</v>
      </c>
      <c r="K175" s="10">
        <v>32780420.963353049</v>
      </c>
    </row>
    <row r="176" spans="1:11" x14ac:dyDescent="0.35">
      <c r="A176" s="9" t="s">
        <v>243</v>
      </c>
      <c r="B176" s="10">
        <v>1534</v>
      </c>
      <c r="C176" s="10">
        <v>39</v>
      </c>
      <c r="D176" s="10">
        <v>7</v>
      </c>
      <c r="E176" s="10">
        <v>892</v>
      </c>
      <c r="F176" s="10">
        <v>33283207.8980975</v>
      </c>
      <c r="G176" s="10">
        <v>1656</v>
      </c>
      <c r="H176" s="10">
        <v>53</v>
      </c>
      <c r="I176" s="10">
        <v>5</v>
      </c>
      <c r="J176" s="10">
        <v>1096</v>
      </c>
      <c r="K176" s="10">
        <v>19786705.055576377</v>
      </c>
    </row>
    <row r="177" spans="1:11" x14ac:dyDescent="0.35">
      <c r="A177" s="9" t="s">
        <v>244</v>
      </c>
      <c r="B177" s="10">
        <v>2576</v>
      </c>
      <c r="C177" s="10">
        <v>173</v>
      </c>
      <c r="D177" s="10">
        <v>4</v>
      </c>
      <c r="E177" s="10">
        <v>1413</v>
      </c>
      <c r="F177" s="10">
        <v>52439532.666627452</v>
      </c>
      <c r="G177" s="10">
        <v>2352</v>
      </c>
      <c r="H177" s="10">
        <v>53</v>
      </c>
      <c r="I177" s="10">
        <v>4</v>
      </c>
      <c r="J177" s="10">
        <v>1310</v>
      </c>
      <c r="K177" s="10">
        <v>24573699.281734958</v>
      </c>
    </row>
    <row r="178" spans="1:11" x14ac:dyDescent="0.35">
      <c r="A178" s="9" t="s">
        <v>245</v>
      </c>
      <c r="B178" s="10">
        <v>2465</v>
      </c>
      <c r="C178" s="10">
        <v>88</v>
      </c>
      <c r="D178" s="10">
        <v>4</v>
      </c>
      <c r="E178" s="10">
        <v>1615</v>
      </c>
      <c r="F178" s="10">
        <v>63693736.590898387</v>
      </c>
      <c r="G178" s="10">
        <v>2720</v>
      </c>
      <c r="H178" s="10">
        <v>47</v>
      </c>
      <c r="I178" s="10">
        <v>6</v>
      </c>
      <c r="J178" s="10">
        <v>1713</v>
      </c>
      <c r="K178" s="10">
        <v>55571358.942474365</v>
      </c>
    </row>
    <row r="179" spans="1:11" x14ac:dyDescent="0.35">
      <c r="A179" s="9" t="s">
        <v>246</v>
      </c>
      <c r="B179" s="10">
        <v>2225</v>
      </c>
      <c r="C179" s="10">
        <v>36</v>
      </c>
      <c r="D179" s="10">
        <v>5</v>
      </c>
      <c r="E179" s="10">
        <v>1518</v>
      </c>
      <c r="F179" s="10">
        <v>66752111.027607083</v>
      </c>
      <c r="G179" s="10">
        <v>1979</v>
      </c>
      <c r="H179" s="10">
        <v>20</v>
      </c>
      <c r="I179" s="10">
        <v>5</v>
      </c>
      <c r="J179" s="10">
        <v>1385</v>
      </c>
      <c r="K179" s="10">
        <v>43217204.380694583</v>
      </c>
    </row>
    <row r="180" spans="1:11" x14ac:dyDescent="0.35">
      <c r="A180" s="9" t="s">
        <v>247</v>
      </c>
      <c r="B180" s="10">
        <v>793</v>
      </c>
      <c r="C180" s="10">
        <v>12</v>
      </c>
      <c r="D180" s="10">
        <v>5</v>
      </c>
      <c r="E180" s="10">
        <v>574</v>
      </c>
      <c r="F180" s="10">
        <v>41868977.252491191</v>
      </c>
      <c r="G180" s="10">
        <v>847</v>
      </c>
      <c r="H180" s="10">
        <v>9</v>
      </c>
      <c r="I180" s="10">
        <v>4</v>
      </c>
      <c r="J180" s="10">
        <v>609</v>
      </c>
      <c r="K180" s="10">
        <v>32747510.057737093</v>
      </c>
    </row>
    <row r="181" spans="1:11" x14ac:dyDescent="0.35">
      <c r="A181" s="9" t="s">
        <v>248</v>
      </c>
      <c r="B181" s="10">
        <v>2184</v>
      </c>
      <c r="C181" s="10">
        <v>37</v>
      </c>
      <c r="D181" s="10">
        <v>6</v>
      </c>
      <c r="E181" s="10">
        <v>1641</v>
      </c>
      <c r="F181" s="10">
        <v>45666990.385349408</v>
      </c>
      <c r="G181" s="10">
        <v>2564</v>
      </c>
      <c r="H181" s="10">
        <v>98</v>
      </c>
      <c r="I181" s="10">
        <v>6</v>
      </c>
      <c r="J181" s="10">
        <v>1692</v>
      </c>
      <c r="K181" s="10">
        <v>28104218.996656351</v>
      </c>
    </row>
    <row r="182" spans="1:11" x14ac:dyDescent="0.35">
      <c r="A182" s="9" t="s">
        <v>249</v>
      </c>
      <c r="B182" s="10">
        <v>1568</v>
      </c>
      <c r="C182" s="10">
        <v>17</v>
      </c>
      <c r="D182" s="10">
        <v>2</v>
      </c>
      <c r="E182" s="10">
        <v>1039</v>
      </c>
      <c r="F182" s="10">
        <v>40160034.637874506</v>
      </c>
      <c r="G182" s="10">
        <v>1602</v>
      </c>
      <c r="H182" s="10">
        <v>13</v>
      </c>
      <c r="I182" s="10">
        <v>3</v>
      </c>
      <c r="J182" s="10">
        <v>1092</v>
      </c>
      <c r="K182" s="10">
        <v>23828025.548788372</v>
      </c>
    </row>
    <row r="183" spans="1:11" x14ac:dyDescent="0.35">
      <c r="A183" s="9" t="s">
        <v>250</v>
      </c>
      <c r="B183" s="10">
        <v>4689</v>
      </c>
      <c r="C183" s="10">
        <v>89</v>
      </c>
      <c r="D183" s="10">
        <v>7</v>
      </c>
      <c r="E183" s="10">
        <v>2686</v>
      </c>
      <c r="F183" s="10">
        <v>90939024.752633333</v>
      </c>
      <c r="G183" s="10">
        <v>4709</v>
      </c>
      <c r="H183" s="10">
        <v>43</v>
      </c>
      <c r="I183" s="10">
        <v>7</v>
      </c>
      <c r="J183" s="10">
        <v>2622</v>
      </c>
      <c r="K183" s="10">
        <v>48563722.279331915</v>
      </c>
    </row>
    <row r="184" spans="1:11" x14ac:dyDescent="0.35">
      <c r="A184" s="9" t="s">
        <v>251</v>
      </c>
      <c r="B184" s="10">
        <v>833</v>
      </c>
      <c r="C184" s="10">
        <v>8</v>
      </c>
      <c r="D184" s="10">
        <v>1</v>
      </c>
      <c r="E184" s="10">
        <v>425</v>
      </c>
      <c r="F184" s="10">
        <v>17515482.349146981</v>
      </c>
      <c r="G184" s="10">
        <v>736</v>
      </c>
      <c r="H184" s="10">
        <v>0</v>
      </c>
      <c r="I184" s="10">
        <v>1</v>
      </c>
      <c r="J184" s="10">
        <v>435</v>
      </c>
      <c r="K184" s="10">
        <v>10719260.065882187</v>
      </c>
    </row>
    <row r="185" spans="1:11" x14ac:dyDescent="0.35">
      <c r="A185" s="9" t="s">
        <v>252</v>
      </c>
      <c r="B185" s="10">
        <v>1029</v>
      </c>
      <c r="C185" s="10">
        <v>361</v>
      </c>
      <c r="D185" s="10">
        <v>2</v>
      </c>
      <c r="E185" s="10">
        <v>452</v>
      </c>
      <c r="F185" s="10">
        <v>15669340.636048431</v>
      </c>
      <c r="G185" s="10">
        <v>853</v>
      </c>
      <c r="H185" s="10">
        <v>7</v>
      </c>
      <c r="I185" s="10">
        <v>3</v>
      </c>
      <c r="J185" s="10">
        <v>464</v>
      </c>
      <c r="K185" s="10">
        <v>9301688.4828185923</v>
      </c>
    </row>
    <row r="186" spans="1:11" x14ac:dyDescent="0.35">
      <c r="A186" s="9" t="s">
        <v>253</v>
      </c>
      <c r="B186" s="10">
        <v>1623</v>
      </c>
      <c r="C186" s="10">
        <v>16</v>
      </c>
      <c r="D186" s="10">
        <v>2</v>
      </c>
      <c r="E186" s="10">
        <v>1003</v>
      </c>
      <c r="F186" s="10">
        <v>47878068.280298069</v>
      </c>
      <c r="G186" s="10">
        <v>1631</v>
      </c>
      <c r="H186" s="10">
        <v>27</v>
      </c>
      <c r="I186" s="10">
        <v>3</v>
      </c>
      <c r="J186" s="10">
        <v>984</v>
      </c>
      <c r="K186" s="10">
        <v>32739937.745664727</v>
      </c>
    </row>
    <row r="187" spans="1:11" x14ac:dyDescent="0.35">
      <c r="A187" s="9" t="s">
        <v>254</v>
      </c>
      <c r="B187" s="10">
        <v>1122</v>
      </c>
      <c r="C187" s="10">
        <v>12</v>
      </c>
      <c r="D187" s="10">
        <v>2</v>
      </c>
      <c r="E187" s="10">
        <v>457</v>
      </c>
      <c r="F187" s="10">
        <v>31858020.608079143</v>
      </c>
      <c r="G187" s="10">
        <v>1083</v>
      </c>
      <c r="H187" s="10">
        <v>16</v>
      </c>
      <c r="I187" s="10">
        <v>3</v>
      </c>
      <c r="J187" s="10">
        <v>503</v>
      </c>
      <c r="K187" s="10">
        <v>7786077.6257306468</v>
      </c>
    </row>
    <row r="188" spans="1:11" x14ac:dyDescent="0.35">
      <c r="A188" s="9" t="s">
        <v>255</v>
      </c>
      <c r="B188" s="10">
        <v>2238</v>
      </c>
      <c r="C188" s="10">
        <v>17</v>
      </c>
      <c r="D188" s="10">
        <v>3</v>
      </c>
      <c r="E188" s="10">
        <v>1159</v>
      </c>
      <c r="F188" s="10">
        <v>54005709.310003459</v>
      </c>
      <c r="G188" s="10">
        <v>2123</v>
      </c>
      <c r="H188" s="10">
        <v>12</v>
      </c>
      <c r="I188" s="10">
        <v>3</v>
      </c>
      <c r="J188" s="10">
        <v>1215</v>
      </c>
      <c r="K188" s="10">
        <v>11260023.726445071</v>
      </c>
    </row>
    <row r="189" spans="1:11" x14ac:dyDescent="0.35">
      <c r="A189" s="9" t="s">
        <v>256</v>
      </c>
      <c r="B189" s="10">
        <v>1336</v>
      </c>
      <c r="C189" s="10">
        <v>14</v>
      </c>
      <c r="D189" s="10">
        <v>2</v>
      </c>
      <c r="E189" s="10">
        <v>673</v>
      </c>
      <c r="F189" s="10">
        <v>30797859.785202131</v>
      </c>
      <c r="G189" s="10">
        <v>1372</v>
      </c>
      <c r="H189" s="10">
        <v>8</v>
      </c>
      <c r="I189" s="10">
        <v>1</v>
      </c>
      <c r="J189" s="10">
        <v>587</v>
      </c>
      <c r="K189" s="10">
        <v>3669611.824749399</v>
      </c>
    </row>
    <row r="190" spans="1:11" x14ac:dyDescent="0.35">
      <c r="A190" s="9" t="s">
        <v>257</v>
      </c>
      <c r="B190" s="10">
        <v>788</v>
      </c>
      <c r="C190" s="10">
        <v>5</v>
      </c>
      <c r="D190" s="10">
        <v>3</v>
      </c>
      <c r="E190" s="10">
        <v>343</v>
      </c>
      <c r="F190" s="10">
        <v>22074592.370137792</v>
      </c>
      <c r="G190" s="10">
        <v>710</v>
      </c>
      <c r="H190" s="10">
        <v>4</v>
      </c>
      <c r="I190" s="10">
        <v>2</v>
      </c>
      <c r="J190" s="10">
        <v>381</v>
      </c>
      <c r="K190" s="10">
        <v>2438530.6853171792</v>
      </c>
    </row>
    <row r="191" spans="1:11" x14ac:dyDescent="0.35">
      <c r="A191" s="9" t="s">
        <v>258</v>
      </c>
      <c r="B191" s="10">
        <v>1932</v>
      </c>
      <c r="C191" s="10">
        <v>23</v>
      </c>
      <c r="D191" s="10">
        <v>6</v>
      </c>
      <c r="E191" s="10">
        <v>1226</v>
      </c>
      <c r="F191" s="10">
        <v>54417537.356531054</v>
      </c>
      <c r="G191" s="10">
        <v>1984</v>
      </c>
      <c r="H191" s="10">
        <v>20</v>
      </c>
      <c r="I191" s="10">
        <v>6</v>
      </c>
      <c r="J191" s="10">
        <v>1177</v>
      </c>
      <c r="K191" s="10">
        <v>36288192.603063643</v>
      </c>
    </row>
    <row r="192" spans="1:11" x14ac:dyDescent="0.35">
      <c r="A192" s="9" t="s">
        <v>259</v>
      </c>
      <c r="B192" s="10">
        <v>1189</v>
      </c>
      <c r="C192" s="10">
        <v>23</v>
      </c>
      <c r="D192" s="10">
        <v>3</v>
      </c>
      <c r="E192" s="10">
        <v>607</v>
      </c>
      <c r="F192" s="10">
        <v>22158206.482940588</v>
      </c>
      <c r="G192" s="10">
        <v>1199</v>
      </c>
      <c r="H192" s="10">
        <v>8</v>
      </c>
      <c r="I192" s="10">
        <v>2</v>
      </c>
      <c r="J192" s="10">
        <v>626</v>
      </c>
      <c r="K192" s="10">
        <v>6049742.4946805742</v>
      </c>
    </row>
    <row r="193" spans="1:11" x14ac:dyDescent="0.35">
      <c r="A193" s="9" t="s">
        <v>260</v>
      </c>
      <c r="B193" s="10">
        <v>1905</v>
      </c>
      <c r="C193" s="10">
        <v>20</v>
      </c>
      <c r="D193" s="10">
        <v>4</v>
      </c>
      <c r="E193" s="10">
        <v>964</v>
      </c>
      <c r="F193" s="10">
        <v>52638132.14343968</v>
      </c>
      <c r="G193" s="10">
        <v>1899</v>
      </c>
      <c r="H193" s="10">
        <v>14</v>
      </c>
      <c r="I193" s="10">
        <v>4</v>
      </c>
      <c r="J193" s="10">
        <v>947</v>
      </c>
      <c r="K193" s="10">
        <v>13917994.391288908</v>
      </c>
    </row>
    <row r="194" spans="1:11" x14ac:dyDescent="0.35">
      <c r="A194" s="9" t="s">
        <v>261</v>
      </c>
      <c r="B194" s="10">
        <v>2727</v>
      </c>
      <c r="C194" s="10">
        <v>72</v>
      </c>
      <c r="D194" s="10">
        <v>15</v>
      </c>
      <c r="E194" s="10">
        <v>1422</v>
      </c>
      <c r="F194" s="10">
        <v>101088694.48746306</v>
      </c>
      <c r="G194" s="10">
        <v>2812</v>
      </c>
      <c r="H194" s="10">
        <v>64</v>
      </c>
      <c r="I194" s="10">
        <v>15</v>
      </c>
      <c r="J194" s="10">
        <v>1432</v>
      </c>
      <c r="K194" s="10">
        <v>49528760.211799361</v>
      </c>
    </row>
    <row r="195" spans="1:11" x14ac:dyDescent="0.35">
      <c r="A195" s="9" t="s">
        <v>262</v>
      </c>
      <c r="B195" s="10">
        <v>827</v>
      </c>
      <c r="C195" s="10">
        <v>11</v>
      </c>
      <c r="D195" s="10">
        <v>0</v>
      </c>
      <c r="E195" s="10">
        <v>480</v>
      </c>
      <c r="F195" s="10">
        <v>21895881.381111756</v>
      </c>
      <c r="G195" s="10">
        <v>781</v>
      </c>
      <c r="H195" s="10">
        <v>9</v>
      </c>
      <c r="I195" s="10">
        <v>0</v>
      </c>
      <c r="J195" s="10">
        <v>421</v>
      </c>
      <c r="K195" s="10">
        <v>14028237.552998835</v>
      </c>
    </row>
    <row r="196" spans="1:11" x14ac:dyDescent="0.35">
      <c r="A196" s="9" t="s">
        <v>263</v>
      </c>
      <c r="B196" s="10">
        <v>876</v>
      </c>
      <c r="C196" s="10">
        <v>22</v>
      </c>
      <c r="D196" s="10">
        <v>2</v>
      </c>
      <c r="E196" s="10">
        <v>706</v>
      </c>
      <c r="F196" s="10">
        <v>35998036.018763766</v>
      </c>
      <c r="G196" s="10">
        <v>915</v>
      </c>
      <c r="H196" s="10">
        <v>38</v>
      </c>
      <c r="I196" s="10">
        <v>3</v>
      </c>
      <c r="J196" s="10">
        <v>618</v>
      </c>
      <c r="K196" s="10">
        <v>25980110.498105824</v>
      </c>
    </row>
    <row r="197" spans="1:11" x14ac:dyDescent="0.35">
      <c r="A197" s="9" t="s">
        <v>264</v>
      </c>
      <c r="B197" s="10">
        <v>1395</v>
      </c>
      <c r="C197" s="10">
        <v>61</v>
      </c>
      <c r="D197" s="10">
        <v>4</v>
      </c>
      <c r="E197" s="10">
        <v>653</v>
      </c>
      <c r="F197" s="10">
        <v>45800320.749801897</v>
      </c>
      <c r="G197" s="10">
        <v>1529</v>
      </c>
      <c r="H197" s="10">
        <v>28</v>
      </c>
      <c r="I197" s="10">
        <v>2</v>
      </c>
      <c r="J197" s="10">
        <v>653</v>
      </c>
      <c r="K197" s="10">
        <v>8619101.3912552986</v>
      </c>
    </row>
    <row r="198" spans="1:11" x14ac:dyDescent="0.35">
      <c r="A198" s="9" t="s">
        <v>265</v>
      </c>
      <c r="B198" s="10">
        <v>1130</v>
      </c>
      <c r="C198" s="10">
        <v>22</v>
      </c>
      <c r="D198" s="10">
        <v>1</v>
      </c>
      <c r="E198" s="10">
        <v>627</v>
      </c>
      <c r="F198" s="10">
        <v>41836305.106355175</v>
      </c>
      <c r="G198" s="10">
        <v>1087</v>
      </c>
      <c r="H198" s="10">
        <v>16</v>
      </c>
      <c r="I198" s="10">
        <v>2</v>
      </c>
      <c r="J198" s="10">
        <v>609</v>
      </c>
      <c r="K198" s="10">
        <v>22957425.657246809</v>
      </c>
    </row>
    <row r="199" spans="1:11" x14ac:dyDescent="0.35">
      <c r="A199" s="9" t="s">
        <v>266</v>
      </c>
      <c r="B199" s="10">
        <v>2791</v>
      </c>
      <c r="C199" s="10">
        <v>25</v>
      </c>
      <c r="D199" s="10">
        <v>7</v>
      </c>
      <c r="E199" s="10">
        <v>1360</v>
      </c>
      <c r="F199" s="10">
        <v>56628988.19683037</v>
      </c>
      <c r="G199" s="10">
        <v>2852</v>
      </c>
      <c r="H199" s="10">
        <v>19</v>
      </c>
      <c r="I199" s="10">
        <v>11</v>
      </c>
      <c r="J199" s="10">
        <v>1532</v>
      </c>
      <c r="K199" s="10">
        <v>7298676.1864106189</v>
      </c>
    </row>
    <row r="200" spans="1:11" x14ac:dyDescent="0.35">
      <c r="A200" s="9" t="s">
        <v>267</v>
      </c>
      <c r="B200" s="10">
        <v>1379</v>
      </c>
      <c r="C200" s="10">
        <v>10</v>
      </c>
      <c r="D200" s="10">
        <v>2</v>
      </c>
      <c r="E200" s="10">
        <v>607</v>
      </c>
      <c r="F200" s="10">
        <v>32372409.331019256</v>
      </c>
      <c r="G200" s="10">
        <v>1373</v>
      </c>
      <c r="H200" s="10">
        <v>12</v>
      </c>
      <c r="I200" s="10">
        <v>2</v>
      </c>
      <c r="J200" s="10">
        <v>585</v>
      </c>
      <c r="K200" s="10">
        <v>1430698.844832188</v>
      </c>
    </row>
    <row r="201" spans="1:11" x14ac:dyDescent="0.35">
      <c r="A201" s="9" t="s">
        <v>268</v>
      </c>
      <c r="B201" s="10">
        <v>1743</v>
      </c>
      <c r="C201" s="10">
        <v>19</v>
      </c>
      <c r="D201" s="10">
        <v>7</v>
      </c>
      <c r="E201" s="10">
        <v>731</v>
      </c>
      <c r="F201" s="10">
        <v>53298257.197347715</v>
      </c>
      <c r="G201" s="10">
        <v>1732</v>
      </c>
      <c r="H201" s="10">
        <v>9</v>
      </c>
      <c r="I201" s="10">
        <v>5</v>
      </c>
      <c r="J201" s="10">
        <v>850</v>
      </c>
      <c r="K201" s="10">
        <v>5618812.8155762004</v>
      </c>
    </row>
    <row r="202" spans="1:11" x14ac:dyDescent="0.35">
      <c r="A202" s="9" t="s">
        <v>269</v>
      </c>
      <c r="B202" s="10">
        <v>1508</v>
      </c>
      <c r="C202" s="10">
        <v>32</v>
      </c>
      <c r="D202" s="10">
        <v>10</v>
      </c>
      <c r="E202" s="10">
        <v>824</v>
      </c>
      <c r="F202" s="10">
        <v>54438822.905605972</v>
      </c>
      <c r="G202" s="10">
        <v>1464</v>
      </c>
      <c r="H202" s="10">
        <v>11</v>
      </c>
      <c r="I202" s="10">
        <v>11</v>
      </c>
      <c r="J202" s="10">
        <v>865</v>
      </c>
      <c r="K202" s="10">
        <v>17814055.887039933</v>
      </c>
    </row>
    <row r="203" spans="1:11" x14ac:dyDescent="0.35">
      <c r="A203" s="9" t="s">
        <v>270</v>
      </c>
      <c r="B203" s="10">
        <v>997</v>
      </c>
      <c r="C203" s="10">
        <v>6</v>
      </c>
      <c r="D203" s="10">
        <v>1</v>
      </c>
      <c r="E203" s="10">
        <v>513</v>
      </c>
      <c r="F203" s="10">
        <v>22362272.286017548</v>
      </c>
      <c r="G203" s="10">
        <v>1002</v>
      </c>
      <c r="H203" s="10">
        <v>14</v>
      </c>
      <c r="I203" s="10">
        <v>1</v>
      </c>
      <c r="J203" s="10">
        <v>436</v>
      </c>
      <c r="K203" s="10">
        <v>3752013.724346383</v>
      </c>
    </row>
    <row r="204" spans="1:11" x14ac:dyDescent="0.35">
      <c r="A204" s="9" t="s">
        <v>271</v>
      </c>
      <c r="B204" s="10">
        <v>1906</v>
      </c>
      <c r="C204" s="10">
        <v>16</v>
      </c>
      <c r="D204" s="10">
        <v>11</v>
      </c>
      <c r="E204" s="10">
        <v>779</v>
      </c>
      <c r="F204" s="10">
        <v>56923724.012240492</v>
      </c>
      <c r="G204" s="10">
        <v>1939</v>
      </c>
      <c r="H204" s="10">
        <v>18</v>
      </c>
      <c r="I204" s="10">
        <v>11</v>
      </c>
      <c r="J204" s="10">
        <v>986</v>
      </c>
      <c r="K204" s="10">
        <v>5642956.1972692162</v>
      </c>
    </row>
    <row r="205" spans="1:11" x14ac:dyDescent="0.35">
      <c r="A205" s="9" t="s">
        <v>272</v>
      </c>
      <c r="B205" s="10">
        <v>1219</v>
      </c>
      <c r="C205" s="10">
        <v>5</v>
      </c>
      <c r="D205" s="10">
        <v>5</v>
      </c>
      <c r="E205" s="10">
        <v>563</v>
      </c>
      <c r="F205" s="10">
        <v>31403063.938515726</v>
      </c>
      <c r="G205" s="10">
        <v>1195</v>
      </c>
      <c r="H205" s="10">
        <v>13</v>
      </c>
      <c r="I205" s="10">
        <v>5</v>
      </c>
      <c r="J205" s="10">
        <v>459</v>
      </c>
      <c r="K205" s="10">
        <v>1686755.443788829</v>
      </c>
    </row>
    <row r="206" spans="1:11" x14ac:dyDescent="0.35">
      <c r="A206" s="9" t="s">
        <v>273</v>
      </c>
      <c r="B206" s="10">
        <v>1285</v>
      </c>
      <c r="C206" s="10">
        <v>17</v>
      </c>
      <c r="D206" s="10">
        <v>2</v>
      </c>
      <c r="E206" s="10">
        <v>886</v>
      </c>
      <c r="F206" s="10">
        <v>30407069.310248815</v>
      </c>
      <c r="G206" s="10">
        <v>1187</v>
      </c>
      <c r="H206" s="10">
        <v>11</v>
      </c>
      <c r="I206" s="10">
        <v>1</v>
      </c>
      <c r="J206" s="10">
        <v>422</v>
      </c>
      <c r="K206" s="10">
        <v>5669799.7308327658</v>
      </c>
    </row>
    <row r="207" spans="1:11" x14ac:dyDescent="0.35">
      <c r="A207" s="9" t="s">
        <v>274</v>
      </c>
      <c r="B207" s="10">
        <v>522</v>
      </c>
      <c r="C207" s="10">
        <v>5</v>
      </c>
      <c r="D207" s="10">
        <v>2</v>
      </c>
      <c r="E207" s="10">
        <v>334</v>
      </c>
      <c r="F207" s="10">
        <v>17407238.420044977</v>
      </c>
      <c r="G207" s="10">
        <v>524</v>
      </c>
      <c r="H207" s="10">
        <v>9</v>
      </c>
      <c r="I207" s="10">
        <v>3</v>
      </c>
      <c r="J207" s="10">
        <v>350</v>
      </c>
      <c r="K207" s="10">
        <v>12939875.904262761</v>
      </c>
    </row>
    <row r="208" spans="1:11" x14ac:dyDescent="0.35">
      <c r="A208" s="9" t="s">
        <v>275</v>
      </c>
      <c r="B208" s="10">
        <v>2162</v>
      </c>
      <c r="C208" s="10">
        <v>35</v>
      </c>
      <c r="D208" s="10">
        <v>7</v>
      </c>
      <c r="E208" s="10">
        <v>1009</v>
      </c>
      <c r="F208" s="10">
        <v>71722738.914352268</v>
      </c>
      <c r="G208" s="10">
        <v>2108</v>
      </c>
      <c r="H208" s="10">
        <v>19</v>
      </c>
      <c r="I208" s="10">
        <v>6</v>
      </c>
      <c r="J208" s="10">
        <v>954</v>
      </c>
      <c r="K208" s="10">
        <v>15000415.830363944</v>
      </c>
    </row>
    <row r="209" spans="1:11" x14ac:dyDescent="0.35">
      <c r="A209" s="9" t="s">
        <v>276</v>
      </c>
      <c r="B209" s="10">
        <v>1220</v>
      </c>
      <c r="C209" s="10">
        <v>16</v>
      </c>
      <c r="D209" s="10">
        <v>3</v>
      </c>
      <c r="E209" s="10">
        <v>632</v>
      </c>
      <c r="F209" s="10">
        <v>35851873.822557896</v>
      </c>
      <c r="G209" s="10">
        <v>1294</v>
      </c>
      <c r="H209" s="10">
        <v>11</v>
      </c>
      <c r="I209" s="10">
        <v>3</v>
      </c>
      <c r="J209" s="10">
        <v>647</v>
      </c>
      <c r="K209" s="10">
        <v>9360432.2977981754</v>
      </c>
    </row>
    <row r="210" spans="1:11" x14ac:dyDescent="0.35">
      <c r="A210" s="9" t="s">
        <v>277</v>
      </c>
      <c r="B210" s="10">
        <v>1929</v>
      </c>
      <c r="C210" s="10">
        <v>24</v>
      </c>
      <c r="D210" s="10">
        <v>8</v>
      </c>
      <c r="E210" s="10">
        <v>130</v>
      </c>
      <c r="F210" s="10">
        <v>42891567.359814167</v>
      </c>
      <c r="G210" s="10">
        <v>1989</v>
      </c>
      <c r="H210" s="10">
        <v>24</v>
      </c>
      <c r="I210" s="10">
        <v>8</v>
      </c>
      <c r="J210" s="10">
        <v>1062</v>
      </c>
      <c r="K210" s="10">
        <v>7893055.9584109792</v>
      </c>
    </row>
    <row r="211" spans="1:11" x14ac:dyDescent="0.35">
      <c r="A211" s="9" t="s">
        <v>278</v>
      </c>
      <c r="B211" s="10">
        <v>820</v>
      </c>
      <c r="C211" s="10">
        <v>11</v>
      </c>
      <c r="D211" s="10">
        <v>2</v>
      </c>
      <c r="E211" s="10">
        <v>344</v>
      </c>
      <c r="F211" s="10">
        <v>25675224.281578507</v>
      </c>
      <c r="G211" s="10">
        <v>795</v>
      </c>
      <c r="H211" s="10">
        <v>9</v>
      </c>
      <c r="I211" s="10">
        <v>3</v>
      </c>
      <c r="J211" s="10">
        <v>307</v>
      </c>
      <c r="K211" s="10">
        <v>3063601.3128661299</v>
      </c>
    </row>
    <row r="212" spans="1:11" x14ac:dyDescent="0.35">
      <c r="A212" s="9" t="s">
        <v>279</v>
      </c>
      <c r="B212" s="10">
        <v>3003</v>
      </c>
      <c r="C212" s="10">
        <v>454</v>
      </c>
      <c r="D212" s="10">
        <v>12</v>
      </c>
      <c r="E212" s="10">
        <v>1424</v>
      </c>
      <c r="F212" s="10">
        <v>78974053.603499711</v>
      </c>
      <c r="G212" s="10">
        <v>2894</v>
      </c>
      <c r="H212" s="10">
        <v>103</v>
      </c>
      <c r="I212" s="10">
        <v>12</v>
      </c>
      <c r="J212" s="10">
        <v>1671</v>
      </c>
      <c r="K212" s="10">
        <v>51211783.970398135</v>
      </c>
    </row>
    <row r="213" spans="1:11" x14ac:dyDescent="0.35">
      <c r="A213" s="9" t="s">
        <v>280</v>
      </c>
      <c r="B213" s="10">
        <v>2530</v>
      </c>
      <c r="C213" s="10">
        <v>16</v>
      </c>
      <c r="D213" s="10">
        <v>3</v>
      </c>
      <c r="E213" s="10">
        <v>1277</v>
      </c>
      <c r="F213" s="10">
        <v>56266538.563574687</v>
      </c>
      <c r="G213" s="10">
        <v>2513</v>
      </c>
      <c r="H213" s="10">
        <v>20</v>
      </c>
      <c r="I213" s="10">
        <v>3</v>
      </c>
      <c r="J213" s="10">
        <v>1255</v>
      </c>
      <c r="K213" s="10">
        <v>3121708.1254615979</v>
      </c>
    </row>
    <row r="214" spans="1:11" x14ac:dyDescent="0.35">
      <c r="A214" s="9" t="s">
        <v>281</v>
      </c>
      <c r="B214" s="10">
        <v>1421</v>
      </c>
      <c r="C214" s="10">
        <v>23</v>
      </c>
      <c r="D214" s="10">
        <v>8</v>
      </c>
      <c r="E214" s="10">
        <v>946</v>
      </c>
      <c r="F214" s="10">
        <v>51753765.111012302</v>
      </c>
      <c r="G214" s="10">
        <v>1459</v>
      </c>
      <c r="H214" s="10">
        <v>22</v>
      </c>
      <c r="I214" s="10">
        <v>10</v>
      </c>
      <c r="J214" s="10">
        <v>876</v>
      </c>
      <c r="K214" s="10">
        <v>31639586.049131963</v>
      </c>
    </row>
    <row r="215" spans="1:11" x14ac:dyDescent="0.35">
      <c r="A215" s="9" t="s">
        <v>282</v>
      </c>
      <c r="B215" s="10">
        <v>1445</v>
      </c>
      <c r="C215" s="10">
        <v>18</v>
      </c>
      <c r="D215" s="10">
        <v>1</v>
      </c>
      <c r="E215" s="10">
        <v>145</v>
      </c>
      <c r="F215" s="10">
        <v>41893187.739425935</v>
      </c>
      <c r="G215" s="10">
        <v>1731</v>
      </c>
      <c r="H215" s="10">
        <v>13</v>
      </c>
      <c r="I215" s="10">
        <v>3</v>
      </c>
      <c r="J215" s="10">
        <v>926</v>
      </c>
      <c r="K215" s="10">
        <v>10427155.124843648</v>
      </c>
    </row>
    <row r="216" spans="1:11" x14ac:dyDescent="0.35">
      <c r="A216" s="9" t="s">
        <v>283</v>
      </c>
      <c r="B216" s="10">
        <v>2069</v>
      </c>
      <c r="C216" s="10">
        <v>42</v>
      </c>
      <c r="D216" s="10">
        <v>6</v>
      </c>
      <c r="E216" s="10">
        <v>988</v>
      </c>
      <c r="F216" s="10">
        <v>61031067.147654638</v>
      </c>
      <c r="G216" s="10">
        <v>2295</v>
      </c>
      <c r="H216" s="10">
        <v>311</v>
      </c>
      <c r="I216" s="10">
        <v>7</v>
      </c>
      <c r="J216" s="10">
        <v>1005</v>
      </c>
      <c r="K216" s="10">
        <v>20651873.291592881</v>
      </c>
    </row>
    <row r="217" spans="1:11" x14ac:dyDescent="0.35">
      <c r="A217" s="9" t="s">
        <v>284</v>
      </c>
      <c r="B217" s="10">
        <v>1182</v>
      </c>
      <c r="C217" s="10">
        <v>4</v>
      </c>
      <c r="D217" s="10">
        <v>3</v>
      </c>
      <c r="E217" s="10">
        <v>582</v>
      </c>
      <c r="F217" s="10">
        <v>44465821.344576433</v>
      </c>
      <c r="G217" s="10">
        <v>1126</v>
      </c>
      <c r="H217" s="10">
        <v>14</v>
      </c>
      <c r="I217" s="10">
        <v>3</v>
      </c>
      <c r="J217" s="10">
        <v>545</v>
      </c>
      <c r="K217" s="10">
        <v>22964397.749667771</v>
      </c>
    </row>
    <row r="218" spans="1:11" x14ac:dyDescent="0.35">
      <c r="A218" s="9" t="s">
        <v>285</v>
      </c>
      <c r="B218" s="10">
        <v>1201</v>
      </c>
      <c r="C218" s="10">
        <v>15</v>
      </c>
      <c r="D218" s="10">
        <v>4</v>
      </c>
      <c r="E218" s="10">
        <v>456</v>
      </c>
      <c r="F218" s="10">
        <v>30121241.911616314</v>
      </c>
      <c r="G218" s="10">
        <v>1152</v>
      </c>
      <c r="H218" s="10">
        <v>5</v>
      </c>
      <c r="I218" s="10">
        <v>5</v>
      </c>
      <c r="J218" s="10">
        <v>492</v>
      </c>
      <c r="K218" s="10">
        <v>2829072.0552624059</v>
      </c>
    </row>
    <row r="219" spans="1:11" x14ac:dyDescent="0.35">
      <c r="A219" s="9" t="s">
        <v>286</v>
      </c>
      <c r="B219" s="10">
        <v>2968</v>
      </c>
      <c r="C219" s="10">
        <v>73</v>
      </c>
      <c r="D219" s="10">
        <v>17</v>
      </c>
      <c r="E219" s="10">
        <v>1913</v>
      </c>
      <c r="F219" s="10">
        <v>105798065.9931297</v>
      </c>
      <c r="G219" s="10">
        <v>3206</v>
      </c>
      <c r="H219" s="10">
        <v>128</v>
      </c>
      <c r="I219" s="10">
        <v>18</v>
      </c>
      <c r="J219" s="10">
        <v>1988</v>
      </c>
      <c r="K219" s="10">
        <v>43144138.468929812</v>
      </c>
    </row>
    <row r="220" spans="1:11" x14ac:dyDescent="0.35">
      <c r="A220" s="9" t="s">
        <v>287</v>
      </c>
      <c r="B220" s="10">
        <v>1106</v>
      </c>
      <c r="C220" s="10">
        <v>13</v>
      </c>
      <c r="D220" s="10">
        <v>9</v>
      </c>
      <c r="E220" s="10">
        <v>617</v>
      </c>
      <c r="F220" s="10">
        <v>41253935.415765613</v>
      </c>
      <c r="G220" s="10">
        <v>1000</v>
      </c>
      <c r="H220" s="10">
        <v>10</v>
      </c>
      <c r="I220" s="10">
        <v>9</v>
      </c>
      <c r="J220" s="10">
        <v>573</v>
      </c>
      <c r="K220" s="10">
        <v>24122473.599489082</v>
      </c>
    </row>
    <row r="221" spans="1:11" x14ac:dyDescent="0.35">
      <c r="A221" s="9" t="s">
        <v>288</v>
      </c>
      <c r="B221" s="10">
        <v>590</v>
      </c>
      <c r="C221" s="10">
        <v>14</v>
      </c>
      <c r="D221" s="10">
        <v>2</v>
      </c>
      <c r="E221" s="10">
        <v>300</v>
      </c>
      <c r="F221" s="10">
        <v>11573956.018038232</v>
      </c>
      <c r="G221" s="10">
        <v>563</v>
      </c>
      <c r="H221" s="10">
        <v>5</v>
      </c>
      <c r="I221" s="10">
        <v>1</v>
      </c>
      <c r="J221" s="10">
        <v>260</v>
      </c>
      <c r="K221" s="10">
        <v>5744802.5888452167</v>
      </c>
    </row>
    <row r="222" spans="1:11" x14ac:dyDescent="0.35">
      <c r="A222" s="9" t="s">
        <v>289</v>
      </c>
      <c r="B222" s="10">
        <v>1184</v>
      </c>
      <c r="C222" s="10">
        <v>18</v>
      </c>
      <c r="D222" s="10">
        <v>8</v>
      </c>
      <c r="E222" s="10">
        <v>558</v>
      </c>
      <c r="F222" s="10">
        <v>35181067.795308493</v>
      </c>
      <c r="G222" s="10">
        <v>1202</v>
      </c>
      <c r="H222" s="10">
        <v>8</v>
      </c>
      <c r="I222" s="10">
        <v>8</v>
      </c>
      <c r="J222" s="10">
        <v>494</v>
      </c>
      <c r="K222" s="10">
        <v>6880652.2322343774</v>
      </c>
    </row>
    <row r="223" spans="1:11" x14ac:dyDescent="0.35">
      <c r="A223" s="9" t="s">
        <v>290</v>
      </c>
      <c r="B223" s="10">
        <v>1439</v>
      </c>
      <c r="C223" s="10">
        <v>15</v>
      </c>
      <c r="D223" s="10">
        <v>12</v>
      </c>
      <c r="E223" s="10">
        <v>673</v>
      </c>
      <c r="F223" s="10">
        <v>41810618.672823019</v>
      </c>
      <c r="G223" s="10">
        <v>1422</v>
      </c>
      <c r="H223" s="10">
        <v>85</v>
      </c>
      <c r="I223" s="10">
        <v>15</v>
      </c>
      <c r="J223" s="10">
        <v>643</v>
      </c>
      <c r="K223" s="10">
        <v>20288799.684953988</v>
      </c>
    </row>
    <row r="224" spans="1:11" x14ac:dyDescent="0.35">
      <c r="A224" s="9" t="s">
        <v>291</v>
      </c>
      <c r="B224" s="10">
        <v>2420</v>
      </c>
      <c r="C224" s="10">
        <v>34</v>
      </c>
      <c r="D224" s="10">
        <v>7</v>
      </c>
      <c r="E224" s="10">
        <v>1466</v>
      </c>
      <c r="F224" s="10">
        <v>68025686.235757381</v>
      </c>
      <c r="G224" s="10">
        <v>2486</v>
      </c>
      <c r="H224" s="10">
        <v>27</v>
      </c>
      <c r="I224" s="10">
        <v>7</v>
      </c>
      <c r="J224" s="10">
        <v>1379</v>
      </c>
      <c r="K224" s="10">
        <v>33404786.075648054</v>
      </c>
    </row>
    <row r="225" spans="1:11" x14ac:dyDescent="0.35">
      <c r="A225" s="9" t="s">
        <v>292</v>
      </c>
      <c r="B225" s="10">
        <v>952</v>
      </c>
      <c r="C225" s="10">
        <v>13</v>
      </c>
      <c r="D225" s="10">
        <v>8</v>
      </c>
      <c r="E225" s="10">
        <v>703</v>
      </c>
      <c r="F225" s="10">
        <v>25102210.301815733</v>
      </c>
      <c r="G225" s="10">
        <v>944</v>
      </c>
      <c r="H225" s="10">
        <v>11</v>
      </c>
      <c r="I225" s="10">
        <v>8</v>
      </c>
      <c r="J225" s="10">
        <v>685</v>
      </c>
      <c r="K225" s="10">
        <v>12522485.996713804</v>
      </c>
    </row>
    <row r="226" spans="1:11" x14ac:dyDescent="0.35">
      <c r="A226" s="9" t="s">
        <v>293</v>
      </c>
      <c r="B226" s="10">
        <v>1306</v>
      </c>
      <c r="C226" s="10">
        <v>15</v>
      </c>
      <c r="D226" s="10">
        <v>3</v>
      </c>
      <c r="E226" s="10">
        <v>726</v>
      </c>
      <c r="F226" s="10">
        <v>23855011.808314711</v>
      </c>
      <c r="G226" s="10">
        <v>1325</v>
      </c>
      <c r="H226" s="10">
        <v>12</v>
      </c>
      <c r="I226" s="10">
        <v>4</v>
      </c>
      <c r="J226" s="10">
        <v>747</v>
      </c>
      <c r="K226" s="10">
        <v>11523701.199800681</v>
      </c>
    </row>
    <row r="227" spans="1:11" x14ac:dyDescent="0.35">
      <c r="A227" s="9" t="s">
        <v>294</v>
      </c>
      <c r="B227" s="10">
        <v>1721</v>
      </c>
      <c r="C227" s="10">
        <v>24</v>
      </c>
      <c r="D227" s="10">
        <v>3</v>
      </c>
      <c r="E227" s="10">
        <v>828</v>
      </c>
      <c r="F227" s="10">
        <v>35836196.739691846</v>
      </c>
      <c r="G227" s="10">
        <v>1690</v>
      </c>
      <c r="H227" s="10">
        <v>19</v>
      </c>
      <c r="I227" s="10">
        <v>6</v>
      </c>
      <c r="J227" s="10">
        <v>830</v>
      </c>
      <c r="K227" s="10">
        <v>4752603.9434627071</v>
      </c>
    </row>
    <row r="228" spans="1:11" x14ac:dyDescent="0.35">
      <c r="A228" s="9" t="s">
        <v>295</v>
      </c>
      <c r="B228" s="10">
        <v>1405</v>
      </c>
      <c r="C228" s="10">
        <v>13</v>
      </c>
      <c r="D228" s="10">
        <v>3</v>
      </c>
      <c r="E228" s="10">
        <v>599</v>
      </c>
      <c r="F228" s="10">
        <v>40259682.452138953</v>
      </c>
      <c r="G228" s="10">
        <v>1238</v>
      </c>
      <c r="H228" s="10">
        <v>4</v>
      </c>
      <c r="I228" s="10">
        <v>3</v>
      </c>
      <c r="J228" s="10">
        <v>621</v>
      </c>
      <c r="K228" s="10">
        <v>23562676.063874252</v>
      </c>
    </row>
    <row r="229" spans="1:11" x14ac:dyDescent="0.35">
      <c r="A229" s="9" t="s">
        <v>296</v>
      </c>
      <c r="B229" s="10">
        <v>1300</v>
      </c>
      <c r="C229" s="10">
        <v>9</v>
      </c>
      <c r="D229" s="10">
        <v>5</v>
      </c>
      <c r="E229" s="10">
        <v>561</v>
      </c>
      <c r="F229" s="10">
        <v>45878179.388888091</v>
      </c>
      <c r="G229" s="10">
        <v>1426</v>
      </c>
      <c r="H229" s="10">
        <v>112</v>
      </c>
      <c r="I229" s="10">
        <v>7</v>
      </c>
      <c r="J229" s="10">
        <v>573</v>
      </c>
      <c r="K229" s="10">
        <v>17313563.178253558</v>
      </c>
    </row>
    <row r="230" spans="1:11" x14ac:dyDescent="0.35">
      <c r="A230" s="9" t="s">
        <v>297</v>
      </c>
      <c r="B230" s="10">
        <v>1492</v>
      </c>
      <c r="C230" s="10">
        <v>14</v>
      </c>
      <c r="D230" s="10">
        <v>5</v>
      </c>
      <c r="E230" s="10">
        <v>1009</v>
      </c>
      <c r="F230" s="10">
        <v>46491185.976128116</v>
      </c>
      <c r="G230" s="10">
        <v>1480</v>
      </c>
      <c r="H230" s="10">
        <v>10</v>
      </c>
      <c r="I230" s="10">
        <v>6</v>
      </c>
      <c r="J230" s="10">
        <v>973</v>
      </c>
      <c r="K230" s="10">
        <v>35311926.893192045</v>
      </c>
    </row>
    <row r="231" spans="1:11" x14ac:dyDescent="0.35">
      <c r="A231" s="9" t="s">
        <v>298</v>
      </c>
      <c r="B231" s="10">
        <v>1274</v>
      </c>
      <c r="C231" s="10">
        <v>14</v>
      </c>
      <c r="D231" s="10">
        <v>2</v>
      </c>
      <c r="E231" s="10">
        <v>576</v>
      </c>
      <c r="F231" s="10">
        <v>16845040.067924123</v>
      </c>
      <c r="G231" s="10">
        <v>1313</v>
      </c>
      <c r="H231" s="10">
        <v>10</v>
      </c>
      <c r="I231" s="10">
        <v>2</v>
      </c>
      <c r="J231" s="10">
        <v>553</v>
      </c>
      <c r="K231" s="10">
        <v>2637058.681033846</v>
      </c>
    </row>
    <row r="232" spans="1:11" x14ac:dyDescent="0.35">
      <c r="A232" s="9" t="s">
        <v>299</v>
      </c>
      <c r="B232" s="10">
        <v>898</v>
      </c>
      <c r="C232" s="10">
        <v>15</v>
      </c>
      <c r="D232" s="10">
        <v>1</v>
      </c>
      <c r="E232" s="10">
        <v>596</v>
      </c>
      <c r="F232" s="10">
        <v>22397844.06585826</v>
      </c>
      <c r="G232" s="10">
        <v>997</v>
      </c>
      <c r="H232" s="10">
        <v>9</v>
      </c>
      <c r="I232" s="10">
        <v>1</v>
      </c>
      <c r="J232" s="10">
        <v>591</v>
      </c>
      <c r="K232" s="10">
        <v>6515614.1543667056</v>
      </c>
    </row>
    <row r="233" spans="1:11" x14ac:dyDescent="0.35">
      <c r="A233" s="9" t="s">
        <v>300</v>
      </c>
      <c r="B233" s="10">
        <v>1098</v>
      </c>
      <c r="C233" s="10">
        <v>15</v>
      </c>
      <c r="D233" s="10">
        <v>2</v>
      </c>
      <c r="E233" s="10">
        <v>741</v>
      </c>
      <c r="F233" s="10">
        <v>32776809.133583844</v>
      </c>
      <c r="G233" s="10">
        <v>1092</v>
      </c>
      <c r="H233" s="10">
        <v>10</v>
      </c>
      <c r="I233" s="10">
        <v>2</v>
      </c>
      <c r="J233" s="10">
        <v>659</v>
      </c>
      <c r="K233" s="10">
        <v>20842369.233890913</v>
      </c>
    </row>
    <row r="234" spans="1:11" x14ac:dyDescent="0.35">
      <c r="A234" s="9" t="s">
        <v>301</v>
      </c>
      <c r="B234" s="10">
        <v>569</v>
      </c>
      <c r="C234" s="10">
        <v>1</v>
      </c>
      <c r="D234" s="10">
        <v>1</v>
      </c>
      <c r="E234" s="10">
        <v>40</v>
      </c>
      <c r="F234" s="10">
        <v>6476989.0610833401</v>
      </c>
      <c r="G234" s="10">
        <v>345</v>
      </c>
      <c r="H234" s="10">
        <v>1</v>
      </c>
      <c r="I234" s="10">
        <v>2</v>
      </c>
      <c r="J234" s="10">
        <v>4</v>
      </c>
      <c r="K234" s="10">
        <v>105956.924093297</v>
      </c>
    </row>
    <row r="235" spans="1:11" x14ac:dyDescent="0.35">
      <c r="A235" s="9" t="s">
        <v>302</v>
      </c>
      <c r="B235" s="10">
        <v>3507</v>
      </c>
      <c r="C235" s="10">
        <v>58</v>
      </c>
      <c r="D235" s="10">
        <v>11</v>
      </c>
      <c r="E235" s="10">
        <v>2660</v>
      </c>
      <c r="F235" s="10">
        <v>111555804.0839922</v>
      </c>
      <c r="G235" s="10">
        <v>3589</v>
      </c>
      <c r="H235" s="10">
        <v>140</v>
      </c>
      <c r="I235" s="10">
        <v>8</v>
      </c>
      <c r="J235" s="10">
        <v>2180</v>
      </c>
      <c r="K235" s="10">
        <v>60708688.841343969</v>
      </c>
    </row>
    <row r="236" spans="1:11" x14ac:dyDescent="0.35">
      <c r="A236" s="9" t="s">
        <v>303</v>
      </c>
      <c r="B236" s="10">
        <v>1807</v>
      </c>
      <c r="C236" s="10">
        <v>12</v>
      </c>
      <c r="D236" s="10">
        <v>2</v>
      </c>
      <c r="E236" s="10">
        <v>954</v>
      </c>
      <c r="F236" s="10">
        <v>52531574.653398201</v>
      </c>
      <c r="G236" s="10">
        <v>1883</v>
      </c>
      <c r="H236" s="10">
        <v>153</v>
      </c>
      <c r="I236" s="10">
        <v>3</v>
      </c>
      <c r="J236" s="10">
        <v>957</v>
      </c>
      <c r="K236" s="10">
        <v>27766812.741001211</v>
      </c>
    </row>
    <row r="237" spans="1:11" x14ac:dyDescent="0.35">
      <c r="A237" s="9" t="s">
        <v>304</v>
      </c>
      <c r="B237" s="10">
        <v>906</v>
      </c>
      <c r="C237" s="10">
        <v>8</v>
      </c>
      <c r="D237" s="10">
        <v>3</v>
      </c>
      <c r="E237" s="10">
        <v>498</v>
      </c>
      <c r="F237" s="10">
        <v>16197729.174344068</v>
      </c>
      <c r="G237" s="10">
        <v>1048</v>
      </c>
      <c r="H237" s="10">
        <v>6</v>
      </c>
      <c r="I237" s="10">
        <v>3</v>
      </c>
      <c r="J237" s="10">
        <v>534</v>
      </c>
      <c r="K237" s="10">
        <v>3270017.6838649628</v>
      </c>
    </row>
    <row r="238" spans="1:11" x14ac:dyDescent="0.35">
      <c r="A238" s="9" t="s">
        <v>305</v>
      </c>
      <c r="B238" s="10">
        <v>1756</v>
      </c>
      <c r="C238" s="10">
        <v>11</v>
      </c>
      <c r="D238" s="10">
        <v>3</v>
      </c>
      <c r="E238" s="10">
        <v>877</v>
      </c>
      <c r="F238" s="10">
        <v>30037359.613447618</v>
      </c>
      <c r="G238" s="10">
        <v>1751</v>
      </c>
      <c r="H238" s="10">
        <v>12</v>
      </c>
      <c r="I238" s="10">
        <v>4</v>
      </c>
      <c r="J238" s="10">
        <v>785</v>
      </c>
      <c r="K238" s="10">
        <v>2979539.092678437</v>
      </c>
    </row>
    <row r="239" spans="1:11" x14ac:dyDescent="0.35">
      <c r="A239" s="9" t="s">
        <v>306</v>
      </c>
      <c r="B239" s="10">
        <v>1465</v>
      </c>
      <c r="C239" s="10">
        <v>17</v>
      </c>
      <c r="D239" s="10">
        <v>4</v>
      </c>
      <c r="E239" s="10">
        <v>750</v>
      </c>
      <c r="F239" s="10">
        <v>41625044.279318646</v>
      </c>
      <c r="G239" s="10">
        <v>1457</v>
      </c>
      <c r="H239" s="10">
        <v>15</v>
      </c>
      <c r="I239" s="10">
        <v>4</v>
      </c>
      <c r="J239" s="10">
        <v>852</v>
      </c>
      <c r="K239" s="10">
        <v>19005550.564845297</v>
      </c>
    </row>
    <row r="240" spans="1:11" x14ac:dyDescent="0.35">
      <c r="A240" s="9" t="s">
        <v>307</v>
      </c>
      <c r="B240" s="10">
        <v>3015</v>
      </c>
      <c r="C240" s="10">
        <v>38</v>
      </c>
      <c r="D240" s="10">
        <v>5</v>
      </c>
      <c r="E240" s="10">
        <v>1392</v>
      </c>
      <c r="F240" s="10">
        <v>75166054.630786389</v>
      </c>
      <c r="G240" s="10">
        <v>2855</v>
      </c>
      <c r="H240" s="10">
        <v>52</v>
      </c>
      <c r="I240" s="10">
        <v>5</v>
      </c>
      <c r="J240" s="10">
        <v>1897</v>
      </c>
      <c r="K240" s="10">
        <v>59543317.712076269</v>
      </c>
    </row>
    <row r="241" spans="1:11" x14ac:dyDescent="0.35">
      <c r="A241" s="9" t="s">
        <v>308</v>
      </c>
      <c r="B241" s="10">
        <v>279</v>
      </c>
      <c r="C241" s="10">
        <v>5</v>
      </c>
      <c r="D241" s="10">
        <v>0</v>
      </c>
      <c r="E241" s="10">
        <v>180</v>
      </c>
      <c r="F241" s="10">
        <v>5859875.606128932</v>
      </c>
      <c r="G241" s="10">
        <v>279</v>
      </c>
      <c r="H241" s="10">
        <v>2</v>
      </c>
      <c r="I241" s="10">
        <v>1</v>
      </c>
      <c r="J241" s="10">
        <v>214</v>
      </c>
      <c r="K241" s="10">
        <v>2766107.9503645198</v>
      </c>
    </row>
    <row r="242" spans="1:11" x14ac:dyDescent="0.35">
      <c r="A242" s="9" t="s">
        <v>309</v>
      </c>
      <c r="B242" s="10">
        <v>1281</v>
      </c>
      <c r="C242" s="10">
        <v>14</v>
      </c>
      <c r="D242" s="10">
        <v>6</v>
      </c>
      <c r="E242" s="10">
        <v>594</v>
      </c>
      <c r="F242" s="10">
        <v>23172787.948966604</v>
      </c>
      <c r="G242" s="10">
        <v>1418</v>
      </c>
      <c r="H242" s="10">
        <v>16</v>
      </c>
      <c r="I242" s="10">
        <v>6</v>
      </c>
      <c r="J242" s="10">
        <v>652</v>
      </c>
      <c r="K242" s="10">
        <v>3097692.236588642</v>
      </c>
    </row>
    <row r="243" spans="1:11" x14ac:dyDescent="0.35">
      <c r="A243" s="9" t="s">
        <v>310</v>
      </c>
      <c r="B243" s="10">
        <v>1188</v>
      </c>
      <c r="C243" s="10">
        <v>22</v>
      </c>
      <c r="D243" s="10">
        <v>1</v>
      </c>
      <c r="E243" s="10">
        <v>504</v>
      </c>
      <c r="F243" s="10">
        <v>23021272.666241787</v>
      </c>
      <c r="G243" s="10">
        <v>1162</v>
      </c>
      <c r="H243" s="10">
        <v>9</v>
      </c>
      <c r="I243" s="10">
        <v>1</v>
      </c>
      <c r="J243" s="10">
        <v>501</v>
      </c>
      <c r="K243" s="10">
        <v>3157583.640503149</v>
      </c>
    </row>
    <row r="244" spans="1:11" x14ac:dyDescent="0.35">
      <c r="A244" s="9" t="s">
        <v>311</v>
      </c>
      <c r="B244" s="10">
        <v>1677</v>
      </c>
      <c r="C244" s="10">
        <v>11</v>
      </c>
      <c r="D244" s="10">
        <v>3</v>
      </c>
      <c r="E244" s="10">
        <v>886</v>
      </c>
      <c r="F244" s="10">
        <v>38169107.720765531</v>
      </c>
      <c r="G244" s="10">
        <v>1714</v>
      </c>
      <c r="H244" s="10">
        <v>6</v>
      </c>
      <c r="I244" s="10">
        <v>4</v>
      </c>
      <c r="J244" s="10">
        <v>851</v>
      </c>
      <c r="K244" s="10">
        <v>9106169.7245962843</v>
      </c>
    </row>
    <row r="245" spans="1:11" x14ac:dyDescent="0.35">
      <c r="A245" s="9" t="s">
        <v>312</v>
      </c>
      <c r="B245" s="10">
        <v>690</v>
      </c>
      <c r="C245" s="10">
        <v>8</v>
      </c>
      <c r="D245" s="10">
        <v>1</v>
      </c>
      <c r="E245" s="10">
        <v>341</v>
      </c>
      <c r="F245" s="10">
        <v>22939042.883817829</v>
      </c>
      <c r="G245" s="10">
        <v>687</v>
      </c>
      <c r="H245" s="10">
        <v>6</v>
      </c>
      <c r="I245" s="10">
        <v>0</v>
      </c>
      <c r="J245" s="10">
        <v>345</v>
      </c>
      <c r="K245" s="10">
        <v>13944816.00461504</v>
      </c>
    </row>
    <row r="246" spans="1:11" x14ac:dyDescent="0.35">
      <c r="A246" s="9" t="s">
        <v>313</v>
      </c>
      <c r="B246" s="10">
        <v>1753</v>
      </c>
      <c r="C246" s="10">
        <v>11</v>
      </c>
      <c r="D246" s="10">
        <v>3</v>
      </c>
      <c r="E246" s="10">
        <v>998</v>
      </c>
      <c r="F246" s="10">
        <v>28596824.161655672</v>
      </c>
      <c r="G246" s="10">
        <v>1806</v>
      </c>
      <c r="H246" s="10">
        <v>9</v>
      </c>
      <c r="I246" s="10">
        <v>4</v>
      </c>
      <c r="J246" s="10">
        <v>957</v>
      </c>
      <c r="K246" s="10">
        <v>8098131.7075252393</v>
      </c>
    </row>
    <row r="247" spans="1:11" x14ac:dyDescent="0.35">
      <c r="A247" s="9" t="s">
        <v>314</v>
      </c>
      <c r="B247" s="10">
        <v>2878</v>
      </c>
      <c r="C247" s="10">
        <v>135</v>
      </c>
      <c r="D247" s="10">
        <v>4</v>
      </c>
      <c r="E247" s="10">
        <v>1491</v>
      </c>
      <c r="F247" s="10">
        <v>40730332.585344866</v>
      </c>
      <c r="G247" s="10">
        <v>2779</v>
      </c>
      <c r="H247" s="10">
        <v>20</v>
      </c>
      <c r="I247" s="10">
        <v>6</v>
      </c>
      <c r="J247" s="10">
        <v>1467</v>
      </c>
      <c r="K247" s="10">
        <v>3964363.152032644</v>
      </c>
    </row>
    <row r="248" spans="1:11" x14ac:dyDescent="0.35">
      <c r="A248" s="9" t="s">
        <v>315</v>
      </c>
      <c r="B248" s="10">
        <v>1674</v>
      </c>
      <c r="C248" s="10">
        <v>12</v>
      </c>
      <c r="D248" s="10">
        <v>3</v>
      </c>
      <c r="E248" s="10">
        <v>965</v>
      </c>
      <c r="F248" s="10">
        <v>44022788.97887437</v>
      </c>
      <c r="G248" s="10">
        <v>1747</v>
      </c>
      <c r="H248" s="10">
        <v>18</v>
      </c>
      <c r="I248" s="10">
        <v>7</v>
      </c>
      <c r="J248" s="10">
        <v>1039</v>
      </c>
      <c r="K248" s="10">
        <v>28566869.718582042</v>
      </c>
    </row>
    <row r="249" spans="1:11" x14ac:dyDescent="0.35">
      <c r="A249" s="9" t="s">
        <v>316</v>
      </c>
      <c r="B249" s="10">
        <v>861</v>
      </c>
      <c r="C249" s="10">
        <v>13</v>
      </c>
      <c r="D249" s="10">
        <v>3</v>
      </c>
      <c r="E249" s="10">
        <v>578</v>
      </c>
      <c r="F249" s="10">
        <v>24278836.177645214</v>
      </c>
      <c r="G249" s="10">
        <v>821</v>
      </c>
      <c r="H249" s="10">
        <v>7</v>
      </c>
      <c r="I249" s="10">
        <v>3</v>
      </c>
      <c r="J249" s="10">
        <v>516</v>
      </c>
      <c r="K249" s="10">
        <v>16906236.567911223</v>
      </c>
    </row>
    <row r="250" spans="1:11" x14ac:dyDescent="0.35">
      <c r="A250" s="9" t="s">
        <v>317</v>
      </c>
      <c r="B250" s="10">
        <v>1198</v>
      </c>
      <c r="C250" s="10">
        <v>15</v>
      </c>
      <c r="D250" s="10">
        <v>3</v>
      </c>
      <c r="E250" s="10">
        <v>690</v>
      </c>
      <c r="F250" s="10">
        <v>39056333.155071341</v>
      </c>
      <c r="G250" s="10">
        <v>1186</v>
      </c>
      <c r="H250" s="10">
        <v>10</v>
      </c>
      <c r="I250" s="10">
        <v>3</v>
      </c>
      <c r="J250" s="10">
        <v>704</v>
      </c>
      <c r="K250" s="10">
        <v>29098917.065950137</v>
      </c>
    </row>
    <row r="251" spans="1:11" x14ac:dyDescent="0.35">
      <c r="A251" s="9" t="s">
        <v>318</v>
      </c>
      <c r="B251" s="10">
        <v>2284</v>
      </c>
      <c r="C251" s="10">
        <v>28</v>
      </c>
      <c r="D251" s="10">
        <v>0</v>
      </c>
      <c r="E251" s="10">
        <v>1066</v>
      </c>
      <c r="F251" s="10">
        <v>45625554.613336302</v>
      </c>
      <c r="G251" s="10">
        <v>2219</v>
      </c>
      <c r="H251" s="10">
        <v>11</v>
      </c>
      <c r="I251" s="10">
        <v>1</v>
      </c>
      <c r="J251" s="10">
        <v>1027</v>
      </c>
      <c r="K251" s="10">
        <v>2249965.5688987919</v>
      </c>
    </row>
    <row r="252" spans="1:11" x14ac:dyDescent="0.35">
      <c r="A252" s="9" t="s">
        <v>319</v>
      </c>
      <c r="B252" s="10">
        <v>1575</v>
      </c>
      <c r="C252" s="10">
        <v>13</v>
      </c>
      <c r="D252" s="10">
        <v>4</v>
      </c>
      <c r="E252" s="10">
        <v>838</v>
      </c>
      <c r="F252" s="10">
        <v>28834395.127572082</v>
      </c>
      <c r="G252" s="10">
        <v>1529</v>
      </c>
      <c r="H252" s="10">
        <v>13</v>
      </c>
      <c r="I252" s="10">
        <v>5</v>
      </c>
      <c r="J252" s="10">
        <v>811</v>
      </c>
      <c r="K252" s="10">
        <v>11194196.059572333</v>
      </c>
    </row>
    <row r="253" spans="1:11" x14ac:dyDescent="0.35">
      <c r="A253" s="9" t="s">
        <v>320</v>
      </c>
      <c r="B253" s="10">
        <v>1281</v>
      </c>
      <c r="C253" s="10">
        <v>11</v>
      </c>
      <c r="D253" s="10">
        <v>5</v>
      </c>
      <c r="E253" s="10">
        <v>644</v>
      </c>
      <c r="F253" s="10">
        <v>24526953.284992088</v>
      </c>
      <c r="G253" s="10">
        <v>1195</v>
      </c>
      <c r="H253" s="10">
        <v>5</v>
      </c>
      <c r="I253" s="10">
        <v>5</v>
      </c>
      <c r="J253" s="10">
        <v>626</v>
      </c>
      <c r="K253" s="10">
        <v>3347274.2202705732</v>
      </c>
    </row>
    <row r="254" spans="1:11" x14ac:dyDescent="0.35">
      <c r="A254" s="9" t="s">
        <v>321</v>
      </c>
      <c r="B254" s="10">
        <v>1327</v>
      </c>
      <c r="C254" s="10">
        <v>70</v>
      </c>
      <c r="D254" s="10">
        <v>7</v>
      </c>
      <c r="E254" s="10">
        <v>1003</v>
      </c>
      <c r="F254" s="10">
        <v>37607945.525756277</v>
      </c>
      <c r="G254" s="10">
        <v>1313</v>
      </c>
      <c r="H254" s="10">
        <v>25</v>
      </c>
      <c r="I254" s="10">
        <v>6</v>
      </c>
      <c r="J254" s="10">
        <v>952</v>
      </c>
      <c r="K254" s="10">
        <v>21034744.129666433</v>
      </c>
    </row>
    <row r="255" spans="1:11" x14ac:dyDescent="0.35">
      <c r="A255" s="9" t="s">
        <v>322</v>
      </c>
      <c r="B255" s="10">
        <v>2714</v>
      </c>
      <c r="C255" s="10">
        <v>897</v>
      </c>
      <c r="D255" s="10">
        <v>7</v>
      </c>
      <c r="E255" s="10">
        <v>1495</v>
      </c>
      <c r="F255" s="10">
        <v>45698817.811047249</v>
      </c>
      <c r="G255" s="10">
        <v>4058</v>
      </c>
      <c r="H255" s="10">
        <v>583</v>
      </c>
      <c r="I255" s="10">
        <v>7</v>
      </c>
      <c r="J255" s="10">
        <v>1349</v>
      </c>
      <c r="K255" s="10">
        <v>30782629.487051528</v>
      </c>
    </row>
    <row r="256" spans="1:11" x14ac:dyDescent="0.35">
      <c r="A256" s="9" t="s">
        <v>323</v>
      </c>
      <c r="B256" s="10">
        <v>1737</v>
      </c>
      <c r="C256" s="10">
        <v>17</v>
      </c>
      <c r="D256" s="10">
        <v>6</v>
      </c>
      <c r="E256" s="10">
        <v>951</v>
      </c>
      <c r="F256" s="10">
        <v>38909258.893251084</v>
      </c>
      <c r="G256" s="10">
        <v>1914</v>
      </c>
      <c r="H256" s="10">
        <v>76</v>
      </c>
      <c r="I256" s="10">
        <v>6</v>
      </c>
      <c r="J256" s="10">
        <v>1012</v>
      </c>
      <c r="K256" s="10">
        <v>20276522.040681504</v>
      </c>
    </row>
    <row r="257" spans="1:11" x14ac:dyDescent="0.35">
      <c r="A257" s="9" t="s">
        <v>324</v>
      </c>
      <c r="B257" s="10">
        <v>1612</v>
      </c>
      <c r="C257" s="10">
        <v>11</v>
      </c>
      <c r="D257" s="10">
        <v>6</v>
      </c>
      <c r="E257" s="10">
        <v>853</v>
      </c>
      <c r="F257" s="10">
        <v>38854803.259915546</v>
      </c>
      <c r="G257" s="10">
        <v>1575</v>
      </c>
      <c r="H257" s="10">
        <v>12</v>
      </c>
      <c r="I257" s="10">
        <v>8</v>
      </c>
      <c r="J257" s="10">
        <v>878</v>
      </c>
      <c r="K257" s="10">
        <v>14515639.111098653</v>
      </c>
    </row>
    <row r="258" spans="1:11" x14ac:dyDescent="0.35">
      <c r="A258" s="9" t="s">
        <v>325</v>
      </c>
      <c r="B258" s="10">
        <v>1827</v>
      </c>
      <c r="C258" s="10">
        <v>25</v>
      </c>
      <c r="D258" s="10">
        <v>5</v>
      </c>
      <c r="E258" s="10">
        <v>1012</v>
      </c>
      <c r="F258" s="10">
        <v>42392051.703340545</v>
      </c>
      <c r="G258" s="10">
        <v>1874</v>
      </c>
      <c r="H258" s="10">
        <v>23</v>
      </c>
      <c r="I258" s="10">
        <v>6</v>
      </c>
      <c r="J258" s="10">
        <v>1022</v>
      </c>
      <c r="K258" s="10">
        <v>19818720.748262908</v>
      </c>
    </row>
    <row r="259" spans="1:11" x14ac:dyDescent="0.35">
      <c r="A259" s="9" t="s">
        <v>326</v>
      </c>
      <c r="B259" s="10">
        <v>1713</v>
      </c>
      <c r="C259" s="10">
        <v>10</v>
      </c>
      <c r="D259" s="10">
        <v>2</v>
      </c>
      <c r="E259" s="10">
        <v>845</v>
      </c>
      <c r="F259" s="10">
        <v>21931679.694670789</v>
      </c>
      <c r="G259" s="10">
        <v>1710</v>
      </c>
      <c r="H259" s="10">
        <v>12</v>
      </c>
      <c r="I259" s="10">
        <v>4</v>
      </c>
      <c r="J259" s="10">
        <v>905</v>
      </c>
      <c r="K259" s="10">
        <v>3122480.3249704791</v>
      </c>
    </row>
    <row r="260" spans="1:11" x14ac:dyDescent="0.35">
      <c r="A260" s="9" t="s">
        <v>327</v>
      </c>
      <c r="B260" s="10">
        <v>1765</v>
      </c>
      <c r="C260" s="10">
        <v>16</v>
      </c>
      <c r="D260" s="10">
        <v>1</v>
      </c>
      <c r="E260" s="10">
        <v>834</v>
      </c>
      <c r="F260" s="10">
        <v>34552488.408860415</v>
      </c>
      <c r="G260" s="10">
        <v>1651</v>
      </c>
      <c r="H260" s="10">
        <v>8</v>
      </c>
      <c r="I260" s="10">
        <v>1</v>
      </c>
      <c r="J260" s="10">
        <v>739</v>
      </c>
      <c r="K260" s="10">
        <v>1738930.8247748781</v>
      </c>
    </row>
    <row r="261" spans="1:11" x14ac:dyDescent="0.35">
      <c r="A261" s="9" t="s">
        <v>328</v>
      </c>
      <c r="B261" s="10">
        <v>2531</v>
      </c>
      <c r="C261" s="10">
        <v>38</v>
      </c>
      <c r="D261" s="10">
        <v>8</v>
      </c>
      <c r="E261" s="10">
        <v>1656</v>
      </c>
      <c r="F261" s="10">
        <v>62212602.167099029</v>
      </c>
      <c r="G261" s="10">
        <v>2690</v>
      </c>
      <c r="H261" s="10">
        <v>87</v>
      </c>
      <c r="I261" s="10">
        <v>6</v>
      </c>
      <c r="J261" s="10">
        <v>1644</v>
      </c>
      <c r="K261" s="10">
        <v>32806919.201784886</v>
      </c>
    </row>
    <row r="262" spans="1:11" x14ac:dyDescent="0.35">
      <c r="A262" s="9" t="s">
        <v>329</v>
      </c>
      <c r="B262" s="10">
        <v>3652</v>
      </c>
      <c r="C262" s="10">
        <v>49</v>
      </c>
      <c r="D262" s="10">
        <v>14</v>
      </c>
      <c r="E262" s="10">
        <v>2155</v>
      </c>
      <c r="F262" s="10">
        <v>93311963.558788717</v>
      </c>
      <c r="G262" s="10">
        <v>3646</v>
      </c>
      <c r="H262" s="10">
        <v>42</v>
      </c>
      <c r="I262" s="10">
        <v>14</v>
      </c>
      <c r="J262" s="10">
        <v>2244</v>
      </c>
      <c r="K262" s="10">
        <v>43397665.01197838</v>
      </c>
    </row>
    <row r="263" spans="1:11" x14ac:dyDescent="0.35">
      <c r="A263" s="9" t="s">
        <v>330</v>
      </c>
      <c r="B263" s="10">
        <v>1766</v>
      </c>
      <c r="C263" s="10">
        <v>21</v>
      </c>
      <c r="D263" s="10">
        <v>5</v>
      </c>
      <c r="E263" s="10">
        <v>928</v>
      </c>
      <c r="F263" s="10">
        <v>54253193.797094092</v>
      </c>
      <c r="G263" s="10">
        <v>1866</v>
      </c>
      <c r="H263" s="10">
        <v>24</v>
      </c>
      <c r="I263" s="10">
        <v>4</v>
      </c>
      <c r="J263" s="10">
        <v>1028</v>
      </c>
      <c r="K263" s="10">
        <v>30231408.807202965</v>
      </c>
    </row>
    <row r="264" spans="1:11" x14ac:dyDescent="0.35">
      <c r="A264" s="9" t="s">
        <v>331</v>
      </c>
      <c r="B264" s="10">
        <v>1170</v>
      </c>
      <c r="C264" s="10">
        <v>10</v>
      </c>
      <c r="D264" s="10">
        <v>4</v>
      </c>
      <c r="E264" s="10">
        <v>627</v>
      </c>
      <c r="F264" s="10">
        <v>25286566.78712526</v>
      </c>
      <c r="G264" s="10">
        <v>1145</v>
      </c>
      <c r="H264" s="10">
        <v>24</v>
      </c>
      <c r="I264" s="10">
        <v>4</v>
      </c>
      <c r="J264" s="10">
        <v>711</v>
      </c>
      <c r="K264" s="10">
        <v>11333042.319216361</v>
      </c>
    </row>
    <row r="265" spans="1:11" x14ac:dyDescent="0.35">
      <c r="A265" s="9" t="s">
        <v>332</v>
      </c>
      <c r="B265" s="10">
        <v>2119</v>
      </c>
      <c r="C265" s="10">
        <v>41</v>
      </c>
      <c r="D265" s="10">
        <v>6</v>
      </c>
      <c r="E265" s="10">
        <v>1297</v>
      </c>
      <c r="F265" s="10">
        <v>73797913.689489916</v>
      </c>
      <c r="G265" s="10">
        <v>2040</v>
      </c>
      <c r="H265" s="10">
        <v>37</v>
      </c>
      <c r="I265" s="10">
        <v>5</v>
      </c>
      <c r="J265" s="10">
        <v>1303</v>
      </c>
      <c r="K265" s="10">
        <v>33154866.250021841</v>
      </c>
    </row>
    <row r="266" spans="1:11" x14ac:dyDescent="0.35">
      <c r="A266" s="9" t="s">
        <v>333</v>
      </c>
      <c r="B266" s="10">
        <v>1505</v>
      </c>
      <c r="C266" s="10">
        <v>9</v>
      </c>
      <c r="D266" s="10">
        <v>1</v>
      </c>
      <c r="E266" s="10">
        <v>730</v>
      </c>
      <c r="F266" s="10">
        <v>18644393.217382383</v>
      </c>
      <c r="G266" s="10">
        <v>1468</v>
      </c>
      <c r="H266" s="10">
        <v>7</v>
      </c>
      <c r="I266" s="10">
        <v>1</v>
      </c>
      <c r="J266" s="10">
        <v>710</v>
      </c>
      <c r="K266" s="10">
        <v>1609374.6019683119</v>
      </c>
    </row>
    <row r="267" spans="1:11" x14ac:dyDescent="0.35">
      <c r="A267" s="9" t="s">
        <v>334</v>
      </c>
      <c r="B267" s="10">
        <v>3147</v>
      </c>
      <c r="C267" s="10">
        <v>149</v>
      </c>
      <c r="D267" s="10">
        <v>6</v>
      </c>
      <c r="E267" s="10">
        <v>2060</v>
      </c>
      <c r="F267" s="10">
        <v>76496155.666309506</v>
      </c>
      <c r="G267" s="10">
        <v>3163</v>
      </c>
      <c r="H267" s="10">
        <v>123</v>
      </c>
      <c r="I267" s="10">
        <v>6</v>
      </c>
      <c r="J267" s="10">
        <v>2070</v>
      </c>
      <c r="K267" s="10">
        <v>41645744.992254876</v>
      </c>
    </row>
    <row r="268" spans="1:11" x14ac:dyDescent="0.35">
      <c r="A268" s="9" t="s">
        <v>335</v>
      </c>
      <c r="B268" s="10">
        <v>2751</v>
      </c>
      <c r="C268" s="10">
        <v>24</v>
      </c>
      <c r="D268" s="10">
        <v>6</v>
      </c>
      <c r="E268" s="10">
        <v>1429</v>
      </c>
      <c r="F268" s="10">
        <v>77195060.626586705</v>
      </c>
      <c r="G268" s="10">
        <v>2879</v>
      </c>
      <c r="H268" s="10">
        <v>27</v>
      </c>
      <c r="I268" s="10">
        <v>7</v>
      </c>
      <c r="J268" s="10">
        <v>1502</v>
      </c>
      <c r="K268" s="10">
        <v>37060285.02273605</v>
      </c>
    </row>
    <row r="269" spans="1:11" x14ac:dyDescent="0.35">
      <c r="A269" s="9" t="s">
        <v>336</v>
      </c>
      <c r="B269" s="10">
        <v>1162</v>
      </c>
      <c r="C269" s="10">
        <v>14</v>
      </c>
      <c r="D269" s="10">
        <v>3</v>
      </c>
      <c r="E269" s="10">
        <v>688</v>
      </c>
      <c r="F269" s="10">
        <v>22787607.673252709</v>
      </c>
      <c r="G269" s="10">
        <v>1158</v>
      </c>
      <c r="H269" s="10">
        <v>9</v>
      </c>
      <c r="I269" s="10">
        <v>3</v>
      </c>
      <c r="J269" s="10">
        <v>623</v>
      </c>
      <c r="K269" s="10">
        <v>3031780.5128147071</v>
      </c>
    </row>
    <row r="270" spans="1:11" x14ac:dyDescent="0.35">
      <c r="A270" s="9" t="s">
        <v>337</v>
      </c>
      <c r="B270" s="10">
        <v>1735</v>
      </c>
      <c r="C270" s="10">
        <v>21</v>
      </c>
      <c r="D270" s="10">
        <v>6</v>
      </c>
      <c r="E270" s="10">
        <v>1298</v>
      </c>
      <c r="F270" s="10">
        <v>47596496.374375999</v>
      </c>
      <c r="G270" s="10">
        <v>1574</v>
      </c>
      <c r="H270" s="10">
        <v>21</v>
      </c>
      <c r="I270" s="10">
        <v>5</v>
      </c>
      <c r="J270" s="10">
        <v>1259</v>
      </c>
      <c r="K270" s="10">
        <v>21120940.479535043</v>
      </c>
    </row>
    <row r="271" spans="1:11" x14ac:dyDescent="0.35">
      <c r="A271" s="9" t="s">
        <v>338</v>
      </c>
      <c r="B271" s="10">
        <v>2224</v>
      </c>
      <c r="C271" s="10">
        <v>44</v>
      </c>
      <c r="D271" s="10">
        <v>5</v>
      </c>
      <c r="E271" s="10">
        <v>1423</v>
      </c>
      <c r="F271" s="10">
        <v>57019028.601202011</v>
      </c>
      <c r="G271" s="10">
        <v>2238</v>
      </c>
      <c r="H271" s="10">
        <v>22</v>
      </c>
      <c r="I271" s="10">
        <v>4</v>
      </c>
      <c r="J271" s="10">
        <v>1430</v>
      </c>
      <c r="K271" s="10">
        <v>33025345.766315114</v>
      </c>
    </row>
    <row r="272" spans="1:11" x14ac:dyDescent="0.35">
      <c r="A272" s="9" t="s">
        <v>339</v>
      </c>
      <c r="B272" s="10">
        <v>948</v>
      </c>
      <c r="C272" s="10">
        <v>12</v>
      </c>
      <c r="D272" s="10">
        <v>2</v>
      </c>
      <c r="E272" s="10">
        <v>609</v>
      </c>
      <c r="F272" s="10">
        <v>27905380.019546948</v>
      </c>
      <c r="G272" s="10">
        <v>869</v>
      </c>
      <c r="H272" s="10">
        <v>9</v>
      </c>
      <c r="I272" s="10">
        <v>2</v>
      </c>
      <c r="J272" s="10">
        <v>602</v>
      </c>
      <c r="K272" s="10">
        <v>13791562.724775683</v>
      </c>
    </row>
    <row r="273" spans="1:11" x14ac:dyDescent="0.35">
      <c r="A273" s="9" t="s">
        <v>340</v>
      </c>
      <c r="B273" s="10">
        <v>1901</v>
      </c>
      <c r="C273" s="10">
        <v>17</v>
      </c>
      <c r="D273" s="10">
        <v>2</v>
      </c>
      <c r="E273" s="10">
        <v>846</v>
      </c>
      <c r="F273" s="10">
        <v>31518950.986633293</v>
      </c>
      <c r="G273" s="10">
        <v>1951</v>
      </c>
      <c r="H273" s="10">
        <v>25</v>
      </c>
      <c r="I273" s="10">
        <v>2</v>
      </c>
      <c r="J273" s="10">
        <v>850</v>
      </c>
      <c r="K273" s="10">
        <v>6996040.3808723995</v>
      </c>
    </row>
    <row r="274" spans="1:11" x14ac:dyDescent="0.35">
      <c r="A274" s="9" t="s">
        <v>341</v>
      </c>
      <c r="B274" s="10">
        <v>2503</v>
      </c>
      <c r="C274" s="10">
        <v>22</v>
      </c>
      <c r="D274" s="10">
        <v>3</v>
      </c>
      <c r="E274" s="10">
        <v>1127</v>
      </c>
      <c r="F274" s="10">
        <v>58399917.018675238</v>
      </c>
      <c r="G274" s="10">
        <v>2509</v>
      </c>
      <c r="H274" s="10">
        <v>13</v>
      </c>
      <c r="I274" s="10">
        <v>5</v>
      </c>
      <c r="J274" s="10">
        <v>1104</v>
      </c>
      <c r="K274" s="10">
        <v>5649888.1797144972</v>
      </c>
    </row>
    <row r="275" spans="1:11" x14ac:dyDescent="0.35">
      <c r="A275" s="9" t="s">
        <v>342</v>
      </c>
      <c r="B275" s="10">
        <v>1603</v>
      </c>
      <c r="C275" s="10">
        <v>25</v>
      </c>
      <c r="D275" s="10">
        <v>4</v>
      </c>
      <c r="E275" s="10">
        <v>1061</v>
      </c>
      <c r="F275" s="10">
        <v>55329961.144212082</v>
      </c>
      <c r="G275" s="10">
        <v>1677</v>
      </c>
      <c r="H275" s="10">
        <v>23</v>
      </c>
      <c r="I275" s="10">
        <v>5</v>
      </c>
      <c r="J275" s="10">
        <v>1146</v>
      </c>
      <c r="K275" s="10">
        <v>28193175.574985545</v>
      </c>
    </row>
    <row r="276" spans="1:11" x14ac:dyDescent="0.35">
      <c r="A276" s="9" t="s">
        <v>343</v>
      </c>
      <c r="B276" s="10">
        <v>1101</v>
      </c>
      <c r="C276" s="10">
        <v>11</v>
      </c>
      <c r="D276" s="10">
        <v>2</v>
      </c>
      <c r="E276" s="10">
        <v>653</v>
      </c>
      <c r="F276" s="10">
        <v>21068683.340788439</v>
      </c>
      <c r="G276" s="10">
        <v>1179</v>
      </c>
      <c r="H276" s="10">
        <v>12</v>
      </c>
      <c r="I276" s="10">
        <v>2</v>
      </c>
      <c r="J276" s="10">
        <v>802</v>
      </c>
      <c r="K276" s="10">
        <v>2542587.2091165688</v>
      </c>
    </row>
    <row r="277" spans="1:11" x14ac:dyDescent="0.35">
      <c r="A277" s="9" t="s">
        <v>344</v>
      </c>
      <c r="B277" s="10">
        <v>1523</v>
      </c>
      <c r="C277" s="10">
        <v>10</v>
      </c>
      <c r="D277" s="10">
        <v>9</v>
      </c>
      <c r="E277" s="10">
        <v>929</v>
      </c>
      <c r="F277" s="10">
        <v>45525938.842041671</v>
      </c>
      <c r="G277" s="10">
        <v>1550</v>
      </c>
      <c r="H277" s="10">
        <v>16</v>
      </c>
      <c r="I277" s="10">
        <v>7</v>
      </c>
      <c r="J277" s="10">
        <v>961</v>
      </c>
      <c r="K277" s="10">
        <v>19178247.70949056</v>
      </c>
    </row>
    <row r="278" spans="1:11" x14ac:dyDescent="0.35">
      <c r="A278" s="9" t="s">
        <v>345</v>
      </c>
      <c r="B278" s="10">
        <v>1295</v>
      </c>
      <c r="C278" s="10">
        <v>9</v>
      </c>
      <c r="D278" s="10">
        <v>6</v>
      </c>
      <c r="E278" s="10">
        <v>550</v>
      </c>
      <c r="F278" s="10">
        <v>18696460.191375162</v>
      </c>
      <c r="G278" s="10">
        <v>1354</v>
      </c>
      <c r="H278" s="10">
        <v>123</v>
      </c>
      <c r="I278" s="10">
        <v>7</v>
      </c>
      <c r="J278" s="10">
        <v>607</v>
      </c>
      <c r="K278" s="10">
        <v>4281553.1961575188</v>
      </c>
    </row>
    <row r="279" spans="1:11" x14ac:dyDescent="0.35">
      <c r="A279" s="9" t="s">
        <v>346</v>
      </c>
      <c r="B279" s="10">
        <v>547</v>
      </c>
      <c r="C279" s="10">
        <v>6</v>
      </c>
      <c r="D279" s="10">
        <v>3</v>
      </c>
      <c r="E279" s="10">
        <v>302</v>
      </c>
      <c r="F279" s="10">
        <v>18909548.609117545</v>
      </c>
      <c r="G279" s="10">
        <v>492</v>
      </c>
      <c r="H279" s="10">
        <v>4</v>
      </c>
      <c r="I279" s="10">
        <v>3</v>
      </c>
      <c r="J279" s="10">
        <v>274</v>
      </c>
      <c r="K279" s="10">
        <v>6906301.225847085</v>
      </c>
    </row>
    <row r="280" spans="1:11" x14ac:dyDescent="0.35">
      <c r="A280" s="9" t="s">
        <v>347</v>
      </c>
      <c r="B280" s="10">
        <v>692</v>
      </c>
      <c r="C280" s="10">
        <v>10</v>
      </c>
      <c r="D280" s="10">
        <v>8</v>
      </c>
      <c r="E280" s="10">
        <v>371</v>
      </c>
      <c r="F280" s="10">
        <v>20120810.156788819</v>
      </c>
      <c r="G280" s="10">
        <v>722</v>
      </c>
      <c r="H280" s="10">
        <v>5</v>
      </c>
      <c r="I280" s="10">
        <v>8</v>
      </c>
      <c r="J280" s="10">
        <v>325</v>
      </c>
      <c r="K280" s="10">
        <v>5561424.2598976744</v>
      </c>
    </row>
    <row r="281" spans="1:11" x14ac:dyDescent="0.35">
      <c r="A281" s="9" t="s">
        <v>348</v>
      </c>
      <c r="B281" s="10">
        <v>1319</v>
      </c>
      <c r="C281" s="10">
        <v>12</v>
      </c>
      <c r="D281" s="10">
        <v>3</v>
      </c>
      <c r="E281" s="10">
        <v>744</v>
      </c>
      <c r="F281" s="10">
        <v>25774047.556071725</v>
      </c>
      <c r="G281" s="10">
        <v>1408</v>
      </c>
      <c r="H281" s="10">
        <v>6</v>
      </c>
      <c r="I281" s="10">
        <v>3</v>
      </c>
      <c r="J281" s="10">
        <v>685</v>
      </c>
      <c r="K281" s="10">
        <v>2425990.7271849359</v>
      </c>
    </row>
    <row r="282" spans="1:11" x14ac:dyDescent="0.35">
      <c r="A282" s="9" t="s">
        <v>349</v>
      </c>
      <c r="B282" s="10">
        <v>937</v>
      </c>
      <c r="C282" s="10">
        <v>107</v>
      </c>
      <c r="D282" s="10">
        <v>5</v>
      </c>
      <c r="E282" s="10">
        <v>540</v>
      </c>
      <c r="F282" s="10">
        <v>17398848.366217285</v>
      </c>
      <c r="G282" s="10">
        <v>1056</v>
      </c>
      <c r="H282" s="10">
        <v>56</v>
      </c>
      <c r="I282" s="10">
        <v>6</v>
      </c>
      <c r="J282" s="10">
        <v>438</v>
      </c>
      <c r="K282" s="10">
        <v>2779727.530062872</v>
      </c>
    </row>
    <row r="283" spans="1:11" x14ac:dyDescent="0.35">
      <c r="A283" s="9" t="s">
        <v>350</v>
      </c>
      <c r="B283" s="10">
        <v>440</v>
      </c>
      <c r="C283" s="10">
        <v>1</v>
      </c>
      <c r="D283" s="10">
        <v>2</v>
      </c>
      <c r="E283" s="10">
        <v>265</v>
      </c>
      <c r="F283" s="10">
        <v>8626816.8823188767</v>
      </c>
      <c r="G283" s="10">
        <v>437</v>
      </c>
      <c r="H283" s="10">
        <v>0</v>
      </c>
      <c r="I283" s="10">
        <v>2</v>
      </c>
      <c r="J283" s="10">
        <v>301</v>
      </c>
      <c r="K283" s="10">
        <v>594879.06110619102</v>
      </c>
    </row>
    <row r="284" spans="1:11" x14ac:dyDescent="0.35">
      <c r="A284" s="9" t="s">
        <v>351</v>
      </c>
      <c r="B284" s="10">
        <v>2064</v>
      </c>
      <c r="C284" s="10">
        <v>16</v>
      </c>
      <c r="D284" s="10">
        <v>3</v>
      </c>
      <c r="E284" s="10">
        <v>1197</v>
      </c>
      <c r="F284" s="10">
        <v>44753634.188442156</v>
      </c>
      <c r="G284" s="10">
        <v>2330</v>
      </c>
      <c r="H284" s="10">
        <v>45</v>
      </c>
      <c r="I284" s="10">
        <v>4</v>
      </c>
      <c r="J284" s="10">
        <v>1421</v>
      </c>
      <c r="K284" s="10">
        <v>5339594.9545293106</v>
      </c>
    </row>
    <row r="285" spans="1:11" x14ac:dyDescent="0.35">
      <c r="A285" s="9" t="s">
        <v>352</v>
      </c>
      <c r="B285" s="10">
        <v>3860</v>
      </c>
      <c r="C285" s="10">
        <v>41</v>
      </c>
      <c r="D285" s="10">
        <v>4</v>
      </c>
      <c r="E285" s="10">
        <v>1761</v>
      </c>
      <c r="F285" s="10">
        <v>69451382.778106093</v>
      </c>
      <c r="G285" s="10">
        <v>3839</v>
      </c>
      <c r="H285" s="10">
        <v>20</v>
      </c>
      <c r="I285" s="10">
        <v>4</v>
      </c>
      <c r="J285" s="10">
        <v>1848</v>
      </c>
      <c r="K285" s="10">
        <v>10047882.405467847</v>
      </c>
    </row>
    <row r="286" spans="1:11" x14ac:dyDescent="0.35">
      <c r="A286" s="9" t="s">
        <v>353</v>
      </c>
      <c r="B286" s="10">
        <v>777</v>
      </c>
      <c r="C286" s="10">
        <v>1</v>
      </c>
      <c r="D286" s="10">
        <v>29</v>
      </c>
      <c r="E286" s="10">
        <v>292</v>
      </c>
      <c r="F286" s="10">
        <v>25213052.511792146</v>
      </c>
      <c r="G286" s="10">
        <v>755</v>
      </c>
      <c r="H286" s="10">
        <v>0</v>
      </c>
      <c r="I286" s="10">
        <v>30</v>
      </c>
      <c r="J286" s="10">
        <v>378</v>
      </c>
      <c r="K286" s="10">
        <v>2312315.6697838278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1502</v>
      </c>
      <c r="C288" s="10">
        <v>2</v>
      </c>
      <c r="D288" s="10">
        <v>21</v>
      </c>
      <c r="E288" s="10">
        <v>939</v>
      </c>
      <c r="F288" s="10">
        <v>41247690.378817223</v>
      </c>
      <c r="G288" s="10">
        <v>1472</v>
      </c>
      <c r="H288" s="10">
        <v>7</v>
      </c>
      <c r="I288" s="10">
        <v>21</v>
      </c>
      <c r="J288" s="10">
        <v>852</v>
      </c>
      <c r="K288" s="10">
        <v>3631666.052756689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3478</v>
      </c>
      <c r="C290" s="10">
        <v>40</v>
      </c>
      <c r="D290" s="10">
        <v>9</v>
      </c>
      <c r="E290" s="10">
        <v>1810</v>
      </c>
      <c r="F290" s="10">
        <v>82759796.008816794</v>
      </c>
      <c r="G290" s="10">
        <v>3487</v>
      </c>
      <c r="H290" s="10">
        <v>18</v>
      </c>
      <c r="I290" s="10">
        <v>12</v>
      </c>
      <c r="J290" s="10">
        <v>1714</v>
      </c>
      <c r="K290" s="10">
        <v>7484294.1483446723</v>
      </c>
    </row>
    <row r="291" spans="1:11" x14ac:dyDescent="0.35">
      <c r="A291" s="9" t="s">
        <v>358</v>
      </c>
      <c r="B291" s="10">
        <v>1246</v>
      </c>
      <c r="C291" s="10">
        <v>5</v>
      </c>
      <c r="D291" s="10">
        <v>3</v>
      </c>
      <c r="E291" s="10">
        <v>688</v>
      </c>
      <c r="F291" s="10">
        <v>30417671.952645056</v>
      </c>
      <c r="G291" s="10">
        <v>1359</v>
      </c>
      <c r="H291" s="10">
        <v>12</v>
      </c>
      <c r="I291" s="10">
        <v>4</v>
      </c>
      <c r="J291" s="10">
        <v>745</v>
      </c>
      <c r="K291" s="10">
        <v>2994035.59328978</v>
      </c>
    </row>
    <row r="292" spans="1:11" x14ac:dyDescent="0.35">
      <c r="A292" s="9" t="s">
        <v>359</v>
      </c>
      <c r="B292" s="10">
        <v>3712</v>
      </c>
      <c r="C292" s="10">
        <v>25</v>
      </c>
      <c r="D292" s="10">
        <v>11</v>
      </c>
      <c r="E292" s="10">
        <v>1808</v>
      </c>
      <c r="F292" s="10">
        <v>95350188.445509121</v>
      </c>
      <c r="G292" s="10">
        <v>3621</v>
      </c>
      <c r="H292" s="10">
        <v>24</v>
      </c>
      <c r="I292" s="10">
        <v>9</v>
      </c>
      <c r="J292" s="10">
        <v>1837</v>
      </c>
      <c r="K292" s="10">
        <v>12172692.093120376</v>
      </c>
    </row>
    <row r="293" spans="1:11" x14ac:dyDescent="0.35">
      <c r="A293" s="9" t="s">
        <v>360</v>
      </c>
      <c r="B293" s="10">
        <v>1493</v>
      </c>
      <c r="C293" s="10">
        <v>6</v>
      </c>
      <c r="D293" s="10">
        <v>3</v>
      </c>
      <c r="E293" s="10">
        <v>662</v>
      </c>
      <c r="F293" s="10">
        <v>42806070.524219759</v>
      </c>
      <c r="G293" s="10">
        <v>1462</v>
      </c>
      <c r="H293" s="10">
        <v>3</v>
      </c>
      <c r="I293" s="10">
        <v>1</v>
      </c>
      <c r="J293" s="10">
        <v>678</v>
      </c>
      <c r="K293" s="10">
        <v>3213982.435171946</v>
      </c>
    </row>
    <row r="294" spans="1:11" x14ac:dyDescent="0.35">
      <c r="A294" s="9" t="s">
        <v>361</v>
      </c>
      <c r="B294" s="10">
        <v>1611</v>
      </c>
      <c r="C294" s="10">
        <v>8</v>
      </c>
      <c r="D294" s="10">
        <v>1</v>
      </c>
      <c r="E294" s="10">
        <v>706</v>
      </c>
      <c r="F294" s="10">
        <v>38572181.744328961</v>
      </c>
      <c r="G294" s="10">
        <v>1618</v>
      </c>
      <c r="H294" s="10">
        <v>2</v>
      </c>
      <c r="I294" s="10">
        <v>1</v>
      </c>
      <c r="J294" s="10">
        <v>725</v>
      </c>
      <c r="K294" s="10">
        <v>2235182.3210168891</v>
      </c>
    </row>
    <row r="295" spans="1:11" x14ac:dyDescent="0.35">
      <c r="A295" s="9" t="s">
        <v>362</v>
      </c>
      <c r="B295" s="10">
        <v>2534</v>
      </c>
      <c r="C295" s="10">
        <v>27</v>
      </c>
      <c r="D295" s="10">
        <v>39</v>
      </c>
      <c r="E295" s="10">
        <v>1154</v>
      </c>
      <c r="F295" s="10">
        <v>104653292.00335683</v>
      </c>
      <c r="G295" s="10">
        <v>2405</v>
      </c>
      <c r="H295" s="10">
        <v>11</v>
      </c>
      <c r="I295" s="10">
        <v>40</v>
      </c>
      <c r="J295" s="10">
        <v>1235</v>
      </c>
      <c r="K295" s="10">
        <v>13527262.48139645</v>
      </c>
    </row>
    <row r="296" spans="1:11" x14ac:dyDescent="0.35">
      <c r="A296" s="9" t="s">
        <v>363</v>
      </c>
      <c r="B296" s="10">
        <v>1447</v>
      </c>
      <c r="C296" s="10">
        <v>4</v>
      </c>
      <c r="D296" s="10">
        <v>1</v>
      </c>
      <c r="E296" s="10">
        <v>102</v>
      </c>
      <c r="F296" s="10">
        <v>47641581.420198247</v>
      </c>
      <c r="G296" s="10">
        <v>1439</v>
      </c>
      <c r="H296" s="10">
        <v>5</v>
      </c>
      <c r="I296" s="10">
        <v>1</v>
      </c>
      <c r="J296" s="10">
        <v>640</v>
      </c>
      <c r="K296" s="10">
        <v>2826244.952178692</v>
      </c>
    </row>
    <row r="297" spans="1:11" x14ac:dyDescent="0.35">
      <c r="A297" s="9" t="s">
        <v>364</v>
      </c>
      <c r="B297" s="10">
        <v>1306</v>
      </c>
      <c r="C297" s="10">
        <v>3</v>
      </c>
      <c r="D297" s="10">
        <v>3</v>
      </c>
      <c r="E297" s="10">
        <v>1113</v>
      </c>
      <c r="F297" s="10">
        <v>51837291.633711942</v>
      </c>
      <c r="G297" s="10">
        <v>1290</v>
      </c>
      <c r="H297" s="10">
        <v>3</v>
      </c>
      <c r="I297" s="10">
        <v>3</v>
      </c>
      <c r="J297" s="10">
        <v>563</v>
      </c>
      <c r="K297" s="10">
        <v>4272955.5627185646</v>
      </c>
    </row>
    <row r="298" spans="1:11" x14ac:dyDescent="0.35">
      <c r="A298" s="9" t="s">
        <v>365</v>
      </c>
      <c r="B298" s="10">
        <v>935</v>
      </c>
      <c r="C298" s="10">
        <v>4</v>
      </c>
      <c r="D298" s="10">
        <v>5</v>
      </c>
      <c r="E298" s="10">
        <v>556</v>
      </c>
      <c r="F298" s="10">
        <v>32153614.351210389</v>
      </c>
      <c r="G298" s="10">
        <v>952</v>
      </c>
      <c r="H298" s="10">
        <v>4</v>
      </c>
      <c r="I298" s="10">
        <v>5</v>
      </c>
      <c r="J298" s="10">
        <v>513</v>
      </c>
      <c r="K298" s="10">
        <v>3449553.3390331529</v>
      </c>
    </row>
    <row r="299" spans="1:11" x14ac:dyDescent="0.35">
      <c r="A299" s="9" t="s">
        <v>366</v>
      </c>
      <c r="B299" s="10">
        <v>1959</v>
      </c>
      <c r="C299" s="10">
        <v>9</v>
      </c>
      <c r="D299" s="10">
        <v>9</v>
      </c>
      <c r="E299" s="10">
        <v>837</v>
      </c>
      <c r="F299" s="10">
        <v>71788012.894558549</v>
      </c>
      <c r="G299" s="10">
        <v>1902</v>
      </c>
      <c r="H299" s="10">
        <v>8</v>
      </c>
      <c r="I299" s="10">
        <v>10</v>
      </c>
      <c r="J299" s="10">
        <v>847</v>
      </c>
      <c r="K299" s="10">
        <v>6249028.2354342183</v>
      </c>
    </row>
    <row r="300" spans="1:11" x14ac:dyDescent="0.35">
      <c r="A300" s="9" t="s">
        <v>367</v>
      </c>
      <c r="B300" s="10">
        <v>470</v>
      </c>
      <c r="C300" s="10">
        <v>8</v>
      </c>
      <c r="D300" s="10">
        <v>0</v>
      </c>
      <c r="E300" s="10">
        <v>275</v>
      </c>
      <c r="F300" s="10">
        <v>3042366.413495942</v>
      </c>
      <c r="G300" s="10">
        <v>485</v>
      </c>
      <c r="H300" s="10">
        <v>7</v>
      </c>
      <c r="I300" s="10">
        <v>0</v>
      </c>
      <c r="J300" s="10">
        <v>272</v>
      </c>
      <c r="K300" s="10">
        <v>79667.428347036999</v>
      </c>
    </row>
    <row r="301" spans="1:11" x14ac:dyDescent="0.35">
      <c r="A301" s="9" t="s">
        <v>368</v>
      </c>
      <c r="B301" s="10">
        <v>623</v>
      </c>
      <c r="C301" s="10">
        <v>2</v>
      </c>
      <c r="D301" s="10">
        <v>0</v>
      </c>
      <c r="E301" s="10">
        <v>254</v>
      </c>
      <c r="F301" s="10">
        <v>13779714.151212806</v>
      </c>
      <c r="G301" s="10">
        <v>626</v>
      </c>
      <c r="H301" s="10">
        <v>3</v>
      </c>
      <c r="I301" s="10">
        <v>1</v>
      </c>
      <c r="J301" s="10">
        <v>254</v>
      </c>
      <c r="K301" s="10">
        <v>1009212.516429364</v>
      </c>
    </row>
    <row r="302" spans="1:11" x14ac:dyDescent="0.35">
      <c r="A302" s="9" t="s">
        <v>369</v>
      </c>
      <c r="B302" s="10">
        <v>992</v>
      </c>
      <c r="C302" s="10">
        <v>15</v>
      </c>
      <c r="D302" s="10">
        <v>9</v>
      </c>
      <c r="E302" s="10">
        <v>483</v>
      </c>
      <c r="F302" s="10">
        <v>33315758.650676705</v>
      </c>
      <c r="G302" s="10">
        <v>1059</v>
      </c>
      <c r="H302" s="10">
        <v>78</v>
      </c>
      <c r="I302" s="10">
        <v>9</v>
      </c>
      <c r="J302" s="10">
        <v>459</v>
      </c>
      <c r="K302" s="10">
        <v>6642818.9497373011</v>
      </c>
    </row>
    <row r="303" spans="1:11" x14ac:dyDescent="0.35">
      <c r="A303" s="9" t="s">
        <v>370</v>
      </c>
      <c r="B303" s="10">
        <v>1387</v>
      </c>
      <c r="C303" s="10">
        <v>11</v>
      </c>
      <c r="D303" s="10">
        <v>2</v>
      </c>
      <c r="E303" s="10">
        <v>706</v>
      </c>
      <c r="F303" s="10">
        <v>20957371.221317537</v>
      </c>
      <c r="G303" s="10">
        <v>1312</v>
      </c>
      <c r="H303" s="10">
        <v>5</v>
      </c>
      <c r="I303" s="10">
        <v>2</v>
      </c>
      <c r="J303" s="10">
        <v>654</v>
      </c>
      <c r="K303" s="10">
        <v>1258730.635038425</v>
      </c>
    </row>
    <row r="304" spans="1:11" x14ac:dyDescent="0.35">
      <c r="A304" s="9" t="s">
        <v>371</v>
      </c>
      <c r="B304" s="10">
        <v>1805</v>
      </c>
      <c r="C304" s="10">
        <v>21</v>
      </c>
      <c r="D304" s="10">
        <v>4</v>
      </c>
      <c r="E304" s="10">
        <v>762</v>
      </c>
      <c r="F304" s="10">
        <v>48491380.2831605</v>
      </c>
      <c r="G304" s="10">
        <v>1796</v>
      </c>
      <c r="H304" s="10">
        <v>20</v>
      </c>
      <c r="I304" s="10">
        <v>5</v>
      </c>
      <c r="J304" s="10">
        <v>806</v>
      </c>
      <c r="K304" s="10">
        <v>9715499.203959804</v>
      </c>
    </row>
    <row r="305" spans="1:11" x14ac:dyDescent="0.35">
      <c r="A305" s="9" t="s">
        <v>372</v>
      </c>
      <c r="B305" s="10">
        <v>1006</v>
      </c>
      <c r="C305" s="10">
        <v>18</v>
      </c>
      <c r="D305" s="10">
        <v>2</v>
      </c>
      <c r="E305" s="10">
        <v>629</v>
      </c>
      <c r="F305" s="10">
        <v>24092189.735532209</v>
      </c>
      <c r="G305" s="10">
        <v>1046</v>
      </c>
      <c r="H305" s="10">
        <v>14</v>
      </c>
      <c r="I305" s="10">
        <v>4</v>
      </c>
      <c r="J305" s="10">
        <v>691</v>
      </c>
      <c r="K305" s="10">
        <v>14503324.854210598</v>
      </c>
    </row>
    <row r="306" spans="1:11" x14ac:dyDescent="0.35">
      <c r="A306" s="9" t="s">
        <v>373</v>
      </c>
      <c r="B306" s="10">
        <v>1199</v>
      </c>
      <c r="C306" s="10">
        <v>20</v>
      </c>
      <c r="D306" s="10">
        <v>7</v>
      </c>
      <c r="E306" s="10">
        <v>532</v>
      </c>
      <c r="F306" s="10">
        <v>32638757.73937279</v>
      </c>
      <c r="G306" s="10">
        <v>1211</v>
      </c>
      <c r="H306" s="10">
        <v>15</v>
      </c>
      <c r="I306" s="10">
        <v>9</v>
      </c>
      <c r="J306" s="10">
        <v>631</v>
      </c>
      <c r="K306" s="10">
        <v>10872435.224104876</v>
      </c>
    </row>
    <row r="307" spans="1:11" x14ac:dyDescent="0.35">
      <c r="A307" s="9" t="s">
        <v>374</v>
      </c>
      <c r="B307" s="10">
        <v>1185</v>
      </c>
      <c r="C307" s="10">
        <v>13</v>
      </c>
      <c r="D307" s="10">
        <v>1</v>
      </c>
      <c r="E307" s="10">
        <v>595</v>
      </c>
      <c r="F307" s="10">
        <v>19273772.769715838</v>
      </c>
      <c r="G307" s="10">
        <v>1169</v>
      </c>
      <c r="H307" s="10">
        <v>7</v>
      </c>
      <c r="I307" s="10">
        <v>2</v>
      </c>
      <c r="J307" s="10">
        <v>540</v>
      </c>
      <c r="K307" s="10">
        <v>1164531.984377502</v>
      </c>
    </row>
    <row r="308" spans="1:11" x14ac:dyDescent="0.35">
      <c r="A308" s="9" t="s">
        <v>375</v>
      </c>
      <c r="B308" s="10">
        <v>506</v>
      </c>
      <c r="C308" s="10">
        <v>5</v>
      </c>
      <c r="D308" s="10">
        <v>0</v>
      </c>
      <c r="E308" s="10">
        <v>178</v>
      </c>
      <c r="F308" s="10">
        <v>10125554.721541433</v>
      </c>
      <c r="G308" s="10">
        <v>510</v>
      </c>
      <c r="H308" s="10">
        <v>2</v>
      </c>
      <c r="I308" s="10">
        <v>0</v>
      </c>
      <c r="J308" s="10">
        <v>173</v>
      </c>
      <c r="K308" s="10">
        <v>1017040.47790068</v>
      </c>
    </row>
    <row r="309" spans="1:11" x14ac:dyDescent="0.35">
      <c r="A309" s="9" t="s">
        <v>376</v>
      </c>
      <c r="B309" s="10">
        <v>1323</v>
      </c>
      <c r="C309" s="10">
        <v>25</v>
      </c>
      <c r="D309" s="10">
        <v>5</v>
      </c>
      <c r="E309" s="10">
        <v>639</v>
      </c>
      <c r="F309" s="10">
        <v>45676739.586663112</v>
      </c>
      <c r="G309" s="10">
        <v>1281</v>
      </c>
      <c r="H309" s="10">
        <v>12</v>
      </c>
      <c r="I309" s="10">
        <v>6</v>
      </c>
      <c r="J309" s="10">
        <v>541</v>
      </c>
      <c r="K309" s="10">
        <v>12244853.135867989</v>
      </c>
    </row>
    <row r="310" spans="1:11" x14ac:dyDescent="0.35">
      <c r="A310" s="9" t="s">
        <v>377</v>
      </c>
      <c r="B310" s="10">
        <v>1086</v>
      </c>
      <c r="C310" s="10">
        <v>13</v>
      </c>
      <c r="D310" s="10">
        <v>6</v>
      </c>
      <c r="E310" s="10">
        <v>722</v>
      </c>
      <c r="F310" s="10">
        <v>38443625.04651913</v>
      </c>
      <c r="G310" s="10">
        <v>1048</v>
      </c>
      <c r="H310" s="10">
        <v>36</v>
      </c>
      <c r="I310" s="10">
        <v>5</v>
      </c>
      <c r="J310" s="10">
        <v>737</v>
      </c>
      <c r="K310" s="10">
        <v>22259611.423862223</v>
      </c>
    </row>
    <row r="311" spans="1:11" x14ac:dyDescent="0.35">
      <c r="A311" s="9" t="s">
        <v>378</v>
      </c>
      <c r="B311" s="10">
        <v>677</v>
      </c>
      <c r="C311" s="10">
        <v>9</v>
      </c>
      <c r="D311" s="10">
        <v>2</v>
      </c>
      <c r="E311" s="10">
        <v>299</v>
      </c>
      <c r="F311" s="10">
        <v>15272148.912192231</v>
      </c>
      <c r="G311" s="10">
        <v>626</v>
      </c>
      <c r="H311" s="10">
        <v>18</v>
      </c>
      <c r="I311" s="10">
        <v>2</v>
      </c>
      <c r="J311" s="10">
        <v>289</v>
      </c>
      <c r="K311" s="10">
        <v>4655362.1731858468</v>
      </c>
    </row>
    <row r="312" spans="1:11" x14ac:dyDescent="0.35">
      <c r="A312" s="9" t="s">
        <v>379</v>
      </c>
      <c r="B312" s="10">
        <v>2066</v>
      </c>
      <c r="C312" s="10">
        <v>22</v>
      </c>
      <c r="D312" s="10">
        <v>4</v>
      </c>
      <c r="E312" s="10">
        <v>1023</v>
      </c>
      <c r="F312" s="10">
        <v>44395681.615048461</v>
      </c>
      <c r="G312" s="10">
        <v>2051</v>
      </c>
      <c r="H312" s="10">
        <v>22</v>
      </c>
      <c r="I312" s="10">
        <v>7</v>
      </c>
      <c r="J312" s="10">
        <v>979</v>
      </c>
      <c r="K312" s="10">
        <v>4420964.2141086217</v>
      </c>
    </row>
    <row r="313" spans="1:11" x14ac:dyDescent="0.35">
      <c r="A313" s="9" t="s">
        <v>380</v>
      </c>
      <c r="B313" s="10">
        <v>1359</v>
      </c>
      <c r="C313" s="10">
        <v>109</v>
      </c>
      <c r="D313" s="10">
        <v>4</v>
      </c>
      <c r="E313" s="10">
        <v>776</v>
      </c>
      <c r="F313" s="10">
        <v>40014963.676642731</v>
      </c>
      <c r="G313" s="10">
        <v>1096</v>
      </c>
      <c r="H313" s="10">
        <v>10</v>
      </c>
      <c r="I313" s="10">
        <v>4</v>
      </c>
      <c r="J313" s="10">
        <v>634</v>
      </c>
      <c r="K313" s="10">
        <v>14758444.453245267</v>
      </c>
    </row>
    <row r="314" spans="1:11" x14ac:dyDescent="0.35">
      <c r="A314" s="9" t="s">
        <v>381</v>
      </c>
      <c r="B314" s="10">
        <v>552</v>
      </c>
      <c r="C314" s="10">
        <v>9</v>
      </c>
      <c r="D314" s="10">
        <v>2</v>
      </c>
      <c r="E314" s="10">
        <v>259</v>
      </c>
      <c r="F314" s="10">
        <v>16542543.976284331</v>
      </c>
      <c r="G314" s="10">
        <v>563</v>
      </c>
      <c r="H314" s="10">
        <v>5</v>
      </c>
      <c r="I314" s="10">
        <v>2</v>
      </c>
      <c r="J314" s="10">
        <v>237</v>
      </c>
      <c r="K314" s="10">
        <v>1437955.594008235</v>
      </c>
    </row>
    <row r="315" spans="1:11" x14ac:dyDescent="0.35">
      <c r="A315" s="9" t="s">
        <v>382</v>
      </c>
      <c r="B315" s="10">
        <v>2055</v>
      </c>
      <c r="C315" s="10">
        <v>32</v>
      </c>
      <c r="D315" s="10">
        <v>3</v>
      </c>
      <c r="E315" s="10">
        <v>850</v>
      </c>
      <c r="F315" s="10">
        <v>41075510.169500716</v>
      </c>
      <c r="G315" s="10">
        <v>2028</v>
      </c>
      <c r="H315" s="10">
        <v>23</v>
      </c>
      <c r="I315" s="10">
        <v>5</v>
      </c>
      <c r="J315" s="10">
        <v>892</v>
      </c>
      <c r="K315" s="10">
        <v>5052026.2351977304</v>
      </c>
    </row>
    <row r="316" spans="1:11" x14ac:dyDescent="0.35">
      <c r="A316" s="9" t="s">
        <v>383</v>
      </c>
      <c r="B316" s="10">
        <v>2403</v>
      </c>
      <c r="C316" s="10">
        <v>26</v>
      </c>
      <c r="D316" s="10">
        <v>3</v>
      </c>
      <c r="E316" s="10">
        <v>1102</v>
      </c>
      <c r="F316" s="10">
        <v>55728670.881713755</v>
      </c>
      <c r="G316" s="10">
        <v>2400</v>
      </c>
      <c r="H316" s="10">
        <v>18</v>
      </c>
      <c r="I316" s="10">
        <v>2</v>
      </c>
      <c r="J316" s="10">
        <v>1074</v>
      </c>
      <c r="K316" s="10">
        <v>6237124.8949043909</v>
      </c>
    </row>
    <row r="317" spans="1:11" x14ac:dyDescent="0.35">
      <c r="A317" s="9" t="s">
        <v>384</v>
      </c>
      <c r="B317" s="10">
        <v>422</v>
      </c>
      <c r="C317" s="10">
        <v>49</v>
      </c>
      <c r="D317" s="10">
        <v>7</v>
      </c>
      <c r="E317" s="10">
        <v>190</v>
      </c>
      <c r="F317" s="10">
        <v>14550734.784845438</v>
      </c>
      <c r="G317" s="10">
        <v>418</v>
      </c>
      <c r="H317" s="10">
        <v>3</v>
      </c>
      <c r="I317" s="10">
        <v>5</v>
      </c>
      <c r="J317" s="10">
        <v>173</v>
      </c>
      <c r="K317" s="10">
        <v>2350767.220700583</v>
      </c>
    </row>
    <row r="318" spans="1:11" x14ac:dyDescent="0.35">
      <c r="A318" s="9" t="s">
        <v>385</v>
      </c>
      <c r="B318" s="10">
        <v>1610</v>
      </c>
      <c r="C318" s="10">
        <v>14</v>
      </c>
      <c r="D318" s="10">
        <v>3</v>
      </c>
      <c r="E318" s="10">
        <v>684</v>
      </c>
      <c r="F318" s="10">
        <v>29521324.603366494</v>
      </c>
      <c r="G318" s="10">
        <v>1448</v>
      </c>
      <c r="H318" s="10">
        <v>11</v>
      </c>
      <c r="I318" s="10">
        <v>3</v>
      </c>
      <c r="J318" s="10">
        <v>570</v>
      </c>
      <c r="K318" s="10">
        <v>3432029.6194256251</v>
      </c>
    </row>
    <row r="319" spans="1:11" x14ac:dyDescent="0.35">
      <c r="A319" s="9" t="s">
        <v>386</v>
      </c>
      <c r="B319" s="10">
        <v>1755</v>
      </c>
      <c r="C319" s="10">
        <v>25</v>
      </c>
      <c r="D319" s="10">
        <v>8</v>
      </c>
      <c r="E319" s="10">
        <v>903</v>
      </c>
      <c r="F319" s="10">
        <v>51752190.150124148</v>
      </c>
      <c r="G319" s="10">
        <v>1754</v>
      </c>
      <c r="H319" s="10">
        <v>49</v>
      </c>
      <c r="I319" s="10">
        <v>8</v>
      </c>
      <c r="J319" s="10">
        <v>854</v>
      </c>
      <c r="K319" s="10">
        <v>18067010.103675921</v>
      </c>
    </row>
    <row r="320" spans="1:11" x14ac:dyDescent="0.35">
      <c r="A320" s="9" t="s">
        <v>387</v>
      </c>
      <c r="B320" s="10">
        <v>1264</v>
      </c>
      <c r="C320" s="10">
        <v>7</v>
      </c>
      <c r="D320" s="10">
        <v>2</v>
      </c>
      <c r="E320" s="10">
        <v>797</v>
      </c>
      <c r="F320" s="10">
        <v>25069348.144981772</v>
      </c>
      <c r="G320" s="10">
        <v>1294</v>
      </c>
      <c r="H320" s="10">
        <v>7</v>
      </c>
      <c r="I320" s="10">
        <v>3</v>
      </c>
      <c r="J320" s="10">
        <v>798</v>
      </c>
      <c r="K320" s="10">
        <v>6814958.3331405893</v>
      </c>
    </row>
    <row r="321" spans="1:11" x14ac:dyDescent="0.35">
      <c r="A321" s="9" t="s">
        <v>388</v>
      </c>
      <c r="B321" s="10">
        <v>1601</v>
      </c>
      <c r="C321" s="10">
        <v>20</v>
      </c>
      <c r="D321" s="10">
        <v>5</v>
      </c>
      <c r="E321" s="10">
        <v>958</v>
      </c>
      <c r="F321" s="10">
        <v>43365865.412602589</v>
      </c>
      <c r="G321" s="10">
        <v>1414</v>
      </c>
      <c r="H321" s="10">
        <v>12</v>
      </c>
      <c r="I321" s="10">
        <v>4</v>
      </c>
      <c r="J321" s="10">
        <v>929</v>
      </c>
      <c r="K321" s="10">
        <v>14096057.714834327</v>
      </c>
    </row>
    <row r="322" spans="1:11" x14ac:dyDescent="0.35">
      <c r="A322" s="9" t="s">
        <v>389</v>
      </c>
      <c r="B322" s="10">
        <v>1930</v>
      </c>
      <c r="C322" s="10">
        <v>23</v>
      </c>
      <c r="D322" s="10">
        <v>3</v>
      </c>
      <c r="E322" s="10">
        <v>917</v>
      </c>
      <c r="F322" s="10">
        <v>33610104.513244897</v>
      </c>
      <c r="G322" s="10">
        <v>1981</v>
      </c>
      <c r="H322" s="10">
        <v>17</v>
      </c>
      <c r="I322" s="10">
        <v>3</v>
      </c>
      <c r="J322" s="10">
        <v>845</v>
      </c>
      <c r="K322" s="10">
        <v>3265033.99364299</v>
      </c>
    </row>
    <row r="323" spans="1:11" x14ac:dyDescent="0.35">
      <c r="A323" s="9" t="s">
        <v>390</v>
      </c>
      <c r="B323" s="10">
        <v>1391</v>
      </c>
      <c r="C323" s="10">
        <v>11</v>
      </c>
      <c r="D323" s="10">
        <v>2</v>
      </c>
      <c r="E323" s="10">
        <v>777</v>
      </c>
      <c r="F323" s="10">
        <v>19864862.209434573</v>
      </c>
      <c r="G323" s="10">
        <v>1357</v>
      </c>
      <c r="H323" s="10">
        <v>6</v>
      </c>
      <c r="I323" s="10">
        <v>2</v>
      </c>
      <c r="J323" s="10">
        <v>645</v>
      </c>
      <c r="K323" s="10">
        <v>1535746.0399375311</v>
      </c>
    </row>
    <row r="324" spans="1:11" x14ac:dyDescent="0.35">
      <c r="A324" s="9" t="s">
        <v>391</v>
      </c>
      <c r="B324" s="10">
        <v>1430</v>
      </c>
      <c r="C324" s="10">
        <v>12</v>
      </c>
      <c r="D324" s="10">
        <v>3</v>
      </c>
      <c r="E324" s="10">
        <v>606</v>
      </c>
      <c r="F324" s="10">
        <v>39840843.342580125</v>
      </c>
      <c r="G324" s="10">
        <v>1329</v>
      </c>
      <c r="H324" s="10">
        <v>15</v>
      </c>
      <c r="I324" s="10">
        <v>3</v>
      </c>
      <c r="J324" s="10">
        <v>601</v>
      </c>
      <c r="K324" s="10">
        <v>3551790.866700158</v>
      </c>
    </row>
    <row r="325" spans="1:11" x14ac:dyDescent="0.35">
      <c r="A325" s="9" t="s">
        <v>392</v>
      </c>
      <c r="B325" s="10">
        <v>1791</v>
      </c>
      <c r="C325" s="10">
        <v>33</v>
      </c>
      <c r="D325" s="10">
        <v>5</v>
      </c>
      <c r="E325" s="10">
        <v>895</v>
      </c>
      <c r="F325" s="10">
        <v>72379063.887192577</v>
      </c>
      <c r="G325" s="10">
        <v>1735</v>
      </c>
      <c r="H325" s="10">
        <v>16</v>
      </c>
      <c r="I325" s="10">
        <v>3</v>
      </c>
      <c r="J325" s="10">
        <v>674</v>
      </c>
      <c r="K325" s="10">
        <v>4706334.8985165013</v>
      </c>
    </row>
    <row r="326" spans="1:11" x14ac:dyDescent="0.35">
      <c r="A326" s="9" t="s">
        <v>393</v>
      </c>
      <c r="B326" s="10">
        <v>838</v>
      </c>
      <c r="C326" s="10">
        <v>10</v>
      </c>
      <c r="D326" s="10">
        <v>2</v>
      </c>
      <c r="E326" s="10">
        <v>379</v>
      </c>
      <c r="F326" s="10">
        <v>19300015.033104125</v>
      </c>
      <c r="G326" s="10">
        <v>866</v>
      </c>
      <c r="H326" s="10">
        <v>9</v>
      </c>
      <c r="I326" s="10">
        <v>3</v>
      </c>
      <c r="J326" s="10">
        <v>384</v>
      </c>
      <c r="K326" s="10">
        <v>2252054.4100869671</v>
      </c>
    </row>
    <row r="327" spans="1:11" x14ac:dyDescent="0.35">
      <c r="A327" s="9" t="s">
        <v>394</v>
      </c>
      <c r="B327" s="10">
        <v>4123</v>
      </c>
      <c r="C327" s="10">
        <v>39</v>
      </c>
      <c r="D327" s="10">
        <v>4</v>
      </c>
      <c r="E327" s="10">
        <v>1701</v>
      </c>
      <c r="F327" s="10">
        <v>77306027.347027317</v>
      </c>
      <c r="G327" s="10">
        <v>3740</v>
      </c>
      <c r="H327" s="10">
        <v>30</v>
      </c>
      <c r="I327" s="10">
        <v>4</v>
      </c>
      <c r="J327" s="10">
        <v>1353</v>
      </c>
      <c r="K327" s="10">
        <v>6178213.824811426</v>
      </c>
    </row>
    <row r="328" spans="1:11" x14ac:dyDescent="0.35">
      <c r="A328" s="9" t="s">
        <v>395</v>
      </c>
      <c r="B328" s="10">
        <v>2216</v>
      </c>
      <c r="C328" s="10">
        <v>23</v>
      </c>
      <c r="D328" s="10">
        <v>6</v>
      </c>
      <c r="E328" s="10">
        <v>972</v>
      </c>
      <c r="F328" s="10">
        <v>46222299.746486187</v>
      </c>
      <c r="G328" s="10">
        <v>2258</v>
      </c>
      <c r="H328" s="10">
        <v>11</v>
      </c>
      <c r="I328" s="10">
        <v>5</v>
      </c>
      <c r="J328" s="10">
        <v>995</v>
      </c>
      <c r="K328" s="10">
        <v>3175777.2273407532</v>
      </c>
    </row>
    <row r="329" spans="1:11" x14ac:dyDescent="0.35">
      <c r="A329" s="9" t="s">
        <v>396</v>
      </c>
      <c r="B329" s="10">
        <v>936</v>
      </c>
      <c r="C329" s="10">
        <v>8</v>
      </c>
      <c r="D329" s="10">
        <v>1</v>
      </c>
      <c r="E329" s="10">
        <v>581</v>
      </c>
      <c r="F329" s="10">
        <v>29000921.001590732</v>
      </c>
      <c r="G329" s="10">
        <v>871</v>
      </c>
      <c r="H329" s="10">
        <v>10</v>
      </c>
      <c r="I329" s="10">
        <v>1</v>
      </c>
      <c r="J329" s="10">
        <v>585</v>
      </c>
      <c r="K329" s="10">
        <v>19875624.792425528</v>
      </c>
    </row>
    <row r="330" spans="1:11" x14ac:dyDescent="0.35">
      <c r="A330" s="9" t="s">
        <v>397</v>
      </c>
      <c r="B330" s="10">
        <v>1773</v>
      </c>
      <c r="C330" s="10">
        <v>27</v>
      </c>
      <c r="D330" s="10">
        <v>16</v>
      </c>
      <c r="E330" s="10">
        <v>971</v>
      </c>
      <c r="F330" s="10">
        <v>52966323.937555432</v>
      </c>
      <c r="G330" s="10">
        <v>1949</v>
      </c>
      <c r="H330" s="10">
        <v>210</v>
      </c>
      <c r="I330" s="10">
        <v>17</v>
      </c>
      <c r="J330" s="10">
        <v>864</v>
      </c>
      <c r="K330" s="10">
        <v>8865860.0050013755</v>
      </c>
    </row>
    <row r="331" spans="1:11" x14ac:dyDescent="0.35">
      <c r="A331" s="9" t="s">
        <v>398</v>
      </c>
      <c r="B331" s="10">
        <v>1296</v>
      </c>
      <c r="C331" s="10">
        <v>21</v>
      </c>
      <c r="D331" s="10">
        <v>1</v>
      </c>
      <c r="E331" s="10">
        <v>625</v>
      </c>
      <c r="F331" s="10">
        <v>25670264.022745177</v>
      </c>
      <c r="G331" s="10">
        <v>1319</v>
      </c>
      <c r="H331" s="10">
        <v>4</v>
      </c>
      <c r="I331" s="10">
        <v>1</v>
      </c>
      <c r="J331" s="10">
        <v>639</v>
      </c>
      <c r="K331" s="10">
        <v>880436.937458153</v>
      </c>
    </row>
    <row r="332" spans="1:11" x14ac:dyDescent="0.35">
      <c r="A332" s="9" t="s">
        <v>399</v>
      </c>
      <c r="B332" s="10">
        <v>724</v>
      </c>
      <c r="C332" s="10">
        <v>11</v>
      </c>
      <c r="D332" s="10">
        <v>1</v>
      </c>
      <c r="E332" s="10">
        <v>530</v>
      </c>
      <c r="F332" s="10">
        <v>16774241.932052571</v>
      </c>
      <c r="G332" s="10">
        <v>629</v>
      </c>
      <c r="H332" s="10">
        <v>8</v>
      </c>
      <c r="I332" s="10">
        <v>2</v>
      </c>
      <c r="J332" s="10">
        <v>518</v>
      </c>
      <c r="K332" s="10">
        <v>9221707.7658830527</v>
      </c>
    </row>
    <row r="333" spans="1:11" x14ac:dyDescent="0.35">
      <c r="A333" s="9" t="s">
        <v>400</v>
      </c>
      <c r="B333" s="10">
        <v>2041</v>
      </c>
      <c r="C333" s="10">
        <v>40</v>
      </c>
      <c r="D333" s="10">
        <v>12</v>
      </c>
      <c r="E333" s="10">
        <v>927</v>
      </c>
      <c r="F333" s="10">
        <v>64296607.583539918</v>
      </c>
      <c r="G333" s="10">
        <v>2555</v>
      </c>
      <c r="H333" s="10">
        <v>203</v>
      </c>
      <c r="I333" s="10">
        <v>13</v>
      </c>
      <c r="J333" s="10">
        <v>963</v>
      </c>
      <c r="K333" s="10">
        <v>9846106.2835239898</v>
      </c>
    </row>
    <row r="334" spans="1:11" x14ac:dyDescent="0.35">
      <c r="A334" s="9" t="s">
        <v>401</v>
      </c>
      <c r="B334" s="10">
        <v>1758</v>
      </c>
      <c r="C334" s="10">
        <v>15</v>
      </c>
      <c r="D334" s="10">
        <v>3</v>
      </c>
      <c r="E334" s="10">
        <v>1169</v>
      </c>
      <c r="F334" s="10">
        <v>37442341.914726377</v>
      </c>
      <c r="G334" s="10">
        <v>1775</v>
      </c>
      <c r="H334" s="10">
        <v>27</v>
      </c>
      <c r="I334" s="10">
        <v>3</v>
      </c>
      <c r="J334" s="10">
        <v>804</v>
      </c>
      <c r="K334" s="10">
        <v>2718403.6381631382</v>
      </c>
    </row>
    <row r="335" spans="1:11" x14ac:dyDescent="0.35">
      <c r="A335" s="9" t="s">
        <v>402</v>
      </c>
      <c r="B335" s="10">
        <v>1038</v>
      </c>
      <c r="C335" s="10">
        <v>13</v>
      </c>
      <c r="D335" s="10">
        <v>4</v>
      </c>
      <c r="E335" s="10">
        <v>505</v>
      </c>
      <c r="F335" s="10">
        <v>21014097.992723607</v>
      </c>
      <c r="G335" s="10">
        <v>1031</v>
      </c>
      <c r="H335" s="10">
        <v>12</v>
      </c>
      <c r="I335" s="10">
        <v>5</v>
      </c>
      <c r="J335" s="10">
        <v>544</v>
      </c>
      <c r="K335" s="10">
        <v>4981227.1770301443</v>
      </c>
    </row>
    <row r="336" spans="1:11" x14ac:dyDescent="0.35">
      <c r="A336" s="9" t="s">
        <v>403</v>
      </c>
      <c r="B336" s="10">
        <v>493</v>
      </c>
      <c r="C336" s="10">
        <v>2</v>
      </c>
      <c r="D336" s="10">
        <v>0</v>
      </c>
      <c r="E336" s="10">
        <v>242</v>
      </c>
      <c r="F336" s="10">
        <v>9418682.0541144721</v>
      </c>
      <c r="G336" s="10">
        <v>502</v>
      </c>
      <c r="H336" s="10">
        <v>5</v>
      </c>
      <c r="I336" s="10">
        <v>0</v>
      </c>
      <c r="J336" s="10">
        <v>266</v>
      </c>
      <c r="K336" s="10">
        <v>2475721.0097427042</v>
      </c>
    </row>
    <row r="337" spans="1:11" x14ac:dyDescent="0.35">
      <c r="A337" s="9" t="s">
        <v>404</v>
      </c>
      <c r="B337" s="10">
        <v>1492</v>
      </c>
      <c r="C337" s="10">
        <v>25</v>
      </c>
      <c r="D337" s="10">
        <v>4</v>
      </c>
      <c r="E337" s="10">
        <v>952</v>
      </c>
      <c r="F337" s="10">
        <v>40311774.748004727</v>
      </c>
      <c r="G337" s="10">
        <v>1569</v>
      </c>
      <c r="H337" s="10">
        <v>21</v>
      </c>
      <c r="I337" s="10">
        <v>4</v>
      </c>
      <c r="J337" s="10">
        <v>830</v>
      </c>
      <c r="K337" s="10">
        <v>11374416.515543496</v>
      </c>
    </row>
    <row r="338" spans="1:11" x14ac:dyDescent="0.35">
      <c r="A338" s="9" t="s">
        <v>405</v>
      </c>
      <c r="B338" s="10">
        <v>1400</v>
      </c>
      <c r="C338" s="10">
        <v>10</v>
      </c>
      <c r="D338" s="10">
        <v>3</v>
      </c>
      <c r="E338" s="10">
        <v>776</v>
      </c>
      <c r="F338" s="10">
        <v>33254002.910642639</v>
      </c>
      <c r="G338" s="10">
        <v>1274</v>
      </c>
      <c r="H338" s="10">
        <v>5</v>
      </c>
      <c r="I338" s="10">
        <v>3</v>
      </c>
      <c r="J338" s="10">
        <v>553</v>
      </c>
      <c r="K338" s="10">
        <v>2886040.0095129851</v>
      </c>
    </row>
    <row r="339" spans="1:11" x14ac:dyDescent="0.35">
      <c r="A339" s="9" t="s">
        <v>406</v>
      </c>
      <c r="B339" s="10">
        <v>431</v>
      </c>
      <c r="C339" s="10">
        <v>3</v>
      </c>
      <c r="D339" s="10">
        <v>3</v>
      </c>
      <c r="E339" s="10">
        <v>162</v>
      </c>
      <c r="F339" s="10">
        <v>13195858.283308689</v>
      </c>
      <c r="G339" s="10">
        <v>407</v>
      </c>
      <c r="H339" s="10">
        <v>1</v>
      </c>
      <c r="I339" s="10">
        <v>3</v>
      </c>
      <c r="J339" s="10">
        <v>173</v>
      </c>
      <c r="K339" s="10">
        <v>1414502.692357586</v>
      </c>
    </row>
    <row r="340" spans="1:11" x14ac:dyDescent="0.35">
      <c r="A340" s="9" t="s">
        <v>407</v>
      </c>
      <c r="B340" s="10">
        <v>1562</v>
      </c>
      <c r="C340" s="10">
        <v>34</v>
      </c>
      <c r="D340" s="10">
        <v>5</v>
      </c>
      <c r="E340" s="10">
        <v>919</v>
      </c>
      <c r="F340" s="10">
        <v>32692732.320679098</v>
      </c>
      <c r="G340" s="10">
        <v>1675</v>
      </c>
      <c r="H340" s="10">
        <v>14</v>
      </c>
      <c r="I340" s="10">
        <v>6</v>
      </c>
      <c r="J340" s="10">
        <v>862</v>
      </c>
      <c r="K340" s="10">
        <v>5988480.6935193427</v>
      </c>
    </row>
    <row r="341" spans="1:11" x14ac:dyDescent="0.35">
      <c r="A341" s="9" t="s">
        <v>408</v>
      </c>
      <c r="B341" s="10">
        <v>2275</v>
      </c>
      <c r="C341" s="10">
        <v>25</v>
      </c>
      <c r="D341" s="10">
        <v>7</v>
      </c>
      <c r="E341" s="10">
        <v>1601</v>
      </c>
      <c r="F341" s="10">
        <v>71157784.169473171</v>
      </c>
      <c r="G341" s="10">
        <v>2301</v>
      </c>
      <c r="H341" s="10">
        <v>22</v>
      </c>
      <c r="I341" s="10">
        <v>8</v>
      </c>
      <c r="J341" s="10">
        <v>1024</v>
      </c>
      <c r="K341" s="10">
        <v>17763409.379707646</v>
      </c>
    </row>
    <row r="342" spans="1:11" x14ac:dyDescent="0.35">
      <c r="A342" s="9" t="s">
        <v>409</v>
      </c>
      <c r="B342" s="10">
        <v>270</v>
      </c>
      <c r="C342" s="10">
        <v>0</v>
      </c>
      <c r="D342" s="10">
        <v>4</v>
      </c>
      <c r="E342" s="10">
        <v>138</v>
      </c>
      <c r="F342" s="10">
        <v>10347007.940676259</v>
      </c>
      <c r="G342" s="10">
        <v>280</v>
      </c>
      <c r="H342" s="10">
        <v>2</v>
      </c>
      <c r="I342" s="10">
        <v>4</v>
      </c>
      <c r="J342" s="10">
        <v>116</v>
      </c>
      <c r="K342" s="10">
        <v>2926106.549607479</v>
      </c>
    </row>
    <row r="343" spans="1:11" x14ac:dyDescent="0.35">
      <c r="A343" s="9" t="s">
        <v>410</v>
      </c>
      <c r="B343" s="10">
        <v>2753</v>
      </c>
      <c r="C343" s="10">
        <v>16</v>
      </c>
      <c r="D343" s="10">
        <v>5</v>
      </c>
      <c r="E343" s="10">
        <v>1289</v>
      </c>
      <c r="F343" s="10">
        <v>70746555.315680802</v>
      </c>
      <c r="G343" s="10">
        <v>2751</v>
      </c>
      <c r="H343" s="10">
        <v>15</v>
      </c>
      <c r="I343" s="10">
        <v>4</v>
      </c>
      <c r="J343" s="10">
        <v>1363</v>
      </c>
      <c r="K343" s="10">
        <v>8597098.17386996</v>
      </c>
    </row>
    <row r="344" spans="1:11" x14ac:dyDescent="0.35">
      <c r="A344" s="9" t="s">
        <v>411</v>
      </c>
      <c r="B344" s="10">
        <v>297</v>
      </c>
      <c r="C344" s="10">
        <v>0</v>
      </c>
      <c r="D344" s="10">
        <v>0</v>
      </c>
      <c r="E344" s="10">
        <v>177</v>
      </c>
      <c r="F344" s="10">
        <v>7218041.8060853751</v>
      </c>
      <c r="G344" s="10">
        <v>272</v>
      </c>
      <c r="H344" s="10">
        <v>1</v>
      </c>
      <c r="I344" s="10">
        <v>1</v>
      </c>
      <c r="J344" s="10">
        <v>159</v>
      </c>
      <c r="K344" s="10">
        <v>3390243.3149771611</v>
      </c>
    </row>
    <row r="345" spans="1:11" x14ac:dyDescent="0.35">
      <c r="A345" s="9" t="s">
        <v>412</v>
      </c>
      <c r="B345" s="10">
        <v>1494</v>
      </c>
      <c r="C345" s="10">
        <v>27</v>
      </c>
      <c r="D345" s="10">
        <v>3</v>
      </c>
      <c r="E345" s="10">
        <v>748</v>
      </c>
      <c r="F345" s="10">
        <v>43609492.367757387</v>
      </c>
      <c r="G345" s="10">
        <v>1433</v>
      </c>
      <c r="H345" s="10">
        <v>9</v>
      </c>
      <c r="I345" s="10">
        <v>3</v>
      </c>
      <c r="J345" s="10">
        <v>713</v>
      </c>
      <c r="K345" s="10">
        <v>4828450.1820469797</v>
      </c>
    </row>
    <row r="346" spans="1:11" x14ac:dyDescent="0.35">
      <c r="A346" s="9" t="s">
        <v>413</v>
      </c>
      <c r="B346" s="10">
        <v>1258</v>
      </c>
      <c r="C346" s="10">
        <v>21</v>
      </c>
      <c r="D346" s="10">
        <v>3</v>
      </c>
      <c r="E346" s="10">
        <v>815</v>
      </c>
      <c r="F346" s="10">
        <v>28329556.142961379</v>
      </c>
      <c r="G346" s="10">
        <v>1225</v>
      </c>
      <c r="H346" s="10">
        <v>4</v>
      </c>
      <c r="I346" s="10">
        <v>5</v>
      </c>
      <c r="J346" s="10">
        <v>717</v>
      </c>
      <c r="K346" s="10">
        <v>5582705.2037551254</v>
      </c>
    </row>
    <row r="347" spans="1:11" x14ac:dyDescent="0.35">
      <c r="A347" s="9" t="s">
        <v>414</v>
      </c>
      <c r="B347" s="10">
        <v>1781</v>
      </c>
      <c r="C347" s="10">
        <v>22</v>
      </c>
      <c r="D347" s="10">
        <v>9</v>
      </c>
      <c r="E347" s="10">
        <v>1168</v>
      </c>
      <c r="F347" s="10">
        <v>55409013.720985174</v>
      </c>
      <c r="G347" s="10">
        <v>1793</v>
      </c>
      <c r="H347" s="10">
        <v>22</v>
      </c>
      <c r="I347" s="10">
        <v>9</v>
      </c>
      <c r="J347" s="10">
        <v>1128</v>
      </c>
      <c r="K347" s="10">
        <v>24708019.09105517</v>
      </c>
    </row>
    <row r="348" spans="1:11" x14ac:dyDescent="0.35">
      <c r="A348" s="9" t="s">
        <v>415</v>
      </c>
      <c r="B348" s="10">
        <v>1440</v>
      </c>
      <c r="C348" s="10">
        <v>8</v>
      </c>
      <c r="D348" s="10">
        <v>1</v>
      </c>
      <c r="E348" s="10">
        <v>663</v>
      </c>
      <c r="F348" s="10">
        <v>23104287.473536387</v>
      </c>
      <c r="G348" s="10">
        <v>1411</v>
      </c>
      <c r="H348" s="10">
        <v>8</v>
      </c>
      <c r="I348" s="10">
        <v>2</v>
      </c>
      <c r="J348" s="10">
        <v>685</v>
      </c>
      <c r="K348" s="10">
        <v>799355.25732408301</v>
      </c>
    </row>
    <row r="349" spans="1:11" x14ac:dyDescent="0.35">
      <c r="A349" s="9" t="s">
        <v>416</v>
      </c>
      <c r="B349" s="10">
        <v>1195</v>
      </c>
      <c r="C349" s="10">
        <v>25</v>
      </c>
      <c r="D349" s="10">
        <v>10</v>
      </c>
      <c r="E349" s="10">
        <v>623</v>
      </c>
      <c r="F349" s="10">
        <v>16437757.338778127</v>
      </c>
      <c r="G349" s="10">
        <v>1060</v>
      </c>
      <c r="H349" s="10">
        <v>9</v>
      </c>
      <c r="I349" s="10">
        <v>8</v>
      </c>
      <c r="J349" s="10">
        <v>560</v>
      </c>
      <c r="K349" s="10">
        <v>2303259.165858075</v>
      </c>
    </row>
    <row r="350" spans="1:11" x14ac:dyDescent="0.35">
      <c r="A350" s="9" t="s">
        <v>417</v>
      </c>
      <c r="B350" s="10">
        <v>2170</v>
      </c>
      <c r="C350" s="10">
        <v>18</v>
      </c>
      <c r="D350" s="10">
        <v>3</v>
      </c>
      <c r="E350" s="10">
        <v>1008</v>
      </c>
      <c r="F350" s="10">
        <v>39397142.888326041</v>
      </c>
      <c r="G350" s="10">
        <v>2054</v>
      </c>
      <c r="H350" s="10">
        <v>15</v>
      </c>
      <c r="I350" s="10">
        <v>2</v>
      </c>
      <c r="J350" s="10">
        <v>958</v>
      </c>
      <c r="K350" s="10">
        <v>4506500.9377532694</v>
      </c>
    </row>
    <row r="351" spans="1:11" x14ac:dyDescent="0.35">
      <c r="A351" s="9" t="s">
        <v>418</v>
      </c>
      <c r="B351" s="10">
        <v>1167</v>
      </c>
      <c r="C351" s="10">
        <v>19</v>
      </c>
      <c r="D351" s="10">
        <v>4</v>
      </c>
      <c r="E351" s="10">
        <v>676</v>
      </c>
      <c r="F351" s="10">
        <v>23812033.472665001</v>
      </c>
      <c r="G351" s="10">
        <v>1210</v>
      </c>
      <c r="H351" s="10">
        <v>16</v>
      </c>
      <c r="I351" s="10">
        <v>3</v>
      </c>
      <c r="J351" s="10">
        <v>677</v>
      </c>
      <c r="K351" s="10">
        <v>3630293.8645898579</v>
      </c>
    </row>
    <row r="352" spans="1:11" x14ac:dyDescent="0.35">
      <c r="A352" s="9" t="s">
        <v>419</v>
      </c>
      <c r="B352" s="10">
        <v>2245</v>
      </c>
      <c r="C352" s="10">
        <v>31</v>
      </c>
      <c r="D352" s="10">
        <v>7</v>
      </c>
      <c r="E352" s="10">
        <v>1102</v>
      </c>
      <c r="F352" s="10">
        <v>59732200.582416415</v>
      </c>
      <c r="G352" s="10">
        <v>2159</v>
      </c>
      <c r="H352" s="10">
        <v>23</v>
      </c>
      <c r="I352" s="10">
        <v>6</v>
      </c>
      <c r="J352" s="10">
        <v>1090</v>
      </c>
      <c r="K352" s="10">
        <v>20758669.999224864</v>
      </c>
    </row>
    <row r="353" spans="1:11" x14ac:dyDescent="0.35">
      <c r="A353" s="9" t="s">
        <v>420</v>
      </c>
      <c r="B353" s="10">
        <v>795</v>
      </c>
      <c r="C353" s="10">
        <v>3</v>
      </c>
      <c r="D353" s="10">
        <v>2</v>
      </c>
      <c r="E353" s="10">
        <v>468</v>
      </c>
      <c r="F353" s="10">
        <v>14584567.113383021</v>
      </c>
      <c r="G353" s="10">
        <v>766</v>
      </c>
      <c r="H353" s="10">
        <v>5</v>
      </c>
      <c r="I353" s="10">
        <v>2</v>
      </c>
      <c r="J353" s="10">
        <v>415</v>
      </c>
      <c r="K353" s="10">
        <v>1940328.8520094859</v>
      </c>
    </row>
    <row r="354" spans="1:11" x14ac:dyDescent="0.35">
      <c r="A354" s="9" t="s">
        <v>421</v>
      </c>
      <c r="B354" s="10">
        <v>1549</v>
      </c>
      <c r="C354" s="10">
        <v>15</v>
      </c>
      <c r="D354" s="10">
        <v>4</v>
      </c>
      <c r="E354" s="10">
        <v>731</v>
      </c>
      <c r="F354" s="10">
        <v>35563170.033854172</v>
      </c>
      <c r="G354" s="10">
        <v>1723</v>
      </c>
      <c r="H354" s="10">
        <v>5</v>
      </c>
      <c r="I354" s="10">
        <v>3</v>
      </c>
      <c r="J354" s="10">
        <v>934</v>
      </c>
      <c r="K354" s="10">
        <v>10496770.492954435</v>
      </c>
    </row>
    <row r="355" spans="1:11" x14ac:dyDescent="0.35">
      <c r="A355" s="9" t="s">
        <v>422</v>
      </c>
      <c r="B355" s="10">
        <v>1735</v>
      </c>
      <c r="C355" s="10">
        <v>7</v>
      </c>
      <c r="D355" s="10">
        <v>4</v>
      </c>
      <c r="E355" s="10">
        <v>395</v>
      </c>
      <c r="F355" s="10">
        <v>17478289.452258028</v>
      </c>
      <c r="G355" s="10">
        <v>1446</v>
      </c>
      <c r="H355" s="10">
        <v>3</v>
      </c>
      <c r="I355" s="10">
        <v>2</v>
      </c>
      <c r="J355" s="10">
        <v>436</v>
      </c>
      <c r="K355" s="10">
        <v>4229785.0188794201</v>
      </c>
    </row>
    <row r="356" spans="1:11" x14ac:dyDescent="0.35">
      <c r="A356" s="9" t="s">
        <v>423</v>
      </c>
      <c r="B356" s="10">
        <v>3990</v>
      </c>
      <c r="C356" s="10">
        <v>27</v>
      </c>
      <c r="D356" s="10">
        <v>23</v>
      </c>
      <c r="E356" s="10">
        <v>2128</v>
      </c>
      <c r="F356" s="10">
        <v>96038975.302644372</v>
      </c>
      <c r="G356" s="10">
        <v>3335</v>
      </c>
      <c r="H356" s="10">
        <v>13</v>
      </c>
      <c r="I356" s="10">
        <v>21</v>
      </c>
      <c r="J356" s="10">
        <v>1804</v>
      </c>
      <c r="K356" s="10">
        <v>38259727.1598543</v>
      </c>
    </row>
    <row r="357" spans="1:11" x14ac:dyDescent="0.35">
      <c r="A357" s="9" t="s">
        <v>424</v>
      </c>
      <c r="B357" s="10">
        <v>3498</v>
      </c>
      <c r="C357" s="10">
        <v>39</v>
      </c>
      <c r="D357" s="10">
        <v>8</v>
      </c>
      <c r="E357" s="10">
        <v>1427</v>
      </c>
      <c r="F357" s="10">
        <v>69323308.230662033</v>
      </c>
      <c r="G357" s="10">
        <v>3429</v>
      </c>
      <c r="H357" s="10">
        <v>40</v>
      </c>
      <c r="I357" s="10">
        <v>9</v>
      </c>
      <c r="J357" s="10">
        <v>2089</v>
      </c>
      <c r="K357" s="10">
        <v>30853724.928149663</v>
      </c>
    </row>
    <row r="358" spans="1:11" x14ac:dyDescent="0.35">
      <c r="A358" s="9" t="s">
        <v>425</v>
      </c>
      <c r="B358" s="10">
        <v>970</v>
      </c>
      <c r="C358" s="10">
        <v>8</v>
      </c>
      <c r="D358" s="10">
        <v>4</v>
      </c>
      <c r="E358" s="10">
        <v>1060</v>
      </c>
      <c r="F358" s="10">
        <v>24685171.266432185</v>
      </c>
      <c r="G358" s="10">
        <v>976</v>
      </c>
      <c r="H358" s="10">
        <v>8</v>
      </c>
      <c r="I358" s="10">
        <v>4</v>
      </c>
      <c r="J358" s="10">
        <v>640</v>
      </c>
      <c r="K358" s="10">
        <v>9916325.0398000963</v>
      </c>
    </row>
    <row r="359" spans="1:11" x14ac:dyDescent="0.35">
      <c r="A359" s="9" t="s">
        <v>426</v>
      </c>
      <c r="B359" s="10">
        <v>2063</v>
      </c>
      <c r="C359" s="10">
        <v>18</v>
      </c>
      <c r="D359" s="10">
        <v>4</v>
      </c>
      <c r="E359" s="10">
        <v>1290</v>
      </c>
      <c r="F359" s="10">
        <v>50915791.469799258</v>
      </c>
      <c r="G359" s="10">
        <v>1840</v>
      </c>
      <c r="H359" s="10">
        <v>21</v>
      </c>
      <c r="I359" s="10">
        <v>4</v>
      </c>
      <c r="J359" s="10">
        <v>1169</v>
      </c>
      <c r="K359" s="10">
        <v>33590703.302699365</v>
      </c>
    </row>
    <row r="360" spans="1:11" x14ac:dyDescent="0.35">
      <c r="A360" s="9" t="s">
        <v>427</v>
      </c>
      <c r="B360" s="10">
        <v>1969</v>
      </c>
      <c r="C360" s="10">
        <v>19</v>
      </c>
      <c r="D360" s="10">
        <v>7</v>
      </c>
      <c r="E360" s="10">
        <v>1426</v>
      </c>
      <c r="F360" s="10">
        <v>39163444.12692067</v>
      </c>
      <c r="G360" s="10">
        <v>2050</v>
      </c>
      <c r="H360" s="10">
        <v>16</v>
      </c>
      <c r="I360" s="10">
        <v>7</v>
      </c>
      <c r="J360" s="10">
        <v>1380</v>
      </c>
      <c r="K360" s="10">
        <v>22315675.723392304</v>
      </c>
    </row>
    <row r="361" spans="1:11" x14ac:dyDescent="0.35">
      <c r="A361" s="9" t="s">
        <v>428</v>
      </c>
      <c r="B361" s="10">
        <v>1244</v>
      </c>
      <c r="C361" s="10">
        <v>17</v>
      </c>
      <c r="D361" s="10">
        <v>2</v>
      </c>
      <c r="E361" s="10">
        <v>901</v>
      </c>
      <c r="F361" s="10">
        <v>44939829.747328907</v>
      </c>
      <c r="G361" s="10">
        <v>1244</v>
      </c>
      <c r="H361" s="10">
        <v>11</v>
      </c>
      <c r="I361" s="10">
        <v>2</v>
      </c>
      <c r="J361" s="10">
        <v>839</v>
      </c>
      <c r="K361" s="10">
        <v>31102840.450038727</v>
      </c>
    </row>
    <row r="362" spans="1:11" x14ac:dyDescent="0.35">
      <c r="A362" s="9" t="s">
        <v>429</v>
      </c>
      <c r="B362" s="10">
        <v>3712</v>
      </c>
      <c r="C362" s="10">
        <v>51</v>
      </c>
      <c r="D362" s="10">
        <v>3</v>
      </c>
      <c r="E362" s="10">
        <v>2623</v>
      </c>
      <c r="F362" s="10">
        <v>101432189.34601182</v>
      </c>
      <c r="G362" s="10">
        <v>3729</v>
      </c>
      <c r="H362" s="10">
        <v>25</v>
      </c>
      <c r="I362" s="10">
        <v>3</v>
      </c>
      <c r="J362" s="10">
        <v>2524</v>
      </c>
      <c r="K362" s="10">
        <v>66084128.395459428</v>
      </c>
    </row>
    <row r="363" spans="1:11" x14ac:dyDescent="0.35">
      <c r="A363" s="9" t="s">
        <v>430</v>
      </c>
      <c r="B363" s="10">
        <v>1357</v>
      </c>
      <c r="C363" s="10">
        <v>19</v>
      </c>
      <c r="D363" s="10">
        <v>8</v>
      </c>
      <c r="E363" s="10">
        <v>871</v>
      </c>
      <c r="F363" s="10">
        <v>39543555.740423456</v>
      </c>
      <c r="G363" s="10">
        <v>1363</v>
      </c>
      <c r="H363" s="10">
        <v>10</v>
      </c>
      <c r="I363" s="10">
        <v>9</v>
      </c>
      <c r="J363" s="10">
        <v>860</v>
      </c>
      <c r="K363" s="10">
        <v>17235919.27086756</v>
      </c>
    </row>
    <row r="364" spans="1:11" x14ac:dyDescent="0.35">
      <c r="A364" s="9" t="s">
        <v>431</v>
      </c>
      <c r="B364" s="10">
        <v>4885</v>
      </c>
      <c r="C364" s="10">
        <v>63</v>
      </c>
      <c r="D364" s="10">
        <v>6</v>
      </c>
      <c r="E364" s="10">
        <v>2889</v>
      </c>
      <c r="F364" s="10">
        <v>119282455.5383766</v>
      </c>
      <c r="G364" s="10">
        <v>4696</v>
      </c>
      <c r="H364" s="10">
        <v>48</v>
      </c>
      <c r="I364" s="10">
        <v>7</v>
      </c>
      <c r="J364" s="10">
        <v>2961</v>
      </c>
      <c r="K364" s="10">
        <v>83204199.503210202</v>
      </c>
    </row>
    <row r="365" spans="1:11" x14ac:dyDescent="0.35">
      <c r="A365" s="9" t="s">
        <v>432</v>
      </c>
      <c r="B365" s="10">
        <v>2437</v>
      </c>
      <c r="C365" s="10">
        <v>25</v>
      </c>
      <c r="D365" s="10">
        <v>4</v>
      </c>
      <c r="E365" s="10">
        <v>1753</v>
      </c>
      <c r="F365" s="10">
        <v>80331509.628767371</v>
      </c>
      <c r="G365" s="10">
        <v>2438</v>
      </c>
      <c r="H365" s="10">
        <v>21</v>
      </c>
      <c r="I365" s="10">
        <v>5</v>
      </c>
      <c r="J365" s="10">
        <v>1700</v>
      </c>
      <c r="K365" s="10">
        <v>53517157.171705648</v>
      </c>
    </row>
    <row r="366" spans="1:11" x14ac:dyDescent="0.35">
      <c r="A366" s="9" t="s">
        <v>433</v>
      </c>
      <c r="B366" s="10">
        <v>1765</v>
      </c>
      <c r="C366" s="10">
        <v>22</v>
      </c>
      <c r="D366" s="10">
        <v>3</v>
      </c>
      <c r="E366" s="10">
        <v>1177</v>
      </c>
      <c r="F366" s="10">
        <v>55029078.858221307</v>
      </c>
      <c r="G366" s="10">
        <v>1834</v>
      </c>
      <c r="H366" s="10">
        <v>20</v>
      </c>
      <c r="I366" s="10">
        <v>3</v>
      </c>
      <c r="J366" s="10">
        <v>1170</v>
      </c>
      <c r="K366" s="10">
        <v>31794490.52350622</v>
      </c>
    </row>
    <row r="367" spans="1:11" x14ac:dyDescent="0.35">
      <c r="A367" s="9" t="s">
        <v>434</v>
      </c>
      <c r="B367" s="10">
        <v>1214</v>
      </c>
      <c r="C367" s="10">
        <v>10</v>
      </c>
      <c r="D367" s="10">
        <v>1</v>
      </c>
      <c r="E367" s="10">
        <v>727</v>
      </c>
      <c r="F367" s="10">
        <v>30899056.358452342</v>
      </c>
      <c r="G367" s="10">
        <v>1089</v>
      </c>
      <c r="H367" s="10">
        <v>7</v>
      </c>
      <c r="I367" s="10">
        <v>1</v>
      </c>
      <c r="J367" s="10">
        <v>589</v>
      </c>
      <c r="K367" s="10">
        <v>19043477.071127284</v>
      </c>
    </row>
    <row r="368" spans="1:11" x14ac:dyDescent="0.35">
      <c r="A368" s="9" t="s">
        <v>435</v>
      </c>
      <c r="B368" s="10">
        <v>2567</v>
      </c>
      <c r="C368" s="10">
        <v>27</v>
      </c>
      <c r="D368" s="10">
        <v>3</v>
      </c>
      <c r="E368" s="10">
        <v>1942</v>
      </c>
      <c r="F368" s="10">
        <v>77966909.595911801</v>
      </c>
      <c r="G368" s="10">
        <v>3326</v>
      </c>
      <c r="H368" s="10">
        <v>67</v>
      </c>
      <c r="I368" s="10">
        <v>3</v>
      </c>
      <c r="J368" s="10">
        <v>2360</v>
      </c>
      <c r="K368" s="10">
        <v>69681197.377970248</v>
      </c>
    </row>
    <row r="369" spans="1:11" x14ac:dyDescent="0.35">
      <c r="A369" s="9" t="s">
        <v>436</v>
      </c>
      <c r="B369" s="10">
        <v>2202</v>
      </c>
      <c r="C369" s="10">
        <v>23</v>
      </c>
      <c r="D369" s="10">
        <v>6</v>
      </c>
      <c r="E369" s="10">
        <v>1522</v>
      </c>
      <c r="F369" s="10">
        <v>52380386.612833589</v>
      </c>
      <c r="G369" s="10">
        <v>2370</v>
      </c>
      <c r="H369" s="10">
        <v>24</v>
      </c>
      <c r="I369" s="10">
        <v>8</v>
      </c>
      <c r="J369" s="10">
        <v>1756</v>
      </c>
      <c r="K369" s="10">
        <v>37647715.825905457</v>
      </c>
    </row>
    <row r="370" spans="1:11" x14ac:dyDescent="0.35">
      <c r="A370" s="9" t="s">
        <v>437</v>
      </c>
      <c r="B370" s="10">
        <v>1487</v>
      </c>
      <c r="C370" s="10">
        <v>47</v>
      </c>
      <c r="D370" s="10">
        <v>2</v>
      </c>
      <c r="E370" s="10">
        <v>1058</v>
      </c>
      <c r="F370" s="10">
        <v>46151944.201660782</v>
      </c>
      <c r="G370" s="10">
        <v>1505</v>
      </c>
      <c r="H370" s="10">
        <v>15</v>
      </c>
      <c r="I370" s="10">
        <v>2</v>
      </c>
      <c r="J370" s="10">
        <v>1208</v>
      </c>
      <c r="K370" s="10">
        <v>33326592.540714279</v>
      </c>
    </row>
    <row r="371" spans="1:11" x14ac:dyDescent="0.35">
      <c r="A371" s="9" t="s">
        <v>438</v>
      </c>
      <c r="B371" s="10">
        <v>4961</v>
      </c>
      <c r="C371" s="10">
        <v>47</v>
      </c>
      <c r="D371" s="10">
        <v>5</v>
      </c>
      <c r="E371" s="10">
        <v>2548</v>
      </c>
      <c r="F371" s="10">
        <v>113842441.38673764</v>
      </c>
      <c r="G371" s="10">
        <v>5318</v>
      </c>
      <c r="H371" s="10">
        <v>46</v>
      </c>
      <c r="I371" s="10">
        <v>6</v>
      </c>
      <c r="J371" s="10">
        <v>2605</v>
      </c>
      <c r="K371" s="10">
        <v>65090364.060677424</v>
      </c>
    </row>
    <row r="372" spans="1:11" x14ac:dyDescent="0.35">
      <c r="A372" s="9" t="s">
        <v>439</v>
      </c>
      <c r="B372" s="10">
        <v>1750</v>
      </c>
      <c r="C372" s="10">
        <v>11</v>
      </c>
      <c r="D372" s="10">
        <v>10</v>
      </c>
      <c r="E372" s="10">
        <v>970</v>
      </c>
      <c r="F372" s="10">
        <v>44514988.522664979</v>
      </c>
      <c r="G372" s="10">
        <v>1658</v>
      </c>
      <c r="H372" s="10">
        <v>9</v>
      </c>
      <c r="I372" s="10">
        <v>10</v>
      </c>
      <c r="J372" s="10">
        <v>943</v>
      </c>
      <c r="K372" s="10">
        <v>24192623.123839047</v>
      </c>
    </row>
    <row r="373" spans="1:11" x14ac:dyDescent="0.35">
      <c r="A373" s="9" t="s">
        <v>440</v>
      </c>
      <c r="B373" s="10">
        <v>2076</v>
      </c>
      <c r="C373" s="10">
        <v>14</v>
      </c>
      <c r="D373" s="10">
        <v>15</v>
      </c>
      <c r="E373" s="10">
        <v>916</v>
      </c>
      <c r="F373" s="10">
        <v>51619213.743982859</v>
      </c>
      <c r="G373" s="10">
        <v>2188</v>
      </c>
      <c r="H373" s="10">
        <v>9</v>
      </c>
      <c r="I373" s="10">
        <v>14</v>
      </c>
      <c r="J373" s="10">
        <v>313</v>
      </c>
      <c r="K373" s="10">
        <v>7163742.192310473</v>
      </c>
    </row>
    <row r="374" spans="1:11" x14ac:dyDescent="0.35">
      <c r="A374" s="9" t="s">
        <v>441</v>
      </c>
      <c r="B374" s="10">
        <v>2957</v>
      </c>
      <c r="C374" s="10">
        <v>33</v>
      </c>
      <c r="D374" s="10">
        <v>5</v>
      </c>
      <c r="E374" s="10">
        <v>2050</v>
      </c>
      <c r="F374" s="10">
        <v>79821020.792819798</v>
      </c>
      <c r="G374" s="10">
        <v>2953</v>
      </c>
      <c r="H374" s="10">
        <v>397</v>
      </c>
      <c r="I374" s="10">
        <v>4</v>
      </c>
      <c r="J374" s="10">
        <v>1739</v>
      </c>
      <c r="K374" s="10">
        <v>47422073.400980785</v>
      </c>
    </row>
    <row r="375" spans="1:11" x14ac:dyDescent="0.35">
      <c r="A375" s="9" t="s">
        <v>442</v>
      </c>
      <c r="B375" s="10">
        <v>2766</v>
      </c>
      <c r="C375" s="10">
        <v>60</v>
      </c>
      <c r="D375" s="10">
        <v>2</v>
      </c>
      <c r="E375" s="10">
        <v>1746</v>
      </c>
      <c r="F375" s="10">
        <v>71247104.49185583</v>
      </c>
      <c r="G375" s="10">
        <v>2309</v>
      </c>
      <c r="H375" s="10">
        <v>58</v>
      </c>
      <c r="I375" s="10">
        <v>4</v>
      </c>
      <c r="J375" s="10">
        <v>1617</v>
      </c>
      <c r="K375" s="10">
        <v>41782293.686050549</v>
      </c>
    </row>
    <row r="376" spans="1:11" x14ac:dyDescent="0.35">
      <c r="A376" s="9" t="s">
        <v>443</v>
      </c>
      <c r="B376" s="10">
        <v>2091</v>
      </c>
      <c r="C376" s="10">
        <v>231</v>
      </c>
      <c r="D376" s="10">
        <v>4</v>
      </c>
      <c r="E376" s="10">
        <v>804</v>
      </c>
      <c r="F376" s="10">
        <v>42330577.499511197</v>
      </c>
      <c r="G376" s="10">
        <v>1797</v>
      </c>
      <c r="H376" s="10">
        <v>159</v>
      </c>
      <c r="I376" s="10">
        <v>2</v>
      </c>
      <c r="J376" s="10">
        <v>855</v>
      </c>
      <c r="K376" s="10">
        <v>24745730.431504034</v>
      </c>
    </row>
    <row r="377" spans="1:11" x14ac:dyDescent="0.35">
      <c r="A377" s="9" t="s">
        <v>444</v>
      </c>
      <c r="B377" s="10">
        <v>1248</v>
      </c>
      <c r="C377" s="10">
        <v>14</v>
      </c>
      <c r="D377" s="10">
        <v>3</v>
      </c>
      <c r="E377" s="10">
        <v>1071</v>
      </c>
      <c r="F377" s="10">
        <v>41680278.493730389</v>
      </c>
      <c r="G377" s="10">
        <v>1250</v>
      </c>
      <c r="H377" s="10">
        <v>6</v>
      </c>
      <c r="I377" s="10">
        <v>3</v>
      </c>
      <c r="J377" s="10">
        <v>739</v>
      </c>
      <c r="K377" s="10">
        <v>27455760.132985093</v>
      </c>
    </row>
    <row r="378" spans="1:11" x14ac:dyDescent="0.35">
      <c r="A378" s="9" t="s">
        <v>445</v>
      </c>
      <c r="B378" s="10">
        <v>5703</v>
      </c>
      <c r="C378" s="10">
        <v>359</v>
      </c>
      <c r="D378" s="10">
        <v>6</v>
      </c>
      <c r="E378" s="10">
        <v>3588</v>
      </c>
      <c r="F378" s="10">
        <v>126342393.17684786</v>
      </c>
      <c r="G378" s="10">
        <v>5474</v>
      </c>
      <c r="H378" s="10">
        <v>94</v>
      </c>
      <c r="I378" s="10">
        <v>7</v>
      </c>
      <c r="J378" s="10">
        <v>3492</v>
      </c>
      <c r="K378" s="10">
        <v>93911148.000063121</v>
      </c>
    </row>
    <row r="379" spans="1:11" x14ac:dyDescent="0.35">
      <c r="A379" s="9" t="s">
        <v>446</v>
      </c>
      <c r="B379" s="10">
        <v>2926</v>
      </c>
      <c r="C379" s="10">
        <v>508</v>
      </c>
      <c r="D379" s="10">
        <v>5</v>
      </c>
      <c r="E379" s="10">
        <v>1909</v>
      </c>
      <c r="F379" s="10">
        <v>61036837.298779905</v>
      </c>
      <c r="G379" s="10">
        <v>2313</v>
      </c>
      <c r="H379" s="10">
        <v>49</v>
      </c>
      <c r="I379" s="10">
        <v>4</v>
      </c>
      <c r="J379" s="10">
        <v>1702</v>
      </c>
      <c r="K379" s="10">
        <v>43868070.42487824</v>
      </c>
    </row>
    <row r="380" spans="1:11" x14ac:dyDescent="0.35">
      <c r="A380" s="9" t="s">
        <v>447</v>
      </c>
      <c r="B380" s="10">
        <v>2087</v>
      </c>
      <c r="C380" s="10">
        <v>28</v>
      </c>
      <c r="D380" s="10">
        <v>1</v>
      </c>
      <c r="E380" s="10">
        <v>1484</v>
      </c>
      <c r="F380" s="10">
        <v>49764224.565283462</v>
      </c>
      <c r="G380" s="10">
        <v>2069</v>
      </c>
      <c r="H380" s="10">
        <v>15</v>
      </c>
      <c r="I380" s="10">
        <v>2</v>
      </c>
      <c r="J380" s="10">
        <v>1327</v>
      </c>
      <c r="K380" s="10">
        <v>33791884.814692914</v>
      </c>
    </row>
    <row r="381" spans="1:11" x14ac:dyDescent="0.35">
      <c r="A381" s="9" t="s">
        <v>448</v>
      </c>
      <c r="B381" s="10">
        <v>2921</v>
      </c>
      <c r="C381" s="10">
        <v>26</v>
      </c>
      <c r="D381" s="10">
        <v>8</v>
      </c>
      <c r="E381" s="10">
        <v>2138</v>
      </c>
      <c r="F381" s="10">
        <v>87766421.053629383</v>
      </c>
      <c r="G381" s="10">
        <v>2886</v>
      </c>
      <c r="H381" s="10">
        <v>60</v>
      </c>
      <c r="I381" s="10">
        <v>9</v>
      </c>
      <c r="J381" s="10">
        <v>1994</v>
      </c>
      <c r="K381" s="10">
        <v>60165130.104744591</v>
      </c>
    </row>
    <row r="382" spans="1:11" x14ac:dyDescent="0.35">
      <c r="A382" s="9" t="s">
        <v>449</v>
      </c>
      <c r="B382" s="10">
        <v>2110</v>
      </c>
      <c r="C382" s="10">
        <v>18</v>
      </c>
      <c r="D382" s="10">
        <v>3</v>
      </c>
      <c r="E382" s="10">
        <v>1486</v>
      </c>
      <c r="F382" s="10">
        <v>49731521.012420543</v>
      </c>
      <c r="G382" s="10">
        <v>1905</v>
      </c>
      <c r="H382" s="10">
        <v>12</v>
      </c>
      <c r="I382" s="10">
        <v>2</v>
      </c>
      <c r="J382" s="10">
        <v>1310</v>
      </c>
      <c r="K382" s="10">
        <v>31318881.060350016</v>
      </c>
    </row>
    <row r="383" spans="1:11" x14ac:dyDescent="0.35">
      <c r="A383" s="9" t="s">
        <v>450</v>
      </c>
      <c r="B383" s="10">
        <v>855</v>
      </c>
      <c r="C383" s="10">
        <v>10</v>
      </c>
      <c r="D383" s="10">
        <v>3</v>
      </c>
      <c r="E383" s="10">
        <v>438</v>
      </c>
      <c r="F383" s="10">
        <v>17537977.487388108</v>
      </c>
      <c r="G383" s="10">
        <v>916</v>
      </c>
      <c r="H383" s="10">
        <v>2</v>
      </c>
      <c r="I383" s="10">
        <v>3</v>
      </c>
      <c r="J383" s="10">
        <v>483</v>
      </c>
      <c r="K383" s="10">
        <v>11779001.589227708</v>
      </c>
    </row>
    <row r="384" spans="1:11" x14ac:dyDescent="0.35">
      <c r="A384" s="9" t="s">
        <v>451</v>
      </c>
      <c r="B384" s="10">
        <v>2595</v>
      </c>
      <c r="C384" s="10">
        <v>343</v>
      </c>
      <c r="D384" s="10">
        <v>6</v>
      </c>
      <c r="E384" s="10">
        <v>1459</v>
      </c>
      <c r="F384" s="10">
        <v>55814899.685448043</v>
      </c>
      <c r="G384" s="10">
        <v>5704</v>
      </c>
      <c r="H384" s="10">
        <v>2215</v>
      </c>
      <c r="I384" s="10">
        <v>5</v>
      </c>
      <c r="J384" s="10">
        <v>2333</v>
      </c>
      <c r="K384" s="10">
        <v>43191374.104252905</v>
      </c>
    </row>
    <row r="385" spans="1:11" x14ac:dyDescent="0.35">
      <c r="A385" s="9" t="s">
        <v>452</v>
      </c>
      <c r="B385" s="10">
        <v>1854</v>
      </c>
      <c r="C385" s="10">
        <v>14</v>
      </c>
      <c r="D385" s="10">
        <v>6</v>
      </c>
      <c r="E385" s="10">
        <v>1225</v>
      </c>
      <c r="F385" s="10">
        <v>57859186.652756371</v>
      </c>
      <c r="G385" s="10">
        <v>1744</v>
      </c>
      <c r="H385" s="10">
        <v>15</v>
      </c>
      <c r="I385" s="10">
        <v>6</v>
      </c>
      <c r="J385" s="10">
        <v>1247</v>
      </c>
      <c r="K385" s="10">
        <v>32184084.306835607</v>
      </c>
    </row>
    <row r="386" spans="1:11" x14ac:dyDescent="0.35">
      <c r="A386" s="9" t="s">
        <v>453</v>
      </c>
      <c r="B386" s="10">
        <v>1741</v>
      </c>
      <c r="C386" s="10">
        <v>19</v>
      </c>
      <c r="D386" s="10">
        <v>4</v>
      </c>
      <c r="E386" s="10">
        <v>1278</v>
      </c>
      <c r="F386" s="10">
        <v>50161382.305219986</v>
      </c>
      <c r="G386" s="10">
        <v>1911</v>
      </c>
      <c r="H386" s="10">
        <v>17</v>
      </c>
      <c r="I386" s="10">
        <v>5</v>
      </c>
      <c r="J386" s="10">
        <v>1451</v>
      </c>
      <c r="K386" s="10">
        <v>35628628.420749649</v>
      </c>
    </row>
    <row r="387" spans="1:11" x14ac:dyDescent="0.35">
      <c r="A387" s="9" t="s">
        <v>454</v>
      </c>
      <c r="B387" s="10">
        <v>3515</v>
      </c>
      <c r="C387" s="10">
        <v>65</v>
      </c>
      <c r="D387" s="10">
        <v>8</v>
      </c>
      <c r="E387" s="10">
        <v>2460</v>
      </c>
      <c r="F387" s="10">
        <v>95331237.245780453</v>
      </c>
      <c r="G387" s="10">
        <v>4074</v>
      </c>
      <c r="H387" s="10">
        <v>205</v>
      </c>
      <c r="I387" s="10">
        <v>7</v>
      </c>
      <c r="J387" s="10">
        <v>2505</v>
      </c>
      <c r="K387" s="10">
        <v>69426759.73601456</v>
      </c>
    </row>
    <row r="388" spans="1:11" x14ac:dyDescent="0.35">
      <c r="A388" s="9" t="s">
        <v>455</v>
      </c>
      <c r="B388" s="10">
        <v>4867</v>
      </c>
      <c r="C388" s="10">
        <v>46</v>
      </c>
      <c r="D388" s="10">
        <v>32</v>
      </c>
      <c r="E388" s="10">
        <v>2341</v>
      </c>
      <c r="F388" s="10">
        <v>138687958.72328475</v>
      </c>
      <c r="G388" s="10">
        <v>4604</v>
      </c>
      <c r="H388" s="10">
        <v>13</v>
      </c>
      <c r="I388" s="10">
        <v>23</v>
      </c>
      <c r="J388" s="10">
        <v>2674</v>
      </c>
      <c r="K388" s="10">
        <v>38523644.267549403</v>
      </c>
    </row>
    <row r="389" spans="1:11" x14ac:dyDescent="0.35">
      <c r="A389" s="9" t="s">
        <v>456</v>
      </c>
      <c r="B389" s="10">
        <v>1867</v>
      </c>
      <c r="C389" s="10">
        <v>28</v>
      </c>
      <c r="D389" s="10">
        <v>4</v>
      </c>
      <c r="E389" s="10">
        <v>1325</v>
      </c>
      <c r="F389" s="10">
        <v>55248481.305907607</v>
      </c>
      <c r="G389" s="10">
        <v>1928</v>
      </c>
      <c r="H389" s="10">
        <v>24</v>
      </c>
      <c r="I389" s="10">
        <v>3</v>
      </c>
      <c r="J389" s="10">
        <v>1530</v>
      </c>
      <c r="K389" s="10">
        <v>39257236.443476386</v>
      </c>
    </row>
    <row r="390" spans="1:11" x14ac:dyDescent="0.35">
      <c r="A390" s="9" t="s">
        <v>457</v>
      </c>
      <c r="B390" s="10">
        <v>838</v>
      </c>
      <c r="C390" s="10">
        <v>11</v>
      </c>
      <c r="D390" s="10">
        <v>0</v>
      </c>
      <c r="E390" s="10">
        <v>709</v>
      </c>
      <c r="F390" s="10">
        <v>27020949.602031589</v>
      </c>
      <c r="G390" s="10">
        <v>859</v>
      </c>
      <c r="H390" s="10">
        <v>10</v>
      </c>
      <c r="I390" s="10">
        <v>1</v>
      </c>
      <c r="J390" s="10">
        <v>761</v>
      </c>
      <c r="K390" s="10">
        <v>19640754.967313029</v>
      </c>
    </row>
    <row r="391" spans="1:11" x14ac:dyDescent="0.35">
      <c r="A391" s="9" t="s">
        <v>458</v>
      </c>
      <c r="B391" s="10">
        <v>2661</v>
      </c>
      <c r="C391" s="10">
        <v>19</v>
      </c>
      <c r="D391" s="10">
        <v>5</v>
      </c>
      <c r="E391" s="10">
        <v>1868</v>
      </c>
      <c r="F391" s="10">
        <v>61329103.114356637</v>
      </c>
      <c r="G391" s="10">
        <v>2708</v>
      </c>
      <c r="H391" s="10">
        <v>15</v>
      </c>
      <c r="I391" s="10">
        <v>4</v>
      </c>
      <c r="J391" s="10">
        <v>1764</v>
      </c>
      <c r="K391" s="10">
        <v>36280893.282038674</v>
      </c>
    </row>
    <row r="392" spans="1:11" x14ac:dyDescent="0.35">
      <c r="A392" s="9" t="s">
        <v>459</v>
      </c>
      <c r="B392" s="10">
        <v>3566</v>
      </c>
      <c r="C392" s="10">
        <v>47</v>
      </c>
      <c r="D392" s="10">
        <v>5</v>
      </c>
      <c r="E392" s="10">
        <v>1890</v>
      </c>
      <c r="F392" s="10">
        <v>82587748.479044318</v>
      </c>
      <c r="G392" s="10">
        <v>3568</v>
      </c>
      <c r="H392" s="10">
        <v>292</v>
      </c>
      <c r="I392" s="10">
        <v>4</v>
      </c>
      <c r="J392" s="10">
        <v>1625</v>
      </c>
      <c r="K392" s="10">
        <v>48478724.468867175</v>
      </c>
    </row>
    <row r="393" spans="1:11" x14ac:dyDescent="0.35">
      <c r="A393" s="9" t="s">
        <v>460</v>
      </c>
      <c r="B393" s="10">
        <v>4368</v>
      </c>
      <c r="C393" s="10">
        <v>141</v>
      </c>
      <c r="D393" s="10">
        <v>3</v>
      </c>
      <c r="E393" s="10">
        <v>2889</v>
      </c>
      <c r="F393" s="10">
        <v>111083443.81024799</v>
      </c>
      <c r="G393" s="10">
        <v>3320</v>
      </c>
      <c r="H393" s="10">
        <v>115</v>
      </c>
      <c r="I393" s="10">
        <v>2</v>
      </c>
      <c r="J393" s="10">
        <v>2314</v>
      </c>
      <c r="K393" s="10">
        <v>64745662.414658383</v>
      </c>
    </row>
    <row r="394" spans="1:11" x14ac:dyDescent="0.35">
      <c r="A394" s="9" t="s">
        <v>461</v>
      </c>
      <c r="B394" s="10">
        <v>2124</v>
      </c>
      <c r="C394" s="10">
        <v>36</v>
      </c>
      <c r="D394" s="10">
        <v>4</v>
      </c>
      <c r="E394" s="10">
        <v>1636</v>
      </c>
      <c r="F394" s="10">
        <v>50047344.202821821</v>
      </c>
      <c r="G394" s="10">
        <v>2189</v>
      </c>
      <c r="H394" s="10">
        <v>66</v>
      </c>
      <c r="I394" s="10">
        <v>3</v>
      </c>
      <c r="J394" s="10">
        <v>1426</v>
      </c>
      <c r="K394" s="10">
        <v>31952250.309157655</v>
      </c>
    </row>
    <row r="395" spans="1:11" x14ac:dyDescent="0.35">
      <c r="A395" s="9" t="s">
        <v>462</v>
      </c>
      <c r="B395" s="10">
        <v>1521</v>
      </c>
      <c r="C395" s="10">
        <v>24</v>
      </c>
      <c r="D395" s="10">
        <v>3</v>
      </c>
      <c r="E395" s="10">
        <v>1392</v>
      </c>
      <c r="F395" s="10">
        <v>48298308.067605466</v>
      </c>
      <c r="G395" s="10">
        <v>1920</v>
      </c>
      <c r="H395" s="10">
        <v>20</v>
      </c>
      <c r="I395" s="10">
        <v>4</v>
      </c>
      <c r="J395" s="10">
        <v>1532</v>
      </c>
      <c r="K395" s="10">
        <v>39718098.717684478</v>
      </c>
    </row>
    <row r="396" spans="1:11" x14ac:dyDescent="0.35">
      <c r="A396" s="9" t="s">
        <v>463</v>
      </c>
      <c r="B396" s="10">
        <v>1464</v>
      </c>
      <c r="C396" s="10">
        <v>13</v>
      </c>
      <c r="D396" s="10">
        <v>1</v>
      </c>
      <c r="E396" s="10">
        <v>845</v>
      </c>
      <c r="F396" s="10">
        <v>37012439.643042073</v>
      </c>
      <c r="G396" s="10">
        <v>1255</v>
      </c>
      <c r="H396" s="10">
        <v>5</v>
      </c>
      <c r="I396" s="10">
        <v>0</v>
      </c>
      <c r="J396" s="10">
        <v>328</v>
      </c>
      <c r="K396" s="10">
        <v>14169556.634241667</v>
      </c>
    </row>
    <row r="397" spans="1:11" x14ac:dyDescent="0.35">
      <c r="A397" s="9" t="s">
        <v>464</v>
      </c>
      <c r="B397" s="10">
        <v>1118</v>
      </c>
      <c r="C397" s="10">
        <v>13</v>
      </c>
      <c r="D397" s="10">
        <v>2</v>
      </c>
      <c r="E397" s="10">
        <v>728</v>
      </c>
      <c r="F397" s="10">
        <v>38510486.157590672</v>
      </c>
      <c r="G397" s="10">
        <v>1049</v>
      </c>
      <c r="H397" s="10">
        <v>11</v>
      </c>
      <c r="I397" s="10">
        <v>2</v>
      </c>
      <c r="J397" s="10">
        <v>693</v>
      </c>
      <c r="K397" s="10">
        <v>24679188.221361671</v>
      </c>
    </row>
    <row r="398" spans="1:11" x14ac:dyDescent="0.35">
      <c r="A398" s="9" t="s">
        <v>465</v>
      </c>
      <c r="B398" s="10">
        <v>2271</v>
      </c>
      <c r="C398" s="10">
        <v>25</v>
      </c>
      <c r="D398" s="10">
        <v>6</v>
      </c>
      <c r="E398" s="10">
        <v>1360</v>
      </c>
      <c r="F398" s="10">
        <v>60605852.885079905</v>
      </c>
      <c r="G398" s="10">
        <v>2231</v>
      </c>
      <c r="H398" s="10">
        <v>21</v>
      </c>
      <c r="I398" s="10">
        <v>7</v>
      </c>
      <c r="J398" s="10">
        <v>1415</v>
      </c>
      <c r="K398" s="10">
        <v>37597204.225295901</v>
      </c>
    </row>
    <row r="399" spans="1:11" x14ac:dyDescent="0.35">
      <c r="A399" s="9" t="s">
        <v>466</v>
      </c>
      <c r="B399" s="10">
        <v>3390</v>
      </c>
      <c r="C399" s="10">
        <v>39</v>
      </c>
      <c r="D399" s="10">
        <v>3</v>
      </c>
      <c r="E399" s="10">
        <v>1980</v>
      </c>
      <c r="F399" s="10">
        <v>81927868.766102374</v>
      </c>
      <c r="G399" s="10">
        <v>3995</v>
      </c>
      <c r="H399" s="10">
        <v>52</v>
      </c>
      <c r="I399" s="10">
        <v>3</v>
      </c>
      <c r="J399" s="10">
        <v>2370</v>
      </c>
      <c r="K399" s="10">
        <v>69126834.731322423</v>
      </c>
    </row>
    <row r="400" spans="1:11" x14ac:dyDescent="0.35">
      <c r="A400" s="9" t="s">
        <v>467</v>
      </c>
      <c r="B400" s="10">
        <v>2394</v>
      </c>
      <c r="C400" s="10">
        <v>32</v>
      </c>
      <c r="D400" s="10">
        <v>4</v>
      </c>
      <c r="E400" s="10">
        <v>2204</v>
      </c>
      <c r="F400" s="10">
        <v>72486489.639658377</v>
      </c>
      <c r="G400" s="10">
        <v>3012</v>
      </c>
      <c r="H400" s="10">
        <v>180</v>
      </c>
      <c r="I400" s="10">
        <v>5</v>
      </c>
      <c r="J400" s="10">
        <v>2590</v>
      </c>
      <c r="K400" s="10">
        <v>56855737.626866333</v>
      </c>
    </row>
    <row r="401" spans="1:11" x14ac:dyDescent="0.35">
      <c r="A401" s="9" t="s">
        <v>468</v>
      </c>
      <c r="B401" s="10">
        <v>3695</v>
      </c>
      <c r="C401" s="10">
        <v>60</v>
      </c>
      <c r="D401" s="10">
        <v>2</v>
      </c>
      <c r="E401" s="10">
        <v>2700</v>
      </c>
      <c r="F401" s="10">
        <v>100877709.66229093</v>
      </c>
      <c r="G401" s="10">
        <v>3593</v>
      </c>
      <c r="H401" s="10">
        <v>167</v>
      </c>
      <c r="I401" s="10">
        <v>2</v>
      </c>
      <c r="J401" s="10">
        <v>2528</v>
      </c>
      <c r="K401" s="10">
        <v>63943440.95828332</v>
      </c>
    </row>
    <row r="402" spans="1:11" x14ac:dyDescent="0.35">
      <c r="A402" s="9" t="s">
        <v>469</v>
      </c>
      <c r="B402" s="10">
        <v>1370</v>
      </c>
      <c r="C402" s="10">
        <v>18</v>
      </c>
      <c r="D402" s="10">
        <v>3</v>
      </c>
      <c r="E402" s="10">
        <v>1207</v>
      </c>
      <c r="F402" s="10">
        <v>42163766.65547543</v>
      </c>
      <c r="G402" s="10">
        <v>1319</v>
      </c>
      <c r="H402" s="10">
        <v>13</v>
      </c>
      <c r="I402" s="10">
        <v>3</v>
      </c>
      <c r="J402" s="10">
        <v>1068</v>
      </c>
      <c r="K402" s="10">
        <v>30393174.289677847</v>
      </c>
    </row>
    <row r="403" spans="1:11" x14ac:dyDescent="0.35">
      <c r="A403" s="9" t="s">
        <v>470</v>
      </c>
      <c r="B403" s="10">
        <v>3069</v>
      </c>
      <c r="C403" s="10">
        <v>29</v>
      </c>
      <c r="D403" s="10">
        <v>4</v>
      </c>
      <c r="E403" s="10">
        <v>2214</v>
      </c>
      <c r="F403" s="10">
        <v>73324993.58855924</v>
      </c>
      <c r="G403" s="10">
        <v>3212</v>
      </c>
      <c r="H403" s="10">
        <v>34</v>
      </c>
      <c r="I403" s="10">
        <v>4</v>
      </c>
      <c r="J403" s="10">
        <v>2319</v>
      </c>
      <c r="K403" s="10">
        <v>54682911.043078624</v>
      </c>
    </row>
    <row r="404" spans="1:11" x14ac:dyDescent="0.35">
      <c r="A404" s="9" t="s">
        <v>471</v>
      </c>
      <c r="B404" s="10">
        <v>1831</v>
      </c>
      <c r="C404" s="10">
        <v>18</v>
      </c>
      <c r="D404" s="10">
        <v>3</v>
      </c>
      <c r="E404" s="10">
        <v>1381</v>
      </c>
      <c r="F404" s="10">
        <v>41608044.909370713</v>
      </c>
      <c r="G404" s="10">
        <v>1916</v>
      </c>
      <c r="H404" s="10">
        <v>14</v>
      </c>
      <c r="I404" s="10">
        <v>3</v>
      </c>
      <c r="J404" s="10">
        <v>1291</v>
      </c>
      <c r="K404" s="10">
        <v>26079960.139999341</v>
      </c>
    </row>
    <row r="405" spans="1:11" x14ac:dyDescent="0.35">
      <c r="A405" s="9" t="s">
        <v>472</v>
      </c>
      <c r="B405" s="10">
        <v>3584</v>
      </c>
      <c r="C405" s="10">
        <v>29</v>
      </c>
      <c r="D405" s="10">
        <v>8</v>
      </c>
      <c r="E405" s="10">
        <v>2445</v>
      </c>
      <c r="F405" s="10">
        <v>96086605.495288044</v>
      </c>
      <c r="G405" s="10">
        <v>3477</v>
      </c>
      <c r="H405" s="10">
        <v>24</v>
      </c>
      <c r="I405" s="10">
        <v>9</v>
      </c>
      <c r="J405" s="10">
        <v>2596</v>
      </c>
      <c r="K405" s="10">
        <v>54621553.182380714</v>
      </c>
    </row>
    <row r="406" spans="1:11" x14ac:dyDescent="0.35">
      <c r="A406" s="9" t="s">
        <v>473</v>
      </c>
      <c r="B406" s="10">
        <v>2896</v>
      </c>
      <c r="C406" s="10">
        <v>448</v>
      </c>
      <c r="D406" s="10">
        <v>1</v>
      </c>
      <c r="E406" s="10">
        <v>1277</v>
      </c>
      <c r="F406" s="10">
        <v>51528258.630552918</v>
      </c>
      <c r="G406" s="10">
        <v>2145</v>
      </c>
      <c r="H406" s="10">
        <v>13</v>
      </c>
      <c r="I406" s="10">
        <v>1</v>
      </c>
      <c r="J406" s="10">
        <v>1343</v>
      </c>
      <c r="K406" s="10">
        <v>33924740.494681247</v>
      </c>
    </row>
    <row r="407" spans="1:11" x14ac:dyDescent="0.35">
      <c r="A407" s="9" t="s">
        <v>474</v>
      </c>
      <c r="B407" s="10">
        <v>2390</v>
      </c>
      <c r="C407" s="10">
        <v>51</v>
      </c>
      <c r="D407" s="10">
        <v>4</v>
      </c>
      <c r="E407" s="10">
        <v>1508</v>
      </c>
      <c r="F407" s="10">
        <v>56395119.765542462</v>
      </c>
      <c r="G407" s="10">
        <v>2447</v>
      </c>
      <c r="H407" s="10">
        <v>25</v>
      </c>
      <c r="I407" s="10">
        <v>4</v>
      </c>
      <c r="J407" s="10">
        <v>1015</v>
      </c>
      <c r="K407" s="10">
        <v>36624500.176859923</v>
      </c>
    </row>
    <row r="408" spans="1:11" x14ac:dyDescent="0.35">
      <c r="A408" s="9" t="s">
        <v>475</v>
      </c>
      <c r="B408" s="10">
        <v>2297</v>
      </c>
      <c r="C408" s="10">
        <v>20</v>
      </c>
      <c r="D408" s="10">
        <v>5</v>
      </c>
      <c r="E408" s="10">
        <v>1559</v>
      </c>
      <c r="F408" s="10">
        <v>51553366.209074512</v>
      </c>
      <c r="G408" s="10">
        <v>1932</v>
      </c>
      <c r="H408" s="10">
        <v>17</v>
      </c>
      <c r="I408" s="10">
        <v>4</v>
      </c>
      <c r="J408" s="10">
        <v>1442</v>
      </c>
      <c r="K408" s="10">
        <v>33259836.595660564</v>
      </c>
    </row>
    <row r="409" spans="1:11" x14ac:dyDescent="0.35">
      <c r="A409" s="9" t="s">
        <v>476</v>
      </c>
      <c r="B409" s="10">
        <v>1391</v>
      </c>
      <c r="C409" s="10">
        <v>18</v>
      </c>
      <c r="D409" s="10">
        <v>4</v>
      </c>
      <c r="E409" s="10">
        <v>1311</v>
      </c>
      <c r="F409" s="10">
        <v>47609823.274642497</v>
      </c>
      <c r="G409" s="10">
        <v>1713</v>
      </c>
      <c r="H409" s="10">
        <v>13</v>
      </c>
      <c r="I409" s="10">
        <v>5</v>
      </c>
      <c r="J409" s="10">
        <v>1629</v>
      </c>
      <c r="K409" s="10">
        <v>32184486.667719074</v>
      </c>
    </row>
    <row r="410" spans="1:11" x14ac:dyDescent="0.35">
      <c r="A410" s="9" t="s">
        <v>477</v>
      </c>
      <c r="B410" s="10">
        <v>2346</v>
      </c>
      <c r="C410" s="10">
        <v>20</v>
      </c>
      <c r="D410" s="10">
        <v>4</v>
      </c>
      <c r="E410" s="10">
        <v>1856</v>
      </c>
      <c r="F410" s="10">
        <v>55529429.954743654</v>
      </c>
      <c r="G410" s="10">
        <v>2424</v>
      </c>
      <c r="H410" s="10">
        <v>17</v>
      </c>
      <c r="I410" s="10">
        <v>4</v>
      </c>
      <c r="J410" s="10">
        <v>2229</v>
      </c>
      <c r="K410" s="10">
        <v>40998851.194092549</v>
      </c>
    </row>
    <row r="411" spans="1:11" x14ac:dyDescent="0.35">
      <c r="A411" s="9" t="s">
        <v>478</v>
      </c>
      <c r="B411" s="10">
        <v>3064</v>
      </c>
      <c r="C411" s="10">
        <v>32</v>
      </c>
      <c r="D411" s="10">
        <v>6</v>
      </c>
      <c r="E411" s="10">
        <v>1913</v>
      </c>
      <c r="F411" s="10">
        <v>62951667.738733344</v>
      </c>
      <c r="G411" s="10">
        <v>2970</v>
      </c>
      <c r="H411" s="10">
        <v>31</v>
      </c>
      <c r="I411" s="10">
        <v>5</v>
      </c>
      <c r="J411" s="10">
        <v>1799</v>
      </c>
      <c r="K411" s="10">
        <v>38960764.417433903</v>
      </c>
    </row>
    <row r="412" spans="1:11" x14ac:dyDescent="0.35">
      <c r="A412" s="9" t="s">
        <v>479</v>
      </c>
      <c r="B412" s="10">
        <v>4414</v>
      </c>
      <c r="C412" s="10">
        <v>26</v>
      </c>
      <c r="D412" s="10">
        <v>5</v>
      </c>
      <c r="E412" s="10">
        <v>3037</v>
      </c>
      <c r="F412" s="10">
        <v>97883310.204879954</v>
      </c>
      <c r="G412" s="10">
        <v>4128</v>
      </c>
      <c r="H412" s="10">
        <v>20</v>
      </c>
      <c r="I412" s="10">
        <v>4</v>
      </c>
      <c r="J412" s="10">
        <v>2706</v>
      </c>
      <c r="K412" s="10">
        <v>58175034.46730756</v>
      </c>
    </row>
    <row r="413" spans="1:11" x14ac:dyDescent="0.35">
      <c r="A413" s="9" t="s">
        <v>480</v>
      </c>
      <c r="B413" s="10">
        <v>2365</v>
      </c>
      <c r="C413" s="10">
        <v>12</v>
      </c>
      <c r="D413" s="10">
        <v>2</v>
      </c>
      <c r="E413" s="10">
        <v>1678</v>
      </c>
      <c r="F413" s="10">
        <v>59893147.373382144</v>
      </c>
      <c r="G413" s="10">
        <v>2456</v>
      </c>
      <c r="H413" s="10">
        <v>12</v>
      </c>
      <c r="I413" s="10">
        <v>2</v>
      </c>
      <c r="J413" s="10">
        <v>1747</v>
      </c>
      <c r="K413" s="10">
        <v>38992057.039670542</v>
      </c>
    </row>
    <row r="414" spans="1:11" x14ac:dyDescent="0.35">
      <c r="A414" s="9" t="s">
        <v>481</v>
      </c>
      <c r="B414" s="10">
        <v>2608</v>
      </c>
      <c r="C414" s="10">
        <v>16</v>
      </c>
      <c r="D414" s="10">
        <v>6</v>
      </c>
      <c r="E414" s="10">
        <v>1678</v>
      </c>
      <c r="F414" s="10">
        <v>61723092.907913253</v>
      </c>
      <c r="G414" s="10">
        <v>2644</v>
      </c>
      <c r="H414" s="10">
        <v>10</v>
      </c>
      <c r="I414" s="10">
        <v>8</v>
      </c>
      <c r="J414" s="10">
        <v>1618</v>
      </c>
      <c r="K414" s="10">
        <v>31298156.812647156</v>
      </c>
    </row>
    <row r="415" spans="1:11" x14ac:dyDescent="0.35">
      <c r="A415" s="9" t="s">
        <v>482</v>
      </c>
      <c r="B415" s="10">
        <v>2096</v>
      </c>
      <c r="C415" s="10">
        <v>16</v>
      </c>
      <c r="D415" s="10">
        <v>11</v>
      </c>
      <c r="E415" s="10">
        <v>1614</v>
      </c>
      <c r="F415" s="10">
        <v>60235102.417419806</v>
      </c>
      <c r="G415" s="10">
        <v>2162</v>
      </c>
      <c r="H415" s="10">
        <v>12</v>
      </c>
      <c r="I415" s="10">
        <v>15</v>
      </c>
      <c r="J415" s="10">
        <v>1484</v>
      </c>
      <c r="K415" s="10">
        <v>32133634.56730026</v>
      </c>
    </row>
    <row r="416" spans="1:11" x14ac:dyDescent="0.35">
      <c r="A416" s="9" t="s">
        <v>483</v>
      </c>
      <c r="B416" s="10">
        <v>4336</v>
      </c>
      <c r="C416" s="10">
        <v>55</v>
      </c>
      <c r="D416" s="10">
        <v>31</v>
      </c>
      <c r="E416" s="10">
        <v>1818</v>
      </c>
      <c r="F416" s="10">
        <v>112588228.01525781</v>
      </c>
      <c r="G416" s="10">
        <v>3878</v>
      </c>
      <c r="H416" s="10">
        <v>17</v>
      </c>
      <c r="I416" s="10">
        <v>22</v>
      </c>
      <c r="J416" s="10">
        <v>1484</v>
      </c>
      <c r="K416" s="10">
        <v>16729971.796014892</v>
      </c>
    </row>
    <row r="417" spans="1:11" x14ac:dyDescent="0.35">
      <c r="A417" s="9" t="s">
        <v>484</v>
      </c>
      <c r="B417" s="10">
        <v>3455</v>
      </c>
      <c r="C417" s="10">
        <v>37</v>
      </c>
      <c r="D417" s="10">
        <v>14</v>
      </c>
      <c r="E417" s="10">
        <v>2216</v>
      </c>
      <c r="F417" s="10">
        <v>87848078.15235956</v>
      </c>
      <c r="G417" s="10">
        <v>3337</v>
      </c>
      <c r="H417" s="10">
        <v>18</v>
      </c>
      <c r="I417" s="10">
        <v>14</v>
      </c>
      <c r="J417" s="10">
        <v>2185</v>
      </c>
      <c r="K417" s="10">
        <v>42048382.015736029</v>
      </c>
    </row>
    <row r="418" spans="1:11" x14ac:dyDescent="0.35">
      <c r="A418" s="9" t="s">
        <v>485</v>
      </c>
      <c r="B418" s="10">
        <v>2066</v>
      </c>
      <c r="C418" s="10">
        <v>12</v>
      </c>
      <c r="D418" s="10">
        <v>5</v>
      </c>
      <c r="E418" s="10">
        <v>1154</v>
      </c>
      <c r="F418" s="10">
        <v>33493826.816076778</v>
      </c>
      <c r="G418" s="10">
        <v>1999</v>
      </c>
      <c r="H418" s="10">
        <v>38</v>
      </c>
      <c r="I418" s="10">
        <v>6</v>
      </c>
      <c r="J418" s="10">
        <v>1137</v>
      </c>
      <c r="K418" s="10">
        <v>8924421.2882746235</v>
      </c>
    </row>
    <row r="419" spans="1:11" x14ac:dyDescent="0.35">
      <c r="A419" s="9" t="s">
        <v>486</v>
      </c>
      <c r="B419" s="10">
        <v>1897</v>
      </c>
      <c r="C419" s="10">
        <v>33</v>
      </c>
      <c r="D419" s="10">
        <v>3</v>
      </c>
      <c r="E419" s="10">
        <v>1177</v>
      </c>
      <c r="F419" s="10">
        <v>51218219.143182598</v>
      </c>
      <c r="G419" s="10">
        <v>1893</v>
      </c>
      <c r="H419" s="10">
        <v>11</v>
      </c>
      <c r="I419" s="10">
        <v>2</v>
      </c>
      <c r="J419" s="10">
        <v>1084</v>
      </c>
      <c r="K419" s="10">
        <v>28328163.418312442</v>
      </c>
    </row>
    <row r="420" spans="1:11" x14ac:dyDescent="0.35">
      <c r="A420" s="9" t="s">
        <v>487</v>
      </c>
      <c r="B420" s="10">
        <v>3205</v>
      </c>
      <c r="C420" s="10">
        <v>49</v>
      </c>
      <c r="D420" s="10">
        <v>43</v>
      </c>
      <c r="E420" s="10">
        <v>1777</v>
      </c>
      <c r="F420" s="10">
        <v>80233357.974284828</v>
      </c>
      <c r="G420" s="10">
        <v>3161</v>
      </c>
      <c r="H420" s="10">
        <v>11</v>
      </c>
      <c r="I420" s="10">
        <v>39</v>
      </c>
      <c r="J420" s="10">
        <v>1993</v>
      </c>
      <c r="K420" s="10">
        <v>33100417.541084033</v>
      </c>
    </row>
    <row r="421" spans="1:11" x14ac:dyDescent="0.35">
      <c r="A421" s="9" t="s">
        <v>488</v>
      </c>
      <c r="B421" s="10">
        <v>2266</v>
      </c>
      <c r="C421" s="10">
        <v>37</v>
      </c>
      <c r="D421" s="10">
        <v>10</v>
      </c>
      <c r="E421" s="10">
        <v>945</v>
      </c>
      <c r="F421" s="10">
        <v>39605846.419858292</v>
      </c>
      <c r="G421" s="10">
        <v>2306</v>
      </c>
      <c r="H421" s="10">
        <v>19</v>
      </c>
      <c r="I421" s="10">
        <v>8</v>
      </c>
      <c r="J421" s="10">
        <v>944</v>
      </c>
      <c r="K421" s="10">
        <v>9713444.0262492169</v>
      </c>
    </row>
    <row r="422" spans="1:11" x14ac:dyDescent="0.35">
      <c r="A422" s="9" t="s">
        <v>489</v>
      </c>
      <c r="B422" s="10">
        <v>3109</v>
      </c>
      <c r="C422" s="10">
        <v>12</v>
      </c>
      <c r="D422" s="10">
        <v>24</v>
      </c>
      <c r="E422" s="10">
        <v>1473</v>
      </c>
      <c r="F422" s="10">
        <v>70584503.992778838</v>
      </c>
      <c r="G422" s="10">
        <v>3038</v>
      </c>
      <c r="H422" s="10">
        <v>4</v>
      </c>
      <c r="I422" s="10">
        <v>20</v>
      </c>
      <c r="J422" s="10">
        <v>1212</v>
      </c>
      <c r="K422" s="10">
        <v>4087057.1910369871</v>
      </c>
    </row>
    <row r="423" spans="1:11" x14ac:dyDescent="0.35">
      <c r="A423" s="9" t="s">
        <v>490</v>
      </c>
      <c r="B423" s="10">
        <v>1181</v>
      </c>
      <c r="C423" s="10">
        <v>25</v>
      </c>
      <c r="D423" s="10">
        <v>2</v>
      </c>
      <c r="E423" s="10">
        <v>1413</v>
      </c>
      <c r="F423" s="10">
        <v>53523798.964439139</v>
      </c>
      <c r="G423" s="10">
        <v>1592</v>
      </c>
      <c r="H423" s="10">
        <v>32</v>
      </c>
      <c r="I423" s="10">
        <v>4</v>
      </c>
      <c r="J423" s="10">
        <v>1602</v>
      </c>
      <c r="K423" s="10">
        <v>45985539.542244636</v>
      </c>
    </row>
    <row r="424" spans="1:11" x14ac:dyDescent="0.35">
      <c r="A424" s="9" t="s">
        <v>491</v>
      </c>
      <c r="B424" s="10">
        <v>1494</v>
      </c>
      <c r="C424" s="10">
        <v>11</v>
      </c>
      <c r="D424" s="10">
        <v>3</v>
      </c>
      <c r="E424" s="10">
        <v>938</v>
      </c>
      <c r="F424" s="10">
        <v>42619637.27675835</v>
      </c>
      <c r="G424" s="10">
        <v>1602</v>
      </c>
      <c r="H424" s="10">
        <v>8</v>
      </c>
      <c r="I424" s="10">
        <v>2</v>
      </c>
      <c r="J424" s="10">
        <v>985</v>
      </c>
      <c r="K424" s="10">
        <v>22030597.594277106</v>
      </c>
    </row>
    <row r="425" spans="1:11" x14ac:dyDescent="0.35">
      <c r="A425" s="9" t="s">
        <v>492</v>
      </c>
      <c r="B425" s="10">
        <v>2753</v>
      </c>
      <c r="C425" s="10">
        <v>2</v>
      </c>
      <c r="D425" s="10">
        <v>29</v>
      </c>
      <c r="E425" s="10">
        <v>1603</v>
      </c>
      <c r="F425" s="10">
        <v>56849069.161659904</v>
      </c>
      <c r="G425" s="10">
        <v>2758</v>
      </c>
      <c r="H425" s="10">
        <v>8</v>
      </c>
      <c r="I425" s="10">
        <v>31</v>
      </c>
      <c r="J425" s="10">
        <v>1559</v>
      </c>
      <c r="K425" s="10">
        <v>7859951.3461501086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828157</v>
      </c>
      <c r="C427" s="13">
        <v>15527</v>
      </c>
      <c r="D427" s="13">
        <v>2180</v>
      </c>
      <c r="E427" s="13">
        <v>453842</v>
      </c>
      <c r="F427" s="13">
        <v>20965320781.272728</v>
      </c>
      <c r="G427" s="13">
        <v>664910</v>
      </c>
      <c r="H427" s="13">
        <v>14471</v>
      </c>
      <c r="I427" s="13">
        <v>1882</v>
      </c>
      <c r="J427" s="13">
        <v>355594</v>
      </c>
      <c r="K427" s="13">
        <v>6140926042.9782715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2026-10-29T07:02:59Z</dcterms:modified>
</cp:coreProperties>
</file>