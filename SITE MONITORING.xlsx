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N5" i="3" s="1"/>
  <c r="O5" i="3"/>
  <c r="P5" i="3"/>
  <c r="S5" i="3"/>
  <c r="T5" i="3" s="1"/>
  <c r="F6" i="3"/>
  <c r="G6" i="3"/>
  <c r="I6" i="3"/>
  <c r="J6" i="3"/>
  <c r="K6" i="3" s="1"/>
  <c r="L6" i="3"/>
  <c r="M6" i="3"/>
  <c r="N6" i="3" s="1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N9" i="3" s="1"/>
  <c r="O9" i="3"/>
  <c r="P9" i="3"/>
  <c r="S9" i="3"/>
  <c r="T9" i="3" s="1"/>
  <c r="F10" i="3"/>
  <c r="G10" i="3"/>
  <c r="I10" i="3"/>
  <c r="J10" i="3"/>
  <c r="K10" i="3" s="1"/>
  <c r="L10" i="3"/>
  <c r="M10" i="3"/>
  <c r="N10" i="3" s="1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N13" i="3" s="1"/>
  <c r="O13" i="3"/>
  <c r="P13" i="3"/>
  <c r="S13" i="3"/>
  <c r="T13" i="3" s="1"/>
  <c r="F14" i="3"/>
  <c r="G14" i="3"/>
  <c r="I14" i="3"/>
  <c r="J14" i="3"/>
  <c r="K14" i="3" s="1"/>
  <c r="L14" i="3"/>
  <c r="M14" i="3"/>
  <c r="N14" i="3" s="1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K18" i="3" s="1"/>
  <c r="L18" i="3"/>
  <c r="M18" i="3"/>
  <c r="N18" i="3" s="1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K22" i="3" s="1"/>
  <c r="L22" i="3"/>
  <c r="M22" i="3"/>
  <c r="N22" i="3" s="1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K26" i="3" s="1"/>
  <c r="L26" i="3"/>
  <c r="M26" i="3"/>
  <c r="N26" i="3" s="1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K30" i="3" s="1"/>
  <c r="L30" i="3"/>
  <c r="M30" i="3"/>
  <c r="N30" i="3" s="1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K34" i="3" s="1"/>
  <c r="L34" i="3"/>
  <c r="M34" i="3"/>
  <c r="N34" i="3" s="1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K38" i="3" s="1"/>
  <c r="L38" i="3"/>
  <c r="M38" i="3"/>
  <c r="N38" i="3" s="1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K42" i="3" s="1"/>
  <c r="L42" i="3"/>
  <c r="M42" i="3"/>
  <c r="N42" i="3" s="1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K46" i="3" s="1"/>
  <c r="L46" i="3"/>
  <c r="M46" i="3"/>
  <c r="N46" i="3" s="1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K50" i="3" s="1"/>
  <c r="L50" i="3"/>
  <c r="M50" i="3"/>
  <c r="N50" i="3" s="1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K54" i="3" s="1"/>
  <c r="L54" i="3"/>
  <c r="M54" i="3"/>
  <c r="N54" i="3" s="1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S57" i="3"/>
  <c r="T57" i="3" s="1"/>
  <c r="F58" i="3"/>
  <c r="G58" i="3"/>
  <c r="I58" i="3"/>
  <c r="J58" i="3"/>
  <c r="K58" i="3" s="1"/>
  <c r="L58" i="3"/>
  <c r="M58" i="3"/>
  <c r="N58" i="3" s="1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S61" i="3"/>
  <c r="T61" i="3" s="1"/>
  <c r="F62" i="3"/>
  <c r="G62" i="3"/>
  <c r="I62" i="3"/>
  <c r="J62" i="3"/>
  <c r="K62" i="3" s="1"/>
  <c r="L62" i="3"/>
  <c r="M62" i="3"/>
  <c r="N62" i="3" s="1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S65" i="3"/>
  <c r="T65" i="3" s="1"/>
  <c r="F66" i="3"/>
  <c r="G66" i="3"/>
  <c r="I66" i="3"/>
  <c r="J66" i="3"/>
  <c r="K66" i="3" s="1"/>
  <c r="L66" i="3"/>
  <c r="M66" i="3"/>
  <c r="N66" i="3" s="1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S69" i="3"/>
  <c r="T69" i="3" s="1"/>
  <c r="F70" i="3"/>
  <c r="G70" i="3"/>
  <c r="I70" i="3"/>
  <c r="J70" i="3"/>
  <c r="K70" i="3" s="1"/>
  <c r="L70" i="3"/>
  <c r="M70" i="3"/>
  <c r="N70" i="3" s="1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S73" i="3"/>
  <c r="T73" i="3" s="1"/>
  <c r="F74" i="3"/>
  <c r="G74" i="3"/>
  <c r="I74" i="3"/>
  <c r="J74" i="3"/>
  <c r="K74" i="3" s="1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S77" i="3"/>
  <c r="T77" i="3" s="1"/>
  <c r="F78" i="3"/>
  <c r="G78" i="3"/>
  <c r="I78" i="3"/>
  <c r="J78" i="3"/>
  <c r="K78" i="3" s="1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K82" i="3" s="1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Q77" i="3" l="1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<sst xmlns="http://schemas.openxmlformats.org/spreadsheetml/2006/main" count="539" uniqueCount="204">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</sst>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sqref="A1:C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10600029.17885459</v>
      </c>
      <c r="G2" s="1">
        <f>VLOOKUP(A:A,MASTER!A:K,11,0)</f>
        <v>10028253.355198471</v>
      </c>
      <c r="H2" s="12">
        <f>IFERROR(G2/F2-1,0)</f>
        <v>-5.3940966954763025E-2</v>
      </c>
      <c r="I2" s="2">
        <f>VLOOKUP(A:A,MASTER!A:E,5,0)</f>
        <v>366</v>
      </c>
      <c r="J2" s="2">
        <f>VLOOKUP(A:A,MASTER!A:J,10,0)</f>
        <v>430</v>
      </c>
      <c r="K2" s="12">
        <f>IFERROR(J2/I2-1,0)</f>
        <v>0.17486338797814205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0</v>
      </c>
      <c r="Q2" s="12">
        <f>IFERROR(P2/O2-1,0)</f>
        <v>-1</v>
      </c>
      <c r="R2" s="1">
        <f>VLOOKUP(A:A,MASTER!A:B,2,0)</f>
        <v>413</v>
      </c>
      <c r="S2">
        <f>VLOOKUP(A:A,MASTER!A:G,7,0)</f>
        <v>414</v>
      </c>
      <c r="T2" s="12">
        <f>IFERROR(S2/R2-1,0)</f>
        <v>2.421307506053294E-3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13325051.244588085</v>
      </c>
      <c r="G3" s="1">
        <f>VLOOKUP(A:A,MASTER!A:K,11,0)</f>
        <v>11844501.537288273</v>
      </c>
      <c r="H3" s="12">
        <f t="shared" ref="H3:H66" si="0">IFERROR(G3/F3-1,0)</f>
        <v>-0.11111024491565324</v>
      </c>
      <c r="I3" s="2">
        <f>VLOOKUP(A:A,MASTER!A:E,5,0)</f>
        <v>568</v>
      </c>
      <c r="J3" s="2">
        <f>VLOOKUP(A:A,MASTER!A:J,10,0)</f>
        <v>544</v>
      </c>
      <c r="K3" s="12">
        <f t="shared" ref="K3:K66" si="1">IFERROR(J3/I3-1,0)</f>
        <v>-4.2253521126760618E-2</v>
      </c>
      <c r="L3" s="2">
        <f>VLOOKUP(A:A,MASTER!A:D,4,0)</f>
        <v>1</v>
      </c>
      <c r="M3" s="2">
        <f>VLOOKUP(A:A,MASTER!A:I,9,0)</f>
        <v>3</v>
      </c>
      <c r="N3" s="12">
        <f t="shared" ref="N3:N66" si="2">IFERROR(M3/L3-1,0)</f>
        <v>2</v>
      </c>
      <c r="O3" s="1">
        <f>VLOOKUP(A:A,MASTER!A:C,3,0)</f>
        <v>2</v>
      </c>
      <c r="P3" s="1">
        <f>VLOOKUP(A:A,MASTER!A:H,8,0)</f>
        <v>4</v>
      </c>
      <c r="Q3" s="12">
        <f t="shared" ref="Q3:Q66" si="3">IFERROR(P3/O3-1,0)</f>
        <v>1</v>
      </c>
      <c r="R3" s="1">
        <f>VLOOKUP(A:A,MASTER!A:B,2,0)</f>
        <v>679</v>
      </c>
      <c r="S3">
        <f>VLOOKUP(A:A,MASTER!A:G,7,0)</f>
        <v>639</v>
      </c>
      <c r="T3" s="12">
        <f t="shared" ref="T3:T66" si="4">IFERROR(S3/R3-1,0)</f>
        <v>-5.8910162002945521E-2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13568687.102148704</v>
      </c>
      <c r="G4" s="1">
        <f>VLOOKUP(A:A,MASTER!A:K,11,0)</f>
        <v>15687996.009139288</v>
      </c>
      <c r="H4" s="12">
        <f t="shared" si="0"/>
        <v>0.15619115475475698</v>
      </c>
      <c r="I4" s="2">
        <f>VLOOKUP(A:A,MASTER!A:E,5,0)</f>
        <v>569</v>
      </c>
      <c r="J4" s="2">
        <f>VLOOKUP(A:A,MASTER!A:J,10,0)</f>
        <v>803</v>
      </c>
      <c r="K4" s="12">
        <f t="shared" si="1"/>
        <v>0.41124780316344456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4</v>
      </c>
      <c r="P4" s="1">
        <f>VLOOKUP(A:A,MASTER!A:H,8,0)</f>
        <v>6</v>
      </c>
      <c r="Q4" s="12">
        <f t="shared" si="3"/>
        <v>0.5</v>
      </c>
      <c r="R4" s="1">
        <f>VLOOKUP(A:A,MASTER!A:B,2,0)</f>
        <v>682</v>
      </c>
      <c r="S4">
        <f>VLOOKUP(A:A,MASTER!A:G,7,0)</f>
        <v>756</v>
      </c>
      <c r="T4" s="12">
        <f t="shared" si="4"/>
        <v>0.10850439882697938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24977688.513464183</v>
      </c>
      <c r="G5" s="1">
        <f>VLOOKUP(A:A,MASTER!A:K,11,0)</f>
        <v>25629330.071108133</v>
      </c>
      <c r="H5" s="12">
        <f t="shared" si="0"/>
        <v>2.608894563212627E-2</v>
      </c>
      <c r="I5" s="2">
        <f>VLOOKUP(A:A,MASTER!A:E,5,0)</f>
        <v>1188</v>
      </c>
      <c r="J5" s="2">
        <f>VLOOKUP(A:A,MASTER!A:J,10,0)</f>
        <v>1123</v>
      </c>
      <c r="K5" s="12">
        <f t="shared" si="1"/>
        <v>-5.4713804713804715E-2</v>
      </c>
      <c r="L5" s="2">
        <f>VLOOKUP(A:A,MASTER!A:D,4,0)</f>
        <v>3</v>
      </c>
      <c r="M5" s="2">
        <f>VLOOKUP(A:A,MASTER!A:I,9,0)</f>
        <v>4</v>
      </c>
      <c r="N5" s="12">
        <f t="shared" si="2"/>
        <v>0.33333333333333326</v>
      </c>
      <c r="O5" s="1">
        <f>VLOOKUP(A:A,MASTER!A:C,3,0)</f>
        <v>4</v>
      </c>
      <c r="P5" s="1">
        <f>VLOOKUP(A:A,MASTER!A:H,8,0)</f>
        <v>4</v>
      </c>
      <c r="Q5" s="12">
        <f t="shared" si="3"/>
        <v>0</v>
      </c>
      <c r="R5" s="1">
        <f>VLOOKUP(A:A,MASTER!A:B,2,0)</f>
        <v>1192</v>
      </c>
      <c r="S5">
        <f>VLOOKUP(A:A,MASTER!A:G,7,0)</f>
        <v>1206</v>
      </c>
      <c r="T5" s="12">
        <f t="shared" si="4"/>
        <v>1.1744966442952975E-2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10213403.496292388</v>
      </c>
      <c r="G6" s="1">
        <f>VLOOKUP(A:A,MASTER!A:K,11,0)</f>
        <v>11564273.043757185</v>
      </c>
      <c r="H6" s="12">
        <f t="shared" si="0"/>
        <v>0.1322643864951758</v>
      </c>
      <c r="I6" s="2">
        <f>VLOOKUP(A:A,MASTER!A:E,5,0)</f>
        <v>308</v>
      </c>
      <c r="J6" s="2">
        <f>VLOOKUP(A:A,MASTER!A:J,10,0)</f>
        <v>377</v>
      </c>
      <c r="K6" s="12">
        <f t="shared" si="1"/>
        <v>0.22402597402597402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413</v>
      </c>
      <c r="S6">
        <f>VLOOKUP(A:A,MASTER!A:G,7,0)</f>
        <v>411</v>
      </c>
      <c r="T6" s="12">
        <f t="shared" si="4"/>
        <v>-4.8426150121065881E-3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9311664.9737815727</v>
      </c>
      <c r="G7" s="1">
        <f>VLOOKUP(A:A,MASTER!A:K,11,0)</f>
        <v>9571632.1562437192</v>
      </c>
      <c r="H7" s="12">
        <f t="shared" si="0"/>
        <v>2.7918442426152934E-2</v>
      </c>
      <c r="I7" s="2">
        <f>VLOOKUP(A:A,MASTER!A:E,5,0)</f>
        <v>329</v>
      </c>
      <c r="J7" s="2">
        <f>VLOOKUP(A:A,MASTER!A:J,10,0)</f>
        <v>280</v>
      </c>
      <c r="K7" s="12">
        <f t="shared" si="1"/>
        <v>-0.14893617021276595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3</v>
      </c>
      <c r="Q7" s="12">
        <f t="shared" si="3"/>
        <v>0.5</v>
      </c>
      <c r="R7" s="1">
        <f>VLOOKUP(A:A,MASTER!A:B,2,0)</f>
        <v>369</v>
      </c>
      <c r="S7">
        <f>VLOOKUP(A:A,MASTER!A:G,7,0)</f>
        <v>381</v>
      </c>
      <c r="T7" s="12">
        <f t="shared" si="4"/>
        <v>3.2520325203251987E-2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10676512.083891636</v>
      </c>
      <c r="G8" s="1">
        <f>VLOOKUP(A:A,MASTER!A:K,11,0)</f>
        <v>11355109.563810242</v>
      </c>
      <c r="H8" s="12">
        <f t="shared" si="0"/>
        <v>6.3559847503235734E-2</v>
      </c>
      <c r="I8" s="2">
        <f>VLOOKUP(A:A,MASTER!A:E,5,0)</f>
        <v>464</v>
      </c>
      <c r="J8" s="2">
        <f>VLOOKUP(A:A,MASTER!A:J,10,0)</f>
        <v>516</v>
      </c>
      <c r="K8" s="12">
        <f t="shared" si="1"/>
        <v>0.11206896551724133</v>
      </c>
      <c r="L8" s="2">
        <f>VLOOKUP(A:A,MASTER!A:D,4,0)</f>
        <v>1</v>
      </c>
      <c r="M8" s="2">
        <f>VLOOKUP(A:A,MASTER!A:I,9,0)</f>
        <v>3</v>
      </c>
      <c r="N8" s="12">
        <f t="shared" si="2"/>
        <v>2</v>
      </c>
      <c r="O8" s="1">
        <f>VLOOKUP(A:A,MASTER!A:C,3,0)</f>
        <v>1</v>
      </c>
      <c r="P8" s="1">
        <f>VLOOKUP(A:A,MASTER!A:H,8,0)</f>
        <v>2</v>
      </c>
      <c r="Q8" s="12">
        <f t="shared" si="3"/>
        <v>1</v>
      </c>
      <c r="R8" s="1">
        <f>VLOOKUP(A:A,MASTER!A:B,2,0)</f>
        <v>595</v>
      </c>
      <c r="S8">
        <f>VLOOKUP(A:A,MASTER!A:G,7,0)</f>
        <v>595</v>
      </c>
      <c r="T8" s="12">
        <f t="shared" si="4"/>
        <v>0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4961594.8237775872</v>
      </c>
      <c r="G9" s="1">
        <f>VLOOKUP(A:A,MASTER!A:K,11,0)</f>
        <v>5041914.6980878524</v>
      </c>
      <c r="H9" s="12">
        <f t="shared" si="0"/>
        <v>1.6188317902410265E-2</v>
      </c>
      <c r="I9" s="2">
        <f>VLOOKUP(A:A,MASTER!A:E,5,0)</f>
        <v>119</v>
      </c>
      <c r="J9" s="2">
        <f>VLOOKUP(A:A,MASTER!A:J,10,0)</f>
        <v>126</v>
      </c>
      <c r="K9" s="12">
        <f t="shared" si="1"/>
        <v>5.8823529411764719E-2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168</v>
      </c>
      <c r="S9">
        <f>VLOOKUP(A:A,MASTER!A:G,7,0)</f>
        <v>168</v>
      </c>
      <c r="T9" s="12">
        <f t="shared" si="4"/>
        <v>0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4849624.7900021672</v>
      </c>
      <c r="G10" s="1">
        <f>VLOOKUP(A:A,MASTER!A:K,11,0)</f>
        <v>1744525.7676470859</v>
      </c>
      <c r="H10" s="12">
        <f t="shared" si="0"/>
        <v>-0.6402761361572662</v>
      </c>
      <c r="I10" s="2">
        <f>VLOOKUP(A:A,MASTER!A:E,5,0)</f>
        <v>153</v>
      </c>
      <c r="J10" s="2">
        <f>VLOOKUP(A:A,MASTER!A:J,10,0)</f>
        <v>236</v>
      </c>
      <c r="K10" s="12">
        <f t="shared" si="1"/>
        <v>0.54248366013071903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200</v>
      </c>
      <c r="S10">
        <f>VLOOKUP(A:A,MASTER!A:G,7,0)</f>
        <v>186</v>
      </c>
      <c r="T10" s="12">
        <f t="shared" si="4"/>
        <v>-6.9999999999999951E-2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7595456.617649341</v>
      </c>
      <c r="G11" s="1">
        <f>VLOOKUP(A:A,MASTER!A:K,11,0)</f>
        <v>10045007.129200447</v>
      </c>
      <c r="H11" s="12">
        <f t="shared" si="0"/>
        <v>0.32250207391865771</v>
      </c>
      <c r="I11" s="2">
        <f>VLOOKUP(A:A,MASTER!A:E,5,0)</f>
        <v>333</v>
      </c>
      <c r="J11" s="2">
        <f>VLOOKUP(A:A,MASTER!A:J,10,0)</f>
        <v>375</v>
      </c>
      <c r="K11" s="12">
        <f t="shared" si="1"/>
        <v>0.12612612612612617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1</v>
      </c>
      <c r="Q11" s="12">
        <f t="shared" si="3"/>
        <v>0</v>
      </c>
      <c r="R11" s="1">
        <f>VLOOKUP(A:A,MASTER!A:B,2,0)</f>
        <v>347</v>
      </c>
      <c r="S11">
        <f>VLOOKUP(A:A,MASTER!A:G,7,0)</f>
        <v>376</v>
      </c>
      <c r="T11" s="12">
        <f t="shared" si="4"/>
        <v>8.35734870317002E-2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3597838.8388986508</v>
      </c>
      <c r="G12" s="1">
        <f>VLOOKUP(A:A,MASTER!A:K,11,0)</f>
        <v>4956645.1081354842</v>
      </c>
      <c r="H12" s="12">
        <f t="shared" si="0"/>
        <v>0.37767291145614035</v>
      </c>
      <c r="I12" s="2">
        <f>VLOOKUP(A:A,MASTER!A:E,5,0)</f>
        <v>191</v>
      </c>
      <c r="J12" s="2">
        <f>VLOOKUP(A:A,MASTER!A:J,10,0)</f>
        <v>289</v>
      </c>
      <c r="K12" s="12">
        <f t="shared" si="1"/>
        <v>0.51308900523560208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214</v>
      </c>
      <c r="S12">
        <f>VLOOKUP(A:A,MASTER!A:G,7,0)</f>
        <v>218</v>
      </c>
      <c r="T12" s="12">
        <f t="shared" si="4"/>
        <v>1.8691588785046731E-2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4842985.5262534879</v>
      </c>
      <c r="G13" s="1">
        <f>VLOOKUP(A:A,MASTER!A:K,11,0)</f>
        <v>5379290.5404999712</v>
      </c>
      <c r="H13" s="12">
        <f t="shared" si="0"/>
        <v>0.11073851270857848</v>
      </c>
      <c r="I13" s="2">
        <f>VLOOKUP(A:A,MASTER!A:E,5,0)</f>
        <v>173</v>
      </c>
      <c r="J13" s="2">
        <f>VLOOKUP(A:A,MASTER!A:J,10,0)</f>
        <v>250</v>
      </c>
      <c r="K13" s="12">
        <f t="shared" si="1"/>
        <v>0.44508670520231219</v>
      </c>
      <c r="L13" s="2">
        <f>VLOOKUP(A:A,MASTER!A:D,4,0)</f>
        <v>0</v>
      </c>
      <c r="M13" s="2">
        <f>VLOOKUP(A:A,MASTER!A:I,9,0)</f>
        <v>2</v>
      </c>
      <c r="N13" s="12">
        <f t="shared" si="2"/>
        <v>0</v>
      </c>
      <c r="O13" s="1">
        <f>VLOOKUP(A:A,MASTER!A:C,3,0)</f>
        <v>7</v>
      </c>
      <c r="P13" s="1">
        <f>VLOOKUP(A:A,MASTER!A:H,8,0)</f>
        <v>1</v>
      </c>
      <c r="Q13" s="12">
        <f t="shared" si="3"/>
        <v>-0.85714285714285721</v>
      </c>
      <c r="R13" s="1">
        <f>VLOOKUP(A:A,MASTER!A:B,2,0)</f>
        <v>250</v>
      </c>
      <c r="S13">
        <f>VLOOKUP(A:A,MASTER!A:G,7,0)</f>
        <v>250</v>
      </c>
      <c r="T13" s="12">
        <f t="shared" si="4"/>
        <v>0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9663067.6915364582</v>
      </c>
      <c r="G14" s="1">
        <f>VLOOKUP(A:A,MASTER!A:K,11,0)</f>
        <v>21389073.525880821</v>
      </c>
      <c r="H14" s="12">
        <f t="shared" si="0"/>
        <v>1.2134868769070883</v>
      </c>
      <c r="I14" s="2">
        <f>VLOOKUP(A:A,MASTER!A:E,5,0)</f>
        <v>1150</v>
      </c>
      <c r="J14" s="2">
        <f>VLOOKUP(A:A,MASTER!A:J,10,0)</f>
        <v>1023</v>
      </c>
      <c r="K14" s="12">
        <f t="shared" si="1"/>
        <v>-0.11043478260869566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3</v>
      </c>
      <c r="Q14" s="12">
        <f t="shared" si="3"/>
        <v>0</v>
      </c>
      <c r="R14" s="1">
        <f>VLOOKUP(A:A,MASTER!A:B,2,0)</f>
        <v>1430</v>
      </c>
      <c r="S14">
        <f>VLOOKUP(A:A,MASTER!A:G,7,0)</f>
        <v>1435</v>
      </c>
      <c r="T14" s="12">
        <f t="shared" si="4"/>
        <v>3.4965034965035446E-3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35364801.206156261</v>
      </c>
      <c r="G15" s="1">
        <f>VLOOKUP(A:A,MASTER!A:K,11,0)</f>
        <v>37576961.856111161</v>
      </c>
      <c r="H15" s="12">
        <f t="shared" si="0"/>
        <v>6.2552610915562301E-2</v>
      </c>
      <c r="I15" s="2">
        <f>VLOOKUP(A:A,MASTER!A:E,5,0)</f>
        <v>880</v>
      </c>
      <c r="J15" s="2">
        <f>VLOOKUP(A:A,MASTER!A:J,10,0)</f>
        <v>888</v>
      </c>
      <c r="K15" s="12">
        <f t="shared" si="1"/>
        <v>9.0909090909090384E-3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0</v>
      </c>
      <c r="P15" s="1">
        <f>VLOOKUP(A:A,MASTER!A:H,8,0)</f>
        <v>1</v>
      </c>
      <c r="Q15" s="12">
        <f t="shared" si="3"/>
        <v>0</v>
      </c>
      <c r="R15" s="1">
        <f>VLOOKUP(A:A,MASTER!A:B,2,0)</f>
        <v>1284</v>
      </c>
      <c r="S15">
        <f>VLOOKUP(A:A,MASTER!A:G,7,0)</f>
        <v>1241</v>
      </c>
      <c r="T15" s="12">
        <f t="shared" si="4"/>
        <v>-3.3489096573208754E-2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20529893.129484031</v>
      </c>
      <c r="G16" s="1">
        <f>VLOOKUP(A:A,MASTER!A:K,11,0)</f>
        <v>21206747.857916113</v>
      </c>
      <c r="H16" s="12">
        <f t="shared" si="0"/>
        <v>3.2969228050194532E-2</v>
      </c>
      <c r="I16" s="2">
        <f>VLOOKUP(A:A,MASTER!A:E,5,0)</f>
        <v>933</v>
      </c>
      <c r="J16" s="2">
        <f>VLOOKUP(A:A,MASTER!A:J,10,0)</f>
        <v>1135</v>
      </c>
      <c r="K16" s="12">
        <f t="shared" si="1"/>
        <v>0.21650589496248651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2</v>
      </c>
      <c r="P16" s="1">
        <f>VLOOKUP(A:A,MASTER!A:H,8,0)</f>
        <v>3</v>
      </c>
      <c r="Q16" s="12">
        <f t="shared" si="3"/>
        <v>0.5</v>
      </c>
      <c r="R16" s="1">
        <f>VLOOKUP(A:A,MASTER!A:B,2,0)</f>
        <v>1017</v>
      </c>
      <c r="S16">
        <f>VLOOKUP(A:A,MASTER!A:G,7,0)</f>
        <v>1028</v>
      </c>
      <c r="T16" s="12">
        <f t="shared" si="4"/>
        <v>1.0816125860373615E-2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20518785.163835421</v>
      </c>
      <c r="G17" s="1">
        <f>VLOOKUP(A:A,MASTER!A:K,11,0)</f>
        <v>16147770.054623244</v>
      </c>
      <c r="H17" s="12">
        <f t="shared" si="0"/>
        <v>-0.21302504384694942</v>
      </c>
      <c r="I17" s="2">
        <f>VLOOKUP(A:A,MASTER!A:E,5,0)</f>
        <v>854</v>
      </c>
      <c r="J17" s="2">
        <f>VLOOKUP(A:A,MASTER!A:J,10,0)</f>
        <v>659</v>
      </c>
      <c r="K17" s="12">
        <f t="shared" si="1"/>
        <v>-0.22833723653395788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953</v>
      </c>
      <c r="S17">
        <f>VLOOKUP(A:A,MASTER!A:G,7,0)</f>
        <v>914</v>
      </c>
      <c r="T17" s="12">
        <f t="shared" si="4"/>
        <v>-4.0923399790136372E-2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70768744.060212836</v>
      </c>
      <c r="G18" s="1">
        <f>VLOOKUP(A:A,MASTER!A:K,11,0)</f>
        <v>77632214.60653232</v>
      </c>
      <c r="H18" s="12">
        <f t="shared" si="0"/>
        <v>9.6984489939227592E-2</v>
      </c>
      <c r="I18" s="2">
        <f>VLOOKUP(A:A,MASTER!A:E,5,0)</f>
        <v>2113</v>
      </c>
      <c r="J18" s="2">
        <f>VLOOKUP(A:A,MASTER!A:J,10,0)</f>
        <v>2030</v>
      </c>
      <c r="K18" s="12">
        <f t="shared" si="1"/>
        <v>-3.9280643634642676E-2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119</v>
      </c>
      <c r="P18" s="1">
        <f>VLOOKUP(A:A,MASTER!A:H,8,0)</f>
        <v>176</v>
      </c>
      <c r="Q18" s="12">
        <f t="shared" si="3"/>
        <v>0.47899159663865554</v>
      </c>
      <c r="R18" s="1">
        <f>VLOOKUP(A:A,MASTER!A:B,2,0)</f>
        <v>2741</v>
      </c>
      <c r="S18">
        <f>VLOOKUP(A:A,MASTER!A:G,7,0)</f>
        <v>2824</v>
      </c>
      <c r="T18" s="12">
        <f t="shared" si="4"/>
        <v>3.0280919372491777E-2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38832237.438178219</v>
      </c>
      <c r="G19" s="1">
        <f>VLOOKUP(A:A,MASTER!A:K,11,0)</f>
        <v>20817166.925483521</v>
      </c>
      <c r="H19" s="12">
        <f t="shared" si="0"/>
        <v>-0.4639204872337086</v>
      </c>
      <c r="I19" s="2">
        <f>VLOOKUP(A:A,MASTER!A:E,5,0)</f>
        <v>1238</v>
      </c>
      <c r="J19" s="2">
        <f>VLOOKUP(A:A,MASTER!A:J,10,0)</f>
        <v>1147</v>
      </c>
      <c r="K19" s="12">
        <f t="shared" si="1"/>
        <v>-7.3505654281098565E-2</v>
      </c>
      <c r="L19" s="2">
        <f>VLOOKUP(A:A,MASTER!A:D,4,0)</f>
        <v>2</v>
      </c>
      <c r="M19" s="2">
        <f>VLOOKUP(A:A,MASTER!A:I,9,0)</f>
        <v>1</v>
      </c>
      <c r="N19" s="12">
        <f t="shared" si="2"/>
        <v>-0.5</v>
      </c>
      <c r="O19" s="1">
        <f>VLOOKUP(A:A,MASTER!A:C,3,0)</f>
        <v>0</v>
      </c>
      <c r="P19" s="1">
        <f>VLOOKUP(A:A,MASTER!A:H,8,0)</f>
        <v>5</v>
      </c>
      <c r="Q19" s="12">
        <f t="shared" si="3"/>
        <v>0</v>
      </c>
      <c r="R19" s="1">
        <f>VLOOKUP(A:A,MASTER!A:B,2,0)</f>
        <v>1449</v>
      </c>
      <c r="S19">
        <f>VLOOKUP(A:A,MASTER!A:G,7,0)</f>
        <v>1377</v>
      </c>
      <c r="T19" s="12">
        <f t="shared" si="4"/>
        <v>-4.9689440993788803E-2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78073507.036272019</v>
      </c>
      <c r="G20" s="1">
        <f>VLOOKUP(A:A,MASTER!A:K,11,0)</f>
        <v>78167301.424380407</v>
      </c>
      <c r="H20" s="12">
        <f t="shared" si="0"/>
        <v>1.2013599960971622E-3</v>
      </c>
      <c r="I20" s="2">
        <f>VLOOKUP(A:A,MASTER!A:E,5,0)</f>
        <v>2378</v>
      </c>
      <c r="J20" s="2">
        <f>VLOOKUP(A:A,MASTER!A:J,10,0)</f>
        <v>2154</v>
      </c>
      <c r="K20" s="12">
        <f t="shared" si="1"/>
        <v>-9.4196804037005921E-2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13</v>
      </c>
      <c r="P20" s="1">
        <f>VLOOKUP(A:A,MASTER!A:H,8,0)</f>
        <v>16</v>
      </c>
      <c r="Q20" s="12">
        <f t="shared" si="3"/>
        <v>0.23076923076923084</v>
      </c>
      <c r="R20" s="1">
        <f>VLOOKUP(A:A,MASTER!A:B,2,0)</f>
        <v>3018</v>
      </c>
      <c r="S20">
        <f>VLOOKUP(A:A,MASTER!A:G,7,0)</f>
        <v>2957</v>
      </c>
      <c r="T20" s="12">
        <f t="shared" si="4"/>
        <v>-2.0212060967528145E-2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10898300.815067604</v>
      </c>
      <c r="G21" s="1">
        <f>VLOOKUP(A:A,MASTER!A:K,11,0)</f>
        <v>11614733.231166488</v>
      </c>
      <c r="H21" s="12">
        <f t="shared" si="0"/>
        <v>6.5737992394958367E-2</v>
      </c>
      <c r="I21" s="2">
        <f>VLOOKUP(A:A,MASTER!A:E,5,0)</f>
        <v>732</v>
      </c>
      <c r="J21" s="2">
        <f>VLOOKUP(A:A,MASTER!A:J,10,0)</f>
        <v>453</v>
      </c>
      <c r="K21" s="12">
        <f t="shared" si="1"/>
        <v>-0.38114754098360659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5</v>
      </c>
      <c r="P21" s="1">
        <f>VLOOKUP(A:A,MASTER!A:H,8,0)</f>
        <v>4</v>
      </c>
      <c r="Q21" s="12">
        <f t="shared" si="3"/>
        <v>-0.19999999999999996</v>
      </c>
      <c r="R21" s="1">
        <f>VLOOKUP(A:A,MASTER!A:B,2,0)</f>
        <v>550</v>
      </c>
      <c r="S21">
        <f>VLOOKUP(A:A,MASTER!A:G,7,0)</f>
        <v>533</v>
      </c>
      <c r="T21" s="12">
        <f t="shared" si="4"/>
        <v>-3.0909090909090886E-2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30552762.607075132</v>
      </c>
      <c r="G22" s="1">
        <f>VLOOKUP(A:A,MASTER!A:K,11,0)</f>
        <v>31893649.023847744</v>
      </c>
      <c r="H22" s="12">
        <f t="shared" si="0"/>
        <v>4.3887567026822616E-2</v>
      </c>
      <c r="I22" s="2">
        <f>VLOOKUP(A:A,MASTER!A:E,5,0)</f>
        <v>1289</v>
      </c>
      <c r="J22" s="2">
        <f>VLOOKUP(A:A,MASTER!A:J,10,0)</f>
        <v>1279</v>
      </c>
      <c r="K22" s="12">
        <f t="shared" si="1"/>
        <v>-7.7579519006981679E-3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10</v>
      </c>
      <c r="P22" s="1">
        <f>VLOOKUP(A:A,MASTER!A:H,8,0)</f>
        <v>16</v>
      </c>
      <c r="Q22" s="12">
        <f t="shared" si="3"/>
        <v>0.60000000000000009</v>
      </c>
      <c r="R22" s="1">
        <f>VLOOKUP(A:A,MASTER!A:B,2,0)</f>
        <v>1708</v>
      </c>
      <c r="S22">
        <f>VLOOKUP(A:A,MASTER!A:G,7,0)</f>
        <v>1714</v>
      </c>
      <c r="T22" s="12">
        <f t="shared" si="4"/>
        <v>3.5128805620607828E-3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13458741.548888275</v>
      </c>
      <c r="G23" s="1">
        <f>VLOOKUP(A:A,MASTER!A:K,11,0)</f>
        <v>12988114.50952672</v>
      </c>
      <c r="H23" s="12">
        <f t="shared" si="0"/>
        <v>-3.4968131132619207E-2</v>
      </c>
      <c r="I23" s="2">
        <f>VLOOKUP(A:A,MASTER!A:E,5,0)</f>
        <v>753</v>
      </c>
      <c r="J23" s="2">
        <f>VLOOKUP(A:A,MASTER!A:J,10,0)</f>
        <v>894</v>
      </c>
      <c r="K23" s="12">
        <f t="shared" si="1"/>
        <v>0.18725099601593631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8</v>
      </c>
      <c r="P23" s="1">
        <f>VLOOKUP(A:A,MASTER!A:H,8,0)</f>
        <v>10</v>
      </c>
      <c r="Q23" s="12">
        <f t="shared" si="3"/>
        <v>0.25</v>
      </c>
      <c r="R23" s="1">
        <f>VLOOKUP(A:A,MASTER!A:B,2,0)</f>
        <v>855</v>
      </c>
      <c r="S23">
        <f>VLOOKUP(A:A,MASTER!A:G,7,0)</f>
        <v>880</v>
      </c>
      <c r="T23" s="12">
        <f t="shared" si="4"/>
        <v>2.9239766081871288E-2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15117116.893560741</v>
      </c>
      <c r="G24" s="1">
        <f>VLOOKUP(A:A,MASTER!A:K,11,0)</f>
        <v>16143654.376540195</v>
      </c>
      <c r="H24" s="12">
        <f t="shared" si="0"/>
        <v>6.7905639032050935E-2</v>
      </c>
      <c r="I24" s="2">
        <f>VLOOKUP(A:A,MASTER!A:E,5,0)</f>
        <v>732</v>
      </c>
      <c r="J24" s="2">
        <f>VLOOKUP(A:A,MASTER!A:J,10,0)</f>
        <v>871</v>
      </c>
      <c r="K24" s="12">
        <f t="shared" si="1"/>
        <v>0.18989071038251359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1</v>
      </c>
      <c r="P24" s="1">
        <f>VLOOKUP(A:A,MASTER!A:H,8,0)</f>
        <v>5</v>
      </c>
      <c r="Q24" s="12">
        <f t="shared" si="3"/>
        <v>4</v>
      </c>
      <c r="R24" s="1">
        <f>VLOOKUP(A:A,MASTER!A:B,2,0)</f>
        <v>902</v>
      </c>
      <c r="S24">
        <f>VLOOKUP(A:A,MASTER!A:G,7,0)</f>
        <v>884</v>
      </c>
      <c r="T24" s="12">
        <f t="shared" si="4"/>
        <v>-1.9955654101995512E-2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4374488.2756901234</v>
      </c>
      <c r="G25" s="1">
        <f>VLOOKUP(A:A,MASTER!A:K,11,0)</f>
        <v>3544161.3962469618</v>
      </c>
      <c r="H25" s="12">
        <f t="shared" si="0"/>
        <v>-0.18981120238850535</v>
      </c>
      <c r="I25" s="2">
        <f>VLOOKUP(A:A,MASTER!A:E,5,0)</f>
        <v>179</v>
      </c>
      <c r="J25" s="2">
        <f>VLOOKUP(A:A,MASTER!A:J,10,0)</f>
        <v>178</v>
      </c>
      <c r="K25" s="12">
        <f t="shared" si="1"/>
        <v>-5.5865921787709993E-3</v>
      </c>
      <c r="L25" s="2">
        <f>VLOOKUP(A:A,MASTER!A:D,4,0)</f>
        <v>0</v>
      </c>
      <c r="M25" s="2">
        <f>VLOOKUP(A:A,MASTER!A:I,9,0)</f>
        <v>2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222</v>
      </c>
      <c r="S25">
        <f>VLOOKUP(A:A,MASTER!A:G,7,0)</f>
        <v>224</v>
      </c>
      <c r="T25" s="12">
        <f t="shared" si="4"/>
        <v>9.009009009008917E-3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34543080.136784635</v>
      </c>
      <c r="G26" s="1">
        <f>VLOOKUP(A:A,MASTER!A:K,11,0)</f>
        <v>30361312.978099201</v>
      </c>
      <c r="H26" s="12">
        <f t="shared" si="0"/>
        <v>-0.12105947536022721</v>
      </c>
      <c r="I26" s="2">
        <f>VLOOKUP(A:A,MASTER!A:E,5,0)</f>
        <v>1360</v>
      </c>
      <c r="J26" s="2">
        <f>VLOOKUP(A:A,MASTER!A:J,10,0)</f>
        <v>1456</v>
      </c>
      <c r="K26" s="12">
        <f t="shared" si="1"/>
        <v>7.0588235294117618E-2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2</v>
      </c>
      <c r="P26" s="1">
        <f>VLOOKUP(A:A,MASTER!A:H,8,0)</f>
        <v>10</v>
      </c>
      <c r="Q26" s="12">
        <f t="shared" si="3"/>
        <v>4</v>
      </c>
      <c r="R26" s="1">
        <f>VLOOKUP(A:A,MASTER!A:B,2,0)</f>
        <v>1670</v>
      </c>
      <c r="S26">
        <f>VLOOKUP(A:A,MASTER!A:G,7,0)</f>
        <v>1647</v>
      </c>
      <c r="T26" s="12">
        <f t="shared" si="4"/>
        <v>-1.377245508982039E-2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23829126.881211925</v>
      </c>
      <c r="G27" s="1">
        <f>VLOOKUP(A:A,MASTER!A:K,11,0)</f>
        <v>25123400.694838129</v>
      </c>
      <c r="H27" s="12">
        <f t="shared" si="0"/>
        <v>5.4314781237187137E-2</v>
      </c>
      <c r="I27" s="2">
        <f>VLOOKUP(A:A,MASTER!A:E,5,0)</f>
        <v>635</v>
      </c>
      <c r="J27" s="2">
        <f>VLOOKUP(A:A,MASTER!A:J,10,0)</f>
        <v>683</v>
      </c>
      <c r="K27" s="12">
        <f t="shared" si="1"/>
        <v>7.5590551181102361E-2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4</v>
      </c>
      <c r="P27" s="1">
        <f>VLOOKUP(A:A,MASTER!A:H,8,0)</f>
        <v>2</v>
      </c>
      <c r="Q27" s="12">
        <f t="shared" si="3"/>
        <v>-0.5</v>
      </c>
      <c r="R27" s="1">
        <f>VLOOKUP(A:A,MASTER!A:B,2,0)</f>
        <v>858</v>
      </c>
      <c r="S27">
        <f>VLOOKUP(A:A,MASTER!A:G,7,0)</f>
        <v>875</v>
      </c>
      <c r="T27" s="12">
        <f t="shared" si="4"/>
        <v>1.9813519813519864E-2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25615523.717296895</v>
      </c>
      <c r="G28" s="1">
        <f>VLOOKUP(A:A,MASTER!A:K,11,0)</f>
        <v>24340756.119797848</v>
      </c>
      <c r="H28" s="12">
        <f t="shared" si="0"/>
        <v>-4.9765431758018619E-2</v>
      </c>
      <c r="I28" s="2">
        <f>VLOOKUP(A:A,MASTER!A:E,5,0)</f>
        <v>683</v>
      </c>
      <c r="J28" s="2">
        <f>VLOOKUP(A:A,MASTER!A:J,10,0)</f>
        <v>813</v>
      </c>
      <c r="K28" s="12">
        <f t="shared" si="1"/>
        <v>0.19033674963396785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2</v>
      </c>
      <c r="P28" s="1">
        <f>VLOOKUP(A:A,MASTER!A:H,8,0)</f>
        <v>2</v>
      </c>
      <c r="Q28" s="12">
        <f t="shared" si="3"/>
        <v>0</v>
      </c>
      <c r="R28" s="1">
        <f>VLOOKUP(A:A,MASTER!A:B,2,0)</f>
        <v>1131</v>
      </c>
      <c r="S28">
        <f>VLOOKUP(A:A,MASTER!A:G,7,0)</f>
        <v>1052</v>
      </c>
      <c r="T28" s="12">
        <f t="shared" si="4"/>
        <v>-6.9849690539345755E-2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33440236.344155505</v>
      </c>
      <c r="G29" s="1">
        <f>VLOOKUP(A:A,MASTER!A:K,11,0)</f>
        <v>33277591.184311975</v>
      </c>
      <c r="H29" s="12">
        <f t="shared" si="0"/>
        <v>-4.8637562895681441E-3</v>
      </c>
      <c r="I29" s="2">
        <f>VLOOKUP(A:A,MASTER!A:E,5,0)</f>
        <v>979</v>
      </c>
      <c r="J29" s="2">
        <f>VLOOKUP(A:A,MASTER!A:J,10,0)</f>
        <v>865</v>
      </c>
      <c r="K29" s="12">
        <f t="shared" si="1"/>
        <v>-0.11644535240040854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1</v>
      </c>
      <c r="P29" s="1">
        <f>VLOOKUP(A:A,MASTER!A:H,8,0)</f>
        <v>3</v>
      </c>
      <c r="Q29" s="12">
        <f t="shared" si="3"/>
        <v>2</v>
      </c>
      <c r="R29" s="1">
        <f>VLOOKUP(A:A,MASTER!A:B,2,0)</f>
        <v>1113</v>
      </c>
      <c r="S29">
        <f>VLOOKUP(A:A,MASTER!A:G,7,0)</f>
        <v>1124</v>
      </c>
      <c r="T29" s="12">
        <f t="shared" si="4"/>
        <v>9.8831985624439067E-3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48824205.713933267</v>
      </c>
      <c r="G30" s="1">
        <f>VLOOKUP(A:A,MASTER!A:K,11,0)</f>
        <v>46926675.133656777</v>
      </c>
      <c r="H30" s="12">
        <f t="shared" si="0"/>
        <v>-3.8864545823732222E-2</v>
      </c>
      <c r="I30" s="2">
        <f>VLOOKUP(A:A,MASTER!A:E,5,0)</f>
        <v>1164</v>
      </c>
      <c r="J30" s="2">
        <f>VLOOKUP(A:A,MASTER!A:J,10,0)</f>
        <v>1108</v>
      </c>
      <c r="K30" s="12">
        <f t="shared" si="1"/>
        <v>-4.8109965635738883E-2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1</v>
      </c>
      <c r="P30" s="1">
        <f>VLOOKUP(A:A,MASTER!A:H,8,0)</f>
        <v>4</v>
      </c>
      <c r="Q30" s="12">
        <f t="shared" si="3"/>
        <v>3</v>
      </c>
      <c r="R30" s="1">
        <f>VLOOKUP(A:A,MASTER!A:B,2,0)</f>
        <v>1504</v>
      </c>
      <c r="S30">
        <f>VLOOKUP(A:A,MASTER!A:G,7,0)</f>
        <v>1453</v>
      </c>
      <c r="T30" s="12">
        <f t="shared" si="4"/>
        <v>-3.3909574468085069E-2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18136491.705534205</v>
      </c>
      <c r="G31" s="1">
        <f>VLOOKUP(A:A,MASTER!A:K,11,0)</f>
        <v>19333862.377965305</v>
      </c>
      <c r="H31" s="12">
        <f t="shared" si="0"/>
        <v>6.6019971881647432E-2</v>
      </c>
      <c r="I31" s="2">
        <f>VLOOKUP(A:A,MASTER!A:E,5,0)</f>
        <v>408</v>
      </c>
      <c r="J31" s="2">
        <f>VLOOKUP(A:A,MASTER!A:J,10,0)</f>
        <v>566</v>
      </c>
      <c r="K31" s="12">
        <f t="shared" si="1"/>
        <v>0.38725490196078427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2</v>
      </c>
      <c r="P31" s="1">
        <f>VLOOKUP(A:A,MASTER!A:H,8,0)</f>
        <v>1</v>
      </c>
      <c r="Q31" s="12">
        <f t="shared" si="3"/>
        <v>-0.5</v>
      </c>
      <c r="R31" s="1">
        <f>VLOOKUP(A:A,MASTER!A:B,2,0)</f>
        <v>691</v>
      </c>
      <c r="S31">
        <f>VLOOKUP(A:A,MASTER!A:G,7,0)</f>
        <v>685</v>
      </c>
      <c r="T31" s="12">
        <f t="shared" si="4"/>
        <v>-8.6830680173661801E-3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57697960.692234173</v>
      </c>
      <c r="G32" s="1">
        <f>VLOOKUP(A:A,MASTER!A:K,11,0)</f>
        <v>46664841.921978779</v>
      </c>
      <c r="H32" s="12">
        <f t="shared" si="0"/>
        <v>-0.19122198840106308</v>
      </c>
      <c r="I32" s="2">
        <f>VLOOKUP(A:A,MASTER!A:E,5,0)</f>
        <v>1905</v>
      </c>
      <c r="J32" s="2">
        <f>VLOOKUP(A:A,MASTER!A:J,10,0)</f>
        <v>985</v>
      </c>
      <c r="K32" s="12">
        <f t="shared" si="1"/>
        <v>-0.48293963254593175</v>
      </c>
      <c r="L32" s="2">
        <f>VLOOKUP(A:A,MASTER!A:D,4,0)</f>
        <v>10</v>
      </c>
      <c r="M32" s="2">
        <f>VLOOKUP(A:A,MASTER!A:I,9,0)</f>
        <v>9</v>
      </c>
      <c r="N32" s="12">
        <f t="shared" si="2"/>
        <v>-9.9999999999999978E-2</v>
      </c>
      <c r="O32" s="1">
        <f>VLOOKUP(A:A,MASTER!A:C,3,0)</f>
        <v>13</v>
      </c>
      <c r="P32" s="1">
        <f>VLOOKUP(A:A,MASTER!A:H,8,0)</f>
        <v>6</v>
      </c>
      <c r="Q32" s="12">
        <f t="shared" si="3"/>
        <v>-0.53846153846153844</v>
      </c>
      <c r="R32" s="1">
        <f>VLOOKUP(A:A,MASTER!A:B,2,0)</f>
        <v>1971</v>
      </c>
      <c r="S32">
        <f>VLOOKUP(A:A,MASTER!A:G,7,0)</f>
        <v>1906</v>
      </c>
      <c r="T32" s="12">
        <f t="shared" si="4"/>
        <v>-3.2978183663115224E-2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19871805.127006289</v>
      </c>
      <c r="G33" s="1">
        <f>VLOOKUP(A:A,MASTER!A:K,11,0)</f>
        <v>19594455.916085906</v>
      </c>
      <c r="H33" s="12">
        <f t="shared" si="0"/>
        <v>-1.3956920830682784E-2</v>
      </c>
      <c r="I33" s="2">
        <f>VLOOKUP(A:A,MASTER!A:E,5,0)</f>
        <v>708</v>
      </c>
      <c r="J33" s="2">
        <f>VLOOKUP(A:A,MASTER!A:J,10,0)</f>
        <v>673</v>
      </c>
      <c r="K33" s="12">
        <f t="shared" si="1"/>
        <v>-4.9435028248587587E-2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2</v>
      </c>
      <c r="Q33" s="12">
        <f t="shared" si="3"/>
        <v>0</v>
      </c>
      <c r="R33" s="1">
        <f>VLOOKUP(A:A,MASTER!A:B,2,0)</f>
        <v>840</v>
      </c>
      <c r="S33">
        <f>VLOOKUP(A:A,MASTER!A:G,7,0)</f>
        <v>855</v>
      </c>
      <c r="T33" s="12">
        <f t="shared" si="4"/>
        <v>1.7857142857142794E-2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16205189.746109076</v>
      </c>
      <c r="G34" s="1">
        <f>VLOOKUP(A:A,MASTER!A:K,11,0)</f>
        <v>18498161.104133904</v>
      </c>
      <c r="H34" s="12">
        <f t="shared" si="0"/>
        <v>0.14149611290885256</v>
      </c>
      <c r="I34" s="2">
        <f>VLOOKUP(A:A,MASTER!A:E,5,0)</f>
        <v>598</v>
      </c>
      <c r="J34" s="2">
        <f>VLOOKUP(A:A,MASTER!A:J,10,0)</f>
        <v>458</v>
      </c>
      <c r="K34" s="12">
        <f t="shared" si="1"/>
        <v>-0.23411371237458189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1</v>
      </c>
      <c r="P34" s="1">
        <f>VLOOKUP(A:A,MASTER!A:H,8,0)</f>
        <v>2</v>
      </c>
      <c r="Q34" s="12">
        <f t="shared" si="3"/>
        <v>1</v>
      </c>
      <c r="R34" s="1">
        <f>VLOOKUP(A:A,MASTER!A:B,2,0)</f>
        <v>699</v>
      </c>
      <c r="S34">
        <f>VLOOKUP(A:A,MASTER!A:G,7,0)</f>
        <v>746</v>
      </c>
      <c r="T34" s="12">
        <f t="shared" si="4"/>
        <v>6.7238912732475065E-2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28717039.311782409</v>
      </c>
      <c r="G35" s="1">
        <f>VLOOKUP(A:A,MASTER!A:K,11,0)</f>
        <v>27878934.567649979</v>
      </c>
      <c r="H35" s="12">
        <f t="shared" si="0"/>
        <v>-2.9184928677120303E-2</v>
      </c>
      <c r="I35" s="2">
        <f>VLOOKUP(A:A,MASTER!A:E,5,0)</f>
        <v>874</v>
      </c>
      <c r="J35" s="2">
        <f>VLOOKUP(A:A,MASTER!A:J,10,0)</f>
        <v>837</v>
      </c>
      <c r="K35" s="12">
        <f t="shared" si="1"/>
        <v>-4.2334096109839847E-2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11</v>
      </c>
      <c r="P35" s="1">
        <f>VLOOKUP(A:A,MASTER!A:H,8,0)</f>
        <v>15</v>
      </c>
      <c r="Q35" s="12">
        <f t="shared" si="3"/>
        <v>0.36363636363636354</v>
      </c>
      <c r="R35" s="1">
        <f>VLOOKUP(A:A,MASTER!A:B,2,0)</f>
        <v>1098</v>
      </c>
      <c r="S35">
        <f>VLOOKUP(A:A,MASTER!A:G,7,0)</f>
        <v>1158</v>
      </c>
      <c r="T35" s="12">
        <f t="shared" si="4"/>
        <v>5.464480874316946E-2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28045446.933988571</v>
      </c>
      <c r="G36" s="1">
        <f>VLOOKUP(A:A,MASTER!A:K,11,0)</f>
        <v>25972836.316768873</v>
      </c>
      <c r="H36" s="12">
        <f t="shared" si="0"/>
        <v>-7.3901857299620288E-2</v>
      </c>
      <c r="I36" s="2">
        <f>VLOOKUP(A:A,MASTER!A:E,5,0)</f>
        <v>755</v>
      </c>
      <c r="J36" s="2">
        <f>VLOOKUP(A:A,MASTER!A:J,10,0)</f>
        <v>806</v>
      </c>
      <c r="K36" s="12">
        <f t="shared" si="1"/>
        <v>6.7549668874172131E-2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40</v>
      </c>
      <c r="P36" s="1">
        <f>VLOOKUP(A:A,MASTER!A:H,8,0)</f>
        <v>120</v>
      </c>
      <c r="Q36" s="12">
        <f t="shared" si="3"/>
        <v>2</v>
      </c>
      <c r="R36" s="1">
        <f>VLOOKUP(A:A,MASTER!A:B,2,0)</f>
        <v>1105</v>
      </c>
      <c r="S36">
        <f>VLOOKUP(A:A,MASTER!A:G,7,0)</f>
        <v>1315</v>
      </c>
      <c r="T36" s="12">
        <f t="shared" si="4"/>
        <v>0.19004524886877827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44086773.432414651</v>
      </c>
      <c r="G37" s="1">
        <f>VLOOKUP(A:A,MASTER!A:K,11,0)</f>
        <v>47814301.153092101</v>
      </c>
      <c r="H37" s="12">
        <f t="shared" si="0"/>
        <v>8.4549796468815774E-2</v>
      </c>
      <c r="I37" s="2">
        <f>VLOOKUP(A:A,MASTER!A:E,5,0)</f>
        <v>1334</v>
      </c>
      <c r="J37" s="2">
        <f>VLOOKUP(A:A,MASTER!A:J,10,0)</f>
        <v>1627</v>
      </c>
      <c r="K37" s="12">
        <f t="shared" si="1"/>
        <v>0.21964017991004492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50</v>
      </c>
      <c r="P37" s="1">
        <f>VLOOKUP(A:A,MASTER!A:H,8,0)</f>
        <v>70</v>
      </c>
      <c r="Q37" s="12">
        <f t="shared" si="3"/>
        <v>0.39999999999999991</v>
      </c>
      <c r="R37" s="1">
        <f>VLOOKUP(A:A,MASTER!A:B,2,0)</f>
        <v>1791</v>
      </c>
      <c r="S37">
        <f>VLOOKUP(A:A,MASTER!A:G,7,0)</f>
        <v>2319</v>
      </c>
      <c r="T37" s="12">
        <f t="shared" si="4"/>
        <v>0.29480737018425462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17501171.752967127</v>
      </c>
      <c r="G38" s="1">
        <f>VLOOKUP(A:A,MASTER!A:K,11,0)</f>
        <v>17234881.682922155</v>
      </c>
      <c r="H38" s="12">
        <f t="shared" si="0"/>
        <v>-1.5215556638361938E-2</v>
      </c>
      <c r="I38" s="2">
        <f>VLOOKUP(A:A,MASTER!A:E,5,0)</f>
        <v>38</v>
      </c>
      <c r="J38" s="2">
        <f>VLOOKUP(A:A,MASTER!A:J,10,0)</f>
        <v>485</v>
      </c>
      <c r="K38" s="12">
        <f t="shared" si="1"/>
        <v>11.763157894736842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623</v>
      </c>
      <c r="S38">
        <f>VLOOKUP(A:A,MASTER!A:G,7,0)</f>
        <v>624</v>
      </c>
      <c r="T38" s="12">
        <f t="shared" si="4"/>
        <v>1.6051364365972098E-3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51906929.79847452</v>
      </c>
      <c r="G39" s="1">
        <f>VLOOKUP(A:A,MASTER!A:K,11,0)</f>
        <v>55848173.692558862</v>
      </c>
      <c r="H39" s="12">
        <f t="shared" si="0"/>
        <v>7.5929050502234974E-2</v>
      </c>
      <c r="I39" s="2">
        <f>VLOOKUP(A:A,MASTER!A:E,5,0)</f>
        <v>2207</v>
      </c>
      <c r="J39" s="2">
        <f>VLOOKUP(A:A,MASTER!A:J,10,0)</f>
        <v>1813</v>
      </c>
      <c r="K39" s="12">
        <f t="shared" si="1"/>
        <v>-0.17852288173991848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5</v>
      </c>
      <c r="P39" s="1">
        <f>VLOOKUP(A:A,MASTER!A:H,8,0)</f>
        <v>3</v>
      </c>
      <c r="Q39" s="12">
        <f t="shared" si="3"/>
        <v>-0.4</v>
      </c>
      <c r="R39" s="1">
        <f>VLOOKUP(A:A,MASTER!A:B,2,0)</f>
        <v>2026</v>
      </c>
      <c r="S39">
        <f>VLOOKUP(A:A,MASTER!A:G,7,0)</f>
        <v>2060</v>
      </c>
      <c r="T39" s="12">
        <f t="shared" si="4"/>
        <v>1.6781836130306038E-2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35818386.015351824</v>
      </c>
      <c r="G40" s="1">
        <f>VLOOKUP(A:A,MASTER!A:K,11,0)</f>
        <v>38783782.459595293</v>
      </c>
      <c r="H40" s="12">
        <f t="shared" si="0"/>
        <v>8.2789784078280082E-2</v>
      </c>
      <c r="I40" s="2">
        <f>VLOOKUP(A:A,MASTER!A:E,5,0)</f>
        <v>802</v>
      </c>
      <c r="J40" s="2">
        <f>VLOOKUP(A:A,MASTER!A:J,10,0)</f>
        <v>1214</v>
      </c>
      <c r="K40" s="12">
        <f t="shared" si="1"/>
        <v>0.513715710723192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4</v>
      </c>
      <c r="P40" s="1">
        <f>VLOOKUP(A:A,MASTER!A:H,8,0)</f>
        <v>3</v>
      </c>
      <c r="Q40" s="12">
        <f t="shared" si="3"/>
        <v>-0.25</v>
      </c>
      <c r="R40" s="1">
        <f>VLOOKUP(A:A,MASTER!A:B,2,0)</f>
        <v>873</v>
      </c>
      <c r="S40">
        <f>VLOOKUP(A:A,MASTER!A:G,7,0)</f>
        <v>903</v>
      </c>
      <c r="T40" s="12">
        <f t="shared" si="4"/>
        <v>3.436426116838498E-2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30056084.115850814</v>
      </c>
      <c r="G41" s="1">
        <f>VLOOKUP(A:A,MASTER!A:K,11,0)</f>
        <v>21319527.778955884</v>
      </c>
      <c r="H41" s="12">
        <f t="shared" si="0"/>
        <v>-0.29067513596315397</v>
      </c>
      <c r="I41" s="2">
        <f>VLOOKUP(A:A,MASTER!A:E,5,0)</f>
        <v>939</v>
      </c>
      <c r="J41" s="2">
        <f>VLOOKUP(A:A,MASTER!A:J,10,0)</f>
        <v>936</v>
      </c>
      <c r="K41" s="12">
        <f t="shared" si="1"/>
        <v>-3.1948881789137795E-3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2</v>
      </c>
      <c r="P41" s="1">
        <f>VLOOKUP(A:A,MASTER!A:H,8,0)</f>
        <v>4</v>
      </c>
      <c r="Q41" s="12">
        <f t="shared" si="3"/>
        <v>1</v>
      </c>
      <c r="R41" s="1">
        <f>VLOOKUP(A:A,MASTER!A:B,2,0)</f>
        <v>1145</v>
      </c>
      <c r="S41">
        <f>VLOOKUP(A:A,MASTER!A:G,7,0)</f>
        <v>1088</v>
      </c>
      <c r="T41" s="12">
        <f t="shared" si="4"/>
        <v>-4.9781659388646315E-2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29545546.930951878</v>
      </c>
      <c r="G42" s="1">
        <f>VLOOKUP(A:A,MASTER!A:K,11,0)</f>
        <v>28979341.557539623</v>
      </c>
      <c r="H42" s="12">
        <f t="shared" si="0"/>
        <v>-1.9163814253819078E-2</v>
      </c>
      <c r="I42" s="2">
        <f>VLOOKUP(A:A,MASTER!A:E,5,0)</f>
        <v>646</v>
      </c>
      <c r="J42" s="2">
        <f>VLOOKUP(A:A,MASTER!A:J,10,0)</f>
        <v>564</v>
      </c>
      <c r="K42" s="12">
        <f t="shared" si="1"/>
        <v>-0.12693498452012386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5</v>
      </c>
      <c r="Q42" s="12">
        <f t="shared" si="3"/>
        <v>0</v>
      </c>
      <c r="R42" s="1">
        <f>VLOOKUP(A:A,MASTER!A:B,2,0)</f>
        <v>860</v>
      </c>
      <c r="S42">
        <f>VLOOKUP(A:A,MASTER!A:G,7,0)</f>
        <v>833</v>
      </c>
      <c r="T42" s="12">
        <f t="shared" si="4"/>
        <v>-3.1395348837209291E-2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18049660.276563376</v>
      </c>
      <c r="G43" s="1">
        <f>VLOOKUP(A:A,MASTER!A:K,11,0)</f>
        <v>18792405.690429319</v>
      </c>
      <c r="H43" s="12">
        <f t="shared" si="0"/>
        <v>4.1150104904210449E-2</v>
      </c>
      <c r="I43" s="2">
        <f>VLOOKUP(A:A,MASTER!A:E,5,0)</f>
        <v>583</v>
      </c>
      <c r="J43" s="2">
        <f>VLOOKUP(A:A,MASTER!A:J,10,0)</f>
        <v>1046</v>
      </c>
      <c r="K43" s="12">
        <f t="shared" si="1"/>
        <v>0.79416809605488847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3</v>
      </c>
      <c r="P43" s="1">
        <f>VLOOKUP(A:A,MASTER!A:H,8,0)</f>
        <v>2</v>
      </c>
      <c r="Q43" s="12">
        <f t="shared" si="3"/>
        <v>-0.33333333333333337</v>
      </c>
      <c r="R43" s="1">
        <f>VLOOKUP(A:A,MASTER!A:B,2,0)</f>
        <v>663</v>
      </c>
      <c r="S43">
        <f>VLOOKUP(A:A,MASTER!A:G,7,0)</f>
        <v>693</v>
      </c>
      <c r="T43" s="12">
        <f t="shared" si="4"/>
        <v>4.5248868778280604E-2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17220687.382163826</v>
      </c>
      <c r="G44" s="1">
        <f>VLOOKUP(A:A,MASTER!A:K,11,0)</f>
        <v>16321357.881679956</v>
      </c>
      <c r="H44" s="12">
        <f t="shared" si="0"/>
        <v>-5.222378645670922E-2</v>
      </c>
      <c r="I44" s="2">
        <f>VLOOKUP(A:A,MASTER!A:E,5,0)</f>
        <v>750</v>
      </c>
      <c r="J44" s="2">
        <f>VLOOKUP(A:A,MASTER!A:J,10,0)</f>
        <v>475</v>
      </c>
      <c r="K44" s="12">
        <f t="shared" si="1"/>
        <v>-0.3666666666666667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1</v>
      </c>
      <c r="P44" s="1">
        <f>VLOOKUP(A:A,MASTER!A:H,8,0)</f>
        <v>0</v>
      </c>
      <c r="Q44" s="12">
        <f t="shared" si="3"/>
        <v>-1</v>
      </c>
      <c r="R44" s="1">
        <f>VLOOKUP(A:A,MASTER!A:B,2,0)</f>
        <v>697</v>
      </c>
      <c r="S44">
        <f>VLOOKUP(A:A,MASTER!A:G,7,0)</f>
        <v>686</v>
      </c>
      <c r="T44" s="12">
        <f t="shared" si="4"/>
        <v>-1.5781922525107572E-2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56121265.077946588</v>
      </c>
      <c r="G45" s="1">
        <f>VLOOKUP(A:A,MASTER!A:K,11,0)</f>
        <v>50336716.63548696</v>
      </c>
      <c r="H45" s="12">
        <f t="shared" si="0"/>
        <v>-0.10307231019160912</v>
      </c>
      <c r="I45" s="2">
        <f>VLOOKUP(A:A,MASTER!A:E,5,0)</f>
        <v>1180</v>
      </c>
      <c r="J45" s="2">
        <f>VLOOKUP(A:A,MASTER!A:J,10,0)</f>
        <v>1074</v>
      </c>
      <c r="K45" s="12">
        <f t="shared" si="1"/>
        <v>-8.9830508474576298E-2</v>
      </c>
      <c r="L45" s="2">
        <f>VLOOKUP(A:A,MASTER!A:D,4,0)</f>
        <v>6</v>
      </c>
      <c r="M45" s="2">
        <f>VLOOKUP(A:A,MASTER!A:I,9,0)</f>
        <v>5</v>
      </c>
      <c r="N45" s="12">
        <f t="shared" si="2"/>
        <v>-0.16666666666666663</v>
      </c>
      <c r="O45" s="1">
        <f>VLOOKUP(A:A,MASTER!A:C,3,0)</f>
        <v>8</v>
      </c>
      <c r="P45" s="1">
        <f>VLOOKUP(A:A,MASTER!A:H,8,0)</f>
        <v>2</v>
      </c>
      <c r="Q45" s="12">
        <f t="shared" si="3"/>
        <v>-0.75</v>
      </c>
      <c r="R45" s="1">
        <f>VLOOKUP(A:A,MASTER!A:B,2,0)</f>
        <v>1295</v>
      </c>
      <c r="S45">
        <f>VLOOKUP(A:A,MASTER!A:G,7,0)</f>
        <v>1237</v>
      </c>
      <c r="T45" s="12">
        <f t="shared" si="4"/>
        <v>-4.4787644787644743E-2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25070780.558970418</v>
      </c>
      <c r="G46" s="1">
        <f>VLOOKUP(A:A,MASTER!A:K,11,0)</f>
        <v>24322654.950506765</v>
      </c>
      <c r="H46" s="12">
        <f t="shared" si="0"/>
        <v>-2.9840539136942401E-2</v>
      </c>
      <c r="I46" s="2">
        <f>VLOOKUP(A:A,MASTER!A:E,5,0)</f>
        <v>888</v>
      </c>
      <c r="J46" s="2">
        <f>VLOOKUP(A:A,MASTER!A:J,10,0)</f>
        <v>921</v>
      </c>
      <c r="K46" s="12">
        <f t="shared" si="1"/>
        <v>3.716216216216206E-2</v>
      </c>
      <c r="L46" s="2">
        <f>VLOOKUP(A:A,MASTER!A:D,4,0)</f>
        <v>5</v>
      </c>
      <c r="M46" s="2">
        <f>VLOOKUP(A:A,MASTER!A:I,9,0)</f>
        <v>7</v>
      </c>
      <c r="N46" s="12">
        <f t="shared" si="2"/>
        <v>0.39999999999999991</v>
      </c>
      <c r="O46" s="1">
        <f>VLOOKUP(A:A,MASTER!A:C,3,0)</f>
        <v>1</v>
      </c>
      <c r="P46" s="1">
        <f>VLOOKUP(A:A,MASTER!A:H,8,0)</f>
        <v>2</v>
      </c>
      <c r="Q46" s="12">
        <f t="shared" si="3"/>
        <v>1</v>
      </c>
      <c r="R46" s="1">
        <f>VLOOKUP(A:A,MASTER!A:B,2,0)</f>
        <v>868</v>
      </c>
      <c r="S46">
        <f>VLOOKUP(A:A,MASTER!A:G,7,0)</f>
        <v>913</v>
      </c>
      <c r="T46" s="12">
        <f t="shared" si="4"/>
        <v>5.1843317972350311E-2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36249311.027373917</v>
      </c>
      <c r="G47" s="1">
        <f>VLOOKUP(A:A,MASTER!A:K,11,0)</f>
        <v>42593266.870044634</v>
      </c>
      <c r="H47" s="12">
        <f t="shared" si="0"/>
        <v>0.17500900466439306</v>
      </c>
      <c r="I47" s="2">
        <f>VLOOKUP(A:A,MASTER!A:E,5,0)</f>
        <v>1015</v>
      </c>
      <c r="J47" s="2">
        <f>VLOOKUP(A:A,MASTER!A:J,10,0)</f>
        <v>956</v>
      </c>
      <c r="K47" s="12">
        <f t="shared" si="1"/>
        <v>-5.8128078817733964E-2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9</v>
      </c>
      <c r="P47" s="1">
        <f>VLOOKUP(A:A,MASTER!A:H,8,0)</f>
        <v>4</v>
      </c>
      <c r="Q47" s="12">
        <f t="shared" si="3"/>
        <v>-0.55555555555555558</v>
      </c>
      <c r="R47" s="1">
        <f>VLOOKUP(A:A,MASTER!A:B,2,0)</f>
        <v>1307</v>
      </c>
      <c r="S47">
        <f>VLOOKUP(A:A,MASTER!A:G,7,0)</f>
        <v>1348</v>
      </c>
      <c r="T47" s="12">
        <f t="shared" si="4"/>
        <v>3.136954858454466E-2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18877382.814397447</v>
      </c>
      <c r="G48" s="1">
        <f>VLOOKUP(A:A,MASTER!A:K,11,0)</f>
        <v>21999896.923067365</v>
      </c>
      <c r="H48" s="12">
        <f t="shared" si="0"/>
        <v>0.16541032935394151</v>
      </c>
      <c r="I48" s="2">
        <f>VLOOKUP(A:A,MASTER!A:E,5,0)</f>
        <v>355</v>
      </c>
      <c r="J48" s="2">
        <f>VLOOKUP(A:A,MASTER!A:J,10,0)</f>
        <v>377</v>
      </c>
      <c r="K48" s="12">
        <f t="shared" si="1"/>
        <v>6.197183098591541E-2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5</v>
      </c>
      <c r="P48" s="1">
        <f>VLOOKUP(A:A,MASTER!A:H,8,0)</f>
        <v>1</v>
      </c>
      <c r="Q48" s="12">
        <f t="shared" si="3"/>
        <v>-0.8</v>
      </c>
      <c r="R48" s="1">
        <f>VLOOKUP(A:A,MASTER!A:B,2,0)</f>
        <v>480</v>
      </c>
      <c r="S48">
        <f>VLOOKUP(A:A,MASTER!A:G,7,0)</f>
        <v>487</v>
      </c>
      <c r="T48" s="12">
        <f t="shared" si="4"/>
        <v>1.4583333333333393E-2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19430174.451933045</v>
      </c>
      <c r="G49" s="1">
        <f>VLOOKUP(A:A,MASTER!A:K,11,0)</f>
        <v>16002679.555755092</v>
      </c>
      <c r="H49" s="12">
        <f t="shared" si="0"/>
        <v>-0.17640062391910039</v>
      </c>
      <c r="I49" s="2">
        <f>VLOOKUP(A:A,MASTER!A:E,5,0)</f>
        <v>318</v>
      </c>
      <c r="J49" s="2">
        <f>VLOOKUP(A:A,MASTER!A:J,10,0)</f>
        <v>302</v>
      </c>
      <c r="K49" s="12">
        <f t="shared" si="1"/>
        <v>-5.031446540880502E-2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0</v>
      </c>
      <c r="P49" s="1">
        <f>VLOOKUP(A:A,MASTER!A:H,8,0)</f>
        <v>0</v>
      </c>
      <c r="Q49" s="12">
        <f t="shared" si="3"/>
        <v>0</v>
      </c>
      <c r="R49" s="1">
        <f>VLOOKUP(A:A,MASTER!A:B,2,0)</f>
        <v>443</v>
      </c>
      <c r="S49">
        <f>VLOOKUP(A:A,MASTER!A:G,7,0)</f>
        <v>458</v>
      </c>
      <c r="T49" s="12">
        <f t="shared" si="4"/>
        <v>3.3860045146726803E-2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16077907.296333432</v>
      </c>
      <c r="G50" s="1">
        <f>VLOOKUP(A:A,MASTER!A:K,11,0)</f>
        <v>13853359.611095656</v>
      </c>
      <c r="H50" s="12">
        <f t="shared" si="0"/>
        <v>-0.13836052442876601</v>
      </c>
      <c r="I50" s="2">
        <f>VLOOKUP(A:A,MASTER!A:E,5,0)</f>
        <v>383</v>
      </c>
      <c r="J50" s="2">
        <f>VLOOKUP(A:A,MASTER!A:J,10,0)</f>
        <v>302</v>
      </c>
      <c r="K50" s="12">
        <f t="shared" si="1"/>
        <v>-0.21148825065274146</v>
      </c>
      <c r="L50" s="2">
        <f>VLOOKUP(A:A,MASTER!A:D,4,0)</f>
        <v>2</v>
      </c>
      <c r="M50" s="2">
        <f>VLOOKUP(A:A,MASTER!A:I,9,0)</f>
        <v>4</v>
      </c>
      <c r="N50" s="12">
        <f t="shared" si="2"/>
        <v>1</v>
      </c>
      <c r="O50" s="1">
        <f>VLOOKUP(A:A,MASTER!A:C,3,0)</f>
        <v>10</v>
      </c>
      <c r="P50" s="1">
        <f>VLOOKUP(A:A,MASTER!A:H,8,0)</f>
        <v>1</v>
      </c>
      <c r="Q50" s="12">
        <f t="shared" si="3"/>
        <v>-0.9</v>
      </c>
      <c r="R50" s="1">
        <f>VLOOKUP(A:A,MASTER!A:B,2,0)</f>
        <v>428</v>
      </c>
      <c r="S50">
        <f>VLOOKUP(A:A,MASTER!A:G,7,0)</f>
        <v>422</v>
      </c>
      <c r="T50" s="12">
        <f t="shared" si="4"/>
        <v>-1.4018691588784993E-2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34631933.852164701</v>
      </c>
      <c r="G51" s="1">
        <f>VLOOKUP(A:A,MASTER!A:K,11,0)</f>
        <v>32913629.915348537</v>
      </c>
      <c r="H51" s="12">
        <f t="shared" si="0"/>
        <v>-4.961617055955303E-2</v>
      </c>
      <c r="I51" s="2">
        <f>VLOOKUP(A:A,MASTER!A:E,5,0)</f>
        <v>987</v>
      </c>
      <c r="J51" s="2">
        <f>VLOOKUP(A:A,MASTER!A:J,10,0)</f>
        <v>872</v>
      </c>
      <c r="K51" s="12">
        <f t="shared" si="1"/>
        <v>-0.11651469098277611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3</v>
      </c>
      <c r="P51" s="1">
        <f>VLOOKUP(A:A,MASTER!A:H,8,0)</f>
        <v>5</v>
      </c>
      <c r="Q51" s="12">
        <f t="shared" si="3"/>
        <v>0.66666666666666674</v>
      </c>
      <c r="R51" s="1">
        <f>VLOOKUP(A:A,MASTER!A:B,2,0)</f>
        <v>1124</v>
      </c>
      <c r="S51">
        <f>VLOOKUP(A:A,MASTER!A:G,7,0)</f>
        <v>1104</v>
      </c>
      <c r="T51" s="12">
        <f t="shared" si="4"/>
        <v>-1.7793594306049876E-2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36634153.112307087</v>
      </c>
      <c r="G52" s="1">
        <f>VLOOKUP(A:A,MASTER!A:K,11,0)</f>
        <v>32757032.238542307</v>
      </c>
      <c r="H52" s="12">
        <f t="shared" si="0"/>
        <v>-0.10583350628794197</v>
      </c>
      <c r="I52" s="2">
        <f>VLOOKUP(A:A,MASTER!A:E,5,0)</f>
        <v>930</v>
      </c>
      <c r="J52" s="2">
        <f>VLOOKUP(A:A,MASTER!A:J,10,0)</f>
        <v>1002</v>
      </c>
      <c r="K52" s="12">
        <f t="shared" si="1"/>
        <v>7.7419354838709653E-2</v>
      </c>
      <c r="L52" s="2">
        <f>VLOOKUP(A:A,MASTER!A:D,4,0)</f>
        <v>3</v>
      </c>
      <c r="M52" s="2">
        <f>VLOOKUP(A:A,MASTER!A:I,9,0)</f>
        <v>1</v>
      </c>
      <c r="N52" s="12">
        <f t="shared" si="2"/>
        <v>-0.66666666666666674</v>
      </c>
      <c r="O52" s="1">
        <f>VLOOKUP(A:A,MASTER!A:C,3,0)</f>
        <v>10</v>
      </c>
      <c r="P52" s="1">
        <f>VLOOKUP(A:A,MASTER!A:H,8,0)</f>
        <v>7</v>
      </c>
      <c r="Q52" s="12">
        <f t="shared" si="3"/>
        <v>-0.30000000000000004</v>
      </c>
      <c r="R52" s="1">
        <f>VLOOKUP(A:A,MASTER!A:B,2,0)</f>
        <v>944</v>
      </c>
      <c r="S52">
        <f>VLOOKUP(A:A,MASTER!A:G,7,0)</f>
        <v>1002</v>
      </c>
      <c r="T52" s="12">
        <f t="shared" si="4"/>
        <v>6.1440677966101642E-2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49012795.183127128</v>
      </c>
      <c r="G53" s="1">
        <f>VLOOKUP(A:A,MASTER!A:K,11,0)</f>
        <v>61098674.970430002</v>
      </c>
      <c r="H53" s="12">
        <f t="shared" si="0"/>
        <v>0.24658621778550383</v>
      </c>
      <c r="I53" s="2">
        <f>VLOOKUP(A:A,MASTER!A:E,5,0)</f>
        <v>1566</v>
      </c>
      <c r="J53" s="2">
        <f>VLOOKUP(A:A,MASTER!A:J,10,0)</f>
        <v>1601</v>
      </c>
      <c r="K53" s="12">
        <f t="shared" si="1"/>
        <v>2.2349936143039484E-2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35</v>
      </c>
      <c r="P53" s="1">
        <f>VLOOKUP(A:A,MASTER!A:H,8,0)</f>
        <v>8</v>
      </c>
      <c r="Q53" s="12">
        <f t="shared" si="3"/>
        <v>-0.77142857142857146</v>
      </c>
      <c r="R53" s="1">
        <f>VLOOKUP(A:A,MASTER!A:B,2,0)</f>
        <v>2196</v>
      </c>
      <c r="S53">
        <f>VLOOKUP(A:A,MASTER!A:G,7,0)</f>
        <v>2048</v>
      </c>
      <c r="T53" s="12">
        <f t="shared" si="4"/>
        <v>-6.7395264116575593E-2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16802002.123263378</v>
      </c>
      <c r="G54" s="1">
        <f>VLOOKUP(A:A,MASTER!A:K,11,0)</f>
        <v>15233052.180801317</v>
      </c>
      <c r="H54" s="12">
        <f t="shared" si="0"/>
        <v>-9.3378749208093192E-2</v>
      </c>
      <c r="I54" s="2">
        <f>VLOOKUP(A:A,MASTER!A:E,5,0)</f>
        <v>556</v>
      </c>
      <c r="J54" s="2">
        <f>VLOOKUP(A:A,MASTER!A:J,10,0)</f>
        <v>447</v>
      </c>
      <c r="K54" s="12">
        <f t="shared" si="1"/>
        <v>-0.1960431654676259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4</v>
      </c>
      <c r="Q54" s="12">
        <f t="shared" si="3"/>
        <v>0.33333333333333326</v>
      </c>
      <c r="R54" s="1">
        <f>VLOOKUP(A:A,MASTER!A:B,2,0)</f>
        <v>685</v>
      </c>
      <c r="S54">
        <f>VLOOKUP(A:A,MASTER!A:G,7,0)</f>
        <v>676</v>
      </c>
      <c r="T54" s="12">
        <f t="shared" si="4"/>
        <v>-1.3138686131386912E-2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25317769.097523954</v>
      </c>
      <c r="G55" s="1">
        <f>VLOOKUP(A:A,MASTER!A:K,11,0)</f>
        <v>26561551.871163208</v>
      </c>
      <c r="H55" s="12">
        <f t="shared" si="0"/>
        <v>4.912687088851353E-2</v>
      </c>
      <c r="I55" s="2">
        <f>VLOOKUP(A:A,MASTER!A:E,5,0)</f>
        <v>650</v>
      </c>
      <c r="J55" s="2">
        <f>VLOOKUP(A:A,MASTER!A:J,10,0)</f>
        <v>715</v>
      </c>
      <c r="K55" s="12">
        <f t="shared" si="1"/>
        <v>0.10000000000000009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5</v>
      </c>
      <c r="P55" s="1">
        <f>VLOOKUP(A:A,MASTER!A:H,8,0)</f>
        <v>6</v>
      </c>
      <c r="Q55" s="12">
        <f t="shared" si="3"/>
        <v>0.19999999999999996</v>
      </c>
      <c r="R55" s="1">
        <f>VLOOKUP(A:A,MASTER!A:B,2,0)</f>
        <v>885</v>
      </c>
      <c r="S55">
        <f>VLOOKUP(A:A,MASTER!A:G,7,0)</f>
        <v>868</v>
      </c>
      <c r="T55" s="12">
        <f t="shared" si="4"/>
        <v>-1.9209039548022555E-2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20332674.780575395</v>
      </c>
      <c r="G56" s="1">
        <f>VLOOKUP(A:A,MASTER!A:K,11,0)</f>
        <v>16875594.073253468</v>
      </c>
      <c r="H56" s="12">
        <f t="shared" si="0"/>
        <v>-0.17002586942592579</v>
      </c>
      <c r="I56" s="2">
        <f>VLOOKUP(A:A,MASTER!A:E,5,0)</f>
        <v>609</v>
      </c>
      <c r="J56" s="2">
        <f>VLOOKUP(A:A,MASTER!A:J,10,0)</f>
        <v>740</v>
      </c>
      <c r="K56" s="12">
        <f t="shared" si="1"/>
        <v>0.21510673234811173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2</v>
      </c>
      <c r="P56" s="1">
        <f>VLOOKUP(A:A,MASTER!A:H,8,0)</f>
        <v>4</v>
      </c>
      <c r="Q56" s="12">
        <f t="shared" si="3"/>
        <v>1</v>
      </c>
      <c r="R56" s="1">
        <f>VLOOKUP(A:A,MASTER!A:B,2,0)</f>
        <v>788</v>
      </c>
      <c r="S56">
        <f>VLOOKUP(A:A,MASTER!A:G,7,0)</f>
        <v>753</v>
      </c>
      <c r="T56" s="12">
        <f t="shared" si="4"/>
        <v>-4.4416243654822329E-2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34530254.150361381</v>
      </c>
      <c r="G57" s="1">
        <f>VLOOKUP(A:A,MASTER!A:K,11,0)</f>
        <v>34330986.777931541</v>
      </c>
      <c r="H57" s="12">
        <f t="shared" si="0"/>
        <v>-5.7708052643381524E-3</v>
      </c>
      <c r="I57" s="2">
        <f>VLOOKUP(A:A,MASTER!A:E,5,0)</f>
        <v>1043</v>
      </c>
      <c r="J57" s="2">
        <f>VLOOKUP(A:A,MASTER!A:J,10,0)</f>
        <v>869</v>
      </c>
      <c r="K57" s="12">
        <f t="shared" si="1"/>
        <v>-0.16682646212847552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7</v>
      </c>
      <c r="P57" s="1">
        <f>VLOOKUP(A:A,MASTER!A:H,8,0)</f>
        <v>6</v>
      </c>
      <c r="Q57" s="12">
        <f t="shared" si="3"/>
        <v>-0.1428571428571429</v>
      </c>
      <c r="R57" s="1">
        <f>VLOOKUP(A:A,MASTER!A:B,2,0)</f>
        <v>1089</v>
      </c>
      <c r="S57">
        <f>VLOOKUP(A:A,MASTER!A:G,7,0)</f>
        <v>1112</v>
      </c>
      <c r="T57" s="12">
        <f t="shared" si="4"/>
        <v>2.1120293847566529E-2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43893016.899277039</v>
      </c>
      <c r="G58" s="1">
        <f>VLOOKUP(A:A,MASTER!A:K,11,0)</f>
        <v>43409662.357671969</v>
      </c>
      <c r="H58" s="12">
        <f t="shared" si="0"/>
        <v>-1.1012105700417996E-2</v>
      </c>
      <c r="I58" s="2">
        <f>VLOOKUP(A:A,MASTER!A:E,5,0)</f>
        <v>1437</v>
      </c>
      <c r="J58" s="2">
        <f>VLOOKUP(A:A,MASTER!A:J,10,0)</f>
        <v>1339</v>
      </c>
      <c r="K58" s="12">
        <f t="shared" si="1"/>
        <v>-6.8197633959638182E-2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9</v>
      </c>
      <c r="P58" s="1">
        <f>VLOOKUP(A:A,MASTER!A:H,8,0)</f>
        <v>5</v>
      </c>
      <c r="Q58" s="12">
        <f t="shared" si="3"/>
        <v>-0.44444444444444442</v>
      </c>
      <c r="R58" s="1">
        <f>VLOOKUP(A:A,MASTER!A:B,2,0)</f>
        <v>1362</v>
      </c>
      <c r="S58">
        <f>VLOOKUP(A:A,MASTER!A:G,7,0)</f>
        <v>1478</v>
      </c>
      <c r="T58" s="12">
        <f t="shared" si="4"/>
        <v>8.5168869309838469E-2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22329910.806698915</v>
      </c>
      <c r="G59" s="1">
        <f>VLOOKUP(A:A,MASTER!A:K,11,0)</f>
        <v>23201281.738800615</v>
      </c>
      <c r="H59" s="12">
        <f t="shared" si="0"/>
        <v>3.9022589012773556E-2</v>
      </c>
      <c r="I59" s="2">
        <f>VLOOKUP(A:A,MASTER!A:E,5,0)</f>
        <v>702</v>
      </c>
      <c r="J59" s="2">
        <f>VLOOKUP(A:A,MASTER!A:J,10,0)</f>
        <v>693</v>
      </c>
      <c r="K59" s="12">
        <f t="shared" si="1"/>
        <v>-1.2820512820512775E-2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4</v>
      </c>
      <c r="P59" s="1">
        <f>VLOOKUP(A:A,MASTER!A:H,8,0)</f>
        <v>2</v>
      </c>
      <c r="Q59" s="12">
        <f t="shared" si="3"/>
        <v>-0.5</v>
      </c>
      <c r="R59" s="1">
        <f>VLOOKUP(A:A,MASTER!A:B,2,0)</f>
        <v>779</v>
      </c>
      <c r="S59">
        <f>VLOOKUP(A:A,MASTER!A:G,7,0)</f>
        <v>769</v>
      </c>
      <c r="T59" s="12">
        <f t="shared" si="4"/>
        <v>-1.2836970474967901E-2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25864409.160511479</v>
      </c>
      <c r="G60" s="1">
        <f>VLOOKUP(A:A,MASTER!A:K,11,0)</f>
        <v>25848326.485295001</v>
      </c>
      <c r="H60" s="12">
        <f t="shared" si="0"/>
        <v>-6.2180717590221146E-4</v>
      </c>
      <c r="I60" s="2">
        <f>VLOOKUP(A:A,MASTER!A:E,5,0)</f>
        <v>466</v>
      </c>
      <c r="J60" s="2">
        <f>VLOOKUP(A:A,MASTER!A:J,10,0)</f>
        <v>468</v>
      </c>
      <c r="K60" s="12">
        <f t="shared" si="1"/>
        <v>4.2918454935623185E-3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4</v>
      </c>
      <c r="P60" s="1">
        <f>VLOOKUP(A:A,MASTER!A:H,8,0)</f>
        <v>7</v>
      </c>
      <c r="Q60" s="12">
        <f t="shared" si="3"/>
        <v>0.75</v>
      </c>
      <c r="R60" s="1">
        <f>VLOOKUP(A:A,MASTER!A:B,2,0)</f>
        <v>693</v>
      </c>
      <c r="S60">
        <f>VLOOKUP(A:A,MASTER!A:G,7,0)</f>
        <v>638</v>
      </c>
      <c r="T60" s="12">
        <f t="shared" si="4"/>
        <v>-7.9365079365079416E-2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66090588.086731672</v>
      </c>
      <c r="G61" s="1">
        <f>VLOOKUP(A:A,MASTER!A:K,11,0)</f>
        <v>83965424.239891231</v>
      </c>
      <c r="H61" s="12">
        <f t="shared" si="0"/>
        <v>0.27045963231106596</v>
      </c>
      <c r="I61" s="2">
        <f>VLOOKUP(A:A,MASTER!A:E,5,0)</f>
        <v>1642</v>
      </c>
      <c r="J61" s="2">
        <f>VLOOKUP(A:A,MASTER!A:J,10,0)</f>
        <v>1969</v>
      </c>
      <c r="K61" s="12">
        <f t="shared" si="1"/>
        <v>0.1991473812423874</v>
      </c>
      <c r="L61" s="2">
        <f>VLOOKUP(A:A,MASTER!A:D,4,0)</f>
        <v>9</v>
      </c>
      <c r="M61" s="2">
        <f>VLOOKUP(A:A,MASTER!A:I,9,0)</f>
        <v>11</v>
      </c>
      <c r="N61" s="12">
        <f t="shared" si="2"/>
        <v>0.22222222222222232</v>
      </c>
      <c r="O61" s="1">
        <f>VLOOKUP(A:A,MASTER!A:C,3,0)</f>
        <v>11</v>
      </c>
      <c r="P61" s="1">
        <f>VLOOKUP(A:A,MASTER!A:H,8,0)</f>
        <v>11</v>
      </c>
      <c r="Q61" s="12">
        <f t="shared" si="3"/>
        <v>0</v>
      </c>
      <c r="R61" s="1">
        <f>VLOOKUP(A:A,MASTER!A:B,2,0)</f>
        <v>2028</v>
      </c>
      <c r="S61">
        <f>VLOOKUP(A:A,MASTER!A:G,7,0)</f>
        <v>1983</v>
      </c>
      <c r="T61" s="12">
        <f t="shared" si="4"/>
        <v>-2.2189349112425982E-2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62841028.586884134</v>
      </c>
      <c r="G62" s="1">
        <f>VLOOKUP(A:A,MASTER!A:K,11,0)</f>
        <v>62126278.515833758</v>
      </c>
      <c r="H62" s="12">
        <f t="shared" si="0"/>
        <v>-1.1373939719369175E-2</v>
      </c>
      <c r="I62" s="2">
        <f>VLOOKUP(A:A,MASTER!A:E,5,0)</f>
        <v>1197</v>
      </c>
      <c r="J62" s="2">
        <f>VLOOKUP(A:A,MASTER!A:J,10,0)</f>
        <v>1096</v>
      </c>
      <c r="K62" s="12">
        <f t="shared" si="1"/>
        <v>-8.4377610693400218E-2</v>
      </c>
      <c r="L62" s="2">
        <f>VLOOKUP(A:A,MASTER!A:D,4,0)</f>
        <v>8</v>
      </c>
      <c r="M62" s="2">
        <f>VLOOKUP(A:A,MASTER!A:I,9,0)</f>
        <v>6</v>
      </c>
      <c r="N62" s="12">
        <f t="shared" si="2"/>
        <v>-0.25</v>
      </c>
      <c r="O62" s="1">
        <f>VLOOKUP(A:A,MASTER!A:C,3,0)</f>
        <v>17</v>
      </c>
      <c r="P62" s="1">
        <f>VLOOKUP(A:A,MASTER!A:H,8,0)</f>
        <v>16</v>
      </c>
      <c r="Q62" s="12">
        <f t="shared" si="3"/>
        <v>-5.8823529411764719E-2</v>
      </c>
      <c r="R62" s="1">
        <f>VLOOKUP(A:A,MASTER!A:B,2,0)</f>
        <v>1614</v>
      </c>
      <c r="S62">
        <f>VLOOKUP(A:A,MASTER!A:G,7,0)</f>
        <v>1583</v>
      </c>
      <c r="T62" s="12">
        <f t="shared" si="4"/>
        <v>-1.9206939281288693E-2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39412261.823200494</v>
      </c>
      <c r="G63" s="1">
        <f>VLOOKUP(A:A,MASTER!A:K,11,0)</f>
        <v>40280606.360153332</v>
      </c>
      <c r="H63" s="12">
        <f t="shared" si="0"/>
        <v>2.2032344676084392E-2</v>
      </c>
      <c r="I63" s="2">
        <f>VLOOKUP(A:A,MASTER!A:E,5,0)</f>
        <v>740</v>
      </c>
      <c r="J63" s="2">
        <f>VLOOKUP(A:A,MASTER!A:J,10,0)</f>
        <v>720</v>
      </c>
      <c r="K63" s="12">
        <f t="shared" si="1"/>
        <v>-2.7027027027026973E-2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6</v>
      </c>
      <c r="Q63" s="12">
        <f t="shared" si="3"/>
        <v>2</v>
      </c>
      <c r="R63" s="1">
        <f>VLOOKUP(A:A,MASTER!A:B,2,0)</f>
        <v>863</v>
      </c>
      <c r="S63">
        <f>VLOOKUP(A:A,MASTER!A:G,7,0)</f>
        <v>893</v>
      </c>
      <c r="T63" s="12">
        <f t="shared" si="4"/>
        <v>3.4762456546929332E-2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57167525.883572713</v>
      </c>
      <c r="G64" s="1">
        <f>VLOOKUP(A:A,MASTER!A:K,11,0)</f>
        <v>60465669.223312296</v>
      </c>
      <c r="H64" s="12">
        <f t="shared" si="0"/>
        <v>5.7692602378080382E-2</v>
      </c>
      <c r="I64" s="2">
        <f>VLOOKUP(A:A,MASTER!A:E,5,0)</f>
        <v>1280</v>
      </c>
      <c r="J64" s="2">
        <f>VLOOKUP(A:A,MASTER!A:J,10,0)</f>
        <v>1405</v>
      </c>
      <c r="K64" s="12">
        <f t="shared" si="1"/>
        <v>9.765625E-2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46</v>
      </c>
      <c r="P64" s="1">
        <f>VLOOKUP(A:A,MASTER!A:H,8,0)</f>
        <v>373</v>
      </c>
      <c r="Q64" s="12">
        <f t="shared" si="3"/>
        <v>7.1086956521739122</v>
      </c>
      <c r="R64" s="1">
        <f>VLOOKUP(A:A,MASTER!A:B,2,0)</f>
        <v>1831</v>
      </c>
      <c r="S64">
        <f>VLOOKUP(A:A,MASTER!A:G,7,0)</f>
        <v>2275</v>
      </c>
      <c r="T64" s="12">
        <f t="shared" si="4"/>
        <v>0.24249044238121242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4378520.589103437</v>
      </c>
      <c r="G65" s="1">
        <f>VLOOKUP(A:A,MASTER!A:K,11,0)</f>
        <v>2048502.629354598</v>
      </c>
      <c r="H65" s="12">
        <f t="shared" si="0"/>
        <v>-0.53214731147945626</v>
      </c>
      <c r="I65" s="2">
        <f>VLOOKUP(A:A,MASTER!A:E,5,0)</f>
        <v>205</v>
      </c>
      <c r="J65" s="2">
        <f>VLOOKUP(A:A,MASTER!A:J,10,0)</f>
        <v>246</v>
      </c>
      <c r="K65" s="12">
        <f t="shared" si="1"/>
        <v>0.19999999999999996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1</v>
      </c>
      <c r="P65" s="1">
        <f>VLOOKUP(A:A,MASTER!A:H,8,0)</f>
        <v>0</v>
      </c>
      <c r="Q65" s="12">
        <f t="shared" si="3"/>
        <v>-1</v>
      </c>
      <c r="R65" s="1">
        <f>VLOOKUP(A:A,MASTER!A:B,2,0)</f>
        <v>259</v>
      </c>
      <c r="S65">
        <f>VLOOKUP(A:A,MASTER!A:G,7,0)</f>
        <v>245</v>
      </c>
      <c r="T65" s="12">
        <f t="shared" si="4"/>
        <v>-5.4054054054054057E-2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45352921.739393339</v>
      </c>
      <c r="G66" s="1">
        <f>VLOOKUP(A:A,MASTER!A:K,11,0)</f>
        <v>43209518.753187433</v>
      </c>
      <c r="H66" s="12">
        <f t="shared" si="0"/>
        <v>-4.7260527084061144E-2</v>
      </c>
      <c r="I66" s="2">
        <f>VLOOKUP(A:A,MASTER!A:E,5,0)</f>
        <v>1505</v>
      </c>
      <c r="J66" s="2">
        <f>VLOOKUP(A:A,MASTER!A:J,10,0)</f>
        <v>1620</v>
      </c>
      <c r="K66" s="12">
        <f t="shared" si="1"/>
        <v>7.6411960132890311E-2</v>
      </c>
      <c r="L66" s="2">
        <f>VLOOKUP(A:A,MASTER!A:D,4,0)</f>
        <v>8</v>
      </c>
      <c r="M66" s="2">
        <f>VLOOKUP(A:A,MASTER!A:I,9,0)</f>
        <v>6</v>
      </c>
      <c r="N66" s="12">
        <f t="shared" si="2"/>
        <v>-0.25</v>
      </c>
      <c r="O66" s="1">
        <f>VLOOKUP(A:A,MASTER!A:C,3,0)</f>
        <v>5</v>
      </c>
      <c r="P66" s="1">
        <f>VLOOKUP(A:A,MASTER!A:H,8,0)</f>
        <v>9</v>
      </c>
      <c r="Q66" s="12">
        <f t="shared" si="3"/>
        <v>0.8</v>
      </c>
      <c r="R66" s="1">
        <f>VLOOKUP(A:A,MASTER!A:B,2,0)</f>
        <v>1739</v>
      </c>
      <c r="S66">
        <f>VLOOKUP(A:A,MASTER!A:G,7,0)</f>
        <v>1659</v>
      </c>
      <c r="T66" s="12">
        <f t="shared" si="4"/>
        <v>-4.6003450258769396E-2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18336011.237021081</v>
      </c>
      <c r="G67" s="1">
        <f>VLOOKUP(A:A,MASTER!A:K,11,0)</f>
        <v>20578373.523585159</v>
      </c>
      <c r="H67" s="12">
        <f t="shared" ref="H67:H85" si="5">IFERROR(G67/F67-1,0)</f>
        <v>0.12229280717480506</v>
      </c>
      <c r="I67" s="2">
        <f>VLOOKUP(A:A,MASTER!A:E,5,0)</f>
        <v>714</v>
      </c>
      <c r="J67" s="2">
        <f>VLOOKUP(A:A,MASTER!A:J,10,0)</f>
        <v>591</v>
      </c>
      <c r="K67" s="12">
        <f t="shared" ref="K67:K85" si="6">IFERROR(J67/I67-1,0)</f>
        <v>-0.17226890756302526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2</v>
      </c>
      <c r="P67" s="1">
        <f>VLOOKUP(A:A,MASTER!A:H,8,0)</f>
        <v>3</v>
      </c>
      <c r="Q67" s="12">
        <f t="shared" ref="Q67:Q85" si="8">IFERROR(P67/O67-1,0)</f>
        <v>0.5</v>
      </c>
      <c r="R67" s="1">
        <f>VLOOKUP(A:A,MASTER!A:B,2,0)</f>
        <v>665</v>
      </c>
      <c r="S67">
        <f>VLOOKUP(A:A,MASTER!A:G,7,0)</f>
        <v>740</v>
      </c>
      <c r="T67" s="12">
        <f t="shared" ref="T67:T85" si="9">IFERROR(S67/R67-1,0)</f>
        <v>0.11278195488721798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30336217.121641062</v>
      </c>
      <c r="G68" s="1">
        <f>VLOOKUP(A:A,MASTER!A:K,11,0)</f>
        <v>30139103.683555558</v>
      </c>
      <c r="H68" s="12">
        <f t="shared" si="5"/>
        <v>-6.4976274825278013E-3</v>
      </c>
      <c r="I68" s="2">
        <f>VLOOKUP(A:A,MASTER!A:E,5,0)</f>
        <v>1024</v>
      </c>
      <c r="J68" s="2">
        <f>VLOOKUP(A:A,MASTER!A:J,10,0)</f>
        <v>1057</v>
      </c>
      <c r="K68" s="12">
        <f t="shared" si="6"/>
        <v>3.22265625E-2</v>
      </c>
      <c r="L68" s="2">
        <f>VLOOKUP(A:A,MASTER!A:D,4,0)</f>
        <v>5</v>
      </c>
      <c r="M68" s="2">
        <f>VLOOKUP(A:A,MASTER!A:I,9,0)</f>
        <v>4</v>
      </c>
      <c r="N68" s="12">
        <f t="shared" si="7"/>
        <v>-0.19999999999999996</v>
      </c>
      <c r="O68" s="1">
        <f>VLOOKUP(A:A,MASTER!A:C,3,0)</f>
        <v>22</v>
      </c>
      <c r="P68" s="1">
        <f>VLOOKUP(A:A,MASTER!A:H,8,0)</f>
        <v>22</v>
      </c>
      <c r="Q68" s="12">
        <f t="shared" si="8"/>
        <v>0</v>
      </c>
      <c r="R68" s="1">
        <f>VLOOKUP(A:A,MASTER!A:B,2,0)</f>
        <v>1306</v>
      </c>
      <c r="S68">
        <f>VLOOKUP(A:A,MASTER!A:G,7,0)</f>
        <v>1362</v>
      </c>
      <c r="T68" s="12">
        <f t="shared" si="9"/>
        <v>4.2879019908116378E-2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16618312.391290843</v>
      </c>
      <c r="G69" s="1">
        <f>VLOOKUP(A:A,MASTER!A:K,11,0)</f>
        <v>18957921.415138125</v>
      </c>
      <c r="H69" s="12">
        <f t="shared" si="5"/>
        <v>0.14078499481532192</v>
      </c>
      <c r="I69" s="2">
        <f>VLOOKUP(A:A,MASTER!A:E,5,0)</f>
        <v>1437</v>
      </c>
      <c r="J69" s="2">
        <f>VLOOKUP(A:A,MASTER!A:J,10,0)</f>
        <v>1206</v>
      </c>
      <c r="K69" s="12">
        <f t="shared" si="6"/>
        <v>-0.16075156576200422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7</v>
      </c>
      <c r="P69" s="1">
        <f>VLOOKUP(A:A,MASTER!A:H,8,0)</f>
        <v>5</v>
      </c>
      <c r="Q69" s="12">
        <f t="shared" si="8"/>
        <v>-0.2857142857142857</v>
      </c>
      <c r="R69" s="1">
        <f>VLOOKUP(A:A,MASTER!A:B,2,0)</f>
        <v>1376</v>
      </c>
      <c r="S69">
        <f>VLOOKUP(A:A,MASTER!A:G,7,0)</f>
        <v>1262</v>
      </c>
      <c r="T69" s="12">
        <f t="shared" si="9"/>
        <v>-8.2848837209302362E-2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53443829.91769053</v>
      </c>
      <c r="G70" s="1">
        <f>VLOOKUP(A:A,MASTER!A:K,11,0)</f>
        <v>53768628.46778176</v>
      </c>
      <c r="H70" s="12">
        <f t="shared" si="5"/>
        <v>6.0773816283647975E-3</v>
      </c>
      <c r="I70" s="2">
        <f>VLOOKUP(A:A,MASTER!A:E,5,0)</f>
        <v>1221</v>
      </c>
      <c r="J70" s="2">
        <f>VLOOKUP(A:A,MASTER!A:J,10,0)</f>
        <v>1165</v>
      </c>
      <c r="K70" s="12">
        <f t="shared" si="6"/>
        <v>-4.586404586404591E-2</v>
      </c>
      <c r="L70" s="2">
        <f>VLOOKUP(A:A,MASTER!A:D,4,0)</f>
        <v>5</v>
      </c>
      <c r="M70" s="2">
        <f>VLOOKUP(A:A,MASTER!A:I,9,0)</f>
        <v>4</v>
      </c>
      <c r="N70" s="12">
        <f t="shared" si="7"/>
        <v>-0.19999999999999996</v>
      </c>
      <c r="O70" s="1">
        <f>VLOOKUP(A:A,MASTER!A:C,3,0)</f>
        <v>5</v>
      </c>
      <c r="P70" s="1">
        <f>VLOOKUP(A:A,MASTER!A:H,8,0)</f>
        <v>10</v>
      </c>
      <c r="Q70" s="12">
        <f t="shared" si="8"/>
        <v>1</v>
      </c>
      <c r="R70" s="1">
        <f>VLOOKUP(A:A,MASTER!A:B,2,0)</f>
        <v>1742</v>
      </c>
      <c r="S70">
        <f>VLOOKUP(A:A,MASTER!A:G,7,0)</f>
        <v>1752</v>
      </c>
      <c r="T70" s="12">
        <f t="shared" si="9"/>
        <v>5.7405281285878296E-3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11826471.965840572</v>
      </c>
      <c r="G71" s="1">
        <f>VLOOKUP(A:A,MASTER!A:K,11,0)</f>
        <v>10901511.46614914</v>
      </c>
      <c r="H71" s="12">
        <f t="shared" si="5"/>
        <v>-7.8211025432020298E-2</v>
      </c>
      <c r="I71" s="2">
        <f>VLOOKUP(A:A,MASTER!A:E,5,0)</f>
        <v>481</v>
      </c>
      <c r="J71" s="2">
        <f>VLOOKUP(A:A,MASTER!A:J,10,0)</f>
        <v>432</v>
      </c>
      <c r="K71" s="12">
        <f t="shared" si="6"/>
        <v>-0.10187110187110182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2</v>
      </c>
      <c r="P71" s="1">
        <f>VLOOKUP(A:A,MASTER!A:H,8,0)</f>
        <v>2</v>
      </c>
      <c r="Q71" s="12">
        <f t="shared" si="8"/>
        <v>0</v>
      </c>
      <c r="R71" s="1">
        <f>VLOOKUP(A:A,MASTER!A:B,2,0)</f>
        <v>494</v>
      </c>
      <c r="S71">
        <f>VLOOKUP(A:A,MASTER!A:G,7,0)</f>
        <v>509</v>
      </c>
      <c r="T71" s="12">
        <f t="shared" si="9"/>
        <v>3.0364372469635637E-2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17876676.04137864</v>
      </c>
      <c r="G72" s="1">
        <f>VLOOKUP(A:A,MASTER!A:K,11,0)</f>
        <v>17293360.891407505</v>
      </c>
      <c r="H72" s="12">
        <f t="shared" si="5"/>
        <v>-3.2629955849787229E-2</v>
      </c>
      <c r="I72" s="2">
        <f>VLOOKUP(A:A,MASTER!A:E,5,0)</f>
        <v>802</v>
      </c>
      <c r="J72" s="2">
        <f>VLOOKUP(A:A,MASTER!A:J,10,0)</f>
        <v>1324</v>
      </c>
      <c r="K72" s="12">
        <f t="shared" si="6"/>
        <v>0.6508728179551122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3</v>
      </c>
      <c r="P72" s="1">
        <f>VLOOKUP(A:A,MASTER!A:H,8,0)</f>
        <v>2</v>
      </c>
      <c r="Q72" s="12">
        <f t="shared" si="8"/>
        <v>-0.33333333333333337</v>
      </c>
      <c r="R72" s="1">
        <f>VLOOKUP(A:A,MASTER!A:B,2,0)</f>
        <v>903</v>
      </c>
      <c r="S72">
        <f>VLOOKUP(A:A,MASTER!A:G,7,0)</f>
        <v>881</v>
      </c>
      <c r="T72" s="12">
        <f t="shared" si="9"/>
        <v>-2.4363233665559259E-2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13557893.517239362</v>
      </c>
      <c r="G73" s="1">
        <f>VLOOKUP(A:A,MASTER!A:K,11,0)</f>
        <v>17057156.633488394</v>
      </c>
      <c r="H73" s="12">
        <f t="shared" si="5"/>
        <v>0.25809784623249854</v>
      </c>
      <c r="I73" s="2">
        <f>VLOOKUP(A:A,MASTER!A:E,5,0)</f>
        <v>529</v>
      </c>
      <c r="J73" s="2">
        <f>VLOOKUP(A:A,MASTER!A:J,10,0)</f>
        <v>504</v>
      </c>
      <c r="K73" s="12">
        <f t="shared" si="6"/>
        <v>-4.7258979206049156E-2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1</v>
      </c>
      <c r="P73" s="1">
        <f>VLOOKUP(A:A,MASTER!A:H,8,0)</f>
        <v>0</v>
      </c>
      <c r="Q73" s="12">
        <f t="shared" si="8"/>
        <v>-1</v>
      </c>
      <c r="R73" s="1">
        <f>VLOOKUP(A:A,MASTER!A:B,2,0)</f>
        <v>677</v>
      </c>
      <c r="S73">
        <f>VLOOKUP(A:A,MASTER!A:G,7,0)</f>
        <v>645</v>
      </c>
      <c r="T73" s="12">
        <f t="shared" si="9"/>
        <v>-4.7267355982274717E-2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12063598.275348464</v>
      </c>
      <c r="G74" s="1">
        <f>VLOOKUP(A:A,MASTER!A:K,11,0)</f>
        <v>13402969.79479092</v>
      </c>
      <c r="H74" s="12">
        <f t="shared" si="5"/>
        <v>0.11102587212137305</v>
      </c>
      <c r="I74" s="2">
        <f>VLOOKUP(A:A,MASTER!A:E,5,0)</f>
        <v>672</v>
      </c>
      <c r="J74" s="2">
        <f>VLOOKUP(A:A,MASTER!A:J,10,0)</f>
        <v>700</v>
      </c>
      <c r="K74" s="12">
        <f t="shared" si="6"/>
        <v>4.1666666666666741E-2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601</v>
      </c>
      <c r="S74">
        <f>VLOOKUP(A:A,MASTER!A:G,7,0)</f>
        <v>610</v>
      </c>
      <c r="T74" s="12">
        <f t="shared" si="9"/>
        <v>1.4975041597337757E-2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13708803.873142265</v>
      </c>
      <c r="G75" s="1">
        <f>VLOOKUP(A:A,MASTER!A:K,11,0)</f>
        <v>14530462.249641132</v>
      </c>
      <c r="H75" s="12">
        <f t="shared" si="5"/>
        <v>5.9936547645022875E-2</v>
      </c>
      <c r="I75" s="2">
        <f>VLOOKUP(A:A,MASTER!A:E,5,0)</f>
        <v>403</v>
      </c>
      <c r="J75" s="2">
        <f>VLOOKUP(A:A,MASTER!A:J,10,0)</f>
        <v>405</v>
      </c>
      <c r="K75" s="12">
        <f t="shared" si="6"/>
        <v>4.9627791563275903E-3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5</v>
      </c>
      <c r="P75" s="1">
        <f>VLOOKUP(A:A,MASTER!A:H,8,0)</f>
        <v>1</v>
      </c>
      <c r="Q75" s="12">
        <f t="shared" si="8"/>
        <v>-0.8</v>
      </c>
      <c r="R75" s="1">
        <f>VLOOKUP(A:A,MASTER!A:B,2,0)</f>
        <v>441</v>
      </c>
      <c r="S75">
        <f>VLOOKUP(A:A,MASTER!A:G,7,0)</f>
        <v>446</v>
      </c>
      <c r="T75" s="12">
        <f t="shared" si="9"/>
        <v>1.133786848072571E-2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39546382.337860718</v>
      </c>
      <c r="G76" s="1">
        <f>VLOOKUP(A:A,MASTER!A:K,11,0)</f>
        <v>38541613.188916355</v>
      </c>
      <c r="H76" s="12">
        <f t="shared" si="5"/>
        <v>-2.5407359397889184E-2</v>
      </c>
      <c r="I76" s="2">
        <f>VLOOKUP(A:A,MASTER!A:E,5,0)</f>
        <v>777</v>
      </c>
      <c r="J76" s="2">
        <f>VLOOKUP(A:A,MASTER!A:J,10,0)</f>
        <v>502</v>
      </c>
      <c r="K76" s="12">
        <f t="shared" si="6"/>
        <v>-0.35392535392535396</v>
      </c>
      <c r="L76" s="2">
        <f>VLOOKUP(A:A,MASTER!A:D,4,0)</f>
        <v>4</v>
      </c>
      <c r="M76" s="2">
        <f>VLOOKUP(A:A,MASTER!A:I,9,0)</f>
        <v>3</v>
      </c>
      <c r="N76" s="12">
        <f t="shared" si="7"/>
        <v>-0.25</v>
      </c>
      <c r="O76" s="1">
        <f>VLOOKUP(A:A,MASTER!A:C,3,0)</f>
        <v>7</v>
      </c>
      <c r="P76" s="1">
        <f>VLOOKUP(A:A,MASTER!A:H,8,0)</f>
        <v>5</v>
      </c>
      <c r="Q76" s="12">
        <f t="shared" si="8"/>
        <v>-0.2857142857142857</v>
      </c>
      <c r="R76" s="1">
        <f>VLOOKUP(A:A,MASTER!A:B,2,0)</f>
        <v>965</v>
      </c>
      <c r="S76">
        <f>VLOOKUP(A:A,MASTER!A:G,7,0)</f>
        <v>930</v>
      </c>
      <c r="T76" s="12">
        <f t="shared" si="9"/>
        <v>-3.6269430051813489E-2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23025653.099902775</v>
      </c>
      <c r="G77" s="1">
        <f>VLOOKUP(A:A,MASTER!A:K,11,0)</f>
        <v>22939388.116681613</v>
      </c>
      <c r="H77" s="12">
        <f t="shared" si="5"/>
        <v>-3.7464728078234755E-3</v>
      </c>
      <c r="I77" s="2">
        <f>VLOOKUP(A:A,MASTER!A:E,5,0)</f>
        <v>716</v>
      </c>
      <c r="J77" s="2">
        <f>VLOOKUP(A:A,MASTER!A:J,10,0)</f>
        <v>681</v>
      </c>
      <c r="K77" s="12">
        <f t="shared" si="6"/>
        <v>-4.88826815642458E-2</v>
      </c>
      <c r="L77" s="2">
        <f>VLOOKUP(A:A,MASTER!A:D,4,0)</f>
        <v>9</v>
      </c>
      <c r="M77" s="2">
        <f>VLOOKUP(A:A,MASTER!A:I,9,0)</f>
        <v>10</v>
      </c>
      <c r="N77" s="12">
        <f t="shared" si="7"/>
        <v>0.11111111111111116</v>
      </c>
      <c r="O77" s="1">
        <f>VLOOKUP(A:A,MASTER!A:C,3,0)</f>
        <v>2</v>
      </c>
      <c r="P77" s="1">
        <f>VLOOKUP(A:A,MASTER!A:H,8,0)</f>
        <v>2</v>
      </c>
      <c r="Q77" s="12">
        <f t="shared" si="8"/>
        <v>0</v>
      </c>
      <c r="R77" s="1">
        <f>VLOOKUP(A:A,MASTER!A:B,2,0)</f>
        <v>783</v>
      </c>
      <c r="S77">
        <f>VLOOKUP(A:A,MASTER!A:G,7,0)</f>
        <v>775</v>
      </c>
      <c r="T77" s="12">
        <f t="shared" si="9"/>
        <v>-1.0217113665389577E-2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19193236.094868459</v>
      </c>
      <c r="G78" s="1">
        <f>VLOOKUP(A:A,MASTER!A:K,11,0)</f>
        <v>18892615.754533097</v>
      </c>
      <c r="H78" s="12">
        <f t="shared" si="5"/>
        <v>-1.5662827198574147E-2</v>
      </c>
      <c r="I78" s="2">
        <f>VLOOKUP(A:A,MASTER!A:E,5,0)</f>
        <v>418</v>
      </c>
      <c r="J78" s="2">
        <f>VLOOKUP(A:A,MASTER!A:J,10,0)</f>
        <v>919</v>
      </c>
      <c r="K78" s="12">
        <f t="shared" si="6"/>
        <v>1.1985645933014353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0</v>
      </c>
      <c r="P78" s="1">
        <f>VLOOKUP(A:A,MASTER!A:H,8,0)</f>
        <v>3</v>
      </c>
      <c r="Q78" s="12">
        <f t="shared" si="8"/>
        <v>0</v>
      </c>
      <c r="R78" s="1">
        <f>VLOOKUP(A:A,MASTER!A:B,2,0)</f>
        <v>937</v>
      </c>
      <c r="S78">
        <f>VLOOKUP(A:A,MASTER!A:G,7,0)</f>
        <v>961</v>
      </c>
      <c r="T78" s="12">
        <f t="shared" si="9"/>
        <v>2.5613660618996725E-2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21820331.478659838</v>
      </c>
      <c r="G79" s="1">
        <f>VLOOKUP(A:A,MASTER!A:K,11,0)</f>
        <v>18937194.680255909</v>
      </c>
      <c r="H79" s="12">
        <f t="shared" si="5"/>
        <v>-0.13213075159850896</v>
      </c>
      <c r="I79" s="2">
        <f>VLOOKUP(A:A,MASTER!A:E,5,0)</f>
        <v>817</v>
      </c>
      <c r="J79" s="2">
        <f>VLOOKUP(A:A,MASTER!A:J,10,0)</f>
        <v>859</v>
      </c>
      <c r="K79" s="12">
        <f t="shared" si="6"/>
        <v>5.1407588739290189E-2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5</v>
      </c>
      <c r="P79" s="1">
        <f>VLOOKUP(A:A,MASTER!A:H,8,0)</f>
        <v>2</v>
      </c>
      <c r="Q79" s="12">
        <f t="shared" si="8"/>
        <v>-0.6</v>
      </c>
      <c r="R79" s="1">
        <f>VLOOKUP(A:A,MASTER!A:B,2,0)</f>
        <v>1020</v>
      </c>
      <c r="S79">
        <f>VLOOKUP(A:A,MASTER!A:G,7,0)</f>
        <v>993</v>
      </c>
      <c r="T79" s="12">
        <f t="shared" si="9"/>
        <v>-2.6470588235294135E-2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22969864.224000525</v>
      </c>
      <c r="G80" s="1">
        <f>VLOOKUP(A:A,MASTER!A:K,11,0)</f>
        <v>24869476.140908346</v>
      </c>
      <c r="H80" s="12">
        <f t="shared" si="5"/>
        <v>8.2700180479211349E-2</v>
      </c>
      <c r="I80" s="2">
        <f>VLOOKUP(A:A,MASTER!A:E,5,0)</f>
        <v>652</v>
      </c>
      <c r="J80" s="2">
        <f>VLOOKUP(A:A,MASTER!A:J,10,0)</f>
        <v>791</v>
      </c>
      <c r="K80" s="12">
        <f t="shared" si="6"/>
        <v>0.21319018404907975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5</v>
      </c>
      <c r="P80" s="1">
        <f>VLOOKUP(A:A,MASTER!A:H,8,0)</f>
        <v>2</v>
      </c>
      <c r="Q80" s="12">
        <f t="shared" si="8"/>
        <v>-0.6</v>
      </c>
      <c r="R80" s="1">
        <f>VLOOKUP(A:A,MASTER!A:B,2,0)</f>
        <v>749</v>
      </c>
      <c r="S80">
        <f>VLOOKUP(A:A,MASTER!A:G,7,0)</f>
        <v>757</v>
      </c>
      <c r="T80" s="12">
        <f t="shared" si="9"/>
        <v>1.0680907877169465E-2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10394587.674253045</v>
      </c>
      <c r="G81" s="1">
        <f>VLOOKUP(A:A,MASTER!A:K,11,0)</f>
        <v>11488416.949110754</v>
      </c>
      <c r="H81" s="12">
        <f t="shared" si="5"/>
        <v>0.10523065552345834</v>
      </c>
      <c r="I81" s="2">
        <f>VLOOKUP(A:A,MASTER!A:E,5,0)</f>
        <v>634</v>
      </c>
      <c r="J81" s="2">
        <f>VLOOKUP(A:A,MASTER!A:J,10,0)</f>
        <v>587</v>
      </c>
      <c r="K81" s="12">
        <f t="shared" si="6"/>
        <v>-7.4132492113564652E-2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1</v>
      </c>
      <c r="Q81" s="12">
        <f t="shared" si="8"/>
        <v>-0.5</v>
      </c>
      <c r="R81" s="1">
        <f>VLOOKUP(A:A,MASTER!A:B,2,0)</f>
        <v>564</v>
      </c>
      <c r="S81">
        <f>VLOOKUP(A:A,MASTER!A:G,7,0)</f>
        <v>566</v>
      </c>
      <c r="T81" s="12">
        <f t="shared" si="9"/>
        <v>3.5460992907800915E-3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44349442.066209733</v>
      </c>
      <c r="G82" s="1">
        <f>VLOOKUP(A:A,MASTER!A:K,11,0)</f>
        <v>48331718.355496056</v>
      </c>
      <c r="H82" s="12">
        <f t="shared" si="5"/>
        <v>8.9793154180860757E-2</v>
      </c>
      <c r="I82" s="2">
        <f>VLOOKUP(A:A,MASTER!A:E,5,0)</f>
        <v>1326</v>
      </c>
      <c r="J82" s="2">
        <f>VLOOKUP(A:A,MASTER!A:J,10,0)</f>
        <v>1068</v>
      </c>
      <c r="K82" s="12">
        <f t="shared" si="6"/>
        <v>-0.19457013574660631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9</v>
      </c>
      <c r="P82" s="1">
        <f>VLOOKUP(A:A,MASTER!A:H,8,0)</f>
        <v>2</v>
      </c>
      <c r="Q82" s="12">
        <f t="shared" si="8"/>
        <v>-0.77777777777777779</v>
      </c>
      <c r="R82" s="1">
        <f>VLOOKUP(A:A,MASTER!A:B,2,0)</f>
        <v>1716</v>
      </c>
      <c r="S82">
        <f>VLOOKUP(A:A,MASTER!A:G,7,0)</f>
        <v>1770</v>
      </c>
      <c r="T82" s="12">
        <f t="shared" si="9"/>
        <v>3.1468531468531458E-2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12502707.703434112</v>
      </c>
      <c r="G83" s="1">
        <f>VLOOKUP(A:A,MASTER!A:K,11,0)</f>
        <v>11400986.222267387</v>
      </c>
      <c r="H83" s="12">
        <f t="shared" si="5"/>
        <v>-8.8118630563850942E-2</v>
      </c>
      <c r="I83" s="2">
        <f>VLOOKUP(A:A,MASTER!A:E,5,0)</f>
        <v>722</v>
      </c>
      <c r="J83" s="2">
        <f>VLOOKUP(A:A,MASTER!A:J,10,0)</f>
        <v>606</v>
      </c>
      <c r="K83" s="12">
        <f t="shared" si="6"/>
        <v>-0.16066481994459836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5</v>
      </c>
      <c r="P83" s="1">
        <f>VLOOKUP(A:A,MASTER!A:H,8,0)</f>
        <v>0</v>
      </c>
      <c r="Q83" s="12">
        <f t="shared" si="8"/>
        <v>-1</v>
      </c>
      <c r="R83" s="1">
        <f>VLOOKUP(A:A,MASTER!A:B,2,0)</f>
        <v>634</v>
      </c>
      <c r="S83">
        <f>VLOOKUP(A:A,MASTER!A:G,7,0)</f>
        <v>567</v>
      </c>
      <c r="T83" s="12">
        <f t="shared" si="9"/>
        <v>-0.10567823343848581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21157037.639902744</v>
      </c>
      <c r="G84" s="1">
        <f>VLOOKUP(A:A,MASTER!A:K,11,0)</f>
        <v>21464086.625509623</v>
      </c>
      <c r="H84" s="12">
        <f t="shared" si="5"/>
        <v>1.4512853398142012E-2</v>
      </c>
      <c r="I84" s="2">
        <f>VLOOKUP(A:A,MASTER!A:E,5,0)</f>
        <v>652</v>
      </c>
      <c r="J84" s="2">
        <f>VLOOKUP(A:A,MASTER!A:J,10,0)</f>
        <v>569</v>
      </c>
      <c r="K84" s="12">
        <f t="shared" si="6"/>
        <v>-0.12730061349693256</v>
      </c>
      <c r="L84" s="2">
        <f>VLOOKUP(A:A,MASTER!A:D,4,0)</f>
        <v>7</v>
      </c>
      <c r="M84" s="2">
        <f>VLOOKUP(A:A,MASTER!A:I,9,0)</f>
        <v>7</v>
      </c>
      <c r="N84" s="12">
        <f t="shared" si="7"/>
        <v>0</v>
      </c>
      <c r="O84" s="1">
        <f>VLOOKUP(A:A,MASTER!A:C,3,0)</f>
        <v>11</v>
      </c>
      <c r="P84" s="1">
        <f>VLOOKUP(A:A,MASTER!A:H,8,0)</f>
        <v>4</v>
      </c>
      <c r="Q84" s="12">
        <f t="shared" si="8"/>
        <v>-0.63636363636363635</v>
      </c>
      <c r="R84" s="1">
        <f>VLOOKUP(A:A,MASTER!A:B,2,0)</f>
        <v>629</v>
      </c>
      <c r="S84">
        <f>VLOOKUP(A:A,MASTER!A:G,7,0)</f>
        <v>646</v>
      </c>
      <c r="T84" s="12">
        <f t="shared" si="9"/>
        <v>2.7027027027026973E-2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5927184.8282444756</v>
      </c>
      <c r="G85" s="1">
        <f>VLOOKUP(A:A,MASTER!A:K,11,0)</f>
        <v>5259376.4748856099</v>
      </c>
      <c r="H85" s="12">
        <f t="shared" si="5"/>
        <v>-0.11266872431185149</v>
      </c>
      <c r="I85" s="2">
        <f>VLOOKUP(A:A,MASTER!A:E,5,0)</f>
        <v>314</v>
      </c>
      <c r="J85" s="2">
        <f>VLOOKUP(A:A,MASTER!A:J,10,0)</f>
        <v>296</v>
      </c>
      <c r="K85" s="12">
        <f t="shared" si="6"/>
        <v>-5.7324840764331197E-2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357</v>
      </c>
      <c r="S85">
        <f>VLOOKUP(A:A,MASTER!A:G,7,0)</f>
        <v>353</v>
      </c>
      <c r="T85" s="12">
        <f t="shared" si="9"/>
        <v>-1.1204481792717047E-2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83700</v>
      </c>
      <c r="C3" s="11">
        <f t="shared" si="0"/>
        <v>630</v>
      </c>
      <c r="D3" s="11">
        <f t="shared" si="0"/>
        <v>311</v>
      </c>
      <c r="E3" s="11">
        <f t="shared" si="0"/>
        <v>69775</v>
      </c>
      <c r="F3" s="11">
        <f t="shared" si="0"/>
        <v>2221039906.9815083</v>
      </c>
      <c r="G3" s="11">
        <f t="shared" si="0"/>
        <v>84549</v>
      </c>
      <c r="H3" s="11">
        <f t="shared" si="0"/>
        <v>1076</v>
      </c>
      <c r="I3" s="11">
        <f t="shared" si="0"/>
        <v>318</v>
      </c>
      <c r="J3" s="11">
        <f t="shared" si="0"/>
        <v>69895</v>
      </c>
      <c r="K3" s="11">
        <f t="shared" si="0"/>
        <v>2235483997.8356962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413</v>
      </c>
      <c r="C6" s="10">
        <v>3</v>
      </c>
      <c r="D6" s="10">
        <v>2</v>
      </c>
      <c r="E6" s="10">
        <v>366</v>
      </c>
      <c r="F6" s="10">
        <v>10600029.17885459</v>
      </c>
      <c r="G6" s="10">
        <v>414</v>
      </c>
      <c r="H6" s="10">
        <v>0</v>
      </c>
      <c r="I6" s="10">
        <v>2</v>
      </c>
      <c r="J6" s="10">
        <v>430</v>
      </c>
      <c r="K6" s="10">
        <v>10028253.355198471</v>
      </c>
    </row>
    <row r="7" spans="1:11" x14ac:dyDescent="0.35">
      <c r="A7" s="9" t="s">
        <v>127</v>
      </c>
      <c r="B7" s="10">
        <v>679</v>
      </c>
      <c r="C7" s="10">
        <v>2</v>
      </c>
      <c r="D7" s="10">
        <v>1</v>
      </c>
      <c r="E7" s="10">
        <v>568</v>
      </c>
      <c r="F7" s="10">
        <v>13325051.244588085</v>
      </c>
      <c r="G7" s="10">
        <v>639</v>
      </c>
      <c r="H7" s="10">
        <v>4</v>
      </c>
      <c r="I7" s="10">
        <v>3</v>
      </c>
      <c r="J7" s="10">
        <v>544</v>
      </c>
      <c r="K7" s="10">
        <v>11844501.537288273</v>
      </c>
    </row>
    <row r="8" spans="1:11" x14ac:dyDescent="0.35">
      <c r="A8" s="9" t="s">
        <v>119</v>
      </c>
      <c r="B8" s="10">
        <v>682</v>
      </c>
      <c r="C8" s="10">
        <v>4</v>
      </c>
      <c r="D8" s="10">
        <v>2</v>
      </c>
      <c r="E8" s="10">
        <v>569</v>
      </c>
      <c r="F8" s="10">
        <v>13568687.102148704</v>
      </c>
      <c r="G8" s="10">
        <v>756</v>
      </c>
      <c r="H8" s="10">
        <v>6</v>
      </c>
      <c r="I8" s="10">
        <v>1</v>
      </c>
      <c r="J8" s="10">
        <v>803</v>
      </c>
      <c r="K8" s="10">
        <v>15687996.009139288</v>
      </c>
    </row>
    <row r="9" spans="1:11" x14ac:dyDescent="0.35">
      <c r="A9" s="9" t="s">
        <v>121</v>
      </c>
      <c r="B9" s="10">
        <v>1192</v>
      </c>
      <c r="C9" s="10">
        <v>4</v>
      </c>
      <c r="D9" s="10">
        <v>3</v>
      </c>
      <c r="E9" s="10">
        <v>1188</v>
      </c>
      <c r="F9" s="10">
        <v>24977688.513464183</v>
      </c>
      <c r="G9" s="10">
        <v>1206</v>
      </c>
      <c r="H9" s="10">
        <v>4</v>
      </c>
      <c r="I9" s="10">
        <v>4</v>
      </c>
      <c r="J9" s="10">
        <v>1123</v>
      </c>
      <c r="K9" s="10">
        <v>25629330.071108133</v>
      </c>
    </row>
    <row r="10" spans="1:11" x14ac:dyDescent="0.35">
      <c r="A10" s="9" t="s">
        <v>123</v>
      </c>
      <c r="B10" s="10">
        <v>413</v>
      </c>
      <c r="C10" s="10">
        <v>1</v>
      </c>
      <c r="D10" s="10">
        <v>1</v>
      </c>
      <c r="E10" s="10">
        <v>308</v>
      </c>
      <c r="F10" s="10">
        <v>10213403.496292388</v>
      </c>
      <c r="G10" s="10">
        <v>411</v>
      </c>
      <c r="H10" s="10">
        <v>1</v>
      </c>
      <c r="I10" s="10">
        <v>1</v>
      </c>
      <c r="J10" s="10">
        <v>377</v>
      </c>
      <c r="K10" s="10">
        <v>11564273.043757185</v>
      </c>
    </row>
    <row r="11" spans="1:11" x14ac:dyDescent="0.35">
      <c r="A11" s="9" t="s">
        <v>125</v>
      </c>
      <c r="B11" s="10">
        <v>369</v>
      </c>
      <c r="C11" s="10">
        <v>2</v>
      </c>
      <c r="D11" s="10">
        <v>2</v>
      </c>
      <c r="E11" s="10">
        <v>329</v>
      </c>
      <c r="F11" s="10">
        <v>9311664.9737815727</v>
      </c>
      <c r="G11" s="10">
        <v>381</v>
      </c>
      <c r="H11" s="10">
        <v>3</v>
      </c>
      <c r="I11" s="10">
        <v>2</v>
      </c>
      <c r="J11" s="10">
        <v>280</v>
      </c>
      <c r="K11" s="10">
        <v>9571632.1562437192</v>
      </c>
    </row>
    <row r="12" spans="1:11" x14ac:dyDescent="0.35">
      <c r="A12" s="9" t="s">
        <v>131</v>
      </c>
      <c r="B12" s="10">
        <v>595</v>
      </c>
      <c r="C12" s="10">
        <v>1</v>
      </c>
      <c r="D12" s="10">
        <v>1</v>
      </c>
      <c r="E12" s="10">
        <v>464</v>
      </c>
      <c r="F12" s="10">
        <v>10676512.083891636</v>
      </c>
      <c r="G12" s="10">
        <v>595</v>
      </c>
      <c r="H12" s="10">
        <v>2</v>
      </c>
      <c r="I12" s="10">
        <v>3</v>
      </c>
      <c r="J12" s="10">
        <v>516</v>
      </c>
      <c r="K12" s="10">
        <v>11355109.563810242</v>
      </c>
    </row>
    <row r="13" spans="1:11" x14ac:dyDescent="0.35">
      <c r="A13" s="9" t="s">
        <v>133</v>
      </c>
      <c r="B13" s="10">
        <v>168</v>
      </c>
      <c r="C13" s="10">
        <v>0</v>
      </c>
      <c r="D13" s="10">
        <v>1</v>
      </c>
      <c r="E13" s="10">
        <v>119</v>
      </c>
      <c r="F13" s="10">
        <v>4961594.8237775872</v>
      </c>
      <c r="G13" s="10">
        <v>168</v>
      </c>
      <c r="H13" s="10">
        <v>0</v>
      </c>
      <c r="I13" s="10">
        <v>1</v>
      </c>
      <c r="J13" s="10">
        <v>126</v>
      </c>
      <c r="K13" s="10">
        <v>5041914.6980878524</v>
      </c>
    </row>
    <row r="14" spans="1:11" x14ac:dyDescent="0.35">
      <c r="A14" s="9" t="s">
        <v>141</v>
      </c>
      <c r="B14" s="10">
        <v>200</v>
      </c>
      <c r="C14" s="10">
        <v>1</v>
      </c>
      <c r="D14" s="10">
        <v>0</v>
      </c>
      <c r="E14" s="10">
        <v>153</v>
      </c>
      <c r="F14" s="10">
        <v>4849624.7900021672</v>
      </c>
      <c r="G14" s="10">
        <v>186</v>
      </c>
      <c r="H14" s="10">
        <v>1</v>
      </c>
      <c r="I14" s="10">
        <v>1</v>
      </c>
      <c r="J14" s="10">
        <v>236</v>
      </c>
      <c r="K14" s="10">
        <v>1744525.7676470859</v>
      </c>
    </row>
    <row r="15" spans="1:11" x14ac:dyDescent="0.35">
      <c r="A15" s="9" t="s">
        <v>135</v>
      </c>
      <c r="B15" s="10">
        <v>347</v>
      </c>
      <c r="C15" s="10">
        <v>0</v>
      </c>
      <c r="D15" s="10">
        <v>1</v>
      </c>
      <c r="E15" s="10">
        <v>333</v>
      </c>
      <c r="F15" s="10">
        <v>7595456.617649341</v>
      </c>
      <c r="G15" s="10">
        <v>376</v>
      </c>
      <c r="H15" s="10">
        <v>1</v>
      </c>
      <c r="I15" s="10">
        <v>1</v>
      </c>
      <c r="J15" s="10">
        <v>375</v>
      </c>
      <c r="K15" s="10">
        <v>10045007.129200447</v>
      </c>
    </row>
    <row r="16" spans="1:11" x14ac:dyDescent="0.35">
      <c r="A16" s="9" t="s">
        <v>143</v>
      </c>
      <c r="B16" s="10">
        <v>214</v>
      </c>
      <c r="C16" s="10">
        <v>0</v>
      </c>
      <c r="D16" s="10">
        <v>2</v>
      </c>
      <c r="E16" s="10">
        <v>191</v>
      </c>
      <c r="F16" s="10">
        <v>3597838.8388986508</v>
      </c>
      <c r="G16" s="10">
        <v>218</v>
      </c>
      <c r="H16" s="10">
        <v>0</v>
      </c>
      <c r="I16" s="10">
        <v>2</v>
      </c>
      <c r="J16" s="10">
        <v>289</v>
      </c>
      <c r="K16" s="10">
        <v>4956645.1081354842</v>
      </c>
    </row>
    <row r="17" spans="1:11" x14ac:dyDescent="0.35">
      <c r="A17" s="9" t="s">
        <v>145</v>
      </c>
      <c r="B17" s="10">
        <v>250</v>
      </c>
      <c r="C17" s="10">
        <v>7</v>
      </c>
      <c r="D17" s="10">
        <v>0</v>
      </c>
      <c r="E17" s="10">
        <v>173</v>
      </c>
      <c r="F17" s="10">
        <v>4842985.5262534879</v>
      </c>
      <c r="G17" s="10">
        <v>250</v>
      </c>
      <c r="H17" s="10">
        <v>1</v>
      </c>
      <c r="I17" s="10">
        <v>2</v>
      </c>
      <c r="J17" s="10">
        <v>250</v>
      </c>
      <c r="K17" s="10">
        <v>5379290.5404999712</v>
      </c>
    </row>
    <row r="18" spans="1:11" x14ac:dyDescent="0.35">
      <c r="A18" s="9" t="s">
        <v>20</v>
      </c>
      <c r="B18" s="10">
        <v>1430</v>
      </c>
      <c r="C18" s="10">
        <v>0</v>
      </c>
      <c r="D18" s="10">
        <v>2</v>
      </c>
      <c r="E18" s="10">
        <v>1150</v>
      </c>
      <c r="F18" s="10">
        <v>9663067.6915364582</v>
      </c>
      <c r="G18" s="10">
        <v>1435</v>
      </c>
      <c r="H18" s="10">
        <v>3</v>
      </c>
      <c r="I18" s="10">
        <v>3</v>
      </c>
      <c r="J18" s="10">
        <v>1023</v>
      </c>
      <c r="K18" s="10">
        <v>21389073.525880821</v>
      </c>
    </row>
    <row r="19" spans="1:11" x14ac:dyDescent="0.35">
      <c r="A19" s="9" t="s">
        <v>45</v>
      </c>
      <c r="B19" s="10">
        <v>1284</v>
      </c>
      <c r="C19" s="10">
        <v>0</v>
      </c>
      <c r="D19" s="10">
        <v>2</v>
      </c>
      <c r="E19" s="10">
        <v>880</v>
      </c>
      <c r="F19" s="10">
        <v>35364801.206156261</v>
      </c>
      <c r="G19" s="10">
        <v>1241</v>
      </c>
      <c r="H19" s="10">
        <v>1</v>
      </c>
      <c r="I19" s="10">
        <v>3</v>
      </c>
      <c r="J19" s="10">
        <v>888</v>
      </c>
      <c r="K19" s="10">
        <v>37576961.856111161</v>
      </c>
    </row>
    <row r="20" spans="1:11" x14ac:dyDescent="0.35">
      <c r="A20" s="9" t="s">
        <v>47</v>
      </c>
      <c r="B20" s="10">
        <v>1017</v>
      </c>
      <c r="C20" s="10">
        <v>2</v>
      </c>
      <c r="D20" s="10">
        <v>4</v>
      </c>
      <c r="E20" s="10">
        <v>933</v>
      </c>
      <c r="F20" s="10">
        <v>20529893.129484031</v>
      </c>
      <c r="G20" s="10">
        <v>1028</v>
      </c>
      <c r="H20" s="10">
        <v>3</v>
      </c>
      <c r="I20" s="10">
        <v>5</v>
      </c>
      <c r="J20" s="10">
        <v>1135</v>
      </c>
      <c r="K20" s="10">
        <v>21206747.857916113</v>
      </c>
    </row>
    <row r="21" spans="1:11" x14ac:dyDescent="0.35">
      <c r="A21" s="9" t="s">
        <v>49</v>
      </c>
      <c r="B21" s="10">
        <v>953</v>
      </c>
      <c r="C21" s="10">
        <v>1</v>
      </c>
      <c r="D21" s="10">
        <v>3</v>
      </c>
      <c r="E21" s="10">
        <v>854</v>
      </c>
      <c r="F21" s="10">
        <v>20518785.163835421</v>
      </c>
      <c r="G21" s="10">
        <v>914</v>
      </c>
      <c r="H21" s="10">
        <v>4</v>
      </c>
      <c r="I21" s="10">
        <v>3</v>
      </c>
      <c r="J21" s="10">
        <v>659</v>
      </c>
      <c r="K21" s="10">
        <v>16147770.054623244</v>
      </c>
    </row>
    <row r="22" spans="1:11" x14ac:dyDescent="0.35">
      <c r="A22" s="9" t="s">
        <v>51</v>
      </c>
      <c r="B22" s="10">
        <v>2741</v>
      </c>
      <c r="C22" s="10">
        <v>119</v>
      </c>
      <c r="D22" s="10">
        <v>10</v>
      </c>
      <c r="E22" s="10">
        <v>2113</v>
      </c>
      <c r="F22" s="10">
        <v>70768744.060212836</v>
      </c>
      <c r="G22" s="10">
        <v>2824</v>
      </c>
      <c r="H22" s="10">
        <v>176</v>
      </c>
      <c r="I22" s="10">
        <v>10</v>
      </c>
      <c r="J22" s="10">
        <v>2030</v>
      </c>
      <c r="K22" s="10">
        <v>77632214.60653232</v>
      </c>
    </row>
    <row r="23" spans="1:11" x14ac:dyDescent="0.35">
      <c r="A23" s="9" t="s">
        <v>53</v>
      </c>
      <c r="B23" s="10">
        <v>1449</v>
      </c>
      <c r="C23" s="10">
        <v>0</v>
      </c>
      <c r="D23" s="10">
        <v>2</v>
      </c>
      <c r="E23" s="10">
        <v>1238</v>
      </c>
      <c r="F23" s="10">
        <v>38832237.438178219</v>
      </c>
      <c r="G23" s="10">
        <v>1377</v>
      </c>
      <c r="H23" s="10">
        <v>5</v>
      </c>
      <c r="I23" s="10">
        <v>1</v>
      </c>
      <c r="J23" s="10">
        <v>1147</v>
      </c>
      <c r="K23" s="10">
        <v>20817166.925483521</v>
      </c>
    </row>
    <row r="24" spans="1:11" x14ac:dyDescent="0.35">
      <c r="A24" s="9" t="s">
        <v>55</v>
      </c>
      <c r="B24" s="10">
        <v>3018</v>
      </c>
      <c r="C24" s="10">
        <v>13</v>
      </c>
      <c r="D24" s="10">
        <v>11</v>
      </c>
      <c r="E24" s="10">
        <v>2378</v>
      </c>
      <c r="F24" s="10">
        <v>78073507.036272019</v>
      </c>
      <c r="G24" s="10">
        <v>2957</v>
      </c>
      <c r="H24" s="10">
        <v>16</v>
      </c>
      <c r="I24" s="10">
        <v>10</v>
      </c>
      <c r="J24" s="10">
        <v>2154</v>
      </c>
      <c r="K24" s="10">
        <v>78167301.424380407</v>
      </c>
    </row>
    <row r="25" spans="1:11" x14ac:dyDescent="0.35">
      <c r="A25" s="9" t="s">
        <v>67</v>
      </c>
      <c r="B25" s="10">
        <v>550</v>
      </c>
      <c r="C25" s="10">
        <v>5</v>
      </c>
      <c r="D25" s="10">
        <v>1</v>
      </c>
      <c r="E25" s="10">
        <v>732</v>
      </c>
      <c r="F25" s="10">
        <v>10898300.815067604</v>
      </c>
      <c r="G25" s="10">
        <v>533</v>
      </c>
      <c r="H25" s="10">
        <v>4</v>
      </c>
      <c r="I25" s="10">
        <v>1</v>
      </c>
      <c r="J25" s="10">
        <v>453</v>
      </c>
      <c r="K25" s="10">
        <v>11614733.231166488</v>
      </c>
    </row>
    <row r="26" spans="1:11" x14ac:dyDescent="0.35">
      <c r="A26" s="9" t="s">
        <v>74</v>
      </c>
      <c r="B26" s="10">
        <v>1708</v>
      </c>
      <c r="C26" s="10">
        <v>10</v>
      </c>
      <c r="D26" s="10">
        <v>1</v>
      </c>
      <c r="E26" s="10">
        <v>1289</v>
      </c>
      <c r="F26" s="10">
        <v>30552762.607075132</v>
      </c>
      <c r="G26" s="10">
        <v>1714</v>
      </c>
      <c r="H26" s="10">
        <v>16</v>
      </c>
      <c r="I26" s="10">
        <v>1</v>
      </c>
      <c r="J26" s="10">
        <v>1279</v>
      </c>
      <c r="K26" s="10">
        <v>31893649.023847744</v>
      </c>
    </row>
    <row r="27" spans="1:11" x14ac:dyDescent="0.35">
      <c r="A27" s="9" t="s">
        <v>70</v>
      </c>
      <c r="B27" s="10">
        <v>855</v>
      </c>
      <c r="C27" s="10">
        <v>8</v>
      </c>
      <c r="D27" s="10">
        <v>1</v>
      </c>
      <c r="E27" s="10">
        <v>753</v>
      </c>
      <c r="F27" s="10">
        <v>13458741.548888275</v>
      </c>
      <c r="G27" s="10">
        <v>880</v>
      </c>
      <c r="H27" s="10">
        <v>10</v>
      </c>
      <c r="I27" s="10">
        <v>1</v>
      </c>
      <c r="J27" s="10">
        <v>894</v>
      </c>
      <c r="K27" s="10">
        <v>12988114.50952672</v>
      </c>
    </row>
    <row r="28" spans="1:11" x14ac:dyDescent="0.35">
      <c r="A28" s="9" t="s">
        <v>72</v>
      </c>
      <c r="B28" s="10">
        <v>902</v>
      </c>
      <c r="C28" s="10">
        <v>1</v>
      </c>
      <c r="D28" s="10">
        <v>1</v>
      </c>
      <c r="E28" s="10">
        <v>732</v>
      </c>
      <c r="F28" s="10">
        <v>15117116.893560741</v>
      </c>
      <c r="G28" s="10">
        <v>884</v>
      </c>
      <c r="H28" s="10">
        <v>5</v>
      </c>
      <c r="I28" s="10">
        <v>1</v>
      </c>
      <c r="J28" s="10">
        <v>871</v>
      </c>
      <c r="K28" s="10">
        <v>16143654.376540195</v>
      </c>
    </row>
    <row r="29" spans="1:11" x14ac:dyDescent="0.35">
      <c r="A29" s="9" t="s">
        <v>79</v>
      </c>
      <c r="B29" s="10">
        <v>222</v>
      </c>
      <c r="C29" s="10">
        <v>1</v>
      </c>
      <c r="D29" s="10">
        <v>0</v>
      </c>
      <c r="E29" s="10">
        <v>179</v>
      </c>
      <c r="F29" s="10">
        <v>4374488.2756901234</v>
      </c>
      <c r="G29" s="10">
        <v>224</v>
      </c>
      <c r="H29" s="10">
        <v>1</v>
      </c>
      <c r="I29" s="10">
        <v>2</v>
      </c>
      <c r="J29" s="10">
        <v>178</v>
      </c>
      <c r="K29" s="10">
        <v>3544161.3962469618</v>
      </c>
    </row>
    <row r="30" spans="1:11" x14ac:dyDescent="0.35">
      <c r="A30" s="9" t="s">
        <v>109</v>
      </c>
      <c r="B30" s="10">
        <v>1670</v>
      </c>
      <c r="C30" s="10">
        <v>2</v>
      </c>
      <c r="D30" s="10">
        <v>5</v>
      </c>
      <c r="E30" s="10">
        <v>1360</v>
      </c>
      <c r="F30" s="10">
        <v>34543080.136784635</v>
      </c>
      <c r="G30" s="10">
        <v>1647</v>
      </c>
      <c r="H30" s="10">
        <v>10</v>
      </c>
      <c r="I30" s="10">
        <v>5</v>
      </c>
      <c r="J30" s="10">
        <v>1456</v>
      </c>
      <c r="K30" s="10">
        <v>30361312.978099201</v>
      </c>
    </row>
    <row r="31" spans="1:11" x14ac:dyDescent="0.35">
      <c r="A31" s="9" t="s">
        <v>111</v>
      </c>
      <c r="B31" s="10">
        <v>858</v>
      </c>
      <c r="C31" s="10">
        <v>4</v>
      </c>
      <c r="D31" s="10">
        <v>1</v>
      </c>
      <c r="E31" s="10">
        <v>635</v>
      </c>
      <c r="F31" s="10">
        <v>23829126.881211925</v>
      </c>
      <c r="G31" s="10">
        <v>875</v>
      </c>
      <c r="H31" s="10">
        <v>2</v>
      </c>
      <c r="I31" s="10">
        <v>1</v>
      </c>
      <c r="J31" s="10">
        <v>683</v>
      </c>
      <c r="K31" s="10">
        <v>25123400.694838129</v>
      </c>
    </row>
    <row r="32" spans="1:11" x14ac:dyDescent="0.35">
      <c r="A32" s="9" t="s">
        <v>113</v>
      </c>
      <c r="B32" s="10">
        <v>1131</v>
      </c>
      <c r="C32" s="10">
        <v>2</v>
      </c>
      <c r="D32" s="10">
        <v>1</v>
      </c>
      <c r="E32" s="10">
        <v>683</v>
      </c>
      <c r="F32" s="10">
        <v>25615523.717296895</v>
      </c>
      <c r="G32" s="10">
        <v>1052</v>
      </c>
      <c r="H32" s="10">
        <v>2</v>
      </c>
      <c r="I32" s="10">
        <v>2</v>
      </c>
      <c r="J32" s="10">
        <v>813</v>
      </c>
      <c r="K32" s="10">
        <v>24340756.119797848</v>
      </c>
    </row>
    <row r="33" spans="1:11" x14ac:dyDescent="0.35">
      <c r="A33" s="9" t="s">
        <v>115</v>
      </c>
      <c r="B33" s="10">
        <v>1113</v>
      </c>
      <c r="C33" s="10">
        <v>1</v>
      </c>
      <c r="D33" s="10">
        <v>2</v>
      </c>
      <c r="E33" s="10">
        <v>979</v>
      </c>
      <c r="F33" s="10">
        <v>33440236.344155505</v>
      </c>
      <c r="G33" s="10">
        <v>1124</v>
      </c>
      <c r="H33" s="10">
        <v>3</v>
      </c>
      <c r="I33" s="10">
        <v>2</v>
      </c>
      <c r="J33" s="10">
        <v>865</v>
      </c>
      <c r="K33" s="10">
        <v>33277591.184311975</v>
      </c>
    </row>
    <row r="34" spans="1:11" x14ac:dyDescent="0.35">
      <c r="A34" s="9" t="s">
        <v>16</v>
      </c>
      <c r="B34" s="10">
        <v>1504</v>
      </c>
      <c r="C34" s="10">
        <v>1</v>
      </c>
      <c r="D34" s="10">
        <v>5</v>
      </c>
      <c r="E34" s="10">
        <v>1164</v>
      </c>
      <c r="F34" s="10">
        <v>48824205.713933267</v>
      </c>
      <c r="G34" s="10">
        <v>1453</v>
      </c>
      <c r="H34" s="10">
        <v>4</v>
      </c>
      <c r="I34" s="10">
        <v>4</v>
      </c>
      <c r="J34" s="10">
        <v>1108</v>
      </c>
      <c r="K34" s="10">
        <v>46926675.133656777</v>
      </c>
    </row>
    <row r="35" spans="1:11" x14ac:dyDescent="0.35">
      <c r="A35" s="9" t="s">
        <v>18</v>
      </c>
      <c r="B35" s="10">
        <v>691</v>
      </c>
      <c r="C35" s="10">
        <v>2</v>
      </c>
      <c r="D35" s="10">
        <v>3</v>
      </c>
      <c r="E35" s="10">
        <v>408</v>
      </c>
      <c r="F35" s="10">
        <v>18136491.705534205</v>
      </c>
      <c r="G35" s="10">
        <v>685</v>
      </c>
      <c r="H35" s="10">
        <v>1</v>
      </c>
      <c r="I35" s="10">
        <v>5</v>
      </c>
      <c r="J35" s="10">
        <v>566</v>
      </c>
      <c r="K35" s="10">
        <v>19333862.377965305</v>
      </c>
    </row>
    <row r="36" spans="1:11" x14ac:dyDescent="0.35">
      <c r="A36" s="9" t="s">
        <v>43</v>
      </c>
      <c r="B36" s="10">
        <v>1971</v>
      </c>
      <c r="C36" s="10">
        <v>13</v>
      </c>
      <c r="D36" s="10">
        <v>10</v>
      </c>
      <c r="E36" s="10">
        <v>1905</v>
      </c>
      <c r="F36" s="10">
        <v>57697960.692234173</v>
      </c>
      <c r="G36" s="10">
        <v>1906</v>
      </c>
      <c r="H36" s="10">
        <v>6</v>
      </c>
      <c r="I36" s="10">
        <v>9</v>
      </c>
      <c r="J36" s="10">
        <v>985</v>
      </c>
      <c r="K36" s="10">
        <v>46664841.921978779</v>
      </c>
    </row>
    <row r="37" spans="1:11" x14ac:dyDescent="0.35">
      <c r="A37" s="9" t="s">
        <v>152</v>
      </c>
      <c r="B37" s="10">
        <v>840</v>
      </c>
      <c r="C37" s="10">
        <v>2</v>
      </c>
      <c r="D37" s="10">
        <v>2</v>
      </c>
      <c r="E37" s="10">
        <v>708</v>
      </c>
      <c r="F37" s="10">
        <v>19871805.127006289</v>
      </c>
      <c r="G37" s="10">
        <v>855</v>
      </c>
      <c r="H37" s="10">
        <v>2</v>
      </c>
      <c r="I37" s="10">
        <v>2</v>
      </c>
      <c r="J37" s="10">
        <v>673</v>
      </c>
      <c r="K37" s="10">
        <v>19594455.916085906</v>
      </c>
    </row>
    <row r="38" spans="1:11" x14ac:dyDescent="0.35">
      <c r="A38" s="9" t="s">
        <v>149</v>
      </c>
      <c r="B38" s="10">
        <v>699</v>
      </c>
      <c r="C38" s="10">
        <v>1</v>
      </c>
      <c r="D38" s="10">
        <v>1</v>
      </c>
      <c r="E38" s="10">
        <v>598</v>
      </c>
      <c r="F38" s="10">
        <v>16205189.746109076</v>
      </c>
      <c r="G38" s="10">
        <v>746</v>
      </c>
      <c r="H38" s="10">
        <v>2</v>
      </c>
      <c r="I38" s="10">
        <v>1</v>
      </c>
      <c r="J38" s="10">
        <v>458</v>
      </c>
      <c r="K38" s="10">
        <v>18498161.104133904</v>
      </c>
    </row>
    <row r="39" spans="1:11" x14ac:dyDescent="0.35">
      <c r="A39" s="9" t="s">
        <v>154</v>
      </c>
      <c r="B39" s="10">
        <v>1098</v>
      </c>
      <c r="C39" s="10">
        <v>11</v>
      </c>
      <c r="D39" s="10">
        <v>2</v>
      </c>
      <c r="E39" s="10">
        <v>874</v>
      </c>
      <c r="F39" s="10">
        <v>28717039.311782409</v>
      </c>
      <c r="G39" s="10">
        <v>1158</v>
      </c>
      <c r="H39" s="10">
        <v>15</v>
      </c>
      <c r="I39" s="10">
        <v>1</v>
      </c>
      <c r="J39" s="10">
        <v>837</v>
      </c>
      <c r="K39" s="10">
        <v>27878934.567649979</v>
      </c>
    </row>
    <row r="40" spans="1:11" x14ac:dyDescent="0.35">
      <c r="A40" s="9" t="s">
        <v>2</v>
      </c>
      <c r="B40" s="10">
        <v>1105</v>
      </c>
      <c r="C40" s="10">
        <v>40</v>
      </c>
      <c r="D40" s="10">
        <v>1</v>
      </c>
      <c r="E40" s="10">
        <v>755</v>
      </c>
      <c r="F40" s="10">
        <v>28045446.933988571</v>
      </c>
      <c r="G40" s="10">
        <v>1315</v>
      </c>
      <c r="H40" s="10">
        <v>120</v>
      </c>
      <c r="I40" s="10">
        <v>1</v>
      </c>
      <c r="J40" s="10">
        <v>806</v>
      </c>
      <c r="K40" s="10">
        <v>25972836.316768873</v>
      </c>
    </row>
    <row r="41" spans="1:11" x14ac:dyDescent="0.35">
      <c r="A41" s="9" t="s">
        <v>156</v>
      </c>
      <c r="B41" s="10">
        <v>1791</v>
      </c>
      <c r="C41" s="10">
        <v>50</v>
      </c>
      <c r="D41" s="10">
        <v>4</v>
      </c>
      <c r="E41" s="10">
        <v>1334</v>
      </c>
      <c r="F41" s="10">
        <v>44086773.432414651</v>
      </c>
      <c r="G41" s="10">
        <v>2319</v>
      </c>
      <c r="H41" s="10">
        <v>70</v>
      </c>
      <c r="I41" s="10">
        <v>5</v>
      </c>
      <c r="J41" s="10">
        <v>1627</v>
      </c>
      <c r="K41" s="10">
        <v>47814301.153092101</v>
      </c>
    </row>
    <row r="42" spans="1:11" x14ac:dyDescent="0.35">
      <c r="A42" s="9" t="s">
        <v>14</v>
      </c>
      <c r="B42" s="10">
        <v>623</v>
      </c>
      <c r="C42" s="10">
        <v>2</v>
      </c>
      <c r="D42" s="10">
        <v>5</v>
      </c>
      <c r="E42" s="10">
        <v>38</v>
      </c>
      <c r="F42" s="10">
        <v>17501171.752967127</v>
      </c>
      <c r="G42" s="10">
        <v>624</v>
      </c>
      <c r="H42" s="10">
        <v>1</v>
      </c>
      <c r="I42" s="10">
        <v>6</v>
      </c>
      <c r="J42" s="10">
        <v>485</v>
      </c>
      <c r="K42" s="10">
        <v>17234881.682922155</v>
      </c>
    </row>
    <row r="43" spans="1:11" x14ac:dyDescent="0.35">
      <c r="A43" s="9" t="s">
        <v>8</v>
      </c>
      <c r="B43" s="10">
        <v>2026</v>
      </c>
      <c r="C43" s="10">
        <v>5</v>
      </c>
      <c r="D43" s="10">
        <v>5</v>
      </c>
      <c r="E43" s="10">
        <v>2207</v>
      </c>
      <c r="F43" s="10">
        <v>51906929.79847452</v>
      </c>
      <c r="G43" s="10">
        <v>2060</v>
      </c>
      <c r="H43" s="10">
        <v>3</v>
      </c>
      <c r="I43" s="10">
        <v>6</v>
      </c>
      <c r="J43" s="10">
        <v>1813</v>
      </c>
      <c r="K43" s="10">
        <v>55848173.692558862</v>
      </c>
    </row>
    <row r="44" spans="1:11" x14ac:dyDescent="0.35">
      <c r="A44" s="9" t="s">
        <v>39</v>
      </c>
      <c r="B44" s="10">
        <v>873</v>
      </c>
      <c r="C44" s="10">
        <v>4</v>
      </c>
      <c r="D44" s="10">
        <v>4</v>
      </c>
      <c r="E44" s="10">
        <v>802</v>
      </c>
      <c r="F44" s="10">
        <v>35818386.015351824</v>
      </c>
      <c r="G44" s="10">
        <v>903</v>
      </c>
      <c r="H44" s="10">
        <v>3</v>
      </c>
      <c r="I44" s="10">
        <v>4</v>
      </c>
      <c r="J44" s="10">
        <v>1214</v>
      </c>
      <c r="K44" s="10">
        <v>38783782.459595293</v>
      </c>
    </row>
    <row r="45" spans="1:11" x14ac:dyDescent="0.35">
      <c r="A45" s="9" t="s">
        <v>6</v>
      </c>
      <c r="B45" s="10">
        <v>1145</v>
      </c>
      <c r="C45" s="10">
        <v>2</v>
      </c>
      <c r="D45" s="10">
        <v>3</v>
      </c>
      <c r="E45" s="10">
        <v>939</v>
      </c>
      <c r="F45" s="10">
        <v>30056084.115850814</v>
      </c>
      <c r="G45" s="10">
        <v>1088</v>
      </c>
      <c r="H45" s="10">
        <v>4</v>
      </c>
      <c r="I45" s="10">
        <v>3</v>
      </c>
      <c r="J45" s="10">
        <v>936</v>
      </c>
      <c r="K45" s="10">
        <v>21319527.778955884</v>
      </c>
    </row>
    <row r="46" spans="1:11" x14ac:dyDescent="0.35">
      <c r="A46" s="9" t="s">
        <v>41</v>
      </c>
      <c r="B46" s="10">
        <v>860</v>
      </c>
      <c r="C46" s="10">
        <v>0</v>
      </c>
      <c r="D46" s="10">
        <v>5</v>
      </c>
      <c r="E46" s="10">
        <v>646</v>
      </c>
      <c r="F46" s="10">
        <v>29545546.930951878</v>
      </c>
      <c r="G46" s="10">
        <v>833</v>
      </c>
      <c r="H46" s="10">
        <v>5</v>
      </c>
      <c r="I46" s="10">
        <v>4</v>
      </c>
      <c r="J46" s="10">
        <v>564</v>
      </c>
      <c r="K46" s="10">
        <v>28979341.557539623</v>
      </c>
    </row>
    <row r="47" spans="1:11" x14ac:dyDescent="0.35">
      <c r="A47" s="9" t="s">
        <v>158</v>
      </c>
      <c r="B47" s="10">
        <v>663</v>
      </c>
      <c r="C47" s="10">
        <v>3</v>
      </c>
      <c r="D47" s="10">
        <v>10</v>
      </c>
      <c r="E47" s="10">
        <v>583</v>
      </c>
      <c r="F47" s="10">
        <v>18049660.276563376</v>
      </c>
      <c r="G47" s="10">
        <v>693</v>
      </c>
      <c r="H47" s="10">
        <v>2</v>
      </c>
      <c r="I47" s="10">
        <v>10</v>
      </c>
      <c r="J47" s="10">
        <v>1046</v>
      </c>
      <c r="K47" s="10">
        <v>18792405.690429319</v>
      </c>
    </row>
    <row r="48" spans="1:11" x14ac:dyDescent="0.35">
      <c r="A48" s="9" t="s">
        <v>160</v>
      </c>
      <c r="B48" s="10">
        <v>697</v>
      </c>
      <c r="C48" s="10">
        <v>1</v>
      </c>
      <c r="D48" s="10">
        <v>1</v>
      </c>
      <c r="E48" s="10">
        <v>750</v>
      </c>
      <c r="F48" s="10">
        <v>17220687.382163826</v>
      </c>
      <c r="G48" s="10">
        <v>686</v>
      </c>
      <c r="H48" s="10">
        <v>0</v>
      </c>
      <c r="I48" s="10">
        <v>2</v>
      </c>
      <c r="J48" s="10">
        <v>475</v>
      </c>
      <c r="K48" s="10">
        <v>16321357.881679956</v>
      </c>
    </row>
    <row r="49" spans="1:11" x14ac:dyDescent="0.35">
      <c r="A49" s="9" t="s">
        <v>83</v>
      </c>
      <c r="B49" s="10">
        <v>1295</v>
      </c>
      <c r="C49" s="10">
        <v>8</v>
      </c>
      <c r="D49" s="10">
        <v>6</v>
      </c>
      <c r="E49" s="10">
        <v>1180</v>
      </c>
      <c r="F49" s="10">
        <v>56121265.077946588</v>
      </c>
      <c r="G49" s="10">
        <v>1237</v>
      </c>
      <c r="H49" s="10">
        <v>2</v>
      </c>
      <c r="I49" s="10">
        <v>5</v>
      </c>
      <c r="J49" s="10">
        <v>1074</v>
      </c>
      <c r="K49" s="10">
        <v>50336716.63548696</v>
      </c>
    </row>
    <row r="50" spans="1:11" x14ac:dyDescent="0.35">
      <c r="A50" s="9" t="s">
        <v>202</v>
      </c>
      <c r="B50" s="10">
        <v>432</v>
      </c>
      <c r="C50" s="10">
        <v>2</v>
      </c>
      <c r="D50" s="10">
        <v>2</v>
      </c>
      <c r="E50" s="10">
        <v>450</v>
      </c>
      <c r="F50" s="10">
        <v>10182749.321593467</v>
      </c>
      <c r="G50" s="10">
        <v>440</v>
      </c>
      <c r="H50" s="10">
        <v>1</v>
      </c>
      <c r="I50" s="10">
        <v>1</v>
      </c>
      <c r="J50" s="10">
        <v>429</v>
      </c>
      <c r="K50" s="10">
        <v>8258642.3442348354</v>
      </c>
    </row>
    <row r="51" spans="1:11" x14ac:dyDescent="0.35">
      <c r="A51" s="9" t="s">
        <v>31</v>
      </c>
      <c r="B51" s="10">
        <v>868</v>
      </c>
      <c r="C51" s="10">
        <v>1</v>
      </c>
      <c r="D51" s="10">
        <v>5</v>
      </c>
      <c r="E51" s="10">
        <v>888</v>
      </c>
      <c r="F51" s="10">
        <v>25070780.558970418</v>
      </c>
      <c r="G51" s="10">
        <v>913</v>
      </c>
      <c r="H51" s="10">
        <v>2</v>
      </c>
      <c r="I51" s="10">
        <v>7</v>
      </c>
      <c r="J51" s="10">
        <v>921</v>
      </c>
      <c r="K51" s="10">
        <v>24322654.950506765</v>
      </c>
    </row>
    <row r="52" spans="1:11" x14ac:dyDescent="0.35">
      <c r="A52" s="9" t="s">
        <v>33</v>
      </c>
      <c r="B52" s="10">
        <v>1307</v>
      </c>
      <c r="C52" s="10">
        <v>9</v>
      </c>
      <c r="D52" s="10">
        <v>12</v>
      </c>
      <c r="E52" s="10">
        <v>1015</v>
      </c>
      <c r="F52" s="10">
        <v>36249311.027373917</v>
      </c>
      <c r="G52" s="10">
        <v>1348</v>
      </c>
      <c r="H52" s="10">
        <v>4</v>
      </c>
      <c r="I52" s="10">
        <v>12</v>
      </c>
      <c r="J52" s="10">
        <v>956</v>
      </c>
      <c r="K52" s="10">
        <v>42593266.870044634</v>
      </c>
    </row>
    <row r="53" spans="1:11" x14ac:dyDescent="0.35">
      <c r="A53" s="9" t="s">
        <v>85</v>
      </c>
      <c r="B53" s="10">
        <v>480</v>
      </c>
      <c r="C53" s="10">
        <v>5</v>
      </c>
      <c r="D53" s="10">
        <v>5</v>
      </c>
      <c r="E53" s="10">
        <v>355</v>
      </c>
      <c r="F53" s="10">
        <v>18877382.814397447</v>
      </c>
      <c r="G53" s="10">
        <v>487</v>
      </c>
      <c r="H53" s="10">
        <v>1</v>
      </c>
      <c r="I53" s="10">
        <v>6</v>
      </c>
      <c r="J53" s="10">
        <v>377</v>
      </c>
      <c r="K53" s="10">
        <v>21999896.923067365</v>
      </c>
    </row>
    <row r="54" spans="1:11" x14ac:dyDescent="0.35">
      <c r="A54" s="9" t="s">
        <v>81</v>
      </c>
      <c r="B54" s="10">
        <v>443</v>
      </c>
      <c r="C54" s="10">
        <v>0</v>
      </c>
      <c r="D54" s="10">
        <v>6</v>
      </c>
      <c r="E54" s="10">
        <v>318</v>
      </c>
      <c r="F54" s="10">
        <v>19430174.451933045</v>
      </c>
      <c r="G54" s="10">
        <v>458</v>
      </c>
      <c r="H54" s="10">
        <v>0</v>
      </c>
      <c r="I54" s="10">
        <v>4</v>
      </c>
      <c r="J54" s="10">
        <v>302</v>
      </c>
      <c r="K54" s="10">
        <v>16002679.555755092</v>
      </c>
    </row>
    <row r="55" spans="1:11" x14ac:dyDescent="0.35">
      <c r="A55" s="9" t="s">
        <v>87</v>
      </c>
      <c r="B55" s="10">
        <v>428</v>
      </c>
      <c r="C55" s="10">
        <v>10</v>
      </c>
      <c r="D55" s="10">
        <v>2</v>
      </c>
      <c r="E55" s="10">
        <v>383</v>
      </c>
      <c r="F55" s="10">
        <v>16077907.296333432</v>
      </c>
      <c r="G55" s="10">
        <v>422</v>
      </c>
      <c r="H55" s="10">
        <v>1</v>
      </c>
      <c r="I55" s="10">
        <v>4</v>
      </c>
      <c r="J55" s="10">
        <v>302</v>
      </c>
      <c r="K55" s="10">
        <v>13853359.611095656</v>
      </c>
    </row>
    <row r="56" spans="1:11" x14ac:dyDescent="0.35">
      <c r="A56" s="9" t="s">
        <v>166</v>
      </c>
      <c r="B56" s="10">
        <v>1124</v>
      </c>
      <c r="C56" s="10">
        <v>3</v>
      </c>
      <c r="D56" s="10">
        <v>1</v>
      </c>
      <c r="E56" s="10">
        <v>987</v>
      </c>
      <c r="F56" s="10">
        <v>34631933.852164701</v>
      </c>
      <c r="G56" s="10">
        <v>1104</v>
      </c>
      <c r="H56" s="10">
        <v>5</v>
      </c>
      <c r="I56" s="10">
        <v>0</v>
      </c>
      <c r="J56" s="10">
        <v>872</v>
      </c>
      <c r="K56" s="10">
        <v>32913629.915348537</v>
      </c>
    </row>
    <row r="57" spans="1:11" x14ac:dyDescent="0.35">
      <c r="A57" s="9" t="s">
        <v>93</v>
      </c>
      <c r="B57" s="10">
        <v>944</v>
      </c>
      <c r="C57" s="10">
        <v>10</v>
      </c>
      <c r="D57" s="10">
        <v>3</v>
      </c>
      <c r="E57" s="10">
        <v>930</v>
      </c>
      <c r="F57" s="10">
        <v>36634153.112307087</v>
      </c>
      <c r="G57" s="10">
        <v>1002</v>
      </c>
      <c r="H57" s="10">
        <v>7</v>
      </c>
      <c r="I57" s="10">
        <v>1</v>
      </c>
      <c r="J57" s="10">
        <v>1002</v>
      </c>
      <c r="K57" s="10">
        <v>32757032.238542307</v>
      </c>
    </row>
    <row r="58" spans="1:11" x14ac:dyDescent="0.35">
      <c r="A58" s="9" t="s">
        <v>95</v>
      </c>
      <c r="B58" s="10">
        <v>2196</v>
      </c>
      <c r="C58" s="10">
        <v>35</v>
      </c>
      <c r="D58" s="10">
        <v>7</v>
      </c>
      <c r="E58" s="10">
        <v>1566</v>
      </c>
      <c r="F58" s="10">
        <v>49012795.183127128</v>
      </c>
      <c r="G58" s="10">
        <v>2048</v>
      </c>
      <c r="H58" s="10">
        <v>8</v>
      </c>
      <c r="I58" s="10">
        <v>8</v>
      </c>
      <c r="J58" s="10">
        <v>1601</v>
      </c>
      <c r="K58" s="10">
        <v>61098674.970430002</v>
      </c>
    </row>
    <row r="59" spans="1:11" x14ac:dyDescent="0.35">
      <c r="A59" s="9" t="s">
        <v>174</v>
      </c>
      <c r="B59" s="10">
        <v>685</v>
      </c>
      <c r="C59" s="10">
        <v>3</v>
      </c>
      <c r="D59" s="10">
        <v>0</v>
      </c>
      <c r="E59" s="10">
        <v>556</v>
      </c>
      <c r="F59" s="10">
        <v>16802002.123263378</v>
      </c>
      <c r="G59" s="10">
        <v>676</v>
      </c>
      <c r="H59" s="10">
        <v>4</v>
      </c>
      <c r="I59" s="10">
        <v>0</v>
      </c>
      <c r="J59" s="10">
        <v>447</v>
      </c>
      <c r="K59" s="10">
        <v>15233052.180801317</v>
      </c>
    </row>
    <row r="60" spans="1:11" x14ac:dyDescent="0.35">
      <c r="A60" s="9" t="s">
        <v>99</v>
      </c>
      <c r="B60" s="10">
        <v>885</v>
      </c>
      <c r="C60" s="10">
        <v>5</v>
      </c>
      <c r="D60" s="10">
        <v>5</v>
      </c>
      <c r="E60" s="10">
        <v>650</v>
      </c>
      <c r="F60" s="10">
        <v>25317769.097523954</v>
      </c>
      <c r="G60" s="10">
        <v>868</v>
      </c>
      <c r="H60" s="10">
        <v>6</v>
      </c>
      <c r="I60" s="10">
        <v>5</v>
      </c>
      <c r="J60" s="10">
        <v>715</v>
      </c>
      <c r="K60" s="10">
        <v>26561551.871163208</v>
      </c>
    </row>
    <row r="61" spans="1:11" x14ac:dyDescent="0.35">
      <c r="A61" s="9" t="s">
        <v>172</v>
      </c>
      <c r="B61" s="10">
        <v>788</v>
      </c>
      <c r="C61" s="10">
        <v>2</v>
      </c>
      <c r="D61" s="10">
        <v>1</v>
      </c>
      <c r="E61" s="10">
        <v>609</v>
      </c>
      <c r="F61" s="10">
        <v>20332674.780575395</v>
      </c>
      <c r="G61" s="10">
        <v>753</v>
      </c>
      <c r="H61" s="10">
        <v>4</v>
      </c>
      <c r="I61" s="10">
        <v>1</v>
      </c>
      <c r="J61" s="10">
        <v>740</v>
      </c>
      <c r="K61" s="10">
        <v>16875594.073253468</v>
      </c>
    </row>
    <row r="62" spans="1:11" x14ac:dyDescent="0.35">
      <c r="A62" s="9" t="s">
        <v>168</v>
      </c>
      <c r="B62" s="10">
        <v>1089</v>
      </c>
      <c r="C62" s="10">
        <v>7</v>
      </c>
      <c r="D62" s="10">
        <v>1</v>
      </c>
      <c r="E62" s="10">
        <v>1043</v>
      </c>
      <c r="F62" s="10">
        <v>34530254.150361381</v>
      </c>
      <c r="G62" s="10">
        <v>1112</v>
      </c>
      <c r="H62" s="10">
        <v>6</v>
      </c>
      <c r="I62" s="10">
        <v>0</v>
      </c>
      <c r="J62" s="10">
        <v>869</v>
      </c>
      <c r="K62" s="10">
        <v>34330986.777931541</v>
      </c>
    </row>
    <row r="63" spans="1:11" x14ac:dyDescent="0.35">
      <c r="A63" s="9" t="s">
        <v>101</v>
      </c>
      <c r="B63" s="10">
        <v>1362</v>
      </c>
      <c r="C63" s="10">
        <v>9</v>
      </c>
      <c r="D63" s="10">
        <v>4</v>
      </c>
      <c r="E63" s="10">
        <v>1437</v>
      </c>
      <c r="F63" s="10">
        <v>43893016.899277039</v>
      </c>
      <c r="G63" s="10">
        <v>1478</v>
      </c>
      <c r="H63" s="10">
        <v>5</v>
      </c>
      <c r="I63" s="10">
        <v>4</v>
      </c>
      <c r="J63" s="10">
        <v>1339</v>
      </c>
      <c r="K63" s="10">
        <v>43409662.357671969</v>
      </c>
    </row>
    <row r="64" spans="1:11" x14ac:dyDescent="0.35">
      <c r="A64" s="9" t="s">
        <v>103</v>
      </c>
      <c r="B64" s="10">
        <v>779</v>
      </c>
      <c r="C64" s="10">
        <v>4</v>
      </c>
      <c r="D64" s="10">
        <v>5</v>
      </c>
      <c r="E64" s="10">
        <v>702</v>
      </c>
      <c r="F64" s="10">
        <v>22329910.806698915</v>
      </c>
      <c r="G64" s="10">
        <v>769</v>
      </c>
      <c r="H64" s="10">
        <v>2</v>
      </c>
      <c r="I64" s="10">
        <v>4</v>
      </c>
      <c r="J64" s="10">
        <v>693</v>
      </c>
      <c r="K64" s="10">
        <v>23201281.738800615</v>
      </c>
    </row>
    <row r="65" spans="1:11" x14ac:dyDescent="0.35">
      <c r="A65" s="9" t="s">
        <v>105</v>
      </c>
      <c r="B65" s="10">
        <v>693</v>
      </c>
      <c r="C65" s="10">
        <v>4</v>
      </c>
      <c r="D65" s="10">
        <v>5</v>
      </c>
      <c r="E65" s="10">
        <v>466</v>
      </c>
      <c r="F65" s="10">
        <v>25864409.160511479</v>
      </c>
      <c r="G65" s="10">
        <v>638</v>
      </c>
      <c r="H65" s="10">
        <v>7</v>
      </c>
      <c r="I65" s="10">
        <v>5</v>
      </c>
      <c r="J65" s="10">
        <v>468</v>
      </c>
      <c r="K65" s="10">
        <v>25848326.485295001</v>
      </c>
    </row>
    <row r="66" spans="1:11" x14ac:dyDescent="0.35">
      <c r="A66" s="9" t="s">
        <v>24</v>
      </c>
      <c r="B66" s="10">
        <v>2028</v>
      </c>
      <c r="C66" s="10">
        <v>11</v>
      </c>
      <c r="D66" s="10">
        <v>9</v>
      </c>
      <c r="E66" s="10">
        <v>1642</v>
      </c>
      <c r="F66" s="10">
        <v>66090588.086731672</v>
      </c>
      <c r="G66" s="10">
        <v>1983</v>
      </c>
      <c r="H66" s="10">
        <v>11</v>
      </c>
      <c r="I66" s="10">
        <v>11</v>
      </c>
      <c r="J66" s="10">
        <v>1969</v>
      </c>
      <c r="K66" s="10">
        <v>83965424.239891231</v>
      </c>
    </row>
    <row r="67" spans="1:11" x14ac:dyDescent="0.35">
      <c r="A67" s="9" t="s">
        <v>27</v>
      </c>
      <c r="B67" s="10">
        <v>1614</v>
      </c>
      <c r="C67" s="10">
        <v>17</v>
      </c>
      <c r="D67" s="10">
        <v>8</v>
      </c>
      <c r="E67" s="10">
        <v>1197</v>
      </c>
      <c r="F67" s="10">
        <v>62841028.586884134</v>
      </c>
      <c r="G67" s="10">
        <v>1583</v>
      </c>
      <c r="H67" s="10">
        <v>16</v>
      </c>
      <c r="I67" s="10">
        <v>6</v>
      </c>
      <c r="J67" s="10">
        <v>1096</v>
      </c>
      <c r="K67" s="10">
        <v>62126278.515833758</v>
      </c>
    </row>
    <row r="68" spans="1:11" x14ac:dyDescent="0.35">
      <c r="A68" s="9" t="s">
        <v>29</v>
      </c>
      <c r="B68" s="10">
        <v>863</v>
      </c>
      <c r="C68" s="10">
        <v>2</v>
      </c>
      <c r="D68" s="10">
        <v>1</v>
      </c>
      <c r="E68" s="10">
        <v>740</v>
      </c>
      <c r="F68" s="10">
        <v>39412261.823200494</v>
      </c>
      <c r="G68" s="10">
        <v>893</v>
      </c>
      <c r="H68" s="10">
        <v>6</v>
      </c>
      <c r="I68" s="10">
        <v>1</v>
      </c>
      <c r="J68" s="10">
        <v>720</v>
      </c>
      <c r="K68" s="10">
        <v>40280606.360153332</v>
      </c>
    </row>
    <row r="69" spans="1:11" x14ac:dyDescent="0.35">
      <c r="A69" s="9" t="s">
        <v>57</v>
      </c>
      <c r="B69" s="10">
        <v>1831</v>
      </c>
      <c r="C69" s="10">
        <v>46</v>
      </c>
      <c r="D69" s="10">
        <v>13</v>
      </c>
      <c r="E69" s="10">
        <v>1280</v>
      </c>
      <c r="F69" s="10">
        <v>57167525.883572713</v>
      </c>
      <c r="G69" s="10">
        <v>2275</v>
      </c>
      <c r="H69" s="10">
        <v>373</v>
      </c>
      <c r="I69" s="10">
        <v>12</v>
      </c>
      <c r="J69" s="10">
        <v>1405</v>
      </c>
      <c r="K69" s="10">
        <v>60465669.223312296</v>
      </c>
    </row>
    <row r="70" spans="1:11" x14ac:dyDescent="0.35">
      <c r="A70" s="9" t="s">
        <v>137</v>
      </c>
      <c r="B70" s="10">
        <v>259</v>
      </c>
      <c r="C70" s="10">
        <v>1</v>
      </c>
      <c r="D70" s="10">
        <v>1</v>
      </c>
      <c r="E70" s="10">
        <v>205</v>
      </c>
      <c r="F70" s="10">
        <v>4378520.589103437</v>
      </c>
      <c r="G70" s="10">
        <v>245</v>
      </c>
      <c r="H70" s="10">
        <v>0</v>
      </c>
      <c r="I70" s="10">
        <v>1</v>
      </c>
      <c r="J70" s="10">
        <v>246</v>
      </c>
      <c r="K70" s="10">
        <v>2048502.629354598</v>
      </c>
    </row>
    <row r="71" spans="1:11" x14ac:dyDescent="0.35">
      <c r="A71" s="9" t="s">
        <v>10</v>
      </c>
      <c r="B71" s="10">
        <v>1739</v>
      </c>
      <c r="C71" s="10">
        <v>5</v>
      </c>
      <c r="D71" s="10">
        <v>8</v>
      </c>
      <c r="E71" s="10">
        <v>1505</v>
      </c>
      <c r="F71" s="10">
        <v>45352921.739393339</v>
      </c>
      <c r="G71" s="10">
        <v>1659</v>
      </c>
      <c r="H71" s="10">
        <v>9</v>
      </c>
      <c r="I71" s="10">
        <v>6</v>
      </c>
      <c r="J71" s="10">
        <v>1620</v>
      </c>
      <c r="K71" s="10">
        <v>43209518.753187433</v>
      </c>
    </row>
    <row r="72" spans="1:11" x14ac:dyDescent="0.35">
      <c r="A72" s="9" t="s">
        <v>12</v>
      </c>
      <c r="B72" s="10">
        <v>665</v>
      </c>
      <c r="C72" s="10">
        <v>2</v>
      </c>
      <c r="D72" s="10">
        <v>2</v>
      </c>
      <c r="E72" s="10">
        <v>714</v>
      </c>
      <c r="F72" s="10">
        <v>18336011.237021081</v>
      </c>
      <c r="G72" s="10">
        <v>740</v>
      </c>
      <c r="H72" s="10">
        <v>3</v>
      </c>
      <c r="I72" s="10">
        <v>3</v>
      </c>
      <c r="J72" s="10">
        <v>591</v>
      </c>
      <c r="K72" s="10">
        <v>20578373.523585159</v>
      </c>
    </row>
    <row r="73" spans="1:11" x14ac:dyDescent="0.35">
      <c r="A73" s="9" t="s">
        <v>162</v>
      </c>
      <c r="B73" s="10">
        <v>1306</v>
      </c>
      <c r="C73" s="10">
        <v>22</v>
      </c>
      <c r="D73" s="10">
        <v>5</v>
      </c>
      <c r="E73" s="10">
        <v>1024</v>
      </c>
      <c r="F73" s="10">
        <v>30336217.121641062</v>
      </c>
      <c r="G73" s="10">
        <v>1362</v>
      </c>
      <c r="H73" s="10">
        <v>22</v>
      </c>
      <c r="I73" s="10">
        <v>4</v>
      </c>
      <c r="J73" s="10">
        <v>1057</v>
      </c>
      <c r="K73" s="10">
        <v>30139103.683555558</v>
      </c>
    </row>
    <row r="74" spans="1:11" x14ac:dyDescent="0.35">
      <c r="A74" s="9" t="s">
        <v>63</v>
      </c>
      <c r="B74" s="10">
        <v>1376</v>
      </c>
      <c r="C74" s="10">
        <v>7</v>
      </c>
      <c r="D74" s="10">
        <v>5</v>
      </c>
      <c r="E74" s="10">
        <v>1437</v>
      </c>
      <c r="F74" s="10">
        <v>16618312.391290843</v>
      </c>
      <c r="G74" s="10">
        <v>1262</v>
      </c>
      <c r="H74" s="10">
        <v>5</v>
      </c>
      <c r="I74" s="10">
        <v>5</v>
      </c>
      <c r="J74" s="10">
        <v>1206</v>
      </c>
      <c r="K74" s="10">
        <v>18957921.415138125</v>
      </c>
    </row>
    <row r="75" spans="1:11" x14ac:dyDescent="0.35">
      <c r="A75" s="9" t="s">
        <v>59</v>
      </c>
      <c r="B75" s="10">
        <v>1742</v>
      </c>
      <c r="C75" s="10">
        <v>5</v>
      </c>
      <c r="D75" s="10">
        <v>5</v>
      </c>
      <c r="E75" s="10">
        <v>1221</v>
      </c>
      <c r="F75" s="10">
        <v>53443829.91769053</v>
      </c>
      <c r="G75" s="10">
        <v>1752</v>
      </c>
      <c r="H75" s="10">
        <v>10</v>
      </c>
      <c r="I75" s="10">
        <v>4</v>
      </c>
      <c r="J75" s="10">
        <v>1165</v>
      </c>
      <c r="K75" s="10">
        <v>53768628.46778176</v>
      </c>
    </row>
    <row r="76" spans="1:11" x14ac:dyDescent="0.35">
      <c r="A76" s="9" t="s">
        <v>139</v>
      </c>
      <c r="B76" s="10">
        <v>494</v>
      </c>
      <c r="C76" s="10">
        <v>2</v>
      </c>
      <c r="D76" s="10">
        <v>2</v>
      </c>
      <c r="E76" s="10">
        <v>481</v>
      </c>
      <c r="F76" s="10">
        <v>11826471.965840572</v>
      </c>
      <c r="G76" s="10">
        <v>509</v>
      </c>
      <c r="H76" s="10">
        <v>2</v>
      </c>
      <c r="I76" s="10">
        <v>1</v>
      </c>
      <c r="J76" s="10">
        <v>432</v>
      </c>
      <c r="K76" s="10">
        <v>10901511.46614914</v>
      </c>
    </row>
    <row r="77" spans="1:11" x14ac:dyDescent="0.35">
      <c r="A77" s="9" t="s">
        <v>170</v>
      </c>
      <c r="B77" s="10">
        <v>903</v>
      </c>
      <c r="C77" s="10">
        <v>3</v>
      </c>
      <c r="D77" s="10">
        <v>1</v>
      </c>
      <c r="E77" s="10">
        <v>802</v>
      </c>
      <c r="F77" s="10">
        <v>17876676.04137864</v>
      </c>
      <c r="G77" s="10">
        <v>881</v>
      </c>
      <c r="H77" s="10">
        <v>2</v>
      </c>
      <c r="I77" s="10">
        <v>1</v>
      </c>
      <c r="J77" s="10">
        <v>1324</v>
      </c>
      <c r="K77" s="10">
        <v>17293360.891407505</v>
      </c>
    </row>
    <row r="78" spans="1:11" x14ac:dyDescent="0.35">
      <c r="A78" s="9" t="s">
        <v>61</v>
      </c>
      <c r="B78" s="10">
        <v>677</v>
      </c>
      <c r="C78" s="10">
        <v>1</v>
      </c>
      <c r="D78" s="10">
        <v>4</v>
      </c>
      <c r="E78" s="10">
        <v>529</v>
      </c>
      <c r="F78" s="10">
        <v>13557893.517239362</v>
      </c>
      <c r="G78" s="10">
        <v>645</v>
      </c>
      <c r="H78" s="10">
        <v>0</v>
      </c>
      <c r="I78" s="10">
        <v>3</v>
      </c>
      <c r="J78" s="10">
        <v>504</v>
      </c>
      <c r="K78" s="10">
        <v>17057156.633488394</v>
      </c>
    </row>
    <row r="79" spans="1:11" x14ac:dyDescent="0.35">
      <c r="A79" s="9" t="s">
        <v>129</v>
      </c>
      <c r="B79" s="10">
        <v>601</v>
      </c>
      <c r="C79" s="10">
        <v>5</v>
      </c>
      <c r="D79" s="10">
        <v>1</v>
      </c>
      <c r="E79" s="10">
        <v>672</v>
      </c>
      <c r="F79" s="10">
        <v>12063598.275348464</v>
      </c>
      <c r="G79" s="10">
        <v>610</v>
      </c>
      <c r="H79" s="10">
        <v>6</v>
      </c>
      <c r="I79" s="10">
        <v>1</v>
      </c>
      <c r="J79" s="10">
        <v>700</v>
      </c>
      <c r="K79" s="10">
        <v>13402969.79479092</v>
      </c>
    </row>
    <row r="80" spans="1:11" x14ac:dyDescent="0.35">
      <c r="A80" s="9" t="s">
        <v>35</v>
      </c>
      <c r="B80" s="10">
        <v>441</v>
      </c>
      <c r="C80" s="10">
        <v>5</v>
      </c>
      <c r="D80" s="10">
        <v>6</v>
      </c>
      <c r="E80" s="10">
        <v>403</v>
      </c>
      <c r="F80" s="10">
        <v>13708803.873142265</v>
      </c>
      <c r="G80" s="10">
        <v>446</v>
      </c>
      <c r="H80" s="10">
        <v>1</v>
      </c>
      <c r="I80" s="10">
        <v>7</v>
      </c>
      <c r="J80" s="10">
        <v>405</v>
      </c>
      <c r="K80" s="10">
        <v>14530462.249641132</v>
      </c>
    </row>
    <row r="81" spans="1:11" x14ac:dyDescent="0.35">
      <c r="A81" s="9" t="s">
        <v>107</v>
      </c>
      <c r="B81" s="10">
        <v>965</v>
      </c>
      <c r="C81" s="10">
        <v>7</v>
      </c>
      <c r="D81" s="10">
        <v>4</v>
      </c>
      <c r="E81" s="10">
        <v>777</v>
      </c>
      <c r="F81" s="10">
        <v>39546382.337860718</v>
      </c>
      <c r="G81" s="10">
        <v>930</v>
      </c>
      <c r="H81" s="10">
        <v>5</v>
      </c>
      <c r="I81" s="10">
        <v>3</v>
      </c>
      <c r="J81" s="10">
        <v>502</v>
      </c>
      <c r="K81" s="10">
        <v>38541613.188916355</v>
      </c>
    </row>
    <row r="82" spans="1:11" x14ac:dyDescent="0.35">
      <c r="A82" s="9" t="s">
        <v>37</v>
      </c>
      <c r="B82" s="10">
        <v>783</v>
      </c>
      <c r="C82" s="10">
        <v>2</v>
      </c>
      <c r="D82" s="10">
        <v>9</v>
      </c>
      <c r="E82" s="10">
        <v>716</v>
      </c>
      <c r="F82" s="10">
        <v>23025653.099902775</v>
      </c>
      <c r="G82" s="10">
        <v>775</v>
      </c>
      <c r="H82" s="10">
        <v>2</v>
      </c>
      <c r="I82" s="10">
        <v>10</v>
      </c>
      <c r="J82" s="10">
        <v>681</v>
      </c>
      <c r="K82" s="10">
        <v>22939388.116681613</v>
      </c>
    </row>
    <row r="83" spans="1:11" x14ac:dyDescent="0.35">
      <c r="A83" s="9" t="s">
        <v>76</v>
      </c>
      <c r="B83" s="10">
        <v>937</v>
      </c>
      <c r="C83" s="10">
        <v>0</v>
      </c>
      <c r="D83" s="10">
        <v>2</v>
      </c>
      <c r="E83" s="10">
        <v>418</v>
      </c>
      <c r="F83" s="10">
        <v>19193236.094868459</v>
      </c>
      <c r="G83" s="10">
        <v>961</v>
      </c>
      <c r="H83" s="10">
        <v>3</v>
      </c>
      <c r="I83" s="10">
        <v>2</v>
      </c>
      <c r="J83" s="10">
        <v>919</v>
      </c>
      <c r="K83" s="10">
        <v>18892615.754533097</v>
      </c>
    </row>
    <row r="84" spans="1:11" x14ac:dyDescent="0.35">
      <c r="A84" s="9" t="s">
        <v>65</v>
      </c>
      <c r="B84" s="10">
        <v>1020</v>
      </c>
      <c r="C84" s="10">
        <v>5</v>
      </c>
      <c r="D84" s="10">
        <v>4</v>
      </c>
      <c r="E84" s="10">
        <v>817</v>
      </c>
      <c r="F84" s="10">
        <v>21820331.478659838</v>
      </c>
      <c r="G84" s="10">
        <v>993</v>
      </c>
      <c r="H84" s="10">
        <v>2</v>
      </c>
      <c r="I84" s="10">
        <v>5</v>
      </c>
      <c r="J84" s="10">
        <v>859</v>
      </c>
      <c r="K84" s="10">
        <v>18937194.680255909</v>
      </c>
    </row>
    <row r="85" spans="1:11" x14ac:dyDescent="0.35">
      <c r="A85" s="9" t="s">
        <v>89</v>
      </c>
      <c r="B85" s="10">
        <v>749</v>
      </c>
      <c r="C85" s="10">
        <v>5</v>
      </c>
      <c r="D85" s="10">
        <v>5</v>
      </c>
      <c r="E85" s="10">
        <v>652</v>
      </c>
      <c r="F85" s="10">
        <v>22969864.224000525</v>
      </c>
      <c r="G85" s="10">
        <v>757</v>
      </c>
      <c r="H85" s="10">
        <v>2</v>
      </c>
      <c r="I85" s="10">
        <v>6</v>
      </c>
      <c r="J85" s="10">
        <v>791</v>
      </c>
      <c r="K85" s="10">
        <v>24869476.140908346</v>
      </c>
    </row>
    <row r="86" spans="1:11" x14ac:dyDescent="0.35">
      <c r="A86" s="9" t="s">
        <v>147</v>
      </c>
      <c r="B86" s="10">
        <v>564</v>
      </c>
      <c r="C86" s="10">
        <v>2</v>
      </c>
      <c r="D86" s="10">
        <v>1</v>
      </c>
      <c r="E86" s="10">
        <v>634</v>
      </c>
      <c r="F86" s="10">
        <v>10394587.674253045</v>
      </c>
      <c r="G86" s="10">
        <v>566</v>
      </c>
      <c r="H86" s="10">
        <v>1</v>
      </c>
      <c r="I86" s="10">
        <v>1</v>
      </c>
      <c r="J86" s="10">
        <v>587</v>
      </c>
      <c r="K86" s="10">
        <v>11488416.949110754</v>
      </c>
    </row>
    <row r="87" spans="1:11" x14ac:dyDescent="0.35">
      <c r="A87" s="9" t="s">
        <v>164</v>
      </c>
      <c r="B87" s="10">
        <v>1716</v>
      </c>
      <c r="C87" s="10">
        <v>9</v>
      </c>
      <c r="D87" s="10">
        <v>10</v>
      </c>
      <c r="E87" s="10">
        <v>1326</v>
      </c>
      <c r="F87" s="10">
        <v>44349442.066209733</v>
      </c>
      <c r="G87" s="10">
        <v>1770</v>
      </c>
      <c r="H87" s="10">
        <v>2</v>
      </c>
      <c r="I87" s="10">
        <v>10</v>
      </c>
      <c r="J87" s="10">
        <v>1068</v>
      </c>
      <c r="K87" s="10">
        <v>48331718.355496056</v>
      </c>
    </row>
    <row r="88" spans="1:11" x14ac:dyDescent="0.35">
      <c r="A88" s="9" t="s">
        <v>91</v>
      </c>
      <c r="B88" s="10">
        <v>634</v>
      </c>
      <c r="C88" s="10">
        <v>5</v>
      </c>
      <c r="D88" s="10">
        <v>3</v>
      </c>
      <c r="E88" s="10">
        <v>722</v>
      </c>
      <c r="F88" s="10">
        <v>12502707.703434112</v>
      </c>
      <c r="G88" s="10">
        <v>567</v>
      </c>
      <c r="H88" s="10">
        <v>0</v>
      </c>
      <c r="I88" s="10">
        <v>3</v>
      </c>
      <c r="J88" s="10">
        <v>606</v>
      </c>
      <c r="K88" s="10">
        <v>11400986.222267387</v>
      </c>
    </row>
    <row r="89" spans="1:11" x14ac:dyDescent="0.35">
      <c r="A89" s="9" t="s">
        <v>97</v>
      </c>
      <c r="B89" s="10">
        <v>629</v>
      </c>
      <c r="C89" s="10">
        <v>11</v>
      </c>
      <c r="D89" s="10">
        <v>7</v>
      </c>
      <c r="E89" s="10">
        <v>652</v>
      </c>
      <c r="F89" s="10">
        <v>21157037.639902744</v>
      </c>
      <c r="G89" s="10">
        <v>646</v>
      </c>
      <c r="H89" s="10">
        <v>4</v>
      </c>
      <c r="I89" s="10">
        <v>7</v>
      </c>
      <c r="J89" s="10">
        <v>569</v>
      </c>
      <c r="K89" s="10">
        <v>21464086.625509623</v>
      </c>
    </row>
    <row r="90" spans="1:11" x14ac:dyDescent="0.35">
      <c r="A90" s="9" t="s">
        <v>78</v>
      </c>
      <c r="B90" s="10">
        <v>357</v>
      </c>
      <c r="C90" s="10">
        <v>2</v>
      </c>
      <c r="D90" s="10">
        <v>1</v>
      </c>
      <c r="E90" s="10">
        <v>314</v>
      </c>
      <c r="F90" s="10">
        <v>5927184.8282444756</v>
      </c>
      <c r="G90" s="10">
        <v>353</v>
      </c>
      <c r="H90" s="10">
        <v>2</v>
      </c>
      <c r="I90" s="10">
        <v>1</v>
      </c>
      <c r="J90" s="10">
        <v>296</v>
      </c>
      <c r="K90" s="10">
        <v>5259376.4748856099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2026-08-17T14:48:20Z</dcterms:modified>
</cp:coreProperties>
</file>