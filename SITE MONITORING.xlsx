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930"/>
  </bookViews>
  <sheets>
    <sheet name="Sheet1" sheetId="3" r:id="rId1"/>
    <sheet name="MASTER" sheetId="4" r:id="rId2"/>
  </sheets>
  <definedNames>
    <definedName name="_xlnm._FilterDatabase" localSheetId="1" hidden="1">MASTER!$A$5:$K$5</definedName>
    <definedName name="_xlnm._FilterDatabase" localSheetId="0" hidden="1">Sheet1!$A$1:$U$85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4" l="1"/>
  <c r="C3" i="4"/>
  <c r="D3" i="4"/>
  <c r="E3" i="4"/>
  <c r="F3" i="4"/>
  <c r="G3" i="4"/>
  <c r="H3" i="4"/>
  <c r="I3" i="4"/>
  <c r="J3" i="4"/>
  <c r="K3" i="4"/>
  <c r="R3" i="3" l="1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2" i="3"/>
  <c r="F3" i="3" l="1"/>
  <c r="G3" i="3"/>
  <c r="I3" i="3"/>
  <c r="J3" i="3"/>
  <c r="L3" i="3"/>
  <c r="M3" i="3"/>
  <c r="O3" i="3"/>
  <c r="P3" i="3"/>
  <c r="S3" i="3"/>
  <c r="T3" i="3" s="1"/>
  <c r="F4" i="3"/>
  <c r="G4" i="3"/>
  <c r="H4" i="3" s="1"/>
  <c r="I4" i="3"/>
  <c r="J4" i="3"/>
  <c r="L4" i="3"/>
  <c r="M4" i="3"/>
  <c r="O4" i="3"/>
  <c r="P4" i="3"/>
  <c r="S4" i="3"/>
  <c r="T4" i="3" s="1"/>
  <c r="F5" i="3"/>
  <c r="G5" i="3"/>
  <c r="I5" i="3"/>
  <c r="J5" i="3"/>
  <c r="L5" i="3"/>
  <c r="M5" i="3"/>
  <c r="O5" i="3"/>
  <c r="P5" i="3"/>
  <c r="S5" i="3"/>
  <c r="T5" i="3" s="1"/>
  <c r="F6" i="3"/>
  <c r="G6" i="3"/>
  <c r="I6" i="3"/>
  <c r="J6" i="3"/>
  <c r="L6" i="3"/>
  <c r="M6" i="3"/>
  <c r="O6" i="3"/>
  <c r="P6" i="3"/>
  <c r="Q6" i="3" s="1"/>
  <c r="S6" i="3"/>
  <c r="T6" i="3" s="1"/>
  <c r="F7" i="3"/>
  <c r="G7" i="3"/>
  <c r="I7" i="3"/>
  <c r="J7" i="3"/>
  <c r="L7" i="3"/>
  <c r="M7" i="3"/>
  <c r="O7" i="3"/>
  <c r="P7" i="3"/>
  <c r="S7" i="3"/>
  <c r="T7" i="3" s="1"/>
  <c r="F8" i="3"/>
  <c r="G8" i="3"/>
  <c r="H8" i="3" s="1"/>
  <c r="I8" i="3"/>
  <c r="J8" i="3"/>
  <c r="L8" i="3"/>
  <c r="M8" i="3"/>
  <c r="O8" i="3"/>
  <c r="P8" i="3"/>
  <c r="S8" i="3"/>
  <c r="T8" i="3" s="1"/>
  <c r="F9" i="3"/>
  <c r="G9" i="3"/>
  <c r="I9" i="3"/>
  <c r="J9" i="3"/>
  <c r="L9" i="3"/>
  <c r="M9" i="3"/>
  <c r="O9" i="3"/>
  <c r="P9" i="3"/>
  <c r="S9" i="3"/>
  <c r="T9" i="3" s="1"/>
  <c r="F10" i="3"/>
  <c r="G10" i="3"/>
  <c r="I10" i="3"/>
  <c r="J10" i="3"/>
  <c r="L10" i="3"/>
  <c r="M10" i="3"/>
  <c r="O10" i="3"/>
  <c r="P10" i="3"/>
  <c r="Q10" i="3" s="1"/>
  <c r="S10" i="3"/>
  <c r="T10" i="3" s="1"/>
  <c r="F11" i="3"/>
  <c r="G11" i="3"/>
  <c r="I11" i="3"/>
  <c r="J11" i="3"/>
  <c r="L11" i="3"/>
  <c r="M11" i="3"/>
  <c r="O11" i="3"/>
  <c r="P11" i="3"/>
  <c r="S11" i="3"/>
  <c r="T11" i="3" s="1"/>
  <c r="F12" i="3"/>
  <c r="G12" i="3"/>
  <c r="H12" i="3" s="1"/>
  <c r="I12" i="3"/>
  <c r="J12" i="3"/>
  <c r="L12" i="3"/>
  <c r="M12" i="3"/>
  <c r="O12" i="3"/>
  <c r="P12" i="3"/>
  <c r="S12" i="3"/>
  <c r="T12" i="3" s="1"/>
  <c r="F13" i="3"/>
  <c r="G13" i="3"/>
  <c r="I13" i="3"/>
  <c r="J13" i="3"/>
  <c r="L13" i="3"/>
  <c r="M13" i="3"/>
  <c r="O13" i="3"/>
  <c r="P13" i="3"/>
  <c r="S13" i="3"/>
  <c r="T13" i="3" s="1"/>
  <c r="F14" i="3"/>
  <c r="G14" i="3"/>
  <c r="I14" i="3"/>
  <c r="J14" i="3"/>
  <c r="L14" i="3"/>
  <c r="M14" i="3"/>
  <c r="O14" i="3"/>
  <c r="P14" i="3"/>
  <c r="Q14" i="3" s="1"/>
  <c r="S14" i="3"/>
  <c r="T14" i="3" s="1"/>
  <c r="F15" i="3"/>
  <c r="G15" i="3"/>
  <c r="I15" i="3"/>
  <c r="J15" i="3"/>
  <c r="L15" i="3"/>
  <c r="M15" i="3"/>
  <c r="O15" i="3"/>
  <c r="P15" i="3"/>
  <c r="S15" i="3"/>
  <c r="T15" i="3" s="1"/>
  <c r="F16" i="3"/>
  <c r="G16" i="3"/>
  <c r="H16" i="3" s="1"/>
  <c r="I16" i="3"/>
  <c r="J16" i="3"/>
  <c r="L16" i="3"/>
  <c r="M16" i="3"/>
  <c r="O16" i="3"/>
  <c r="P16" i="3"/>
  <c r="S16" i="3"/>
  <c r="T16" i="3" s="1"/>
  <c r="F17" i="3"/>
  <c r="G17" i="3"/>
  <c r="I17" i="3"/>
  <c r="J17" i="3"/>
  <c r="L17" i="3"/>
  <c r="M17" i="3"/>
  <c r="O17" i="3"/>
  <c r="P17" i="3"/>
  <c r="S17" i="3"/>
  <c r="T17" i="3" s="1"/>
  <c r="F18" i="3"/>
  <c r="G18" i="3"/>
  <c r="I18" i="3"/>
  <c r="J18" i="3"/>
  <c r="L18" i="3"/>
  <c r="M18" i="3"/>
  <c r="O18" i="3"/>
  <c r="P18" i="3"/>
  <c r="Q18" i="3" s="1"/>
  <c r="S18" i="3"/>
  <c r="T18" i="3" s="1"/>
  <c r="F19" i="3"/>
  <c r="G19" i="3"/>
  <c r="I19" i="3"/>
  <c r="J19" i="3"/>
  <c r="L19" i="3"/>
  <c r="M19" i="3"/>
  <c r="O19" i="3"/>
  <c r="P19" i="3"/>
  <c r="S19" i="3"/>
  <c r="T19" i="3" s="1"/>
  <c r="F20" i="3"/>
  <c r="G20" i="3"/>
  <c r="H20" i="3" s="1"/>
  <c r="I20" i="3"/>
  <c r="J20" i="3"/>
  <c r="L20" i="3"/>
  <c r="M20" i="3"/>
  <c r="O20" i="3"/>
  <c r="P20" i="3"/>
  <c r="S20" i="3"/>
  <c r="T20" i="3" s="1"/>
  <c r="F21" i="3"/>
  <c r="G21" i="3"/>
  <c r="I21" i="3"/>
  <c r="J21" i="3"/>
  <c r="L21" i="3"/>
  <c r="M21" i="3"/>
  <c r="O21" i="3"/>
  <c r="P21" i="3"/>
  <c r="S21" i="3"/>
  <c r="T21" i="3" s="1"/>
  <c r="F22" i="3"/>
  <c r="G22" i="3"/>
  <c r="I22" i="3"/>
  <c r="J22" i="3"/>
  <c r="L22" i="3"/>
  <c r="M22" i="3"/>
  <c r="O22" i="3"/>
  <c r="P22" i="3"/>
  <c r="Q22" i="3" s="1"/>
  <c r="S22" i="3"/>
  <c r="T22" i="3" s="1"/>
  <c r="F23" i="3"/>
  <c r="G23" i="3"/>
  <c r="I23" i="3"/>
  <c r="J23" i="3"/>
  <c r="L23" i="3"/>
  <c r="M23" i="3"/>
  <c r="O23" i="3"/>
  <c r="P23" i="3"/>
  <c r="S23" i="3"/>
  <c r="T23" i="3" s="1"/>
  <c r="F24" i="3"/>
  <c r="G24" i="3"/>
  <c r="H24" i="3" s="1"/>
  <c r="I24" i="3"/>
  <c r="J24" i="3"/>
  <c r="L24" i="3"/>
  <c r="M24" i="3"/>
  <c r="O24" i="3"/>
  <c r="P24" i="3"/>
  <c r="S24" i="3"/>
  <c r="T24" i="3" s="1"/>
  <c r="F25" i="3"/>
  <c r="G25" i="3"/>
  <c r="I25" i="3"/>
  <c r="J25" i="3"/>
  <c r="L25" i="3"/>
  <c r="M25" i="3"/>
  <c r="O25" i="3"/>
  <c r="P25" i="3"/>
  <c r="S25" i="3"/>
  <c r="T25" i="3" s="1"/>
  <c r="F26" i="3"/>
  <c r="G26" i="3"/>
  <c r="I26" i="3"/>
  <c r="J26" i="3"/>
  <c r="L26" i="3"/>
  <c r="M26" i="3"/>
  <c r="O26" i="3"/>
  <c r="P26" i="3"/>
  <c r="Q26" i="3" s="1"/>
  <c r="S26" i="3"/>
  <c r="T26" i="3" s="1"/>
  <c r="F27" i="3"/>
  <c r="G27" i="3"/>
  <c r="I27" i="3"/>
  <c r="J27" i="3"/>
  <c r="L27" i="3"/>
  <c r="M27" i="3"/>
  <c r="O27" i="3"/>
  <c r="P27" i="3"/>
  <c r="S27" i="3"/>
  <c r="T27" i="3" s="1"/>
  <c r="F28" i="3"/>
  <c r="G28" i="3"/>
  <c r="I28" i="3"/>
  <c r="J28" i="3"/>
  <c r="L28" i="3"/>
  <c r="M28" i="3"/>
  <c r="O28" i="3"/>
  <c r="P28" i="3"/>
  <c r="S28" i="3"/>
  <c r="T28" i="3" s="1"/>
  <c r="F29" i="3"/>
  <c r="G29" i="3"/>
  <c r="I29" i="3"/>
  <c r="J29" i="3"/>
  <c r="L29" i="3"/>
  <c r="M29" i="3"/>
  <c r="O29" i="3"/>
  <c r="P29" i="3"/>
  <c r="S29" i="3"/>
  <c r="T29" i="3" s="1"/>
  <c r="F30" i="3"/>
  <c r="G30" i="3"/>
  <c r="I30" i="3"/>
  <c r="J30" i="3"/>
  <c r="L30" i="3"/>
  <c r="M30" i="3"/>
  <c r="O30" i="3"/>
  <c r="P30" i="3"/>
  <c r="Q30" i="3" s="1"/>
  <c r="S30" i="3"/>
  <c r="T30" i="3" s="1"/>
  <c r="F31" i="3"/>
  <c r="G31" i="3"/>
  <c r="I31" i="3"/>
  <c r="J31" i="3"/>
  <c r="L31" i="3"/>
  <c r="M31" i="3"/>
  <c r="O31" i="3"/>
  <c r="P31" i="3"/>
  <c r="S31" i="3"/>
  <c r="T31" i="3" s="1"/>
  <c r="F32" i="3"/>
  <c r="G32" i="3"/>
  <c r="H32" i="3" s="1"/>
  <c r="I32" i="3"/>
  <c r="J32" i="3"/>
  <c r="L32" i="3"/>
  <c r="M32" i="3"/>
  <c r="O32" i="3"/>
  <c r="P32" i="3"/>
  <c r="S32" i="3"/>
  <c r="T32" i="3" s="1"/>
  <c r="F33" i="3"/>
  <c r="G33" i="3"/>
  <c r="I33" i="3"/>
  <c r="J33" i="3"/>
  <c r="L33" i="3"/>
  <c r="M33" i="3"/>
  <c r="O33" i="3"/>
  <c r="P33" i="3"/>
  <c r="S33" i="3"/>
  <c r="T33" i="3" s="1"/>
  <c r="F34" i="3"/>
  <c r="G34" i="3"/>
  <c r="I34" i="3"/>
  <c r="J34" i="3"/>
  <c r="L34" i="3"/>
  <c r="M34" i="3"/>
  <c r="O34" i="3"/>
  <c r="P34" i="3"/>
  <c r="Q34" i="3" s="1"/>
  <c r="S34" i="3"/>
  <c r="T34" i="3" s="1"/>
  <c r="F35" i="3"/>
  <c r="G35" i="3"/>
  <c r="I35" i="3"/>
  <c r="J35" i="3"/>
  <c r="L35" i="3"/>
  <c r="M35" i="3"/>
  <c r="O35" i="3"/>
  <c r="P35" i="3"/>
  <c r="S35" i="3"/>
  <c r="T35" i="3" s="1"/>
  <c r="F36" i="3"/>
  <c r="G36" i="3"/>
  <c r="H36" i="3" s="1"/>
  <c r="I36" i="3"/>
  <c r="J36" i="3"/>
  <c r="L36" i="3"/>
  <c r="M36" i="3"/>
  <c r="O36" i="3"/>
  <c r="P36" i="3"/>
  <c r="S36" i="3"/>
  <c r="T36" i="3" s="1"/>
  <c r="F37" i="3"/>
  <c r="G37" i="3"/>
  <c r="I37" i="3"/>
  <c r="J37" i="3"/>
  <c r="L37" i="3"/>
  <c r="M37" i="3"/>
  <c r="O37" i="3"/>
  <c r="P37" i="3"/>
  <c r="S37" i="3"/>
  <c r="T37" i="3" s="1"/>
  <c r="F38" i="3"/>
  <c r="G38" i="3"/>
  <c r="I38" i="3"/>
  <c r="J38" i="3"/>
  <c r="L38" i="3"/>
  <c r="M38" i="3"/>
  <c r="O38" i="3"/>
  <c r="P38" i="3"/>
  <c r="Q38" i="3" s="1"/>
  <c r="S38" i="3"/>
  <c r="T38" i="3" s="1"/>
  <c r="F39" i="3"/>
  <c r="G39" i="3"/>
  <c r="I39" i="3"/>
  <c r="J39" i="3"/>
  <c r="L39" i="3"/>
  <c r="M39" i="3"/>
  <c r="O39" i="3"/>
  <c r="P39" i="3"/>
  <c r="S39" i="3"/>
  <c r="T39" i="3" s="1"/>
  <c r="F40" i="3"/>
  <c r="G40" i="3"/>
  <c r="H40" i="3" s="1"/>
  <c r="I40" i="3"/>
  <c r="J40" i="3"/>
  <c r="L40" i="3"/>
  <c r="M40" i="3"/>
  <c r="O40" i="3"/>
  <c r="P40" i="3"/>
  <c r="S40" i="3"/>
  <c r="T40" i="3" s="1"/>
  <c r="F41" i="3"/>
  <c r="G41" i="3"/>
  <c r="I41" i="3"/>
  <c r="J41" i="3"/>
  <c r="L41" i="3"/>
  <c r="M41" i="3"/>
  <c r="O41" i="3"/>
  <c r="P41" i="3"/>
  <c r="S41" i="3"/>
  <c r="T41" i="3" s="1"/>
  <c r="F42" i="3"/>
  <c r="G42" i="3"/>
  <c r="I42" i="3"/>
  <c r="J42" i="3"/>
  <c r="L42" i="3"/>
  <c r="M42" i="3"/>
  <c r="O42" i="3"/>
  <c r="P42" i="3"/>
  <c r="Q42" i="3" s="1"/>
  <c r="S42" i="3"/>
  <c r="T42" i="3" s="1"/>
  <c r="F43" i="3"/>
  <c r="G43" i="3"/>
  <c r="I43" i="3"/>
  <c r="J43" i="3"/>
  <c r="L43" i="3"/>
  <c r="M43" i="3"/>
  <c r="O43" i="3"/>
  <c r="P43" i="3"/>
  <c r="S43" i="3"/>
  <c r="T43" i="3" s="1"/>
  <c r="F44" i="3"/>
  <c r="G44" i="3"/>
  <c r="H44" i="3" s="1"/>
  <c r="I44" i="3"/>
  <c r="J44" i="3"/>
  <c r="L44" i="3"/>
  <c r="M44" i="3"/>
  <c r="O44" i="3"/>
  <c r="P44" i="3"/>
  <c r="S44" i="3"/>
  <c r="T44" i="3" s="1"/>
  <c r="F45" i="3"/>
  <c r="G45" i="3"/>
  <c r="I45" i="3"/>
  <c r="J45" i="3"/>
  <c r="L45" i="3"/>
  <c r="M45" i="3"/>
  <c r="O45" i="3"/>
  <c r="P45" i="3"/>
  <c r="S45" i="3"/>
  <c r="T45" i="3" s="1"/>
  <c r="F46" i="3"/>
  <c r="G46" i="3"/>
  <c r="I46" i="3"/>
  <c r="J46" i="3"/>
  <c r="L46" i="3"/>
  <c r="M46" i="3"/>
  <c r="O46" i="3"/>
  <c r="P46" i="3"/>
  <c r="Q46" i="3" s="1"/>
  <c r="S46" i="3"/>
  <c r="T46" i="3" s="1"/>
  <c r="F47" i="3"/>
  <c r="G47" i="3"/>
  <c r="I47" i="3"/>
  <c r="J47" i="3"/>
  <c r="L47" i="3"/>
  <c r="M47" i="3"/>
  <c r="O47" i="3"/>
  <c r="P47" i="3"/>
  <c r="S47" i="3"/>
  <c r="T47" i="3" s="1"/>
  <c r="F48" i="3"/>
  <c r="G48" i="3"/>
  <c r="H48" i="3" s="1"/>
  <c r="I48" i="3"/>
  <c r="J48" i="3"/>
  <c r="L48" i="3"/>
  <c r="M48" i="3"/>
  <c r="O48" i="3"/>
  <c r="P48" i="3"/>
  <c r="S48" i="3"/>
  <c r="T48" i="3" s="1"/>
  <c r="F49" i="3"/>
  <c r="G49" i="3"/>
  <c r="I49" i="3"/>
  <c r="J49" i="3"/>
  <c r="L49" i="3"/>
  <c r="M49" i="3"/>
  <c r="O49" i="3"/>
  <c r="P49" i="3"/>
  <c r="S49" i="3"/>
  <c r="T49" i="3" s="1"/>
  <c r="F50" i="3"/>
  <c r="G50" i="3"/>
  <c r="I50" i="3"/>
  <c r="J50" i="3"/>
  <c r="L50" i="3"/>
  <c r="M50" i="3"/>
  <c r="O50" i="3"/>
  <c r="P50" i="3"/>
  <c r="Q50" i="3" s="1"/>
  <c r="S50" i="3"/>
  <c r="T50" i="3" s="1"/>
  <c r="F51" i="3"/>
  <c r="G51" i="3"/>
  <c r="I51" i="3"/>
  <c r="J51" i="3"/>
  <c r="L51" i="3"/>
  <c r="M51" i="3"/>
  <c r="O51" i="3"/>
  <c r="P51" i="3"/>
  <c r="S51" i="3"/>
  <c r="T51" i="3" s="1"/>
  <c r="F52" i="3"/>
  <c r="G52" i="3"/>
  <c r="I52" i="3"/>
  <c r="J52" i="3"/>
  <c r="L52" i="3"/>
  <c r="M52" i="3"/>
  <c r="O52" i="3"/>
  <c r="P52" i="3"/>
  <c r="S52" i="3"/>
  <c r="T52" i="3" s="1"/>
  <c r="F53" i="3"/>
  <c r="G53" i="3"/>
  <c r="I53" i="3"/>
  <c r="J53" i="3"/>
  <c r="L53" i="3"/>
  <c r="M53" i="3"/>
  <c r="O53" i="3"/>
  <c r="P53" i="3"/>
  <c r="S53" i="3"/>
  <c r="T53" i="3" s="1"/>
  <c r="F54" i="3"/>
  <c r="G54" i="3"/>
  <c r="I54" i="3"/>
  <c r="J54" i="3"/>
  <c r="L54" i="3"/>
  <c r="M54" i="3"/>
  <c r="O54" i="3"/>
  <c r="P54" i="3"/>
  <c r="Q54" i="3" s="1"/>
  <c r="S54" i="3"/>
  <c r="T54" i="3" s="1"/>
  <c r="F55" i="3"/>
  <c r="G55" i="3"/>
  <c r="I55" i="3"/>
  <c r="J55" i="3"/>
  <c r="L55" i="3"/>
  <c r="M55" i="3"/>
  <c r="O55" i="3"/>
  <c r="P55" i="3"/>
  <c r="S55" i="3"/>
  <c r="T55" i="3" s="1"/>
  <c r="F56" i="3"/>
  <c r="G56" i="3"/>
  <c r="H56" i="3" s="1"/>
  <c r="I56" i="3"/>
  <c r="J56" i="3"/>
  <c r="L56" i="3"/>
  <c r="M56" i="3"/>
  <c r="O56" i="3"/>
  <c r="P56" i="3"/>
  <c r="S56" i="3"/>
  <c r="T56" i="3" s="1"/>
  <c r="F57" i="3"/>
  <c r="G57" i="3"/>
  <c r="I57" i="3"/>
  <c r="J57" i="3"/>
  <c r="L57" i="3"/>
  <c r="M57" i="3"/>
  <c r="O57" i="3"/>
  <c r="P57" i="3"/>
  <c r="S57" i="3"/>
  <c r="T57" i="3" s="1"/>
  <c r="F58" i="3"/>
  <c r="G58" i="3"/>
  <c r="I58" i="3"/>
  <c r="J58" i="3"/>
  <c r="L58" i="3"/>
  <c r="M58" i="3"/>
  <c r="O58" i="3"/>
  <c r="P58" i="3"/>
  <c r="Q58" i="3" s="1"/>
  <c r="S58" i="3"/>
  <c r="T58" i="3" s="1"/>
  <c r="F59" i="3"/>
  <c r="G59" i="3"/>
  <c r="I59" i="3"/>
  <c r="J59" i="3"/>
  <c r="L59" i="3"/>
  <c r="M59" i="3"/>
  <c r="O59" i="3"/>
  <c r="P59" i="3"/>
  <c r="S59" i="3"/>
  <c r="T59" i="3" s="1"/>
  <c r="F60" i="3"/>
  <c r="G60" i="3"/>
  <c r="H60" i="3" s="1"/>
  <c r="I60" i="3"/>
  <c r="J60" i="3"/>
  <c r="L60" i="3"/>
  <c r="M60" i="3"/>
  <c r="O60" i="3"/>
  <c r="P60" i="3"/>
  <c r="S60" i="3"/>
  <c r="T60" i="3" s="1"/>
  <c r="F61" i="3"/>
  <c r="G61" i="3"/>
  <c r="I61" i="3"/>
  <c r="J61" i="3"/>
  <c r="L61" i="3"/>
  <c r="M61" i="3"/>
  <c r="O61" i="3"/>
  <c r="P61" i="3"/>
  <c r="S61" i="3"/>
  <c r="T61" i="3" s="1"/>
  <c r="F62" i="3"/>
  <c r="G62" i="3"/>
  <c r="I62" i="3"/>
  <c r="J62" i="3"/>
  <c r="L62" i="3"/>
  <c r="M62" i="3"/>
  <c r="O62" i="3"/>
  <c r="P62" i="3"/>
  <c r="Q62" i="3" s="1"/>
  <c r="S62" i="3"/>
  <c r="T62" i="3" s="1"/>
  <c r="F63" i="3"/>
  <c r="G63" i="3"/>
  <c r="I63" i="3"/>
  <c r="J63" i="3"/>
  <c r="L63" i="3"/>
  <c r="M63" i="3"/>
  <c r="O63" i="3"/>
  <c r="P63" i="3"/>
  <c r="S63" i="3"/>
  <c r="T63" i="3" s="1"/>
  <c r="F64" i="3"/>
  <c r="G64" i="3"/>
  <c r="I64" i="3"/>
  <c r="J64" i="3"/>
  <c r="L64" i="3"/>
  <c r="M64" i="3"/>
  <c r="O64" i="3"/>
  <c r="P64" i="3"/>
  <c r="S64" i="3"/>
  <c r="T64" i="3" s="1"/>
  <c r="F65" i="3"/>
  <c r="G65" i="3"/>
  <c r="I65" i="3"/>
  <c r="J65" i="3"/>
  <c r="L65" i="3"/>
  <c r="M65" i="3"/>
  <c r="O65" i="3"/>
  <c r="P65" i="3"/>
  <c r="S65" i="3"/>
  <c r="T65" i="3" s="1"/>
  <c r="F66" i="3"/>
  <c r="G66" i="3"/>
  <c r="I66" i="3"/>
  <c r="J66" i="3"/>
  <c r="L66" i="3"/>
  <c r="M66" i="3"/>
  <c r="O66" i="3"/>
  <c r="P66" i="3"/>
  <c r="Q66" i="3" s="1"/>
  <c r="S66" i="3"/>
  <c r="T66" i="3" s="1"/>
  <c r="F67" i="3"/>
  <c r="G67" i="3"/>
  <c r="I67" i="3"/>
  <c r="J67" i="3"/>
  <c r="L67" i="3"/>
  <c r="M67" i="3"/>
  <c r="O67" i="3"/>
  <c r="P67" i="3"/>
  <c r="S67" i="3"/>
  <c r="T67" i="3" s="1"/>
  <c r="F68" i="3"/>
  <c r="G68" i="3"/>
  <c r="H68" i="3" s="1"/>
  <c r="I68" i="3"/>
  <c r="J68" i="3"/>
  <c r="L68" i="3"/>
  <c r="M68" i="3"/>
  <c r="O68" i="3"/>
  <c r="P68" i="3"/>
  <c r="S68" i="3"/>
  <c r="T68" i="3" s="1"/>
  <c r="F69" i="3"/>
  <c r="G69" i="3"/>
  <c r="I69" i="3"/>
  <c r="J69" i="3"/>
  <c r="L69" i="3"/>
  <c r="M69" i="3"/>
  <c r="O69" i="3"/>
  <c r="P69" i="3"/>
  <c r="S69" i="3"/>
  <c r="T69" i="3" s="1"/>
  <c r="F70" i="3"/>
  <c r="G70" i="3"/>
  <c r="I70" i="3"/>
  <c r="J70" i="3"/>
  <c r="L70" i="3"/>
  <c r="M70" i="3"/>
  <c r="O70" i="3"/>
  <c r="P70" i="3"/>
  <c r="Q70" i="3" s="1"/>
  <c r="S70" i="3"/>
  <c r="T70" i="3" s="1"/>
  <c r="F71" i="3"/>
  <c r="G71" i="3"/>
  <c r="I71" i="3"/>
  <c r="J71" i="3"/>
  <c r="L71" i="3"/>
  <c r="M71" i="3"/>
  <c r="O71" i="3"/>
  <c r="P71" i="3"/>
  <c r="S71" i="3"/>
  <c r="T71" i="3" s="1"/>
  <c r="F72" i="3"/>
  <c r="G72" i="3"/>
  <c r="H72" i="3" s="1"/>
  <c r="I72" i="3"/>
  <c r="J72" i="3"/>
  <c r="L72" i="3"/>
  <c r="M72" i="3"/>
  <c r="O72" i="3"/>
  <c r="P72" i="3"/>
  <c r="S72" i="3"/>
  <c r="T72" i="3" s="1"/>
  <c r="F73" i="3"/>
  <c r="G73" i="3"/>
  <c r="I73" i="3"/>
  <c r="J73" i="3"/>
  <c r="L73" i="3"/>
  <c r="M73" i="3"/>
  <c r="O73" i="3"/>
  <c r="P73" i="3"/>
  <c r="S73" i="3"/>
  <c r="T73" i="3" s="1"/>
  <c r="F74" i="3"/>
  <c r="G74" i="3"/>
  <c r="I74" i="3"/>
  <c r="J74" i="3"/>
  <c r="L74" i="3"/>
  <c r="M74" i="3"/>
  <c r="O74" i="3"/>
  <c r="P74" i="3"/>
  <c r="Q74" i="3" s="1"/>
  <c r="S74" i="3"/>
  <c r="T74" i="3" s="1"/>
  <c r="F75" i="3"/>
  <c r="G75" i="3"/>
  <c r="I75" i="3"/>
  <c r="J75" i="3"/>
  <c r="L75" i="3"/>
  <c r="M75" i="3"/>
  <c r="O75" i="3"/>
  <c r="P75" i="3"/>
  <c r="S75" i="3"/>
  <c r="T75" i="3" s="1"/>
  <c r="F76" i="3"/>
  <c r="G76" i="3"/>
  <c r="H76" i="3" s="1"/>
  <c r="I76" i="3"/>
  <c r="J76" i="3"/>
  <c r="L76" i="3"/>
  <c r="M76" i="3"/>
  <c r="O76" i="3"/>
  <c r="P76" i="3"/>
  <c r="S76" i="3"/>
  <c r="T76" i="3" s="1"/>
  <c r="F77" i="3"/>
  <c r="G77" i="3"/>
  <c r="I77" i="3"/>
  <c r="J77" i="3"/>
  <c r="L77" i="3"/>
  <c r="M77" i="3"/>
  <c r="O77" i="3"/>
  <c r="P77" i="3"/>
  <c r="S77" i="3"/>
  <c r="T77" i="3" s="1"/>
  <c r="F78" i="3"/>
  <c r="G78" i="3"/>
  <c r="I78" i="3"/>
  <c r="J78" i="3"/>
  <c r="L78" i="3"/>
  <c r="M78" i="3"/>
  <c r="O78" i="3"/>
  <c r="P78" i="3"/>
  <c r="Q78" i="3" s="1"/>
  <c r="S78" i="3"/>
  <c r="T78" i="3" s="1"/>
  <c r="F79" i="3"/>
  <c r="G79" i="3"/>
  <c r="I79" i="3"/>
  <c r="J79" i="3"/>
  <c r="L79" i="3"/>
  <c r="M79" i="3"/>
  <c r="O79" i="3"/>
  <c r="P79" i="3"/>
  <c r="S79" i="3"/>
  <c r="T79" i="3" s="1"/>
  <c r="F80" i="3"/>
  <c r="G80" i="3"/>
  <c r="H80" i="3" s="1"/>
  <c r="I80" i="3"/>
  <c r="J80" i="3"/>
  <c r="L80" i="3"/>
  <c r="M80" i="3"/>
  <c r="O80" i="3"/>
  <c r="P80" i="3"/>
  <c r="S80" i="3"/>
  <c r="T80" i="3" s="1"/>
  <c r="F81" i="3"/>
  <c r="G81" i="3"/>
  <c r="I81" i="3"/>
  <c r="J81" i="3"/>
  <c r="L81" i="3"/>
  <c r="M81" i="3"/>
  <c r="O81" i="3"/>
  <c r="P81" i="3"/>
  <c r="S81" i="3"/>
  <c r="T81" i="3" s="1"/>
  <c r="F82" i="3"/>
  <c r="G82" i="3"/>
  <c r="I82" i="3"/>
  <c r="J82" i="3"/>
  <c r="L82" i="3"/>
  <c r="M82" i="3"/>
  <c r="O82" i="3"/>
  <c r="P82" i="3"/>
  <c r="Q82" i="3" s="1"/>
  <c r="S82" i="3"/>
  <c r="T82" i="3" s="1"/>
  <c r="F83" i="3"/>
  <c r="G83" i="3"/>
  <c r="I83" i="3"/>
  <c r="J83" i="3"/>
  <c r="L83" i="3"/>
  <c r="M83" i="3"/>
  <c r="O83" i="3"/>
  <c r="P83" i="3"/>
  <c r="S83" i="3"/>
  <c r="T83" i="3" s="1"/>
  <c r="F84" i="3"/>
  <c r="G84" i="3"/>
  <c r="H84" i="3" s="1"/>
  <c r="I84" i="3"/>
  <c r="J84" i="3"/>
  <c r="L84" i="3"/>
  <c r="M84" i="3"/>
  <c r="O84" i="3"/>
  <c r="P84" i="3"/>
  <c r="S84" i="3"/>
  <c r="T84" i="3" s="1"/>
  <c r="F85" i="3"/>
  <c r="G85" i="3"/>
  <c r="I85" i="3"/>
  <c r="J85" i="3"/>
  <c r="L85" i="3"/>
  <c r="M85" i="3"/>
  <c r="O85" i="3"/>
  <c r="P85" i="3"/>
  <c r="S85" i="3"/>
  <c r="T85" i="3" s="1"/>
  <c r="S2" i="3"/>
  <c r="T2" i="3" s="1"/>
  <c r="P2" i="3"/>
  <c r="O2" i="3"/>
  <c r="M2" i="3"/>
  <c r="L2" i="3"/>
  <c r="J2" i="3"/>
  <c r="I2" i="3"/>
  <c r="G2" i="3"/>
  <c r="F2" i="3"/>
  <c r="N85" i="3" l="1"/>
  <c r="N81" i="3"/>
  <c r="H28" i="3"/>
  <c r="N77" i="3"/>
  <c r="N73" i="3"/>
  <c r="N69" i="3"/>
  <c r="N65" i="3"/>
  <c r="N61" i="3"/>
  <c r="N57" i="3"/>
  <c r="N53" i="3"/>
  <c r="N49" i="3"/>
  <c r="N45" i="3"/>
  <c r="N41" i="3"/>
  <c r="N37" i="3"/>
  <c r="N33" i="3"/>
  <c r="N29" i="3"/>
  <c r="N25" i="3"/>
  <c r="N21" i="3"/>
  <c r="N17" i="3"/>
  <c r="N70" i="3"/>
  <c r="N66" i="3"/>
  <c r="N62" i="3"/>
  <c r="N58" i="3"/>
  <c r="N54" i="3"/>
  <c r="N50" i="3"/>
  <c r="N46" i="3"/>
  <c r="N42" i="3"/>
  <c r="N38" i="3"/>
  <c r="N34" i="3"/>
  <c r="N30" i="3"/>
  <c r="N26" i="3"/>
  <c r="N22" i="3"/>
  <c r="N18" i="3"/>
  <c r="N14" i="3"/>
  <c r="N10" i="3"/>
  <c r="N6" i="3"/>
  <c r="N13" i="3"/>
  <c r="N9" i="3"/>
  <c r="N5" i="3"/>
  <c r="K82" i="3"/>
  <c r="K78" i="3"/>
  <c r="K74" i="3"/>
  <c r="K70" i="3"/>
  <c r="K66" i="3"/>
  <c r="K62" i="3"/>
  <c r="K58" i="3"/>
  <c r="K54" i="3"/>
  <c r="K50" i="3"/>
  <c r="K46" i="3"/>
  <c r="K42" i="3"/>
  <c r="K38" i="3"/>
  <c r="K34" i="3"/>
  <c r="K30" i="3"/>
  <c r="K26" i="3"/>
  <c r="K22" i="3"/>
  <c r="K18" i="3"/>
  <c r="K14" i="3"/>
  <c r="K10" i="3"/>
  <c r="K6" i="3"/>
  <c r="Q77" i="3"/>
  <c r="Q73" i="3"/>
  <c r="Q69" i="3"/>
  <c r="Q65" i="3"/>
  <c r="Q61" i="3"/>
  <c r="Q57" i="3"/>
  <c r="H64" i="3"/>
  <c r="H52" i="3"/>
  <c r="K85" i="3"/>
  <c r="Q85" i="3"/>
  <c r="Q81" i="3"/>
  <c r="N31" i="3"/>
  <c r="N27" i="3"/>
  <c r="N23" i="3"/>
  <c r="N19" i="3"/>
  <c r="N15" i="3"/>
  <c r="N11" i="3"/>
  <c r="N7" i="3"/>
  <c r="N3" i="3"/>
  <c r="K7" i="3"/>
  <c r="K3" i="3"/>
  <c r="K81" i="3"/>
  <c r="K77" i="3"/>
  <c r="K73" i="3"/>
  <c r="K69" i="3"/>
  <c r="K65" i="3"/>
  <c r="K61" i="3"/>
  <c r="K57" i="3"/>
  <c r="K53" i="3"/>
  <c r="K49" i="3"/>
  <c r="K45" i="3"/>
  <c r="K41" i="3"/>
  <c r="K37" i="3"/>
  <c r="N83" i="3"/>
  <c r="N79" i="3"/>
  <c r="N75" i="3"/>
  <c r="N71" i="3"/>
  <c r="N67" i="3"/>
  <c r="N63" i="3"/>
  <c r="N59" i="3"/>
  <c r="N55" i="3"/>
  <c r="N51" i="3"/>
  <c r="N47" i="3"/>
  <c r="N43" i="3"/>
  <c r="N39" i="3"/>
  <c r="Q84" i="3"/>
  <c r="H82" i="3"/>
  <c r="Q80" i="3"/>
  <c r="Q76" i="3"/>
  <c r="Q72" i="3"/>
  <c r="Q68" i="3"/>
  <c r="Q64" i="3"/>
  <c r="Q60" i="3"/>
  <c r="Q56" i="3"/>
  <c r="Q52" i="3"/>
  <c r="Q48" i="3"/>
  <c r="Q44" i="3"/>
  <c r="Q40" i="3"/>
  <c r="Q36" i="3"/>
  <c r="Q32" i="3"/>
  <c r="Q28" i="3"/>
  <c r="Q24" i="3"/>
  <c r="Q20" i="3"/>
  <c r="Q16" i="3"/>
  <c r="Q12" i="3"/>
  <c r="Q8" i="3"/>
  <c r="Q4" i="3"/>
  <c r="Q53" i="3"/>
  <c r="Q49" i="3"/>
  <c r="Q45" i="3"/>
  <c r="Q41" i="3"/>
  <c r="Q37" i="3"/>
  <c r="Q33" i="3"/>
  <c r="Q29" i="3"/>
  <c r="Q25" i="3"/>
  <c r="Q21" i="3"/>
  <c r="Q17" i="3"/>
  <c r="Q13" i="3"/>
  <c r="H11" i="3"/>
  <c r="Q9" i="3"/>
  <c r="H7" i="3"/>
  <c r="Q5" i="3"/>
  <c r="H3" i="3"/>
  <c r="K33" i="3"/>
  <c r="K29" i="3"/>
  <c r="K25" i="3"/>
  <c r="K21" i="3"/>
  <c r="K17" i="3"/>
  <c r="K13" i="3"/>
  <c r="K9" i="3"/>
  <c r="K5" i="3"/>
  <c r="N82" i="3"/>
  <c r="N78" i="3"/>
  <c r="N74" i="3"/>
  <c r="Q83" i="3"/>
  <c r="Q79" i="3"/>
  <c r="Q75" i="3"/>
  <c r="Q71" i="3"/>
  <c r="Q67" i="3"/>
  <c r="Q63" i="3"/>
  <c r="Q59" i="3"/>
  <c r="Q55" i="3"/>
  <c r="Q51" i="3"/>
  <c r="Q47" i="3"/>
  <c r="Q43" i="3"/>
  <c r="Q39" i="3"/>
  <c r="Q35" i="3"/>
  <c r="Q31" i="3"/>
  <c r="Q27" i="3"/>
  <c r="Q23" i="3"/>
  <c r="Q19" i="3"/>
  <c r="Q15" i="3"/>
  <c r="Q11" i="3"/>
  <c r="Q7" i="3"/>
  <c r="Q3" i="3"/>
  <c r="K27" i="3"/>
  <c r="K23" i="3"/>
  <c r="K19" i="3"/>
  <c r="K15" i="3"/>
  <c r="K11" i="3"/>
  <c r="N84" i="3"/>
  <c r="N80" i="3"/>
  <c r="N76" i="3"/>
  <c r="N72" i="3"/>
  <c r="N68" i="3"/>
  <c r="N64" i="3"/>
  <c r="N60" i="3"/>
  <c r="N56" i="3"/>
  <c r="N52" i="3"/>
  <c r="N48" i="3"/>
  <c r="N44" i="3"/>
  <c r="N40" i="3"/>
  <c r="N36" i="3"/>
  <c r="N32" i="3"/>
  <c r="N28" i="3"/>
  <c r="N24" i="3"/>
  <c r="N20" i="3"/>
  <c r="N16" i="3"/>
  <c r="N12" i="3"/>
  <c r="N8" i="3"/>
  <c r="N4" i="3"/>
  <c r="N35" i="3"/>
  <c r="Q2" i="3"/>
  <c r="H78" i="3"/>
  <c r="H74" i="3"/>
  <c r="H70" i="3"/>
  <c r="H66" i="3"/>
  <c r="H62" i="3"/>
  <c r="H58" i="3"/>
  <c r="H54" i="3"/>
  <c r="H50" i="3"/>
  <c r="H46" i="3"/>
  <c r="H42" i="3"/>
  <c r="H38" i="3"/>
  <c r="H34" i="3"/>
  <c r="H30" i="3"/>
  <c r="H26" i="3"/>
  <c r="H22" i="3"/>
  <c r="H18" i="3"/>
  <c r="H14" i="3"/>
  <c r="H10" i="3"/>
  <c r="H6" i="3"/>
  <c r="N2" i="3"/>
  <c r="H85" i="3"/>
  <c r="H81" i="3"/>
  <c r="H77" i="3"/>
  <c r="H73" i="3"/>
  <c r="H69" i="3"/>
  <c r="H65" i="3"/>
  <c r="H61" i="3"/>
  <c r="H57" i="3"/>
  <c r="H53" i="3"/>
  <c r="H49" i="3"/>
  <c r="H45" i="3"/>
  <c r="H41" i="3"/>
  <c r="H37" i="3"/>
  <c r="H33" i="3"/>
  <c r="H29" i="3"/>
  <c r="H25" i="3"/>
  <c r="H21" i="3"/>
  <c r="H17" i="3"/>
  <c r="H13" i="3"/>
  <c r="H9" i="3"/>
  <c r="H5" i="3"/>
  <c r="K2" i="3"/>
  <c r="K83" i="3"/>
  <c r="K79" i="3"/>
  <c r="K75" i="3"/>
  <c r="K71" i="3"/>
  <c r="K67" i="3"/>
  <c r="K63" i="3"/>
  <c r="K59" i="3"/>
  <c r="K55" i="3"/>
  <c r="K51" i="3"/>
  <c r="K47" i="3"/>
  <c r="K43" i="3"/>
  <c r="K39" i="3"/>
  <c r="K35" i="3"/>
  <c r="K31" i="3"/>
  <c r="H2" i="3"/>
  <c r="H83" i="3"/>
  <c r="H79" i="3"/>
  <c r="H75" i="3"/>
  <c r="H71" i="3"/>
  <c r="H67" i="3"/>
  <c r="H63" i="3"/>
  <c r="H59" i="3"/>
  <c r="H55" i="3"/>
  <c r="H51" i="3"/>
  <c r="H47" i="3"/>
  <c r="H43" i="3"/>
  <c r="H39" i="3"/>
  <c r="H35" i="3"/>
  <c r="H31" i="3"/>
  <c r="H27" i="3"/>
  <c r="H23" i="3"/>
  <c r="H19" i="3"/>
  <c r="H15" i="3"/>
  <c r="K84" i="3"/>
  <c r="K80" i="3"/>
  <c r="K76" i="3"/>
  <c r="K72" i="3"/>
  <c r="K68" i="3"/>
  <c r="K64" i="3"/>
  <c r="K60" i="3"/>
  <c r="K56" i="3"/>
  <c r="K52" i="3"/>
  <c r="K48" i="3"/>
  <c r="K44" i="3"/>
  <c r="K40" i="3"/>
  <c r="K36" i="3"/>
  <c r="K32" i="3"/>
  <c r="K28" i="3"/>
  <c r="K24" i="3"/>
  <c r="K20" i="3"/>
  <c r="K16" i="3"/>
  <c r="K12" i="3"/>
  <c r="K8" i="3"/>
  <c r="K4" i="3"/>
</calcChain>
</file>

<file path=xl/sharedStrings.xml><?xml version="1.0" encoding="utf-8"?>
<sst xmlns="http://schemas.openxmlformats.org/spreadsheetml/2006/main" count="878" uniqueCount="543">
  <si>
    <t>SITE ID</t>
  </si>
  <si>
    <t>SITE NAME</t>
  </si>
  <si>
    <t>20BEK0038</t>
  </si>
  <si>
    <t>BUMI_EMAS_MT</t>
  </si>
  <si>
    <t>PT-JAGOI BABANG</t>
  </si>
  <si>
    <t>DSE-JAGOIBABNG02</t>
  </si>
  <si>
    <t>20BEK0043</t>
  </si>
  <si>
    <t>RANGKANG_BEK_EP</t>
  </si>
  <si>
    <t>20BEK0041</t>
  </si>
  <si>
    <t>TVRI_BUMI_AMAS_MT</t>
  </si>
  <si>
    <t>20BEK0072</t>
  </si>
  <si>
    <t>SEKAYOK_TAMANKENCANA_PL</t>
  </si>
  <si>
    <t>20BEK0074</t>
  </si>
  <si>
    <t>GUNABARU_TRANSRANGKAKNG_PL</t>
  </si>
  <si>
    <t>20BEK0040</t>
  </si>
  <si>
    <t>SEBALO_BEK_PL</t>
  </si>
  <si>
    <t>20BEK0032</t>
  </si>
  <si>
    <t>TIRTA_KENCANA_BEK_PL</t>
  </si>
  <si>
    <t>20BEK0033</t>
  </si>
  <si>
    <t>DESA_CIPTAKARYA_BEK_PL</t>
  </si>
  <si>
    <t>20BEK0013</t>
  </si>
  <si>
    <t>CAPKALA_MT</t>
  </si>
  <si>
    <t>PT-MONTERADO</t>
  </si>
  <si>
    <t>DSE1082</t>
  </si>
  <si>
    <t>20BEK0066</t>
  </si>
  <si>
    <t>SELUAS_BEK1_MT</t>
  </si>
  <si>
    <t>DSE1147</t>
  </si>
  <si>
    <t>20BEK0067</t>
  </si>
  <si>
    <t>JAGOI_SEKIDA_EB</t>
  </si>
  <si>
    <t>20BEK0068</t>
  </si>
  <si>
    <t>JAGOIBABANG_EP</t>
  </si>
  <si>
    <t>20BEK0050</t>
  </si>
  <si>
    <t>JESAPE_MT</t>
  </si>
  <si>
    <t>20BEK0051</t>
  </si>
  <si>
    <t>LEDO_MT</t>
  </si>
  <si>
    <t>20BEK0084</t>
  </si>
  <si>
    <t>SUKADAMAI_GADONG_MT</t>
  </si>
  <si>
    <t>20BEK0086</t>
  </si>
  <si>
    <t>TEBUAH_MARONG_PL</t>
  </si>
  <si>
    <t>20BEK0042</t>
  </si>
  <si>
    <t>BELIMBING_BEK_PL</t>
  </si>
  <si>
    <t>20BEK0044</t>
  </si>
  <si>
    <t>LAMOLDA_TB</t>
  </si>
  <si>
    <t>20BEK0034</t>
  </si>
  <si>
    <t>LUMAR_MT</t>
  </si>
  <si>
    <t>20BEK0014</t>
  </si>
  <si>
    <t>JAHANDUNG1_MT</t>
  </si>
  <si>
    <t>20BEK0015</t>
  </si>
  <si>
    <t>RANTAU_BEK_PL</t>
  </si>
  <si>
    <t>20BEK0016</t>
  </si>
  <si>
    <t>SIMPANG_MONTERADO_MT</t>
  </si>
  <si>
    <t>20BEK0017</t>
  </si>
  <si>
    <t>MONTERADO_MT</t>
  </si>
  <si>
    <t>20BEK0018</t>
  </si>
  <si>
    <t>NEK_GINAP_PL</t>
  </si>
  <si>
    <t>20BEK0020</t>
  </si>
  <si>
    <t>GINAP_MONTERADO_PL</t>
  </si>
  <si>
    <t>20BEK0069</t>
  </si>
  <si>
    <t>MONTERADO_CAPKALA_ST</t>
  </si>
  <si>
    <t>20BEK0077</t>
  </si>
  <si>
    <t>SIPKANYIN_JAHANDUNG_PL</t>
  </si>
  <si>
    <t>20BEK0082</t>
  </si>
  <si>
    <t>BOMA_MONTERADO_PL</t>
  </si>
  <si>
    <t>20BEK0076</t>
  </si>
  <si>
    <t>JAHANDUNG_BENGKAYANG_PL</t>
  </si>
  <si>
    <t>20BEK0088</t>
  </si>
  <si>
    <t>MONTERADO_BENGKAYANG_PL</t>
  </si>
  <si>
    <t>20BEK0022</t>
  </si>
  <si>
    <t>MARUNSU_PL</t>
  </si>
  <si>
    <t>DSE-BENGKAYANG01</t>
  </si>
  <si>
    <t>20BEK0025</t>
  </si>
  <si>
    <t>BUKIT_SERAYAN_PL</t>
  </si>
  <si>
    <t>20BEK0026</t>
  </si>
  <si>
    <t>BABANE_MT</t>
  </si>
  <si>
    <t>20BEK0023</t>
  </si>
  <si>
    <t>SAMALANTAN_MT</t>
  </si>
  <si>
    <t>20BEK0087</t>
  </si>
  <si>
    <t>DUSUN_JIRAK_PL</t>
  </si>
  <si>
    <t>20BEK0094</t>
  </si>
  <si>
    <t>20BEK0027</t>
  </si>
  <si>
    <t>PASTIJAYA_PL</t>
  </si>
  <si>
    <t>20BEK0053</t>
  </si>
  <si>
    <t>BANGE_BEK_MT</t>
  </si>
  <si>
    <t>20BEK0047</t>
  </si>
  <si>
    <t>DANTI_PL</t>
  </si>
  <si>
    <t>20BEK0052</t>
  </si>
  <si>
    <t>JESAPEG_PL</t>
  </si>
  <si>
    <t>20BEK0054</t>
  </si>
  <si>
    <t>LEMBANG_BEK_PL</t>
  </si>
  <si>
    <t>20BEK0089</t>
  </si>
  <si>
    <t>TRANS_SEBAKUL_PL</t>
  </si>
  <si>
    <t>20BEK0092</t>
  </si>
  <si>
    <t>GUA_DUGINANG_PL</t>
  </si>
  <si>
    <t>20BEK0056</t>
  </si>
  <si>
    <t>LEMBANGG_PL</t>
  </si>
  <si>
    <t>20BEK0057</t>
  </si>
  <si>
    <t>SANGGAU_LEDO_PL</t>
  </si>
  <si>
    <t>20BEK0093</t>
  </si>
  <si>
    <t>SIMPANG_PAKET_MT</t>
  </si>
  <si>
    <t>20BEK0060</t>
  </si>
  <si>
    <t>MAYAK_BEK_MT</t>
  </si>
  <si>
    <t>20BEK0063</t>
  </si>
  <si>
    <t>SELUAS_BEK2_TB</t>
  </si>
  <si>
    <t>20BEK0064</t>
  </si>
  <si>
    <t>RAYA_SELUAS_TB</t>
  </si>
  <si>
    <t>20BEK0065</t>
  </si>
  <si>
    <t>SENTANGAU_JAYA_EB</t>
  </si>
  <si>
    <t>20BEK0085</t>
  </si>
  <si>
    <t>LAPANGAN_PEREGES_PL</t>
  </si>
  <si>
    <t>20BEK0028</t>
  </si>
  <si>
    <t>GUNUNG_MANDERING_EP</t>
  </si>
  <si>
    <t>20BEK0029</t>
  </si>
  <si>
    <t>SUKA_MAJUG_PL</t>
  </si>
  <si>
    <t>20BEK0030</t>
  </si>
  <si>
    <t>SEMALAT_MT</t>
  </si>
  <si>
    <t>20BEK0031</t>
  </si>
  <si>
    <t>CIPTA_KARYA_BEK_PL</t>
  </si>
  <si>
    <t>20BEK0001</t>
  </si>
  <si>
    <t>KARIMUNTING_BEK2_PL</t>
  </si>
  <si>
    <t>20BEK0003</t>
  </si>
  <si>
    <t>RAYA_KEPULAUAN_ST</t>
  </si>
  <si>
    <t>20BEK0004</t>
  </si>
  <si>
    <t>SEI_RAYA_EP</t>
  </si>
  <si>
    <t>20BEK0005</t>
  </si>
  <si>
    <t>SEI_KERANG_PL</t>
  </si>
  <si>
    <t>20BEK0006</t>
  </si>
  <si>
    <t>RUKMA_JAYA_PL</t>
  </si>
  <si>
    <t>20BEK0002</t>
  </si>
  <si>
    <t>KARIMUNTING_BEK1_EP</t>
  </si>
  <si>
    <t>20BEK0083</t>
  </si>
  <si>
    <t>PANTAI_SOGA_PL</t>
  </si>
  <si>
    <t>20BEK0007</t>
  </si>
  <si>
    <t>SEI_DURI_PL</t>
  </si>
  <si>
    <t>20BEK0008</t>
  </si>
  <si>
    <t>RUKMA_JAYA1_PL</t>
  </si>
  <si>
    <t>20BEK0010</t>
  </si>
  <si>
    <t>SUNGAI_DURI1_MT</t>
  </si>
  <si>
    <t>20BEK0070</t>
  </si>
  <si>
    <t>SUNGAI_JAGA_MT</t>
  </si>
  <si>
    <t>20BEK0079</t>
  </si>
  <si>
    <t>SELUAS_SUNGAIRAYA_PL</t>
  </si>
  <si>
    <t>20BEK0009</t>
  </si>
  <si>
    <t>SUNGAI_DURI2_PL</t>
  </si>
  <si>
    <t>20BEK0011</t>
  </si>
  <si>
    <t>SUNGAI_JAGA_A_BEK_PL</t>
  </si>
  <si>
    <t>20BEK0012</t>
  </si>
  <si>
    <t>SEIPANGKALAN_EP</t>
  </si>
  <si>
    <t>20BEK0090</t>
  </si>
  <si>
    <t>SUNGAIDURI_BENGKAYANG_PL</t>
  </si>
  <si>
    <t>20BEK0036</t>
  </si>
  <si>
    <t>BUMI_MAS_PL</t>
  </si>
  <si>
    <t>DSE-JAGOIBABNG01</t>
  </si>
  <si>
    <t>20BEK0035</t>
  </si>
  <si>
    <t>JELAYAN_TERIAK_BEK_MT</t>
  </si>
  <si>
    <t>20BEK0037</t>
  </si>
  <si>
    <t>BUMI_EMAS_BENGKAYANG_MT</t>
  </si>
  <si>
    <t>20BEK0039</t>
  </si>
  <si>
    <t>BENGKAYANG_MT</t>
  </si>
  <si>
    <t>20BEK0045</t>
  </si>
  <si>
    <t>MALO_JELAYAN_IB</t>
  </si>
  <si>
    <t>20BEK0046</t>
  </si>
  <si>
    <t>BENGKAYANG2_MT</t>
  </si>
  <si>
    <t>20BEK0075</t>
  </si>
  <si>
    <t>NEW_LALAGOLDEN_PL</t>
  </si>
  <si>
    <t>20BEK0091</t>
  </si>
  <si>
    <t>TERIAK_BANA_PL</t>
  </si>
  <si>
    <t>20BEK0055</t>
  </si>
  <si>
    <t>PISAK_KAMUH_PL</t>
  </si>
  <si>
    <t>20BEK0062</t>
  </si>
  <si>
    <t>PISAK_MT</t>
  </si>
  <si>
    <t>20BEK0080</t>
  </si>
  <si>
    <t>PISAK_TUJUHBELAS_PL</t>
  </si>
  <si>
    <t>20BEK0061</t>
  </si>
  <si>
    <t>SEGUNDE_MT</t>
  </si>
  <si>
    <t>20BEK0058</t>
  </si>
  <si>
    <t>SINAR_TEBUDAK_MT</t>
  </si>
  <si>
    <t>CATEGORY</t>
  </si>
  <si>
    <t>BANDARA_SERUKAM_CM</t>
  </si>
  <si>
    <t>PARTNER</t>
  </si>
  <si>
    <t>DSE CODE</t>
  </si>
  <si>
    <t>LRS</t>
  </si>
  <si>
    <t>AT RISK</t>
  </si>
  <si>
    <t>PROFIT</t>
  </si>
  <si>
    <t>REVENUE MTD</t>
  </si>
  <si>
    <t>FWA VLR MTD</t>
  </si>
  <si>
    <t>OUTLET AGUSTUS</t>
  </si>
  <si>
    <t>REVENUE LMTD</t>
  </si>
  <si>
    <t>VLR MTD</t>
  </si>
  <si>
    <t>VLR LMTD</t>
  </si>
  <si>
    <t>FWA VLR LMTD</t>
  </si>
  <si>
    <t>RGU GA LMTD</t>
  </si>
  <si>
    <t>RGU GA MTD</t>
  </si>
  <si>
    <t>RGU 90D MTD</t>
  </si>
  <si>
    <t>RGU 90D LMTD</t>
  </si>
  <si>
    <t>lmtd</t>
  </si>
  <si>
    <t>mtd</t>
  </si>
  <si>
    <t>Row Labels</t>
  </si>
  <si>
    <t>Sum of RGU 90D</t>
  </si>
  <si>
    <t>Sum of FWA VLR</t>
  </si>
  <si>
    <t>Sum of VLR SUBS</t>
  </si>
  <si>
    <t>Sum of PREPAID REVENUE NETT</t>
  </si>
  <si>
    <t>20BEK0049</t>
  </si>
  <si>
    <t>GROWTH</t>
  </si>
  <si>
    <t>Grand Total</t>
  </si>
  <si>
    <t>Sum of RGU GA TRADE</t>
  </si>
  <si>
    <t>20MPW0001</t>
  </si>
  <si>
    <t>20MPW0002</t>
  </si>
  <si>
    <t>20MPW0003</t>
  </si>
  <si>
    <t>20MPW0004</t>
  </si>
  <si>
    <t>20MPW0005</t>
  </si>
  <si>
    <t>20MPW0006</t>
  </si>
  <si>
    <t>20MPW0007</t>
  </si>
  <si>
    <t>20MPW0008</t>
  </si>
  <si>
    <t>20MPW0009</t>
  </si>
  <si>
    <t>20MPW0010</t>
  </si>
  <si>
    <t>20MPW0011</t>
  </si>
  <si>
    <t>20MPW0012</t>
  </si>
  <si>
    <t>20MPW0013</t>
  </si>
  <si>
    <t>20MPW0014</t>
  </si>
  <si>
    <t>20MPW0015</t>
  </si>
  <si>
    <t>20MPW0016</t>
  </si>
  <si>
    <t>20MPW0017</t>
  </si>
  <si>
    <t>20MPW0018</t>
  </si>
  <si>
    <t>20MPW0019</t>
  </si>
  <si>
    <t>20MPW0020</t>
  </si>
  <si>
    <t>20MPW0021</t>
  </si>
  <si>
    <t>20MPW0022</t>
  </si>
  <si>
    <t>20MPW0023</t>
  </si>
  <si>
    <t>20MPW0024</t>
  </si>
  <si>
    <t>20MPW0025</t>
  </si>
  <si>
    <t>20MPW0026</t>
  </si>
  <si>
    <t>20MPW0027</t>
  </si>
  <si>
    <t>20MPW0028</t>
  </si>
  <si>
    <t>20MPW0029</t>
  </si>
  <si>
    <t>20MPW0030</t>
  </si>
  <si>
    <t>20MPW0031</t>
  </si>
  <si>
    <t>20MPW0032</t>
  </si>
  <si>
    <t>20MPW0033</t>
  </si>
  <si>
    <t>20MPW0034</t>
  </si>
  <si>
    <t>20MPW0035</t>
  </si>
  <si>
    <t>20MPW0036</t>
  </si>
  <si>
    <t>20MPW0037</t>
  </si>
  <si>
    <t>20MPW0038</t>
  </si>
  <si>
    <t>20MPW0039</t>
  </si>
  <si>
    <t>20MPW0041</t>
  </si>
  <si>
    <t>20MPW0042</t>
  </si>
  <si>
    <t>20MPW0043</t>
  </si>
  <si>
    <t>20MPW0044</t>
  </si>
  <si>
    <t>20MPW0045</t>
  </si>
  <si>
    <t>20MPW0047</t>
  </si>
  <si>
    <t>20MPW0048</t>
  </si>
  <si>
    <t>20MPW0049</t>
  </si>
  <si>
    <t>20MPW0050</t>
  </si>
  <si>
    <t>20MPW0051</t>
  </si>
  <si>
    <t>20MPW0052</t>
  </si>
  <si>
    <t>20MPW0053</t>
  </si>
  <si>
    <t>20MPW0055</t>
  </si>
  <si>
    <t>20MPW0056</t>
  </si>
  <si>
    <t>20MPW0057</t>
  </si>
  <si>
    <t>20MPW0058</t>
  </si>
  <si>
    <t>20MPW0059</t>
  </si>
  <si>
    <t>20MPW0060</t>
  </si>
  <si>
    <t>20MPW0061</t>
  </si>
  <si>
    <t>20MPW0063</t>
  </si>
  <si>
    <t>20MPW0064</t>
  </si>
  <si>
    <t>20MPW0065</t>
  </si>
  <si>
    <t>20MPW0066</t>
  </si>
  <si>
    <t>20MPW0067</t>
  </si>
  <si>
    <t>20MPW0068</t>
  </si>
  <si>
    <t>20MPW0069</t>
  </si>
  <si>
    <t>20MPW0071</t>
  </si>
  <si>
    <t>20MPW0073</t>
  </si>
  <si>
    <t>20MPW0075</t>
  </si>
  <si>
    <t>20MPW0076</t>
  </si>
  <si>
    <t>20MPW0077</t>
  </si>
  <si>
    <t>20MPW0078</t>
  </si>
  <si>
    <t>20MPW0079</t>
  </si>
  <si>
    <t>20MPW0080</t>
  </si>
  <si>
    <t>20MPW0081</t>
  </si>
  <si>
    <t>20MPW0082</t>
  </si>
  <si>
    <t>20MPW0083</t>
  </si>
  <si>
    <t>20MPW0084</t>
  </si>
  <si>
    <t>20MPW0085</t>
  </si>
  <si>
    <t>20MPW0086</t>
  </si>
  <si>
    <t>20MPW0087</t>
  </si>
  <si>
    <t>20MPW0089</t>
  </si>
  <si>
    <t>20SBS0001</t>
  </si>
  <si>
    <t>20SBS0002</t>
  </si>
  <si>
    <t>20SBS0003</t>
  </si>
  <si>
    <t>20SBS0004</t>
  </si>
  <si>
    <t>20SBS0005</t>
  </si>
  <si>
    <t>20SBS0006</t>
  </si>
  <si>
    <t>20SBS0007</t>
  </si>
  <si>
    <t>20SBS0008</t>
  </si>
  <si>
    <t>20SBS0009</t>
  </si>
  <si>
    <t>20SBS0010</t>
  </si>
  <si>
    <t>20SBS0011</t>
  </si>
  <si>
    <t>20SBS0012</t>
  </si>
  <si>
    <t>20SBS0013</t>
  </si>
  <si>
    <t>20SBS0014</t>
  </si>
  <si>
    <t>20SBS0015</t>
  </si>
  <si>
    <t>20SBS0017</t>
  </si>
  <si>
    <t>20SBS0018</t>
  </si>
  <si>
    <t>20SBS0019</t>
  </si>
  <si>
    <t>20SBS0020</t>
  </si>
  <si>
    <t>20SBS0021</t>
  </si>
  <si>
    <t>20SBS0023</t>
  </si>
  <si>
    <t>20SBS0024</t>
  </si>
  <si>
    <t>20SBS0025</t>
  </si>
  <si>
    <t>20SBS0026</t>
  </si>
  <si>
    <t>20SBS0027</t>
  </si>
  <si>
    <t>20SBS0028</t>
  </si>
  <si>
    <t>20SBS0029</t>
  </si>
  <si>
    <t>20SBS0031</t>
  </si>
  <si>
    <t>20SBS0032</t>
  </si>
  <si>
    <t>20SBS0033</t>
  </si>
  <si>
    <t>20SBS0034</t>
  </si>
  <si>
    <t>20SBS0035</t>
  </si>
  <si>
    <t>20SBS0036</t>
  </si>
  <si>
    <t>20SBS0037</t>
  </si>
  <si>
    <t>20SBS0038</t>
  </si>
  <si>
    <t>20SBS0039</t>
  </si>
  <si>
    <t>20SBS0040</t>
  </si>
  <si>
    <t>20SBS0041</t>
  </si>
  <si>
    <t>20SBS0042</t>
  </si>
  <si>
    <t>20SBS0043</t>
  </si>
  <si>
    <t>20SBS0044</t>
  </si>
  <si>
    <t>20SBS0045</t>
  </si>
  <si>
    <t>20SBS0047</t>
  </si>
  <si>
    <t>20SBS0048</t>
  </si>
  <si>
    <t>20SBS0049</t>
  </si>
  <si>
    <t>20SBS0050</t>
  </si>
  <si>
    <t>20SBS0051</t>
  </si>
  <si>
    <t>20SBS0052</t>
  </si>
  <si>
    <t>20SBS0054</t>
  </si>
  <si>
    <t>20SBS0055</t>
  </si>
  <si>
    <t>20SBS0056</t>
  </si>
  <si>
    <t>20SBS0057</t>
  </si>
  <si>
    <t>20SBS0058</t>
  </si>
  <si>
    <t>20SBS0059</t>
  </si>
  <si>
    <t>20SBS0060</t>
  </si>
  <si>
    <t>20SBS0061</t>
  </si>
  <si>
    <t>20SBS0062</t>
  </si>
  <si>
    <t>20SBS0064</t>
  </si>
  <si>
    <t>20SBS0065</t>
  </si>
  <si>
    <t>20SBS0066</t>
  </si>
  <si>
    <t>20SBS0067</t>
  </si>
  <si>
    <t>20SBS0068</t>
  </si>
  <si>
    <t>20SBS0069</t>
  </si>
  <si>
    <t>20SBS0070</t>
  </si>
  <si>
    <t>20SBS0071</t>
  </si>
  <si>
    <t>20SBS0072</t>
  </si>
  <si>
    <t>20SBS0073</t>
  </si>
  <si>
    <t>20SBS0074</t>
  </si>
  <si>
    <t>20SBS0075</t>
  </si>
  <si>
    <t>20SBS0076</t>
  </si>
  <si>
    <t>20SBS0077</t>
  </si>
  <si>
    <t>20SBS0078</t>
  </si>
  <si>
    <t>20SBS0079</t>
  </si>
  <si>
    <t>20SBS0080</t>
  </si>
  <si>
    <t>20SBS0081</t>
  </si>
  <si>
    <t>20SBS0082</t>
  </si>
  <si>
    <t>20SBS0083</t>
  </si>
  <si>
    <t>20SBS0084</t>
  </si>
  <si>
    <t>20SBS0085</t>
  </si>
  <si>
    <t>20SBS0086</t>
  </si>
  <si>
    <t>20SBS0087</t>
  </si>
  <si>
    <t>20SBS0088</t>
  </si>
  <si>
    <t>20SBS0089</t>
  </si>
  <si>
    <t>20SBS0090</t>
  </si>
  <si>
    <t>20SBS0091</t>
  </si>
  <si>
    <t>20SBS0092</t>
  </si>
  <si>
    <t>20SBS0093</t>
  </si>
  <si>
    <t>20SBS0094</t>
  </si>
  <si>
    <t>20SBS0095</t>
  </si>
  <si>
    <t>20SBS0096</t>
  </si>
  <si>
    <t>20SBS0097</t>
  </si>
  <si>
    <t>20SBS0098</t>
  </si>
  <si>
    <t>20SBS0099</t>
  </si>
  <si>
    <t>20SBS0100</t>
  </si>
  <si>
    <t>20SBS0101</t>
  </si>
  <si>
    <t>20SBS0102</t>
  </si>
  <si>
    <t>20SBS0103</t>
  </si>
  <si>
    <t>20SBS0104</t>
  </si>
  <si>
    <t>20SBS0105</t>
  </si>
  <si>
    <t>20SBS0106</t>
  </si>
  <si>
    <t>20SBS0107</t>
  </si>
  <si>
    <t>20SBS0108</t>
  </si>
  <si>
    <t>20SBS0109</t>
  </si>
  <si>
    <t>20SBS0110</t>
  </si>
  <si>
    <t>20SBS0111</t>
  </si>
  <si>
    <t>20SBS0112</t>
  </si>
  <si>
    <t>20SBS0113</t>
  </si>
  <si>
    <t>20SBS0114</t>
  </si>
  <si>
    <t>20SBS0115</t>
  </si>
  <si>
    <t>20SBS0116</t>
  </si>
  <si>
    <t>20SBS0117</t>
  </si>
  <si>
    <t>20SBS0118</t>
  </si>
  <si>
    <t>20SBS0119</t>
  </si>
  <si>
    <t>20SBS0120</t>
  </si>
  <si>
    <t>20SBS0121</t>
  </si>
  <si>
    <t>20SBS0122</t>
  </si>
  <si>
    <t>20SBS0123</t>
  </si>
  <si>
    <t>20SBS0124</t>
  </si>
  <si>
    <t>20SBS0125</t>
  </si>
  <si>
    <t>20SBS0126</t>
  </si>
  <si>
    <t>20SBS0127</t>
  </si>
  <si>
    <t>20SBS0128</t>
  </si>
  <si>
    <t>20SBS0129</t>
  </si>
  <si>
    <t>20SBS0130</t>
  </si>
  <si>
    <t>20SBS0131</t>
  </si>
  <si>
    <t>20SBS0132</t>
  </si>
  <si>
    <t>20SBS0134</t>
  </si>
  <si>
    <t>20SBS0135</t>
  </si>
  <si>
    <t>20SBS0136</t>
  </si>
  <si>
    <t>20SBS0137</t>
  </si>
  <si>
    <t>20SBS0138</t>
  </si>
  <si>
    <t>20SBS0139</t>
  </si>
  <si>
    <t>20SBS0140</t>
  </si>
  <si>
    <t>20SBS0141</t>
  </si>
  <si>
    <t>20SBS0143</t>
  </si>
  <si>
    <t>20SBS0144</t>
  </si>
  <si>
    <t>20SBS0145</t>
  </si>
  <si>
    <t>20SBS0146</t>
  </si>
  <si>
    <t>20SBS0147</t>
  </si>
  <si>
    <t>20SBS0148</t>
  </si>
  <si>
    <t>20SBS0149</t>
  </si>
  <si>
    <t>20SBS0150</t>
  </si>
  <si>
    <t>20SBS0151</t>
  </si>
  <si>
    <t>20SBS0152</t>
  </si>
  <si>
    <t>20SBS0153</t>
  </si>
  <si>
    <t>20SBS0154</t>
  </si>
  <si>
    <t>20SBS0155</t>
  </si>
  <si>
    <t>20SBS0156</t>
  </si>
  <si>
    <t>20SBS0157</t>
  </si>
  <si>
    <t>20SBS0158</t>
  </si>
  <si>
    <t>20SBS0159</t>
  </si>
  <si>
    <t>20SBS0160</t>
  </si>
  <si>
    <t>20SBS0161</t>
  </si>
  <si>
    <t>20SBS0162</t>
  </si>
  <si>
    <t>20SBS0163</t>
  </si>
  <si>
    <t>20SBS0164</t>
  </si>
  <si>
    <t>20SBS0165</t>
  </si>
  <si>
    <t>20SBS0166</t>
  </si>
  <si>
    <t>20SBS0167</t>
  </si>
  <si>
    <t>20SBS0168</t>
  </si>
  <si>
    <t>20SBS0169</t>
  </si>
  <si>
    <t>20SBS0170</t>
  </si>
  <si>
    <t>20SBS0171</t>
  </si>
  <si>
    <t>20SBS0172</t>
  </si>
  <si>
    <t>20SBS0173</t>
  </si>
  <si>
    <t>20SBS0174</t>
  </si>
  <si>
    <t>20SBS0175</t>
  </si>
  <si>
    <t>20SBS0176</t>
  </si>
  <si>
    <t>20SBS0177</t>
  </si>
  <si>
    <t>20SBS0178</t>
  </si>
  <si>
    <t>20SBS0179</t>
  </si>
  <si>
    <t>20SBS0181</t>
  </si>
  <si>
    <t>20SBS0182</t>
  </si>
  <si>
    <t>20SBS0183</t>
  </si>
  <si>
    <t>20SBS0184</t>
  </si>
  <si>
    <t>20SBS0185</t>
  </si>
  <si>
    <t>20SBS0186</t>
  </si>
  <si>
    <t>20SBS0188</t>
  </si>
  <si>
    <t>20SBS0189</t>
  </si>
  <si>
    <t>20SBS0190</t>
  </si>
  <si>
    <t>20SBS0191</t>
  </si>
  <si>
    <t>20SBS0192</t>
  </si>
  <si>
    <t>20SBS0193</t>
  </si>
  <si>
    <t>20SBS0194</t>
  </si>
  <si>
    <t>20SKW0001</t>
  </si>
  <si>
    <t>20SKW0002</t>
  </si>
  <si>
    <t>20SKW0003</t>
  </si>
  <si>
    <t>20SKW0004</t>
  </si>
  <si>
    <t>20SKW0005</t>
  </si>
  <si>
    <t>20SKW0006</t>
  </si>
  <si>
    <t>20SKW0007</t>
  </si>
  <si>
    <t>20SKW0008</t>
  </si>
  <si>
    <t>20SKW0009</t>
  </si>
  <si>
    <t>20SKW0010</t>
  </si>
  <si>
    <t>20SKW0011</t>
  </si>
  <si>
    <t>20SKW0012</t>
  </si>
  <si>
    <t>20SKW0013</t>
  </si>
  <si>
    <t>20SKW0014</t>
  </si>
  <si>
    <t>20SKW0015</t>
  </si>
  <si>
    <t>20SKW0016</t>
  </si>
  <si>
    <t>20SKW0017</t>
  </si>
  <si>
    <t>20SKW0018</t>
  </si>
  <si>
    <t>20SKW0019</t>
  </si>
  <si>
    <t>20SKW0020</t>
  </si>
  <si>
    <t>20SKW0021</t>
  </si>
  <si>
    <t>20SKW0022</t>
  </si>
  <si>
    <t>20SKW0023</t>
  </si>
  <si>
    <t>20SKW0024</t>
  </si>
  <si>
    <t>20SKW0025</t>
  </si>
  <si>
    <t>20SKW0026</t>
  </si>
  <si>
    <t>20SKW0027</t>
  </si>
  <si>
    <t>20SKW0028</t>
  </si>
  <si>
    <t>20SKW0029</t>
  </si>
  <si>
    <t>20SKW0030</t>
  </si>
  <si>
    <t>20SKW0031</t>
  </si>
  <si>
    <t>20SKW0032</t>
  </si>
  <si>
    <t>20SKW0033</t>
  </si>
  <si>
    <t>20SKW0034</t>
  </si>
  <si>
    <t>20SKW0035</t>
  </si>
  <si>
    <t>20SKW0036</t>
  </si>
  <si>
    <t>20SKW0038</t>
  </si>
  <si>
    <t>20SKW0039</t>
  </si>
  <si>
    <t>20SKW0040</t>
  </si>
  <si>
    <t>20SKW0041</t>
  </si>
  <si>
    <t>20SKW0042</t>
  </si>
  <si>
    <t>20SKW0043</t>
  </si>
  <si>
    <t>20SKW0044</t>
  </si>
  <si>
    <t>20SKW0045</t>
  </si>
  <si>
    <t>20SKW0046</t>
  </si>
  <si>
    <t>20SKW0047</t>
  </si>
  <si>
    <t>20SKW0048</t>
  </si>
  <si>
    <t>20SKW0049</t>
  </si>
  <si>
    <t>20SKW0050</t>
  </si>
  <si>
    <t>20SKW0051</t>
  </si>
  <si>
    <t>20SKW0052</t>
  </si>
  <si>
    <t>20SKW0053</t>
  </si>
  <si>
    <t>20SKW0054</t>
  </si>
  <si>
    <t>20SKW0055</t>
  </si>
  <si>
    <t>20SKW0056</t>
  </si>
  <si>
    <t>20SKW0057</t>
  </si>
  <si>
    <t>20SKW0058</t>
  </si>
  <si>
    <t>20SKW0059</t>
  </si>
  <si>
    <t>20SKW0060</t>
  </si>
  <si>
    <t>20SKW0061</t>
  </si>
  <si>
    <t>20SKW0062</t>
  </si>
  <si>
    <t>20SKW0063</t>
  </si>
  <si>
    <t>20SKW0064</t>
  </si>
  <si>
    <t>20SKW0065</t>
  </si>
  <si>
    <t>20SKW0066</t>
  </si>
  <si>
    <t>20SKW0067</t>
  </si>
  <si>
    <t>20SKW0068</t>
  </si>
  <si>
    <t>20SKW0069</t>
  </si>
  <si>
    <t>20SKW0070</t>
  </si>
  <si>
    <t>20SKW0071</t>
  </si>
  <si>
    <t>22TNR0069</t>
  </si>
  <si>
    <t>22TNR0070</t>
  </si>
  <si>
    <t>(blank)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</si>
</sst>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5">
    <xf numFmtId="0" fontId="0" fillId="0" borderId="0" xfId="0"/>
    <xf numFmtId="164" fontId="0" fillId="0" borderId="0" xfId="1" applyNumberFormat="1" applyFont="1"/>
    <xf numFmtId="3" fontId="0" fillId="0" borderId="0" xfId="0" applyNumberFormat="1"/>
    <xf numFmtId="0" fontId="2" fillId="2" borderId="1" xfId="0" applyFont="1" applyFill="1" applyBorder="1"/>
    <xf numFmtId="0" fontId="2" fillId="2" borderId="0" xfId="0" applyFont="1" applyFill="1" applyBorder="1"/>
    <xf numFmtId="164" fontId="2" fillId="2" borderId="1" xfId="1" applyNumberFormat="1" applyFont="1" applyFill="1" applyBorder="1"/>
    <xf numFmtId="164" fontId="2" fillId="2" borderId="0" xfId="1" applyNumberFormat="1" applyFont="1" applyFill="1" applyBorder="1"/>
    <xf numFmtId="0" fontId="3" fillId="3" borderId="0" xfId="0" applyFont="1" applyFill="1"/>
    <xf numFmtId="0" fontId="3" fillId="3" borderId="2" xfId="0" applyFont="1" applyFill="1" applyBorder="1"/>
    <xf numFmtId="0" fontId="0" fillId="0" borderId="0" xfId="0" applyAlignment="1">
      <alignment horizontal="left"/>
    </xf>
    <xf numFmtId="0" fontId="0" fillId="0" borderId="0" xfId="0" applyNumberFormat="1"/>
    <xf numFmtId="164" fontId="3" fillId="3" borderId="0" xfId="1" applyNumberFormat="1" applyFont="1" applyFill="1"/>
    <xf numFmtId="10" fontId="0" fillId="0" borderId="0" xfId="2" applyNumberFormat="1" applyFont="1"/>
    <xf numFmtId="0" fontId="3" fillId="3" borderId="3" xfId="0" applyNumberFormat="1" applyFont="1" applyFill="1" applyBorder="1"/>
    <xf numFmtId="0" fontId="3" fillId="3" borderId="3" xfId="0" applyFont="1" applyFill="1" applyBorder="1" applyAlignment="1">
      <alignment horizontal="left"/>
    </xf>
  </cellXfs>
  <cellStyles count="3">
    <cellStyle name="Comma" xfId="1" builtinId="3"/>
    <cellStyle name="Normal" xfId="0" builtinId="0"/>
    <cellStyle name="Percent" xfId="2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85"/>
  <sheetViews>
    <sheetView tabSelected="1" workbookViewId="0">
      <pane xSplit="1" ySplit="1" topLeftCell="B68" activePane="bottomRight" state="frozen"/>
      <selection pane="topRight" activeCell="C1" sqref="C1"/>
      <selection pane="bottomLeft" activeCell="A2" sqref="A2"/>
      <selection pane="bottomRight" activeCell="F2" sqref="F2:U85"/>
    </sheetView>
  </sheetViews>
  <sheetFormatPr defaultRowHeight="14.5" x14ac:dyDescent="0.35"/>
  <cols>
    <col min="1" max="1" width="9.90625" bestFit="1" customWidth="1"/>
    <col min="2" max="2" width="30.7265625" bestFit="1" customWidth="1"/>
    <col min="3" max="3" width="16.08984375" bestFit="1" customWidth="1"/>
    <col min="4" max="4" width="18.36328125" bestFit="1" customWidth="1"/>
    <col min="5" max="5" width="13" bestFit="1" customWidth="1"/>
    <col min="6" max="6" width="18.26953125" bestFit="1" customWidth="1"/>
    <col min="7" max="8" width="18.26953125" customWidth="1"/>
    <col min="9" max="9" width="12.08984375" bestFit="1" customWidth="1"/>
    <col min="10" max="10" width="12.08984375" customWidth="1"/>
    <col min="11" max="11" width="16.54296875" bestFit="1" customWidth="1"/>
    <col min="12" max="12" width="16.54296875" customWidth="1"/>
    <col min="13" max="13" width="17" style="1" bestFit="1" customWidth="1"/>
    <col min="14" max="14" width="17" style="1" customWidth="1"/>
    <col min="15" max="15" width="17.81640625" style="1" bestFit="1" customWidth="1"/>
    <col min="16" max="16" width="18.54296875" bestFit="1" customWidth="1"/>
    <col min="17" max="17" width="17" bestFit="1" customWidth="1"/>
    <col min="21" max="21" width="17" bestFit="1" customWidth="1"/>
  </cols>
  <sheetData>
    <row r="1" spans="1:21" x14ac:dyDescent="0.35">
      <c r="A1" s="3" t="s">
        <v>0</v>
      </c>
      <c r="B1" s="3" t="s">
        <v>1</v>
      </c>
      <c r="C1" s="4" t="s">
        <v>178</v>
      </c>
      <c r="D1" s="4" t="s">
        <v>179</v>
      </c>
      <c r="E1" s="3" t="s">
        <v>176</v>
      </c>
      <c r="F1" s="5" t="s">
        <v>186</v>
      </c>
      <c r="G1" s="5" t="s">
        <v>183</v>
      </c>
      <c r="H1" s="5" t="s">
        <v>202</v>
      </c>
      <c r="I1" s="3" t="s">
        <v>188</v>
      </c>
      <c r="J1" s="3" t="s">
        <v>187</v>
      </c>
      <c r="K1" s="5" t="s">
        <v>202</v>
      </c>
      <c r="L1" s="3" t="s">
        <v>189</v>
      </c>
      <c r="M1" s="3" t="s">
        <v>184</v>
      </c>
      <c r="N1" s="5" t="s">
        <v>202</v>
      </c>
      <c r="O1" s="5" t="s">
        <v>190</v>
      </c>
      <c r="P1" s="5" t="s">
        <v>191</v>
      </c>
      <c r="Q1" s="5" t="s">
        <v>202</v>
      </c>
      <c r="R1" s="5" t="s">
        <v>193</v>
      </c>
      <c r="S1" s="5" t="s">
        <v>192</v>
      </c>
      <c r="T1" s="5" t="s">
        <v>202</v>
      </c>
      <c r="U1" s="6" t="s">
        <v>185</v>
      </c>
    </row>
    <row r="2" spans="1:21" x14ac:dyDescent="0.35">
      <c r="A2" t="s">
        <v>117</v>
      </c>
      <c r="B2" t="s">
        <v>118</v>
      </c>
      <c r="C2" t="s">
        <v>22</v>
      </c>
      <c r="D2" t="s">
        <v>69</v>
      </c>
      <c r="E2" t="s">
        <v>180</v>
      </c>
      <c r="F2" s="1">
        <f>VLOOKUP(A:A,MASTER!A:F,6,0)</f>
        <v>16983571.634807829</v>
      </c>
      <c r="G2" s="1">
        <f>VLOOKUP(A:A,MASTER!A:K,11,0)</f>
        <v>16587043.894551883</v>
      </c>
      <c r="H2" s="12">
        <f>IFERROR(G2/F2-1,0)</f>
        <v>-2.3347723834676981E-2</v>
      </c>
      <c r="I2" s="2">
        <f>VLOOKUP(A:A,MASTER!A:E,5,0)</f>
        <v>390</v>
      </c>
      <c r="J2" s="2">
        <f>VLOOKUP(A:A,MASTER!A:J,10,0)</f>
        <v>315</v>
      </c>
      <c r="K2" s="12">
        <f>IFERROR(J2/I2-1,0)</f>
        <v>-0.19230769230769229</v>
      </c>
      <c r="L2" s="2">
        <f>VLOOKUP(A:A,MASTER!A:D,4,0)</f>
        <v>2</v>
      </c>
      <c r="M2" s="2">
        <f>VLOOKUP(A:A,MASTER!A:I,9,0)</f>
        <v>2</v>
      </c>
      <c r="N2" s="12">
        <f>IFERROR(M2/L2-1,0)</f>
        <v>0</v>
      </c>
      <c r="O2" s="1">
        <f>VLOOKUP(A:A,MASTER!A:C,3,0)</f>
        <v>3</v>
      </c>
      <c r="P2" s="1">
        <f>VLOOKUP(A:A,MASTER!A:H,8,0)</f>
        <v>1</v>
      </c>
      <c r="Q2" s="12">
        <f>IFERROR(P2/O2-1,0)</f>
        <v>-0.66666666666666674</v>
      </c>
      <c r="R2" s="1">
        <f>VLOOKUP(A:A,MASTER!A:B,2,0)</f>
        <v>432</v>
      </c>
      <c r="S2">
        <f>VLOOKUP(A:A,MASTER!A:G,7,0)</f>
        <v>369</v>
      </c>
      <c r="T2" s="12">
        <f>IFERROR(S2/R2-1,0)</f>
        <v>-0.14583333333333337</v>
      </c>
      <c r="U2">
        <v>3</v>
      </c>
    </row>
    <row r="3" spans="1:21" x14ac:dyDescent="0.35">
      <c r="A3" t="s">
        <v>127</v>
      </c>
      <c r="B3" t="s">
        <v>128</v>
      </c>
      <c r="C3" t="s">
        <v>22</v>
      </c>
      <c r="D3" t="s">
        <v>69</v>
      </c>
      <c r="E3" t="s">
        <v>181</v>
      </c>
      <c r="F3" s="1">
        <f>VLOOKUP(A:A,MASTER!A:F,6,0)</f>
        <v>19847277.817750745</v>
      </c>
      <c r="G3" s="1">
        <f>VLOOKUP(A:A,MASTER!A:K,11,0)</f>
        <v>18061925.532029279</v>
      </c>
      <c r="H3" s="12">
        <f t="shared" ref="H3:H66" si="0">IFERROR(G3/F3-1,0)</f>
        <v>-8.9954516791451722E-2</v>
      </c>
      <c r="I3" s="2">
        <f>VLOOKUP(A:A,MASTER!A:E,5,0)</f>
        <v>495</v>
      </c>
      <c r="J3" s="2">
        <f>VLOOKUP(A:A,MASTER!A:J,10,0)</f>
        <v>422</v>
      </c>
      <c r="K3" s="12">
        <f t="shared" ref="K3:K66" si="1">IFERROR(J3/I3-1,0)</f>
        <v>-0.14747474747474743</v>
      </c>
      <c r="L3" s="2">
        <f>VLOOKUP(A:A,MASTER!A:D,4,0)</f>
        <v>2</v>
      </c>
      <c r="M3" s="2">
        <f>VLOOKUP(A:A,MASTER!A:I,9,0)</f>
        <v>3</v>
      </c>
      <c r="N3" s="12">
        <f t="shared" ref="N3:N66" si="2">IFERROR(M3/L3-1,0)</f>
        <v>0.5</v>
      </c>
      <c r="O3" s="1">
        <f>VLOOKUP(A:A,MASTER!A:C,3,0)</f>
        <v>6</v>
      </c>
      <c r="P3" s="1">
        <f>VLOOKUP(A:A,MASTER!A:H,8,0)</f>
        <v>8</v>
      </c>
      <c r="Q3" s="12">
        <f t="shared" ref="Q3:Q66" si="3">IFERROR(P3/O3-1,0)</f>
        <v>0.33333333333333326</v>
      </c>
      <c r="R3" s="1">
        <f>VLOOKUP(A:A,MASTER!A:B,2,0)</f>
        <v>586</v>
      </c>
      <c r="S3">
        <f>VLOOKUP(A:A,MASTER!A:G,7,0)</f>
        <v>480</v>
      </c>
      <c r="T3" s="12">
        <f t="shared" ref="T3:T66" si="4">IFERROR(S3/R3-1,0)</f>
        <v>-0.1808873720136519</v>
      </c>
      <c r="U3">
        <v>2</v>
      </c>
    </row>
    <row r="4" spans="1:21" x14ac:dyDescent="0.35">
      <c r="A4" t="s">
        <v>119</v>
      </c>
      <c r="B4" t="s">
        <v>120</v>
      </c>
      <c r="C4" t="s">
        <v>22</v>
      </c>
      <c r="D4" t="s">
        <v>69</v>
      </c>
      <c r="E4" t="s">
        <v>182</v>
      </c>
      <c r="F4" s="1">
        <f>VLOOKUP(A:A,MASTER!A:F,6,0)</f>
        <v>29381718.264677547</v>
      </c>
      <c r="G4" s="1">
        <f>VLOOKUP(A:A,MASTER!A:K,11,0)</f>
        <v>20203028.185101006</v>
      </c>
      <c r="H4" s="12">
        <f t="shared" si="0"/>
        <v>-0.31239459846741113</v>
      </c>
      <c r="I4" s="2">
        <f>VLOOKUP(A:A,MASTER!A:E,5,0)</f>
        <v>758</v>
      </c>
      <c r="J4" s="2">
        <f>VLOOKUP(A:A,MASTER!A:J,10,0)</f>
        <v>717</v>
      </c>
      <c r="K4" s="12">
        <f t="shared" si="1"/>
        <v>-5.4089709762533023E-2</v>
      </c>
      <c r="L4" s="2">
        <f>VLOOKUP(A:A,MASTER!A:D,4,0)</f>
        <v>1</v>
      </c>
      <c r="M4" s="2">
        <f>VLOOKUP(A:A,MASTER!A:I,9,0)</f>
        <v>1</v>
      </c>
      <c r="N4" s="12">
        <f t="shared" si="2"/>
        <v>0</v>
      </c>
      <c r="O4" s="1">
        <f>VLOOKUP(A:A,MASTER!A:C,3,0)</f>
        <v>11</v>
      </c>
      <c r="P4" s="1">
        <f>VLOOKUP(A:A,MASTER!A:H,8,0)</f>
        <v>9</v>
      </c>
      <c r="Q4" s="12">
        <f t="shared" si="3"/>
        <v>-0.18181818181818177</v>
      </c>
      <c r="R4" s="1">
        <f>VLOOKUP(A:A,MASTER!A:B,2,0)</f>
        <v>793</v>
      </c>
      <c r="S4">
        <f>VLOOKUP(A:A,MASTER!A:G,7,0)</f>
        <v>751</v>
      </c>
      <c r="T4" s="12">
        <f t="shared" si="4"/>
        <v>-5.2963430012610391E-2</v>
      </c>
      <c r="U4">
        <v>4</v>
      </c>
    </row>
    <row r="5" spans="1:21" x14ac:dyDescent="0.35">
      <c r="A5" t="s">
        <v>121</v>
      </c>
      <c r="B5" t="s">
        <v>122</v>
      </c>
      <c r="C5" t="s">
        <v>22</v>
      </c>
      <c r="D5" t="s">
        <v>69</v>
      </c>
      <c r="E5" t="s">
        <v>182</v>
      </c>
      <c r="F5" s="1">
        <f>VLOOKUP(A:A,MASTER!A:F,6,0)</f>
        <v>45150816.551205158</v>
      </c>
      <c r="G5" s="1">
        <f>VLOOKUP(A:A,MASTER!A:K,11,0)</f>
        <v>45038898.358889237</v>
      </c>
      <c r="H5" s="12">
        <f t="shared" si="0"/>
        <v>-2.4787634170246875E-3</v>
      </c>
      <c r="I5" s="2">
        <f>VLOOKUP(A:A,MASTER!A:E,5,0)</f>
        <v>1150</v>
      </c>
      <c r="J5" s="2">
        <f>VLOOKUP(A:A,MASTER!A:J,10,0)</f>
        <v>978</v>
      </c>
      <c r="K5" s="12">
        <f t="shared" si="1"/>
        <v>-0.14956521739130435</v>
      </c>
      <c r="L5" s="2">
        <f>VLOOKUP(A:A,MASTER!A:D,4,0)</f>
        <v>3</v>
      </c>
      <c r="M5" s="2">
        <f>VLOOKUP(A:A,MASTER!A:I,9,0)</f>
        <v>2</v>
      </c>
      <c r="N5" s="12">
        <f t="shared" si="2"/>
        <v>-0.33333333333333337</v>
      </c>
      <c r="O5" s="1">
        <f>VLOOKUP(A:A,MASTER!A:C,3,0)</f>
        <v>11</v>
      </c>
      <c r="P5" s="1">
        <f>VLOOKUP(A:A,MASTER!A:H,8,0)</f>
        <v>11</v>
      </c>
      <c r="Q5" s="12">
        <f t="shared" si="3"/>
        <v>0</v>
      </c>
      <c r="R5" s="1">
        <f>VLOOKUP(A:A,MASTER!A:B,2,0)</f>
        <v>1260</v>
      </c>
      <c r="S5">
        <f>VLOOKUP(A:A,MASTER!A:G,7,0)</f>
        <v>1040</v>
      </c>
      <c r="T5" s="12">
        <f t="shared" si="4"/>
        <v>-0.17460317460317465</v>
      </c>
      <c r="U5">
        <v>1</v>
      </c>
    </row>
    <row r="6" spans="1:21" x14ac:dyDescent="0.35">
      <c r="A6" t="s">
        <v>123</v>
      </c>
      <c r="B6" t="s">
        <v>124</v>
      </c>
      <c r="C6" t="s">
        <v>22</v>
      </c>
      <c r="D6" t="s">
        <v>69</v>
      </c>
      <c r="E6" t="s">
        <v>182</v>
      </c>
      <c r="F6" s="1">
        <f>VLOOKUP(A:A,MASTER!A:F,6,0)</f>
        <v>19331302.565807231</v>
      </c>
      <c r="G6" s="1">
        <f>VLOOKUP(A:A,MASTER!A:K,11,0)</f>
        <v>20167862.49942258</v>
      </c>
      <c r="H6" s="12">
        <f t="shared" si="0"/>
        <v>4.3274886975026572E-2</v>
      </c>
      <c r="I6" s="2">
        <f>VLOOKUP(A:A,MASTER!A:E,5,0)</f>
        <v>399</v>
      </c>
      <c r="J6" s="2">
        <f>VLOOKUP(A:A,MASTER!A:J,10,0)</f>
        <v>404</v>
      </c>
      <c r="K6" s="12">
        <f t="shared" si="1"/>
        <v>1.2531328320801949E-2</v>
      </c>
      <c r="L6" s="2">
        <f>VLOOKUP(A:A,MASTER!A:D,4,0)</f>
        <v>1</v>
      </c>
      <c r="M6" s="2">
        <f>VLOOKUP(A:A,MASTER!A:I,9,0)</f>
        <v>1</v>
      </c>
      <c r="N6" s="12">
        <f t="shared" si="2"/>
        <v>0</v>
      </c>
      <c r="O6" s="1">
        <f>VLOOKUP(A:A,MASTER!A:C,3,0)</f>
        <v>1</v>
      </c>
      <c r="P6" s="1">
        <f>VLOOKUP(A:A,MASTER!A:H,8,0)</f>
        <v>4</v>
      </c>
      <c r="Q6" s="12">
        <f t="shared" si="3"/>
        <v>3</v>
      </c>
      <c r="R6" s="1">
        <f>VLOOKUP(A:A,MASTER!A:B,2,0)</f>
        <v>402</v>
      </c>
      <c r="S6">
        <f>VLOOKUP(A:A,MASTER!A:G,7,0)</f>
        <v>430</v>
      </c>
      <c r="T6" s="12">
        <f t="shared" si="4"/>
        <v>6.9651741293532243E-2</v>
      </c>
      <c r="U6">
        <v>3</v>
      </c>
    </row>
    <row r="7" spans="1:21" x14ac:dyDescent="0.35">
      <c r="A7" t="s">
        <v>125</v>
      </c>
      <c r="B7" t="s">
        <v>126</v>
      </c>
      <c r="C7" t="s">
        <v>22</v>
      </c>
      <c r="D7" t="s">
        <v>69</v>
      </c>
      <c r="E7" t="s">
        <v>182</v>
      </c>
      <c r="F7" s="1">
        <f>VLOOKUP(A:A,MASTER!A:F,6,0)</f>
        <v>16199052.508398777</v>
      </c>
      <c r="G7" s="1">
        <f>VLOOKUP(A:A,MASTER!A:K,11,0)</f>
        <v>13665704.576297684</v>
      </c>
      <c r="H7" s="12">
        <f t="shared" si="0"/>
        <v>-0.15638864870569558</v>
      </c>
      <c r="I7" s="2">
        <f>VLOOKUP(A:A,MASTER!A:E,5,0)</f>
        <v>370</v>
      </c>
      <c r="J7" s="2">
        <f>VLOOKUP(A:A,MASTER!A:J,10,0)</f>
        <v>237</v>
      </c>
      <c r="K7" s="12">
        <f t="shared" si="1"/>
        <v>-0.35945945945945945</v>
      </c>
      <c r="L7" s="2">
        <f>VLOOKUP(A:A,MASTER!A:D,4,0)</f>
        <v>2</v>
      </c>
      <c r="M7" s="2">
        <f>VLOOKUP(A:A,MASTER!A:I,9,0)</f>
        <v>2</v>
      </c>
      <c r="N7" s="12">
        <f t="shared" si="2"/>
        <v>0</v>
      </c>
      <c r="O7" s="1">
        <f>VLOOKUP(A:A,MASTER!A:C,3,0)</f>
        <v>3</v>
      </c>
      <c r="P7" s="1">
        <f>VLOOKUP(A:A,MASTER!A:H,8,0)</f>
        <v>4</v>
      </c>
      <c r="Q7" s="12">
        <f t="shared" si="3"/>
        <v>0.33333333333333326</v>
      </c>
      <c r="R7" s="1">
        <f>VLOOKUP(A:A,MASTER!A:B,2,0)</f>
        <v>390</v>
      </c>
      <c r="S7">
        <f>VLOOKUP(A:A,MASTER!A:G,7,0)</f>
        <v>282</v>
      </c>
      <c r="T7" s="12">
        <f t="shared" si="4"/>
        <v>-0.27692307692307694</v>
      </c>
      <c r="U7">
        <v>1</v>
      </c>
    </row>
    <row r="8" spans="1:21" x14ac:dyDescent="0.35">
      <c r="A8" t="s">
        <v>131</v>
      </c>
      <c r="B8" t="s">
        <v>132</v>
      </c>
      <c r="C8" t="s">
        <v>22</v>
      </c>
      <c r="D8" t="s">
        <v>69</v>
      </c>
      <c r="E8" t="s">
        <v>182</v>
      </c>
      <c r="F8" s="1">
        <f>VLOOKUP(A:A,MASTER!A:F,6,0)</f>
        <v>21007145.647327449</v>
      </c>
      <c r="G8" s="1">
        <f>VLOOKUP(A:A,MASTER!A:K,11,0)</f>
        <v>18586606.336915016</v>
      </c>
      <c r="H8" s="12">
        <f t="shared" si="0"/>
        <v>-0.1152245693464965</v>
      </c>
      <c r="I8" s="2">
        <f>VLOOKUP(A:A,MASTER!A:E,5,0)</f>
        <v>610</v>
      </c>
      <c r="J8" s="2">
        <f>VLOOKUP(A:A,MASTER!A:J,10,0)</f>
        <v>464</v>
      </c>
      <c r="K8" s="12">
        <f t="shared" si="1"/>
        <v>-0.23934426229508199</v>
      </c>
      <c r="L8" s="2">
        <f>VLOOKUP(A:A,MASTER!A:D,4,0)</f>
        <v>2</v>
      </c>
      <c r="M8" s="2">
        <f>VLOOKUP(A:A,MASTER!A:I,9,0)</f>
        <v>1</v>
      </c>
      <c r="N8" s="12">
        <f t="shared" si="2"/>
        <v>-0.5</v>
      </c>
      <c r="O8" s="1">
        <f>VLOOKUP(A:A,MASTER!A:C,3,0)</f>
        <v>3</v>
      </c>
      <c r="P8" s="1">
        <f>VLOOKUP(A:A,MASTER!A:H,8,0)</f>
        <v>11</v>
      </c>
      <c r="Q8" s="12">
        <f t="shared" si="3"/>
        <v>2.6666666666666665</v>
      </c>
      <c r="R8" s="1">
        <f>VLOOKUP(A:A,MASTER!A:B,2,0)</f>
        <v>624</v>
      </c>
      <c r="S8">
        <f>VLOOKUP(A:A,MASTER!A:G,7,0)</f>
        <v>547</v>
      </c>
      <c r="T8" s="12">
        <f t="shared" si="4"/>
        <v>-0.1233974358974359</v>
      </c>
      <c r="U8">
        <v>9</v>
      </c>
    </row>
    <row r="9" spans="1:21" x14ac:dyDescent="0.35">
      <c r="A9" t="s">
        <v>133</v>
      </c>
      <c r="B9" t="s">
        <v>134</v>
      </c>
      <c r="C9" t="s">
        <v>22</v>
      </c>
      <c r="D9" t="s">
        <v>69</v>
      </c>
      <c r="E9" t="s">
        <v>182</v>
      </c>
      <c r="F9" s="1">
        <f>VLOOKUP(A:A,MASTER!A:F,6,0)</f>
        <v>8278667.9983205991</v>
      </c>
      <c r="G9" s="1">
        <f>VLOOKUP(A:A,MASTER!A:K,11,0)</f>
        <v>8369468.3140039919</v>
      </c>
      <c r="H9" s="12">
        <f t="shared" si="0"/>
        <v>1.0967986118275652E-2</v>
      </c>
      <c r="I9" s="2">
        <f>VLOOKUP(A:A,MASTER!A:E,5,0)</f>
        <v>127</v>
      </c>
      <c r="J9" s="2">
        <f>VLOOKUP(A:A,MASTER!A:J,10,0)</f>
        <v>128</v>
      </c>
      <c r="K9" s="12">
        <f t="shared" si="1"/>
        <v>7.8740157480314821E-3</v>
      </c>
      <c r="L9" s="2">
        <f>VLOOKUP(A:A,MASTER!A:D,4,0)</f>
        <v>1</v>
      </c>
      <c r="M9" s="2">
        <f>VLOOKUP(A:A,MASTER!A:I,9,0)</f>
        <v>1</v>
      </c>
      <c r="N9" s="12">
        <f t="shared" si="2"/>
        <v>0</v>
      </c>
      <c r="O9" s="1">
        <f>VLOOKUP(A:A,MASTER!A:C,3,0)</f>
        <v>0</v>
      </c>
      <c r="P9" s="1">
        <f>VLOOKUP(A:A,MASTER!A:H,8,0)</f>
        <v>0</v>
      </c>
      <c r="Q9" s="12">
        <f t="shared" si="3"/>
        <v>0</v>
      </c>
      <c r="R9" s="1">
        <f>VLOOKUP(A:A,MASTER!A:B,2,0)</f>
        <v>185</v>
      </c>
      <c r="S9">
        <f>VLOOKUP(A:A,MASTER!A:G,7,0)</f>
        <v>164</v>
      </c>
      <c r="T9" s="12">
        <f t="shared" si="4"/>
        <v>-0.11351351351351346</v>
      </c>
      <c r="U9">
        <v>1</v>
      </c>
    </row>
    <row r="10" spans="1:21" x14ac:dyDescent="0.35">
      <c r="A10" t="s">
        <v>141</v>
      </c>
      <c r="B10" t="s">
        <v>142</v>
      </c>
      <c r="C10" t="s">
        <v>22</v>
      </c>
      <c r="D10" t="s">
        <v>69</v>
      </c>
      <c r="E10" t="s">
        <v>180</v>
      </c>
      <c r="F10" s="1">
        <f>VLOOKUP(A:A,MASTER!A:F,6,0)</f>
        <v>5633266.1475479249</v>
      </c>
      <c r="G10" s="1">
        <f>VLOOKUP(A:A,MASTER!A:K,11,0)</f>
        <v>8354841.4967260137</v>
      </c>
      <c r="H10" s="12">
        <f t="shared" si="0"/>
        <v>0.48312564645338996</v>
      </c>
      <c r="I10" s="2">
        <f>VLOOKUP(A:A,MASTER!A:E,5,0)</f>
        <v>142</v>
      </c>
      <c r="J10" s="2">
        <f>VLOOKUP(A:A,MASTER!A:J,10,0)</f>
        <v>160</v>
      </c>
      <c r="K10" s="12">
        <f t="shared" si="1"/>
        <v>0.12676056338028174</v>
      </c>
      <c r="L10" s="2">
        <f>VLOOKUP(A:A,MASTER!A:D,4,0)</f>
        <v>1</v>
      </c>
      <c r="M10" s="2">
        <f>VLOOKUP(A:A,MASTER!A:I,9,0)</f>
        <v>1</v>
      </c>
      <c r="N10" s="12">
        <f t="shared" si="2"/>
        <v>0</v>
      </c>
      <c r="O10" s="1">
        <f>VLOOKUP(A:A,MASTER!A:C,3,0)</f>
        <v>1</v>
      </c>
      <c r="P10" s="1">
        <f>VLOOKUP(A:A,MASTER!A:H,8,0)</f>
        <v>3</v>
      </c>
      <c r="Q10" s="12">
        <f t="shared" si="3"/>
        <v>2</v>
      </c>
      <c r="R10" s="1">
        <f>VLOOKUP(A:A,MASTER!A:B,2,0)</f>
        <v>189</v>
      </c>
      <c r="S10">
        <f>VLOOKUP(A:A,MASTER!A:G,7,0)</f>
        <v>198</v>
      </c>
      <c r="T10" s="12">
        <f t="shared" si="4"/>
        <v>4.7619047619047672E-2</v>
      </c>
      <c r="U10">
        <v>0</v>
      </c>
    </row>
    <row r="11" spans="1:21" x14ac:dyDescent="0.35">
      <c r="A11" t="s">
        <v>135</v>
      </c>
      <c r="B11" t="s">
        <v>136</v>
      </c>
      <c r="C11" t="s">
        <v>22</v>
      </c>
      <c r="D11" t="s">
        <v>69</v>
      </c>
      <c r="E11" t="s">
        <v>182</v>
      </c>
      <c r="F11" s="1">
        <f>VLOOKUP(A:A,MASTER!A:F,6,0)</f>
        <v>16877826.851075225</v>
      </c>
      <c r="G11" s="1">
        <f>VLOOKUP(A:A,MASTER!A:K,11,0)</f>
        <v>15117488.539536901</v>
      </c>
      <c r="H11" s="12">
        <f t="shared" si="0"/>
        <v>-0.10429887254271597</v>
      </c>
      <c r="I11" s="2">
        <f>VLOOKUP(A:A,MASTER!A:E,5,0)</f>
        <v>360</v>
      </c>
      <c r="J11" s="2">
        <f>VLOOKUP(A:A,MASTER!A:J,10,0)</f>
        <v>359</v>
      </c>
      <c r="K11" s="12">
        <f t="shared" si="1"/>
        <v>-2.7777777777777679E-3</v>
      </c>
      <c r="L11" s="2">
        <f>VLOOKUP(A:A,MASTER!A:D,4,0)</f>
        <v>1</v>
      </c>
      <c r="M11" s="2">
        <f>VLOOKUP(A:A,MASTER!A:I,9,0)</f>
        <v>1</v>
      </c>
      <c r="N11" s="12">
        <f t="shared" si="2"/>
        <v>0</v>
      </c>
      <c r="O11" s="1">
        <f>VLOOKUP(A:A,MASTER!A:C,3,0)</f>
        <v>5</v>
      </c>
      <c r="P11" s="1">
        <f>VLOOKUP(A:A,MASTER!A:H,8,0)</f>
        <v>9</v>
      </c>
      <c r="Q11" s="12">
        <f t="shared" si="3"/>
        <v>0.8</v>
      </c>
      <c r="R11" s="1">
        <f>VLOOKUP(A:A,MASTER!A:B,2,0)</f>
        <v>395</v>
      </c>
      <c r="S11">
        <f>VLOOKUP(A:A,MASTER!A:G,7,0)</f>
        <v>446</v>
      </c>
      <c r="T11" s="12">
        <f t="shared" si="4"/>
        <v>0.12911392405063293</v>
      </c>
      <c r="U11">
        <v>4</v>
      </c>
    </row>
    <row r="12" spans="1:21" x14ac:dyDescent="0.35">
      <c r="A12" t="s">
        <v>143</v>
      </c>
      <c r="B12" t="s">
        <v>144</v>
      </c>
      <c r="C12" t="s">
        <v>22</v>
      </c>
      <c r="D12" t="s">
        <v>69</v>
      </c>
      <c r="E12" t="s">
        <v>180</v>
      </c>
      <c r="F12" s="1">
        <f>VLOOKUP(A:A,MASTER!A:F,6,0)</f>
        <v>8820949.5979110599</v>
      </c>
      <c r="G12" s="1">
        <f>VLOOKUP(A:A,MASTER!A:K,11,0)</f>
        <v>7572011.9076009477</v>
      </c>
      <c r="H12" s="12">
        <f t="shared" si="0"/>
        <v>-0.14158766881582463</v>
      </c>
      <c r="I12" s="2">
        <f>VLOOKUP(A:A,MASTER!A:E,5,0)</f>
        <v>291</v>
      </c>
      <c r="J12" s="2">
        <f>VLOOKUP(A:A,MASTER!A:J,10,0)</f>
        <v>216</v>
      </c>
      <c r="K12" s="12">
        <f t="shared" si="1"/>
        <v>-0.25773195876288657</v>
      </c>
      <c r="L12" s="2">
        <f>VLOOKUP(A:A,MASTER!A:D,4,0)</f>
        <v>2</v>
      </c>
      <c r="M12" s="2">
        <f>VLOOKUP(A:A,MASTER!A:I,9,0)</f>
        <v>2</v>
      </c>
      <c r="N12" s="12">
        <f t="shared" si="2"/>
        <v>0</v>
      </c>
      <c r="O12" s="1">
        <f>VLOOKUP(A:A,MASTER!A:C,3,0)</f>
        <v>0</v>
      </c>
      <c r="P12" s="1">
        <f>VLOOKUP(A:A,MASTER!A:H,8,0)</f>
        <v>1</v>
      </c>
      <c r="Q12" s="12">
        <f t="shared" si="3"/>
        <v>0</v>
      </c>
      <c r="R12" s="1">
        <f>VLOOKUP(A:A,MASTER!A:B,2,0)</f>
        <v>241</v>
      </c>
      <c r="S12">
        <f>VLOOKUP(A:A,MASTER!A:G,7,0)</f>
        <v>227</v>
      </c>
      <c r="T12" s="12">
        <f t="shared" si="4"/>
        <v>-5.8091286307053958E-2</v>
      </c>
      <c r="U12">
        <v>2</v>
      </c>
    </row>
    <row r="13" spans="1:21" x14ac:dyDescent="0.35">
      <c r="A13" t="s">
        <v>145</v>
      </c>
      <c r="B13" t="s">
        <v>146</v>
      </c>
      <c r="C13" t="s">
        <v>22</v>
      </c>
      <c r="D13" t="s">
        <v>69</v>
      </c>
      <c r="E13" t="s">
        <v>180</v>
      </c>
      <c r="F13" s="1">
        <f>VLOOKUP(A:A,MASTER!A:F,6,0)</f>
        <v>9274244.2290603928</v>
      </c>
      <c r="G13" s="1">
        <f>VLOOKUP(A:A,MASTER!A:K,11,0)</f>
        <v>9950426.0419501606</v>
      </c>
      <c r="H13" s="12">
        <f t="shared" si="0"/>
        <v>7.2909640525853803E-2</v>
      </c>
      <c r="I13" s="2">
        <f>VLOOKUP(A:A,MASTER!A:E,5,0)</f>
        <v>262</v>
      </c>
      <c r="J13" s="2">
        <f>VLOOKUP(A:A,MASTER!A:J,10,0)</f>
        <v>227</v>
      </c>
      <c r="K13" s="12">
        <f t="shared" si="1"/>
        <v>-0.13358778625954193</v>
      </c>
      <c r="L13" s="2">
        <f>VLOOKUP(A:A,MASTER!A:D,4,0)</f>
        <v>1</v>
      </c>
      <c r="M13" s="2">
        <f>VLOOKUP(A:A,MASTER!A:I,9,0)</f>
        <v>0</v>
      </c>
      <c r="N13" s="12">
        <f t="shared" si="2"/>
        <v>-1</v>
      </c>
      <c r="O13" s="1">
        <f>VLOOKUP(A:A,MASTER!A:C,3,0)</f>
        <v>3</v>
      </c>
      <c r="P13" s="1">
        <f>VLOOKUP(A:A,MASTER!A:H,8,0)</f>
        <v>2</v>
      </c>
      <c r="Q13" s="12">
        <f t="shared" si="3"/>
        <v>-0.33333333333333337</v>
      </c>
      <c r="R13" s="1">
        <f>VLOOKUP(A:A,MASTER!A:B,2,0)</f>
        <v>249</v>
      </c>
      <c r="S13">
        <f>VLOOKUP(A:A,MASTER!A:G,7,0)</f>
        <v>262</v>
      </c>
      <c r="T13" s="12">
        <f t="shared" si="4"/>
        <v>5.2208835341365445E-2</v>
      </c>
      <c r="U13">
        <v>5</v>
      </c>
    </row>
    <row r="14" spans="1:21" x14ac:dyDescent="0.35">
      <c r="A14" t="s">
        <v>20</v>
      </c>
      <c r="B14" t="s">
        <v>21</v>
      </c>
      <c r="C14" t="s">
        <v>22</v>
      </c>
      <c r="D14" t="s">
        <v>69</v>
      </c>
      <c r="E14" t="s">
        <v>182</v>
      </c>
      <c r="F14" s="1">
        <f>VLOOKUP(A:A,MASTER!A:F,6,0)</f>
        <v>40760914.843795151</v>
      </c>
      <c r="G14" s="1">
        <f>VLOOKUP(A:A,MASTER!A:K,11,0)</f>
        <v>48365116.464128777</v>
      </c>
      <c r="H14" s="12">
        <f t="shared" si="0"/>
        <v>0.18655620585245969</v>
      </c>
      <c r="I14" s="2">
        <f>VLOOKUP(A:A,MASTER!A:E,5,0)</f>
        <v>1222</v>
      </c>
      <c r="J14" s="2">
        <f>VLOOKUP(A:A,MASTER!A:J,10,0)</f>
        <v>1205</v>
      </c>
      <c r="K14" s="12">
        <f t="shared" si="1"/>
        <v>-1.3911620294599025E-2</v>
      </c>
      <c r="L14" s="2">
        <f>VLOOKUP(A:A,MASTER!A:D,4,0)</f>
        <v>3</v>
      </c>
      <c r="M14" s="2">
        <f>VLOOKUP(A:A,MASTER!A:I,9,0)</f>
        <v>5</v>
      </c>
      <c r="N14" s="12">
        <f t="shared" si="2"/>
        <v>0.66666666666666674</v>
      </c>
      <c r="O14" s="1">
        <f>VLOOKUP(A:A,MASTER!A:C,3,0)</f>
        <v>6</v>
      </c>
      <c r="P14" s="1">
        <f>VLOOKUP(A:A,MASTER!A:H,8,0)</f>
        <v>13</v>
      </c>
      <c r="Q14" s="12">
        <f t="shared" si="3"/>
        <v>1.1666666666666665</v>
      </c>
      <c r="R14" s="1">
        <f>VLOOKUP(A:A,MASTER!A:B,2,0)</f>
        <v>1305</v>
      </c>
      <c r="S14">
        <f>VLOOKUP(A:A,MASTER!A:G,7,0)</f>
        <v>1460</v>
      </c>
      <c r="T14" s="12">
        <f t="shared" si="4"/>
        <v>0.11877394636015315</v>
      </c>
      <c r="U14">
        <v>3</v>
      </c>
    </row>
    <row r="15" spans="1:21" x14ac:dyDescent="0.35">
      <c r="A15" t="s">
        <v>45</v>
      </c>
      <c r="B15" t="s">
        <v>46</v>
      </c>
      <c r="C15" t="s">
        <v>22</v>
      </c>
      <c r="D15" t="s">
        <v>23</v>
      </c>
      <c r="E15" t="s">
        <v>182</v>
      </c>
      <c r="F15" s="1">
        <f>VLOOKUP(A:A,MASTER!A:F,6,0)</f>
        <v>64848021.924272336</v>
      </c>
      <c r="G15" s="1">
        <f>VLOOKUP(A:A,MASTER!A:K,11,0)</f>
        <v>62120249.00507763</v>
      </c>
      <c r="H15" s="12">
        <f t="shared" si="0"/>
        <v>-4.2064088282910528E-2</v>
      </c>
      <c r="I15" s="2">
        <f>VLOOKUP(A:A,MASTER!A:E,5,0)</f>
        <v>902</v>
      </c>
      <c r="J15" s="2">
        <f>VLOOKUP(A:A,MASTER!A:J,10,0)</f>
        <v>796</v>
      </c>
      <c r="K15" s="12">
        <f t="shared" si="1"/>
        <v>-0.1175166297117517</v>
      </c>
      <c r="L15" s="2">
        <f>VLOOKUP(A:A,MASTER!A:D,4,0)</f>
        <v>3</v>
      </c>
      <c r="M15" s="2">
        <f>VLOOKUP(A:A,MASTER!A:I,9,0)</f>
        <v>3</v>
      </c>
      <c r="N15" s="12">
        <f t="shared" si="2"/>
        <v>0</v>
      </c>
      <c r="O15" s="1">
        <f>VLOOKUP(A:A,MASTER!A:C,3,0)</f>
        <v>4</v>
      </c>
      <c r="P15" s="1">
        <f>VLOOKUP(A:A,MASTER!A:H,8,0)</f>
        <v>1</v>
      </c>
      <c r="Q15" s="12">
        <f t="shared" si="3"/>
        <v>-0.75</v>
      </c>
      <c r="R15" s="1">
        <f>VLOOKUP(A:A,MASTER!A:B,2,0)</f>
        <v>1210</v>
      </c>
      <c r="S15">
        <f>VLOOKUP(A:A,MASTER!A:G,7,0)</f>
        <v>1008</v>
      </c>
      <c r="T15" s="12">
        <f t="shared" si="4"/>
        <v>-0.16694214876033053</v>
      </c>
      <c r="U15">
        <v>3</v>
      </c>
    </row>
    <row r="16" spans="1:21" x14ac:dyDescent="0.35">
      <c r="A16" t="s">
        <v>47</v>
      </c>
      <c r="B16" t="s">
        <v>48</v>
      </c>
      <c r="C16" t="s">
        <v>22</v>
      </c>
      <c r="D16" t="s">
        <v>23</v>
      </c>
      <c r="E16" t="s">
        <v>182</v>
      </c>
      <c r="F16" s="1">
        <f>VLOOKUP(A:A,MASTER!A:F,6,0)</f>
        <v>34533143.962661423</v>
      </c>
      <c r="G16" s="1">
        <f>VLOOKUP(A:A,MASTER!A:K,11,0)</f>
        <v>33917094.613407806</v>
      </c>
      <c r="H16" s="12">
        <f t="shared" si="0"/>
        <v>-1.7839364696122462E-2</v>
      </c>
      <c r="I16" s="2">
        <f>VLOOKUP(A:A,MASTER!A:E,5,0)</f>
        <v>949</v>
      </c>
      <c r="J16" s="2">
        <f>VLOOKUP(A:A,MASTER!A:J,10,0)</f>
        <v>973</v>
      </c>
      <c r="K16" s="12">
        <f t="shared" si="1"/>
        <v>2.5289778714436162E-2</v>
      </c>
      <c r="L16" s="2">
        <f>VLOOKUP(A:A,MASTER!A:D,4,0)</f>
        <v>5</v>
      </c>
      <c r="M16" s="2">
        <f>VLOOKUP(A:A,MASTER!A:I,9,0)</f>
        <v>5</v>
      </c>
      <c r="N16" s="12">
        <f t="shared" si="2"/>
        <v>0</v>
      </c>
      <c r="O16" s="1">
        <f>VLOOKUP(A:A,MASTER!A:C,3,0)</f>
        <v>6</v>
      </c>
      <c r="P16" s="1">
        <f>VLOOKUP(A:A,MASTER!A:H,8,0)</f>
        <v>12</v>
      </c>
      <c r="Q16" s="12">
        <f t="shared" si="3"/>
        <v>1</v>
      </c>
      <c r="R16" s="1">
        <f>VLOOKUP(A:A,MASTER!A:B,2,0)</f>
        <v>1000</v>
      </c>
      <c r="S16">
        <f>VLOOKUP(A:A,MASTER!A:G,7,0)</f>
        <v>1084</v>
      </c>
      <c r="T16" s="12">
        <f t="shared" si="4"/>
        <v>8.4000000000000075E-2</v>
      </c>
      <c r="U16">
        <v>3</v>
      </c>
    </row>
    <row r="17" spans="1:21" x14ac:dyDescent="0.35">
      <c r="A17" t="s">
        <v>49</v>
      </c>
      <c r="B17" t="s">
        <v>50</v>
      </c>
      <c r="C17" t="s">
        <v>22</v>
      </c>
      <c r="D17" t="s">
        <v>23</v>
      </c>
      <c r="E17" t="s">
        <v>182</v>
      </c>
      <c r="F17" s="1">
        <f>VLOOKUP(A:A,MASTER!A:F,6,0)</f>
        <v>28787578.01094836</v>
      </c>
      <c r="G17" s="1">
        <f>VLOOKUP(A:A,MASTER!A:K,11,0)</f>
        <v>32531704.613525033</v>
      </c>
      <c r="H17" s="12">
        <f t="shared" si="0"/>
        <v>0.13006049349315618</v>
      </c>
      <c r="I17" s="2">
        <f>VLOOKUP(A:A,MASTER!A:E,5,0)</f>
        <v>669</v>
      </c>
      <c r="J17" s="2">
        <f>VLOOKUP(A:A,MASTER!A:J,10,0)</f>
        <v>675</v>
      </c>
      <c r="K17" s="12">
        <f t="shared" si="1"/>
        <v>8.9686098654708779E-3</v>
      </c>
      <c r="L17" s="2">
        <f>VLOOKUP(A:A,MASTER!A:D,4,0)</f>
        <v>3</v>
      </c>
      <c r="M17" s="2">
        <f>VLOOKUP(A:A,MASTER!A:I,9,0)</f>
        <v>3</v>
      </c>
      <c r="N17" s="12">
        <f t="shared" si="2"/>
        <v>0</v>
      </c>
      <c r="O17" s="1">
        <f>VLOOKUP(A:A,MASTER!A:C,3,0)</f>
        <v>4</v>
      </c>
      <c r="P17" s="1">
        <f>VLOOKUP(A:A,MASTER!A:H,8,0)</f>
        <v>5</v>
      </c>
      <c r="Q17" s="12">
        <f t="shared" si="3"/>
        <v>0.25</v>
      </c>
      <c r="R17" s="1">
        <f>VLOOKUP(A:A,MASTER!A:B,2,0)</f>
        <v>930</v>
      </c>
      <c r="S17">
        <f>VLOOKUP(A:A,MASTER!A:G,7,0)</f>
        <v>821</v>
      </c>
      <c r="T17" s="12">
        <f t="shared" si="4"/>
        <v>-0.1172043010752688</v>
      </c>
      <c r="U17">
        <v>4</v>
      </c>
    </row>
    <row r="18" spans="1:21" x14ac:dyDescent="0.35">
      <c r="A18" t="s">
        <v>51</v>
      </c>
      <c r="B18" t="s">
        <v>52</v>
      </c>
      <c r="C18" t="s">
        <v>22</v>
      </c>
      <c r="D18" t="s">
        <v>23</v>
      </c>
      <c r="E18" t="s">
        <v>182</v>
      </c>
      <c r="F18" s="1">
        <f>VLOOKUP(A:A,MASTER!A:F,6,0)</f>
        <v>123033197.78738114</v>
      </c>
      <c r="G18" s="1">
        <f>VLOOKUP(A:A,MASTER!A:K,11,0)</f>
        <v>118463519.02599581</v>
      </c>
      <c r="H18" s="12">
        <f t="shared" si="0"/>
        <v>-3.714183524094361E-2</v>
      </c>
      <c r="I18" s="2">
        <f>VLOOKUP(A:A,MASTER!A:E,5,0)</f>
        <v>2195</v>
      </c>
      <c r="J18" s="2">
        <f>VLOOKUP(A:A,MASTER!A:J,10,0)</f>
        <v>2186</v>
      </c>
      <c r="K18" s="12">
        <f t="shared" si="1"/>
        <v>-4.1002277904328421E-3</v>
      </c>
      <c r="L18" s="2">
        <f>VLOOKUP(A:A,MASTER!A:D,4,0)</f>
        <v>10</v>
      </c>
      <c r="M18" s="2">
        <f>VLOOKUP(A:A,MASTER!A:I,9,0)</f>
        <v>11</v>
      </c>
      <c r="N18" s="12">
        <f t="shared" si="2"/>
        <v>0.10000000000000009</v>
      </c>
      <c r="O18" s="1">
        <f>VLOOKUP(A:A,MASTER!A:C,3,0)</f>
        <v>189</v>
      </c>
      <c r="P18" s="1">
        <f>VLOOKUP(A:A,MASTER!A:H,8,0)</f>
        <v>309</v>
      </c>
      <c r="Q18" s="12">
        <f t="shared" si="3"/>
        <v>0.63492063492063489</v>
      </c>
      <c r="R18" s="1">
        <f>VLOOKUP(A:A,MASTER!A:B,2,0)</f>
        <v>2725</v>
      </c>
      <c r="S18">
        <f>VLOOKUP(A:A,MASTER!A:G,7,0)</f>
        <v>2706</v>
      </c>
      <c r="T18" s="12">
        <f t="shared" si="4"/>
        <v>-6.9724770642202172E-3</v>
      </c>
      <c r="U18">
        <v>5</v>
      </c>
    </row>
    <row r="19" spans="1:21" x14ac:dyDescent="0.35">
      <c r="A19" t="s">
        <v>53</v>
      </c>
      <c r="B19" t="s">
        <v>54</v>
      </c>
      <c r="C19" t="s">
        <v>22</v>
      </c>
      <c r="D19" t="s">
        <v>23</v>
      </c>
      <c r="E19" t="s">
        <v>182</v>
      </c>
      <c r="F19" s="1">
        <f>VLOOKUP(A:A,MASTER!A:F,6,0)</f>
        <v>45596878.453937732</v>
      </c>
      <c r="G19" s="1">
        <f>VLOOKUP(A:A,MASTER!A:K,11,0)</f>
        <v>62728651.691946141</v>
      </c>
      <c r="H19" s="12">
        <f t="shared" si="0"/>
        <v>0.37572250160315335</v>
      </c>
      <c r="I19" s="2">
        <f>VLOOKUP(A:A,MASTER!A:E,5,0)</f>
        <v>1182</v>
      </c>
      <c r="J19" s="2">
        <f>VLOOKUP(A:A,MASTER!A:J,10,0)</f>
        <v>1242</v>
      </c>
      <c r="K19" s="12">
        <f t="shared" si="1"/>
        <v>5.0761421319796884E-2</v>
      </c>
      <c r="L19" s="2">
        <f>VLOOKUP(A:A,MASTER!A:D,4,0)</f>
        <v>2</v>
      </c>
      <c r="M19" s="2">
        <f>VLOOKUP(A:A,MASTER!A:I,9,0)</f>
        <v>2</v>
      </c>
      <c r="N19" s="12">
        <f t="shared" si="2"/>
        <v>0</v>
      </c>
      <c r="O19" s="1">
        <f>VLOOKUP(A:A,MASTER!A:C,3,0)</f>
        <v>9</v>
      </c>
      <c r="P19" s="1">
        <f>VLOOKUP(A:A,MASTER!A:H,8,0)</f>
        <v>6</v>
      </c>
      <c r="Q19" s="12">
        <f t="shared" si="3"/>
        <v>-0.33333333333333337</v>
      </c>
      <c r="R19" s="1">
        <f>VLOOKUP(A:A,MASTER!A:B,2,0)</f>
        <v>1301</v>
      </c>
      <c r="S19">
        <f>VLOOKUP(A:A,MASTER!A:G,7,0)</f>
        <v>1294</v>
      </c>
      <c r="T19" s="12">
        <f t="shared" si="4"/>
        <v>-5.3804765564949841E-3</v>
      </c>
      <c r="U19">
        <v>1</v>
      </c>
    </row>
    <row r="20" spans="1:21" x14ac:dyDescent="0.35">
      <c r="A20" t="s">
        <v>55</v>
      </c>
      <c r="B20" t="s">
        <v>56</v>
      </c>
      <c r="C20" t="s">
        <v>22</v>
      </c>
      <c r="D20" t="s">
        <v>23</v>
      </c>
      <c r="E20" t="s">
        <v>182</v>
      </c>
      <c r="F20" s="1">
        <f>VLOOKUP(A:A,MASTER!A:F,6,0)</f>
        <v>127137310.20288233</v>
      </c>
      <c r="G20" s="1">
        <f>VLOOKUP(A:A,MASTER!A:K,11,0)</f>
        <v>114563325.27735354</v>
      </c>
      <c r="H20" s="12">
        <f t="shared" si="0"/>
        <v>-9.8900825457637564E-2</v>
      </c>
      <c r="I20" s="2">
        <f>VLOOKUP(A:A,MASTER!A:E,5,0)</f>
        <v>2208</v>
      </c>
      <c r="J20" s="2">
        <f>VLOOKUP(A:A,MASTER!A:J,10,0)</f>
        <v>2044</v>
      </c>
      <c r="K20" s="12">
        <f t="shared" si="1"/>
        <v>-7.4275362318840576E-2</v>
      </c>
      <c r="L20" s="2">
        <f>VLOOKUP(A:A,MASTER!A:D,4,0)</f>
        <v>10</v>
      </c>
      <c r="M20" s="2">
        <f>VLOOKUP(A:A,MASTER!A:I,9,0)</f>
        <v>11</v>
      </c>
      <c r="N20" s="12">
        <f t="shared" si="2"/>
        <v>0.10000000000000009</v>
      </c>
      <c r="O20" s="1">
        <f>VLOOKUP(A:A,MASTER!A:C,3,0)</f>
        <v>21</v>
      </c>
      <c r="P20" s="1">
        <f>VLOOKUP(A:A,MASTER!A:H,8,0)</f>
        <v>10</v>
      </c>
      <c r="Q20" s="12">
        <f t="shared" si="3"/>
        <v>-0.52380952380952384</v>
      </c>
      <c r="R20" s="1">
        <f>VLOOKUP(A:A,MASTER!A:B,2,0)</f>
        <v>2797</v>
      </c>
      <c r="S20">
        <f>VLOOKUP(A:A,MASTER!A:G,7,0)</f>
        <v>2461</v>
      </c>
      <c r="T20" s="12">
        <f t="shared" si="4"/>
        <v>-0.1201287093314265</v>
      </c>
      <c r="U20">
        <v>8</v>
      </c>
    </row>
    <row r="21" spans="1:21" x14ac:dyDescent="0.35">
      <c r="A21" t="s">
        <v>67</v>
      </c>
      <c r="B21" t="s">
        <v>68</v>
      </c>
      <c r="C21" t="s">
        <v>22</v>
      </c>
      <c r="D21" t="s">
        <v>23</v>
      </c>
      <c r="E21" t="s">
        <v>180</v>
      </c>
      <c r="F21" s="1">
        <f>VLOOKUP(A:A,MASTER!A:F,6,0)</f>
        <v>18733928.630020816</v>
      </c>
      <c r="G21" s="1">
        <f>VLOOKUP(A:A,MASTER!A:K,11,0)</f>
        <v>17387347.611573316</v>
      </c>
      <c r="H21" s="12">
        <f t="shared" si="0"/>
        <v>-7.1879264891061112E-2</v>
      </c>
      <c r="I21" s="2">
        <f>VLOOKUP(A:A,MASTER!A:E,5,0)</f>
        <v>482</v>
      </c>
      <c r="J21" s="2">
        <f>VLOOKUP(A:A,MASTER!A:J,10,0)</f>
        <v>628</v>
      </c>
      <c r="K21" s="12">
        <f t="shared" si="1"/>
        <v>0.30290456431535273</v>
      </c>
      <c r="L21" s="2">
        <f>VLOOKUP(A:A,MASTER!A:D,4,0)</f>
        <v>1</v>
      </c>
      <c r="M21" s="2">
        <f>VLOOKUP(A:A,MASTER!A:I,9,0)</f>
        <v>1</v>
      </c>
      <c r="N21" s="12">
        <f t="shared" si="2"/>
        <v>0</v>
      </c>
      <c r="O21" s="1">
        <f>VLOOKUP(A:A,MASTER!A:C,3,0)</f>
        <v>6</v>
      </c>
      <c r="P21" s="1">
        <f>VLOOKUP(A:A,MASTER!A:H,8,0)</f>
        <v>2</v>
      </c>
      <c r="Q21" s="12">
        <f t="shared" si="3"/>
        <v>-0.66666666666666674</v>
      </c>
      <c r="R21" s="1">
        <f>VLOOKUP(A:A,MASTER!A:B,2,0)</f>
        <v>504</v>
      </c>
      <c r="S21">
        <f>VLOOKUP(A:A,MASTER!A:G,7,0)</f>
        <v>561</v>
      </c>
      <c r="T21" s="12">
        <f t="shared" si="4"/>
        <v>0.11309523809523814</v>
      </c>
      <c r="U21">
        <v>1</v>
      </c>
    </row>
    <row r="22" spans="1:21" x14ac:dyDescent="0.35">
      <c r="A22" t="s">
        <v>74</v>
      </c>
      <c r="B22" t="s">
        <v>75</v>
      </c>
      <c r="C22" t="s">
        <v>22</v>
      </c>
      <c r="D22" t="s">
        <v>23</v>
      </c>
      <c r="E22" t="s">
        <v>182</v>
      </c>
      <c r="F22" s="1">
        <f>VLOOKUP(A:A,MASTER!A:F,6,0)</f>
        <v>52841532.359926805</v>
      </c>
      <c r="G22" s="1">
        <f>VLOOKUP(A:A,MASTER!A:K,11,0)</f>
        <v>49771314.143317558</v>
      </c>
      <c r="H22" s="12">
        <f t="shared" si="0"/>
        <v>-5.8102369092868922E-2</v>
      </c>
      <c r="I22" s="2">
        <f>VLOOKUP(A:A,MASTER!A:E,5,0)</f>
        <v>1392</v>
      </c>
      <c r="J22" s="2">
        <f>VLOOKUP(A:A,MASTER!A:J,10,0)</f>
        <v>1491</v>
      </c>
      <c r="K22" s="12">
        <f t="shared" si="1"/>
        <v>7.1120689655172376E-2</v>
      </c>
      <c r="L22" s="2">
        <f>VLOOKUP(A:A,MASTER!A:D,4,0)</f>
        <v>2</v>
      </c>
      <c r="M22" s="2">
        <f>VLOOKUP(A:A,MASTER!A:I,9,0)</f>
        <v>1</v>
      </c>
      <c r="N22" s="12">
        <f t="shared" si="2"/>
        <v>-0.5</v>
      </c>
      <c r="O22" s="1">
        <f>VLOOKUP(A:A,MASTER!A:C,3,0)</f>
        <v>24</v>
      </c>
      <c r="P22" s="1">
        <f>VLOOKUP(A:A,MASTER!A:H,8,0)</f>
        <v>19</v>
      </c>
      <c r="Q22" s="12">
        <f t="shared" si="3"/>
        <v>-0.20833333333333337</v>
      </c>
      <c r="R22" s="1">
        <f>VLOOKUP(A:A,MASTER!A:B,2,0)</f>
        <v>1756</v>
      </c>
      <c r="S22">
        <f>VLOOKUP(A:A,MASTER!A:G,7,0)</f>
        <v>1903</v>
      </c>
      <c r="T22" s="12">
        <f t="shared" si="4"/>
        <v>8.3712984054669759E-2</v>
      </c>
      <c r="U22">
        <v>7</v>
      </c>
    </row>
    <row r="23" spans="1:21" x14ac:dyDescent="0.35">
      <c r="A23" t="s">
        <v>70</v>
      </c>
      <c r="B23" t="s">
        <v>71</v>
      </c>
      <c r="C23" t="s">
        <v>22</v>
      </c>
      <c r="D23" t="s">
        <v>23</v>
      </c>
      <c r="E23" t="s">
        <v>180</v>
      </c>
      <c r="F23" s="1">
        <f>VLOOKUP(A:A,MASTER!A:F,6,0)</f>
        <v>22483892.213771056</v>
      </c>
      <c r="G23" s="1">
        <f>VLOOKUP(A:A,MASTER!A:K,11,0)</f>
        <v>20245247.668984476</v>
      </c>
      <c r="H23" s="12">
        <f t="shared" si="0"/>
        <v>-9.9566592985864011E-2</v>
      </c>
      <c r="I23" s="2">
        <f>VLOOKUP(A:A,MASTER!A:E,5,0)</f>
        <v>781</v>
      </c>
      <c r="J23" s="2">
        <f>VLOOKUP(A:A,MASTER!A:J,10,0)</f>
        <v>828</v>
      </c>
      <c r="K23" s="12">
        <f t="shared" si="1"/>
        <v>6.0179257362355854E-2</v>
      </c>
      <c r="L23" s="2">
        <f>VLOOKUP(A:A,MASTER!A:D,4,0)</f>
        <v>1</v>
      </c>
      <c r="M23" s="2">
        <f>VLOOKUP(A:A,MASTER!A:I,9,0)</f>
        <v>0</v>
      </c>
      <c r="N23" s="12">
        <f t="shared" si="2"/>
        <v>-1</v>
      </c>
      <c r="O23" s="1">
        <f>VLOOKUP(A:A,MASTER!A:C,3,0)</f>
        <v>17</v>
      </c>
      <c r="P23" s="1">
        <f>VLOOKUP(A:A,MASTER!A:H,8,0)</f>
        <v>9</v>
      </c>
      <c r="Q23" s="12">
        <f t="shared" si="3"/>
        <v>-0.47058823529411764</v>
      </c>
      <c r="R23" s="1">
        <f>VLOOKUP(A:A,MASTER!A:B,2,0)</f>
        <v>875</v>
      </c>
      <c r="S23">
        <f>VLOOKUP(A:A,MASTER!A:G,7,0)</f>
        <v>892</v>
      </c>
      <c r="T23" s="12">
        <f t="shared" si="4"/>
        <v>1.9428571428571351E-2</v>
      </c>
      <c r="U23">
        <v>0</v>
      </c>
    </row>
    <row r="24" spans="1:21" x14ac:dyDescent="0.35">
      <c r="A24" t="s">
        <v>72</v>
      </c>
      <c r="B24" t="s">
        <v>73</v>
      </c>
      <c r="C24" t="s">
        <v>22</v>
      </c>
      <c r="D24" t="s">
        <v>23</v>
      </c>
      <c r="E24" t="s">
        <v>180</v>
      </c>
      <c r="F24" s="1">
        <f>VLOOKUP(A:A,MASTER!A:F,6,0)</f>
        <v>26522186.839640837</v>
      </c>
      <c r="G24" s="1">
        <f>VLOOKUP(A:A,MASTER!A:K,11,0)</f>
        <v>26565036.513482779</v>
      </c>
      <c r="H24" s="12">
        <f t="shared" si="0"/>
        <v>1.6156161669858005E-3</v>
      </c>
      <c r="I24" s="2">
        <f>VLOOKUP(A:A,MASTER!A:E,5,0)</f>
        <v>740</v>
      </c>
      <c r="J24" s="2">
        <f>VLOOKUP(A:A,MASTER!A:J,10,0)</f>
        <v>658</v>
      </c>
      <c r="K24" s="12">
        <f t="shared" si="1"/>
        <v>-0.11081081081081079</v>
      </c>
      <c r="L24" s="2">
        <f>VLOOKUP(A:A,MASTER!A:D,4,0)</f>
        <v>1</v>
      </c>
      <c r="M24" s="2">
        <f>VLOOKUP(A:A,MASTER!A:I,9,0)</f>
        <v>0</v>
      </c>
      <c r="N24" s="12">
        <f t="shared" si="2"/>
        <v>-1</v>
      </c>
      <c r="O24" s="1">
        <f>VLOOKUP(A:A,MASTER!A:C,3,0)</f>
        <v>8</v>
      </c>
      <c r="P24" s="1">
        <f>VLOOKUP(A:A,MASTER!A:H,8,0)</f>
        <v>5</v>
      </c>
      <c r="Q24" s="12">
        <f t="shared" si="3"/>
        <v>-0.375</v>
      </c>
      <c r="R24" s="1">
        <f>VLOOKUP(A:A,MASTER!A:B,2,0)</f>
        <v>873</v>
      </c>
      <c r="S24">
        <f>VLOOKUP(A:A,MASTER!A:G,7,0)</f>
        <v>838</v>
      </c>
      <c r="T24" s="12">
        <f t="shared" si="4"/>
        <v>-4.0091638029782328E-2</v>
      </c>
      <c r="U24">
        <v>3</v>
      </c>
    </row>
    <row r="25" spans="1:21" x14ac:dyDescent="0.35">
      <c r="A25" t="s">
        <v>79</v>
      </c>
      <c r="B25" t="s">
        <v>80</v>
      </c>
      <c r="C25" t="s">
        <v>22</v>
      </c>
      <c r="D25" t="s">
        <v>23</v>
      </c>
      <c r="E25" t="s">
        <v>180</v>
      </c>
      <c r="F25" s="1">
        <f>VLOOKUP(A:A,MASTER!A:F,6,0)</f>
        <v>6623369.7774191592</v>
      </c>
      <c r="G25" s="1">
        <f>VLOOKUP(A:A,MASTER!A:K,11,0)</f>
        <v>6370386.3530433429</v>
      </c>
      <c r="H25" s="12">
        <f t="shared" si="0"/>
        <v>-3.8195576100598316E-2</v>
      </c>
      <c r="I25" s="2">
        <f>VLOOKUP(A:A,MASTER!A:E,5,0)</f>
        <v>174</v>
      </c>
      <c r="J25" s="2">
        <f>VLOOKUP(A:A,MASTER!A:J,10,0)</f>
        <v>172</v>
      </c>
      <c r="K25" s="12">
        <f t="shared" si="1"/>
        <v>-1.1494252873563204E-2</v>
      </c>
      <c r="L25" s="2">
        <f>VLOOKUP(A:A,MASTER!A:D,4,0)</f>
        <v>1</v>
      </c>
      <c r="M25" s="2">
        <f>VLOOKUP(A:A,MASTER!A:I,9,0)</f>
        <v>0</v>
      </c>
      <c r="N25" s="12">
        <f t="shared" si="2"/>
        <v>-1</v>
      </c>
      <c r="O25" s="1">
        <f>VLOOKUP(A:A,MASTER!A:C,3,0)</f>
        <v>1</v>
      </c>
      <c r="P25" s="1">
        <f>VLOOKUP(A:A,MASTER!A:H,8,0)</f>
        <v>1</v>
      </c>
      <c r="Q25" s="12">
        <f t="shared" si="3"/>
        <v>0</v>
      </c>
      <c r="R25" s="1">
        <f>VLOOKUP(A:A,MASTER!A:B,2,0)</f>
        <v>212</v>
      </c>
      <c r="S25">
        <f>VLOOKUP(A:A,MASTER!A:G,7,0)</f>
        <v>204</v>
      </c>
      <c r="T25" s="12">
        <f t="shared" si="4"/>
        <v>-3.7735849056603765E-2</v>
      </c>
      <c r="U25">
        <v>0</v>
      </c>
    </row>
    <row r="26" spans="1:21" x14ac:dyDescent="0.35">
      <c r="A26" t="s">
        <v>109</v>
      </c>
      <c r="B26" t="s">
        <v>110</v>
      </c>
      <c r="C26" t="s">
        <v>22</v>
      </c>
      <c r="D26" t="s">
        <v>23</v>
      </c>
      <c r="E26" t="s">
        <v>182</v>
      </c>
      <c r="F26" s="1">
        <f>VLOOKUP(A:A,MASTER!A:F,6,0)</f>
        <v>50293760.789857931</v>
      </c>
      <c r="G26" s="1">
        <f>VLOOKUP(A:A,MASTER!A:K,11,0)</f>
        <v>51009222.943509325</v>
      </c>
      <c r="H26" s="12">
        <f t="shared" si="0"/>
        <v>1.4225664225843149E-2</v>
      </c>
      <c r="I26" s="2">
        <f>VLOOKUP(A:A,MASTER!A:E,5,0)</f>
        <v>1364</v>
      </c>
      <c r="J26" s="2">
        <f>VLOOKUP(A:A,MASTER!A:J,10,0)</f>
        <v>1440</v>
      </c>
      <c r="K26" s="12">
        <f t="shared" si="1"/>
        <v>5.5718475073313734E-2</v>
      </c>
      <c r="L26" s="2">
        <f>VLOOKUP(A:A,MASTER!A:D,4,0)</f>
        <v>6</v>
      </c>
      <c r="M26" s="2">
        <f>VLOOKUP(A:A,MASTER!A:I,9,0)</f>
        <v>6</v>
      </c>
      <c r="N26" s="12">
        <f t="shared" si="2"/>
        <v>0</v>
      </c>
      <c r="O26" s="1">
        <f>VLOOKUP(A:A,MASTER!A:C,3,0)</f>
        <v>14</v>
      </c>
      <c r="P26" s="1">
        <f>VLOOKUP(A:A,MASTER!A:H,8,0)</f>
        <v>8</v>
      </c>
      <c r="Q26" s="12">
        <f t="shared" si="3"/>
        <v>-0.4285714285714286</v>
      </c>
      <c r="R26" s="1">
        <f>VLOOKUP(A:A,MASTER!A:B,2,0)</f>
        <v>1608</v>
      </c>
      <c r="S26">
        <f>VLOOKUP(A:A,MASTER!A:G,7,0)</f>
        <v>1687</v>
      </c>
      <c r="T26" s="12">
        <f t="shared" si="4"/>
        <v>4.912935323383083E-2</v>
      </c>
      <c r="U26">
        <v>0</v>
      </c>
    </row>
    <row r="27" spans="1:21" x14ac:dyDescent="0.35">
      <c r="A27" t="s">
        <v>111</v>
      </c>
      <c r="B27" t="s">
        <v>112</v>
      </c>
      <c r="C27" t="s">
        <v>22</v>
      </c>
      <c r="D27" t="s">
        <v>23</v>
      </c>
      <c r="E27" t="s">
        <v>182</v>
      </c>
      <c r="F27" s="1">
        <f>VLOOKUP(A:A,MASTER!A:F,6,0)</f>
        <v>43005890.283747934</v>
      </c>
      <c r="G27" s="1">
        <f>VLOOKUP(A:A,MASTER!A:K,11,0)</f>
        <v>45802660.801993549</v>
      </c>
      <c r="H27" s="12">
        <f t="shared" si="0"/>
        <v>6.503226650565419E-2</v>
      </c>
      <c r="I27" s="2">
        <f>VLOOKUP(A:A,MASTER!A:E,5,0)</f>
        <v>623</v>
      </c>
      <c r="J27" s="2">
        <f>VLOOKUP(A:A,MASTER!A:J,10,0)</f>
        <v>666</v>
      </c>
      <c r="K27" s="12">
        <f t="shared" si="1"/>
        <v>6.9020866773675804E-2</v>
      </c>
      <c r="L27" s="2">
        <f>VLOOKUP(A:A,MASTER!A:D,4,0)</f>
        <v>1</v>
      </c>
      <c r="M27" s="2">
        <f>VLOOKUP(A:A,MASTER!A:I,9,0)</f>
        <v>1</v>
      </c>
      <c r="N27" s="12">
        <f t="shared" si="2"/>
        <v>0</v>
      </c>
      <c r="O27" s="1">
        <f>VLOOKUP(A:A,MASTER!A:C,3,0)</f>
        <v>9</v>
      </c>
      <c r="P27" s="1">
        <f>VLOOKUP(A:A,MASTER!A:H,8,0)</f>
        <v>4</v>
      </c>
      <c r="Q27" s="12">
        <f t="shared" si="3"/>
        <v>-0.55555555555555558</v>
      </c>
      <c r="R27" s="1">
        <f>VLOOKUP(A:A,MASTER!A:B,2,0)</f>
        <v>895</v>
      </c>
      <c r="S27">
        <f>VLOOKUP(A:A,MASTER!A:G,7,0)</f>
        <v>818</v>
      </c>
      <c r="T27" s="12">
        <f t="shared" si="4"/>
        <v>-8.603351955307259E-2</v>
      </c>
      <c r="U27">
        <v>0</v>
      </c>
    </row>
    <row r="28" spans="1:21" x14ac:dyDescent="0.35">
      <c r="A28" t="s">
        <v>113</v>
      </c>
      <c r="B28" t="s">
        <v>114</v>
      </c>
      <c r="C28" t="s">
        <v>22</v>
      </c>
      <c r="D28" t="s">
        <v>23</v>
      </c>
      <c r="E28" t="s">
        <v>182</v>
      </c>
      <c r="F28" s="1">
        <f>VLOOKUP(A:A,MASTER!A:F,6,0)</f>
        <v>40341241.474492885</v>
      </c>
      <c r="G28" s="1">
        <f>VLOOKUP(A:A,MASTER!A:K,11,0)</f>
        <v>47730514.88589114</v>
      </c>
      <c r="H28" s="12">
        <f t="shared" si="0"/>
        <v>0.18316921198546576</v>
      </c>
      <c r="I28" s="2">
        <f>VLOOKUP(A:A,MASTER!A:E,5,0)</f>
        <v>854</v>
      </c>
      <c r="J28" s="2">
        <f>VLOOKUP(A:A,MASTER!A:J,10,0)</f>
        <v>879</v>
      </c>
      <c r="K28" s="12">
        <f t="shared" si="1"/>
        <v>2.9274004683840671E-2</v>
      </c>
      <c r="L28" s="2">
        <f>VLOOKUP(A:A,MASTER!A:D,4,0)</f>
        <v>2</v>
      </c>
      <c r="M28" s="2">
        <f>VLOOKUP(A:A,MASTER!A:I,9,0)</f>
        <v>3</v>
      </c>
      <c r="N28" s="12">
        <f t="shared" si="2"/>
        <v>0.5</v>
      </c>
      <c r="O28" s="1">
        <f>VLOOKUP(A:A,MASTER!A:C,3,0)</f>
        <v>3</v>
      </c>
      <c r="P28" s="1">
        <f>VLOOKUP(A:A,MASTER!A:H,8,0)</f>
        <v>1</v>
      </c>
      <c r="Q28" s="12">
        <f t="shared" si="3"/>
        <v>-0.66666666666666674</v>
      </c>
      <c r="R28" s="1">
        <f>VLOOKUP(A:A,MASTER!A:B,2,0)</f>
        <v>998</v>
      </c>
      <c r="S28">
        <f>VLOOKUP(A:A,MASTER!A:G,7,0)</f>
        <v>1006</v>
      </c>
      <c r="T28" s="12">
        <f t="shared" si="4"/>
        <v>8.0160320641282645E-3</v>
      </c>
      <c r="U28">
        <v>0</v>
      </c>
    </row>
    <row r="29" spans="1:21" x14ac:dyDescent="0.35">
      <c r="A29" t="s">
        <v>115</v>
      </c>
      <c r="B29" t="s">
        <v>116</v>
      </c>
      <c r="C29" t="s">
        <v>22</v>
      </c>
      <c r="D29" t="s">
        <v>23</v>
      </c>
      <c r="E29" t="s">
        <v>182</v>
      </c>
      <c r="F29" s="1">
        <f>VLOOKUP(A:A,MASTER!A:F,6,0)</f>
        <v>56268401.294638753</v>
      </c>
      <c r="G29" s="1">
        <f>VLOOKUP(A:A,MASTER!A:K,11,0)</f>
        <v>54876696.207154706</v>
      </c>
      <c r="H29" s="12">
        <f t="shared" si="0"/>
        <v>-2.4733332660308749E-2</v>
      </c>
      <c r="I29" s="2">
        <f>VLOOKUP(A:A,MASTER!A:E,5,0)</f>
        <v>878</v>
      </c>
      <c r="J29" s="2">
        <f>VLOOKUP(A:A,MASTER!A:J,10,0)</f>
        <v>792</v>
      </c>
      <c r="K29" s="12">
        <f t="shared" si="1"/>
        <v>-9.7949886104783612E-2</v>
      </c>
      <c r="L29" s="2">
        <f>VLOOKUP(A:A,MASTER!A:D,4,0)</f>
        <v>2</v>
      </c>
      <c r="M29" s="2">
        <f>VLOOKUP(A:A,MASTER!A:I,9,0)</f>
        <v>3</v>
      </c>
      <c r="N29" s="12">
        <f t="shared" si="2"/>
        <v>0.5</v>
      </c>
      <c r="O29" s="1">
        <f>VLOOKUP(A:A,MASTER!A:C,3,0)</f>
        <v>4</v>
      </c>
      <c r="P29" s="1">
        <f>VLOOKUP(A:A,MASTER!A:H,8,0)</f>
        <v>2</v>
      </c>
      <c r="Q29" s="12">
        <f t="shared" si="3"/>
        <v>-0.5</v>
      </c>
      <c r="R29" s="1">
        <f>VLOOKUP(A:A,MASTER!A:B,2,0)</f>
        <v>1131</v>
      </c>
      <c r="S29">
        <f>VLOOKUP(A:A,MASTER!A:G,7,0)</f>
        <v>968</v>
      </c>
      <c r="T29" s="12">
        <f t="shared" si="4"/>
        <v>-0.14412024756852349</v>
      </c>
      <c r="U29">
        <v>0</v>
      </c>
    </row>
    <row r="30" spans="1:21" x14ac:dyDescent="0.35">
      <c r="A30" t="s">
        <v>16</v>
      </c>
      <c r="B30" t="s">
        <v>17</v>
      </c>
      <c r="C30" t="s">
        <v>4</v>
      </c>
      <c r="D30" t="s">
        <v>151</v>
      </c>
      <c r="E30" t="s">
        <v>182</v>
      </c>
      <c r="F30" s="1">
        <f>VLOOKUP(A:A,MASTER!A:F,6,0)</f>
        <v>74425256.373781741</v>
      </c>
      <c r="G30" s="1">
        <f>VLOOKUP(A:A,MASTER!A:K,11,0)</f>
        <v>66655735.221419968</v>
      </c>
      <c r="H30" s="12">
        <f t="shared" si="0"/>
        <v>-0.10439360952068943</v>
      </c>
      <c r="I30" s="2">
        <f>VLOOKUP(A:A,MASTER!A:E,5,0)</f>
        <v>1157</v>
      </c>
      <c r="J30" s="2">
        <f>VLOOKUP(A:A,MASTER!A:J,10,0)</f>
        <v>1168</v>
      </c>
      <c r="K30" s="12">
        <f t="shared" si="1"/>
        <v>9.5073465859982775E-3</v>
      </c>
      <c r="L30" s="2">
        <f>VLOOKUP(A:A,MASTER!A:D,4,0)</f>
        <v>4</v>
      </c>
      <c r="M30" s="2">
        <f>VLOOKUP(A:A,MASTER!A:I,9,0)</f>
        <v>2</v>
      </c>
      <c r="N30" s="12">
        <f t="shared" si="2"/>
        <v>-0.5</v>
      </c>
      <c r="O30" s="1">
        <f>VLOOKUP(A:A,MASTER!A:C,3,0)</f>
        <v>6</v>
      </c>
      <c r="P30" s="1">
        <f>VLOOKUP(A:A,MASTER!A:H,8,0)</f>
        <v>6</v>
      </c>
      <c r="Q30" s="12">
        <f t="shared" si="3"/>
        <v>0</v>
      </c>
      <c r="R30" s="1">
        <f>VLOOKUP(A:A,MASTER!A:B,2,0)</f>
        <v>1402</v>
      </c>
      <c r="S30">
        <f>VLOOKUP(A:A,MASTER!A:G,7,0)</f>
        <v>1326</v>
      </c>
      <c r="T30" s="12">
        <f t="shared" si="4"/>
        <v>-5.4208273894436498E-2</v>
      </c>
      <c r="U30">
        <v>4</v>
      </c>
    </row>
    <row r="31" spans="1:21" x14ac:dyDescent="0.35">
      <c r="A31" t="s">
        <v>18</v>
      </c>
      <c r="B31" t="s">
        <v>19</v>
      </c>
      <c r="C31" t="s">
        <v>4</v>
      </c>
      <c r="D31" t="s">
        <v>151</v>
      </c>
      <c r="E31" t="s">
        <v>182</v>
      </c>
      <c r="F31" s="1">
        <f>VLOOKUP(A:A,MASTER!A:F,6,0)</f>
        <v>33089266.503950208</v>
      </c>
      <c r="G31" s="1">
        <f>VLOOKUP(A:A,MASTER!A:K,11,0)</f>
        <v>30564405.53019055</v>
      </c>
      <c r="H31" s="12">
        <f t="shared" si="0"/>
        <v>-7.6304531363916461E-2</v>
      </c>
      <c r="I31" s="2">
        <f>VLOOKUP(A:A,MASTER!A:E,5,0)</f>
        <v>620</v>
      </c>
      <c r="J31" s="2">
        <f>VLOOKUP(A:A,MASTER!A:J,10,0)</f>
        <v>602</v>
      </c>
      <c r="K31" s="12">
        <f t="shared" si="1"/>
        <v>-2.9032258064516148E-2</v>
      </c>
      <c r="L31" s="2">
        <f>VLOOKUP(A:A,MASTER!A:D,4,0)</f>
        <v>5</v>
      </c>
      <c r="M31" s="2">
        <f>VLOOKUP(A:A,MASTER!A:I,9,0)</f>
        <v>4</v>
      </c>
      <c r="N31" s="12">
        <f t="shared" si="2"/>
        <v>-0.19999999999999996</v>
      </c>
      <c r="O31" s="1">
        <f>VLOOKUP(A:A,MASTER!A:C,3,0)</f>
        <v>3</v>
      </c>
      <c r="P31" s="1">
        <f>VLOOKUP(A:A,MASTER!A:H,8,0)</f>
        <v>4</v>
      </c>
      <c r="Q31" s="12">
        <f t="shared" si="3"/>
        <v>0.33333333333333326</v>
      </c>
      <c r="R31" s="1">
        <f>VLOOKUP(A:A,MASTER!A:B,2,0)</f>
        <v>663</v>
      </c>
      <c r="S31">
        <f>VLOOKUP(A:A,MASTER!A:G,7,0)</f>
        <v>646</v>
      </c>
      <c r="T31" s="12">
        <f t="shared" si="4"/>
        <v>-2.5641025641025661E-2</v>
      </c>
      <c r="U31">
        <v>3</v>
      </c>
    </row>
    <row r="32" spans="1:21" x14ac:dyDescent="0.35">
      <c r="A32" t="s">
        <v>43</v>
      </c>
      <c r="B32" t="s">
        <v>44</v>
      </c>
      <c r="C32" t="s">
        <v>4</v>
      </c>
      <c r="D32" t="s">
        <v>5</v>
      </c>
      <c r="E32" t="s">
        <v>182</v>
      </c>
      <c r="F32" s="1">
        <f>VLOOKUP(A:A,MASTER!A:F,6,0)</f>
        <v>84355700.169556901</v>
      </c>
      <c r="G32" s="1">
        <f>VLOOKUP(A:A,MASTER!A:K,11,0)</f>
        <v>73299349.218230873</v>
      </c>
      <c r="H32" s="12">
        <f t="shared" si="0"/>
        <v>-0.13106821387413659</v>
      </c>
      <c r="I32" s="2">
        <f>VLOOKUP(A:A,MASTER!A:E,5,0)</f>
        <v>1597</v>
      </c>
      <c r="J32" s="2">
        <f>VLOOKUP(A:A,MASTER!A:J,10,0)</f>
        <v>1694</v>
      </c>
      <c r="K32" s="12">
        <f t="shared" si="1"/>
        <v>6.073888541014405E-2</v>
      </c>
      <c r="L32" s="2">
        <f>VLOOKUP(A:A,MASTER!A:D,4,0)</f>
        <v>9</v>
      </c>
      <c r="M32" s="2">
        <f>VLOOKUP(A:A,MASTER!A:I,9,0)</f>
        <v>7</v>
      </c>
      <c r="N32" s="12">
        <f t="shared" si="2"/>
        <v>-0.22222222222222221</v>
      </c>
      <c r="O32" s="1">
        <f>VLOOKUP(A:A,MASTER!A:C,3,0)</f>
        <v>13</v>
      </c>
      <c r="P32" s="1">
        <f>VLOOKUP(A:A,MASTER!A:H,8,0)</f>
        <v>4</v>
      </c>
      <c r="Q32" s="12">
        <f t="shared" si="3"/>
        <v>-0.69230769230769229</v>
      </c>
      <c r="R32" s="1">
        <f>VLOOKUP(A:A,MASTER!A:B,2,0)</f>
        <v>1825</v>
      </c>
      <c r="S32">
        <f>VLOOKUP(A:A,MASTER!A:G,7,0)</f>
        <v>1852</v>
      </c>
      <c r="T32" s="12">
        <f t="shared" si="4"/>
        <v>1.4794520547945167E-2</v>
      </c>
      <c r="U32">
        <v>5</v>
      </c>
    </row>
    <row r="33" spans="1:21" x14ac:dyDescent="0.35">
      <c r="A33" t="s">
        <v>152</v>
      </c>
      <c r="B33" t="s">
        <v>153</v>
      </c>
      <c r="C33" t="s">
        <v>4</v>
      </c>
      <c r="D33" t="s">
        <v>151</v>
      </c>
      <c r="E33" t="s">
        <v>182</v>
      </c>
      <c r="F33" s="1">
        <f>VLOOKUP(A:A,MASTER!A:F,6,0)</f>
        <v>32539934.166304376</v>
      </c>
      <c r="G33" s="1">
        <f>VLOOKUP(A:A,MASTER!A:K,11,0)</f>
        <v>32947940.734990168</v>
      </c>
      <c r="H33" s="12">
        <f t="shared" si="0"/>
        <v>1.2538641492037428E-2</v>
      </c>
      <c r="I33" s="2">
        <f>VLOOKUP(A:A,MASTER!A:E,5,0)</f>
        <v>747</v>
      </c>
      <c r="J33" s="2">
        <f>VLOOKUP(A:A,MASTER!A:J,10,0)</f>
        <v>718</v>
      </c>
      <c r="K33" s="12">
        <f t="shared" si="1"/>
        <v>-3.8821954484605126E-2</v>
      </c>
      <c r="L33" s="2">
        <f>VLOOKUP(A:A,MASTER!A:D,4,0)</f>
        <v>2</v>
      </c>
      <c r="M33" s="2">
        <f>VLOOKUP(A:A,MASTER!A:I,9,0)</f>
        <v>3</v>
      </c>
      <c r="N33" s="12">
        <f t="shared" si="2"/>
        <v>0.5</v>
      </c>
      <c r="O33" s="1">
        <f>VLOOKUP(A:A,MASTER!A:C,3,0)</f>
        <v>5</v>
      </c>
      <c r="P33" s="1">
        <f>VLOOKUP(A:A,MASTER!A:H,8,0)</f>
        <v>6</v>
      </c>
      <c r="Q33" s="12">
        <f t="shared" si="3"/>
        <v>0.19999999999999996</v>
      </c>
      <c r="R33" s="1">
        <f>VLOOKUP(A:A,MASTER!A:B,2,0)</f>
        <v>852</v>
      </c>
      <c r="S33">
        <f>VLOOKUP(A:A,MASTER!A:G,7,0)</f>
        <v>835</v>
      </c>
      <c r="T33" s="12">
        <f t="shared" si="4"/>
        <v>-1.9953051643192499E-2</v>
      </c>
      <c r="U33">
        <v>3</v>
      </c>
    </row>
    <row r="34" spans="1:21" x14ac:dyDescent="0.35">
      <c r="A34" t="s">
        <v>149</v>
      </c>
      <c r="B34" t="s">
        <v>150</v>
      </c>
      <c r="C34" t="s">
        <v>4</v>
      </c>
      <c r="D34" t="s">
        <v>151</v>
      </c>
      <c r="E34" t="s">
        <v>182</v>
      </c>
      <c r="F34" s="1">
        <f>VLOOKUP(A:A,MASTER!A:F,6,0)</f>
        <v>30356818.320093557</v>
      </c>
      <c r="G34" s="1">
        <f>VLOOKUP(A:A,MASTER!A:K,11,0)</f>
        <v>29183183.191942681</v>
      </c>
      <c r="H34" s="12">
        <f t="shared" si="0"/>
        <v>-3.866133518261472E-2</v>
      </c>
      <c r="I34" s="2">
        <f>VLOOKUP(A:A,MASTER!A:E,5,0)</f>
        <v>591</v>
      </c>
      <c r="J34" s="2">
        <f>VLOOKUP(A:A,MASTER!A:J,10,0)</f>
        <v>156</v>
      </c>
      <c r="K34" s="12">
        <f t="shared" si="1"/>
        <v>-0.73604060913705582</v>
      </c>
      <c r="L34" s="2">
        <f>VLOOKUP(A:A,MASTER!A:D,4,0)</f>
        <v>1</v>
      </c>
      <c r="M34" s="2">
        <f>VLOOKUP(A:A,MASTER!A:I,9,0)</f>
        <v>1</v>
      </c>
      <c r="N34" s="12">
        <f t="shared" si="2"/>
        <v>0</v>
      </c>
      <c r="O34" s="1">
        <f>VLOOKUP(A:A,MASTER!A:C,3,0)</f>
        <v>4</v>
      </c>
      <c r="P34" s="1">
        <f>VLOOKUP(A:A,MASTER!A:H,8,0)</f>
        <v>4</v>
      </c>
      <c r="Q34" s="12">
        <f t="shared" si="3"/>
        <v>0</v>
      </c>
      <c r="R34" s="1">
        <f>VLOOKUP(A:A,MASTER!A:B,2,0)</f>
        <v>696</v>
      </c>
      <c r="S34">
        <f>VLOOKUP(A:A,MASTER!A:G,7,0)</f>
        <v>598</v>
      </c>
      <c r="T34" s="12">
        <f t="shared" si="4"/>
        <v>-0.14080459770114939</v>
      </c>
      <c r="U34">
        <v>4</v>
      </c>
    </row>
    <row r="35" spans="1:21" x14ac:dyDescent="0.35">
      <c r="A35" t="s">
        <v>154</v>
      </c>
      <c r="B35" t="s">
        <v>155</v>
      </c>
      <c r="C35" t="s">
        <v>4</v>
      </c>
      <c r="D35" t="s">
        <v>151</v>
      </c>
      <c r="E35" t="s">
        <v>182</v>
      </c>
      <c r="F35" s="1">
        <f>VLOOKUP(A:A,MASTER!A:F,6,0)</f>
        <v>47391072.39174971</v>
      </c>
      <c r="G35" s="1">
        <f>VLOOKUP(A:A,MASTER!A:K,11,0)</f>
        <v>51773958.412982024</v>
      </c>
      <c r="H35" s="12">
        <f t="shared" si="0"/>
        <v>9.2483368702906299E-2</v>
      </c>
      <c r="I35" s="2">
        <f>VLOOKUP(A:A,MASTER!A:E,5,0)</f>
        <v>796</v>
      </c>
      <c r="J35" s="2">
        <f>VLOOKUP(A:A,MASTER!A:J,10,0)</f>
        <v>1061</v>
      </c>
      <c r="K35" s="12">
        <f t="shared" si="1"/>
        <v>0.33291457286432169</v>
      </c>
      <c r="L35" s="2">
        <f>VLOOKUP(A:A,MASTER!A:D,4,0)</f>
        <v>1</v>
      </c>
      <c r="M35" s="2">
        <f>VLOOKUP(A:A,MASTER!A:I,9,0)</f>
        <v>2</v>
      </c>
      <c r="N35" s="12">
        <f t="shared" si="2"/>
        <v>1</v>
      </c>
      <c r="O35" s="1">
        <f>VLOOKUP(A:A,MASTER!A:C,3,0)</f>
        <v>22</v>
      </c>
      <c r="P35" s="1">
        <f>VLOOKUP(A:A,MASTER!A:H,8,0)</f>
        <v>11</v>
      </c>
      <c r="Q35" s="12">
        <f t="shared" si="3"/>
        <v>-0.5</v>
      </c>
      <c r="R35" s="1">
        <f>VLOOKUP(A:A,MASTER!A:B,2,0)</f>
        <v>1182</v>
      </c>
      <c r="S35">
        <f>VLOOKUP(A:A,MASTER!A:G,7,0)</f>
        <v>1404</v>
      </c>
      <c r="T35" s="12">
        <f t="shared" si="4"/>
        <v>0.18781725888324874</v>
      </c>
      <c r="U35">
        <v>13</v>
      </c>
    </row>
    <row r="36" spans="1:21" x14ac:dyDescent="0.35">
      <c r="A36" t="s">
        <v>2</v>
      </c>
      <c r="B36" t="s">
        <v>3</v>
      </c>
      <c r="C36" t="s">
        <v>4</v>
      </c>
      <c r="D36" t="s">
        <v>151</v>
      </c>
      <c r="E36" t="s">
        <v>182</v>
      </c>
      <c r="F36" s="1">
        <f>VLOOKUP(A:A,MASTER!A:F,6,0)</f>
        <v>44668525.940832011</v>
      </c>
      <c r="G36" s="1">
        <f>VLOOKUP(A:A,MASTER!A:K,11,0)</f>
        <v>45469457.425387718</v>
      </c>
      <c r="H36" s="12">
        <f t="shared" si="0"/>
        <v>1.793055552396372E-2</v>
      </c>
      <c r="I36" s="2">
        <f>VLOOKUP(A:A,MASTER!A:E,5,0)</f>
        <v>933</v>
      </c>
      <c r="J36" s="2">
        <f>VLOOKUP(A:A,MASTER!A:J,10,0)</f>
        <v>933</v>
      </c>
      <c r="K36" s="12">
        <f t="shared" si="1"/>
        <v>0</v>
      </c>
      <c r="L36" s="2">
        <f>VLOOKUP(A:A,MASTER!A:D,4,0)</f>
        <v>1</v>
      </c>
      <c r="M36" s="2">
        <f>VLOOKUP(A:A,MASTER!A:I,9,0)</f>
        <v>1</v>
      </c>
      <c r="N36" s="12">
        <f t="shared" si="2"/>
        <v>0</v>
      </c>
      <c r="O36" s="1">
        <f>VLOOKUP(A:A,MASTER!A:C,3,0)</f>
        <v>468</v>
      </c>
      <c r="P36" s="1">
        <f>VLOOKUP(A:A,MASTER!A:H,8,0)</f>
        <v>674</v>
      </c>
      <c r="Q36" s="12">
        <f t="shared" si="3"/>
        <v>0.44017094017094016</v>
      </c>
      <c r="R36" s="1">
        <f>VLOOKUP(A:A,MASTER!A:B,2,0)</f>
        <v>1412</v>
      </c>
      <c r="S36">
        <f>VLOOKUP(A:A,MASTER!A:G,7,0)</f>
        <v>1513</v>
      </c>
      <c r="T36" s="12">
        <f t="shared" si="4"/>
        <v>7.1529745042492987E-2</v>
      </c>
      <c r="U36">
        <v>4</v>
      </c>
    </row>
    <row r="37" spans="1:21" x14ac:dyDescent="0.35">
      <c r="A37" t="s">
        <v>156</v>
      </c>
      <c r="B37" t="s">
        <v>157</v>
      </c>
      <c r="C37" t="s">
        <v>4</v>
      </c>
      <c r="D37" t="s">
        <v>151</v>
      </c>
      <c r="E37" t="s">
        <v>182</v>
      </c>
      <c r="F37" s="1">
        <f>VLOOKUP(A:A,MASTER!A:F,6,0)</f>
        <v>78816986.72318776</v>
      </c>
      <c r="G37" s="1">
        <f>VLOOKUP(A:A,MASTER!A:K,11,0)</f>
        <v>76764831.003848657</v>
      </c>
      <c r="H37" s="12">
        <f t="shared" si="0"/>
        <v>-2.6036972544338122E-2</v>
      </c>
      <c r="I37" s="2">
        <f>VLOOKUP(A:A,MASTER!A:E,5,0)</f>
        <v>1470</v>
      </c>
      <c r="J37" s="2">
        <f>VLOOKUP(A:A,MASTER!A:J,10,0)</f>
        <v>1722</v>
      </c>
      <c r="K37" s="12">
        <f t="shared" si="1"/>
        <v>0.17142857142857149</v>
      </c>
      <c r="L37" s="2">
        <f>VLOOKUP(A:A,MASTER!A:D,4,0)</f>
        <v>5</v>
      </c>
      <c r="M37" s="2">
        <f>VLOOKUP(A:A,MASTER!A:I,9,0)</f>
        <v>5</v>
      </c>
      <c r="N37" s="12">
        <f t="shared" si="2"/>
        <v>0</v>
      </c>
      <c r="O37" s="1">
        <f>VLOOKUP(A:A,MASTER!A:C,3,0)</f>
        <v>189</v>
      </c>
      <c r="P37" s="1">
        <f>VLOOKUP(A:A,MASTER!A:H,8,0)</f>
        <v>456</v>
      </c>
      <c r="Q37" s="12">
        <f t="shared" si="3"/>
        <v>1.4126984126984126</v>
      </c>
      <c r="R37" s="1">
        <f>VLOOKUP(A:A,MASTER!A:B,2,0)</f>
        <v>2293</v>
      </c>
      <c r="S37">
        <f>VLOOKUP(A:A,MASTER!A:G,7,0)</f>
        <v>2499</v>
      </c>
      <c r="T37" s="12">
        <f t="shared" si="4"/>
        <v>8.9838639337112891E-2</v>
      </c>
      <c r="U37">
        <v>16</v>
      </c>
    </row>
    <row r="38" spans="1:21" x14ac:dyDescent="0.35">
      <c r="A38" t="s">
        <v>14</v>
      </c>
      <c r="B38" t="s">
        <v>15</v>
      </c>
      <c r="C38" t="s">
        <v>4</v>
      </c>
      <c r="D38" t="s">
        <v>151</v>
      </c>
      <c r="E38" t="s">
        <v>182</v>
      </c>
      <c r="F38" s="1">
        <f>VLOOKUP(A:A,MASTER!A:F,6,0)</f>
        <v>28573590.397733632</v>
      </c>
      <c r="G38" s="1">
        <f>VLOOKUP(A:A,MASTER!A:K,11,0)</f>
        <v>29060184.338664137</v>
      </c>
      <c r="H38" s="12">
        <f t="shared" si="0"/>
        <v>1.7029499413874882E-2</v>
      </c>
      <c r="I38" s="2">
        <f>VLOOKUP(A:A,MASTER!A:E,5,0)</f>
        <v>466</v>
      </c>
      <c r="J38" s="2">
        <f>VLOOKUP(A:A,MASTER!A:J,10,0)</f>
        <v>469</v>
      </c>
      <c r="K38" s="12">
        <f t="shared" si="1"/>
        <v>6.4377682403433667E-3</v>
      </c>
      <c r="L38" s="2">
        <f>VLOOKUP(A:A,MASTER!A:D,4,0)</f>
        <v>6</v>
      </c>
      <c r="M38" s="2">
        <f>VLOOKUP(A:A,MASTER!A:I,9,0)</f>
        <v>7</v>
      </c>
      <c r="N38" s="12">
        <f t="shared" si="2"/>
        <v>0.16666666666666674</v>
      </c>
      <c r="O38" s="1">
        <f>VLOOKUP(A:A,MASTER!A:C,3,0)</f>
        <v>2</v>
      </c>
      <c r="P38" s="1">
        <f>VLOOKUP(A:A,MASTER!A:H,8,0)</f>
        <v>1</v>
      </c>
      <c r="Q38" s="12">
        <f t="shared" si="3"/>
        <v>-0.5</v>
      </c>
      <c r="R38" s="1">
        <f>VLOOKUP(A:A,MASTER!A:B,2,0)</f>
        <v>587</v>
      </c>
      <c r="S38">
        <f>VLOOKUP(A:A,MASTER!A:G,7,0)</f>
        <v>528</v>
      </c>
      <c r="T38" s="12">
        <f t="shared" si="4"/>
        <v>-0.10051107325383302</v>
      </c>
      <c r="U38">
        <v>3</v>
      </c>
    </row>
    <row r="39" spans="1:21" x14ac:dyDescent="0.35">
      <c r="A39" t="s">
        <v>8</v>
      </c>
      <c r="B39" t="s">
        <v>9</v>
      </c>
      <c r="C39" t="s">
        <v>4</v>
      </c>
      <c r="D39" t="s">
        <v>151</v>
      </c>
      <c r="E39" t="s">
        <v>182</v>
      </c>
      <c r="F39" s="1">
        <f>VLOOKUP(A:A,MASTER!A:F,6,0)</f>
        <v>92092569.901687533</v>
      </c>
      <c r="G39" s="1">
        <f>VLOOKUP(A:A,MASTER!A:K,11,0)</f>
        <v>91156671.713245004</v>
      </c>
      <c r="H39" s="12">
        <f t="shared" si="0"/>
        <v>-1.0162580862295822E-2</v>
      </c>
      <c r="I39" s="2">
        <f>VLOOKUP(A:A,MASTER!A:E,5,0)</f>
        <v>1838</v>
      </c>
      <c r="J39" s="2">
        <f>VLOOKUP(A:A,MASTER!A:J,10,0)</f>
        <v>2107</v>
      </c>
      <c r="K39" s="12">
        <f t="shared" si="1"/>
        <v>0.1463547334058759</v>
      </c>
      <c r="L39" s="2">
        <f>VLOOKUP(A:A,MASTER!A:D,4,0)</f>
        <v>6</v>
      </c>
      <c r="M39" s="2">
        <f>VLOOKUP(A:A,MASTER!A:I,9,0)</f>
        <v>5</v>
      </c>
      <c r="N39" s="12">
        <f t="shared" si="2"/>
        <v>-0.16666666666666663</v>
      </c>
      <c r="O39" s="1">
        <f>VLOOKUP(A:A,MASTER!A:C,3,0)</f>
        <v>9</v>
      </c>
      <c r="P39" s="1">
        <f>VLOOKUP(A:A,MASTER!A:H,8,0)</f>
        <v>6</v>
      </c>
      <c r="Q39" s="12">
        <f t="shared" si="3"/>
        <v>-0.33333333333333337</v>
      </c>
      <c r="R39" s="1">
        <f>VLOOKUP(A:A,MASTER!A:B,2,0)</f>
        <v>2097</v>
      </c>
      <c r="S39">
        <f>VLOOKUP(A:A,MASTER!A:G,7,0)</f>
        <v>2377</v>
      </c>
      <c r="T39" s="12">
        <f t="shared" si="4"/>
        <v>0.13352408202193611</v>
      </c>
      <c r="U39">
        <v>4</v>
      </c>
    </row>
    <row r="40" spans="1:21" x14ac:dyDescent="0.35">
      <c r="A40" t="s">
        <v>39</v>
      </c>
      <c r="B40" t="s">
        <v>40</v>
      </c>
      <c r="C40" t="s">
        <v>4</v>
      </c>
      <c r="D40" t="s">
        <v>5</v>
      </c>
      <c r="E40" t="s">
        <v>182</v>
      </c>
      <c r="F40" s="1">
        <f>VLOOKUP(A:A,MASTER!A:F,6,0)</f>
        <v>63894898.310171552</v>
      </c>
      <c r="G40" s="1">
        <f>VLOOKUP(A:A,MASTER!A:K,11,0)</f>
        <v>67781854.097355142</v>
      </c>
      <c r="H40" s="12">
        <f t="shared" si="0"/>
        <v>6.0833585935370582E-2</v>
      </c>
      <c r="I40" s="2">
        <f>VLOOKUP(A:A,MASTER!A:E,5,0)</f>
        <v>895</v>
      </c>
      <c r="J40" s="2">
        <f>VLOOKUP(A:A,MASTER!A:J,10,0)</f>
        <v>828</v>
      </c>
      <c r="K40" s="12">
        <f t="shared" si="1"/>
        <v>-7.4860335195530703E-2</v>
      </c>
      <c r="L40" s="2">
        <f>VLOOKUP(A:A,MASTER!A:D,4,0)</f>
        <v>4</v>
      </c>
      <c r="M40" s="2">
        <f>VLOOKUP(A:A,MASTER!A:I,9,0)</f>
        <v>4</v>
      </c>
      <c r="N40" s="12">
        <f t="shared" si="2"/>
        <v>0</v>
      </c>
      <c r="O40" s="1">
        <f>VLOOKUP(A:A,MASTER!A:C,3,0)</f>
        <v>13</v>
      </c>
      <c r="P40" s="1">
        <f>VLOOKUP(A:A,MASTER!A:H,8,0)</f>
        <v>5</v>
      </c>
      <c r="Q40" s="12">
        <f t="shared" si="3"/>
        <v>-0.61538461538461542</v>
      </c>
      <c r="R40" s="1">
        <f>VLOOKUP(A:A,MASTER!A:B,2,0)</f>
        <v>914</v>
      </c>
      <c r="S40">
        <f>VLOOKUP(A:A,MASTER!A:G,7,0)</f>
        <v>997</v>
      </c>
      <c r="T40" s="12">
        <f t="shared" si="4"/>
        <v>9.0809628008752696E-2</v>
      </c>
      <c r="U40">
        <v>3</v>
      </c>
    </row>
    <row r="41" spans="1:21" x14ac:dyDescent="0.35">
      <c r="A41" t="s">
        <v>6</v>
      </c>
      <c r="B41" t="s">
        <v>7</v>
      </c>
      <c r="C41" t="s">
        <v>4</v>
      </c>
      <c r="D41" t="s">
        <v>151</v>
      </c>
      <c r="E41" t="s">
        <v>182</v>
      </c>
      <c r="F41" s="1">
        <f>VLOOKUP(A:A,MASTER!A:F,6,0)</f>
        <v>39554413.499901369</v>
      </c>
      <c r="G41" s="1">
        <f>VLOOKUP(A:A,MASTER!A:K,11,0)</f>
        <v>49011605.276368476</v>
      </c>
      <c r="H41" s="12">
        <f t="shared" si="0"/>
        <v>0.23909321210111467</v>
      </c>
      <c r="I41" s="2">
        <f>VLOOKUP(A:A,MASTER!A:E,5,0)</f>
        <v>1226</v>
      </c>
      <c r="J41" s="2">
        <f>VLOOKUP(A:A,MASTER!A:J,10,0)</f>
        <v>1002</v>
      </c>
      <c r="K41" s="12">
        <f t="shared" si="1"/>
        <v>-0.18270799347471456</v>
      </c>
      <c r="L41" s="2">
        <f>VLOOKUP(A:A,MASTER!A:D,4,0)</f>
        <v>4</v>
      </c>
      <c r="M41" s="2">
        <f>VLOOKUP(A:A,MASTER!A:I,9,0)</f>
        <v>3</v>
      </c>
      <c r="N41" s="12">
        <f t="shared" si="2"/>
        <v>-0.25</v>
      </c>
      <c r="O41" s="1">
        <f>VLOOKUP(A:A,MASTER!A:C,3,0)</f>
        <v>9</v>
      </c>
      <c r="P41" s="1">
        <f>VLOOKUP(A:A,MASTER!A:H,8,0)</f>
        <v>4</v>
      </c>
      <c r="Q41" s="12">
        <f t="shared" si="3"/>
        <v>-0.55555555555555558</v>
      </c>
      <c r="R41" s="1">
        <f>VLOOKUP(A:A,MASTER!A:B,2,0)</f>
        <v>1074</v>
      </c>
      <c r="S41">
        <f>VLOOKUP(A:A,MASTER!A:G,7,0)</f>
        <v>1176</v>
      </c>
      <c r="T41" s="12">
        <f t="shared" si="4"/>
        <v>9.4972067039106101E-2</v>
      </c>
      <c r="U41">
        <v>4</v>
      </c>
    </row>
    <row r="42" spans="1:21" x14ac:dyDescent="0.35">
      <c r="A42" t="s">
        <v>41</v>
      </c>
      <c r="B42" t="s">
        <v>42</v>
      </c>
      <c r="C42" t="s">
        <v>4</v>
      </c>
      <c r="D42" t="s">
        <v>5</v>
      </c>
      <c r="E42" t="s">
        <v>182</v>
      </c>
      <c r="F42" s="1">
        <f>VLOOKUP(A:A,MASTER!A:F,6,0)</f>
        <v>47730123.021943264</v>
      </c>
      <c r="G42" s="1">
        <f>VLOOKUP(A:A,MASTER!A:K,11,0)</f>
        <v>50196884.185033575</v>
      </c>
      <c r="H42" s="12">
        <f t="shared" si="0"/>
        <v>5.1681433168656365E-2</v>
      </c>
      <c r="I42" s="2">
        <f>VLOOKUP(A:A,MASTER!A:E,5,0)</f>
        <v>655</v>
      </c>
      <c r="J42" s="2">
        <f>VLOOKUP(A:A,MASTER!A:J,10,0)</f>
        <v>644</v>
      </c>
      <c r="K42" s="12">
        <f t="shared" si="1"/>
        <v>-1.6793893129770976E-2</v>
      </c>
      <c r="L42" s="2">
        <f>VLOOKUP(A:A,MASTER!A:D,4,0)</f>
        <v>4</v>
      </c>
      <c r="M42" s="2">
        <f>VLOOKUP(A:A,MASTER!A:I,9,0)</f>
        <v>5</v>
      </c>
      <c r="N42" s="12">
        <f t="shared" si="2"/>
        <v>0.25</v>
      </c>
      <c r="O42" s="1">
        <f>VLOOKUP(A:A,MASTER!A:C,3,0)</f>
        <v>10</v>
      </c>
      <c r="P42" s="1">
        <f>VLOOKUP(A:A,MASTER!A:H,8,0)</f>
        <v>4</v>
      </c>
      <c r="Q42" s="12">
        <f t="shared" si="3"/>
        <v>-0.6</v>
      </c>
      <c r="R42" s="1">
        <f>VLOOKUP(A:A,MASTER!A:B,2,0)</f>
        <v>808</v>
      </c>
      <c r="S42">
        <f>VLOOKUP(A:A,MASTER!A:G,7,0)</f>
        <v>753</v>
      </c>
      <c r="T42" s="12">
        <f t="shared" si="4"/>
        <v>-6.8069306930693019E-2</v>
      </c>
      <c r="U42">
        <v>1</v>
      </c>
    </row>
    <row r="43" spans="1:21" x14ac:dyDescent="0.35">
      <c r="A43" t="s">
        <v>158</v>
      </c>
      <c r="B43" t="s">
        <v>159</v>
      </c>
      <c r="C43" t="s">
        <v>4</v>
      </c>
      <c r="D43" t="s">
        <v>151</v>
      </c>
      <c r="E43" t="s">
        <v>182</v>
      </c>
      <c r="F43" s="1">
        <f>VLOOKUP(A:A,MASTER!A:F,6,0)</f>
        <v>30131641.281054646</v>
      </c>
      <c r="G43" s="1">
        <f>VLOOKUP(A:A,MASTER!A:K,11,0)</f>
        <v>29643150.539705977</v>
      </c>
      <c r="H43" s="12">
        <f t="shared" si="0"/>
        <v>-1.6211886262425645E-2</v>
      </c>
      <c r="I43" s="2">
        <f>VLOOKUP(A:A,MASTER!A:E,5,0)</f>
        <v>569</v>
      </c>
      <c r="J43" s="2">
        <f>VLOOKUP(A:A,MASTER!A:J,10,0)</f>
        <v>741</v>
      </c>
      <c r="K43" s="12">
        <f t="shared" si="1"/>
        <v>0.30228471001757473</v>
      </c>
      <c r="L43" s="2">
        <f>VLOOKUP(A:A,MASTER!A:D,4,0)</f>
        <v>10</v>
      </c>
      <c r="M43" s="2">
        <f>VLOOKUP(A:A,MASTER!A:I,9,0)</f>
        <v>9</v>
      </c>
      <c r="N43" s="12">
        <f t="shared" si="2"/>
        <v>-9.9999999999999978E-2</v>
      </c>
      <c r="O43" s="1">
        <f>VLOOKUP(A:A,MASTER!A:C,3,0)</f>
        <v>4</v>
      </c>
      <c r="P43" s="1">
        <f>VLOOKUP(A:A,MASTER!A:H,8,0)</f>
        <v>2</v>
      </c>
      <c r="Q43" s="12">
        <f t="shared" si="3"/>
        <v>-0.5</v>
      </c>
      <c r="R43" s="1">
        <f>VLOOKUP(A:A,MASTER!A:B,2,0)</f>
        <v>728</v>
      </c>
      <c r="S43">
        <f>VLOOKUP(A:A,MASTER!A:G,7,0)</f>
        <v>803</v>
      </c>
      <c r="T43" s="12">
        <f t="shared" si="4"/>
        <v>0.1030219780219781</v>
      </c>
      <c r="U43">
        <v>2</v>
      </c>
    </row>
    <row r="44" spans="1:21" x14ac:dyDescent="0.35">
      <c r="A44" t="s">
        <v>160</v>
      </c>
      <c r="B44" t="s">
        <v>161</v>
      </c>
      <c r="C44" t="s">
        <v>4</v>
      </c>
      <c r="D44" t="s">
        <v>151</v>
      </c>
      <c r="E44" t="s">
        <v>182</v>
      </c>
      <c r="F44" s="1">
        <f>VLOOKUP(A:A,MASTER!A:F,6,0)</f>
        <v>26011342.396253262</v>
      </c>
      <c r="G44" s="1">
        <f>VLOOKUP(A:A,MASTER!A:K,11,0)</f>
        <v>27993593.494099315</v>
      </c>
      <c r="H44" s="12">
        <f t="shared" si="0"/>
        <v>7.6207181761275944E-2</v>
      </c>
      <c r="I44" s="2">
        <f>VLOOKUP(A:A,MASTER!A:E,5,0)</f>
        <v>743</v>
      </c>
      <c r="J44" s="2">
        <f>VLOOKUP(A:A,MASTER!A:J,10,0)</f>
        <v>785</v>
      </c>
      <c r="K44" s="12">
        <f t="shared" si="1"/>
        <v>5.6527590847913922E-2</v>
      </c>
      <c r="L44" s="2">
        <f>VLOOKUP(A:A,MASTER!A:D,4,0)</f>
        <v>1</v>
      </c>
      <c r="M44" s="2">
        <f>VLOOKUP(A:A,MASTER!A:I,9,0)</f>
        <v>2</v>
      </c>
      <c r="N44" s="12">
        <f t="shared" si="2"/>
        <v>1</v>
      </c>
      <c r="O44" s="1">
        <f>VLOOKUP(A:A,MASTER!A:C,3,0)</f>
        <v>3</v>
      </c>
      <c r="P44" s="1">
        <f>VLOOKUP(A:A,MASTER!A:H,8,0)</f>
        <v>2</v>
      </c>
      <c r="Q44" s="12">
        <f t="shared" si="3"/>
        <v>-0.33333333333333337</v>
      </c>
      <c r="R44" s="1">
        <f>VLOOKUP(A:A,MASTER!A:B,2,0)</f>
        <v>706</v>
      </c>
      <c r="S44">
        <f>VLOOKUP(A:A,MASTER!A:G,7,0)</f>
        <v>804</v>
      </c>
      <c r="T44" s="12">
        <f t="shared" si="4"/>
        <v>0.13881019830028318</v>
      </c>
      <c r="U44">
        <v>2</v>
      </c>
    </row>
    <row r="45" spans="1:21" x14ac:dyDescent="0.35">
      <c r="A45" t="s">
        <v>83</v>
      </c>
      <c r="B45" t="s">
        <v>84</v>
      </c>
      <c r="C45" t="s">
        <v>4</v>
      </c>
      <c r="D45" t="s">
        <v>26</v>
      </c>
      <c r="E45" t="s">
        <v>182</v>
      </c>
      <c r="F45" s="1">
        <f>VLOOKUP(A:A,MASTER!A:F,6,0)</f>
        <v>85887485.809277371</v>
      </c>
      <c r="G45" s="1">
        <f>VLOOKUP(A:A,MASTER!A:K,11,0)</f>
        <v>88484110.258821398</v>
      </c>
      <c r="H45" s="12">
        <f t="shared" si="0"/>
        <v>3.0232861342688766E-2</v>
      </c>
      <c r="I45" s="2">
        <f>VLOOKUP(A:A,MASTER!A:E,5,0)</f>
        <v>1073</v>
      </c>
      <c r="J45" s="2">
        <f>VLOOKUP(A:A,MASTER!A:J,10,0)</f>
        <v>1043</v>
      </c>
      <c r="K45" s="12">
        <f t="shared" si="1"/>
        <v>-2.7958993476234872E-2</v>
      </c>
      <c r="L45" s="2">
        <f>VLOOKUP(A:A,MASTER!A:D,4,0)</f>
        <v>5</v>
      </c>
      <c r="M45" s="2">
        <f>VLOOKUP(A:A,MASTER!A:I,9,0)</f>
        <v>6</v>
      </c>
      <c r="N45" s="12">
        <f t="shared" si="2"/>
        <v>0.19999999999999996</v>
      </c>
      <c r="O45" s="1">
        <f>VLOOKUP(A:A,MASTER!A:C,3,0)</f>
        <v>9</v>
      </c>
      <c r="P45" s="1">
        <f>VLOOKUP(A:A,MASTER!A:H,8,0)</f>
        <v>9</v>
      </c>
      <c r="Q45" s="12">
        <f t="shared" si="3"/>
        <v>0</v>
      </c>
      <c r="R45" s="1">
        <f>VLOOKUP(A:A,MASTER!A:B,2,0)</f>
        <v>1257</v>
      </c>
      <c r="S45">
        <f>VLOOKUP(A:A,MASTER!A:G,7,0)</f>
        <v>1161</v>
      </c>
      <c r="T45" s="12">
        <f t="shared" si="4"/>
        <v>-7.6372315035799554E-2</v>
      </c>
      <c r="U45">
        <v>5</v>
      </c>
    </row>
    <row r="46" spans="1:21" x14ac:dyDescent="0.35">
      <c r="A46" t="s">
        <v>31</v>
      </c>
      <c r="B46" t="s">
        <v>32</v>
      </c>
      <c r="C46" t="s">
        <v>4</v>
      </c>
      <c r="D46" t="s">
        <v>5</v>
      </c>
      <c r="E46" t="s">
        <v>182</v>
      </c>
      <c r="F46" s="1">
        <f>VLOOKUP(A:A,MASTER!A:F,6,0)</f>
        <v>39285996.515103869</v>
      </c>
      <c r="G46" s="1">
        <f>VLOOKUP(A:A,MASTER!A:K,11,0)</f>
        <v>34703872.427040502</v>
      </c>
      <c r="H46" s="12">
        <f t="shared" si="0"/>
        <v>-0.11663504796936297</v>
      </c>
      <c r="I46" s="2">
        <f>VLOOKUP(A:A,MASTER!A:E,5,0)</f>
        <v>960</v>
      </c>
      <c r="J46" s="2">
        <f>VLOOKUP(A:A,MASTER!A:J,10,0)</f>
        <v>32</v>
      </c>
      <c r="K46" s="12">
        <f t="shared" si="1"/>
        <v>-0.96666666666666667</v>
      </c>
      <c r="L46" s="2">
        <f>VLOOKUP(A:A,MASTER!A:D,4,0)</f>
        <v>6</v>
      </c>
      <c r="M46" s="2">
        <f>VLOOKUP(A:A,MASTER!A:I,9,0)</f>
        <v>4</v>
      </c>
      <c r="N46" s="12">
        <f t="shared" si="2"/>
        <v>-0.33333333333333337</v>
      </c>
      <c r="O46" s="1">
        <f>VLOOKUP(A:A,MASTER!A:C,3,0)</f>
        <v>5</v>
      </c>
      <c r="P46" s="1">
        <f>VLOOKUP(A:A,MASTER!A:H,8,0)</f>
        <v>3</v>
      </c>
      <c r="Q46" s="12">
        <f t="shared" si="3"/>
        <v>-0.4</v>
      </c>
      <c r="R46" s="1">
        <f>VLOOKUP(A:A,MASTER!A:B,2,0)</f>
        <v>921</v>
      </c>
      <c r="S46">
        <f>VLOOKUP(A:A,MASTER!A:G,7,0)</f>
        <v>257</v>
      </c>
      <c r="T46" s="12">
        <f t="shared" si="4"/>
        <v>-0.72095548317046687</v>
      </c>
      <c r="U46">
        <v>4</v>
      </c>
    </row>
    <row r="47" spans="1:21" x14ac:dyDescent="0.35">
      <c r="A47" t="s">
        <v>33</v>
      </c>
      <c r="B47" t="s">
        <v>34</v>
      </c>
      <c r="C47" t="s">
        <v>4</v>
      </c>
      <c r="D47" t="s">
        <v>5</v>
      </c>
      <c r="E47" t="s">
        <v>182</v>
      </c>
      <c r="F47" s="1">
        <f>VLOOKUP(A:A,MASTER!A:F,6,0)</f>
        <v>70346699.472327009</v>
      </c>
      <c r="G47" s="1">
        <f>VLOOKUP(A:A,MASTER!A:K,11,0)</f>
        <v>73582484.606486171</v>
      </c>
      <c r="H47" s="12">
        <f t="shared" si="0"/>
        <v>4.5997682313895227E-2</v>
      </c>
      <c r="I47" s="2">
        <f>VLOOKUP(A:A,MASTER!A:E,5,0)</f>
        <v>1020</v>
      </c>
      <c r="J47" s="2">
        <f>VLOOKUP(A:A,MASTER!A:J,10,0)</f>
        <v>1493</v>
      </c>
      <c r="K47" s="12">
        <f t="shared" si="1"/>
        <v>0.46372549019607834</v>
      </c>
      <c r="L47" s="2">
        <f>VLOOKUP(A:A,MASTER!A:D,4,0)</f>
        <v>12</v>
      </c>
      <c r="M47" s="2">
        <f>VLOOKUP(A:A,MASTER!A:I,9,0)</f>
        <v>11</v>
      </c>
      <c r="N47" s="12">
        <f t="shared" si="2"/>
        <v>-8.333333333333337E-2</v>
      </c>
      <c r="O47" s="1">
        <f>VLOOKUP(A:A,MASTER!A:C,3,0)</f>
        <v>6</v>
      </c>
      <c r="P47" s="1">
        <f>VLOOKUP(A:A,MASTER!A:H,8,0)</f>
        <v>5</v>
      </c>
      <c r="Q47" s="12">
        <f t="shared" si="3"/>
        <v>-0.16666666666666663</v>
      </c>
      <c r="R47" s="1">
        <f>VLOOKUP(A:A,MASTER!A:B,2,0)</f>
        <v>1408</v>
      </c>
      <c r="S47">
        <f>VLOOKUP(A:A,MASTER!A:G,7,0)</f>
        <v>1886</v>
      </c>
      <c r="T47" s="12">
        <f t="shared" si="4"/>
        <v>0.33948863636363646</v>
      </c>
      <c r="U47">
        <v>5</v>
      </c>
    </row>
    <row r="48" spans="1:21" x14ac:dyDescent="0.35">
      <c r="A48" t="s">
        <v>85</v>
      </c>
      <c r="B48" t="s">
        <v>86</v>
      </c>
      <c r="C48" t="s">
        <v>4</v>
      </c>
      <c r="D48" t="s">
        <v>26</v>
      </c>
      <c r="E48" t="s">
        <v>182</v>
      </c>
      <c r="F48" s="1">
        <f>VLOOKUP(A:A,MASTER!A:F,6,0)</f>
        <v>35600114.158709727</v>
      </c>
      <c r="G48" s="1">
        <f>VLOOKUP(A:A,MASTER!A:K,11,0)</f>
        <v>35357182.548210919</v>
      </c>
      <c r="H48" s="12">
        <f t="shared" si="0"/>
        <v>-6.8238997609891827E-3</v>
      </c>
      <c r="I48" s="2">
        <f>VLOOKUP(A:A,MASTER!A:E,5,0)</f>
        <v>391</v>
      </c>
      <c r="J48" s="2">
        <f>VLOOKUP(A:A,MASTER!A:J,10,0)</f>
        <v>419</v>
      </c>
      <c r="K48" s="12">
        <f t="shared" si="1"/>
        <v>7.1611253196930846E-2</v>
      </c>
      <c r="L48" s="2">
        <f>VLOOKUP(A:A,MASTER!A:D,4,0)</f>
        <v>6</v>
      </c>
      <c r="M48" s="2">
        <f>VLOOKUP(A:A,MASTER!A:I,9,0)</f>
        <v>6</v>
      </c>
      <c r="N48" s="12">
        <f t="shared" si="2"/>
        <v>0</v>
      </c>
      <c r="O48" s="1">
        <f>VLOOKUP(A:A,MASTER!A:C,3,0)</f>
        <v>4</v>
      </c>
      <c r="P48" s="1">
        <f>VLOOKUP(A:A,MASTER!A:H,8,0)</f>
        <v>5</v>
      </c>
      <c r="Q48" s="12">
        <f t="shared" si="3"/>
        <v>0.25</v>
      </c>
      <c r="R48" s="1">
        <f>VLOOKUP(A:A,MASTER!A:B,2,0)</f>
        <v>472</v>
      </c>
      <c r="S48">
        <f>VLOOKUP(A:A,MASTER!A:G,7,0)</f>
        <v>500</v>
      </c>
      <c r="T48" s="12">
        <f t="shared" si="4"/>
        <v>5.9322033898305149E-2</v>
      </c>
      <c r="U48">
        <v>1</v>
      </c>
    </row>
    <row r="49" spans="1:21" x14ac:dyDescent="0.35">
      <c r="A49" t="s">
        <v>81</v>
      </c>
      <c r="B49" t="s">
        <v>82</v>
      </c>
      <c r="C49" t="s">
        <v>4</v>
      </c>
      <c r="D49" t="s">
        <v>26</v>
      </c>
      <c r="E49" t="s">
        <v>182</v>
      </c>
      <c r="F49" s="1">
        <f>VLOOKUP(A:A,MASTER!A:F,6,0)</f>
        <v>26832254.016702946</v>
      </c>
      <c r="G49" s="1">
        <f>VLOOKUP(A:A,MASTER!A:K,11,0)</f>
        <v>28079825.989185583</v>
      </c>
      <c r="H49" s="12">
        <f t="shared" si="0"/>
        <v>4.6495235611068164E-2</v>
      </c>
      <c r="I49" s="2">
        <f>VLOOKUP(A:A,MASTER!A:E,5,0)</f>
        <v>322</v>
      </c>
      <c r="J49" s="2">
        <f>VLOOKUP(A:A,MASTER!A:J,10,0)</f>
        <v>309</v>
      </c>
      <c r="K49" s="12">
        <f t="shared" si="1"/>
        <v>-4.0372670807453437E-2</v>
      </c>
      <c r="L49" s="2">
        <f>VLOOKUP(A:A,MASTER!A:D,4,0)</f>
        <v>4</v>
      </c>
      <c r="M49" s="2">
        <f>VLOOKUP(A:A,MASTER!A:I,9,0)</f>
        <v>3</v>
      </c>
      <c r="N49" s="12">
        <f t="shared" si="2"/>
        <v>-0.25</v>
      </c>
      <c r="O49" s="1">
        <f>VLOOKUP(A:A,MASTER!A:C,3,0)</f>
        <v>4</v>
      </c>
      <c r="P49" s="1">
        <f>VLOOKUP(A:A,MASTER!A:H,8,0)</f>
        <v>3</v>
      </c>
      <c r="Q49" s="12">
        <f t="shared" si="3"/>
        <v>-0.25</v>
      </c>
      <c r="R49" s="1">
        <f>VLOOKUP(A:A,MASTER!A:B,2,0)</f>
        <v>469</v>
      </c>
      <c r="S49">
        <f>VLOOKUP(A:A,MASTER!A:G,7,0)</f>
        <v>393</v>
      </c>
      <c r="T49" s="12">
        <f t="shared" si="4"/>
        <v>-0.16204690831556501</v>
      </c>
      <c r="U49">
        <v>5</v>
      </c>
    </row>
    <row r="50" spans="1:21" x14ac:dyDescent="0.35">
      <c r="A50" t="s">
        <v>87</v>
      </c>
      <c r="B50" t="s">
        <v>88</v>
      </c>
      <c r="C50" t="s">
        <v>4</v>
      </c>
      <c r="D50" t="s">
        <v>26</v>
      </c>
      <c r="E50" t="s">
        <v>182</v>
      </c>
      <c r="F50" s="1">
        <f>VLOOKUP(A:A,MASTER!A:F,6,0)</f>
        <v>23711331.283565305</v>
      </c>
      <c r="G50" s="1">
        <f>VLOOKUP(A:A,MASTER!A:K,11,0)</f>
        <v>13715705.493847707</v>
      </c>
      <c r="H50" s="12">
        <f t="shared" si="0"/>
        <v>-0.42155481150253771</v>
      </c>
      <c r="I50" s="2">
        <f>VLOOKUP(A:A,MASTER!A:E,5,0)</f>
        <v>349</v>
      </c>
      <c r="J50" s="2">
        <f>VLOOKUP(A:A,MASTER!A:J,10,0)</f>
        <v>313</v>
      </c>
      <c r="K50" s="12">
        <f t="shared" si="1"/>
        <v>-0.1031518624641834</v>
      </c>
      <c r="L50" s="2">
        <f>VLOOKUP(A:A,MASTER!A:D,4,0)</f>
        <v>3</v>
      </c>
      <c r="M50" s="2">
        <f>VLOOKUP(A:A,MASTER!A:I,9,0)</f>
        <v>1</v>
      </c>
      <c r="N50" s="12">
        <f t="shared" si="2"/>
        <v>-0.66666666666666674</v>
      </c>
      <c r="O50" s="1">
        <f>VLOOKUP(A:A,MASTER!A:C,3,0)</f>
        <v>3</v>
      </c>
      <c r="P50" s="1">
        <f>VLOOKUP(A:A,MASTER!A:H,8,0)</f>
        <v>1</v>
      </c>
      <c r="Q50" s="12">
        <f t="shared" si="3"/>
        <v>-0.66666666666666674</v>
      </c>
      <c r="R50" s="1">
        <f>VLOOKUP(A:A,MASTER!A:B,2,0)</f>
        <v>399</v>
      </c>
      <c r="S50">
        <f>VLOOKUP(A:A,MASTER!A:G,7,0)</f>
        <v>370</v>
      </c>
      <c r="T50" s="12">
        <f t="shared" si="4"/>
        <v>-7.2681704260651681E-2</v>
      </c>
      <c r="U50">
        <v>4</v>
      </c>
    </row>
    <row r="51" spans="1:21" x14ac:dyDescent="0.35">
      <c r="A51" t="s">
        <v>166</v>
      </c>
      <c r="B51" t="s">
        <v>167</v>
      </c>
      <c r="C51" t="s">
        <v>4</v>
      </c>
      <c r="D51" t="s">
        <v>5</v>
      </c>
      <c r="E51" t="s">
        <v>182</v>
      </c>
      <c r="F51" s="1">
        <f>VLOOKUP(A:A,MASTER!A:F,6,0)</f>
        <v>54081495.691434406</v>
      </c>
      <c r="G51" s="1">
        <f>VLOOKUP(A:A,MASTER!A:K,11,0)</f>
        <v>58477143.711345583</v>
      </c>
      <c r="H51" s="12">
        <f t="shared" si="0"/>
        <v>8.1278225827755346E-2</v>
      </c>
      <c r="I51" s="2">
        <f>VLOOKUP(A:A,MASTER!A:E,5,0)</f>
        <v>978</v>
      </c>
      <c r="J51" s="2">
        <f>VLOOKUP(A:A,MASTER!A:J,10,0)</f>
        <v>978</v>
      </c>
      <c r="K51" s="12">
        <f t="shared" si="1"/>
        <v>0</v>
      </c>
      <c r="L51" s="2">
        <f>VLOOKUP(A:A,MASTER!A:D,4,0)</f>
        <v>1</v>
      </c>
      <c r="M51" s="2">
        <f>VLOOKUP(A:A,MASTER!A:I,9,0)</f>
        <v>0</v>
      </c>
      <c r="N51" s="12">
        <f t="shared" si="2"/>
        <v>-1</v>
      </c>
      <c r="O51" s="1">
        <f>VLOOKUP(A:A,MASTER!A:C,3,0)</f>
        <v>9</v>
      </c>
      <c r="P51" s="1">
        <f>VLOOKUP(A:A,MASTER!A:H,8,0)</f>
        <v>6</v>
      </c>
      <c r="Q51" s="12">
        <f t="shared" si="3"/>
        <v>-0.33333333333333337</v>
      </c>
      <c r="R51" s="1">
        <f>VLOOKUP(A:A,MASTER!A:B,2,0)</f>
        <v>1080</v>
      </c>
      <c r="S51">
        <f>VLOOKUP(A:A,MASTER!A:G,7,0)</f>
        <v>1008</v>
      </c>
      <c r="T51" s="12">
        <f t="shared" si="4"/>
        <v>-6.6666666666666652E-2</v>
      </c>
      <c r="U51">
        <v>5</v>
      </c>
    </row>
    <row r="52" spans="1:21" x14ac:dyDescent="0.35">
      <c r="A52" t="s">
        <v>93</v>
      </c>
      <c r="B52" t="s">
        <v>94</v>
      </c>
      <c r="C52" t="s">
        <v>4</v>
      </c>
      <c r="D52" t="s">
        <v>26</v>
      </c>
      <c r="E52" t="s">
        <v>182</v>
      </c>
      <c r="F52" s="1">
        <f>VLOOKUP(A:A,MASTER!A:F,6,0)</f>
        <v>47494768.883171692</v>
      </c>
      <c r="G52" s="1">
        <f>VLOOKUP(A:A,MASTER!A:K,11,0)</f>
        <v>65413008.19433181</v>
      </c>
      <c r="H52" s="12">
        <f t="shared" si="0"/>
        <v>0.3772676387842977</v>
      </c>
      <c r="I52" s="2">
        <f>VLOOKUP(A:A,MASTER!A:E,5,0)</f>
        <v>5</v>
      </c>
      <c r="J52" s="2">
        <f>VLOOKUP(A:A,MASTER!A:J,10,0)</f>
        <v>1339</v>
      </c>
      <c r="K52" s="12">
        <f t="shared" si="1"/>
        <v>266.8</v>
      </c>
      <c r="L52" s="2">
        <f>VLOOKUP(A:A,MASTER!A:D,4,0)</f>
        <v>1</v>
      </c>
      <c r="M52" s="2">
        <f>VLOOKUP(A:A,MASTER!A:I,9,0)</f>
        <v>3</v>
      </c>
      <c r="N52" s="12">
        <f t="shared" si="2"/>
        <v>2</v>
      </c>
      <c r="O52" s="1">
        <f>VLOOKUP(A:A,MASTER!A:C,3,0)</f>
        <v>7</v>
      </c>
      <c r="P52" s="1">
        <f>VLOOKUP(A:A,MASTER!A:H,8,0)</f>
        <v>20</v>
      </c>
      <c r="Q52" s="12">
        <f t="shared" si="3"/>
        <v>1.8571428571428572</v>
      </c>
      <c r="R52" s="1">
        <f>VLOOKUP(A:A,MASTER!A:B,2,0)</f>
        <v>966</v>
      </c>
      <c r="S52">
        <f>VLOOKUP(A:A,MASTER!A:G,7,0)</f>
        <v>1724</v>
      </c>
      <c r="T52" s="12">
        <f t="shared" si="4"/>
        <v>0.78467908902691508</v>
      </c>
      <c r="U52">
        <v>4</v>
      </c>
    </row>
    <row r="53" spans="1:21" x14ac:dyDescent="0.35">
      <c r="A53" t="s">
        <v>95</v>
      </c>
      <c r="B53" t="s">
        <v>96</v>
      </c>
      <c r="C53" t="s">
        <v>4</v>
      </c>
      <c r="D53" t="s">
        <v>26</v>
      </c>
      <c r="E53" t="s">
        <v>182</v>
      </c>
      <c r="F53" s="1">
        <f>VLOOKUP(A:A,MASTER!A:F,6,0)</f>
        <v>107442078.89494748</v>
      </c>
      <c r="G53" s="1">
        <f>VLOOKUP(A:A,MASTER!A:K,11,0)</f>
        <v>94213765.127129599</v>
      </c>
      <c r="H53" s="12">
        <f t="shared" si="0"/>
        <v>-0.12312041896315129</v>
      </c>
      <c r="I53" s="2">
        <f>VLOOKUP(A:A,MASTER!A:E,5,0)</f>
        <v>2201</v>
      </c>
      <c r="J53" s="2">
        <f>VLOOKUP(A:A,MASTER!A:J,10,0)</f>
        <v>834</v>
      </c>
      <c r="K53" s="12">
        <f t="shared" si="1"/>
        <v>-0.62108132666969551</v>
      </c>
      <c r="L53" s="2">
        <f>VLOOKUP(A:A,MASTER!A:D,4,0)</f>
        <v>8</v>
      </c>
      <c r="M53" s="2">
        <f>VLOOKUP(A:A,MASTER!A:I,9,0)</f>
        <v>8</v>
      </c>
      <c r="N53" s="12">
        <f t="shared" si="2"/>
        <v>0</v>
      </c>
      <c r="O53" s="1">
        <f>VLOOKUP(A:A,MASTER!A:C,3,0)</f>
        <v>15</v>
      </c>
      <c r="P53" s="1">
        <f>VLOOKUP(A:A,MASTER!A:H,8,0)</f>
        <v>24</v>
      </c>
      <c r="Q53" s="12">
        <f t="shared" si="3"/>
        <v>0.60000000000000009</v>
      </c>
      <c r="R53" s="1">
        <f>VLOOKUP(A:A,MASTER!A:B,2,0)</f>
        <v>2047</v>
      </c>
      <c r="S53">
        <f>VLOOKUP(A:A,MASTER!A:G,7,0)</f>
        <v>791</v>
      </c>
      <c r="T53" s="12">
        <f t="shared" si="4"/>
        <v>-0.61358085002442597</v>
      </c>
      <c r="U53">
        <v>8</v>
      </c>
    </row>
    <row r="54" spans="1:21" x14ac:dyDescent="0.35">
      <c r="A54" t="s">
        <v>174</v>
      </c>
      <c r="B54" t="s">
        <v>175</v>
      </c>
      <c r="C54" t="s">
        <v>4</v>
      </c>
      <c r="D54" t="s">
        <v>5</v>
      </c>
      <c r="E54" t="s">
        <v>182</v>
      </c>
      <c r="F54" s="1">
        <f>VLOOKUP(A:A,MASTER!A:F,6,0)</f>
        <v>25722026.293637175</v>
      </c>
      <c r="G54" s="1">
        <f>VLOOKUP(A:A,MASTER!A:K,11,0)</f>
        <v>27464620.815385938</v>
      </c>
      <c r="H54" s="12">
        <f t="shared" si="0"/>
        <v>6.7747171309743504E-2</v>
      </c>
      <c r="I54" s="2">
        <f>VLOOKUP(A:A,MASTER!A:E,5,0)</f>
        <v>592</v>
      </c>
      <c r="J54" s="2">
        <f>VLOOKUP(A:A,MASTER!A:J,10,0)</f>
        <v>514</v>
      </c>
      <c r="K54" s="12">
        <f t="shared" si="1"/>
        <v>-0.1317567567567568</v>
      </c>
      <c r="L54" s="2">
        <f>VLOOKUP(A:A,MASTER!A:D,4,0)</f>
        <v>0</v>
      </c>
      <c r="M54" s="2">
        <f>VLOOKUP(A:A,MASTER!A:I,9,0)</f>
        <v>0</v>
      </c>
      <c r="N54" s="12">
        <f t="shared" si="2"/>
        <v>0</v>
      </c>
      <c r="O54" s="1">
        <f>VLOOKUP(A:A,MASTER!A:C,3,0)</f>
        <v>5</v>
      </c>
      <c r="P54" s="1">
        <f>VLOOKUP(A:A,MASTER!A:H,8,0)</f>
        <v>2</v>
      </c>
      <c r="Q54" s="12">
        <f t="shared" si="3"/>
        <v>-0.6</v>
      </c>
      <c r="R54" s="1">
        <f>VLOOKUP(A:A,MASTER!A:B,2,0)</f>
        <v>647</v>
      </c>
      <c r="S54">
        <f>VLOOKUP(A:A,MASTER!A:G,7,0)</f>
        <v>542</v>
      </c>
      <c r="T54" s="12">
        <f t="shared" si="4"/>
        <v>-0.16228748068006182</v>
      </c>
      <c r="U54">
        <v>2</v>
      </c>
    </row>
    <row r="55" spans="1:21" x14ac:dyDescent="0.35">
      <c r="A55" t="s">
        <v>99</v>
      </c>
      <c r="B55" t="s">
        <v>100</v>
      </c>
      <c r="C55" t="s">
        <v>4</v>
      </c>
      <c r="D55" t="s">
        <v>26</v>
      </c>
      <c r="E55" t="s">
        <v>182</v>
      </c>
      <c r="F55" s="1">
        <f>VLOOKUP(A:A,MASTER!A:F,6,0)</f>
        <v>45113290.473806947</v>
      </c>
      <c r="G55" s="1">
        <f>VLOOKUP(A:A,MASTER!A:K,11,0)</f>
        <v>51107442.156389378</v>
      </c>
      <c r="H55" s="12">
        <f t="shared" si="0"/>
        <v>0.13286886457689606</v>
      </c>
      <c r="I55" s="2">
        <f>VLOOKUP(A:A,MASTER!A:E,5,0)</f>
        <v>764</v>
      </c>
      <c r="J55" s="2">
        <f>VLOOKUP(A:A,MASTER!A:J,10,0)</f>
        <v>877</v>
      </c>
      <c r="K55" s="12">
        <f t="shared" si="1"/>
        <v>0.14790575916230364</v>
      </c>
      <c r="L55" s="2">
        <f>VLOOKUP(A:A,MASTER!A:D,4,0)</f>
        <v>5</v>
      </c>
      <c r="M55" s="2">
        <f>VLOOKUP(A:A,MASTER!A:I,9,0)</f>
        <v>6</v>
      </c>
      <c r="N55" s="12">
        <f t="shared" si="2"/>
        <v>0.19999999999999996</v>
      </c>
      <c r="O55" s="1">
        <f>VLOOKUP(A:A,MASTER!A:C,3,0)</f>
        <v>9</v>
      </c>
      <c r="P55" s="1">
        <f>VLOOKUP(A:A,MASTER!A:H,8,0)</f>
        <v>16</v>
      </c>
      <c r="Q55" s="12">
        <f t="shared" si="3"/>
        <v>0.77777777777777768</v>
      </c>
      <c r="R55" s="1">
        <f>VLOOKUP(A:A,MASTER!A:B,2,0)</f>
        <v>894</v>
      </c>
      <c r="S55">
        <f>VLOOKUP(A:A,MASTER!A:G,7,0)</f>
        <v>1031</v>
      </c>
      <c r="T55" s="12">
        <f t="shared" si="4"/>
        <v>0.15324384787472045</v>
      </c>
      <c r="U55">
        <v>7</v>
      </c>
    </row>
    <row r="56" spans="1:21" x14ac:dyDescent="0.35">
      <c r="A56" t="s">
        <v>172</v>
      </c>
      <c r="B56" t="s">
        <v>173</v>
      </c>
      <c r="C56" t="s">
        <v>4</v>
      </c>
      <c r="D56" t="s">
        <v>5</v>
      </c>
      <c r="E56" t="s">
        <v>182</v>
      </c>
      <c r="F56" s="1">
        <f>VLOOKUP(A:A,MASTER!A:F,6,0)</f>
        <v>27852623.798746757</v>
      </c>
      <c r="G56" s="1">
        <f>VLOOKUP(A:A,MASTER!A:K,11,0)</f>
        <v>25913918.368353501</v>
      </c>
      <c r="H56" s="12">
        <f t="shared" si="0"/>
        <v>-6.9605845553426415E-2</v>
      </c>
      <c r="I56" s="2">
        <f>VLOOKUP(A:A,MASTER!A:E,5,0)</f>
        <v>636</v>
      </c>
      <c r="J56" s="2">
        <f>VLOOKUP(A:A,MASTER!A:J,10,0)</f>
        <v>604</v>
      </c>
      <c r="K56" s="12">
        <f t="shared" si="1"/>
        <v>-5.031446540880502E-2</v>
      </c>
      <c r="L56" s="2">
        <f>VLOOKUP(A:A,MASTER!A:D,4,0)</f>
        <v>1</v>
      </c>
      <c r="M56" s="2">
        <f>VLOOKUP(A:A,MASTER!A:I,9,0)</f>
        <v>0</v>
      </c>
      <c r="N56" s="12">
        <f t="shared" si="2"/>
        <v>-1</v>
      </c>
      <c r="O56" s="1">
        <f>VLOOKUP(A:A,MASTER!A:C,3,0)</f>
        <v>4</v>
      </c>
      <c r="P56" s="1">
        <f>VLOOKUP(A:A,MASTER!A:H,8,0)</f>
        <v>2</v>
      </c>
      <c r="Q56" s="12">
        <f t="shared" si="3"/>
        <v>-0.5</v>
      </c>
      <c r="R56" s="1">
        <f>VLOOKUP(A:A,MASTER!A:B,2,0)</f>
        <v>689</v>
      </c>
      <c r="S56">
        <f>VLOOKUP(A:A,MASTER!A:G,7,0)</f>
        <v>699</v>
      </c>
      <c r="T56" s="12">
        <f t="shared" si="4"/>
        <v>1.4513788098693858E-2</v>
      </c>
      <c r="U56">
        <v>2</v>
      </c>
    </row>
    <row r="57" spans="1:21" x14ac:dyDescent="0.35">
      <c r="A57" t="s">
        <v>168</v>
      </c>
      <c r="B57" t="s">
        <v>169</v>
      </c>
      <c r="C57" t="s">
        <v>4</v>
      </c>
      <c r="D57" t="s">
        <v>5</v>
      </c>
      <c r="E57" t="s">
        <v>182</v>
      </c>
      <c r="F57" s="1">
        <f>VLOOKUP(A:A,MASTER!A:F,6,0)</f>
        <v>57075034.557877101</v>
      </c>
      <c r="G57" s="1">
        <f>VLOOKUP(A:A,MASTER!A:K,11,0)</f>
        <v>63379129.961506978</v>
      </c>
      <c r="H57" s="12">
        <f t="shared" si="0"/>
        <v>0.11045276542473559</v>
      </c>
      <c r="I57" s="2">
        <f>VLOOKUP(A:A,MASTER!A:E,5,0)</f>
        <v>1036</v>
      </c>
      <c r="J57" s="2">
        <f>VLOOKUP(A:A,MASTER!A:J,10,0)</f>
        <v>1221</v>
      </c>
      <c r="K57" s="12">
        <f t="shared" si="1"/>
        <v>0.1785714285714286</v>
      </c>
      <c r="L57" s="2">
        <f>VLOOKUP(A:A,MASTER!A:D,4,0)</f>
        <v>1</v>
      </c>
      <c r="M57" s="2">
        <f>VLOOKUP(A:A,MASTER!A:I,9,0)</f>
        <v>1</v>
      </c>
      <c r="N57" s="12">
        <f t="shared" si="2"/>
        <v>0</v>
      </c>
      <c r="O57" s="1">
        <f>VLOOKUP(A:A,MASTER!A:C,3,0)</f>
        <v>6</v>
      </c>
      <c r="P57" s="1">
        <f>VLOOKUP(A:A,MASTER!A:H,8,0)</f>
        <v>7</v>
      </c>
      <c r="Q57" s="12">
        <f t="shared" si="3"/>
        <v>0.16666666666666674</v>
      </c>
      <c r="R57" s="1">
        <f>VLOOKUP(A:A,MASTER!A:B,2,0)</f>
        <v>1086</v>
      </c>
      <c r="S57">
        <f>VLOOKUP(A:A,MASTER!A:G,7,0)</f>
        <v>1256</v>
      </c>
      <c r="T57" s="12">
        <f t="shared" si="4"/>
        <v>0.15653775322283603</v>
      </c>
      <c r="U57">
        <v>2</v>
      </c>
    </row>
    <row r="58" spans="1:21" x14ac:dyDescent="0.35">
      <c r="A58" t="s">
        <v>101</v>
      </c>
      <c r="B58" t="s">
        <v>102</v>
      </c>
      <c r="C58" t="s">
        <v>4</v>
      </c>
      <c r="D58" t="s">
        <v>26</v>
      </c>
      <c r="E58" t="s">
        <v>182</v>
      </c>
      <c r="F58" s="1">
        <f>VLOOKUP(A:A,MASTER!A:F,6,0)</f>
        <v>72898966.736406222</v>
      </c>
      <c r="G58" s="1">
        <f>VLOOKUP(A:A,MASTER!A:K,11,0)</f>
        <v>86731681.299029395</v>
      </c>
      <c r="H58" s="12">
        <f t="shared" si="0"/>
        <v>0.1897518604432431</v>
      </c>
      <c r="I58" s="2">
        <f>VLOOKUP(A:A,MASTER!A:E,5,0)</f>
        <v>1518</v>
      </c>
      <c r="J58" s="2">
        <f>VLOOKUP(A:A,MASTER!A:J,10,0)</f>
        <v>1809</v>
      </c>
      <c r="K58" s="12">
        <f t="shared" si="1"/>
        <v>0.19169960474308301</v>
      </c>
      <c r="L58" s="2">
        <f>VLOOKUP(A:A,MASTER!A:D,4,0)</f>
        <v>4</v>
      </c>
      <c r="M58" s="2">
        <f>VLOOKUP(A:A,MASTER!A:I,9,0)</f>
        <v>5</v>
      </c>
      <c r="N58" s="12">
        <f t="shared" si="2"/>
        <v>0.25</v>
      </c>
      <c r="O58" s="1">
        <f>VLOOKUP(A:A,MASTER!A:C,3,0)</f>
        <v>13</v>
      </c>
      <c r="P58" s="1">
        <f>VLOOKUP(A:A,MASTER!A:H,8,0)</f>
        <v>21</v>
      </c>
      <c r="Q58" s="12">
        <f t="shared" si="3"/>
        <v>0.61538461538461542</v>
      </c>
      <c r="R58" s="1">
        <f>VLOOKUP(A:A,MASTER!A:B,2,0)</f>
        <v>1561</v>
      </c>
      <c r="S58">
        <f>VLOOKUP(A:A,MASTER!A:G,7,0)</f>
        <v>1925</v>
      </c>
      <c r="T58" s="12">
        <f t="shared" si="4"/>
        <v>0.23318385650224216</v>
      </c>
      <c r="U58">
        <v>4</v>
      </c>
    </row>
    <row r="59" spans="1:21" x14ac:dyDescent="0.35">
      <c r="A59" t="s">
        <v>103</v>
      </c>
      <c r="B59" t="s">
        <v>104</v>
      </c>
      <c r="C59" t="s">
        <v>4</v>
      </c>
      <c r="D59" t="s">
        <v>26</v>
      </c>
      <c r="E59" t="s">
        <v>182</v>
      </c>
      <c r="F59" s="1">
        <f>VLOOKUP(A:A,MASTER!A:F,6,0)</f>
        <v>38478263.1943608</v>
      </c>
      <c r="G59" s="1">
        <f>VLOOKUP(A:A,MASTER!A:K,11,0)</f>
        <v>34623361.454532482</v>
      </c>
      <c r="H59" s="12">
        <f t="shared" si="0"/>
        <v>-0.10018388097083541</v>
      </c>
      <c r="I59" s="2">
        <f>VLOOKUP(A:A,MASTER!A:E,5,0)</f>
        <v>718</v>
      </c>
      <c r="J59" s="2">
        <f>VLOOKUP(A:A,MASTER!A:J,10,0)</f>
        <v>566</v>
      </c>
      <c r="K59" s="12">
        <f t="shared" si="1"/>
        <v>-0.21169916434540392</v>
      </c>
      <c r="L59" s="2">
        <f>VLOOKUP(A:A,MASTER!A:D,4,0)</f>
        <v>4</v>
      </c>
      <c r="M59" s="2">
        <f>VLOOKUP(A:A,MASTER!A:I,9,0)</f>
        <v>5</v>
      </c>
      <c r="N59" s="12">
        <f t="shared" si="2"/>
        <v>0.25</v>
      </c>
      <c r="O59" s="1">
        <f>VLOOKUP(A:A,MASTER!A:C,3,0)</f>
        <v>4</v>
      </c>
      <c r="P59" s="1">
        <f>VLOOKUP(A:A,MASTER!A:H,8,0)</f>
        <v>6</v>
      </c>
      <c r="Q59" s="12">
        <f t="shared" si="3"/>
        <v>0.5</v>
      </c>
      <c r="R59" s="1">
        <f>VLOOKUP(A:A,MASTER!A:B,2,0)</f>
        <v>769</v>
      </c>
      <c r="S59">
        <f>VLOOKUP(A:A,MASTER!A:G,7,0)</f>
        <v>579</v>
      </c>
      <c r="T59" s="12">
        <f t="shared" si="4"/>
        <v>-0.24707412223667102</v>
      </c>
      <c r="U59">
        <v>3</v>
      </c>
    </row>
    <row r="60" spans="1:21" x14ac:dyDescent="0.35">
      <c r="A60" t="s">
        <v>105</v>
      </c>
      <c r="B60" t="s">
        <v>106</v>
      </c>
      <c r="C60" t="s">
        <v>4</v>
      </c>
      <c r="D60" t="s">
        <v>26</v>
      </c>
      <c r="E60" t="s">
        <v>182</v>
      </c>
      <c r="F60" s="1">
        <f>VLOOKUP(A:A,MASTER!A:F,6,0)</f>
        <v>43173056.422463171</v>
      </c>
      <c r="G60" s="1">
        <f>VLOOKUP(A:A,MASTER!A:K,11,0)</f>
        <v>45626185.431466334</v>
      </c>
      <c r="H60" s="12">
        <f t="shared" si="0"/>
        <v>5.6820832534960175E-2</v>
      </c>
      <c r="I60" s="2">
        <f>VLOOKUP(A:A,MASTER!A:E,5,0)</f>
        <v>480</v>
      </c>
      <c r="J60" s="2">
        <f>VLOOKUP(A:A,MASTER!A:J,10,0)</f>
        <v>567</v>
      </c>
      <c r="K60" s="12">
        <f t="shared" si="1"/>
        <v>0.18124999999999991</v>
      </c>
      <c r="L60" s="2">
        <f>VLOOKUP(A:A,MASTER!A:D,4,0)</f>
        <v>6</v>
      </c>
      <c r="M60" s="2">
        <f>VLOOKUP(A:A,MASTER!A:I,9,0)</f>
        <v>7</v>
      </c>
      <c r="N60" s="12">
        <f t="shared" si="2"/>
        <v>0.16666666666666674</v>
      </c>
      <c r="O60" s="1">
        <f>VLOOKUP(A:A,MASTER!A:C,3,0)</f>
        <v>12</v>
      </c>
      <c r="P60" s="1">
        <f>VLOOKUP(A:A,MASTER!A:H,8,0)</f>
        <v>8</v>
      </c>
      <c r="Q60" s="12">
        <f t="shared" si="3"/>
        <v>-0.33333333333333337</v>
      </c>
      <c r="R60" s="1">
        <f>VLOOKUP(A:A,MASTER!A:B,2,0)</f>
        <v>634</v>
      </c>
      <c r="S60">
        <f>VLOOKUP(A:A,MASTER!A:G,7,0)</f>
        <v>721</v>
      </c>
      <c r="T60" s="12">
        <f t="shared" si="4"/>
        <v>0.13722397476340698</v>
      </c>
      <c r="U60">
        <v>10</v>
      </c>
    </row>
    <row r="61" spans="1:21" x14ac:dyDescent="0.35">
      <c r="A61" t="s">
        <v>24</v>
      </c>
      <c r="B61" t="s">
        <v>25</v>
      </c>
      <c r="C61" t="s">
        <v>4</v>
      </c>
      <c r="D61" t="s">
        <v>26</v>
      </c>
      <c r="E61" t="s">
        <v>182</v>
      </c>
      <c r="F61" s="1">
        <f>VLOOKUP(A:A,MASTER!A:F,6,0)</f>
        <v>138533405.99414027</v>
      </c>
      <c r="G61" s="1">
        <f>VLOOKUP(A:A,MASTER!A:K,11,0)</f>
        <v>141467150.01683834</v>
      </c>
      <c r="H61" s="12">
        <f t="shared" si="0"/>
        <v>2.1177159412525848E-2</v>
      </c>
      <c r="I61" s="2">
        <f>VLOOKUP(A:A,MASTER!A:E,5,0)</f>
        <v>1607</v>
      </c>
      <c r="J61" s="2">
        <f>VLOOKUP(A:A,MASTER!A:J,10,0)</f>
        <v>2221</v>
      </c>
      <c r="K61" s="12">
        <f t="shared" si="1"/>
        <v>0.38207840696950846</v>
      </c>
      <c r="L61" s="2">
        <f>VLOOKUP(A:A,MASTER!A:D,4,0)</f>
        <v>11</v>
      </c>
      <c r="M61" s="2">
        <f>VLOOKUP(A:A,MASTER!A:I,9,0)</f>
        <v>11</v>
      </c>
      <c r="N61" s="12">
        <f t="shared" si="2"/>
        <v>0</v>
      </c>
      <c r="O61" s="1">
        <f>VLOOKUP(A:A,MASTER!A:C,3,0)</f>
        <v>18</v>
      </c>
      <c r="P61" s="1">
        <f>VLOOKUP(A:A,MASTER!A:H,8,0)</f>
        <v>23</v>
      </c>
      <c r="Q61" s="12">
        <f t="shared" si="3"/>
        <v>0.27777777777777768</v>
      </c>
      <c r="R61" s="1">
        <f>VLOOKUP(A:A,MASTER!A:B,2,0)</f>
        <v>2001</v>
      </c>
      <c r="S61">
        <f>VLOOKUP(A:A,MASTER!A:G,7,0)</f>
        <v>2454</v>
      </c>
      <c r="T61" s="12">
        <f t="shared" si="4"/>
        <v>0.22638680659670163</v>
      </c>
      <c r="U61">
        <v>10</v>
      </c>
    </row>
    <row r="62" spans="1:21" x14ac:dyDescent="0.35">
      <c r="A62" t="s">
        <v>27</v>
      </c>
      <c r="B62" t="s">
        <v>28</v>
      </c>
      <c r="C62" t="s">
        <v>4</v>
      </c>
      <c r="D62" t="s">
        <v>26</v>
      </c>
      <c r="E62" t="s">
        <v>182</v>
      </c>
      <c r="F62" s="1">
        <f>VLOOKUP(A:A,MASTER!A:F,6,0)</f>
        <v>105671414.12842371</v>
      </c>
      <c r="G62" s="1">
        <f>VLOOKUP(A:A,MASTER!A:K,11,0)</f>
        <v>102936074.38603182</v>
      </c>
      <c r="H62" s="12">
        <f t="shared" si="0"/>
        <v>-2.5885332991452126E-2</v>
      </c>
      <c r="I62" s="2">
        <f>VLOOKUP(A:A,MASTER!A:E,5,0)</f>
        <v>1248</v>
      </c>
      <c r="J62" s="2">
        <f>VLOOKUP(A:A,MASTER!A:J,10,0)</f>
        <v>1312</v>
      </c>
      <c r="K62" s="12">
        <f t="shared" si="1"/>
        <v>5.1282051282051322E-2</v>
      </c>
      <c r="L62" s="2">
        <f>VLOOKUP(A:A,MASTER!A:D,4,0)</f>
        <v>6</v>
      </c>
      <c r="M62" s="2">
        <f>VLOOKUP(A:A,MASTER!A:I,9,0)</f>
        <v>7</v>
      </c>
      <c r="N62" s="12">
        <f t="shared" si="2"/>
        <v>0.16666666666666674</v>
      </c>
      <c r="O62" s="1">
        <f>VLOOKUP(A:A,MASTER!A:C,3,0)</f>
        <v>26</v>
      </c>
      <c r="P62" s="1">
        <f>VLOOKUP(A:A,MASTER!A:H,8,0)</f>
        <v>24</v>
      </c>
      <c r="Q62" s="12">
        <f t="shared" si="3"/>
        <v>-7.6923076923076872E-2</v>
      </c>
      <c r="R62" s="1">
        <f>VLOOKUP(A:A,MASTER!A:B,2,0)</f>
        <v>1578</v>
      </c>
      <c r="S62">
        <f>VLOOKUP(A:A,MASTER!A:G,7,0)</f>
        <v>1743</v>
      </c>
      <c r="T62" s="12">
        <f t="shared" si="4"/>
        <v>0.1045627376425855</v>
      </c>
      <c r="U62">
        <v>9</v>
      </c>
    </row>
    <row r="63" spans="1:21" x14ac:dyDescent="0.35">
      <c r="A63" t="s">
        <v>29</v>
      </c>
      <c r="B63" t="s">
        <v>30</v>
      </c>
      <c r="C63" t="s">
        <v>4</v>
      </c>
      <c r="D63" t="s">
        <v>26</v>
      </c>
      <c r="E63" t="s">
        <v>182</v>
      </c>
      <c r="F63" s="1">
        <f>VLOOKUP(A:A,MASTER!A:F,6,0)</f>
        <v>67856035.530987367</v>
      </c>
      <c r="G63" s="1">
        <f>VLOOKUP(A:A,MASTER!A:K,11,0)</f>
        <v>66881238.215796046</v>
      </c>
      <c r="H63" s="12">
        <f t="shared" si="0"/>
        <v>-1.4365668544637722E-2</v>
      </c>
      <c r="I63" s="2">
        <f>VLOOKUP(A:A,MASTER!A:E,5,0)</f>
        <v>720</v>
      </c>
      <c r="J63" s="2">
        <f>VLOOKUP(A:A,MASTER!A:J,10,0)</f>
        <v>758</v>
      </c>
      <c r="K63" s="12">
        <f t="shared" si="1"/>
        <v>5.2777777777777812E-2</v>
      </c>
      <c r="L63" s="2">
        <f>VLOOKUP(A:A,MASTER!A:D,4,0)</f>
        <v>1</v>
      </c>
      <c r="M63" s="2">
        <f>VLOOKUP(A:A,MASTER!A:I,9,0)</f>
        <v>1</v>
      </c>
      <c r="N63" s="12">
        <f t="shared" si="2"/>
        <v>0</v>
      </c>
      <c r="O63" s="1">
        <f>VLOOKUP(A:A,MASTER!A:C,3,0)</f>
        <v>11</v>
      </c>
      <c r="P63" s="1">
        <f>VLOOKUP(A:A,MASTER!A:H,8,0)</f>
        <v>3</v>
      </c>
      <c r="Q63" s="12">
        <f t="shared" si="3"/>
        <v>-0.72727272727272729</v>
      </c>
      <c r="R63" s="1">
        <f>VLOOKUP(A:A,MASTER!A:B,2,0)</f>
        <v>913</v>
      </c>
      <c r="S63">
        <f>VLOOKUP(A:A,MASTER!A:G,7,0)</f>
        <v>918</v>
      </c>
      <c r="T63" s="12">
        <f t="shared" si="4"/>
        <v>5.4764512595837367E-3</v>
      </c>
      <c r="U63">
        <v>4</v>
      </c>
    </row>
    <row r="64" spans="1:21" x14ac:dyDescent="0.35">
      <c r="A64" t="s">
        <v>57</v>
      </c>
      <c r="B64" t="s">
        <v>58</v>
      </c>
      <c r="C64" t="s">
        <v>22</v>
      </c>
      <c r="D64" t="s">
        <v>23</v>
      </c>
      <c r="E64" t="s">
        <v>182</v>
      </c>
      <c r="F64" s="1">
        <f>VLOOKUP(A:A,MASTER!A:F,6,0)</f>
        <v>97531248.874290913</v>
      </c>
      <c r="G64" s="1">
        <f>VLOOKUP(A:A,MASTER!A:K,11,0)</f>
        <v>94660534.547770843</v>
      </c>
      <c r="H64" s="12">
        <f t="shared" si="0"/>
        <v>-2.9433790294433382E-2</v>
      </c>
      <c r="I64" s="2">
        <f>VLOOKUP(A:A,MASTER!A:E,5,0)</f>
        <v>1279</v>
      </c>
      <c r="J64" s="2">
        <f>VLOOKUP(A:A,MASTER!A:J,10,0)</f>
        <v>1415</v>
      </c>
      <c r="K64" s="12">
        <f t="shared" si="1"/>
        <v>0.10633307271305714</v>
      </c>
      <c r="L64" s="2">
        <f>VLOOKUP(A:A,MASTER!A:D,4,0)</f>
        <v>12</v>
      </c>
      <c r="M64" s="2">
        <f>VLOOKUP(A:A,MASTER!A:I,9,0)</f>
        <v>13</v>
      </c>
      <c r="N64" s="12">
        <f t="shared" si="2"/>
        <v>8.3333333333333259E-2</v>
      </c>
      <c r="O64" s="1">
        <f>VLOOKUP(A:A,MASTER!A:C,3,0)</f>
        <v>628</v>
      </c>
      <c r="P64" s="1">
        <f>VLOOKUP(A:A,MASTER!A:H,8,0)</f>
        <v>860</v>
      </c>
      <c r="Q64" s="12">
        <f t="shared" si="3"/>
        <v>0.36942675159235661</v>
      </c>
      <c r="R64" s="1">
        <f>VLOOKUP(A:A,MASTER!A:B,2,0)</f>
        <v>2284</v>
      </c>
      <c r="S64">
        <f>VLOOKUP(A:A,MASTER!A:G,7,0)</f>
        <v>2392</v>
      </c>
      <c r="T64" s="12">
        <f t="shared" si="4"/>
        <v>4.7285464098073549E-2</v>
      </c>
      <c r="U64">
        <v>9</v>
      </c>
    </row>
    <row r="65" spans="1:21" x14ac:dyDescent="0.35">
      <c r="A65" t="s">
        <v>137</v>
      </c>
      <c r="B65" t="s">
        <v>138</v>
      </c>
      <c r="C65" t="s">
        <v>22</v>
      </c>
      <c r="D65" t="s">
        <v>69</v>
      </c>
      <c r="E65" t="s">
        <v>180</v>
      </c>
      <c r="F65" s="1">
        <f>VLOOKUP(A:A,MASTER!A:F,6,0)</f>
        <v>4867666.7183469692</v>
      </c>
      <c r="G65" s="1">
        <f>VLOOKUP(A:A,MASTER!A:K,11,0)</f>
        <v>7204185.3683837065</v>
      </c>
      <c r="H65" s="12">
        <f t="shared" si="0"/>
        <v>0.48000793506055928</v>
      </c>
      <c r="I65" s="2">
        <f>VLOOKUP(A:A,MASTER!A:E,5,0)</f>
        <v>270</v>
      </c>
      <c r="J65" s="2">
        <f>VLOOKUP(A:A,MASTER!A:J,10,0)</f>
        <v>236</v>
      </c>
      <c r="K65" s="12">
        <f t="shared" si="1"/>
        <v>-0.12592592592592589</v>
      </c>
      <c r="L65" s="2">
        <f>VLOOKUP(A:A,MASTER!A:D,4,0)</f>
        <v>1</v>
      </c>
      <c r="M65" s="2">
        <f>VLOOKUP(A:A,MASTER!A:I,9,0)</f>
        <v>0</v>
      </c>
      <c r="N65" s="12">
        <f t="shared" si="2"/>
        <v>-1</v>
      </c>
      <c r="O65" s="1">
        <f>VLOOKUP(A:A,MASTER!A:C,3,0)</f>
        <v>1</v>
      </c>
      <c r="P65" s="1">
        <f>VLOOKUP(A:A,MASTER!A:H,8,0)</f>
        <v>3</v>
      </c>
      <c r="Q65" s="12">
        <f t="shared" si="3"/>
        <v>2</v>
      </c>
      <c r="R65" s="1">
        <f>VLOOKUP(A:A,MASTER!A:B,2,0)</f>
        <v>235</v>
      </c>
      <c r="S65">
        <f>VLOOKUP(A:A,MASTER!A:G,7,0)</f>
        <v>242</v>
      </c>
      <c r="T65" s="12">
        <f t="shared" si="4"/>
        <v>2.9787234042553123E-2</v>
      </c>
      <c r="U65">
        <v>2</v>
      </c>
    </row>
    <row r="66" spans="1:21" x14ac:dyDescent="0.35">
      <c r="A66" t="s">
        <v>10</v>
      </c>
      <c r="B66" t="s">
        <v>11</v>
      </c>
      <c r="C66" t="s">
        <v>4</v>
      </c>
      <c r="D66" t="s">
        <v>151</v>
      </c>
      <c r="E66" t="s">
        <v>182</v>
      </c>
      <c r="F66" s="1">
        <f>VLOOKUP(A:A,MASTER!A:F,6,0)</f>
        <v>70821893.712173209</v>
      </c>
      <c r="G66" s="1">
        <f>VLOOKUP(A:A,MASTER!A:K,11,0)</f>
        <v>69382109.610508487</v>
      </c>
      <c r="H66" s="12">
        <f t="shared" si="0"/>
        <v>-2.0329647037060861E-2</v>
      </c>
      <c r="I66" s="2">
        <f>VLOOKUP(A:A,MASTER!A:E,5,0)</f>
        <v>1468</v>
      </c>
      <c r="J66" s="2">
        <f>VLOOKUP(A:A,MASTER!A:J,10,0)</f>
        <v>1460</v>
      </c>
      <c r="K66" s="12">
        <f t="shared" si="1"/>
        <v>-5.4495912806539204E-3</v>
      </c>
      <c r="L66" s="2">
        <f>VLOOKUP(A:A,MASTER!A:D,4,0)</f>
        <v>6</v>
      </c>
      <c r="M66" s="2">
        <f>VLOOKUP(A:A,MASTER!A:I,9,0)</f>
        <v>8</v>
      </c>
      <c r="N66" s="12">
        <f t="shared" si="2"/>
        <v>0.33333333333333326</v>
      </c>
      <c r="O66" s="1">
        <f>VLOOKUP(A:A,MASTER!A:C,3,0)</f>
        <v>16</v>
      </c>
      <c r="P66" s="1">
        <f>VLOOKUP(A:A,MASTER!A:H,8,0)</f>
        <v>10</v>
      </c>
      <c r="Q66" s="12">
        <f t="shared" si="3"/>
        <v>-0.375</v>
      </c>
      <c r="R66" s="1">
        <f>VLOOKUP(A:A,MASTER!A:B,2,0)</f>
        <v>1605</v>
      </c>
      <c r="S66">
        <f>VLOOKUP(A:A,MASTER!A:G,7,0)</f>
        <v>1672</v>
      </c>
      <c r="T66" s="12">
        <f t="shared" si="4"/>
        <v>4.1744548286604344E-2</v>
      </c>
      <c r="U66">
        <v>6</v>
      </c>
    </row>
    <row r="67" spans="1:21" x14ac:dyDescent="0.35">
      <c r="A67" t="s">
        <v>12</v>
      </c>
      <c r="B67" t="s">
        <v>13</v>
      </c>
      <c r="C67" t="s">
        <v>4</v>
      </c>
      <c r="D67" t="s">
        <v>151</v>
      </c>
      <c r="E67" t="s">
        <v>182</v>
      </c>
      <c r="F67" s="1">
        <f>VLOOKUP(A:A,MASTER!A:F,6,0)</f>
        <v>33220850.488435581</v>
      </c>
      <c r="G67" s="1">
        <f>VLOOKUP(A:A,MASTER!A:K,11,0)</f>
        <v>30165597.612584047</v>
      </c>
      <c r="H67" s="12">
        <f t="shared" ref="H67:H85" si="5">IFERROR(G67/F67-1,0)</f>
        <v>-9.1967930710114998E-2</v>
      </c>
      <c r="I67" s="2">
        <f>VLOOKUP(A:A,MASTER!A:E,5,0)</f>
        <v>599</v>
      </c>
      <c r="J67" s="2">
        <f>VLOOKUP(A:A,MASTER!A:J,10,0)</f>
        <v>479</v>
      </c>
      <c r="K67" s="12">
        <f t="shared" ref="K67:K85" si="6">IFERROR(J67/I67-1,0)</f>
        <v>-0.20033388981636058</v>
      </c>
      <c r="L67" s="2">
        <f>VLOOKUP(A:A,MASTER!A:D,4,0)</f>
        <v>3</v>
      </c>
      <c r="M67" s="2">
        <f>VLOOKUP(A:A,MASTER!A:I,9,0)</f>
        <v>4</v>
      </c>
      <c r="N67" s="12">
        <f t="shared" ref="N67:N85" si="7">IFERROR(M67/L67-1,0)</f>
        <v>0.33333333333333326</v>
      </c>
      <c r="O67" s="1">
        <f>VLOOKUP(A:A,MASTER!A:C,3,0)</f>
        <v>5</v>
      </c>
      <c r="P67" s="1">
        <f>VLOOKUP(A:A,MASTER!A:H,8,0)</f>
        <v>3</v>
      </c>
      <c r="Q67" s="12">
        <f t="shared" ref="Q67:Q85" si="8">IFERROR(P67/O67-1,0)</f>
        <v>-0.4</v>
      </c>
      <c r="R67" s="1">
        <f>VLOOKUP(A:A,MASTER!A:B,2,0)</f>
        <v>791</v>
      </c>
      <c r="S67">
        <f>VLOOKUP(A:A,MASTER!A:G,7,0)</f>
        <v>686</v>
      </c>
      <c r="T67" s="12">
        <f t="shared" ref="T67:T85" si="9">IFERROR(S67/R67-1,0)</f>
        <v>-0.13274336283185839</v>
      </c>
      <c r="U67">
        <v>3</v>
      </c>
    </row>
    <row r="68" spans="1:21" x14ac:dyDescent="0.35">
      <c r="A68" t="s">
        <v>162</v>
      </c>
      <c r="B68" t="s">
        <v>163</v>
      </c>
      <c r="C68" t="s">
        <v>4</v>
      </c>
      <c r="D68" t="s">
        <v>151</v>
      </c>
      <c r="E68" t="s">
        <v>182</v>
      </c>
      <c r="F68" s="1">
        <f>VLOOKUP(A:A,MASTER!A:F,6,0)</f>
        <v>52104280.261570528</v>
      </c>
      <c r="G68" s="1">
        <f>VLOOKUP(A:A,MASTER!A:K,11,0)</f>
        <v>54298019.09022814</v>
      </c>
      <c r="H68" s="12">
        <f t="shared" si="5"/>
        <v>4.2102852541955116E-2</v>
      </c>
      <c r="I68" s="2">
        <f>VLOOKUP(A:A,MASTER!A:E,5,0)</f>
        <v>858</v>
      </c>
      <c r="J68" s="2">
        <f>VLOOKUP(A:A,MASTER!A:J,10,0)</f>
        <v>1049</v>
      </c>
      <c r="K68" s="12">
        <f t="shared" si="6"/>
        <v>0.22261072261072257</v>
      </c>
      <c r="L68" s="2">
        <f>VLOOKUP(A:A,MASTER!A:D,4,0)</f>
        <v>5</v>
      </c>
      <c r="M68" s="2">
        <f>VLOOKUP(A:A,MASTER!A:I,9,0)</f>
        <v>5</v>
      </c>
      <c r="N68" s="12">
        <f t="shared" si="7"/>
        <v>0</v>
      </c>
      <c r="O68" s="1">
        <f>VLOOKUP(A:A,MASTER!A:C,3,0)</f>
        <v>77</v>
      </c>
      <c r="P68" s="1">
        <f>VLOOKUP(A:A,MASTER!A:H,8,0)</f>
        <v>67</v>
      </c>
      <c r="Q68" s="12">
        <f t="shared" si="8"/>
        <v>-0.12987012987012991</v>
      </c>
      <c r="R68" s="1">
        <f>VLOOKUP(A:A,MASTER!A:B,2,0)</f>
        <v>1313</v>
      </c>
      <c r="S68">
        <f>VLOOKUP(A:A,MASTER!A:G,7,0)</f>
        <v>1304</v>
      </c>
      <c r="T68" s="12">
        <f t="shared" si="9"/>
        <v>-6.8545316070068862E-3</v>
      </c>
      <c r="U68">
        <v>4</v>
      </c>
    </row>
    <row r="69" spans="1:21" x14ac:dyDescent="0.35">
      <c r="A69" t="s">
        <v>63</v>
      </c>
      <c r="B69" t="s">
        <v>64</v>
      </c>
      <c r="C69" t="s">
        <v>22</v>
      </c>
      <c r="D69" t="s">
        <v>23</v>
      </c>
      <c r="E69" t="s">
        <v>182</v>
      </c>
      <c r="F69" s="1">
        <f>VLOOKUP(A:A,MASTER!A:F,6,0)</f>
        <v>36001066.3943097</v>
      </c>
      <c r="G69" s="1">
        <f>VLOOKUP(A:A,MASTER!A:K,11,0)</f>
        <v>39201720.118727177</v>
      </c>
      <c r="H69" s="12">
        <f t="shared" si="5"/>
        <v>8.8904414368219165E-2</v>
      </c>
      <c r="I69" s="2">
        <f>VLOOKUP(A:A,MASTER!A:E,5,0)</f>
        <v>1329</v>
      </c>
      <c r="J69" s="2">
        <f>VLOOKUP(A:A,MASTER!A:J,10,0)</f>
        <v>1387</v>
      </c>
      <c r="K69" s="12">
        <f t="shared" si="6"/>
        <v>4.3641835966892417E-2</v>
      </c>
      <c r="L69" s="2">
        <f>VLOOKUP(A:A,MASTER!A:D,4,0)</f>
        <v>5</v>
      </c>
      <c r="M69" s="2">
        <f>VLOOKUP(A:A,MASTER!A:I,9,0)</f>
        <v>4</v>
      </c>
      <c r="N69" s="12">
        <f t="shared" si="7"/>
        <v>-0.19999999999999996</v>
      </c>
      <c r="O69" s="1">
        <f>VLOOKUP(A:A,MASTER!A:C,3,0)</f>
        <v>13</v>
      </c>
      <c r="P69" s="1">
        <f>VLOOKUP(A:A,MASTER!A:H,8,0)</f>
        <v>10</v>
      </c>
      <c r="Q69" s="12">
        <f t="shared" si="8"/>
        <v>-0.23076923076923073</v>
      </c>
      <c r="R69" s="1">
        <f>VLOOKUP(A:A,MASTER!A:B,2,0)</f>
        <v>1256</v>
      </c>
      <c r="S69">
        <f>VLOOKUP(A:A,MASTER!A:G,7,0)</f>
        <v>1550</v>
      </c>
      <c r="T69" s="12">
        <f t="shared" si="9"/>
        <v>0.234076433121019</v>
      </c>
      <c r="U69">
        <v>4</v>
      </c>
    </row>
    <row r="70" spans="1:21" x14ac:dyDescent="0.35">
      <c r="A70" t="s">
        <v>59</v>
      </c>
      <c r="B70" t="s">
        <v>60</v>
      </c>
      <c r="C70" t="s">
        <v>22</v>
      </c>
      <c r="D70" t="s">
        <v>23</v>
      </c>
      <c r="E70" t="s">
        <v>182</v>
      </c>
      <c r="F70" s="1">
        <f>VLOOKUP(A:A,MASTER!A:F,6,0)</f>
        <v>90364563.051575661</v>
      </c>
      <c r="G70" s="1">
        <f>VLOOKUP(A:A,MASTER!A:K,11,0)</f>
        <v>89244937.366563186</v>
      </c>
      <c r="H70" s="12">
        <f t="shared" si="5"/>
        <v>-1.2390096816751628E-2</v>
      </c>
      <c r="I70" s="2">
        <f>VLOOKUP(A:A,MASTER!A:E,5,0)</f>
        <v>1225</v>
      </c>
      <c r="J70" s="2">
        <f>VLOOKUP(A:A,MASTER!A:J,10,0)</f>
        <v>1263</v>
      </c>
      <c r="K70" s="12">
        <f t="shared" si="6"/>
        <v>3.1020408163265234E-2</v>
      </c>
      <c r="L70" s="2">
        <f>VLOOKUP(A:A,MASTER!A:D,4,0)</f>
        <v>5</v>
      </c>
      <c r="M70" s="2">
        <f>VLOOKUP(A:A,MASTER!A:I,9,0)</f>
        <v>8</v>
      </c>
      <c r="N70" s="12">
        <f t="shared" si="7"/>
        <v>0.60000000000000009</v>
      </c>
      <c r="O70" s="1">
        <f>VLOOKUP(A:A,MASTER!A:C,3,0)</f>
        <v>15</v>
      </c>
      <c r="P70" s="1">
        <f>VLOOKUP(A:A,MASTER!A:H,8,0)</f>
        <v>18</v>
      </c>
      <c r="Q70" s="12">
        <f t="shared" si="8"/>
        <v>0.19999999999999996</v>
      </c>
      <c r="R70" s="1">
        <f>VLOOKUP(A:A,MASTER!A:B,2,0)</f>
        <v>1724</v>
      </c>
      <c r="S70">
        <f>VLOOKUP(A:A,MASTER!A:G,7,0)</f>
        <v>1511</v>
      </c>
      <c r="T70" s="12">
        <f t="shared" si="9"/>
        <v>-0.12354988399071931</v>
      </c>
      <c r="U70">
        <v>4</v>
      </c>
    </row>
    <row r="71" spans="1:21" x14ac:dyDescent="0.35">
      <c r="A71" t="s">
        <v>139</v>
      </c>
      <c r="B71" t="s">
        <v>140</v>
      </c>
      <c r="C71" t="s">
        <v>22</v>
      </c>
      <c r="D71" t="s">
        <v>69</v>
      </c>
      <c r="E71" t="s">
        <v>180</v>
      </c>
      <c r="F71" s="1">
        <f>VLOOKUP(A:A,MASTER!A:F,6,0)</f>
        <v>18393448.825196031</v>
      </c>
      <c r="G71" s="1">
        <f>VLOOKUP(A:A,MASTER!A:K,11,0)</f>
        <v>16815302.239450157</v>
      </c>
      <c r="H71" s="12">
        <f t="shared" si="5"/>
        <v>-8.5799384375597421E-2</v>
      </c>
      <c r="I71" s="2">
        <f>VLOOKUP(A:A,MASTER!A:E,5,0)</f>
        <v>420</v>
      </c>
      <c r="J71" s="2">
        <f>VLOOKUP(A:A,MASTER!A:J,10,0)</f>
        <v>482</v>
      </c>
      <c r="K71" s="12">
        <f t="shared" si="6"/>
        <v>0.14761904761904754</v>
      </c>
      <c r="L71" s="2">
        <f>VLOOKUP(A:A,MASTER!A:D,4,0)</f>
        <v>1</v>
      </c>
      <c r="M71" s="2">
        <f>VLOOKUP(A:A,MASTER!A:I,9,0)</f>
        <v>2</v>
      </c>
      <c r="N71" s="12">
        <f t="shared" si="7"/>
        <v>1</v>
      </c>
      <c r="O71" s="1">
        <f>VLOOKUP(A:A,MASTER!A:C,3,0)</f>
        <v>2</v>
      </c>
      <c r="P71" s="1">
        <f>VLOOKUP(A:A,MASTER!A:H,8,0)</f>
        <v>6</v>
      </c>
      <c r="Q71" s="12">
        <f t="shared" si="8"/>
        <v>2</v>
      </c>
      <c r="R71" s="1">
        <f>VLOOKUP(A:A,MASTER!A:B,2,0)</f>
        <v>513</v>
      </c>
      <c r="S71">
        <f>VLOOKUP(A:A,MASTER!A:G,7,0)</f>
        <v>514</v>
      </c>
      <c r="T71" s="12">
        <f t="shared" si="9"/>
        <v>1.9493177387914784E-3</v>
      </c>
      <c r="U71">
        <v>1</v>
      </c>
    </row>
    <row r="72" spans="1:21" x14ac:dyDescent="0.35">
      <c r="A72" t="s">
        <v>170</v>
      </c>
      <c r="B72" t="s">
        <v>171</v>
      </c>
      <c r="C72" t="s">
        <v>4</v>
      </c>
      <c r="D72" t="s">
        <v>5</v>
      </c>
      <c r="E72" t="s">
        <v>182</v>
      </c>
      <c r="F72" s="1">
        <f>VLOOKUP(A:A,MASTER!A:F,6,0)</f>
        <v>29148494.828865379</v>
      </c>
      <c r="G72" s="1">
        <f>VLOOKUP(A:A,MASTER!A:K,11,0)</f>
        <v>33347093.249850258</v>
      </c>
      <c r="H72" s="12">
        <f t="shared" si="5"/>
        <v>0.14404168879509549</v>
      </c>
      <c r="I72" s="2">
        <f>VLOOKUP(A:A,MASTER!A:E,5,0)</f>
        <v>795</v>
      </c>
      <c r="J72" s="2">
        <f>VLOOKUP(A:A,MASTER!A:J,10,0)</f>
        <v>758</v>
      </c>
      <c r="K72" s="12">
        <f t="shared" si="6"/>
        <v>-4.6540880503144644E-2</v>
      </c>
      <c r="L72" s="2">
        <f>VLOOKUP(A:A,MASTER!A:D,4,0)</f>
        <v>1</v>
      </c>
      <c r="M72" s="2">
        <f>VLOOKUP(A:A,MASTER!A:I,9,0)</f>
        <v>0</v>
      </c>
      <c r="N72" s="12">
        <f t="shared" si="7"/>
        <v>-1</v>
      </c>
      <c r="O72" s="1">
        <f>VLOOKUP(A:A,MASTER!A:C,3,0)</f>
        <v>7</v>
      </c>
      <c r="P72" s="1">
        <f>VLOOKUP(A:A,MASTER!A:H,8,0)</f>
        <v>3</v>
      </c>
      <c r="Q72" s="12">
        <f t="shared" si="8"/>
        <v>-0.5714285714285714</v>
      </c>
      <c r="R72" s="1">
        <f>VLOOKUP(A:A,MASTER!A:B,2,0)</f>
        <v>880</v>
      </c>
      <c r="S72">
        <f>VLOOKUP(A:A,MASTER!A:G,7,0)</f>
        <v>798</v>
      </c>
      <c r="T72" s="12">
        <f t="shared" si="9"/>
        <v>-9.3181818181818143E-2</v>
      </c>
      <c r="U72">
        <v>3</v>
      </c>
    </row>
    <row r="73" spans="1:21" x14ac:dyDescent="0.35">
      <c r="A73" t="s">
        <v>61</v>
      </c>
      <c r="B73" t="s">
        <v>62</v>
      </c>
      <c r="C73" t="s">
        <v>22</v>
      </c>
      <c r="D73" t="s">
        <v>23</v>
      </c>
      <c r="E73" t="s">
        <v>182</v>
      </c>
      <c r="F73" s="1">
        <f>VLOOKUP(A:A,MASTER!A:F,6,0)</f>
        <v>29260899.852548081</v>
      </c>
      <c r="G73" s="1">
        <f>VLOOKUP(A:A,MASTER!A:K,11,0)</f>
        <v>31332614.160576895</v>
      </c>
      <c r="H73" s="12">
        <f t="shared" si="5"/>
        <v>7.0801455815392655E-2</v>
      </c>
      <c r="I73" s="2">
        <f>VLOOKUP(A:A,MASTER!A:E,5,0)</f>
        <v>487</v>
      </c>
      <c r="J73" s="2">
        <f>VLOOKUP(A:A,MASTER!A:J,10,0)</f>
        <v>537</v>
      </c>
      <c r="K73" s="12">
        <f t="shared" si="6"/>
        <v>0.10266940451745388</v>
      </c>
      <c r="L73" s="2">
        <f>VLOOKUP(A:A,MASTER!A:D,4,0)</f>
        <v>3</v>
      </c>
      <c r="M73" s="2">
        <f>VLOOKUP(A:A,MASTER!A:I,9,0)</f>
        <v>3</v>
      </c>
      <c r="N73" s="12">
        <f t="shared" si="7"/>
        <v>0</v>
      </c>
      <c r="O73" s="1">
        <f>VLOOKUP(A:A,MASTER!A:C,3,0)</f>
        <v>2</v>
      </c>
      <c r="P73" s="1">
        <f>VLOOKUP(A:A,MASTER!A:H,8,0)</f>
        <v>2</v>
      </c>
      <c r="Q73" s="12">
        <f t="shared" si="8"/>
        <v>0</v>
      </c>
      <c r="R73" s="1">
        <f>VLOOKUP(A:A,MASTER!A:B,2,0)</f>
        <v>636</v>
      </c>
      <c r="S73">
        <f>VLOOKUP(A:A,MASTER!A:G,7,0)</f>
        <v>643</v>
      </c>
      <c r="T73" s="12">
        <f t="shared" si="9"/>
        <v>1.1006289308176154E-2</v>
      </c>
      <c r="U73">
        <v>7</v>
      </c>
    </row>
    <row r="74" spans="1:21" x14ac:dyDescent="0.35">
      <c r="A74" t="s">
        <v>129</v>
      </c>
      <c r="B74" t="s">
        <v>130</v>
      </c>
      <c r="C74" t="s">
        <v>22</v>
      </c>
      <c r="D74" t="s">
        <v>69</v>
      </c>
      <c r="E74" t="s">
        <v>180</v>
      </c>
      <c r="F74" s="1">
        <f>VLOOKUP(A:A,MASTER!A:F,6,0)</f>
        <v>19545986.868227668</v>
      </c>
      <c r="G74" s="1">
        <f>VLOOKUP(A:A,MASTER!A:K,11,0)</f>
        <v>21868841.492961925</v>
      </c>
      <c r="H74" s="12">
        <f t="shared" si="5"/>
        <v>0.1188404883516061</v>
      </c>
      <c r="I74" s="2">
        <f>VLOOKUP(A:A,MASTER!A:E,5,0)</f>
        <v>532</v>
      </c>
      <c r="J74" s="2">
        <f>VLOOKUP(A:A,MASTER!A:J,10,0)</f>
        <v>732</v>
      </c>
      <c r="K74" s="12">
        <f t="shared" si="6"/>
        <v>0.37593984962406024</v>
      </c>
      <c r="L74" s="2">
        <f>VLOOKUP(A:A,MASTER!A:D,4,0)</f>
        <v>1</v>
      </c>
      <c r="M74" s="2">
        <f>VLOOKUP(A:A,MASTER!A:I,9,0)</f>
        <v>1</v>
      </c>
      <c r="N74" s="12">
        <f t="shared" si="7"/>
        <v>0</v>
      </c>
      <c r="O74" s="1">
        <f>VLOOKUP(A:A,MASTER!A:C,3,0)</f>
        <v>6</v>
      </c>
      <c r="P74" s="1">
        <f>VLOOKUP(A:A,MASTER!A:H,8,0)</f>
        <v>16</v>
      </c>
      <c r="Q74" s="12">
        <f t="shared" si="8"/>
        <v>1.6666666666666665</v>
      </c>
      <c r="R74" s="1">
        <f>VLOOKUP(A:A,MASTER!A:B,2,0)</f>
        <v>586</v>
      </c>
      <c r="S74">
        <f>VLOOKUP(A:A,MASTER!A:G,7,0)</f>
        <v>780</v>
      </c>
      <c r="T74" s="12">
        <f t="shared" si="9"/>
        <v>0.33105802047781574</v>
      </c>
      <c r="U74">
        <v>1</v>
      </c>
    </row>
    <row r="75" spans="1:21" x14ac:dyDescent="0.35">
      <c r="A75" t="s">
        <v>35</v>
      </c>
      <c r="B75" t="s">
        <v>36</v>
      </c>
      <c r="C75" t="s">
        <v>4</v>
      </c>
      <c r="D75" t="s">
        <v>5</v>
      </c>
      <c r="E75" t="s">
        <v>180</v>
      </c>
      <c r="F75" s="1">
        <f>VLOOKUP(A:A,MASTER!A:F,6,0)</f>
        <v>23936951.878973376</v>
      </c>
      <c r="G75" s="1">
        <f>VLOOKUP(A:A,MASTER!A:K,11,0)</f>
        <v>22079744.901823461</v>
      </c>
      <c r="H75" s="12">
        <f t="shared" si="5"/>
        <v>-7.7587446661549153E-2</v>
      </c>
      <c r="I75" s="2">
        <f>VLOOKUP(A:A,MASTER!A:E,5,0)</f>
        <v>449</v>
      </c>
      <c r="J75" s="2">
        <f>VLOOKUP(A:A,MASTER!A:J,10,0)</f>
        <v>519</v>
      </c>
      <c r="K75" s="12">
        <f t="shared" si="6"/>
        <v>0.15590200445434288</v>
      </c>
      <c r="L75" s="2">
        <f>VLOOKUP(A:A,MASTER!A:D,4,0)</f>
        <v>7</v>
      </c>
      <c r="M75" s="2">
        <f>VLOOKUP(A:A,MASTER!A:I,9,0)</f>
        <v>8</v>
      </c>
      <c r="N75" s="12">
        <f t="shared" si="7"/>
        <v>0.14285714285714279</v>
      </c>
      <c r="O75" s="1">
        <f>VLOOKUP(A:A,MASTER!A:C,3,0)</f>
        <v>2</v>
      </c>
      <c r="P75" s="1">
        <f>VLOOKUP(A:A,MASTER!A:H,8,0)</f>
        <v>4</v>
      </c>
      <c r="Q75" s="12">
        <f t="shared" si="8"/>
        <v>1</v>
      </c>
      <c r="R75" s="1">
        <f>VLOOKUP(A:A,MASTER!A:B,2,0)</f>
        <v>445</v>
      </c>
      <c r="S75">
        <f>VLOOKUP(A:A,MASTER!A:G,7,0)</f>
        <v>555</v>
      </c>
      <c r="T75" s="12">
        <f t="shared" si="9"/>
        <v>0.24719101123595499</v>
      </c>
      <c r="U75">
        <v>0</v>
      </c>
    </row>
    <row r="76" spans="1:21" x14ac:dyDescent="0.35">
      <c r="A76" t="s">
        <v>107</v>
      </c>
      <c r="B76" t="s">
        <v>108</v>
      </c>
      <c r="C76" t="s">
        <v>4</v>
      </c>
      <c r="D76" t="s">
        <v>26</v>
      </c>
      <c r="E76" t="s">
        <v>182</v>
      </c>
      <c r="F76" s="1">
        <f>VLOOKUP(A:A,MASTER!A:F,6,0)</f>
        <v>61298213.640356615</v>
      </c>
      <c r="G76" s="1">
        <f>VLOOKUP(A:A,MASTER!A:K,11,0)</f>
        <v>44575233.147913694</v>
      </c>
      <c r="H76" s="12">
        <f t="shared" si="5"/>
        <v>-0.27281350465706056</v>
      </c>
      <c r="I76" s="2">
        <f>VLOOKUP(A:A,MASTER!A:E,5,0)</f>
        <v>761</v>
      </c>
      <c r="J76" s="2">
        <f>VLOOKUP(A:A,MASTER!A:J,10,0)</f>
        <v>3</v>
      </c>
      <c r="K76" s="12">
        <f t="shared" si="6"/>
        <v>-0.99605781865965837</v>
      </c>
      <c r="L76" s="2">
        <f>VLOOKUP(A:A,MASTER!A:D,4,0)</f>
        <v>3</v>
      </c>
      <c r="M76" s="2">
        <f>VLOOKUP(A:A,MASTER!A:I,9,0)</f>
        <v>2</v>
      </c>
      <c r="N76" s="12">
        <f t="shared" si="7"/>
        <v>-0.33333333333333337</v>
      </c>
      <c r="O76" s="1">
        <f>VLOOKUP(A:A,MASTER!A:C,3,0)</f>
        <v>10</v>
      </c>
      <c r="P76" s="1">
        <f>VLOOKUP(A:A,MASTER!A:H,8,0)</f>
        <v>10</v>
      </c>
      <c r="Q76" s="12">
        <f t="shared" si="8"/>
        <v>0</v>
      </c>
      <c r="R76" s="1">
        <f>VLOOKUP(A:A,MASTER!A:B,2,0)</f>
        <v>912</v>
      </c>
      <c r="S76">
        <f>VLOOKUP(A:A,MASTER!A:G,7,0)</f>
        <v>117</v>
      </c>
      <c r="T76" s="12">
        <f t="shared" si="9"/>
        <v>-0.87171052631578949</v>
      </c>
      <c r="U76">
        <v>4</v>
      </c>
    </row>
    <row r="77" spans="1:21" x14ac:dyDescent="0.35">
      <c r="A77" t="s">
        <v>37</v>
      </c>
      <c r="B77" t="s">
        <v>38</v>
      </c>
      <c r="C77" t="s">
        <v>4</v>
      </c>
      <c r="D77" t="s">
        <v>5</v>
      </c>
      <c r="E77" t="s">
        <v>182</v>
      </c>
      <c r="F77" s="1">
        <f>VLOOKUP(A:A,MASTER!A:F,6,0)</f>
        <v>36962652.002651915</v>
      </c>
      <c r="G77" s="1">
        <f>VLOOKUP(A:A,MASTER!A:K,11,0)</f>
        <v>37373649.119365625</v>
      </c>
      <c r="H77" s="12">
        <f t="shared" si="5"/>
        <v>1.1119254015762303E-2</v>
      </c>
      <c r="I77" s="2">
        <f>VLOOKUP(A:A,MASTER!A:E,5,0)</f>
        <v>727</v>
      </c>
      <c r="J77" s="2">
        <f>VLOOKUP(A:A,MASTER!A:J,10,0)</f>
        <v>763</v>
      </c>
      <c r="K77" s="12">
        <f t="shared" si="6"/>
        <v>4.9518569463548934E-2</v>
      </c>
      <c r="L77" s="2">
        <f>VLOOKUP(A:A,MASTER!A:D,4,0)</f>
        <v>9</v>
      </c>
      <c r="M77" s="2">
        <f>VLOOKUP(A:A,MASTER!A:I,9,0)</f>
        <v>9</v>
      </c>
      <c r="N77" s="12">
        <f t="shared" si="7"/>
        <v>0</v>
      </c>
      <c r="O77" s="1">
        <f>VLOOKUP(A:A,MASTER!A:C,3,0)</f>
        <v>5</v>
      </c>
      <c r="P77" s="1">
        <f>VLOOKUP(A:A,MASTER!A:H,8,0)</f>
        <v>1</v>
      </c>
      <c r="Q77" s="12">
        <f t="shared" si="8"/>
        <v>-0.8</v>
      </c>
      <c r="R77" s="1">
        <f>VLOOKUP(A:A,MASTER!A:B,2,0)</f>
        <v>777</v>
      </c>
      <c r="S77">
        <f>VLOOKUP(A:A,MASTER!A:G,7,0)</f>
        <v>837</v>
      </c>
      <c r="T77" s="12">
        <f t="shared" si="9"/>
        <v>7.7220077220077288E-2</v>
      </c>
      <c r="U77">
        <v>2</v>
      </c>
    </row>
    <row r="78" spans="1:21" x14ac:dyDescent="0.35">
      <c r="A78" t="s">
        <v>76</v>
      </c>
      <c r="B78" t="s">
        <v>77</v>
      </c>
      <c r="C78" t="s">
        <v>22</v>
      </c>
      <c r="D78" t="s">
        <v>23</v>
      </c>
      <c r="E78" t="s">
        <v>182</v>
      </c>
      <c r="F78" s="1">
        <f>VLOOKUP(A:A,MASTER!A:F,6,0)</f>
        <v>32377972.396625906</v>
      </c>
      <c r="G78" s="1">
        <f>VLOOKUP(A:A,MASTER!A:K,11,0)</f>
        <v>30895232.573822569</v>
      </c>
      <c r="H78" s="12">
        <f t="shared" si="5"/>
        <v>-4.5794708965711917E-2</v>
      </c>
      <c r="I78" s="2">
        <f>VLOOKUP(A:A,MASTER!A:E,5,0)</f>
        <v>904</v>
      </c>
      <c r="J78" s="2">
        <f>VLOOKUP(A:A,MASTER!A:J,10,0)</f>
        <v>857</v>
      </c>
      <c r="K78" s="12">
        <f t="shared" si="6"/>
        <v>-5.1991150442477929E-2</v>
      </c>
      <c r="L78" s="2">
        <f>VLOOKUP(A:A,MASTER!A:D,4,0)</f>
        <v>2</v>
      </c>
      <c r="M78" s="2">
        <f>VLOOKUP(A:A,MASTER!A:I,9,0)</f>
        <v>1</v>
      </c>
      <c r="N78" s="12">
        <f t="shared" si="7"/>
        <v>-0.5</v>
      </c>
      <c r="O78" s="1">
        <f>VLOOKUP(A:A,MASTER!A:C,3,0)</f>
        <v>5</v>
      </c>
      <c r="P78" s="1">
        <f>VLOOKUP(A:A,MASTER!A:H,8,0)</f>
        <v>5</v>
      </c>
      <c r="Q78" s="12">
        <f t="shared" si="8"/>
        <v>0</v>
      </c>
      <c r="R78" s="1">
        <f>VLOOKUP(A:A,MASTER!A:B,2,0)</f>
        <v>938</v>
      </c>
      <c r="S78">
        <f>VLOOKUP(A:A,MASTER!A:G,7,0)</f>
        <v>1010</v>
      </c>
      <c r="T78" s="12">
        <f t="shared" si="9"/>
        <v>7.6759061833688635E-2</v>
      </c>
      <c r="U78">
        <v>3</v>
      </c>
    </row>
    <row r="79" spans="1:21" x14ac:dyDescent="0.35">
      <c r="A79" t="s">
        <v>65</v>
      </c>
      <c r="B79" t="s">
        <v>66</v>
      </c>
      <c r="C79" t="s">
        <v>22</v>
      </c>
      <c r="D79" t="s">
        <v>23</v>
      </c>
      <c r="E79" t="s">
        <v>182</v>
      </c>
      <c r="F79" s="1">
        <f>VLOOKUP(A:A,MASTER!A:F,6,0)</f>
        <v>34467667.721665762</v>
      </c>
      <c r="G79" s="1">
        <f>VLOOKUP(A:A,MASTER!A:K,11,0)</f>
        <v>37089330.108802304</v>
      </c>
      <c r="H79" s="12">
        <f t="shared" si="5"/>
        <v>7.6061496481486968E-2</v>
      </c>
      <c r="I79" s="2">
        <f>VLOOKUP(A:A,MASTER!A:E,5,0)</f>
        <v>876</v>
      </c>
      <c r="J79" s="2">
        <f>VLOOKUP(A:A,MASTER!A:J,10,0)</f>
        <v>845</v>
      </c>
      <c r="K79" s="12">
        <f t="shared" si="6"/>
        <v>-3.5388127853881235E-2</v>
      </c>
      <c r="L79" s="2">
        <f>VLOOKUP(A:A,MASTER!A:D,4,0)</f>
        <v>5</v>
      </c>
      <c r="M79" s="2">
        <f>VLOOKUP(A:A,MASTER!A:I,9,0)</f>
        <v>4</v>
      </c>
      <c r="N79" s="12">
        <f t="shared" si="7"/>
        <v>-0.19999999999999996</v>
      </c>
      <c r="O79" s="1">
        <f>VLOOKUP(A:A,MASTER!A:C,3,0)</f>
        <v>3</v>
      </c>
      <c r="P79" s="1">
        <f>VLOOKUP(A:A,MASTER!A:H,8,0)</f>
        <v>6</v>
      </c>
      <c r="Q79" s="12">
        <f t="shared" si="8"/>
        <v>1</v>
      </c>
      <c r="R79" s="1">
        <f>VLOOKUP(A:A,MASTER!A:B,2,0)</f>
        <v>936</v>
      </c>
      <c r="S79">
        <f>VLOOKUP(A:A,MASTER!A:G,7,0)</f>
        <v>925</v>
      </c>
      <c r="T79" s="12">
        <f t="shared" si="9"/>
        <v>-1.175213675213671E-2</v>
      </c>
      <c r="U79">
        <v>3</v>
      </c>
    </row>
    <row r="80" spans="1:21" x14ac:dyDescent="0.35">
      <c r="A80" t="s">
        <v>89</v>
      </c>
      <c r="B80" t="s">
        <v>90</v>
      </c>
      <c r="C80" t="s">
        <v>4</v>
      </c>
      <c r="D80" t="s">
        <v>26</v>
      </c>
      <c r="E80" t="s">
        <v>182</v>
      </c>
      <c r="F80" s="1">
        <f>VLOOKUP(A:A,MASTER!A:F,6,0)</f>
        <v>42984230.638440803</v>
      </c>
      <c r="G80" s="1">
        <f>VLOOKUP(A:A,MASTER!A:K,11,0)</f>
        <v>45313975.1462854</v>
      </c>
      <c r="H80" s="12">
        <f t="shared" si="5"/>
        <v>5.4199981556983134E-2</v>
      </c>
      <c r="I80" s="2">
        <f>VLOOKUP(A:A,MASTER!A:E,5,0)</f>
        <v>764</v>
      </c>
      <c r="J80" s="2">
        <f>VLOOKUP(A:A,MASTER!A:J,10,0)</f>
        <v>878</v>
      </c>
      <c r="K80" s="12">
        <f t="shared" si="6"/>
        <v>0.14921465968586389</v>
      </c>
      <c r="L80" s="2">
        <f>VLOOKUP(A:A,MASTER!A:D,4,0)</f>
        <v>6</v>
      </c>
      <c r="M80" s="2">
        <f>VLOOKUP(A:A,MASTER!A:I,9,0)</f>
        <v>7</v>
      </c>
      <c r="N80" s="12">
        <f t="shared" si="7"/>
        <v>0.16666666666666674</v>
      </c>
      <c r="O80" s="1">
        <f>VLOOKUP(A:A,MASTER!A:C,3,0)</f>
        <v>3</v>
      </c>
      <c r="P80" s="1">
        <f>VLOOKUP(A:A,MASTER!A:H,8,0)</f>
        <v>5</v>
      </c>
      <c r="Q80" s="12">
        <f t="shared" si="8"/>
        <v>0.66666666666666674</v>
      </c>
      <c r="R80" s="1">
        <f>VLOOKUP(A:A,MASTER!A:B,2,0)</f>
        <v>751</v>
      </c>
      <c r="S80">
        <f>VLOOKUP(A:A,MASTER!A:G,7,0)</f>
        <v>885</v>
      </c>
      <c r="T80" s="12">
        <f t="shared" si="9"/>
        <v>0.17842876165113175</v>
      </c>
      <c r="U80">
        <v>3</v>
      </c>
    </row>
    <row r="81" spans="1:21" x14ac:dyDescent="0.35">
      <c r="A81" t="s">
        <v>147</v>
      </c>
      <c r="B81" t="s">
        <v>148</v>
      </c>
      <c r="C81" t="s">
        <v>22</v>
      </c>
      <c r="D81" t="s">
        <v>69</v>
      </c>
      <c r="E81" t="s">
        <v>180</v>
      </c>
      <c r="F81" s="1">
        <f>VLOOKUP(A:A,MASTER!A:F,6,0)</f>
        <v>19204313.479982417</v>
      </c>
      <c r="G81" s="1">
        <f>VLOOKUP(A:A,MASTER!A:K,11,0)</f>
        <v>17935573.082301974</v>
      </c>
      <c r="H81" s="12">
        <f t="shared" si="5"/>
        <v>-6.6065386768598189E-2</v>
      </c>
      <c r="I81" s="2">
        <f>VLOOKUP(A:A,MASTER!A:E,5,0)</f>
        <v>612</v>
      </c>
      <c r="J81" s="2">
        <f>VLOOKUP(A:A,MASTER!A:J,10,0)</f>
        <v>572</v>
      </c>
      <c r="K81" s="12">
        <f t="shared" si="6"/>
        <v>-6.5359477124182996E-2</v>
      </c>
      <c r="L81" s="2">
        <f>VLOOKUP(A:A,MASTER!A:D,4,0)</f>
        <v>1</v>
      </c>
      <c r="M81" s="2">
        <f>VLOOKUP(A:A,MASTER!A:I,9,0)</f>
        <v>1</v>
      </c>
      <c r="N81" s="12">
        <f t="shared" si="7"/>
        <v>0</v>
      </c>
      <c r="O81" s="1">
        <f>VLOOKUP(A:A,MASTER!A:C,3,0)</f>
        <v>5</v>
      </c>
      <c r="P81" s="1">
        <f>VLOOKUP(A:A,MASTER!A:H,8,0)</f>
        <v>5</v>
      </c>
      <c r="Q81" s="12">
        <f t="shared" si="8"/>
        <v>0</v>
      </c>
      <c r="R81" s="1">
        <f>VLOOKUP(A:A,MASTER!A:B,2,0)</f>
        <v>590</v>
      </c>
      <c r="S81">
        <f>VLOOKUP(A:A,MASTER!A:G,7,0)</f>
        <v>619</v>
      </c>
      <c r="T81" s="12">
        <f t="shared" si="9"/>
        <v>4.9152542372881358E-2</v>
      </c>
      <c r="U81">
        <v>0</v>
      </c>
    </row>
    <row r="82" spans="1:21" x14ac:dyDescent="0.35">
      <c r="A82" t="s">
        <v>164</v>
      </c>
      <c r="B82" t="s">
        <v>165</v>
      </c>
      <c r="C82" t="s">
        <v>4</v>
      </c>
      <c r="D82" t="s">
        <v>151</v>
      </c>
      <c r="E82" t="s">
        <v>182</v>
      </c>
      <c r="F82" s="1">
        <f>VLOOKUP(A:A,MASTER!A:F,6,0)</f>
        <v>82877424.109357581</v>
      </c>
      <c r="G82" s="1">
        <f>VLOOKUP(A:A,MASTER!A:K,11,0)</f>
        <v>92585873.106809899</v>
      </c>
      <c r="H82" s="12">
        <f t="shared" si="5"/>
        <v>0.11714226282711104</v>
      </c>
      <c r="I82" s="2">
        <f>VLOOKUP(A:A,MASTER!A:E,5,0)</f>
        <v>1353</v>
      </c>
      <c r="J82" s="2">
        <f>VLOOKUP(A:A,MASTER!A:J,10,0)</f>
        <v>1126</v>
      </c>
      <c r="K82" s="12">
        <f t="shared" si="6"/>
        <v>-0.16777531411677749</v>
      </c>
      <c r="L82" s="2">
        <f>VLOOKUP(A:A,MASTER!A:D,4,0)</f>
        <v>10</v>
      </c>
      <c r="M82" s="2">
        <f>VLOOKUP(A:A,MASTER!A:I,9,0)</f>
        <v>9</v>
      </c>
      <c r="N82" s="12">
        <f t="shared" si="7"/>
        <v>-9.9999999999999978E-2</v>
      </c>
      <c r="O82" s="1">
        <f>VLOOKUP(A:A,MASTER!A:C,3,0)</f>
        <v>13</v>
      </c>
      <c r="P82" s="1">
        <f>VLOOKUP(A:A,MASTER!A:H,8,0)</f>
        <v>2</v>
      </c>
      <c r="Q82" s="12">
        <f t="shared" si="8"/>
        <v>-0.84615384615384615</v>
      </c>
      <c r="R82" s="1">
        <f>VLOOKUP(A:A,MASTER!A:B,2,0)</f>
        <v>1762</v>
      </c>
      <c r="S82">
        <f>VLOOKUP(A:A,MASTER!A:G,7,0)</f>
        <v>1377</v>
      </c>
      <c r="T82" s="12">
        <f t="shared" si="9"/>
        <v>-0.2185017026106697</v>
      </c>
      <c r="U82">
        <v>2</v>
      </c>
    </row>
    <row r="83" spans="1:21" x14ac:dyDescent="0.35">
      <c r="A83" t="s">
        <v>91</v>
      </c>
      <c r="B83" t="s">
        <v>92</v>
      </c>
      <c r="C83" t="s">
        <v>4</v>
      </c>
      <c r="D83" t="s">
        <v>26</v>
      </c>
      <c r="E83" t="s">
        <v>180</v>
      </c>
      <c r="F83" s="1">
        <f>VLOOKUP(A:A,MASTER!A:F,6,0)</f>
        <v>17838728.392745819</v>
      </c>
      <c r="G83" s="1">
        <f>VLOOKUP(A:A,MASTER!A:K,11,0)</f>
        <v>23998643.155092459</v>
      </c>
      <c r="H83" s="12">
        <f t="shared" si="5"/>
        <v>0.34531131517488611</v>
      </c>
      <c r="I83" s="2">
        <f>VLOOKUP(A:A,MASTER!A:E,5,0)</f>
        <v>983</v>
      </c>
      <c r="J83" s="2">
        <f>VLOOKUP(A:A,MASTER!A:J,10,0)</f>
        <v>1112</v>
      </c>
      <c r="K83" s="12">
        <f t="shared" si="6"/>
        <v>0.13123092573753814</v>
      </c>
      <c r="L83" s="2">
        <f>VLOOKUP(A:A,MASTER!A:D,4,0)</f>
        <v>3</v>
      </c>
      <c r="M83" s="2">
        <f>VLOOKUP(A:A,MASTER!A:I,9,0)</f>
        <v>3</v>
      </c>
      <c r="N83" s="12">
        <f t="shared" si="7"/>
        <v>0</v>
      </c>
      <c r="O83" s="1">
        <f>VLOOKUP(A:A,MASTER!A:C,3,0)</f>
        <v>0</v>
      </c>
      <c r="P83" s="1">
        <f>VLOOKUP(A:A,MASTER!A:H,8,0)</f>
        <v>2</v>
      </c>
      <c r="Q83" s="12">
        <f t="shared" si="8"/>
        <v>0</v>
      </c>
      <c r="R83" s="1">
        <f>VLOOKUP(A:A,MASTER!A:B,2,0)</f>
        <v>616</v>
      </c>
      <c r="S83">
        <f>VLOOKUP(A:A,MASTER!A:G,7,0)</f>
        <v>1155</v>
      </c>
      <c r="T83" s="12">
        <f t="shared" si="9"/>
        <v>0.875</v>
      </c>
      <c r="U83">
        <v>2</v>
      </c>
    </row>
    <row r="84" spans="1:21" x14ac:dyDescent="0.35">
      <c r="A84" t="s">
        <v>97</v>
      </c>
      <c r="B84" t="s">
        <v>98</v>
      </c>
      <c r="C84" t="s">
        <v>4</v>
      </c>
      <c r="D84" t="s">
        <v>26</v>
      </c>
      <c r="E84" t="s">
        <v>182</v>
      </c>
      <c r="F84" s="1">
        <f>VLOOKUP(A:A,MASTER!A:F,6,0)</f>
        <v>37099385.528416127</v>
      </c>
      <c r="G84" s="1">
        <f>VLOOKUP(A:A,MASTER!A:K,11,0)</f>
        <v>39959369.429977611</v>
      </c>
      <c r="H84" s="12">
        <f t="shared" si="5"/>
        <v>7.7089791672449337E-2</v>
      </c>
      <c r="I84" s="2">
        <f>VLOOKUP(A:A,MASTER!A:E,5,0)</f>
        <v>736</v>
      </c>
      <c r="J84" s="2">
        <f>VLOOKUP(A:A,MASTER!A:J,10,0)</f>
        <v>702</v>
      </c>
      <c r="K84" s="12">
        <f t="shared" si="6"/>
        <v>-4.6195652173913082E-2</v>
      </c>
      <c r="L84" s="2">
        <f>VLOOKUP(A:A,MASTER!A:D,4,0)</f>
        <v>8</v>
      </c>
      <c r="M84" s="2">
        <f>VLOOKUP(A:A,MASTER!A:I,9,0)</f>
        <v>7</v>
      </c>
      <c r="N84" s="12">
        <f t="shared" si="7"/>
        <v>-0.125</v>
      </c>
      <c r="O84" s="1">
        <f>VLOOKUP(A:A,MASTER!A:C,3,0)</f>
        <v>6</v>
      </c>
      <c r="P84" s="1">
        <f>VLOOKUP(A:A,MASTER!A:H,8,0)</f>
        <v>15</v>
      </c>
      <c r="Q84" s="12">
        <f t="shared" si="8"/>
        <v>1.5</v>
      </c>
      <c r="R84" s="1">
        <f>VLOOKUP(A:A,MASTER!A:B,2,0)</f>
        <v>672</v>
      </c>
      <c r="S84">
        <f>VLOOKUP(A:A,MASTER!A:G,7,0)</f>
        <v>799</v>
      </c>
      <c r="T84" s="12">
        <f t="shared" si="9"/>
        <v>0.18898809523809534</v>
      </c>
      <c r="U84">
        <v>7</v>
      </c>
    </row>
    <row r="85" spans="1:21" x14ac:dyDescent="0.35">
      <c r="A85" t="s">
        <v>78</v>
      </c>
      <c r="B85" t="s">
        <v>177</v>
      </c>
      <c r="C85" t="s">
        <v>22</v>
      </c>
      <c r="D85" t="s">
        <v>23</v>
      </c>
      <c r="E85" t="s">
        <v>180</v>
      </c>
      <c r="F85" s="1">
        <f>VLOOKUP(A:A,MASTER!A:F,6,0)</f>
        <v>8454745.0728688203</v>
      </c>
      <c r="G85" s="1">
        <f>VLOOKUP(A:A,MASTER!A:K,11,0)</f>
        <v>5243239.3722551018</v>
      </c>
      <c r="H85" s="12">
        <f t="shared" si="5"/>
        <v>-0.37984654450663491</v>
      </c>
      <c r="I85" s="2">
        <f>VLOOKUP(A:A,MASTER!A:E,5,0)</f>
        <v>323</v>
      </c>
      <c r="J85" s="2">
        <f>VLOOKUP(A:A,MASTER!A:J,10,0)</f>
        <v>224</v>
      </c>
      <c r="K85" s="12">
        <f t="shared" si="6"/>
        <v>-0.30650154798761609</v>
      </c>
      <c r="L85" s="2">
        <f>VLOOKUP(A:A,MASTER!A:D,4,0)</f>
        <v>1</v>
      </c>
      <c r="M85" s="2">
        <f>VLOOKUP(A:A,MASTER!A:I,9,0)</f>
        <v>1</v>
      </c>
      <c r="N85" s="12">
        <f t="shared" si="7"/>
        <v>0</v>
      </c>
      <c r="O85" s="1">
        <f>VLOOKUP(A:A,MASTER!A:C,3,0)</f>
        <v>2</v>
      </c>
      <c r="P85" s="1">
        <f>VLOOKUP(A:A,MASTER!A:H,8,0)</f>
        <v>2</v>
      </c>
      <c r="Q85" s="12">
        <f t="shared" si="8"/>
        <v>0</v>
      </c>
      <c r="R85" s="1">
        <f>VLOOKUP(A:A,MASTER!A:B,2,0)</f>
        <v>361</v>
      </c>
      <c r="S85">
        <f>VLOOKUP(A:A,MASTER!A:G,7,0)</f>
        <v>195</v>
      </c>
      <c r="T85" s="12">
        <f t="shared" si="9"/>
        <v>-0.45983379501385047</v>
      </c>
      <c r="U85">
        <v>2</v>
      </c>
    </row>
  </sheetData>
  <conditionalFormatting sqref="U2:U85">
    <cfRule type="cellIs" dxfId="0" priority="1" operator="lessThan">
      <formula>1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K429"/>
  <sheetViews>
    <sheetView workbookViewId="0">
      <pane xSplit="1" ySplit="5" topLeftCell="B78" activePane="bottomRight" state="frozen"/>
      <selection pane="topRight" activeCell="B1" sqref="B1"/>
      <selection pane="bottomLeft" activeCell="A6" sqref="A6"/>
      <selection pane="bottomRight" activeCell="A5" sqref="A5:K429"/>
    </sheetView>
  </sheetViews>
  <sheetFormatPr defaultRowHeight="14.5" x14ac:dyDescent="0.35"/>
  <cols>
    <col min="1" max="1" width="11.36328125" bestFit="1" customWidth="1"/>
    <col min="2" max="2" width="14.54296875" bestFit="1" customWidth="1"/>
    <col min="3" max="3" width="19.81640625" bestFit="1" customWidth="1"/>
    <col min="4" max="4" width="14.6328125" bestFit="1" customWidth="1"/>
    <col min="5" max="5" width="14.90625" bestFit="1" customWidth="1"/>
    <col min="6" max="6" width="27.7265625" bestFit="1" customWidth="1"/>
    <col min="7" max="7" width="14.54296875" bestFit="1" customWidth="1"/>
    <col min="8" max="8" width="19.81640625" bestFit="1" customWidth="1"/>
    <col min="9" max="9" width="14.6328125" bestFit="1" customWidth="1"/>
    <col min="10" max="10" width="14.90625" bestFit="1" customWidth="1"/>
    <col min="11" max="11" width="27.7265625" bestFit="1" customWidth="1"/>
  </cols>
  <sheetData>
    <row r="3" spans="1:11" s="1" customFormat="1" x14ac:dyDescent="0.35">
      <c r="A3" s="11"/>
      <c r="B3" s="11">
        <f t="shared" ref="B3:K3" si="0">SUBTOTAL(9,B6:B90)</f>
        <v>83920</v>
      </c>
      <c r="C3" s="11">
        <f t="shared" si="0"/>
        <v>2129</v>
      </c>
      <c r="D3" s="11">
        <f t="shared" si="0"/>
        <v>319</v>
      </c>
      <c r="E3" s="11">
        <f t="shared" si="0"/>
        <v>71139</v>
      </c>
      <c r="F3" s="11">
        <f t="shared" si="0"/>
        <v>3758144358.6899858</v>
      </c>
      <c r="G3" s="11">
        <f t="shared" si="0"/>
        <v>84001</v>
      </c>
      <c r="H3" s="11">
        <f t="shared" si="0"/>
        <v>2903</v>
      </c>
      <c r="I3" s="11">
        <f t="shared" si="0"/>
        <v>318</v>
      </c>
      <c r="J3" s="11">
        <f t="shared" si="0"/>
        <v>70989</v>
      </c>
      <c r="K3" s="11">
        <f t="shared" si="0"/>
        <v>3782314862.0201168</v>
      </c>
    </row>
    <row r="4" spans="1:11" x14ac:dyDescent="0.35">
      <c r="A4" s="7"/>
      <c r="B4" s="7" t="s">
        <v>194</v>
      </c>
      <c r="C4" s="7"/>
      <c r="D4" s="7"/>
      <c r="E4" s="7"/>
      <c r="F4" s="7"/>
      <c r="G4" s="7" t="s">
        <v>195</v>
      </c>
      <c r="H4" s="7"/>
      <c r="I4" s="7"/>
      <c r="J4" s="7"/>
      <c r="K4" s="7"/>
    </row>
    <row r="5" spans="1:11" x14ac:dyDescent="0.35">
      <c r="A5" s="8" t="s">
        <v>196</v>
      </c>
      <c r="B5" s="8" t="s">
        <v>197</v>
      </c>
      <c r="C5" s="8" t="s">
        <v>204</v>
      </c>
      <c r="D5" s="8" t="s">
        <v>198</v>
      </c>
      <c r="E5" s="8" t="s">
        <v>199</v>
      </c>
      <c r="F5" s="8" t="s">
        <v>200</v>
      </c>
      <c r="G5" s="8" t="s">
        <v>197</v>
      </c>
      <c r="H5" s="8" t="s">
        <v>204</v>
      </c>
      <c r="I5" s="8" t="s">
        <v>198</v>
      </c>
      <c r="J5" s="8" t="s">
        <v>199</v>
      </c>
      <c r="K5" s="8" t="s">
        <v>200</v>
      </c>
    </row>
    <row r="6" spans="1:11" x14ac:dyDescent="0.35">
      <c r="A6" s="9" t="s">
        <v>117</v>
      </c>
      <c r="B6" s="10">
        <v>432</v>
      </c>
      <c r="C6" s="10">
        <v>3</v>
      </c>
      <c r="D6" s="10">
        <v>2</v>
      </c>
      <c r="E6" s="10">
        <v>390</v>
      </c>
      <c r="F6" s="10">
        <v>16983571.634807829</v>
      </c>
      <c r="G6" s="10">
        <v>369</v>
      </c>
      <c r="H6" s="10">
        <v>1</v>
      </c>
      <c r="I6" s="10">
        <v>2</v>
      </c>
      <c r="J6" s="10">
        <v>315</v>
      </c>
      <c r="K6" s="10">
        <v>16587043.894551883</v>
      </c>
    </row>
    <row r="7" spans="1:11" x14ac:dyDescent="0.35">
      <c r="A7" s="9" t="s">
        <v>127</v>
      </c>
      <c r="B7" s="10">
        <v>586</v>
      </c>
      <c r="C7" s="10">
        <v>6</v>
      </c>
      <c r="D7" s="10">
        <v>2</v>
      </c>
      <c r="E7" s="10">
        <v>495</v>
      </c>
      <c r="F7" s="10">
        <v>19847277.817750745</v>
      </c>
      <c r="G7" s="10">
        <v>480</v>
      </c>
      <c r="H7" s="10">
        <v>8</v>
      </c>
      <c r="I7" s="10">
        <v>3</v>
      </c>
      <c r="J7" s="10">
        <v>422</v>
      </c>
      <c r="K7" s="10">
        <v>18061925.532029279</v>
      </c>
    </row>
    <row r="8" spans="1:11" x14ac:dyDescent="0.35">
      <c r="A8" s="9" t="s">
        <v>119</v>
      </c>
      <c r="B8" s="10">
        <v>793</v>
      </c>
      <c r="C8" s="10">
        <v>11</v>
      </c>
      <c r="D8" s="10">
        <v>1</v>
      </c>
      <c r="E8" s="10">
        <v>758</v>
      </c>
      <c r="F8" s="10">
        <v>29381718.264677547</v>
      </c>
      <c r="G8" s="10">
        <v>751</v>
      </c>
      <c r="H8" s="10">
        <v>9</v>
      </c>
      <c r="I8" s="10">
        <v>1</v>
      </c>
      <c r="J8" s="10">
        <v>717</v>
      </c>
      <c r="K8" s="10">
        <v>20203028.185101006</v>
      </c>
    </row>
    <row r="9" spans="1:11" x14ac:dyDescent="0.35">
      <c r="A9" s="9" t="s">
        <v>121</v>
      </c>
      <c r="B9" s="10">
        <v>1260</v>
      </c>
      <c r="C9" s="10">
        <v>11</v>
      </c>
      <c r="D9" s="10">
        <v>3</v>
      </c>
      <c r="E9" s="10">
        <v>1150</v>
      </c>
      <c r="F9" s="10">
        <v>45150816.551205158</v>
      </c>
      <c r="G9" s="10">
        <v>1040</v>
      </c>
      <c r="H9" s="10">
        <v>11</v>
      </c>
      <c r="I9" s="10">
        <v>2</v>
      </c>
      <c r="J9" s="10">
        <v>978</v>
      </c>
      <c r="K9" s="10">
        <v>45038898.358889237</v>
      </c>
    </row>
    <row r="10" spans="1:11" x14ac:dyDescent="0.35">
      <c r="A10" s="9" t="s">
        <v>123</v>
      </c>
      <c r="B10" s="10">
        <v>402</v>
      </c>
      <c r="C10" s="10">
        <v>1</v>
      </c>
      <c r="D10" s="10">
        <v>1</v>
      </c>
      <c r="E10" s="10">
        <v>399</v>
      </c>
      <c r="F10" s="10">
        <v>19331302.565807231</v>
      </c>
      <c r="G10" s="10">
        <v>430</v>
      </c>
      <c r="H10" s="10">
        <v>4</v>
      </c>
      <c r="I10" s="10">
        <v>1</v>
      </c>
      <c r="J10" s="10">
        <v>404</v>
      </c>
      <c r="K10" s="10">
        <v>20167862.49942258</v>
      </c>
    </row>
    <row r="11" spans="1:11" x14ac:dyDescent="0.35">
      <c r="A11" s="9" t="s">
        <v>125</v>
      </c>
      <c r="B11" s="10">
        <v>390</v>
      </c>
      <c r="C11" s="10">
        <v>3</v>
      </c>
      <c r="D11" s="10">
        <v>2</v>
      </c>
      <c r="E11" s="10">
        <v>370</v>
      </c>
      <c r="F11" s="10">
        <v>16199052.508398777</v>
      </c>
      <c r="G11" s="10">
        <v>282</v>
      </c>
      <c r="H11" s="10">
        <v>4</v>
      </c>
      <c r="I11" s="10">
        <v>2</v>
      </c>
      <c r="J11" s="10">
        <v>237</v>
      </c>
      <c r="K11" s="10">
        <v>13665704.576297684</v>
      </c>
    </row>
    <row r="12" spans="1:11" x14ac:dyDescent="0.35">
      <c r="A12" s="9" t="s">
        <v>131</v>
      </c>
      <c r="B12" s="10">
        <v>624</v>
      </c>
      <c r="C12" s="10">
        <v>3</v>
      </c>
      <c r="D12" s="10">
        <v>2</v>
      </c>
      <c r="E12" s="10">
        <v>610</v>
      </c>
      <c r="F12" s="10">
        <v>21007145.647327449</v>
      </c>
      <c r="G12" s="10">
        <v>547</v>
      </c>
      <c r="H12" s="10">
        <v>11</v>
      </c>
      <c r="I12" s="10">
        <v>1</v>
      </c>
      <c r="J12" s="10">
        <v>464</v>
      </c>
      <c r="K12" s="10">
        <v>18586606.336915016</v>
      </c>
    </row>
    <row r="13" spans="1:11" x14ac:dyDescent="0.35">
      <c r="A13" s="9" t="s">
        <v>133</v>
      </c>
      <c r="B13" s="10">
        <v>185</v>
      </c>
      <c r="C13" s="10">
        <v>0</v>
      </c>
      <c r="D13" s="10">
        <v>1</v>
      </c>
      <c r="E13" s="10">
        <v>127</v>
      </c>
      <c r="F13" s="10">
        <v>8278667.9983205991</v>
      </c>
      <c r="G13" s="10">
        <v>164</v>
      </c>
      <c r="H13" s="10">
        <v>0</v>
      </c>
      <c r="I13" s="10">
        <v>1</v>
      </c>
      <c r="J13" s="10">
        <v>128</v>
      </c>
      <c r="K13" s="10">
        <v>8369468.3140039919</v>
      </c>
    </row>
    <row r="14" spans="1:11" x14ac:dyDescent="0.35">
      <c r="A14" s="9" t="s">
        <v>141</v>
      </c>
      <c r="B14" s="10">
        <v>189</v>
      </c>
      <c r="C14" s="10">
        <v>1</v>
      </c>
      <c r="D14" s="10">
        <v>1</v>
      </c>
      <c r="E14" s="10">
        <v>142</v>
      </c>
      <c r="F14" s="10">
        <v>5633266.1475479249</v>
      </c>
      <c r="G14" s="10">
        <v>198</v>
      </c>
      <c r="H14" s="10">
        <v>3</v>
      </c>
      <c r="I14" s="10">
        <v>1</v>
      </c>
      <c r="J14" s="10">
        <v>160</v>
      </c>
      <c r="K14" s="10">
        <v>8354841.4967260137</v>
      </c>
    </row>
    <row r="15" spans="1:11" x14ac:dyDescent="0.35">
      <c r="A15" s="9" t="s">
        <v>135</v>
      </c>
      <c r="B15" s="10">
        <v>395</v>
      </c>
      <c r="C15" s="10">
        <v>5</v>
      </c>
      <c r="D15" s="10">
        <v>1</v>
      </c>
      <c r="E15" s="10">
        <v>360</v>
      </c>
      <c r="F15" s="10">
        <v>16877826.851075225</v>
      </c>
      <c r="G15" s="10">
        <v>446</v>
      </c>
      <c r="H15" s="10">
        <v>9</v>
      </c>
      <c r="I15" s="10">
        <v>1</v>
      </c>
      <c r="J15" s="10">
        <v>359</v>
      </c>
      <c r="K15" s="10">
        <v>15117488.539536901</v>
      </c>
    </row>
    <row r="16" spans="1:11" x14ac:dyDescent="0.35">
      <c r="A16" s="9" t="s">
        <v>143</v>
      </c>
      <c r="B16" s="10">
        <v>241</v>
      </c>
      <c r="C16" s="10">
        <v>0</v>
      </c>
      <c r="D16" s="10">
        <v>2</v>
      </c>
      <c r="E16" s="10">
        <v>291</v>
      </c>
      <c r="F16" s="10">
        <v>8820949.5979110599</v>
      </c>
      <c r="G16" s="10">
        <v>227</v>
      </c>
      <c r="H16" s="10">
        <v>1</v>
      </c>
      <c r="I16" s="10">
        <v>2</v>
      </c>
      <c r="J16" s="10">
        <v>216</v>
      </c>
      <c r="K16" s="10">
        <v>7572011.9076009477</v>
      </c>
    </row>
    <row r="17" spans="1:11" x14ac:dyDescent="0.35">
      <c r="A17" s="9" t="s">
        <v>145</v>
      </c>
      <c r="B17" s="10">
        <v>249</v>
      </c>
      <c r="C17" s="10">
        <v>3</v>
      </c>
      <c r="D17" s="10">
        <v>1</v>
      </c>
      <c r="E17" s="10">
        <v>262</v>
      </c>
      <c r="F17" s="10">
        <v>9274244.2290603928</v>
      </c>
      <c r="G17" s="10">
        <v>262</v>
      </c>
      <c r="H17" s="10">
        <v>2</v>
      </c>
      <c r="I17" s="10">
        <v>0</v>
      </c>
      <c r="J17" s="10">
        <v>227</v>
      </c>
      <c r="K17" s="10">
        <v>9950426.0419501606</v>
      </c>
    </row>
    <row r="18" spans="1:11" x14ac:dyDescent="0.35">
      <c r="A18" s="9" t="s">
        <v>20</v>
      </c>
      <c r="B18" s="10">
        <v>1305</v>
      </c>
      <c r="C18" s="10">
        <v>6</v>
      </c>
      <c r="D18" s="10">
        <v>3</v>
      </c>
      <c r="E18" s="10">
        <v>1222</v>
      </c>
      <c r="F18" s="10">
        <v>40760914.843795151</v>
      </c>
      <c r="G18" s="10">
        <v>1460</v>
      </c>
      <c r="H18" s="10">
        <v>13</v>
      </c>
      <c r="I18" s="10">
        <v>5</v>
      </c>
      <c r="J18" s="10">
        <v>1205</v>
      </c>
      <c r="K18" s="10">
        <v>48365116.464128777</v>
      </c>
    </row>
    <row r="19" spans="1:11" x14ac:dyDescent="0.35">
      <c r="A19" s="9" t="s">
        <v>45</v>
      </c>
      <c r="B19" s="10">
        <v>1210</v>
      </c>
      <c r="C19" s="10">
        <v>4</v>
      </c>
      <c r="D19" s="10">
        <v>3</v>
      </c>
      <c r="E19" s="10">
        <v>902</v>
      </c>
      <c r="F19" s="10">
        <v>64848021.924272336</v>
      </c>
      <c r="G19" s="10">
        <v>1008</v>
      </c>
      <c r="H19" s="10">
        <v>1</v>
      </c>
      <c r="I19" s="10">
        <v>3</v>
      </c>
      <c r="J19" s="10">
        <v>796</v>
      </c>
      <c r="K19" s="10">
        <v>62120249.00507763</v>
      </c>
    </row>
    <row r="20" spans="1:11" x14ac:dyDescent="0.35">
      <c r="A20" s="9" t="s">
        <v>47</v>
      </c>
      <c r="B20" s="10">
        <v>1000</v>
      </c>
      <c r="C20" s="10">
        <v>6</v>
      </c>
      <c r="D20" s="10">
        <v>5</v>
      </c>
      <c r="E20" s="10">
        <v>949</v>
      </c>
      <c r="F20" s="10">
        <v>34533143.962661423</v>
      </c>
      <c r="G20" s="10">
        <v>1084</v>
      </c>
      <c r="H20" s="10">
        <v>12</v>
      </c>
      <c r="I20" s="10">
        <v>5</v>
      </c>
      <c r="J20" s="10">
        <v>973</v>
      </c>
      <c r="K20" s="10">
        <v>33917094.613407806</v>
      </c>
    </row>
    <row r="21" spans="1:11" x14ac:dyDescent="0.35">
      <c r="A21" s="9" t="s">
        <v>49</v>
      </c>
      <c r="B21" s="10">
        <v>930</v>
      </c>
      <c r="C21" s="10">
        <v>4</v>
      </c>
      <c r="D21" s="10">
        <v>3</v>
      </c>
      <c r="E21" s="10">
        <v>669</v>
      </c>
      <c r="F21" s="10">
        <v>28787578.01094836</v>
      </c>
      <c r="G21" s="10">
        <v>821</v>
      </c>
      <c r="H21" s="10">
        <v>5</v>
      </c>
      <c r="I21" s="10">
        <v>3</v>
      </c>
      <c r="J21" s="10">
        <v>675</v>
      </c>
      <c r="K21" s="10">
        <v>32531704.613525033</v>
      </c>
    </row>
    <row r="22" spans="1:11" x14ac:dyDescent="0.35">
      <c r="A22" s="9" t="s">
        <v>51</v>
      </c>
      <c r="B22" s="10">
        <v>2725</v>
      </c>
      <c r="C22" s="10">
        <v>189</v>
      </c>
      <c r="D22" s="10">
        <v>10</v>
      </c>
      <c r="E22" s="10">
        <v>2195</v>
      </c>
      <c r="F22" s="10">
        <v>123033197.78738114</v>
      </c>
      <c r="G22" s="10">
        <v>2706</v>
      </c>
      <c r="H22" s="10">
        <v>309</v>
      </c>
      <c r="I22" s="10">
        <v>11</v>
      </c>
      <c r="J22" s="10">
        <v>2186</v>
      </c>
      <c r="K22" s="10">
        <v>118463519.02599581</v>
      </c>
    </row>
    <row r="23" spans="1:11" x14ac:dyDescent="0.35">
      <c r="A23" s="9" t="s">
        <v>53</v>
      </c>
      <c r="B23" s="10">
        <v>1301</v>
      </c>
      <c r="C23" s="10">
        <v>9</v>
      </c>
      <c r="D23" s="10">
        <v>2</v>
      </c>
      <c r="E23" s="10">
        <v>1182</v>
      </c>
      <c r="F23" s="10">
        <v>45596878.453937732</v>
      </c>
      <c r="G23" s="10">
        <v>1294</v>
      </c>
      <c r="H23" s="10">
        <v>6</v>
      </c>
      <c r="I23" s="10">
        <v>2</v>
      </c>
      <c r="J23" s="10">
        <v>1242</v>
      </c>
      <c r="K23" s="10">
        <v>62728651.691946141</v>
      </c>
    </row>
    <row r="24" spans="1:11" x14ac:dyDescent="0.35">
      <c r="A24" s="9" t="s">
        <v>55</v>
      </c>
      <c r="B24" s="10">
        <v>2797</v>
      </c>
      <c r="C24" s="10">
        <v>21</v>
      </c>
      <c r="D24" s="10">
        <v>10</v>
      </c>
      <c r="E24" s="10">
        <v>2208</v>
      </c>
      <c r="F24" s="10">
        <v>127137310.20288233</v>
      </c>
      <c r="G24" s="10">
        <v>2461</v>
      </c>
      <c r="H24" s="10">
        <v>10</v>
      </c>
      <c r="I24" s="10">
        <v>11</v>
      </c>
      <c r="J24" s="10">
        <v>2044</v>
      </c>
      <c r="K24" s="10">
        <v>114563325.27735354</v>
      </c>
    </row>
    <row r="25" spans="1:11" x14ac:dyDescent="0.35">
      <c r="A25" s="9" t="s">
        <v>67</v>
      </c>
      <c r="B25" s="10">
        <v>504</v>
      </c>
      <c r="C25" s="10">
        <v>6</v>
      </c>
      <c r="D25" s="10">
        <v>1</v>
      </c>
      <c r="E25" s="10">
        <v>482</v>
      </c>
      <c r="F25" s="10">
        <v>18733928.630020816</v>
      </c>
      <c r="G25" s="10">
        <v>561</v>
      </c>
      <c r="H25" s="10">
        <v>2</v>
      </c>
      <c r="I25" s="10">
        <v>1</v>
      </c>
      <c r="J25" s="10">
        <v>628</v>
      </c>
      <c r="K25" s="10">
        <v>17387347.611573316</v>
      </c>
    </row>
    <row r="26" spans="1:11" x14ac:dyDescent="0.35">
      <c r="A26" s="9" t="s">
        <v>74</v>
      </c>
      <c r="B26" s="10">
        <v>1756</v>
      </c>
      <c r="C26" s="10">
        <v>24</v>
      </c>
      <c r="D26" s="10">
        <v>2</v>
      </c>
      <c r="E26" s="10">
        <v>1392</v>
      </c>
      <c r="F26" s="10">
        <v>52841532.359926805</v>
      </c>
      <c r="G26" s="10">
        <v>1903</v>
      </c>
      <c r="H26" s="10">
        <v>19</v>
      </c>
      <c r="I26" s="10">
        <v>1</v>
      </c>
      <c r="J26" s="10">
        <v>1491</v>
      </c>
      <c r="K26" s="10">
        <v>49771314.143317558</v>
      </c>
    </row>
    <row r="27" spans="1:11" x14ac:dyDescent="0.35">
      <c r="A27" s="9" t="s">
        <v>70</v>
      </c>
      <c r="B27" s="10">
        <v>875</v>
      </c>
      <c r="C27" s="10">
        <v>17</v>
      </c>
      <c r="D27" s="10">
        <v>1</v>
      </c>
      <c r="E27" s="10">
        <v>781</v>
      </c>
      <c r="F27" s="10">
        <v>22483892.213771056</v>
      </c>
      <c r="G27" s="10">
        <v>892</v>
      </c>
      <c r="H27" s="10">
        <v>9</v>
      </c>
      <c r="I27" s="10">
        <v>0</v>
      </c>
      <c r="J27" s="10">
        <v>828</v>
      </c>
      <c r="K27" s="10">
        <v>20245247.668984476</v>
      </c>
    </row>
    <row r="28" spans="1:11" x14ac:dyDescent="0.35">
      <c r="A28" s="9" t="s">
        <v>72</v>
      </c>
      <c r="B28" s="10">
        <v>873</v>
      </c>
      <c r="C28" s="10">
        <v>8</v>
      </c>
      <c r="D28" s="10">
        <v>1</v>
      </c>
      <c r="E28" s="10">
        <v>740</v>
      </c>
      <c r="F28" s="10">
        <v>26522186.839640837</v>
      </c>
      <c r="G28" s="10">
        <v>838</v>
      </c>
      <c r="H28" s="10">
        <v>5</v>
      </c>
      <c r="I28" s="10">
        <v>0</v>
      </c>
      <c r="J28" s="10">
        <v>658</v>
      </c>
      <c r="K28" s="10">
        <v>26565036.513482779</v>
      </c>
    </row>
    <row r="29" spans="1:11" x14ac:dyDescent="0.35">
      <c r="A29" s="9" t="s">
        <v>79</v>
      </c>
      <c r="B29" s="10">
        <v>212</v>
      </c>
      <c r="C29" s="10">
        <v>1</v>
      </c>
      <c r="D29" s="10">
        <v>1</v>
      </c>
      <c r="E29" s="10">
        <v>174</v>
      </c>
      <c r="F29" s="10">
        <v>6623369.7774191592</v>
      </c>
      <c r="G29" s="10">
        <v>204</v>
      </c>
      <c r="H29" s="10">
        <v>1</v>
      </c>
      <c r="I29" s="10">
        <v>0</v>
      </c>
      <c r="J29" s="10">
        <v>172</v>
      </c>
      <c r="K29" s="10">
        <v>6370386.3530433429</v>
      </c>
    </row>
    <row r="30" spans="1:11" x14ac:dyDescent="0.35">
      <c r="A30" s="9" t="s">
        <v>109</v>
      </c>
      <c r="B30" s="10">
        <v>1608</v>
      </c>
      <c r="C30" s="10">
        <v>14</v>
      </c>
      <c r="D30" s="10">
        <v>6</v>
      </c>
      <c r="E30" s="10">
        <v>1364</v>
      </c>
      <c r="F30" s="10">
        <v>50293760.789857931</v>
      </c>
      <c r="G30" s="10">
        <v>1687</v>
      </c>
      <c r="H30" s="10">
        <v>8</v>
      </c>
      <c r="I30" s="10">
        <v>6</v>
      </c>
      <c r="J30" s="10">
        <v>1440</v>
      </c>
      <c r="K30" s="10">
        <v>51009222.943509325</v>
      </c>
    </row>
    <row r="31" spans="1:11" x14ac:dyDescent="0.35">
      <c r="A31" s="9" t="s">
        <v>111</v>
      </c>
      <c r="B31" s="10">
        <v>895</v>
      </c>
      <c r="C31" s="10">
        <v>9</v>
      </c>
      <c r="D31" s="10">
        <v>1</v>
      </c>
      <c r="E31" s="10">
        <v>623</v>
      </c>
      <c r="F31" s="10">
        <v>43005890.283747934</v>
      </c>
      <c r="G31" s="10">
        <v>818</v>
      </c>
      <c r="H31" s="10">
        <v>4</v>
      </c>
      <c r="I31" s="10">
        <v>1</v>
      </c>
      <c r="J31" s="10">
        <v>666</v>
      </c>
      <c r="K31" s="10">
        <v>45802660.801993549</v>
      </c>
    </row>
    <row r="32" spans="1:11" x14ac:dyDescent="0.35">
      <c r="A32" s="9" t="s">
        <v>113</v>
      </c>
      <c r="B32" s="10">
        <v>998</v>
      </c>
      <c r="C32" s="10">
        <v>3</v>
      </c>
      <c r="D32" s="10">
        <v>2</v>
      </c>
      <c r="E32" s="10">
        <v>854</v>
      </c>
      <c r="F32" s="10">
        <v>40341241.474492885</v>
      </c>
      <c r="G32" s="10">
        <v>1006</v>
      </c>
      <c r="H32" s="10">
        <v>1</v>
      </c>
      <c r="I32" s="10">
        <v>3</v>
      </c>
      <c r="J32" s="10">
        <v>879</v>
      </c>
      <c r="K32" s="10">
        <v>47730514.88589114</v>
      </c>
    </row>
    <row r="33" spans="1:11" x14ac:dyDescent="0.35">
      <c r="A33" s="9" t="s">
        <v>115</v>
      </c>
      <c r="B33" s="10">
        <v>1131</v>
      </c>
      <c r="C33" s="10">
        <v>4</v>
      </c>
      <c r="D33" s="10">
        <v>2</v>
      </c>
      <c r="E33" s="10">
        <v>878</v>
      </c>
      <c r="F33" s="10">
        <v>56268401.294638753</v>
      </c>
      <c r="G33" s="10">
        <v>968</v>
      </c>
      <c r="H33" s="10">
        <v>2</v>
      </c>
      <c r="I33" s="10">
        <v>3</v>
      </c>
      <c r="J33" s="10">
        <v>792</v>
      </c>
      <c r="K33" s="10">
        <v>54876696.207154706</v>
      </c>
    </row>
    <row r="34" spans="1:11" x14ac:dyDescent="0.35">
      <c r="A34" s="9" t="s">
        <v>16</v>
      </c>
      <c r="B34" s="10">
        <v>1402</v>
      </c>
      <c r="C34" s="10">
        <v>6</v>
      </c>
      <c r="D34" s="10">
        <v>4</v>
      </c>
      <c r="E34" s="10">
        <v>1157</v>
      </c>
      <c r="F34" s="10">
        <v>74425256.373781741</v>
      </c>
      <c r="G34" s="10">
        <v>1326</v>
      </c>
      <c r="H34" s="10">
        <v>6</v>
      </c>
      <c r="I34" s="10">
        <v>2</v>
      </c>
      <c r="J34" s="10">
        <v>1168</v>
      </c>
      <c r="K34" s="10">
        <v>66655735.221419968</v>
      </c>
    </row>
    <row r="35" spans="1:11" x14ac:dyDescent="0.35">
      <c r="A35" s="9" t="s">
        <v>18</v>
      </c>
      <c r="B35" s="10">
        <v>663</v>
      </c>
      <c r="C35" s="10">
        <v>3</v>
      </c>
      <c r="D35" s="10">
        <v>5</v>
      </c>
      <c r="E35" s="10">
        <v>620</v>
      </c>
      <c r="F35" s="10">
        <v>33089266.503950208</v>
      </c>
      <c r="G35" s="10">
        <v>646</v>
      </c>
      <c r="H35" s="10">
        <v>4</v>
      </c>
      <c r="I35" s="10">
        <v>4</v>
      </c>
      <c r="J35" s="10">
        <v>602</v>
      </c>
      <c r="K35" s="10">
        <v>30564405.53019055</v>
      </c>
    </row>
    <row r="36" spans="1:11" x14ac:dyDescent="0.35">
      <c r="A36" s="9" t="s">
        <v>43</v>
      </c>
      <c r="B36" s="10">
        <v>1825</v>
      </c>
      <c r="C36" s="10">
        <v>13</v>
      </c>
      <c r="D36" s="10">
        <v>9</v>
      </c>
      <c r="E36" s="10">
        <v>1597</v>
      </c>
      <c r="F36" s="10">
        <v>84355700.169556901</v>
      </c>
      <c r="G36" s="10">
        <v>1852</v>
      </c>
      <c r="H36" s="10">
        <v>4</v>
      </c>
      <c r="I36" s="10">
        <v>7</v>
      </c>
      <c r="J36" s="10">
        <v>1694</v>
      </c>
      <c r="K36" s="10">
        <v>73299349.218230873</v>
      </c>
    </row>
    <row r="37" spans="1:11" x14ac:dyDescent="0.35">
      <c r="A37" s="9" t="s">
        <v>152</v>
      </c>
      <c r="B37" s="10">
        <v>852</v>
      </c>
      <c r="C37" s="10">
        <v>5</v>
      </c>
      <c r="D37" s="10">
        <v>2</v>
      </c>
      <c r="E37" s="10">
        <v>747</v>
      </c>
      <c r="F37" s="10">
        <v>32539934.166304376</v>
      </c>
      <c r="G37" s="10">
        <v>835</v>
      </c>
      <c r="H37" s="10">
        <v>6</v>
      </c>
      <c r="I37" s="10">
        <v>3</v>
      </c>
      <c r="J37" s="10">
        <v>718</v>
      </c>
      <c r="K37" s="10">
        <v>32947940.734990168</v>
      </c>
    </row>
    <row r="38" spans="1:11" x14ac:dyDescent="0.35">
      <c r="A38" s="9" t="s">
        <v>149</v>
      </c>
      <c r="B38" s="10">
        <v>696</v>
      </c>
      <c r="C38" s="10">
        <v>4</v>
      </c>
      <c r="D38" s="10">
        <v>1</v>
      </c>
      <c r="E38" s="10">
        <v>591</v>
      </c>
      <c r="F38" s="10">
        <v>30356818.320093557</v>
      </c>
      <c r="G38" s="10">
        <v>598</v>
      </c>
      <c r="H38" s="10">
        <v>4</v>
      </c>
      <c r="I38" s="10">
        <v>1</v>
      </c>
      <c r="J38" s="10">
        <v>156</v>
      </c>
      <c r="K38" s="10">
        <v>29183183.191942681</v>
      </c>
    </row>
    <row r="39" spans="1:11" x14ac:dyDescent="0.35">
      <c r="A39" s="9" t="s">
        <v>154</v>
      </c>
      <c r="B39" s="10">
        <v>1182</v>
      </c>
      <c r="C39" s="10">
        <v>22</v>
      </c>
      <c r="D39" s="10">
        <v>1</v>
      </c>
      <c r="E39" s="10">
        <v>796</v>
      </c>
      <c r="F39" s="10">
        <v>47391072.39174971</v>
      </c>
      <c r="G39" s="10">
        <v>1404</v>
      </c>
      <c r="H39" s="10">
        <v>11</v>
      </c>
      <c r="I39" s="10">
        <v>2</v>
      </c>
      <c r="J39" s="10">
        <v>1061</v>
      </c>
      <c r="K39" s="10">
        <v>51773958.412982024</v>
      </c>
    </row>
    <row r="40" spans="1:11" x14ac:dyDescent="0.35">
      <c r="A40" s="9" t="s">
        <v>2</v>
      </c>
      <c r="B40" s="10">
        <v>1412</v>
      </c>
      <c r="C40" s="10">
        <v>468</v>
      </c>
      <c r="D40" s="10">
        <v>1</v>
      </c>
      <c r="E40" s="10">
        <v>933</v>
      </c>
      <c r="F40" s="10">
        <v>44668525.940832011</v>
      </c>
      <c r="G40" s="10">
        <v>1513</v>
      </c>
      <c r="H40" s="10">
        <v>674</v>
      </c>
      <c r="I40" s="10">
        <v>1</v>
      </c>
      <c r="J40" s="10">
        <v>933</v>
      </c>
      <c r="K40" s="10">
        <v>45469457.425387718</v>
      </c>
    </row>
    <row r="41" spans="1:11" x14ac:dyDescent="0.35">
      <c r="A41" s="9" t="s">
        <v>156</v>
      </c>
      <c r="B41" s="10">
        <v>2293</v>
      </c>
      <c r="C41" s="10">
        <v>189</v>
      </c>
      <c r="D41" s="10">
        <v>5</v>
      </c>
      <c r="E41" s="10">
        <v>1470</v>
      </c>
      <c r="F41" s="10">
        <v>78816986.72318776</v>
      </c>
      <c r="G41" s="10">
        <v>2499</v>
      </c>
      <c r="H41" s="10">
        <v>456</v>
      </c>
      <c r="I41" s="10">
        <v>5</v>
      </c>
      <c r="J41" s="10">
        <v>1722</v>
      </c>
      <c r="K41" s="10">
        <v>76764831.003848657</v>
      </c>
    </row>
    <row r="42" spans="1:11" x14ac:dyDescent="0.35">
      <c r="A42" s="9" t="s">
        <v>14</v>
      </c>
      <c r="B42" s="10">
        <v>587</v>
      </c>
      <c r="C42" s="10">
        <v>2</v>
      </c>
      <c r="D42" s="10">
        <v>6</v>
      </c>
      <c r="E42" s="10">
        <v>466</v>
      </c>
      <c r="F42" s="10">
        <v>28573590.397733632</v>
      </c>
      <c r="G42" s="10">
        <v>528</v>
      </c>
      <c r="H42" s="10">
        <v>1</v>
      </c>
      <c r="I42" s="10">
        <v>7</v>
      </c>
      <c r="J42" s="10">
        <v>469</v>
      </c>
      <c r="K42" s="10">
        <v>29060184.338664137</v>
      </c>
    </row>
    <row r="43" spans="1:11" x14ac:dyDescent="0.35">
      <c r="A43" s="9" t="s">
        <v>8</v>
      </c>
      <c r="B43" s="10">
        <v>2097</v>
      </c>
      <c r="C43" s="10">
        <v>9</v>
      </c>
      <c r="D43" s="10">
        <v>6</v>
      </c>
      <c r="E43" s="10">
        <v>1838</v>
      </c>
      <c r="F43" s="10">
        <v>92092569.901687533</v>
      </c>
      <c r="G43" s="10">
        <v>2377</v>
      </c>
      <c r="H43" s="10">
        <v>6</v>
      </c>
      <c r="I43" s="10">
        <v>5</v>
      </c>
      <c r="J43" s="10">
        <v>2107</v>
      </c>
      <c r="K43" s="10">
        <v>91156671.713245004</v>
      </c>
    </row>
    <row r="44" spans="1:11" x14ac:dyDescent="0.35">
      <c r="A44" s="9" t="s">
        <v>39</v>
      </c>
      <c r="B44" s="10">
        <v>914</v>
      </c>
      <c r="C44" s="10">
        <v>13</v>
      </c>
      <c r="D44" s="10">
        <v>4</v>
      </c>
      <c r="E44" s="10">
        <v>895</v>
      </c>
      <c r="F44" s="10">
        <v>63894898.310171552</v>
      </c>
      <c r="G44" s="10">
        <v>997</v>
      </c>
      <c r="H44" s="10">
        <v>5</v>
      </c>
      <c r="I44" s="10">
        <v>4</v>
      </c>
      <c r="J44" s="10">
        <v>828</v>
      </c>
      <c r="K44" s="10">
        <v>67781854.097355142</v>
      </c>
    </row>
    <row r="45" spans="1:11" x14ac:dyDescent="0.35">
      <c r="A45" s="9" t="s">
        <v>6</v>
      </c>
      <c r="B45" s="10">
        <v>1074</v>
      </c>
      <c r="C45" s="10">
        <v>9</v>
      </c>
      <c r="D45" s="10">
        <v>4</v>
      </c>
      <c r="E45" s="10">
        <v>1226</v>
      </c>
      <c r="F45" s="10">
        <v>39554413.499901369</v>
      </c>
      <c r="G45" s="10">
        <v>1176</v>
      </c>
      <c r="H45" s="10">
        <v>4</v>
      </c>
      <c r="I45" s="10">
        <v>3</v>
      </c>
      <c r="J45" s="10">
        <v>1002</v>
      </c>
      <c r="K45" s="10">
        <v>49011605.276368476</v>
      </c>
    </row>
    <row r="46" spans="1:11" x14ac:dyDescent="0.35">
      <c r="A46" s="9" t="s">
        <v>41</v>
      </c>
      <c r="B46" s="10">
        <v>808</v>
      </c>
      <c r="C46" s="10">
        <v>10</v>
      </c>
      <c r="D46" s="10">
        <v>4</v>
      </c>
      <c r="E46" s="10">
        <v>655</v>
      </c>
      <c r="F46" s="10">
        <v>47730123.021943264</v>
      </c>
      <c r="G46" s="10">
        <v>753</v>
      </c>
      <c r="H46" s="10">
        <v>4</v>
      </c>
      <c r="I46" s="10">
        <v>5</v>
      </c>
      <c r="J46" s="10">
        <v>644</v>
      </c>
      <c r="K46" s="10">
        <v>50196884.185033575</v>
      </c>
    </row>
    <row r="47" spans="1:11" x14ac:dyDescent="0.35">
      <c r="A47" s="9" t="s">
        <v>158</v>
      </c>
      <c r="B47" s="10">
        <v>728</v>
      </c>
      <c r="C47" s="10">
        <v>4</v>
      </c>
      <c r="D47" s="10">
        <v>10</v>
      </c>
      <c r="E47" s="10">
        <v>569</v>
      </c>
      <c r="F47" s="10">
        <v>30131641.281054646</v>
      </c>
      <c r="G47" s="10">
        <v>803</v>
      </c>
      <c r="H47" s="10">
        <v>2</v>
      </c>
      <c r="I47" s="10">
        <v>9</v>
      </c>
      <c r="J47" s="10">
        <v>741</v>
      </c>
      <c r="K47" s="10">
        <v>29643150.539705977</v>
      </c>
    </row>
    <row r="48" spans="1:11" x14ac:dyDescent="0.35">
      <c r="A48" s="9" t="s">
        <v>160</v>
      </c>
      <c r="B48" s="10">
        <v>706</v>
      </c>
      <c r="C48" s="10">
        <v>3</v>
      </c>
      <c r="D48" s="10">
        <v>1</v>
      </c>
      <c r="E48" s="10">
        <v>743</v>
      </c>
      <c r="F48" s="10">
        <v>26011342.396253262</v>
      </c>
      <c r="G48" s="10">
        <v>804</v>
      </c>
      <c r="H48" s="10">
        <v>2</v>
      </c>
      <c r="I48" s="10">
        <v>2</v>
      </c>
      <c r="J48" s="10">
        <v>785</v>
      </c>
      <c r="K48" s="10">
        <v>27993593.494099315</v>
      </c>
    </row>
    <row r="49" spans="1:11" x14ac:dyDescent="0.35">
      <c r="A49" s="9" t="s">
        <v>83</v>
      </c>
      <c r="B49" s="10">
        <v>1257</v>
      </c>
      <c r="C49" s="10">
        <v>9</v>
      </c>
      <c r="D49" s="10">
        <v>5</v>
      </c>
      <c r="E49" s="10">
        <v>1073</v>
      </c>
      <c r="F49" s="10">
        <v>85887485.809277371</v>
      </c>
      <c r="G49" s="10">
        <v>1161</v>
      </c>
      <c r="H49" s="10">
        <v>9</v>
      </c>
      <c r="I49" s="10">
        <v>6</v>
      </c>
      <c r="J49" s="10">
        <v>1043</v>
      </c>
      <c r="K49" s="10">
        <v>88484110.258821398</v>
      </c>
    </row>
    <row r="50" spans="1:11" x14ac:dyDescent="0.35">
      <c r="A50" s="9" t="s">
        <v>201</v>
      </c>
      <c r="B50" s="10">
        <v>441</v>
      </c>
      <c r="C50" s="10">
        <v>1</v>
      </c>
      <c r="D50" s="10">
        <v>1</v>
      </c>
      <c r="E50" s="10">
        <v>499</v>
      </c>
      <c r="F50" s="10">
        <v>14096104.034786068</v>
      </c>
      <c r="G50" s="10">
        <v>459</v>
      </c>
      <c r="H50" s="10">
        <v>1</v>
      </c>
      <c r="I50" s="10">
        <v>1</v>
      </c>
      <c r="J50" s="10">
        <v>449</v>
      </c>
      <c r="K50" s="10">
        <v>13959945.669458948</v>
      </c>
    </row>
    <row r="51" spans="1:11" x14ac:dyDescent="0.35">
      <c r="A51" s="9" t="s">
        <v>31</v>
      </c>
      <c r="B51" s="10">
        <v>921</v>
      </c>
      <c r="C51" s="10">
        <v>5</v>
      </c>
      <c r="D51" s="10">
        <v>6</v>
      </c>
      <c r="E51" s="10">
        <v>960</v>
      </c>
      <c r="F51" s="10">
        <v>39285996.515103869</v>
      </c>
      <c r="G51" s="10">
        <v>257</v>
      </c>
      <c r="H51" s="10">
        <v>3</v>
      </c>
      <c r="I51" s="10">
        <v>4</v>
      </c>
      <c r="J51" s="10">
        <v>32</v>
      </c>
      <c r="K51" s="10">
        <v>34703872.427040502</v>
      </c>
    </row>
    <row r="52" spans="1:11" x14ac:dyDescent="0.35">
      <c r="A52" s="9" t="s">
        <v>33</v>
      </c>
      <c r="B52" s="10">
        <v>1408</v>
      </c>
      <c r="C52" s="10">
        <v>6</v>
      </c>
      <c r="D52" s="10">
        <v>12</v>
      </c>
      <c r="E52" s="10">
        <v>1020</v>
      </c>
      <c r="F52" s="10">
        <v>70346699.472327009</v>
      </c>
      <c r="G52" s="10">
        <v>1886</v>
      </c>
      <c r="H52" s="10">
        <v>5</v>
      </c>
      <c r="I52" s="10">
        <v>11</v>
      </c>
      <c r="J52" s="10">
        <v>1493</v>
      </c>
      <c r="K52" s="10">
        <v>73582484.606486171</v>
      </c>
    </row>
    <row r="53" spans="1:11" x14ac:dyDescent="0.35">
      <c r="A53" s="9" t="s">
        <v>85</v>
      </c>
      <c r="B53" s="10">
        <v>472</v>
      </c>
      <c r="C53" s="10">
        <v>4</v>
      </c>
      <c r="D53" s="10">
        <v>6</v>
      </c>
      <c r="E53" s="10">
        <v>391</v>
      </c>
      <c r="F53" s="10">
        <v>35600114.158709727</v>
      </c>
      <c r="G53" s="10">
        <v>500</v>
      </c>
      <c r="H53" s="10">
        <v>5</v>
      </c>
      <c r="I53" s="10">
        <v>6</v>
      </c>
      <c r="J53" s="10">
        <v>419</v>
      </c>
      <c r="K53" s="10">
        <v>35357182.548210919</v>
      </c>
    </row>
    <row r="54" spans="1:11" x14ac:dyDescent="0.35">
      <c r="A54" s="9" t="s">
        <v>81</v>
      </c>
      <c r="B54" s="10">
        <v>469</v>
      </c>
      <c r="C54" s="10">
        <v>4</v>
      </c>
      <c r="D54" s="10">
        <v>4</v>
      </c>
      <c r="E54" s="10">
        <v>322</v>
      </c>
      <c r="F54" s="10">
        <v>26832254.016702946</v>
      </c>
      <c r="G54" s="10">
        <v>393</v>
      </c>
      <c r="H54" s="10">
        <v>3</v>
      </c>
      <c r="I54" s="10">
        <v>3</v>
      </c>
      <c r="J54" s="10">
        <v>309</v>
      </c>
      <c r="K54" s="10">
        <v>28079825.989185583</v>
      </c>
    </row>
    <row r="55" spans="1:11" x14ac:dyDescent="0.35">
      <c r="A55" s="9" t="s">
        <v>87</v>
      </c>
      <c r="B55" s="10">
        <v>399</v>
      </c>
      <c r="C55" s="10">
        <v>3</v>
      </c>
      <c r="D55" s="10">
        <v>3</v>
      </c>
      <c r="E55" s="10">
        <v>349</v>
      </c>
      <c r="F55" s="10">
        <v>23711331.283565305</v>
      </c>
      <c r="G55" s="10">
        <v>370</v>
      </c>
      <c r="H55" s="10">
        <v>1</v>
      </c>
      <c r="I55" s="10">
        <v>1</v>
      </c>
      <c r="J55" s="10">
        <v>313</v>
      </c>
      <c r="K55" s="10">
        <v>13715705.493847707</v>
      </c>
    </row>
    <row r="56" spans="1:11" x14ac:dyDescent="0.35">
      <c r="A56" s="9" t="s">
        <v>166</v>
      </c>
      <c r="B56" s="10">
        <v>1080</v>
      </c>
      <c r="C56" s="10">
        <v>9</v>
      </c>
      <c r="D56" s="10">
        <v>1</v>
      </c>
      <c r="E56" s="10">
        <v>978</v>
      </c>
      <c r="F56" s="10">
        <v>54081495.691434406</v>
      </c>
      <c r="G56" s="10">
        <v>1008</v>
      </c>
      <c r="H56" s="10">
        <v>6</v>
      </c>
      <c r="I56" s="10">
        <v>0</v>
      </c>
      <c r="J56" s="10">
        <v>978</v>
      </c>
      <c r="K56" s="10">
        <v>58477143.711345583</v>
      </c>
    </row>
    <row r="57" spans="1:11" x14ac:dyDescent="0.35">
      <c r="A57" s="9" t="s">
        <v>93</v>
      </c>
      <c r="B57" s="10">
        <v>966</v>
      </c>
      <c r="C57" s="10">
        <v>7</v>
      </c>
      <c r="D57" s="10">
        <v>1</v>
      </c>
      <c r="E57" s="10">
        <v>5</v>
      </c>
      <c r="F57" s="10">
        <v>47494768.883171692</v>
      </c>
      <c r="G57" s="10">
        <v>1724</v>
      </c>
      <c r="H57" s="10">
        <v>20</v>
      </c>
      <c r="I57" s="10">
        <v>3</v>
      </c>
      <c r="J57" s="10">
        <v>1339</v>
      </c>
      <c r="K57" s="10">
        <v>65413008.19433181</v>
      </c>
    </row>
    <row r="58" spans="1:11" x14ac:dyDescent="0.35">
      <c r="A58" s="9" t="s">
        <v>95</v>
      </c>
      <c r="B58" s="10">
        <v>2047</v>
      </c>
      <c r="C58" s="10">
        <v>15</v>
      </c>
      <c r="D58" s="10">
        <v>8</v>
      </c>
      <c r="E58" s="10">
        <v>2201</v>
      </c>
      <c r="F58" s="10">
        <v>107442078.89494748</v>
      </c>
      <c r="G58" s="10">
        <v>791</v>
      </c>
      <c r="H58" s="10">
        <v>24</v>
      </c>
      <c r="I58" s="10">
        <v>8</v>
      </c>
      <c r="J58" s="10">
        <v>834</v>
      </c>
      <c r="K58" s="10">
        <v>94213765.127129599</v>
      </c>
    </row>
    <row r="59" spans="1:11" x14ac:dyDescent="0.35">
      <c r="A59" s="9" t="s">
        <v>174</v>
      </c>
      <c r="B59" s="10">
        <v>647</v>
      </c>
      <c r="C59" s="10">
        <v>5</v>
      </c>
      <c r="D59" s="10">
        <v>0</v>
      </c>
      <c r="E59" s="10">
        <v>592</v>
      </c>
      <c r="F59" s="10">
        <v>25722026.293637175</v>
      </c>
      <c r="G59" s="10">
        <v>542</v>
      </c>
      <c r="H59" s="10">
        <v>2</v>
      </c>
      <c r="I59" s="10">
        <v>0</v>
      </c>
      <c r="J59" s="10">
        <v>514</v>
      </c>
      <c r="K59" s="10">
        <v>27464620.815385938</v>
      </c>
    </row>
    <row r="60" spans="1:11" x14ac:dyDescent="0.35">
      <c r="A60" s="9" t="s">
        <v>99</v>
      </c>
      <c r="B60" s="10">
        <v>894</v>
      </c>
      <c r="C60" s="10">
        <v>9</v>
      </c>
      <c r="D60" s="10">
        <v>5</v>
      </c>
      <c r="E60" s="10">
        <v>764</v>
      </c>
      <c r="F60" s="10">
        <v>45113290.473806947</v>
      </c>
      <c r="G60" s="10">
        <v>1031</v>
      </c>
      <c r="H60" s="10">
        <v>16</v>
      </c>
      <c r="I60" s="10">
        <v>6</v>
      </c>
      <c r="J60" s="10">
        <v>877</v>
      </c>
      <c r="K60" s="10">
        <v>51107442.156389378</v>
      </c>
    </row>
    <row r="61" spans="1:11" x14ac:dyDescent="0.35">
      <c r="A61" s="9" t="s">
        <v>172</v>
      </c>
      <c r="B61" s="10">
        <v>689</v>
      </c>
      <c r="C61" s="10">
        <v>4</v>
      </c>
      <c r="D61" s="10">
        <v>1</v>
      </c>
      <c r="E61" s="10">
        <v>636</v>
      </c>
      <c r="F61" s="10">
        <v>27852623.798746757</v>
      </c>
      <c r="G61" s="10">
        <v>699</v>
      </c>
      <c r="H61" s="10">
        <v>2</v>
      </c>
      <c r="I61" s="10">
        <v>0</v>
      </c>
      <c r="J61" s="10">
        <v>604</v>
      </c>
      <c r="K61" s="10">
        <v>25913918.368353501</v>
      </c>
    </row>
    <row r="62" spans="1:11" x14ac:dyDescent="0.35">
      <c r="A62" s="9" t="s">
        <v>168</v>
      </c>
      <c r="B62" s="10">
        <v>1086</v>
      </c>
      <c r="C62" s="10">
        <v>6</v>
      </c>
      <c r="D62" s="10">
        <v>1</v>
      </c>
      <c r="E62" s="10">
        <v>1036</v>
      </c>
      <c r="F62" s="10">
        <v>57075034.557877101</v>
      </c>
      <c r="G62" s="10">
        <v>1256</v>
      </c>
      <c r="H62" s="10">
        <v>7</v>
      </c>
      <c r="I62" s="10">
        <v>1</v>
      </c>
      <c r="J62" s="10">
        <v>1221</v>
      </c>
      <c r="K62" s="10">
        <v>63379129.961506978</v>
      </c>
    </row>
    <row r="63" spans="1:11" x14ac:dyDescent="0.35">
      <c r="A63" s="9" t="s">
        <v>101</v>
      </c>
      <c r="B63" s="10">
        <v>1561</v>
      </c>
      <c r="C63" s="10">
        <v>13</v>
      </c>
      <c r="D63" s="10">
        <v>4</v>
      </c>
      <c r="E63" s="10">
        <v>1518</v>
      </c>
      <c r="F63" s="10">
        <v>72898966.736406222</v>
      </c>
      <c r="G63" s="10">
        <v>1925</v>
      </c>
      <c r="H63" s="10">
        <v>21</v>
      </c>
      <c r="I63" s="10">
        <v>5</v>
      </c>
      <c r="J63" s="10">
        <v>1809</v>
      </c>
      <c r="K63" s="10">
        <v>86731681.299029395</v>
      </c>
    </row>
    <row r="64" spans="1:11" x14ac:dyDescent="0.35">
      <c r="A64" s="9" t="s">
        <v>103</v>
      </c>
      <c r="B64" s="10">
        <v>769</v>
      </c>
      <c r="C64" s="10">
        <v>4</v>
      </c>
      <c r="D64" s="10">
        <v>4</v>
      </c>
      <c r="E64" s="10">
        <v>718</v>
      </c>
      <c r="F64" s="10">
        <v>38478263.1943608</v>
      </c>
      <c r="G64" s="10">
        <v>579</v>
      </c>
      <c r="H64" s="10">
        <v>6</v>
      </c>
      <c r="I64" s="10">
        <v>5</v>
      </c>
      <c r="J64" s="10">
        <v>566</v>
      </c>
      <c r="K64" s="10">
        <v>34623361.454532482</v>
      </c>
    </row>
    <row r="65" spans="1:11" x14ac:dyDescent="0.35">
      <c r="A65" s="9" t="s">
        <v>105</v>
      </c>
      <c r="B65" s="10">
        <v>634</v>
      </c>
      <c r="C65" s="10">
        <v>12</v>
      </c>
      <c r="D65" s="10">
        <v>6</v>
      </c>
      <c r="E65" s="10">
        <v>480</v>
      </c>
      <c r="F65" s="10">
        <v>43173056.422463171</v>
      </c>
      <c r="G65" s="10">
        <v>721</v>
      </c>
      <c r="H65" s="10">
        <v>8</v>
      </c>
      <c r="I65" s="10">
        <v>7</v>
      </c>
      <c r="J65" s="10">
        <v>567</v>
      </c>
      <c r="K65" s="10">
        <v>45626185.431466334</v>
      </c>
    </row>
    <row r="66" spans="1:11" x14ac:dyDescent="0.35">
      <c r="A66" s="9" t="s">
        <v>24</v>
      </c>
      <c r="B66" s="10">
        <v>2001</v>
      </c>
      <c r="C66" s="10">
        <v>18</v>
      </c>
      <c r="D66" s="10">
        <v>11</v>
      </c>
      <c r="E66" s="10">
        <v>1607</v>
      </c>
      <c r="F66" s="10">
        <v>138533405.99414027</v>
      </c>
      <c r="G66" s="10">
        <v>2454</v>
      </c>
      <c r="H66" s="10">
        <v>23</v>
      </c>
      <c r="I66" s="10">
        <v>11</v>
      </c>
      <c r="J66" s="10">
        <v>2221</v>
      </c>
      <c r="K66" s="10">
        <v>141467150.01683834</v>
      </c>
    </row>
    <row r="67" spans="1:11" x14ac:dyDescent="0.35">
      <c r="A67" s="9" t="s">
        <v>27</v>
      </c>
      <c r="B67" s="10">
        <v>1578</v>
      </c>
      <c r="C67" s="10">
        <v>26</v>
      </c>
      <c r="D67" s="10">
        <v>6</v>
      </c>
      <c r="E67" s="10">
        <v>1248</v>
      </c>
      <c r="F67" s="10">
        <v>105671414.12842371</v>
      </c>
      <c r="G67" s="10">
        <v>1743</v>
      </c>
      <c r="H67" s="10">
        <v>24</v>
      </c>
      <c r="I67" s="10">
        <v>7</v>
      </c>
      <c r="J67" s="10">
        <v>1312</v>
      </c>
      <c r="K67" s="10">
        <v>102936074.38603182</v>
      </c>
    </row>
    <row r="68" spans="1:11" x14ac:dyDescent="0.35">
      <c r="A68" s="9" t="s">
        <v>29</v>
      </c>
      <c r="B68" s="10">
        <v>913</v>
      </c>
      <c r="C68" s="10">
        <v>11</v>
      </c>
      <c r="D68" s="10">
        <v>1</v>
      </c>
      <c r="E68" s="10">
        <v>720</v>
      </c>
      <c r="F68" s="10">
        <v>67856035.530987367</v>
      </c>
      <c r="G68" s="10">
        <v>918</v>
      </c>
      <c r="H68" s="10">
        <v>3</v>
      </c>
      <c r="I68" s="10">
        <v>1</v>
      </c>
      <c r="J68" s="10">
        <v>758</v>
      </c>
      <c r="K68" s="10">
        <v>66881238.215796046</v>
      </c>
    </row>
    <row r="69" spans="1:11" x14ac:dyDescent="0.35">
      <c r="A69" s="9" t="s">
        <v>57</v>
      </c>
      <c r="B69" s="10">
        <v>2284</v>
      </c>
      <c r="C69" s="10">
        <v>628</v>
      </c>
      <c r="D69" s="10">
        <v>12</v>
      </c>
      <c r="E69" s="10">
        <v>1279</v>
      </c>
      <c r="F69" s="10">
        <v>97531248.874290913</v>
      </c>
      <c r="G69" s="10">
        <v>2392</v>
      </c>
      <c r="H69" s="10">
        <v>860</v>
      </c>
      <c r="I69" s="10">
        <v>13</v>
      </c>
      <c r="J69" s="10">
        <v>1415</v>
      </c>
      <c r="K69" s="10">
        <v>94660534.547770843</v>
      </c>
    </row>
    <row r="70" spans="1:11" x14ac:dyDescent="0.35">
      <c r="A70" s="9" t="s">
        <v>137</v>
      </c>
      <c r="B70" s="10">
        <v>235</v>
      </c>
      <c r="C70" s="10">
        <v>1</v>
      </c>
      <c r="D70" s="10">
        <v>1</v>
      </c>
      <c r="E70" s="10">
        <v>270</v>
      </c>
      <c r="F70" s="10">
        <v>4867666.7183469692</v>
      </c>
      <c r="G70" s="10">
        <v>242</v>
      </c>
      <c r="H70" s="10">
        <v>3</v>
      </c>
      <c r="I70" s="10">
        <v>0</v>
      </c>
      <c r="J70" s="10">
        <v>236</v>
      </c>
      <c r="K70" s="10">
        <v>7204185.3683837065</v>
      </c>
    </row>
    <row r="71" spans="1:11" x14ac:dyDescent="0.35">
      <c r="A71" s="9" t="s">
        <v>10</v>
      </c>
      <c r="B71" s="10">
        <v>1605</v>
      </c>
      <c r="C71" s="10">
        <v>16</v>
      </c>
      <c r="D71" s="10">
        <v>6</v>
      </c>
      <c r="E71" s="10">
        <v>1468</v>
      </c>
      <c r="F71" s="10">
        <v>70821893.712173209</v>
      </c>
      <c r="G71" s="10">
        <v>1672</v>
      </c>
      <c r="H71" s="10">
        <v>10</v>
      </c>
      <c r="I71" s="10">
        <v>8</v>
      </c>
      <c r="J71" s="10">
        <v>1460</v>
      </c>
      <c r="K71" s="10">
        <v>69382109.610508487</v>
      </c>
    </row>
    <row r="72" spans="1:11" x14ac:dyDescent="0.35">
      <c r="A72" s="9" t="s">
        <v>12</v>
      </c>
      <c r="B72" s="10">
        <v>791</v>
      </c>
      <c r="C72" s="10">
        <v>5</v>
      </c>
      <c r="D72" s="10">
        <v>3</v>
      </c>
      <c r="E72" s="10">
        <v>599</v>
      </c>
      <c r="F72" s="10">
        <v>33220850.488435581</v>
      </c>
      <c r="G72" s="10">
        <v>686</v>
      </c>
      <c r="H72" s="10">
        <v>3</v>
      </c>
      <c r="I72" s="10">
        <v>4</v>
      </c>
      <c r="J72" s="10">
        <v>479</v>
      </c>
      <c r="K72" s="10">
        <v>30165597.612584047</v>
      </c>
    </row>
    <row r="73" spans="1:11" x14ac:dyDescent="0.35">
      <c r="A73" s="9" t="s">
        <v>162</v>
      </c>
      <c r="B73" s="10">
        <v>1313</v>
      </c>
      <c r="C73" s="10">
        <v>77</v>
      </c>
      <c r="D73" s="10">
        <v>5</v>
      </c>
      <c r="E73" s="10">
        <v>858</v>
      </c>
      <c r="F73" s="10">
        <v>52104280.261570528</v>
      </c>
      <c r="G73" s="10">
        <v>1304</v>
      </c>
      <c r="H73" s="10">
        <v>67</v>
      </c>
      <c r="I73" s="10">
        <v>5</v>
      </c>
      <c r="J73" s="10">
        <v>1049</v>
      </c>
      <c r="K73" s="10">
        <v>54298019.09022814</v>
      </c>
    </row>
    <row r="74" spans="1:11" x14ac:dyDescent="0.35">
      <c r="A74" s="9" t="s">
        <v>63</v>
      </c>
      <c r="B74" s="10">
        <v>1256</v>
      </c>
      <c r="C74" s="10">
        <v>13</v>
      </c>
      <c r="D74" s="10">
        <v>5</v>
      </c>
      <c r="E74" s="10">
        <v>1329</v>
      </c>
      <c r="F74" s="10">
        <v>36001066.3943097</v>
      </c>
      <c r="G74" s="10">
        <v>1550</v>
      </c>
      <c r="H74" s="10">
        <v>10</v>
      </c>
      <c r="I74" s="10">
        <v>4</v>
      </c>
      <c r="J74" s="10">
        <v>1387</v>
      </c>
      <c r="K74" s="10">
        <v>39201720.118727177</v>
      </c>
    </row>
    <row r="75" spans="1:11" x14ac:dyDescent="0.35">
      <c r="A75" s="9" t="s">
        <v>59</v>
      </c>
      <c r="B75" s="10">
        <v>1724</v>
      </c>
      <c r="C75" s="10">
        <v>15</v>
      </c>
      <c r="D75" s="10">
        <v>5</v>
      </c>
      <c r="E75" s="10">
        <v>1225</v>
      </c>
      <c r="F75" s="10">
        <v>90364563.051575661</v>
      </c>
      <c r="G75" s="10">
        <v>1511</v>
      </c>
      <c r="H75" s="10">
        <v>18</v>
      </c>
      <c r="I75" s="10">
        <v>8</v>
      </c>
      <c r="J75" s="10">
        <v>1263</v>
      </c>
      <c r="K75" s="10">
        <v>89244937.366563186</v>
      </c>
    </row>
    <row r="76" spans="1:11" x14ac:dyDescent="0.35">
      <c r="A76" s="9" t="s">
        <v>139</v>
      </c>
      <c r="B76" s="10">
        <v>513</v>
      </c>
      <c r="C76" s="10">
        <v>2</v>
      </c>
      <c r="D76" s="10">
        <v>1</v>
      </c>
      <c r="E76" s="10">
        <v>420</v>
      </c>
      <c r="F76" s="10">
        <v>18393448.825196031</v>
      </c>
      <c r="G76" s="10">
        <v>514</v>
      </c>
      <c r="H76" s="10">
        <v>6</v>
      </c>
      <c r="I76" s="10">
        <v>2</v>
      </c>
      <c r="J76" s="10">
        <v>482</v>
      </c>
      <c r="K76" s="10">
        <v>16815302.239450157</v>
      </c>
    </row>
    <row r="77" spans="1:11" x14ac:dyDescent="0.35">
      <c r="A77" s="9" t="s">
        <v>170</v>
      </c>
      <c r="B77" s="10">
        <v>880</v>
      </c>
      <c r="C77" s="10">
        <v>7</v>
      </c>
      <c r="D77" s="10">
        <v>1</v>
      </c>
      <c r="E77" s="10">
        <v>795</v>
      </c>
      <c r="F77" s="10">
        <v>29148494.828865379</v>
      </c>
      <c r="G77" s="10">
        <v>798</v>
      </c>
      <c r="H77" s="10">
        <v>3</v>
      </c>
      <c r="I77" s="10">
        <v>0</v>
      </c>
      <c r="J77" s="10">
        <v>758</v>
      </c>
      <c r="K77" s="10">
        <v>33347093.249850258</v>
      </c>
    </row>
    <row r="78" spans="1:11" x14ac:dyDescent="0.35">
      <c r="A78" s="9" t="s">
        <v>61</v>
      </c>
      <c r="B78" s="10">
        <v>636</v>
      </c>
      <c r="C78" s="10">
        <v>2</v>
      </c>
      <c r="D78" s="10">
        <v>3</v>
      </c>
      <c r="E78" s="10">
        <v>487</v>
      </c>
      <c r="F78" s="10">
        <v>29260899.852548081</v>
      </c>
      <c r="G78" s="10">
        <v>643</v>
      </c>
      <c r="H78" s="10">
        <v>2</v>
      </c>
      <c r="I78" s="10">
        <v>3</v>
      </c>
      <c r="J78" s="10">
        <v>537</v>
      </c>
      <c r="K78" s="10">
        <v>31332614.160576895</v>
      </c>
    </row>
    <row r="79" spans="1:11" x14ac:dyDescent="0.35">
      <c r="A79" s="9" t="s">
        <v>129</v>
      </c>
      <c r="B79" s="10">
        <v>586</v>
      </c>
      <c r="C79" s="10">
        <v>6</v>
      </c>
      <c r="D79" s="10">
        <v>1</v>
      </c>
      <c r="E79" s="10">
        <v>532</v>
      </c>
      <c r="F79" s="10">
        <v>19545986.868227668</v>
      </c>
      <c r="G79" s="10">
        <v>780</v>
      </c>
      <c r="H79" s="10">
        <v>16</v>
      </c>
      <c r="I79" s="10">
        <v>1</v>
      </c>
      <c r="J79" s="10">
        <v>732</v>
      </c>
      <c r="K79" s="10">
        <v>21868841.492961925</v>
      </c>
    </row>
    <row r="80" spans="1:11" x14ac:dyDescent="0.35">
      <c r="A80" s="9" t="s">
        <v>35</v>
      </c>
      <c r="B80" s="10">
        <v>445</v>
      </c>
      <c r="C80" s="10">
        <v>2</v>
      </c>
      <c r="D80" s="10">
        <v>7</v>
      </c>
      <c r="E80" s="10">
        <v>449</v>
      </c>
      <c r="F80" s="10">
        <v>23936951.878973376</v>
      </c>
      <c r="G80" s="10">
        <v>555</v>
      </c>
      <c r="H80" s="10">
        <v>4</v>
      </c>
      <c r="I80" s="10">
        <v>8</v>
      </c>
      <c r="J80" s="10">
        <v>519</v>
      </c>
      <c r="K80" s="10">
        <v>22079744.901823461</v>
      </c>
    </row>
    <row r="81" spans="1:11" x14ac:dyDescent="0.35">
      <c r="A81" s="9" t="s">
        <v>107</v>
      </c>
      <c r="B81" s="10">
        <v>912</v>
      </c>
      <c r="C81" s="10">
        <v>10</v>
      </c>
      <c r="D81" s="10">
        <v>3</v>
      </c>
      <c r="E81" s="10">
        <v>761</v>
      </c>
      <c r="F81" s="10">
        <v>61298213.640356615</v>
      </c>
      <c r="G81" s="10">
        <v>117</v>
      </c>
      <c r="H81" s="10">
        <v>10</v>
      </c>
      <c r="I81" s="10">
        <v>2</v>
      </c>
      <c r="J81" s="10">
        <v>3</v>
      </c>
      <c r="K81" s="10">
        <v>44575233.147913694</v>
      </c>
    </row>
    <row r="82" spans="1:11" x14ac:dyDescent="0.35">
      <c r="A82" s="9" t="s">
        <v>37</v>
      </c>
      <c r="B82" s="10">
        <v>777</v>
      </c>
      <c r="C82" s="10">
        <v>5</v>
      </c>
      <c r="D82" s="10">
        <v>9</v>
      </c>
      <c r="E82" s="10">
        <v>727</v>
      </c>
      <c r="F82" s="10">
        <v>36962652.002651915</v>
      </c>
      <c r="G82" s="10">
        <v>837</v>
      </c>
      <c r="H82" s="10">
        <v>1</v>
      </c>
      <c r="I82" s="10">
        <v>9</v>
      </c>
      <c r="J82" s="10">
        <v>763</v>
      </c>
      <c r="K82" s="10">
        <v>37373649.119365625</v>
      </c>
    </row>
    <row r="83" spans="1:11" x14ac:dyDescent="0.35">
      <c r="A83" s="9" t="s">
        <v>76</v>
      </c>
      <c r="B83" s="10">
        <v>938</v>
      </c>
      <c r="C83" s="10">
        <v>5</v>
      </c>
      <c r="D83" s="10">
        <v>2</v>
      </c>
      <c r="E83" s="10">
        <v>904</v>
      </c>
      <c r="F83" s="10">
        <v>32377972.396625906</v>
      </c>
      <c r="G83" s="10">
        <v>1010</v>
      </c>
      <c r="H83" s="10">
        <v>5</v>
      </c>
      <c r="I83" s="10">
        <v>1</v>
      </c>
      <c r="J83" s="10">
        <v>857</v>
      </c>
      <c r="K83" s="10">
        <v>30895232.573822569</v>
      </c>
    </row>
    <row r="84" spans="1:11" x14ac:dyDescent="0.35">
      <c r="A84" s="9" t="s">
        <v>65</v>
      </c>
      <c r="B84" s="10">
        <v>936</v>
      </c>
      <c r="C84" s="10">
        <v>3</v>
      </c>
      <c r="D84" s="10">
        <v>5</v>
      </c>
      <c r="E84" s="10">
        <v>876</v>
      </c>
      <c r="F84" s="10">
        <v>34467667.721665762</v>
      </c>
      <c r="G84" s="10">
        <v>925</v>
      </c>
      <c r="H84" s="10">
        <v>6</v>
      </c>
      <c r="I84" s="10">
        <v>4</v>
      </c>
      <c r="J84" s="10">
        <v>845</v>
      </c>
      <c r="K84" s="10">
        <v>37089330.108802304</v>
      </c>
    </row>
    <row r="85" spans="1:11" x14ac:dyDescent="0.35">
      <c r="A85" s="9" t="s">
        <v>89</v>
      </c>
      <c r="B85" s="10">
        <v>751</v>
      </c>
      <c r="C85" s="10">
        <v>3</v>
      </c>
      <c r="D85" s="10">
        <v>6</v>
      </c>
      <c r="E85" s="10">
        <v>764</v>
      </c>
      <c r="F85" s="10">
        <v>42984230.638440803</v>
      </c>
      <c r="G85" s="10">
        <v>885</v>
      </c>
      <c r="H85" s="10">
        <v>5</v>
      </c>
      <c r="I85" s="10">
        <v>7</v>
      </c>
      <c r="J85" s="10">
        <v>878</v>
      </c>
      <c r="K85" s="10">
        <v>45313975.1462854</v>
      </c>
    </row>
    <row r="86" spans="1:11" x14ac:dyDescent="0.35">
      <c r="A86" s="9" t="s">
        <v>147</v>
      </c>
      <c r="B86" s="10">
        <v>590</v>
      </c>
      <c r="C86" s="10">
        <v>5</v>
      </c>
      <c r="D86" s="10">
        <v>1</v>
      </c>
      <c r="E86" s="10">
        <v>612</v>
      </c>
      <c r="F86" s="10">
        <v>19204313.479982417</v>
      </c>
      <c r="G86" s="10">
        <v>619</v>
      </c>
      <c r="H86" s="10">
        <v>5</v>
      </c>
      <c r="I86" s="10">
        <v>1</v>
      </c>
      <c r="J86" s="10">
        <v>572</v>
      </c>
      <c r="K86" s="10">
        <v>17935573.082301974</v>
      </c>
    </row>
    <row r="87" spans="1:11" x14ac:dyDescent="0.35">
      <c r="A87" s="9" t="s">
        <v>164</v>
      </c>
      <c r="B87" s="10">
        <v>1762</v>
      </c>
      <c r="C87" s="10">
        <v>13</v>
      </c>
      <c r="D87" s="10">
        <v>10</v>
      </c>
      <c r="E87" s="10">
        <v>1353</v>
      </c>
      <c r="F87" s="10">
        <v>82877424.109357581</v>
      </c>
      <c r="G87" s="10">
        <v>1377</v>
      </c>
      <c r="H87" s="10">
        <v>2</v>
      </c>
      <c r="I87" s="10">
        <v>9</v>
      </c>
      <c r="J87" s="10">
        <v>1126</v>
      </c>
      <c r="K87" s="10">
        <v>92585873.106809899</v>
      </c>
    </row>
    <row r="88" spans="1:11" x14ac:dyDescent="0.35">
      <c r="A88" s="9" t="s">
        <v>91</v>
      </c>
      <c r="B88" s="10">
        <v>616</v>
      </c>
      <c r="C88" s="10">
        <v>0</v>
      </c>
      <c r="D88" s="10">
        <v>3</v>
      </c>
      <c r="E88" s="10">
        <v>983</v>
      </c>
      <c r="F88" s="10">
        <v>17838728.392745819</v>
      </c>
      <c r="G88" s="10">
        <v>1155</v>
      </c>
      <c r="H88" s="10">
        <v>2</v>
      </c>
      <c r="I88" s="10">
        <v>3</v>
      </c>
      <c r="J88" s="10">
        <v>1112</v>
      </c>
      <c r="K88" s="10">
        <v>23998643.155092459</v>
      </c>
    </row>
    <row r="89" spans="1:11" x14ac:dyDescent="0.35">
      <c r="A89" s="9" t="s">
        <v>97</v>
      </c>
      <c r="B89" s="10">
        <v>672</v>
      </c>
      <c r="C89" s="10">
        <v>6</v>
      </c>
      <c r="D89" s="10">
        <v>8</v>
      </c>
      <c r="E89" s="10">
        <v>736</v>
      </c>
      <c r="F89" s="10">
        <v>37099385.528416127</v>
      </c>
      <c r="G89" s="10">
        <v>799</v>
      </c>
      <c r="H89" s="10">
        <v>15</v>
      </c>
      <c r="I89" s="10">
        <v>7</v>
      </c>
      <c r="J89" s="10">
        <v>702</v>
      </c>
      <c r="K89" s="10">
        <v>39959369.429977611</v>
      </c>
    </row>
    <row r="90" spans="1:11" x14ac:dyDescent="0.35">
      <c r="A90" s="9" t="s">
        <v>78</v>
      </c>
      <c r="B90" s="10">
        <v>361</v>
      </c>
      <c r="C90" s="10">
        <v>2</v>
      </c>
      <c r="D90" s="10">
        <v>1</v>
      </c>
      <c r="E90" s="10">
        <v>323</v>
      </c>
      <c r="F90" s="10">
        <v>8454745.0728688203</v>
      </c>
      <c r="G90" s="10">
        <v>195</v>
      </c>
      <c r="H90" s="10">
        <v>2</v>
      </c>
      <c r="I90" s="10">
        <v>1</v>
      </c>
      <c r="J90" s="10">
        <v>224</v>
      </c>
      <c r="K90" s="10">
        <v>5243239.3722551018</v>
      </c>
    </row>
    <row r="91" spans="1:11" x14ac:dyDescent="0.35">
      <c r="A91" s="9" t="s">
        <v>205</v>
      </c>
      <c r="B91" s="10">
        <v>814</v>
      </c>
      <c r="C91" s="10">
        <v>2</v>
      </c>
      <c r="D91" s="10">
        <v>2</v>
      </c>
      <c r="E91" s="10">
        <v>564</v>
      </c>
      <c r="F91" s="10">
        <v>39738288.396966845</v>
      </c>
      <c r="G91" s="10">
        <v>815</v>
      </c>
      <c r="H91" s="10">
        <v>4</v>
      </c>
      <c r="I91" s="10">
        <v>2</v>
      </c>
      <c r="J91" s="10">
        <v>596</v>
      </c>
      <c r="K91" s="10">
        <v>41310253.708196811</v>
      </c>
    </row>
    <row r="92" spans="1:11" x14ac:dyDescent="0.35">
      <c r="A92" s="9" t="s">
        <v>206</v>
      </c>
      <c r="B92" s="10">
        <v>267</v>
      </c>
      <c r="C92" s="10">
        <v>2</v>
      </c>
      <c r="D92" s="10">
        <v>1</v>
      </c>
      <c r="E92" s="10">
        <v>215</v>
      </c>
      <c r="F92" s="10">
        <v>12617704.850865155</v>
      </c>
      <c r="G92" s="10">
        <v>228</v>
      </c>
      <c r="H92" s="10">
        <v>3</v>
      </c>
      <c r="I92" s="10">
        <v>0</v>
      </c>
      <c r="J92" s="10">
        <v>189</v>
      </c>
      <c r="K92" s="10">
        <v>11684662.453719731</v>
      </c>
    </row>
    <row r="93" spans="1:11" x14ac:dyDescent="0.35">
      <c r="A93" s="9" t="s">
        <v>207</v>
      </c>
      <c r="B93" s="10">
        <v>634</v>
      </c>
      <c r="C93" s="10">
        <v>5</v>
      </c>
      <c r="D93" s="10">
        <v>1</v>
      </c>
      <c r="E93" s="10">
        <v>66</v>
      </c>
      <c r="F93" s="10">
        <v>26297025.448782511</v>
      </c>
      <c r="G93" s="10">
        <v>601</v>
      </c>
      <c r="H93" s="10">
        <v>6</v>
      </c>
      <c r="I93" s="10">
        <v>1</v>
      </c>
      <c r="J93" s="10">
        <v>492</v>
      </c>
      <c r="K93" s="10">
        <v>27981035.686189085</v>
      </c>
    </row>
    <row r="94" spans="1:11" x14ac:dyDescent="0.35">
      <c r="A94" s="9" t="s">
        <v>208</v>
      </c>
      <c r="B94" s="10">
        <v>304</v>
      </c>
      <c r="C94" s="10">
        <v>1</v>
      </c>
      <c r="D94" s="10">
        <v>0</v>
      </c>
      <c r="E94" s="10">
        <v>540</v>
      </c>
      <c r="F94" s="10">
        <v>7107916.1186366389</v>
      </c>
      <c r="G94" s="10">
        <v>257</v>
      </c>
      <c r="H94" s="10">
        <v>1</v>
      </c>
      <c r="I94" s="10">
        <v>0</v>
      </c>
      <c r="J94" s="10">
        <v>264</v>
      </c>
      <c r="K94" s="10">
        <v>9497783.4578775764</v>
      </c>
    </row>
    <row r="95" spans="1:11" x14ac:dyDescent="0.35">
      <c r="A95" s="9" t="s">
        <v>209</v>
      </c>
      <c r="B95" s="10">
        <v>221</v>
      </c>
      <c r="C95" s="10">
        <v>4</v>
      </c>
      <c r="D95" s="10">
        <v>1</v>
      </c>
      <c r="E95" s="10">
        <v>497</v>
      </c>
      <c r="F95" s="10">
        <v>9282220.783820888</v>
      </c>
      <c r="G95" s="10">
        <v>245</v>
      </c>
      <c r="H95" s="10">
        <v>4</v>
      </c>
      <c r="I95" s="10">
        <v>1</v>
      </c>
      <c r="J95" s="10">
        <v>237</v>
      </c>
      <c r="K95" s="10">
        <v>9822507.9491925556</v>
      </c>
    </row>
    <row r="96" spans="1:11" x14ac:dyDescent="0.35">
      <c r="A96" s="9" t="s">
        <v>210</v>
      </c>
      <c r="B96" s="10">
        <v>387</v>
      </c>
      <c r="C96" s="10">
        <v>1</v>
      </c>
      <c r="D96" s="10">
        <v>1</v>
      </c>
      <c r="E96" s="10">
        <v>431</v>
      </c>
      <c r="F96" s="10">
        <v>12498232.289874131</v>
      </c>
      <c r="G96" s="10">
        <v>382</v>
      </c>
      <c r="H96" s="10">
        <v>4</v>
      </c>
      <c r="I96" s="10">
        <v>1</v>
      </c>
      <c r="J96" s="10">
        <v>364</v>
      </c>
      <c r="K96" s="10">
        <v>10863854.435600428</v>
      </c>
    </row>
    <row r="97" spans="1:11" x14ac:dyDescent="0.35">
      <c r="A97" s="9" t="s">
        <v>211</v>
      </c>
      <c r="B97" s="10">
        <v>761</v>
      </c>
      <c r="C97" s="10">
        <v>15</v>
      </c>
      <c r="D97" s="10">
        <v>4</v>
      </c>
      <c r="E97" s="10">
        <v>761</v>
      </c>
      <c r="F97" s="10">
        <v>23385532.981791183</v>
      </c>
      <c r="G97" s="10">
        <v>654</v>
      </c>
      <c r="H97" s="10">
        <v>19</v>
      </c>
      <c r="I97" s="10">
        <v>3</v>
      </c>
      <c r="J97" s="10">
        <v>584</v>
      </c>
      <c r="K97" s="10">
        <v>21761669.443771347</v>
      </c>
    </row>
    <row r="98" spans="1:11" x14ac:dyDescent="0.35">
      <c r="A98" s="9" t="s">
        <v>212</v>
      </c>
      <c r="B98" s="10">
        <v>256</v>
      </c>
      <c r="C98" s="10">
        <v>2</v>
      </c>
      <c r="D98" s="10">
        <v>1</v>
      </c>
      <c r="E98" s="10">
        <v>232</v>
      </c>
      <c r="F98" s="10">
        <v>9137746.4838936906</v>
      </c>
      <c r="G98" s="10">
        <v>247</v>
      </c>
      <c r="H98" s="10">
        <v>2</v>
      </c>
      <c r="I98" s="10">
        <v>2</v>
      </c>
      <c r="J98" s="10">
        <v>201</v>
      </c>
      <c r="K98" s="10">
        <v>9383861.5241373926</v>
      </c>
    </row>
    <row r="99" spans="1:11" x14ac:dyDescent="0.35">
      <c r="A99" s="9" t="s">
        <v>213</v>
      </c>
      <c r="B99" s="10">
        <v>423</v>
      </c>
      <c r="C99" s="10">
        <v>7</v>
      </c>
      <c r="D99" s="10">
        <v>1</v>
      </c>
      <c r="E99" s="10">
        <v>402</v>
      </c>
      <c r="F99" s="10">
        <v>12416784.5292693</v>
      </c>
      <c r="G99" s="10">
        <v>430</v>
      </c>
      <c r="H99" s="10">
        <v>3</v>
      </c>
      <c r="I99" s="10">
        <v>1</v>
      </c>
      <c r="J99" s="10">
        <v>378</v>
      </c>
      <c r="K99" s="10">
        <v>12057012.222022455</v>
      </c>
    </row>
    <row r="100" spans="1:11" x14ac:dyDescent="0.35">
      <c r="A100" s="9" t="s">
        <v>214</v>
      </c>
      <c r="B100" s="10">
        <v>165</v>
      </c>
      <c r="C100" s="10">
        <v>9</v>
      </c>
      <c r="D100" s="10">
        <v>1</v>
      </c>
      <c r="E100" s="10">
        <v>182</v>
      </c>
      <c r="F100" s="10">
        <v>3733633.25315656</v>
      </c>
      <c r="G100" s="10">
        <v>175</v>
      </c>
      <c r="H100" s="10">
        <v>3</v>
      </c>
      <c r="I100" s="10">
        <v>1</v>
      </c>
      <c r="J100" s="10">
        <v>147</v>
      </c>
      <c r="K100" s="10">
        <v>5443727.0116218943</v>
      </c>
    </row>
    <row r="101" spans="1:11" x14ac:dyDescent="0.35">
      <c r="A101" s="9" t="s">
        <v>215</v>
      </c>
      <c r="B101" s="10">
        <v>434</v>
      </c>
      <c r="C101" s="10">
        <v>4</v>
      </c>
      <c r="D101" s="10">
        <v>1</v>
      </c>
      <c r="E101" s="10">
        <v>336</v>
      </c>
      <c r="F101" s="10">
        <v>10383252.671610748</v>
      </c>
      <c r="G101" s="10">
        <v>383</v>
      </c>
      <c r="H101" s="10">
        <v>4</v>
      </c>
      <c r="I101" s="10">
        <v>1</v>
      </c>
      <c r="J101" s="10">
        <v>391</v>
      </c>
      <c r="K101" s="10">
        <v>9265966.5899877828</v>
      </c>
    </row>
    <row r="102" spans="1:11" x14ac:dyDescent="0.35">
      <c r="A102" s="9" t="s">
        <v>216</v>
      </c>
      <c r="B102" s="10">
        <v>439</v>
      </c>
      <c r="C102" s="10">
        <v>7</v>
      </c>
      <c r="D102" s="10">
        <v>2</v>
      </c>
      <c r="E102" s="10">
        <v>382</v>
      </c>
      <c r="F102" s="10">
        <v>13865319.719834048</v>
      </c>
      <c r="G102" s="10">
        <v>412</v>
      </c>
      <c r="H102" s="10">
        <v>11</v>
      </c>
      <c r="I102" s="10">
        <v>3</v>
      </c>
      <c r="J102" s="10">
        <v>380</v>
      </c>
      <c r="K102" s="10">
        <v>13580883.815482993</v>
      </c>
    </row>
    <row r="103" spans="1:11" x14ac:dyDescent="0.35">
      <c r="A103" s="9" t="s">
        <v>217</v>
      </c>
      <c r="B103" s="10">
        <v>667</v>
      </c>
      <c r="C103" s="10">
        <v>7</v>
      </c>
      <c r="D103" s="10">
        <v>1</v>
      </c>
      <c r="E103" s="10">
        <v>675</v>
      </c>
      <c r="F103" s="10">
        <v>17553934.696704838</v>
      </c>
      <c r="G103" s="10">
        <v>553</v>
      </c>
      <c r="H103" s="10">
        <v>4</v>
      </c>
      <c r="I103" s="10">
        <v>1</v>
      </c>
      <c r="J103" s="10">
        <v>466</v>
      </c>
      <c r="K103" s="10">
        <v>14656050.828896193</v>
      </c>
    </row>
    <row r="104" spans="1:11" x14ac:dyDescent="0.35">
      <c r="A104" s="9" t="s">
        <v>218</v>
      </c>
      <c r="B104" s="10">
        <v>579</v>
      </c>
      <c r="C104" s="10">
        <v>4</v>
      </c>
      <c r="D104" s="10">
        <v>1</v>
      </c>
      <c r="E104" s="10">
        <v>394</v>
      </c>
      <c r="F104" s="10">
        <v>14173636.68942738</v>
      </c>
      <c r="G104" s="10">
        <v>599</v>
      </c>
      <c r="H104" s="10">
        <v>4</v>
      </c>
      <c r="I104" s="10">
        <v>1</v>
      </c>
      <c r="J104" s="10">
        <v>533</v>
      </c>
      <c r="K104" s="10">
        <v>15885063.819425244</v>
      </c>
    </row>
    <row r="105" spans="1:11" x14ac:dyDescent="0.35">
      <c r="A105" s="9" t="s">
        <v>219</v>
      </c>
      <c r="B105" s="10">
        <v>785</v>
      </c>
      <c r="C105" s="10">
        <v>7</v>
      </c>
      <c r="D105" s="10">
        <v>1</v>
      </c>
      <c r="E105" s="10">
        <v>771</v>
      </c>
      <c r="F105" s="10">
        <v>24996005.661701258</v>
      </c>
      <c r="G105" s="10">
        <v>738</v>
      </c>
      <c r="H105" s="10">
        <v>9</v>
      </c>
      <c r="I105" s="10">
        <v>0</v>
      </c>
      <c r="J105" s="10">
        <v>747</v>
      </c>
      <c r="K105" s="10">
        <v>23251927.960341688</v>
      </c>
    </row>
    <row r="106" spans="1:11" x14ac:dyDescent="0.35">
      <c r="A106" s="9" t="s">
        <v>220</v>
      </c>
      <c r="B106" s="10">
        <v>783</v>
      </c>
      <c r="C106" s="10">
        <v>17</v>
      </c>
      <c r="D106" s="10">
        <v>3</v>
      </c>
      <c r="E106" s="10">
        <v>619</v>
      </c>
      <c r="F106" s="10">
        <v>23405434.680665519</v>
      </c>
      <c r="G106" s="10">
        <v>997</v>
      </c>
      <c r="H106" s="10">
        <v>15</v>
      </c>
      <c r="I106" s="10">
        <v>2</v>
      </c>
      <c r="J106" s="10">
        <v>780</v>
      </c>
      <c r="K106" s="10">
        <v>26227542.59837177</v>
      </c>
    </row>
    <row r="107" spans="1:11" x14ac:dyDescent="0.35">
      <c r="A107" s="9" t="s">
        <v>221</v>
      </c>
      <c r="B107" s="10">
        <v>1034</v>
      </c>
      <c r="C107" s="10">
        <v>16</v>
      </c>
      <c r="D107" s="10">
        <v>2</v>
      </c>
      <c r="E107" s="10">
        <v>707</v>
      </c>
      <c r="F107" s="10">
        <v>32713013.86703803</v>
      </c>
      <c r="G107" s="10">
        <v>846</v>
      </c>
      <c r="H107" s="10">
        <v>13</v>
      </c>
      <c r="I107" s="10">
        <v>2</v>
      </c>
      <c r="J107" s="10">
        <v>717</v>
      </c>
      <c r="K107" s="10">
        <v>32315025.845517408</v>
      </c>
    </row>
    <row r="108" spans="1:11" x14ac:dyDescent="0.35">
      <c r="A108" s="9" t="s">
        <v>222</v>
      </c>
      <c r="B108" s="10">
        <v>527</v>
      </c>
      <c r="C108" s="10">
        <v>9</v>
      </c>
      <c r="D108" s="10">
        <v>1</v>
      </c>
      <c r="E108" s="10">
        <v>545</v>
      </c>
      <c r="F108" s="10">
        <v>27973405.316082694</v>
      </c>
      <c r="G108" s="10">
        <v>632</v>
      </c>
      <c r="H108" s="10">
        <v>8</v>
      </c>
      <c r="I108" s="10">
        <v>0</v>
      </c>
      <c r="J108" s="10">
        <v>538</v>
      </c>
      <c r="K108" s="10">
        <v>26517855.92834923</v>
      </c>
    </row>
    <row r="109" spans="1:11" x14ac:dyDescent="0.35">
      <c r="A109" s="9" t="s">
        <v>223</v>
      </c>
      <c r="B109" s="10">
        <v>376</v>
      </c>
      <c r="C109" s="10">
        <v>6</v>
      </c>
      <c r="D109" s="10">
        <v>1</v>
      </c>
      <c r="E109" s="10">
        <v>414</v>
      </c>
      <c r="F109" s="10">
        <v>11252266.406282611</v>
      </c>
      <c r="G109" s="10">
        <v>370</v>
      </c>
      <c r="H109" s="10">
        <v>5</v>
      </c>
      <c r="I109" s="10">
        <v>2</v>
      </c>
      <c r="J109" s="10">
        <v>358</v>
      </c>
      <c r="K109" s="10">
        <v>10308027.091792228</v>
      </c>
    </row>
    <row r="110" spans="1:11" x14ac:dyDescent="0.35">
      <c r="A110" s="9" t="s">
        <v>224</v>
      </c>
      <c r="B110" s="10">
        <v>604</v>
      </c>
      <c r="C110" s="10">
        <v>9</v>
      </c>
      <c r="D110" s="10">
        <v>1</v>
      </c>
      <c r="E110" s="10">
        <v>531</v>
      </c>
      <c r="F110" s="10">
        <v>14547486.89728784</v>
      </c>
      <c r="G110" s="10">
        <v>527</v>
      </c>
      <c r="H110" s="10">
        <v>21</v>
      </c>
      <c r="I110" s="10">
        <v>1</v>
      </c>
      <c r="J110" s="10">
        <v>492</v>
      </c>
      <c r="K110" s="10">
        <v>15092337.653733464</v>
      </c>
    </row>
    <row r="111" spans="1:11" x14ac:dyDescent="0.35">
      <c r="A111" s="9" t="s">
        <v>225</v>
      </c>
      <c r="B111" s="10">
        <v>908</v>
      </c>
      <c r="C111" s="10">
        <v>12</v>
      </c>
      <c r="D111" s="10">
        <v>6</v>
      </c>
      <c r="E111" s="10">
        <v>812</v>
      </c>
      <c r="F111" s="10">
        <v>25323894.904969987</v>
      </c>
      <c r="G111" s="10">
        <v>785</v>
      </c>
      <c r="H111" s="10">
        <v>10</v>
      </c>
      <c r="I111" s="10">
        <v>4</v>
      </c>
      <c r="J111" s="10">
        <v>727</v>
      </c>
      <c r="K111" s="10">
        <v>19492272.570086662</v>
      </c>
    </row>
    <row r="112" spans="1:11" x14ac:dyDescent="0.35">
      <c r="A112" s="9" t="s">
        <v>226</v>
      </c>
      <c r="B112" s="10">
        <v>519</v>
      </c>
      <c r="C112" s="10">
        <v>9</v>
      </c>
      <c r="D112" s="10">
        <v>2</v>
      </c>
      <c r="E112" s="10">
        <v>474</v>
      </c>
      <c r="F112" s="10">
        <v>13942754.244657733</v>
      </c>
      <c r="G112" s="10">
        <v>412</v>
      </c>
      <c r="H112" s="10">
        <v>3</v>
      </c>
      <c r="I112" s="10">
        <v>2</v>
      </c>
      <c r="J112" s="10">
        <v>427</v>
      </c>
      <c r="K112" s="10">
        <v>11796205.290774845</v>
      </c>
    </row>
    <row r="113" spans="1:11" x14ac:dyDescent="0.35">
      <c r="A113" s="9" t="s">
        <v>227</v>
      </c>
      <c r="B113" s="10">
        <v>294</v>
      </c>
      <c r="C113" s="10">
        <v>1</v>
      </c>
      <c r="D113" s="10">
        <v>1</v>
      </c>
      <c r="E113" s="10">
        <v>326</v>
      </c>
      <c r="F113" s="10">
        <v>6966640.2451318717</v>
      </c>
      <c r="G113" s="10">
        <v>264</v>
      </c>
      <c r="H113" s="10">
        <v>1</v>
      </c>
      <c r="I113" s="10">
        <v>1</v>
      </c>
      <c r="J113" s="10">
        <v>280</v>
      </c>
      <c r="K113" s="10">
        <v>6368691.3368950738</v>
      </c>
    </row>
    <row r="114" spans="1:11" x14ac:dyDescent="0.35">
      <c r="A114" s="9" t="s">
        <v>228</v>
      </c>
      <c r="B114" s="10">
        <v>881</v>
      </c>
      <c r="C114" s="10">
        <v>4</v>
      </c>
      <c r="D114" s="10">
        <v>5</v>
      </c>
      <c r="E114" s="10">
        <v>786</v>
      </c>
      <c r="F114" s="10">
        <v>24364671.601509161</v>
      </c>
      <c r="G114" s="10">
        <v>856</v>
      </c>
      <c r="H114" s="10">
        <v>11</v>
      </c>
      <c r="I114" s="10">
        <v>4</v>
      </c>
      <c r="J114" s="10">
        <v>791</v>
      </c>
      <c r="K114" s="10">
        <v>25996329.598185219</v>
      </c>
    </row>
    <row r="115" spans="1:11" x14ac:dyDescent="0.35">
      <c r="A115" s="9" t="s">
        <v>229</v>
      </c>
      <c r="B115" s="10">
        <v>219</v>
      </c>
      <c r="C115" s="10">
        <v>4</v>
      </c>
      <c r="D115" s="10">
        <v>0</v>
      </c>
      <c r="E115" s="10">
        <v>219</v>
      </c>
      <c r="F115" s="10">
        <v>7048185.501109913</v>
      </c>
      <c r="G115" s="10">
        <v>239</v>
      </c>
      <c r="H115" s="10">
        <v>2</v>
      </c>
      <c r="I115" s="10">
        <v>1</v>
      </c>
      <c r="J115" s="10">
        <v>221</v>
      </c>
      <c r="K115" s="10">
        <v>7637111.1238940256</v>
      </c>
    </row>
    <row r="116" spans="1:11" x14ac:dyDescent="0.35">
      <c r="A116" s="9" t="s">
        <v>230</v>
      </c>
      <c r="B116" s="10">
        <v>698</v>
      </c>
      <c r="C116" s="10">
        <v>1</v>
      </c>
      <c r="D116" s="10">
        <v>3</v>
      </c>
      <c r="E116" s="10">
        <v>649</v>
      </c>
      <c r="F116" s="10">
        <v>15820517.515006391</v>
      </c>
      <c r="G116" s="10">
        <v>568</v>
      </c>
      <c r="H116" s="10">
        <v>4</v>
      </c>
      <c r="I116" s="10">
        <v>2</v>
      </c>
      <c r="J116" s="10">
        <v>570</v>
      </c>
      <c r="K116" s="10">
        <v>12115936.542483084</v>
      </c>
    </row>
    <row r="117" spans="1:11" x14ac:dyDescent="0.35">
      <c r="A117" s="9" t="s">
        <v>231</v>
      </c>
      <c r="B117" s="10">
        <v>875</v>
      </c>
      <c r="C117" s="10">
        <v>15</v>
      </c>
      <c r="D117" s="10">
        <v>5</v>
      </c>
      <c r="E117" s="10">
        <v>841</v>
      </c>
      <c r="F117" s="10">
        <v>24751284.494712308</v>
      </c>
      <c r="G117" s="10">
        <v>744</v>
      </c>
      <c r="H117" s="10">
        <v>11</v>
      </c>
      <c r="I117" s="10">
        <v>6</v>
      </c>
      <c r="J117" s="10">
        <v>743</v>
      </c>
      <c r="K117" s="10">
        <v>22952687.062590893</v>
      </c>
    </row>
    <row r="118" spans="1:11" x14ac:dyDescent="0.35">
      <c r="A118" s="9" t="s">
        <v>232</v>
      </c>
      <c r="B118" s="10">
        <v>436</v>
      </c>
      <c r="C118" s="10">
        <v>18</v>
      </c>
      <c r="D118" s="10">
        <v>2</v>
      </c>
      <c r="E118" s="10">
        <v>417</v>
      </c>
      <c r="F118" s="10">
        <v>12219269.639959618</v>
      </c>
      <c r="G118" s="10">
        <v>427</v>
      </c>
      <c r="H118" s="10">
        <v>10</v>
      </c>
      <c r="I118" s="10">
        <v>2</v>
      </c>
      <c r="J118" s="10">
        <v>384</v>
      </c>
      <c r="K118" s="10">
        <v>8555022.6005693097</v>
      </c>
    </row>
    <row r="119" spans="1:11" x14ac:dyDescent="0.35">
      <c r="A119" s="9" t="s">
        <v>233</v>
      </c>
      <c r="B119" s="10">
        <v>262</v>
      </c>
      <c r="C119" s="10">
        <v>1</v>
      </c>
      <c r="D119" s="10">
        <v>1</v>
      </c>
      <c r="E119" s="10">
        <v>440</v>
      </c>
      <c r="F119" s="10">
        <v>14260887.958998259</v>
      </c>
      <c r="G119" s="10">
        <v>361</v>
      </c>
      <c r="H119" s="10">
        <v>4</v>
      </c>
      <c r="I119" s="10">
        <v>1</v>
      </c>
      <c r="J119" s="10">
        <v>436</v>
      </c>
      <c r="K119" s="10">
        <v>13524264.119326608</v>
      </c>
    </row>
    <row r="120" spans="1:11" x14ac:dyDescent="0.35">
      <c r="A120" s="9" t="s">
        <v>234</v>
      </c>
      <c r="B120" s="10">
        <v>1083</v>
      </c>
      <c r="C120" s="10">
        <v>50</v>
      </c>
      <c r="D120" s="10">
        <v>1</v>
      </c>
      <c r="E120" s="10">
        <v>960</v>
      </c>
      <c r="F120" s="10">
        <v>32141105.522999581</v>
      </c>
      <c r="G120" s="10">
        <v>1063</v>
      </c>
      <c r="H120" s="10">
        <v>19</v>
      </c>
      <c r="I120" s="10">
        <v>2</v>
      </c>
      <c r="J120" s="10">
        <v>899</v>
      </c>
      <c r="K120" s="10">
        <v>30594796.433140185</v>
      </c>
    </row>
    <row r="121" spans="1:11" x14ac:dyDescent="0.35">
      <c r="A121" s="9" t="s">
        <v>235</v>
      </c>
      <c r="B121" s="10">
        <v>1173</v>
      </c>
      <c r="C121" s="10">
        <v>42</v>
      </c>
      <c r="D121" s="10">
        <v>2</v>
      </c>
      <c r="E121" s="10">
        <v>1188</v>
      </c>
      <c r="F121" s="10">
        <v>33021920.832403764</v>
      </c>
      <c r="G121" s="10">
        <v>1146</v>
      </c>
      <c r="H121" s="10">
        <v>45</v>
      </c>
      <c r="I121" s="10">
        <v>2</v>
      </c>
      <c r="J121" s="10">
        <v>929</v>
      </c>
      <c r="K121" s="10">
        <v>31322046.753470384</v>
      </c>
    </row>
    <row r="122" spans="1:11" x14ac:dyDescent="0.35">
      <c r="A122" s="9" t="s">
        <v>236</v>
      </c>
      <c r="B122" s="10">
        <v>650</v>
      </c>
      <c r="C122" s="10">
        <v>92</v>
      </c>
      <c r="D122" s="10">
        <v>1</v>
      </c>
      <c r="E122" s="10">
        <v>625</v>
      </c>
      <c r="F122" s="10">
        <v>27998201.258799911</v>
      </c>
      <c r="G122" s="10">
        <v>963</v>
      </c>
      <c r="H122" s="10">
        <v>114</v>
      </c>
      <c r="I122" s="10">
        <v>1</v>
      </c>
      <c r="J122" s="10">
        <v>656</v>
      </c>
      <c r="K122" s="10">
        <v>26278471.560564924</v>
      </c>
    </row>
    <row r="123" spans="1:11" x14ac:dyDescent="0.35">
      <c r="A123" s="9" t="s">
        <v>237</v>
      </c>
      <c r="B123" s="10">
        <v>773</v>
      </c>
      <c r="C123" s="10">
        <v>121</v>
      </c>
      <c r="D123" s="10">
        <v>5</v>
      </c>
      <c r="E123" s="10">
        <v>448</v>
      </c>
      <c r="F123" s="10">
        <v>26414024.646005303</v>
      </c>
      <c r="G123" s="10">
        <v>768</v>
      </c>
      <c r="H123" s="10">
        <v>116</v>
      </c>
      <c r="I123" s="10">
        <v>5</v>
      </c>
      <c r="J123" s="10">
        <v>456</v>
      </c>
      <c r="K123" s="10">
        <v>21902550.591591343</v>
      </c>
    </row>
    <row r="124" spans="1:11" x14ac:dyDescent="0.35">
      <c r="A124" s="9" t="s">
        <v>238</v>
      </c>
      <c r="B124" s="10">
        <v>583</v>
      </c>
      <c r="C124" s="10">
        <v>19</v>
      </c>
      <c r="D124" s="10">
        <v>1</v>
      </c>
      <c r="E124" s="10">
        <v>476</v>
      </c>
      <c r="F124" s="10">
        <v>23508863.960285787</v>
      </c>
      <c r="G124" s="10">
        <v>675</v>
      </c>
      <c r="H124" s="10">
        <v>30</v>
      </c>
      <c r="I124" s="10">
        <v>0</v>
      </c>
      <c r="J124" s="10">
        <v>447</v>
      </c>
      <c r="K124" s="10">
        <v>19928644.66884673</v>
      </c>
    </row>
    <row r="125" spans="1:11" x14ac:dyDescent="0.35">
      <c r="A125" s="9" t="s">
        <v>239</v>
      </c>
      <c r="B125" s="10">
        <v>382</v>
      </c>
      <c r="C125" s="10">
        <v>6</v>
      </c>
      <c r="D125" s="10">
        <v>1</v>
      </c>
      <c r="E125" s="10">
        <v>403</v>
      </c>
      <c r="F125" s="10">
        <v>14746368.297068411</v>
      </c>
      <c r="G125" s="10">
        <v>459</v>
      </c>
      <c r="H125" s="10">
        <v>3</v>
      </c>
      <c r="I125" s="10">
        <v>1</v>
      </c>
      <c r="J125" s="10">
        <v>380</v>
      </c>
      <c r="K125" s="10">
        <v>13209302.70949986</v>
      </c>
    </row>
    <row r="126" spans="1:11" x14ac:dyDescent="0.35">
      <c r="A126" s="9" t="s">
        <v>240</v>
      </c>
      <c r="B126" s="10">
        <v>438</v>
      </c>
      <c r="C126" s="10">
        <v>12</v>
      </c>
      <c r="D126" s="10">
        <v>1</v>
      </c>
      <c r="E126" s="10">
        <v>376</v>
      </c>
      <c r="F126" s="10">
        <v>15865528.467262551</v>
      </c>
      <c r="G126" s="10">
        <v>395</v>
      </c>
      <c r="H126" s="10">
        <v>10</v>
      </c>
      <c r="I126" s="10">
        <v>1</v>
      </c>
      <c r="J126" s="10">
        <v>380</v>
      </c>
      <c r="K126" s="10">
        <v>12221634.360242523</v>
      </c>
    </row>
    <row r="127" spans="1:11" x14ac:dyDescent="0.35">
      <c r="A127" s="9" t="s">
        <v>241</v>
      </c>
      <c r="B127" s="10">
        <v>660</v>
      </c>
      <c r="C127" s="10">
        <v>4</v>
      </c>
      <c r="D127" s="10">
        <v>1</v>
      </c>
      <c r="E127" s="10">
        <v>787</v>
      </c>
      <c r="F127" s="10">
        <v>17842619.58899419</v>
      </c>
      <c r="G127" s="10">
        <v>731</v>
      </c>
      <c r="H127" s="10">
        <v>5</v>
      </c>
      <c r="I127" s="10">
        <v>1</v>
      </c>
      <c r="J127" s="10">
        <v>734</v>
      </c>
      <c r="K127" s="10">
        <v>18472894.514802687</v>
      </c>
    </row>
    <row r="128" spans="1:11" x14ac:dyDescent="0.35">
      <c r="A128" s="9" t="s">
        <v>242</v>
      </c>
      <c r="B128" s="10">
        <v>1714</v>
      </c>
      <c r="C128" s="10">
        <v>16</v>
      </c>
      <c r="D128" s="10">
        <v>1</v>
      </c>
      <c r="E128" s="10">
        <v>1568</v>
      </c>
      <c r="F128" s="10">
        <v>42689092.667150155</v>
      </c>
      <c r="G128" s="10">
        <v>1513</v>
      </c>
      <c r="H128" s="10">
        <v>21</v>
      </c>
      <c r="I128" s="10">
        <v>0</v>
      </c>
      <c r="J128" s="10">
        <v>1497</v>
      </c>
      <c r="K128" s="10">
        <v>42053745.043625273</v>
      </c>
    </row>
    <row r="129" spans="1:11" x14ac:dyDescent="0.35">
      <c r="A129" s="9" t="s">
        <v>243</v>
      </c>
      <c r="B129" s="10">
        <v>150</v>
      </c>
      <c r="C129" s="10">
        <v>0</v>
      </c>
      <c r="D129" s="10">
        <v>0</v>
      </c>
      <c r="E129" s="10">
        <v>133</v>
      </c>
      <c r="F129" s="10">
        <v>3875261.9183763689</v>
      </c>
      <c r="G129" s="10">
        <v>123</v>
      </c>
      <c r="H129" s="10">
        <v>0</v>
      </c>
      <c r="I129" s="10">
        <v>0</v>
      </c>
      <c r="J129" s="10">
        <v>133</v>
      </c>
      <c r="K129" s="10">
        <v>3928999.980089806</v>
      </c>
    </row>
    <row r="130" spans="1:11" x14ac:dyDescent="0.35">
      <c r="A130" s="9" t="s">
        <v>244</v>
      </c>
      <c r="B130" s="10">
        <v>388</v>
      </c>
      <c r="C130" s="10">
        <v>2</v>
      </c>
      <c r="D130" s="10">
        <v>1</v>
      </c>
      <c r="E130" s="10">
        <v>306</v>
      </c>
      <c r="F130" s="10">
        <v>18507160.509009738</v>
      </c>
      <c r="G130" s="10">
        <v>377</v>
      </c>
      <c r="H130" s="10">
        <v>2</v>
      </c>
      <c r="I130" s="10">
        <v>1</v>
      </c>
      <c r="J130" s="10">
        <v>279</v>
      </c>
      <c r="K130" s="10">
        <v>18027951.934278913</v>
      </c>
    </row>
    <row r="131" spans="1:11" x14ac:dyDescent="0.35">
      <c r="A131" s="9" t="s">
        <v>245</v>
      </c>
      <c r="B131" s="10">
        <v>362</v>
      </c>
      <c r="C131" s="10">
        <v>4</v>
      </c>
      <c r="D131" s="10">
        <v>1</v>
      </c>
      <c r="E131" s="10">
        <v>315</v>
      </c>
      <c r="F131" s="10">
        <v>10951853.991285224</v>
      </c>
      <c r="G131" s="10">
        <v>367</v>
      </c>
      <c r="H131" s="10">
        <v>8</v>
      </c>
      <c r="I131" s="10">
        <v>1</v>
      </c>
      <c r="J131" s="10">
        <v>322</v>
      </c>
      <c r="K131" s="10">
        <v>12345279.194549128</v>
      </c>
    </row>
    <row r="132" spans="1:11" x14ac:dyDescent="0.35">
      <c r="A132" s="9" t="s">
        <v>246</v>
      </c>
      <c r="B132" s="10">
        <v>715</v>
      </c>
      <c r="C132" s="10">
        <v>14</v>
      </c>
      <c r="D132" s="10">
        <v>3</v>
      </c>
      <c r="E132" s="10">
        <v>704</v>
      </c>
      <c r="F132" s="10">
        <v>32240293.205626793</v>
      </c>
      <c r="G132" s="10">
        <v>722</v>
      </c>
      <c r="H132" s="10">
        <v>18</v>
      </c>
      <c r="I132" s="10">
        <v>3</v>
      </c>
      <c r="J132" s="10">
        <v>648</v>
      </c>
      <c r="K132" s="10">
        <v>30709923.868765604</v>
      </c>
    </row>
    <row r="133" spans="1:11" x14ac:dyDescent="0.35">
      <c r="A133" s="9" t="s">
        <v>247</v>
      </c>
      <c r="B133" s="10">
        <v>318</v>
      </c>
      <c r="C133" s="10">
        <v>3</v>
      </c>
      <c r="D133" s="10">
        <v>1</v>
      </c>
      <c r="E133" s="10">
        <v>294</v>
      </c>
      <c r="F133" s="10">
        <v>12798468.89468367</v>
      </c>
      <c r="G133" s="10">
        <v>357</v>
      </c>
      <c r="H133" s="10">
        <v>3</v>
      </c>
      <c r="I133" s="10">
        <v>2</v>
      </c>
      <c r="J133" s="10">
        <v>314</v>
      </c>
      <c r="K133" s="10">
        <v>12449165.099312207</v>
      </c>
    </row>
    <row r="134" spans="1:11" x14ac:dyDescent="0.35">
      <c r="A134" s="9" t="s">
        <v>248</v>
      </c>
      <c r="B134" s="10">
        <v>351</v>
      </c>
      <c r="C134" s="10">
        <v>2</v>
      </c>
      <c r="D134" s="10">
        <v>1</v>
      </c>
      <c r="E134" s="10">
        <v>207</v>
      </c>
      <c r="F134" s="10">
        <v>11714904.754233414</v>
      </c>
      <c r="G134" s="10">
        <v>292</v>
      </c>
      <c r="H134" s="10">
        <v>3</v>
      </c>
      <c r="I134" s="10">
        <v>0</v>
      </c>
      <c r="J134" s="10">
        <v>195</v>
      </c>
      <c r="K134" s="10">
        <v>10710571.294092564</v>
      </c>
    </row>
    <row r="135" spans="1:11" x14ac:dyDescent="0.35">
      <c r="A135" s="9" t="s">
        <v>249</v>
      </c>
      <c r="B135" s="10">
        <v>212</v>
      </c>
      <c r="C135" s="10">
        <v>2</v>
      </c>
      <c r="D135" s="10">
        <v>1</v>
      </c>
      <c r="E135" s="10">
        <v>175</v>
      </c>
      <c r="F135" s="10">
        <v>10076399.057395125</v>
      </c>
      <c r="G135" s="10">
        <v>202</v>
      </c>
      <c r="H135" s="10">
        <v>2</v>
      </c>
      <c r="I135" s="10">
        <v>0</v>
      </c>
      <c r="J135" s="10">
        <v>151</v>
      </c>
      <c r="K135" s="10">
        <v>10136251.833200561</v>
      </c>
    </row>
    <row r="136" spans="1:11" x14ac:dyDescent="0.35">
      <c r="A136" s="9" t="s">
        <v>250</v>
      </c>
      <c r="B136" s="10">
        <v>446</v>
      </c>
      <c r="C136" s="10">
        <v>8</v>
      </c>
      <c r="D136" s="10">
        <v>0</v>
      </c>
      <c r="E136" s="10">
        <v>297</v>
      </c>
      <c r="F136" s="10">
        <v>18607340.406229239</v>
      </c>
      <c r="G136" s="10">
        <v>496</v>
      </c>
      <c r="H136" s="10">
        <v>13</v>
      </c>
      <c r="I136" s="10">
        <v>0</v>
      </c>
      <c r="J136" s="10">
        <v>379</v>
      </c>
      <c r="K136" s="10">
        <v>19957985.798537333</v>
      </c>
    </row>
    <row r="137" spans="1:11" x14ac:dyDescent="0.35">
      <c r="A137" s="9" t="s">
        <v>251</v>
      </c>
      <c r="B137" s="10">
        <v>640</v>
      </c>
      <c r="C137" s="10">
        <v>6</v>
      </c>
      <c r="D137" s="10">
        <v>1</v>
      </c>
      <c r="E137" s="10">
        <v>576</v>
      </c>
      <c r="F137" s="10">
        <v>30556637.677613314</v>
      </c>
      <c r="G137" s="10">
        <v>646</v>
      </c>
      <c r="H137" s="10">
        <v>9</v>
      </c>
      <c r="I137" s="10">
        <v>1</v>
      </c>
      <c r="J137" s="10">
        <v>586</v>
      </c>
      <c r="K137" s="10">
        <v>31348164.469943505</v>
      </c>
    </row>
    <row r="138" spans="1:11" x14ac:dyDescent="0.35">
      <c r="A138" s="9" t="s">
        <v>252</v>
      </c>
      <c r="B138" s="10">
        <v>545</v>
      </c>
      <c r="C138" s="10">
        <v>9</v>
      </c>
      <c r="D138" s="10">
        <v>0</v>
      </c>
      <c r="E138" s="10">
        <v>532</v>
      </c>
      <c r="F138" s="10">
        <v>25098314.005742814</v>
      </c>
      <c r="G138" s="10">
        <v>472</v>
      </c>
      <c r="H138" s="10">
        <v>26</v>
      </c>
      <c r="I138" s="10">
        <v>1</v>
      </c>
      <c r="J138" s="10">
        <v>277</v>
      </c>
      <c r="K138" s="10">
        <v>26620795.133296084</v>
      </c>
    </row>
    <row r="139" spans="1:11" x14ac:dyDescent="0.35">
      <c r="A139" s="9" t="s">
        <v>253</v>
      </c>
      <c r="B139" s="10">
        <v>235</v>
      </c>
      <c r="C139" s="10">
        <v>0</v>
      </c>
      <c r="D139" s="10">
        <v>2</v>
      </c>
      <c r="E139" s="10">
        <v>185</v>
      </c>
      <c r="F139" s="10">
        <v>9310929.0366390124</v>
      </c>
      <c r="G139" s="10">
        <v>191</v>
      </c>
      <c r="H139" s="10">
        <v>1</v>
      </c>
      <c r="I139" s="10">
        <v>1</v>
      </c>
      <c r="J139" s="10">
        <v>161</v>
      </c>
      <c r="K139" s="10">
        <v>8931836.342123935</v>
      </c>
    </row>
    <row r="140" spans="1:11" x14ac:dyDescent="0.35">
      <c r="A140" s="9" t="s">
        <v>254</v>
      </c>
      <c r="B140" s="10">
        <v>1000</v>
      </c>
      <c r="C140" s="10">
        <v>18</v>
      </c>
      <c r="D140" s="10">
        <v>1</v>
      </c>
      <c r="E140" s="10">
        <v>879</v>
      </c>
      <c r="F140" s="10">
        <v>38613175.938797757</v>
      </c>
      <c r="G140" s="10">
        <v>1229</v>
      </c>
      <c r="H140" s="10">
        <v>30</v>
      </c>
      <c r="I140" s="10">
        <v>1</v>
      </c>
      <c r="J140" s="10">
        <v>1110</v>
      </c>
      <c r="K140" s="10">
        <v>37386112.926921196</v>
      </c>
    </row>
    <row r="141" spans="1:11" x14ac:dyDescent="0.35">
      <c r="A141" s="9" t="s">
        <v>255</v>
      </c>
      <c r="B141" s="10">
        <v>326</v>
      </c>
      <c r="C141" s="10">
        <v>2</v>
      </c>
      <c r="D141" s="10">
        <v>2</v>
      </c>
      <c r="E141" s="10">
        <v>286</v>
      </c>
      <c r="F141" s="10">
        <v>12760436.916584175</v>
      </c>
      <c r="G141" s="10">
        <v>283</v>
      </c>
      <c r="H141" s="10">
        <v>6</v>
      </c>
      <c r="I141" s="10">
        <v>1</v>
      </c>
      <c r="J141" s="10">
        <v>249</v>
      </c>
      <c r="K141" s="10">
        <v>13572089.770648904</v>
      </c>
    </row>
    <row r="142" spans="1:11" x14ac:dyDescent="0.35">
      <c r="A142" s="9" t="s">
        <v>256</v>
      </c>
      <c r="B142" s="10">
        <v>393</v>
      </c>
      <c r="C142" s="10">
        <v>10</v>
      </c>
      <c r="D142" s="10">
        <v>1</v>
      </c>
      <c r="E142" s="10">
        <v>370</v>
      </c>
      <c r="F142" s="10">
        <v>12113772.794834295</v>
      </c>
      <c r="G142" s="10">
        <v>406</v>
      </c>
      <c r="H142" s="10">
        <v>5</v>
      </c>
      <c r="I142" s="10">
        <v>0</v>
      </c>
      <c r="J142" s="10">
        <v>389</v>
      </c>
      <c r="K142" s="10">
        <v>13329048.685283821</v>
      </c>
    </row>
    <row r="143" spans="1:11" x14ac:dyDescent="0.35">
      <c r="A143" s="9" t="s">
        <v>257</v>
      </c>
      <c r="B143" s="10">
        <v>1898</v>
      </c>
      <c r="C143" s="10">
        <v>44</v>
      </c>
      <c r="D143" s="10">
        <v>2</v>
      </c>
      <c r="E143" s="10">
        <v>1555</v>
      </c>
      <c r="F143" s="10">
        <v>98707610.849997327</v>
      </c>
      <c r="G143" s="10">
        <v>1733</v>
      </c>
      <c r="H143" s="10">
        <v>43</v>
      </c>
      <c r="I143" s="10">
        <v>2</v>
      </c>
      <c r="J143" s="10">
        <v>1554</v>
      </c>
      <c r="K143" s="10">
        <v>103812096.51776932</v>
      </c>
    </row>
    <row r="144" spans="1:11" x14ac:dyDescent="0.35">
      <c r="A144" s="9" t="s">
        <v>258</v>
      </c>
      <c r="B144" s="10">
        <v>1538</v>
      </c>
      <c r="C144" s="10">
        <v>21</v>
      </c>
      <c r="D144" s="10">
        <v>3</v>
      </c>
      <c r="E144" s="10">
        <v>1264</v>
      </c>
      <c r="F144" s="10">
        <v>45279557.809202924</v>
      </c>
      <c r="G144" s="10">
        <v>1269</v>
      </c>
      <c r="H144" s="10">
        <v>12</v>
      </c>
      <c r="I144" s="10">
        <v>5</v>
      </c>
      <c r="J144" s="10">
        <v>1170</v>
      </c>
      <c r="K144" s="10">
        <v>40225232.469003931</v>
      </c>
    </row>
    <row r="145" spans="1:11" x14ac:dyDescent="0.35">
      <c r="A145" s="9" t="s">
        <v>259</v>
      </c>
      <c r="B145" s="10">
        <v>1054</v>
      </c>
      <c r="C145" s="10">
        <v>12</v>
      </c>
      <c r="D145" s="10">
        <v>1</v>
      </c>
      <c r="E145" s="10">
        <v>800</v>
      </c>
      <c r="F145" s="10">
        <v>32321940.615613032</v>
      </c>
      <c r="G145" s="10">
        <v>998</v>
      </c>
      <c r="H145" s="10">
        <v>20</v>
      </c>
      <c r="I145" s="10">
        <v>1</v>
      </c>
      <c r="J145" s="10">
        <v>856</v>
      </c>
      <c r="K145" s="10">
        <v>27989993.141556393</v>
      </c>
    </row>
    <row r="146" spans="1:11" x14ac:dyDescent="0.35">
      <c r="A146" s="9" t="s">
        <v>260</v>
      </c>
      <c r="B146" s="10">
        <v>851</v>
      </c>
      <c r="C146" s="10">
        <v>7</v>
      </c>
      <c r="D146" s="10">
        <v>3</v>
      </c>
      <c r="E146" s="10">
        <v>925</v>
      </c>
      <c r="F146" s="10">
        <v>26817361.541051183</v>
      </c>
      <c r="G146" s="10">
        <v>902</v>
      </c>
      <c r="H146" s="10">
        <v>9</v>
      </c>
      <c r="I146" s="10">
        <v>3</v>
      </c>
      <c r="J146" s="10">
        <v>886</v>
      </c>
      <c r="K146" s="10">
        <v>25121617.67120219</v>
      </c>
    </row>
    <row r="147" spans="1:11" x14ac:dyDescent="0.35">
      <c r="A147" s="9" t="s">
        <v>261</v>
      </c>
      <c r="B147" s="10">
        <v>511</v>
      </c>
      <c r="C147" s="10">
        <v>5</v>
      </c>
      <c r="D147" s="10">
        <v>2</v>
      </c>
      <c r="E147" s="10">
        <v>535</v>
      </c>
      <c r="F147" s="10">
        <v>31360345.314350225</v>
      </c>
      <c r="G147" s="10">
        <v>494</v>
      </c>
      <c r="H147" s="10">
        <v>3</v>
      </c>
      <c r="I147" s="10">
        <v>2</v>
      </c>
      <c r="J147" s="10">
        <v>461</v>
      </c>
      <c r="K147" s="10">
        <v>33750843.617772721</v>
      </c>
    </row>
    <row r="148" spans="1:11" x14ac:dyDescent="0.35">
      <c r="A148" s="9" t="s">
        <v>262</v>
      </c>
      <c r="B148" s="10">
        <v>1142</v>
      </c>
      <c r="C148" s="10">
        <v>92</v>
      </c>
      <c r="D148" s="10">
        <v>3</v>
      </c>
      <c r="E148" s="10">
        <v>1101</v>
      </c>
      <c r="F148" s="10">
        <v>31464204.396486875</v>
      </c>
      <c r="G148" s="10">
        <v>1250</v>
      </c>
      <c r="H148" s="10">
        <v>111</v>
      </c>
      <c r="I148" s="10">
        <v>5</v>
      </c>
      <c r="J148" s="10">
        <v>1040</v>
      </c>
      <c r="K148" s="10">
        <v>33092919.806229036</v>
      </c>
    </row>
    <row r="149" spans="1:11" x14ac:dyDescent="0.35">
      <c r="A149" s="9" t="s">
        <v>263</v>
      </c>
      <c r="B149" s="10">
        <v>425</v>
      </c>
      <c r="C149" s="10">
        <v>2</v>
      </c>
      <c r="D149" s="10">
        <v>3</v>
      </c>
      <c r="E149" s="10">
        <v>433</v>
      </c>
      <c r="F149" s="10">
        <v>14236057.537386095</v>
      </c>
      <c r="G149" s="10">
        <v>499</v>
      </c>
      <c r="H149" s="10">
        <v>5</v>
      </c>
      <c r="I149" s="10">
        <v>3</v>
      </c>
      <c r="J149" s="10">
        <v>450</v>
      </c>
      <c r="K149" s="10">
        <v>13872383.713012911</v>
      </c>
    </row>
    <row r="150" spans="1:11" x14ac:dyDescent="0.35">
      <c r="A150" s="9" t="s">
        <v>264</v>
      </c>
      <c r="B150" s="10">
        <v>778</v>
      </c>
      <c r="C150" s="10">
        <v>4</v>
      </c>
      <c r="D150" s="10">
        <v>0</v>
      </c>
      <c r="E150" s="10">
        <v>615</v>
      </c>
      <c r="F150" s="10">
        <v>33226335.301827859</v>
      </c>
      <c r="G150" s="10">
        <v>808</v>
      </c>
      <c r="H150" s="10">
        <v>13</v>
      </c>
      <c r="I150" s="10">
        <v>1</v>
      </c>
      <c r="J150" s="10">
        <v>693</v>
      </c>
      <c r="K150" s="10">
        <v>30663463.794424493</v>
      </c>
    </row>
    <row r="151" spans="1:11" x14ac:dyDescent="0.35">
      <c r="A151" s="9" t="s">
        <v>265</v>
      </c>
      <c r="B151" s="10">
        <v>484</v>
      </c>
      <c r="C151" s="10">
        <v>6</v>
      </c>
      <c r="D151" s="10">
        <v>0</v>
      </c>
      <c r="E151" s="10">
        <v>415</v>
      </c>
      <c r="F151" s="10">
        <v>18146414.021076862</v>
      </c>
      <c r="G151" s="10">
        <v>518</v>
      </c>
      <c r="H151" s="10">
        <v>8</v>
      </c>
      <c r="I151" s="10">
        <v>1</v>
      </c>
      <c r="J151" s="10">
        <v>441</v>
      </c>
      <c r="K151" s="10">
        <v>17946482.777420025</v>
      </c>
    </row>
    <row r="152" spans="1:11" x14ac:dyDescent="0.35">
      <c r="A152" s="9" t="s">
        <v>266</v>
      </c>
      <c r="B152" s="10">
        <v>829</v>
      </c>
      <c r="C152" s="10">
        <v>12</v>
      </c>
      <c r="D152" s="10">
        <v>1</v>
      </c>
      <c r="E152" s="10">
        <v>771</v>
      </c>
      <c r="F152" s="10">
        <v>30989887.451169204</v>
      </c>
      <c r="G152" s="10">
        <v>877</v>
      </c>
      <c r="H152" s="10">
        <v>14</v>
      </c>
      <c r="I152" s="10">
        <v>1</v>
      </c>
      <c r="J152" s="10">
        <v>727</v>
      </c>
      <c r="K152" s="10">
        <v>32806174.320888229</v>
      </c>
    </row>
    <row r="153" spans="1:11" x14ac:dyDescent="0.35">
      <c r="A153" s="9" t="s">
        <v>267</v>
      </c>
      <c r="B153" s="10">
        <v>1358</v>
      </c>
      <c r="C153" s="10">
        <v>37</v>
      </c>
      <c r="D153" s="10">
        <v>7</v>
      </c>
      <c r="E153" s="10">
        <v>1202</v>
      </c>
      <c r="F153" s="10">
        <v>67808618.838678747</v>
      </c>
      <c r="G153" s="10">
        <v>1262</v>
      </c>
      <c r="H153" s="10">
        <v>24</v>
      </c>
      <c r="I153" s="10">
        <v>8</v>
      </c>
      <c r="J153" s="10">
        <v>1028</v>
      </c>
      <c r="K153" s="10">
        <v>65553439.755091943</v>
      </c>
    </row>
    <row r="154" spans="1:11" x14ac:dyDescent="0.35">
      <c r="A154" s="9" t="s">
        <v>268</v>
      </c>
      <c r="B154" s="10">
        <v>453</v>
      </c>
      <c r="C154" s="10">
        <v>11</v>
      </c>
      <c r="D154" s="10">
        <v>0</v>
      </c>
      <c r="E154" s="10">
        <v>392</v>
      </c>
      <c r="F154" s="10">
        <v>15501835.523707081</v>
      </c>
      <c r="G154" s="10">
        <v>481</v>
      </c>
      <c r="H154" s="10">
        <v>11</v>
      </c>
      <c r="I154" s="10">
        <v>0</v>
      </c>
      <c r="J154" s="10">
        <v>415</v>
      </c>
      <c r="K154" s="10">
        <v>13496471.403557938</v>
      </c>
    </row>
    <row r="155" spans="1:11" x14ac:dyDescent="0.35">
      <c r="A155" s="9" t="s">
        <v>269</v>
      </c>
      <c r="B155" s="10">
        <v>1300</v>
      </c>
      <c r="C155" s="10">
        <v>9</v>
      </c>
      <c r="D155" s="10">
        <v>1</v>
      </c>
      <c r="E155" s="10">
        <v>1282</v>
      </c>
      <c r="F155" s="10">
        <v>33048977.977507431</v>
      </c>
      <c r="G155" s="10">
        <v>1217</v>
      </c>
      <c r="H155" s="10">
        <v>13</v>
      </c>
      <c r="I155" s="10">
        <v>1</v>
      </c>
      <c r="J155" s="10">
        <v>1226</v>
      </c>
      <c r="K155" s="10">
        <v>32241189.32375579</v>
      </c>
    </row>
    <row r="156" spans="1:11" x14ac:dyDescent="0.35">
      <c r="A156" s="9" t="s">
        <v>270</v>
      </c>
      <c r="B156" s="10">
        <v>813</v>
      </c>
      <c r="C156" s="10">
        <v>11</v>
      </c>
      <c r="D156" s="10">
        <v>4</v>
      </c>
      <c r="E156" s="10">
        <v>768</v>
      </c>
      <c r="F156" s="10">
        <v>31113314.904911689</v>
      </c>
      <c r="G156" s="10">
        <v>816</v>
      </c>
      <c r="H156" s="10">
        <v>11</v>
      </c>
      <c r="I156" s="10">
        <v>4</v>
      </c>
      <c r="J156" s="10">
        <v>733</v>
      </c>
      <c r="K156" s="10">
        <v>29972696.091893155</v>
      </c>
    </row>
    <row r="157" spans="1:11" x14ac:dyDescent="0.35">
      <c r="A157" s="9" t="s">
        <v>271</v>
      </c>
      <c r="B157" s="10">
        <v>1101</v>
      </c>
      <c r="C157" s="10">
        <v>12</v>
      </c>
      <c r="D157" s="10">
        <v>2</v>
      </c>
      <c r="E157" s="10">
        <v>1318</v>
      </c>
      <c r="F157" s="10">
        <v>20851319.051905885</v>
      </c>
      <c r="G157" s="10">
        <v>1230</v>
      </c>
      <c r="H157" s="10">
        <v>12</v>
      </c>
      <c r="I157" s="10">
        <v>2</v>
      </c>
      <c r="J157" s="10">
        <v>1365</v>
      </c>
      <c r="K157" s="10">
        <v>23882559.608761776</v>
      </c>
    </row>
    <row r="158" spans="1:11" x14ac:dyDescent="0.35">
      <c r="A158" s="9" t="s">
        <v>272</v>
      </c>
      <c r="B158" s="10">
        <v>904</v>
      </c>
      <c r="C158" s="10">
        <v>17</v>
      </c>
      <c r="D158" s="10">
        <v>4</v>
      </c>
      <c r="E158" s="10">
        <v>841</v>
      </c>
      <c r="F158" s="10">
        <v>20116436.169709288</v>
      </c>
      <c r="G158" s="10">
        <v>886</v>
      </c>
      <c r="H158" s="10">
        <v>10</v>
      </c>
      <c r="I158" s="10">
        <v>4</v>
      </c>
      <c r="J158" s="10">
        <v>863</v>
      </c>
      <c r="K158" s="10">
        <v>21510228.278294355</v>
      </c>
    </row>
    <row r="159" spans="1:11" x14ac:dyDescent="0.35">
      <c r="A159" s="9" t="s">
        <v>273</v>
      </c>
      <c r="B159" s="10">
        <v>621</v>
      </c>
      <c r="C159" s="10">
        <v>11</v>
      </c>
      <c r="D159" s="10">
        <v>0</v>
      </c>
      <c r="E159" s="10">
        <v>630</v>
      </c>
      <c r="F159" s="10">
        <v>13800273.677457953</v>
      </c>
      <c r="G159" s="10">
        <v>666</v>
      </c>
      <c r="H159" s="10">
        <v>11</v>
      </c>
      <c r="I159" s="10">
        <v>1</v>
      </c>
      <c r="J159" s="10">
        <v>640</v>
      </c>
      <c r="K159" s="10">
        <v>16855322.657195158</v>
      </c>
    </row>
    <row r="160" spans="1:11" x14ac:dyDescent="0.35">
      <c r="A160" s="9" t="s">
        <v>274</v>
      </c>
      <c r="B160" s="10">
        <v>970</v>
      </c>
      <c r="C160" s="10">
        <v>13</v>
      </c>
      <c r="D160" s="10">
        <v>1</v>
      </c>
      <c r="E160" s="10">
        <v>1055</v>
      </c>
      <c r="F160" s="10">
        <v>17571704.578292862</v>
      </c>
      <c r="G160" s="10">
        <v>877</v>
      </c>
      <c r="H160" s="10">
        <v>11</v>
      </c>
      <c r="I160" s="10">
        <v>1</v>
      </c>
      <c r="J160" s="10">
        <v>964</v>
      </c>
      <c r="K160" s="10">
        <v>18922452.520532627</v>
      </c>
    </row>
    <row r="161" spans="1:11" x14ac:dyDescent="0.35">
      <c r="A161" s="9" t="s">
        <v>275</v>
      </c>
      <c r="B161" s="10">
        <v>464</v>
      </c>
      <c r="C161" s="10">
        <v>10</v>
      </c>
      <c r="D161" s="10">
        <v>1</v>
      </c>
      <c r="E161" s="10">
        <v>396</v>
      </c>
      <c r="F161" s="10">
        <v>18942006.112322517</v>
      </c>
      <c r="G161" s="10">
        <v>465</v>
      </c>
      <c r="H161" s="10">
        <v>8</v>
      </c>
      <c r="I161" s="10">
        <v>1</v>
      </c>
      <c r="J161" s="10">
        <v>414</v>
      </c>
      <c r="K161" s="10">
        <v>20497967.094990317</v>
      </c>
    </row>
    <row r="162" spans="1:11" x14ac:dyDescent="0.35">
      <c r="A162" s="9" t="s">
        <v>276</v>
      </c>
      <c r="B162" s="10">
        <v>495</v>
      </c>
      <c r="C162" s="10">
        <v>3</v>
      </c>
      <c r="D162" s="10">
        <v>1</v>
      </c>
      <c r="E162" s="10">
        <v>82</v>
      </c>
      <c r="F162" s="10">
        <v>24870502.123115055</v>
      </c>
      <c r="G162" s="10">
        <v>497</v>
      </c>
      <c r="H162" s="10">
        <v>4</v>
      </c>
      <c r="I162" s="10">
        <v>1</v>
      </c>
      <c r="J162" s="10">
        <v>402</v>
      </c>
      <c r="K162" s="10">
        <v>28086470.095183801</v>
      </c>
    </row>
    <row r="163" spans="1:11" x14ac:dyDescent="0.35">
      <c r="A163" s="9" t="s">
        <v>277</v>
      </c>
      <c r="B163" s="10">
        <v>728</v>
      </c>
      <c r="C163" s="10">
        <v>6</v>
      </c>
      <c r="D163" s="10">
        <v>1</v>
      </c>
      <c r="E163" s="10">
        <v>612</v>
      </c>
      <c r="F163" s="10">
        <v>15792092.942282816</v>
      </c>
      <c r="G163" s="10">
        <v>571</v>
      </c>
      <c r="H163" s="10">
        <v>8</v>
      </c>
      <c r="I163" s="10">
        <v>1</v>
      </c>
      <c r="J163" s="10">
        <v>585</v>
      </c>
      <c r="K163" s="10">
        <v>18431168.763769142</v>
      </c>
    </row>
    <row r="164" spans="1:11" x14ac:dyDescent="0.35">
      <c r="A164" s="9" t="s">
        <v>278</v>
      </c>
      <c r="B164" s="10">
        <v>756</v>
      </c>
      <c r="C164" s="10">
        <v>9</v>
      </c>
      <c r="D164" s="10">
        <v>1</v>
      </c>
      <c r="E164" s="10">
        <v>582</v>
      </c>
      <c r="F164" s="10">
        <v>22885899.23412551</v>
      </c>
      <c r="G164" s="10">
        <v>684</v>
      </c>
      <c r="H164" s="10">
        <v>11</v>
      </c>
      <c r="I164" s="10">
        <v>1</v>
      </c>
      <c r="J164" s="10">
        <v>566</v>
      </c>
      <c r="K164" s="10">
        <v>22615682.780866075</v>
      </c>
    </row>
    <row r="165" spans="1:11" x14ac:dyDescent="0.35">
      <c r="A165" s="9" t="s">
        <v>279</v>
      </c>
      <c r="B165" s="10">
        <v>898</v>
      </c>
      <c r="C165" s="10">
        <v>16</v>
      </c>
      <c r="D165" s="10">
        <v>3</v>
      </c>
      <c r="E165" s="10">
        <v>813</v>
      </c>
      <c r="F165" s="10">
        <v>16053738.137599088</v>
      </c>
      <c r="G165" s="10">
        <v>738</v>
      </c>
      <c r="H165" s="10">
        <v>13</v>
      </c>
      <c r="I165" s="10">
        <v>3</v>
      </c>
      <c r="J165" s="10">
        <v>785</v>
      </c>
      <c r="K165" s="10">
        <v>14988517.312143302</v>
      </c>
    </row>
    <row r="166" spans="1:11" x14ac:dyDescent="0.35">
      <c r="A166" s="9" t="s">
        <v>280</v>
      </c>
      <c r="B166" s="10">
        <v>667</v>
      </c>
      <c r="C166" s="10">
        <v>3</v>
      </c>
      <c r="D166" s="10">
        <v>8</v>
      </c>
      <c r="E166" s="10">
        <v>562</v>
      </c>
      <c r="F166" s="10">
        <v>31177699.846535597</v>
      </c>
      <c r="G166" s="10">
        <v>579</v>
      </c>
      <c r="H166" s="10">
        <v>4</v>
      </c>
      <c r="I166" s="10">
        <v>12</v>
      </c>
      <c r="J166" s="10">
        <v>525</v>
      </c>
      <c r="K166" s="10">
        <v>32645236.309299048</v>
      </c>
    </row>
    <row r="167" spans="1:11" x14ac:dyDescent="0.35">
      <c r="A167" s="9" t="s">
        <v>281</v>
      </c>
      <c r="B167" s="10">
        <v>1068</v>
      </c>
      <c r="C167" s="10">
        <v>18</v>
      </c>
      <c r="D167" s="10">
        <v>1</v>
      </c>
      <c r="E167" s="10">
        <v>1124</v>
      </c>
      <c r="F167" s="10">
        <v>24404746.211907927</v>
      </c>
      <c r="G167" s="10">
        <v>1029</v>
      </c>
      <c r="H167" s="10">
        <v>13</v>
      </c>
      <c r="I167" s="10">
        <v>1</v>
      </c>
      <c r="J167" s="10">
        <v>1085</v>
      </c>
      <c r="K167" s="10">
        <v>25370370.60263937</v>
      </c>
    </row>
    <row r="168" spans="1:11" x14ac:dyDescent="0.35">
      <c r="A168" s="9" t="s">
        <v>282</v>
      </c>
      <c r="B168" s="10">
        <v>964</v>
      </c>
      <c r="C168" s="10">
        <v>9</v>
      </c>
      <c r="D168" s="10">
        <v>1</v>
      </c>
      <c r="E168" s="10">
        <v>902</v>
      </c>
      <c r="F168" s="10">
        <v>39287729.723229185</v>
      </c>
      <c r="G168" s="10">
        <v>883</v>
      </c>
      <c r="H168" s="10">
        <v>17</v>
      </c>
      <c r="I168" s="10">
        <v>1</v>
      </c>
      <c r="J168" s="10">
        <v>884</v>
      </c>
      <c r="K168" s="10">
        <v>40997899.885907814</v>
      </c>
    </row>
    <row r="169" spans="1:11" x14ac:dyDescent="0.35">
      <c r="A169" s="9" t="s">
        <v>283</v>
      </c>
      <c r="B169" s="10">
        <v>1315</v>
      </c>
      <c r="C169" s="10">
        <v>19</v>
      </c>
      <c r="D169" s="10">
        <v>3</v>
      </c>
      <c r="E169" s="10">
        <v>1701</v>
      </c>
      <c r="F169" s="10">
        <v>61921163.561818562</v>
      </c>
      <c r="G169" s="10">
        <v>1153</v>
      </c>
      <c r="H169" s="10">
        <v>21</v>
      </c>
      <c r="I169" s="10">
        <v>2</v>
      </c>
      <c r="J169" s="10">
        <v>958</v>
      </c>
      <c r="K169" s="10">
        <v>63035224.627427645</v>
      </c>
    </row>
    <row r="170" spans="1:11" x14ac:dyDescent="0.35">
      <c r="A170" s="9" t="s">
        <v>284</v>
      </c>
      <c r="B170" s="10">
        <v>879</v>
      </c>
      <c r="C170" s="10">
        <v>12</v>
      </c>
      <c r="D170" s="10">
        <v>2</v>
      </c>
      <c r="E170" s="10">
        <v>927</v>
      </c>
      <c r="F170" s="10">
        <v>27366680.049559664</v>
      </c>
      <c r="G170" s="10">
        <v>830</v>
      </c>
      <c r="H170" s="10">
        <v>11</v>
      </c>
      <c r="I170" s="10">
        <v>2</v>
      </c>
      <c r="J170" s="10">
        <v>746</v>
      </c>
      <c r="K170" s="10">
        <v>33666163.261435866</v>
      </c>
    </row>
    <row r="171" spans="1:11" x14ac:dyDescent="0.35">
      <c r="A171" s="9" t="s">
        <v>285</v>
      </c>
      <c r="B171" s="10">
        <v>1474</v>
      </c>
      <c r="C171" s="10">
        <v>18</v>
      </c>
      <c r="D171" s="10">
        <v>3</v>
      </c>
      <c r="E171" s="10">
        <v>1326</v>
      </c>
      <c r="F171" s="10">
        <v>54400397.191824012</v>
      </c>
      <c r="G171" s="10">
        <v>1593</v>
      </c>
      <c r="H171" s="10">
        <v>34</v>
      </c>
      <c r="I171" s="10">
        <v>3</v>
      </c>
      <c r="J171" s="10">
        <v>1465</v>
      </c>
      <c r="K171" s="10">
        <v>56598080.057790697</v>
      </c>
    </row>
    <row r="172" spans="1:11" x14ac:dyDescent="0.35">
      <c r="A172" s="9" t="s">
        <v>286</v>
      </c>
      <c r="B172" s="10">
        <v>120</v>
      </c>
      <c r="C172" s="10">
        <v>1</v>
      </c>
      <c r="D172" s="10">
        <v>2</v>
      </c>
      <c r="E172" s="10">
        <v>146</v>
      </c>
      <c r="F172" s="10">
        <v>4536028.4237480732</v>
      </c>
      <c r="G172" s="10">
        <v>176</v>
      </c>
      <c r="H172" s="10">
        <v>3</v>
      </c>
      <c r="I172" s="10">
        <v>2</v>
      </c>
      <c r="J172" s="10">
        <v>137</v>
      </c>
      <c r="K172" s="10">
        <v>5837022.4068726087</v>
      </c>
    </row>
    <row r="173" spans="1:11" x14ac:dyDescent="0.35">
      <c r="A173" s="9" t="s">
        <v>287</v>
      </c>
      <c r="B173" s="10">
        <v>249</v>
      </c>
      <c r="C173" s="10">
        <v>1</v>
      </c>
      <c r="D173" s="10">
        <v>1</v>
      </c>
      <c r="E173" s="10">
        <v>0</v>
      </c>
      <c r="F173" s="10">
        <v>5691614.1718006069</v>
      </c>
      <c r="G173" s="10">
        <v>14</v>
      </c>
      <c r="H173" s="10">
        <v>0</v>
      </c>
      <c r="I173" s="10">
        <v>0</v>
      </c>
      <c r="J173" s="10">
        <v>0</v>
      </c>
      <c r="K173" s="10">
        <v>9699.0314658210009</v>
      </c>
    </row>
    <row r="174" spans="1:11" x14ac:dyDescent="0.35">
      <c r="A174" s="9" t="s">
        <v>288</v>
      </c>
      <c r="B174" s="10">
        <v>264</v>
      </c>
      <c r="C174" s="10">
        <v>14</v>
      </c>
      <c r="D174" s="10">
        <v>2</v>
      </c>
      <c r="E174" s="10">
        <v>224</v>
      </c>
      <c r="F174" s="10">
        <v>11202844.13337148</v>
      </c>
      <c r="G174" s="10">
        <v>237</v>
      </c>
      <c r="H174" s="10">
        <v>7</v>
      </c>
      <c r="I174" s="10">
        <v>1</v>
      </c>
      <c r="J174" s="10">
        <v>211</v>
      </c>
      <c r="K174" s="10">
        <v>12000532.367267668</v>
      </c>
    </row>
    <row r="175" spans="1:11" x14ac:dyDescent="0.35">
      <c r="A175" s="9" t="s">
        <v>289</v>
      </c>
      <c r="B175" s="10">
        <v>407</v>
      </c>
      <c r="C175" s="10">
        <v>5</v>
      </c>
      <c r="D175" s="10">
        <v>3</v>
      </c>
      <c r="E175" s="10">
        <v>704</v>
      </c>
      <c r="F175" s="10">
        <v>16666121.09293256</v>
      </c>
      <c r="G175" s="10">
        <v>385</v>
      </c>
      <c r="H175" s="10">
        <v>6</v>
      </c>
      <c r="I175" s="10">
        <v>3</v>
      </c>
      <c r="J175" s="10">
        <v>350</v>
      </c>
      <c r="K175" s="10">
        <v>17351881.701911148</v>
      </c>
    </row>
    <row r="176" spans="1:11" x14ac:dyDescent="0.35">
      <c r="A176" s="9" t="s">
        <v>290</v>
      </c>
      <c r="B176" s="10">
        <v>430</v>
      </c>
      <c r="C176" s="10">
        <v>16</v>
      </c>
      <c r="D176" s="10">
        <v>3</v>
      </c>
      <c r="E176" s="10">
        <v>381</v>
      </c>
      <c r="F176" s="10">
        <v>16303461.527754024</v>
      </c>
      <c r="G176" s="10">
        <v>492</v>
      </c>
      <c r="H176" s="10">
        <v>28</v>
      </c>
      <c r="I176" s="10">
        <v>4</v>
      </c>
      <c r="J176" s="10">
        <v>419</v>
      </c>
      <c r="K176" s="10">
        <v>14124347.089322744</v>
      </c>
    </row>
    <row r="177" spans="1:11" x14ac:dyDescent="0.35">
      <c r="A177" s="9" t="s">
        <v>291</v>
      </c>
      <c r="B177" s="10">
        <v>713</v>
      </c>
      <c r="C177" s="10">
        <v>15</v>
      </c>
      <c r="D177" s="10">
        <v>1</v>
      </c>
      <c r="E177" s="10">
        <v>746</v>
      </c>
      <c r="F177" s="10">
        <v>22023113.721402604</v>
      </c>
      <c r="G177" s="10">
        <v>879</v>
      </c>
      <c r="H177" s="10">
        <v>144</v>
      </c>
      <c r="I177" s="10">
        <v>2</v>
      </c>
      <c r="J177" s="10">
        <v>728</v>
      </c>
      <c r="K177" s="10">
        <v>24529501.961273752</v>
      </c>
    </row>
    <row r="178" spans="1:11" x14ac:dyDescent="0.35">
      <c r="A178" s="9" t="s">
        <v>292</v>
      </c>
      <c r="B178" s="10">
        <v>546</v>
      </c>
      <c r="C178" s="10">
        <v>13</v>
      </c>
      <c r="D178" s="10">
        <v>3</v>
      </c>
      <c r="E178" s="10">
        <v>502</v>
      </c>
      <c r="F178" s="10">
        <v>26222836.755777977</v>
      </c>
      <c r="G178" s="10">
        <v>539</v>
      </c>
      <c r="H178" s="10">
        <v>74</v>
      </c>
      <c r="I178" s="10">
        <v>2</v>
      </c>
      <c r="J178" s="10">
        <v>450</v>
      </c>
      <c r="K178" s="10">
        <v>19521380.341506936</v>
      </c>
    </row>
    <row r="179" spans="1:11" x14ac:dyDescent="0.35">
      <c r="A179" s="9" t="s">
        <v>293</v>
      </c>
      <c r="B179" s="10">
        <v>442</v>
      </c>
      <c r="C179" s="10">
        <v>16</v>
      </c>
      <c r="D179" s="10">
        <v>2</v>
      </c>
      <c r="E179" s="10">
        <v>397</v>
      </c>
      <c r="F179" s="10">
        <v>17271014.81622484</v>
      </c>
      <c r="G179" s="10">
        <v>552</v>
      </c>
      <c r="H179" s="10">
        <v>24</v>
      </c>
      <c r="I179" s="10">
        <v>2</v>
      </c>
      <c r="J179" s="10">
        <v>513</v>
      </c>
      <c r="K179" s="10">
        <v>17888791.72155631</v>
      </c>
    </row>
    <row r="180" spans="1:11" x14ac:dyDescent="0.35">
      <c r="A180" s="9" t="s">
        <v>294</v>
      </c>
      <c r="B180" s="10">
        <v>133</v>
      </c>
      <c r="C180" s="10">
        <v>0</v>
      </c>
      <c r="D180" s="10">
        <v>1</v>
      </c>
      <c r="E180" s="10">
        <v>123</v>
      </c>
      <c r="F180" s="10">
        <v>7010513.915812457</v>
      </c>
      <c r="G180" s="10">
        <v>222</v>
      </c>
      <c r="H180" s="10">
        <v>4</v>
      </c>
      <c r="I180" s="10">
        <v>1</v>
      </c>
      <c r="J180" s="10">
        <v>195</v>
      </c>
      <c r="K180" s="10">
        <v>8010377.281466227</v>
      </c>
    </row>
    <row r="181" spans="1:11" x14ac:dyDescent="0.35">
      <c r="A181" s="9" t="s">
        <v>295</v>
      </c>
      <c r="B181" s="10">
        <v>777</v>
      </c>
      <c r="C181" s="10">
        <v>12</v>
      </c>
      <c r="D181" s="10">
        <v>3</v>
      </c>
      <c r="E181" s="10">
        <v>759</v>
      </c>
      <c r="F181" s="10">
        <v>16174462.132058436</v>
      </c>
      <c r="G181" s="10">
        <v>914</v>
      </c>
      <c r="H181" s="10">
        <v>17</v>
      </c>
      <c r="I181" s="10">
        <v>3</v>
      </c>
      <c r="J181" s="10">
        <v>904</v>
      </c>
      <c r="K181" s="10">
        <v>19849212.447343651</v>
      </c>
    </row>
    <row r="182" spans="1:11" x14ac:dyDescent="0.35">
      <c r="A182" s="9" t="s">
        <v>296</v>
      </c>
      <c r="B182" s="10">
        <v>429</v>
      </c>
      <c r="C182" s="10">
        <v>6</v>
      </c>
      <c r="D182" s="10">
        <v>1</v>
      </c>
      <c r="E182" s="10">
        <v>419</v>
      </c>
      <c r="F182" s="10">
        <v>15116726.034489747</v>
      </c>
      <c r="G182" s="10">
        <v>478</v>
      </c>
      <c r="H182" s="10">
        <v>6</v>
      </c>
      <c r="I182" s="10">
        <v>1</v>
      </c>
      <c r="J182" s="10">
        <v>449</v>
      </c>
      <c r="K182" s="10">
        <v>14074563.262845488</v>
      </c>
    </row>
    <row r="183" spans="1:11" x14ac:dyDescent="0.35">
      <c r="A183" s="9" t="s">
        <v>297</v>
      </c>
      <c r="B183" s="10">
        <v>1500</v>
      </c>
      <c r="C183" s="10">
        <v>58</v>
      </c>
      <c r="D183" s="10">
        <v>6</v>
      </c>
      <c r="E183" s="10">
        <v>1294</v>
      </c>
      <c r="F183" s="10">
        <v>39700229.020033292</v>
      </c>
      <c r="G183" s="10">
        <v>1339</v>
      </c>
      <c r="H183" s="10">
        <v>53</v>
      </c>
      <c r="I183" s="10">
        <v>4</v>
      </c>
      <c r="J183" s="10">
        <v>1258</v>
      </c>
      <c r="K183" s="10">
        <v>39845477.138261154</v>
      </c>
    </row>
    <row r="184" spans="1:11" x14ac:dyDescent="0.35">
      <c r="A184" s="9" t="s">
        <v>298</v>
      </c>
      <c r="B184" s="10">
        <v>265</v>
      </c>
      <c r="C184" s="10">
        <v>4</v>
      </c>
      <c r="D184" s="10">
        <v>1</v>
      </c>
      <c r="E184" s="10">
        <v>121</v>
      </c>
      <c r="F184" s="10">
        <v>7978989.2863322124</v>
      </c>
      <c r="G184" s="10">
        <v>201</v>
      </c>
      <c r="H184" s="10">
        <v>5</v>
      </c>
      <c r="I184" s="10">
        <v>1</v>
      </c>
      <c r="J184" s="10">
        <v>122</v>
      </c>
      <c r="K184" s="10">
        <v>6914587.1842933064</v>
      </c>
    </row>
    <row r="185" spans="1:11" x14ac:dyDescent="0.35">
      <c r="A185" s="9" t="s">
        <v>299</v>
      </c>
      <c r="B185" s="10">
        <v>305</v>
      </c>
      <c r="C185" s="10">
        <v>63</v>
      </c>
      <c r="D185" s="10">
        <v>2</v>
      </c>
      <c r="E185" s="10">
        <v>199</v>
      </c>
      <c r="F185" s="10">
        <v>5330835.4872780861</v>
      </c>
      <c r="G185" s="10">
        <v>188</v>
      </c>
      <c r="H185" s="10">
        <v>356</v>
      </c>
      <c r="I185" s="10">
        <v>2</v>
      </c>
      <c r="J185" s="10">
        <v>168</v>
      </c>
      <c r="K185" s="10">
        <v>5302091.3791857511</v>
      </c>
    </row>
    <row r="186" spans="1:11" x14ac:dyDescent="0.35">
      <c r="A186" s="9" t="s">
        <v>300</v>
      </c>
      <c r="B186" s="10">
        <v>367</v>
      </c>
      <c r="C186" s="10">
        <v>6</v>
      </c>
      <c r="D186" s="10">
        <v>0</v>
      </c>
      <c r="E186" s="10">
        <v>301</v>
      </c>
      <c r="F186" s="10">
        <v>13767537.078813909</v>
      </c>
      <c r="G186" s="10">
        <v>357</v>
      </c>
      <c r="H186" s="10">
        <v>6</v>
      </c>
      <c r="I186" s="10">
        <v>0</v>
      </c>
      <c r="J186" s="10">
        <v>290</v>
      </c>
      <c r="K186" s="10">
        <v>13671762.282837577</v>
      </c>
    </row>
    <row r="187" spans="1:11" x14ac:dyDescent="0.35">
      <c r="A187" s="9" t="s">
        <v>301</v>
      </c>
      <c r="B187" s="10">
        <v>483</v>
      </c>
      <c r="C187" s="10">
        <v>5</v>
      </c>
      <c r="D187" s="10">
        <v>2</v>
      </c>
      <c r="E187" s="10">
        <v>377</v>
      </c>
      <c r="F187" s="10">
        <v>21019558.692000631</v>
      </c>
      <c r="G187" s="10">
        <v>382</v>
      </c>
      <c r="H187" s="10">
        <v>11</v>
      </c>
      <c r="I187" s="10">
        <v>2</v>
      </c>
      <c r="J187" s="10">
        <v>329</v>
      </c>
      <c r="K187" s="10">
        <v>22043727.901571196</v>
      </c>
    </row>
    <row r="188" spans="1:11" x14ac:dyDescent="0.35">
      <c r="A188" s="9" t="s">
        <v>302</v>
      </c>
      <c r="B188" s="10">
        <v>1009</v>
      </c>
      <c r="C188" s="10">
        <v>8</v>
      </c>
      <c r="D188" s="10">
        <v>3</v>
      </c>
      <c r="E188" s="10">
        <v>1000</v>
      </c>
      <c r="F188" s="10">
        <v>38880824.326847874</v>
      </c>
      <c r="G188" s="10">
        <v>985</v>
      </c>
      <c r="H188" s="10">
        <v>13</v>
      </c>
      <c r="I188" s="10">
        <v>1</v>
      </c>
      <c r="J188" s="10">
        <v>971</v>
      </c>
      <c r="K188" s="10">
        <v>36622093.120917954</v>
      </c>
    </row>
    <row r="189" spans="1:11" x14ac:dyDescent="0.35">
      <c r="A189" s="9" t="s">
        <v>303</v>
      </c>
      <c r="B189" s="10">
        <v>577</v>
      </c>
      <c r="C189" s="10">
        <v>7</v>
      </c>
      <c r="D189" s="10">
        <v>0</v>
      </c>
      <c r="E189" s="10">
        <v>591</v>
      </c>
      <c r="F189" s="10">
        <v>18682228.818070583</v>
      </c>
      <c r="G189" s="10">
        <v>551</v>
      </c>
      <c r="H189" s="10">
        <v>13</v>
      </c>
      <c r="I189" s="10">
        <v>1</v>
      </c>
      <c r="J189" s="10">
        <v>544</v>
      </c>
      <c r="K189" s="10">
        <v>24822339.764915865</v>
      </c>
    </row>
    <row r="190" spans="1:11" x14ac:dyDescent="0.35">
      <c r="A190" s="9" t="s">
        <v>304</v>
      </c>
      <c r="B190" s="10">
        <v>335</v>
      </c>
      <c r="C190" s="10">
        <v>3</v>
      </c>
      <c r="D190" s="10">
        <v>2</v>
      </c>
      <c r="E190" s="10">
        <v>319</v>
      </c>
      <c r="F190" s="10">
        <v>17673060.957643352</v>
      </c>
      <c r="G190" s="10">
        <v>288</v>
      </c>
      <c r="H190" s="10">
        <v>5</v>
      </c>
      <c r="I190" s="10">
        <v>2</v>
      </c>
      <c r="J190" s="10">
        <v>287</v>
      </c>
      <c r="K190" s="10">
        <v>18279604.378900036</v>
      </c>
    </row>
    <row r="191" spans="1:11" x14ac:dyDescent="0.35">
      <c r="A191" s="9" t="s">
        <v>305</v>
      </c>
      <c r="B191" s="10">
        <v>549</v>
      </c>
      <c r="C191" s="10">
        <v>10</v>
      </c>
      <c r="D191" s="10">
        <v>2</v>
      </c>
      <c r="E191" s="10">
        <v>572</v>
      </c>
      <c r="F191" s="10">
        <v>16797054.732804213</v>
      </c>
      <c r="G191" s="10">
        <v>505</v>
      </c>
      <c r="H191" s="10">
        <v>12</v>
      </c>
      <c r="I191" s="10">
        <v>1</v>
      </c>
      <c r="J191" s="10">
        <v>495</v>
      </c>
      <c r="K191" s="10">
        <v>17021171.813901752</v>
      </c>
    </row>
    <row r="192" spans="1:11" x14ac:dyDescent="0.35">
      <c r="A192" s="9" t="s">
        <v>306</v>
      </c>
      <c r="B192" s="10">
        <v>503</v>
      </c>
      <c r="C192" s="10">
        <v>8</v>
      </c>
      <c r="D192" s="10">
        <v>2</v>
      </c>
      <c r="E192" s="10">
        <v>441</v>
      </c>
      <c r="F192" s="10">
        <v>17162348.099548552</v>
      </c>
      <c r="G192" s="10">
        <v>455</v>
      </c>
      <c r="H192" s="10">
        <v>5</v>
      </c>
      <c r="I192" s="10">
        <v>2</v>
      </c>
      <c r="J192" s="10">
        <v>459</v>
      </c>
      <c r="K192" s="10">
        <v>14602431.679946411</v>
      </c>
    </row>
    <row r="193" spans="1:11" x14ac:dyDescent="0.35">
      <c r="A193" s="9" t="s">
        <v>307</v>
      </c>
      <c r="B193" s="10">
        <v>833</v>
      </c>
      <c r="C193" s="10">
        <v>21</v>
      </c>
      <c r="D193" s="10">
        <v>1</v>
      </c>
      <c r="E193" s="10">
        <v>841</v>
      </c>
      <c r="F193" s="10">
        <v>34328695.444800094</v>
      </c>
      <c r="G193" s="10">
        <v>891</v>
      </c>
      <c r="H193" s="10">
        <v>20</v>
      </c>
      <c r="I193" s="10">
        <v>1</v>
      </c>
      <c r="J193" s="10">
        <v>857</v>
      </c>
      <c r="K193" s="10">
        <v>36292796.17579253</v>
      </c>
    </row>
    <row r="194" spans="1:11" x14ac:dyDescent="0.35">
      <c r="A194" s="9" t="s">
        <v>308</v>
      </c>
      <c r="B194" s="10">
        <v>1021</v>
      </c>
      <c r="C194" s="10">
        <v>43</v>
      </c>
      <c r="D194" s="10">
        <v>4</v>
      </c>
      <c r="E194" s="10">
        <v>792</v>
      </c>
      <c r="F194" s="10">
        <v>44203315.744151704</v>
      </c>
      <c r="G194" s="10">
        <v>947</v>
      </c>
      <c r="H194" s="10">
        <v>46</v>
      </c>
      <c r="I194" s="10">
        <v>4</v>
      </c>
      <c r="J194" s="10">
        <v>838</v>
      </c>
      <c r="K194" s="10">
        <v>47873049.709519453</v>
      </c>
    </row>
    <row r="195" spans="1:11" x14ac:dyDescent="0.35">
      <c r="A195" s="9" t="s">
        <v>309</v>
      </c>
      <c r="B195" s="10">
        <v>168</v>
      </c>
      <c r="C195" s="10">
        <v>0</v>
      </c>
      <c r="D195" s="10">
        <v>0</v>
      </c>
      <c r="E195" s="10">
        <v>114</v>
      </c>
      <c r="F195" s="10">
        <v>4855724.9053656878</v>
      </c>
      <c r="G195" s="10">
        <v>140</v>
      </c>
      <c r="H195" s="10">
        <v>1</v>
      </c>
      <c r="I195" s="10">
        <v>0</v>
      </c>
      <c r="J195" s="10">
        <v>125</v>
      </c>
      <c r="K195" s="10">
        <v>5461073.7273152256</v>
      </c>
    </row>
    <row r="196" spans="1:11" x14ac:dyDescent="0.35">
      <c r="A196" s="9" t="s">
        <v>310</v>
      </c>
      <c r="B196" s="10">
        <v>170</v>
      </c>
      <c r="C196" s="10">
        <v>9</v>
      </c>
      <c r="D196" s="10">
        <v>1</v>
      </c>
      <c r="E196" s="10">
        <v>177</v>
      </c>
      <c r="F196" s="10">
        <v>8943769.4267745074</v>
      </c>
      <c r="G196" s="10">
        <v>213</v>
      </c>
      <c r="H196" s="10">
        <v>7</v>
      </c>
      <c r="I196" s="10">
        <v>1</v>
      </c>
      <c r="J196" s="10">
        <v>221</v>
      </c>
      <c r="K196" s="10">
        <v>9967332.7557691764</v>
      </c>
    </row>
    <row r="197" spans="1:11" x14ac:dyDescent="0.35">
      <c r="A197" s="9" t="s">
        <v>311</v>
      </c>
      <c r="B197" s="10">
        <v>704</v>
      </c>
      <c r="C197" s="10">
        <v>135</v>
      </c>
      <c r="D197" s="10">
        <v>1</v>
      </c>
      <c r="E197" s="10">
        <v>631</v>
      </c>
      <c r="F197" s="10">
        <v>35603876.029645413</v>
      </c>
      <c r="G197" s="10">
        <v>682</v>
      </c>
      <c r="H197" s="10">
        <v>28</v>
      </c>
      <c r="I197" s="10">
        <v>1</v>
      </c>
      <c r="J197" s="10">
        <v>540</v>
      </c>
      <c r="K197" s="10">
        <v>34956688.350746706</v>
      </c>
    </row>
    <row r="198" spans="1:11" x14ac:dyDescent="0.35">
      <c r="A198" s="9" t="s">
        <v>312</v>
      </c>
      <c r="B198" s="10">
        <v>397</v>
      </c>
      <c r="C198" s="10">
        <v>8</v>
      </c>
      <c r="D198" s="10">
        <v>0</v>
      </c>
      <c r="E198" s="10">
        <v>347</v>
      </c>
      <c r="F198" s="10">
        <v>18274644.10930666</v>
      </c>
      <c r="G198" s="10">
        <v>345</v>
      </c>
      <c r="H198" s="10">
        <v>12</v>
      </c>
      <c r="I198" s="10">
        <v>0</v>
      </c>
      <c r="J198" s="10">
        <v>320</v>
      </c>
      <c r="K198" s="10">
        <v>17943361.435770839</v>
      </c>
    </row>
    <row r="199" spans="1:11" x14ac:dyDescent="0.35">
      <c r="A199" s="9" t="s">
        <v>313</v>
      </c>
      <c r="B199" s="10">
        <v>1382</v>
      </c>
      <c r="C199" s="10">
        <v>16</v>
      </c>
      <c r="D199" s="10">
        <v>4</v>
      </c>
      <c r="E199" s="10">
        <v>1148</v>
      </c>
      <c r="F199" s="10">
        <v>45967831.075076059</v>
      </c>
      <c r="G199" s="10">
        <v>1277</v>
      </c>
      <c r="H199" s="10">
        <v>23</v>
      </c>
      <c r="I199" s="10">
        <v>3</v>
      </c>
      <c r="J199" s="10">
        <v>1196</v>
      </c>
      <c r="K199" s="10">
        <v>45560010.021907009</v>
      </c>
    </row>
    <row r="200" spans="1:11" x14ac:dyDescent="0.35">
      <c r="A200" s="9" t="s">
        <v>314</v>
      </c>
      <c r="B200" s="10">
        <v>669</v>
      </c>
      <c r="C200" s="10">
        <v>10</v>
      </c>
      <c r="D200" s="10">
        <v>1</v>
      </c>
      <c r="E200" s="10">
        <v>513</v>
      </c>
      <c r="F200" s="10">
        <v>28260627.802706879</v>
      </c>
      <c r="G200" s="10">
        <v>602</v>
      </c>
      <c r="H200" s="10">
        <v>8</v>
      </c>
      <c r="I200" s="10">
        <v>1</v>
      </c>
      <c r="J200" s="10">
        <v>595</v>
      </c>
      <c r="K200" s="10">
        <v>28133063.255998701</v>
      </c>
    </row>
    <row r="201" spans="1:11" x14ac:dyDescent="0.35">
      <c r="A201" s="9" t="s">
        <v>315</v>
      </c>
      <c r="B201" s="10">
        <v>858</v>
      </c>
      <c r="C201" s="10">
        <v>9</v>
      </c>
      <c r="D201" s="10">
        <v>2</v>
      </c>
      <c r="E201" s="10">
        <v>756</v>
      </c>
      <c r="F201" s="10">
        <v>37819625.921385854</v>
      </c>
      <c r="G201" s="10">
        <v>682</v>
      </c>
      <c r="H201" s="10">
        <v>16</v>
      </c>
      <c r="I201" s="10">
        <v>2</v>
      </c>
      <c r="J201" s="10">
        <v>646</v>
      </c>
      <c r="K201" s="10">
        <v>44147723.992342055</v>
      </c>
    </row>
    <row r="202" spans="1:11" x14ac:dyDescent="0.35">
      <c r="A202" s="9" t="s">
        <v>316</v>
      </c>
      <c r="B202" s="10">
        <v>637</v>
      </c>
      <c r="C202" s="10">
        <v>10</v>
      </c>
      <c r="D202" s="10">
        <v>5</v>
      </c>
      <c r="E202" s="10">
        <v>511</v>
      </c>
      <c r="F202" s="10">
        <v>31930718.40807249</v>
      </c>
      <c r="G202" s="10">
        <v>637</v>
      </c>
      <c r="H202" s="10">
        <v>20</v>
      </c>
      <c r="I202" s="10">
        <v>6</v>
      </c>
      <c r="J202" s="10">
        <v>528</v>
      </c>
      <c r="K202" s="10">
        <v>32781321.745733984</v>
      </c>
    </row>
    <row r="203" spans="1:11" x14ac:dyDescent="0.35">
      <c r="A203" s="9" t="s">
        <v>317</v>
      </c>
      <c r="B203" s="10">
        <v>462</v>
      </c>
      <c r="C203" s="10">
        <v>6</v>
      </c>
      <c r="D203" s="10">
        <v>1</v>
      </c>
      <c r="E203" s="10">
        <v>349</v>
      </c>
      <c r="F203" s="10">
        <v>16261559.253907025</v>
      </c>
      <c r="G203" s="10">
        <v>412</v>
      </c>
      <c r="H203" s="10">
        <v>5</v>
      </c>
      <c r="I203" s="10">
        <v>0</v>
      </c>
      <c r="J203" s="10">
        <v>427</v>
      </c>
      <c r="K203" s="10">
        <v>17246915.685540631</v>
      </c>
    </row>
    <row r="204" spans="1:11" x14ac:dyDescent="0.35">
      <c r="A204" s="9" t="s">
        <v>318</v>
      </c>
      <c r="B204" s="10">
        <v>923</v>
      </c>
      <c r="C204" s="10">
        <v>16</v>
      </c>
      <c r="D204" s="10">
        <v>3</v>
      </c>
      <c r="E204" s="10">
        <v>823</v>
      </c>
      <c r="F204" s="10">
        <v>51676108.31101533</v>
      </c>
      <c r="G204" s="10">
        <v>800</v>
      </c>
      <c r="H204" s="10">
        <v>15</v>
      </c>
      <c r="I204" s="10">
        <v>4</v>
      </c>
      <c r="J204" s="10">
        <v>753</v>
      </c>
      <c r="K204" s="10">
        <v>48685552.450452514</v>
      </c>
    </row>
    <row r="205" spans="1:11" x14ac:dyDescent="0.35">
      <c r="A205" s="9" t="s">
        <v>319</v>
      </c>
      <c r="B205" s="10">
        <v>579</v>
      </c>
      <c r="C205" s="10">
        <v>6</v>
      </c>
      <c r="D205" s="10">
        <v>3</v>
      </c>
      <c r="E205" s="10">
        <v>543</v>
      </c>
      <c r="F205" s="10">
        <v>26550305.854812913</v>
      </c>
      <c r="G205" s="10">
        <v>536</v>
      </c>
      <c r="H205" s="10">
        <v>5</v>
      </c>
      <c r="I205" s="10">
        <v>4</v>
      </c>
      <c r="J205" s="10">
        <v>535</v>
      </c>
      <c r="K205" s="10">
        <v>26750005.989134368</v>
      </c>
    </row>
    <row r="206" spans="1:11" x14ac:dyDescent="0.35">
      <c r="A206" s="9" t="s">
        <v>320</v>
      </c>
      <c r="B206" s="10">
        <v>553</v>
      </c>
      <c r="C206" s="10">
        <v>7</v>
      </c>
      <c r="D206" s="10">
        <v>1</v>
      </c>
      <c r="E206" s="10">
        <v>563</v>
      </c>
      <c r="F206" s="10">
        <v>21036803.615390785</v>
      </c>
      <c r="G206" s="10">
        <v>620</v>
      </c>
      <c r="H206" s="10">
        <v>13</v>
      </c>
      <c r="I206" s="10">
        <v>1</v>
      </c>
      <c r="J206" s="10">
        <v>751</v>
      </c>
      <c r="K206" s="10">
        <v>22119276.765053913</v>
      </c>
    </row>
    <row r="207" spans="1:11" x14ac:dyDescent="0.35">
      <c r="A207" s="9" t="s">
        <v>321</v>
      </c>
      <c r="B207" s="10">
        <v>163</v>
      </c>
      <c r="C207" s="10">
        <v>0</v>
      </c>
      <c r="D207" s="10">
        <v>0</v>
      </c>
      <c r="E207" s="10">
        <v>132</v>
      </c>
      <c r="F207" s="10">
        <v>7519902.3295266544</v>
      </c>
      <c r="G207" s="10">
        <v>130</v>
      </c>
      <c r="H207" s="10">
        <v>1</v>
      </c>
      <c r="I207" s="10">
        <v>1</v>
      </c>
      <c r="J207" s="10">
        <v>105</v>
      </c>
      <c r="K207" s="10">
        <v>4806046.0730002699</v>
      </c>
    </row>
    <row r="208" spans="1:11" x14ac:dyDescent="0.35">
      <c r="A208" s="9" t="s">
        <v>322</v>
      </c>
      <c r="B208" s="10">
        <v>1004</v>
      </c>
      <c r="C208" s="10">
        <v>25</v>
      </c>
      <c r="D208" s="10">
        <v>5</v>
      </c>
      <c r="E208" s="10">
        <v>915</v>
      </c>
      <c r="F208" s="10">
        <v>52782764.28898219</v>
      </c>
      <c r="G208" s="10">
        <v>888</v>
      </c>
      <c r="H208" s="10">
        <v>31</v>
      </c>
      <c r="I208" s="10">
        <v>4</v>
      </c>
      <c r="J208" s="10">
        <v>815</v>
      </c>
      <c r="K208" s="10">
        <v>52465043.462130547</v>
      </c>
    </row>
    <row r="209" spans="1:11" x14ac:dyDescent="0.35">
      <c r="A209" s="9" t="s">
        <v>323</v>
      </c>
      <c r="B209" s="10">
        <v>568</v>
      </c>
      <c r="C209" s="10">
        <v>19</v>
      </c>
      <c r="D209" s="10">
        <v>2</v>
      </c>
      <c r="E209" s="10">
        <v>452</v>
      </c>
      <c r="F209" s="10">
        <v>25750551.418299332</v>
      </c>
      <c r="G209" s="10">
        <v>642</v>
      </c>
      <c r="H209" s="10">
        <v>10</v>
      </c>
      <c r="I209" s="10">
        <v>2</v>
      </c>
      <c r="J209" s="10">
        <v>488</v>
      </c>
      <c r="K209" s="10">
        <v>25512999.043529607</v>
      </c>
    </row>
    <row r="210" spans="1:11" x14ac:dyDescent="0.35">
      <c r="A210" s="9" t="s">
        <v>324</v>
      </c>
      <c r="B210" s="10">
        <v>907</v>
      </c>
      <c r="C210" s="10">
        <v>8</v>
      </c>
      <c r="D210" s="10">
        <v>3</v>
      </c>
      <c r="E210" s="10">
        <v>903</v>
      </c>
      <c r="F210" s="10">
        <v>34273274.606237866</v>
      </c>
      <c r="G210" s="10">
        <v>819</v>
      </c>
      <c r="H210" s="10">
        <v>19</v>
      </c>
      <c r="I210" s="10">
        <v>3</v>
      </c>
      <c r="J210" s="10">
        <v>183</v>
      </c>
      <c r="K210" s="10">
        <v>35315634.346850887</v>
      </c>
    </row>
    <row r="211" spans="1:11" x14ac:dyDescent="0.35">
      <c r="A211" s="9" t="s">
        <v>325</v>
      </c>
      <c r="B211" s="10">
        <v>398</v>
      </c>
      <c r="C211" s="10">
        <v>8</v>
      </c>
      <c r="D211" s="10">
        <v>1</v>
      </c>
      <c r="E211" s="10">
        <v>299</v>
      </c>
      <c r="F211" s="10">
        <v>18616782.526649021</v>
      </c>
      <c r="G211" s="10">
        <v>355</v>
      </c>
      <c r="H211" s="10">
        <v>10</v>
      </c>
      <c r="I211" s="10">
        <v>0</v>
      </c>
      <c r="J211" s="10">
        <v>315</v>
      </c>
      <c r="K211" s="10">
        <v>20515682.575378112</v>
      </c>
    </row>
    <row r="212" spans="1:11" x14ac:dyDescent="0.35">
      <c r="A212" s="9" t="s">
        <v>326</v>
      </c>
      <c r="B212" s="10">
        <v>808</v>
      </c>
      <c r="C212" s="10">
        <v>208</v>
      </c>
      <c r="D212" s="10">
        <v>4</v>
      </c>
      <c r="E212" s="10">
        <v>519</v>
      </c>
      <c r="F212" s="10">
        <v>32718802.511512645</v>
      </c>
      <c r="G212" s="10">
        <v>951</v>
      </c>
      <c r="H212" s="10">
        <v>323</v>
      </c>
      <c r="I212" s="10">
        <v>6</v>
      </c>
      <c r="J212" s="10">
        <v>574</v>
      </c>
      <c r="K212" s="10">
        <v>31628902.855945215</v>
      </c>
    </row>
    <row r="213" spans="1:11" x14ac:dyDescent="0.35">
      <c r="A213" s="9" t="s">
        <v>327</v>
      </c>
      <c r="B213" s="10">
        <v>1251</v>
      </c>
      <c r="C213" s="10">
        <v>12</v>
      </c>
      <c r="D213" s="10">
        <v>1</v>
      </c>
      <c r="E213" s="10">
        <v>1326</v>
      </c>
      <c r="F213" s="10">
        <v>50004907.053173251</v>
      </c>
      <c r="G213" s="10">
        <v>1227</v>
      </c>
      <c r="H213" s="10">
        <v>12</v>
      </c>
      <c r="I213" s="10">
        <v>1</v>
      </c>
      <c r="J213" s="10">
        <v>1201</v>
      </c>
      <c r="K213" s="10">
        <v>48275775.754765607</v>
      </c>
    </row>
    <row r="214" spans="1:11" x14ac:dyDescent="0.35">
      <c r="A214" s="9" t="s">
        <v>328</v>
      </c>
      <c r="B214" s="10">
        <v>452</v>
      </c>
      <c r="C214" s="10">
        <v>11</v>
      </c>
      <c r="D214" s="10">
        <v>5</v>
      </c>
      <c r="E214" s="10">
        <v>409</v>
      </c>
      <c r="F214" s="10">
        <v>23888838.135380216</v>
      </c>
      <c r="G214" s="10">
        <v>475</v>
      </c>
      <c r="H214" s="10">
        <v>8</v>
      </c>
      <c r="I214" s="10">
        <v>4</v>
      </c>
      <c r="J214" s="10">
        <v>458</v>
      </c>
      <c r="K214" s="10">
        <v>21329126.695613086</v>
      </c>
    </row>
    <row r="215" spans="1:11" x14ac:dyDescent="0.35">
      <c r="A215" s="9" t="s">
        <v>329</v>
      </c>
      <c r="B215" s="10">
        <v>563</v>
      </c>
      <c r="C215" s="10">
        <v>8</v>
      </c>
      <c r="D215" s="10">
        <v>1</v>
      </c>
      <c r="E215" s="10">
        <v>710</v>
      </c>
      <c r="F215" s="10">
        <v>22568074.972257104</v>
      </c>
      <c r="G215" s="10">
        <v>825</v>
      </c>
      <c r="H215" s="10">
        <v>14</v>
      </c>
      <c r="I215" s="10">
        <v>1</v>
      </c>
      <c r="J215" s="10">
        <v>829</v>
      </c>
      <c r="K215" s="10">
        <v>31443060.924488656</v>
      </c>
    </row>
    <row r="216" spans="1:11" x14ac:dyDescent="0.35">
      <c r="A216" s="9" t="s">
        <v>330</v>
      </c>
      <c r="B216" s="10">
        <v>836</v>
      </c>
      <c r="C216" s="10">
        <v>21</v>
      </c>
      <c r="D216" s="10">
        <v>3</v>
      </c>
      <c r="E216" s="10">
        <v>753</v>
      </c>
      <c r="F216" s="10">
        <v>38402780.684598044</v>
      </c>
      <c r="G216" s="10">
        <v>856</v>
      </c>
      <c r="H216" s="10">
        <v>30</v>
      </c>
      <c r="I216" s="10">
        <v>2</v>
      </c>
      <c r="J216" s="10">
        <v>663</v>
      </c>
      <c r="K216" s="10">
        <v>35996684.784325853</v>
      </c>
    </row>
    <row r="217" spans="1:11" x14ac:dyDescent="0.35">
      <c r="A217" s="9" t="s">
        <v>331</v>
      </c>
      <c r="B217" s="10">
        <v>473</v>
      </c>
      <c r="C217" s="10">
        <v>7</v>
      </c>
      <c r="D217" s="10">
        <v>3</v>
      </c>
      <c r="E217" s="10">
        <v>386</v>
      </c>
      <c r="F217" s="10">
        <v>22804816.367903311</v>
      </c>
      <c r="G217" s="10">
        <v>403</v>
      </c>
      <c r="H217" s="10">
        <v>2</v>
      </c>
      <c r="I217" s="10">
        <v>2</v>
      </c>
      <c r="J217" s="10">
        <v>359</v>
      </c>
      <c r="K217" s="10">
        <v>20514568.783097401</v>
      </c>
    </row>
    <row r="218" spans="1:11" x14ac:dyDescent="0.35">
      <c r="A218" s="9" t="s">
        <v>332</v>
      </c>
      <c r="B218" s="10">
        <v>561</v>
      </c>
      <c r="C218" s="10">
        <v>10</v>
      </c>
      <c r="D218" s="10">
        <v>3</v>
      </c>
      <c r="E218" s="10">
        <v>416</v>
      </c>
      <c r="F218" s="10">
        <v>29238704.920591719</v>
      </c>
      <c r="G218" s="10">
        <v>103</v>
      </c>
      <c r="H218" s="10">
        <v>7</v>
      </c>
      <c r="I218" s="10">
        <v>3</v>
      </c>
      <c r="J218" s="10">
        <v>5</v>
      </c>
      <c r="K218" s="10">
        <v>26045816.283505417</v>
      </c>
    </row>
    <row r="219" spans="1:11" x14ac:dyDescent="0.35">
      <c r="A219" s="9" t="s">
        <v>333</v>
      </c>
      <c r="B219" s="10">
        <v>1127</v>
      </c>
      <c r="C219" s="10">
        <v>48</v>
      </c>
      <c r="D219" s="10">
        <v>6</v>
      </c>
      <c r="E219" s="10">
        <v>1098</v>
      </c>
      <c r="F219" s="10">
        <v>54136059.042064883</v>
      </c>
      <c r="G219" s="10">
        <v>1396</v>
      </c>
      <c r="H219" s="10">
        <v>48</v>
      </c>
      <c r="I219" s="10">
        <v>6</v>
      </c>
      <c r="J219" s="10">
        <v>1207</v>
      </c>
      <c r="K219" s="10">
        <v>57262119.596666545</v>
      </c>
    </row>
    <row r="220" spans="1:11" x14ac:dyDescent="0.35">
      <c r="A220" s="9" t="s">
        <v>334</v>
      </c>
      <c r="B220" s="10">
        <v>341</v>
      </c>
      <c r="C220" s="10">
        <v>3</v>
      </c>
      <c r="D220" s="10">
        <v>3</v>
      </c>
      <c r="E220" s="10">
        <v>274</v>
      </c>
      <c r="F220" s="10">
        <v>8892148.4477374405</v>
      </c>
      <c r="G220" s="10">
        <v>324</v>
      </c>
      <c r="H220" s="10">
        <v>8</v>
      </c>
      <c r="I220" s="10">
        <v>4</v>
      </c>
      <c r="J220" s="10">
        <v>289</v>
      </c>
      <c r="K220" s="10">
        <v>12868645.324330244</v>
      </c>
    </row>
    <row r="221" spans="1:11" x14ac:dyDescent="0.35">
      <c r="A221" s="9" t="s">
        <v>335</v>
      </c>
      <c r="B221" s="10">
        <v>203</v>
      </c>
      <c r="C221" s="10">
        <v>9</v>
      </c>
      <c r="D221" s="10">
        <v>1</v>
      </c>
      <c r="E221" s="10">
        <v>150</v>
      </c>
      <c r="F221" s="10">
        <v>4638156.8498302186</v>
      </c>
      <c r="G221" s="10">
        <v>167</v>
      </c>
      <c r="H221" s="10">
        <v>9</v>
      </c>
      <c r="I221" s="10">
        <v>1</v>
      </c>
      <c r="J221" s="10">
        <v>152</v>
      </c>
      <c r="K221" s="10">
        <v>5149042.5003822576</v>
      </c>
    </row>
    <row r="222" spans="1:11" x14ac:dyDescent="0.35">
      <c r="A222" s="9" t="s">
        <v>336</v>
      </c>
      <c r="B222" s="10">
        <v>543</v>
      </c>
      <c r="C222" s="10">
        <v>20</v>
      </c>
      <c r="D222" s="10">
        <v>4</v>
      </c>
      <c r="E222" s="10">
        <v>422</v>
      </c>
      <c r="F222" s="10">
        <v>25092557.952970799</v>
      </c>
      <c r="G222" s="10">
        <v>493</v>
      </c>
      <c r="H222" s="10">
        <v>14</v>
      </c>
      <c r="I222" s="10">
        <v>3</v>
      </c>
      <c r="J222" s="10">
        <v>455</v>
      </c>
      <c r="K222" s="10">
        <v>25310238.51467137</v>
      </c>
    </row>
    <row r="223" spans="1:11" x14ac:dyDescent="0.35">
      <c r="A223" s="9" t="s">
        <v>337</v>
      </c>
      <c r="B223" s="10">
        <v>610</v>
      </c>
      <c r="C223" s="10">
        <v>17</v>
      </c>
      <c r="D223" s="10">
        <v>5</v>
      </c>
      <c r="E223" s="10">
        <v>466</v>
      </c>
      <c r="F223" s="10">
        <v>20825820.107512135</v>
      </c>
      <c r="G223" s="10">
        <v>523</v>
      </c>
      <c r="H223" s="10">
        <v>9</v>
      </c>
      <c r="I223" s="10">
        <v>5</v>
      </c>
      <c r="J223" s="10">
        <v>409</v>
      </c>
      <c r="K223" s="10">
        <v>21232449.490161184</v>
      </c>
    </row>
    <row r="224" spans="1:11" x14ac:dyDescent="0.35">
      <c r="A224" s="9" t="s">
        <v>338</v>
      </c>
      <c r="B224" s="10">
        <v>848</v>
      </c>
      <c r="C224" s="10">
        <v>22</v>
      </c>
      <c r="D224" s="10">
        <v>4</v>
      </c>
      <c r="E224" s="10">
        <v>786</v>
      </c>
      <c r="F224" s="10">
        <v>28276602.747192994</v>
      </c>
      <c r="G224" s="10">
        <v>818</v>
      </c>
      <c r="H224" s="10">
        <v>20</v>
      </c>
      <c r="I224" s="10">
        <v>4</v>
      </c>
      <c r="J224" s="10">
        <v>761</v>
      </c>
      <c r="K224" s="10">
        <v>34527579.859110266</v>
      </c>
    </row>
    <row r="225" spans="1:11" x14ac:dyDescent="0.35">
      <c r="A225" s="9" t="s">
        <v>339</v>
      </c>
      <c r="B225" s="10">
        <v>363</v>
      </c>
      <c r="C225" s="10">
        <v>3</v>
      </c>
      <c r="D225" s="10">
        <v>3</v>
      </c>
      <c r="E225" s="10">
        <v>294</v>
      </c>
      <c r="F225" s="10">
        <v>12815123.217889745</v>
      </c>
      <c r="G225" s="10">
        <v>313</v>
      </c>
      <c r="H225" s="10">
        <v>9</v>
      </c>
      <c r="I225" s="10">
        <v>3</v>
      </c>
      <c r="J225" s="10">
        <v>283</v>
      </c>
      <c r="K225" s="10">
        <v>12465045.979731472</v>
      </c>
    </row>
    <row r="226" spans="1:11" x14ac:dyDescent="0.35">
      <c r="A226" s="9" t="s">
        <v>340</v>
      </c>
      <c r="B226" s="10">
        <v>511</v>
      </c>
      <c r="C226" s="10">
        <v>6</v>
      </c>
      <c r="D226" s="10">
        <v>3</v>
      </c>
      <c r="E226" s="10">
        <v>438</v>
      </c>
      <c r="F226" s="10">
        <v>11204742.798236849</v>
      </c>
      <c r="G226" s="10">
        <v>563</v>
      </c>
      <c r="H226" s="10">
        <v>12</v>
      </c>
      <c r="I226" s="10">
        <v>1</v>
      </c>
      <c r="J226" s="10">
        <v>548</v>
      </c>
      <c r="K226" s="10">
        <v>12385165.814117892</v>
      </c>
    </row>
    <row r="227" spans="1:11" x14ac:dyDescent="0.35">
      <c r="A227" s="9" t="s">
        <v>341</v>
      </c>
      <c r="B227" s="10">
        <v>808</v>
      </c>
      <c r="C227" s="10">
        <v>16</v>
      </c>
      <c r="D227" s="10">
        <v>2</v>
      </c>
      <c r="E227" s="10">
        <v>737</v>
      </c>
      <c r="F227" s="10">
        <v>26249942.483330116</v>
      </c>
      <c r="G227" s="10">
        <v>776</v>
      </c>
      <c r="H227" s="10">
        <v>23</v>
      </c>
      <c r="I227" s="10">
        <v>2</v>
      </c>
      <c r="J227" s="10">
        <v>733</v>
      </c>
      <c r="K227" s="10">
        <v>29127886.512455944</v>
      </c>
    </row>
    <row r="228" spans="1:11" x14ac:dyDescent="0.35">
      <c r="A228" s="9" t="s">
        <v>342</v>
      </c>
      <c r="B228" s="10">
        <v>400</v>
      </c>
      <c r="C228" s="10">
        <v>5</v>
      </c>
      <c r="D228" s="10">
        <v>1</v>
      </c>
      <c r="E228" s="10">
        <v>342</v>
      </c>
      <c r="F228" s="10">
        <v>13343191.630616788</v>
      </c>
      <c r="G228" s="10">
        <v>316</v>
      </c>
      <c r="H228" s="10">
        <v>4</v>
      </c>
      <c r="I228" s="10">
        <v>1</v>
      </c>
      <c r="J228" s="10">
        <v>317</v>
      </c>
      <c r="K228" s="10">
        <v>12289906.960186848</v>
      </c>
    </row>
    <row r="229" spans="1:11" x14ac:dyDescent="0.35">
      <c r="A229" s="9" t="s">
        <v>343</v>
      </c>
      <c r="B229" s="10">
        <v>464</v>
      </c>
      <c r="C229" s="10">
        <v>10</v>
      </c>
      <c r="D229" s="10">
        <v>0</v>
      </c>
      <c r="E229" s="10">
        <v>370</v>
      </c>
      <c r="F229" s="10">
        <v>22883765.704927519</v>
      </c>
      <c r="G229" s="10">
        <v>431</v>
      </c>
      <c r="H229" s="10">
        <v>8</v>
      </c>
      <c r="I229" s="10">
        <v>0</v>
      </c>
      <c r="J229" s="10">
        <v>393</v>
      </c>
      <c r="K229" s="10">
        <v>26849988.059539609</v>
      </c>
    </row>
    <row r="230" spans="1:11" x14ac:dyDescent="0.35">
      <c r="A230" s="9" t="s">
        <v>344</v>
      </c>
      <c r="B230" s="10">
        <v>340</v>
      </c>
      <c r="C230" s="10">
        <v>3</v>
      </c>
      <c r="D230" s="10">
        <v>0</v>
      </c>
      <c r="E230" s="10">
        <v>288</v>
      </c>
      <c r="F230" s="10">
        <v>9136849.1181210559</v>
      </c>
      <c r="G230" s="10">
        <v>288</v>
      </c>
      <c r="H230" s="10">
        <v>6</v>
      </c>
      <c r="I230" s="10">
        <v>0</v>
      </c>
      <c r="J230" s="10">
        <v>305</v>
      </c>
      <c r="K230" s="10">
        <v>8837222.3926056344</v>
      </c>
    </row>
    <row r="231" spans="1:11" x14ac:dyDescent="0.35">
      <c r="A231" s="9" t="s">
        <v>345</v>
      </c>
      <c r="B231" s="10">
        <v>579</v>
      </c>
      <c r="C231" s="10">
        <v>5</v>
      </c>
      <c r="D231" s="10">
        <v>2</v>
      </c>
      <c r="E231" s="10">
        <v>548</v>
      </c>
      <c r="F231" s="10">
        <v>12989647.219663113</v>
      </c>
      <c r="G231" s="10">
        <v>502</v>
      </c>
      <c r="H231" s="10">
        <v>8</v>
      </c>
      <c r="I231" s="10">
        <v>2</v>
      </c>
      <c r="J231" s="10">
        <v>470</v>
      </c>
      <c r="K231" s="10">
        <v>12999317.053533036</v>
      </c>
    </row>
    <row r="232" spans="1:11" x14ac:dyDescent="0.35">
      <c r="A232" s="9" t="s">
        <v>346</v>
      </c>
      <c r="B232" s="10">
        <v>366</v>
      </c>
      <c r="C232" s="10">
        <v>8</v>
      </c>
      <c r="D232" s="10">
        <v>2</v>
      </c>
      <c r="E232" s="10">
        <v>307</v>
      </c>
      <c r="F232" s="10">
        <v>12702117.937107112</v>
      </c>
      <c r="G232" s="10">
        <v>643</v>
      </c>
      <c r="H232" s="10">
        <v>12</v>
      </c>
      <c r="I232" s="10">
        <v>1</v>
      </c>
      <c r="J232" s="10">
        <v>702</v>
      </c>
      <c r="K232" s="10">
        <v>15275300.008997841</v>
      </c>
    </row>
    <row r="233" spans="1:11" x14ac:dyDescent="0.35">
      <c r="A233" s="9" t="s">
        <v>347</v>
      </c>
      <c r="B233" s="10">
        <v>305</v>
      </c>
      <c r="C233" s="10">
        <v>3</v>
      </c>
      <c r="D233" s="10">
        <v>1</v>
      </c>
      <c r="E233" s="10">
        <v>262</v>
      </c>
      <c r="F233" s="10">
        <v>10721078.692755405</v>
      </c>
      <c r="G233" s="10">
        <v>342</v>
      </c>
      <c r="H233" s="10">
        <v>10</v>
      </c>
      <c r="I233" s="10">
        <v>0</v>
      </c>
      <c r="J233" s="10">
        <v>296</v>
      </c>
      <c r="K233" s="10">
        <v>11209330.043191371</v>
      </c>
    </row>
    <row r="234" spans="1:11" x14ac:dyDescent="0.35">
      <c r="A234" s="9" t="s">
        <v>348</v>
      </c>
      <c r="B234" s="10">
        <v>320</v>
      </c>
      <c r="C234" s="10">
        <v>8</v>
      </c>
      <c r="D234" s="10">
        <v>1</v>
      </c>
      <c r="E234" s="10">
        <v>317</v>
      </c>
      <c r="F234" s="10">
        <v>10225379.314898608</v>
      </c>
      <c r="G234" s="10">
        <v>22</v>
      </c>
      <c r="H234" s="10">
        <v>1</v>
      </c>
      <c r="I234" s="10">
        <v>1</v>
      </c>
      <c r="J234" s="10">
        <v>1</v>
      </c>
      <c r="K234" s="10">
        <v>5594199.9794841809</v>
      </c>
    </row>
    <row r="235" spans="1:11" x14ac:dyDescent="0.35">
      <c r="A235" s="9" t="s">
        <v>349</v>
      </c>
      <c r="B235" s="10">
        <v>963</v>
      </c>
      <c r="C235" s="10">
        <v>28</v>
      </c>
      <c r="D235" s="10">
        <v>3</v>
      </c>
      <c r="E235" s="10">
        <v>855</v>
      </c>
      <c r="F235" s="10">
        <v>38719799.226251662</v>
      </c>
      <c r="G235" s="10">
        <v>1258</v>
      </c>
      <c r="H235" s="10">
        <v>34</v>
      </c>
      <c r="I235" s="10">
        <v>3</v>
      </c>
      <c r="J235" s="10">
        <v>985</v>
      </c>
      <c r="K235" s="10">
        <v>41039099.443609625</v>
      </c>
    </row>
    <row r="236" spans="1:11" x14ac:dyDescent="0.35">
      <c r="A236" s="9" t="s">
        <v>350</v>
      </c>
      <c r="B236" s="10">
        <v>624</v>
      </c>
      <c r="C236" s="10">
        <v>5</v>
      </c>
      <c r="D236" s="10">
        <v>1</v>
      </c>
      <c r="E236" s="10">
        <v>578</v>
      </c>
      <c r="F236" s="10">
        <v>23653652.221946225</v>
      </c>
      <c r="G236" s="10">
        <v>564</v>
      </c>
      <c r="H236" s="10">
        <v>5</v>
      </c>
      <c r="I236" s="10">
        <v>1</v>
      </c>
      <c r="J236" s="10">
        <v>611</v>
      </c>
      <c r="K236" s="10">
        <v>23391456.858141441</v>
      </c>
    </row>
    <row r="237" spans="1:11" x14ac:dyDescent="0.35">
      <c r="A237" s="9" t="s">
        <v>351</v>
      </c>
      <c r="B237" s="10">
        <v>441</v>
      </c>
      <c r="C237" s="10">
        <v>5</v>
      </c>
      <c r="D237" s="10">
        <v>2</v>
      </c>
      <c r="E237" s="10">
        <v>318</v>
      </c>
      <c r="F237" s="10">
        <v>11995042.21278072</v>
      </c>
      <c r="G237" s="10">
        <v>474</v>
      </c>
      <c r="H237" s="10">
        <v>6</v>
      </c>
      <c r="I237" s="10">
        <v>2</v>
      </c>
      <c r="J237" s="10">
        <v>399</v>
      </c>
      <c r="K237" s="10">
        <v>12561763.581807476</v>
      </c>
    </row>
    <row r="238" spans="1:11" x14ac:dyDescent="0.35">
      <c r="A238" s="9" t="s">
        <v>352</v>
      </c>
      <c r="B238" s="10">
        <v>808</v>
      </c>
      <c r="C238" s="10">
        <v>11</v>
      </c>
      <c r="D238" s="10">
        <v>2</v>
      </c>
      <c r="E238" s="10">
        <v>801</v>
      </c>
      <c r="F238" s="10">
        <v>21638357.799776785</v>
      </c>
      <c r="G238" s="10">
        <v>758</v>
      </c>
      <c r="H238" s="10">
        <v>10</v>
      </c>
      <c r="I238" s="10">
        <v>3</v>
      </c>
      <c r="J238" s="10">
        <v>259</v>
      </c>
      <c r="K238" s="10">
        <v>24703088.368479401</v>
      </c>
    </row>
    <row r="239" spans="1:11" x14ac:dyDescent="0.35">
      <c r="A239" s="9" t="s">
        <v>353</v>
      </c>
      <c r="B239" s="10">
        <v>600</v>
      </c>
      <c r="C239" s="10">
        <v>2</v>
      </c>
      <c r="D239" s="10">
        <v>2</v>
      </c>
      <c r="E239" s="10">
        <v>457</v>
      </c>
      <c r="F239" s="10">
        <v>20663454.150689919</v>
      </c>
      <c r="G239" s="10">
        <v>512</v>
      </c>
      <c r="H239" s="10">
        <v>12</v>
      </c>
      <c r="I239" s="10">
        <v>1</v>
      </c>
      <c r="J239" s="10">
        <v>439</v>
      </c>
      <c r="K239" s="10">
        <v>19919081.370880477</v>
      </c>
    </row>
    <row r="240" spans="1:11" x14ac:dyDescent="0.35">
      <c r="A240" s="9" t="s">
        <v>354</v>
      </c>
      <c r="B240" s="10">
        <v>961</v>
      </c>
      <c r="C240" s="10">
        <v>42</v>
      </c>
      <c r="D240" s="10">
        <v>2</v>
      </c>
      <c r="E240" s="10">
        <v>774</v>
      </c>
      <c r="F240" s="10">
        <v>40723226.421198487</v>
      </c>
      <c r="G240" s="10">
        <v>813</v>
      </c>
      <c r="H240" s="10">
        <v>17</v>
      </c>
      <c r="I240" s="10">
        <v>1</v>
      </c>
      <c r="J240" s="10">
        <v>644</v>
      </c>
      <c r="K240" s="10">
        <v>28286887.432200201</v>
      </c>
    </row>
    <row r="241" spans="1:11" x14ac:dyDescent="0.35">
      <c r="A241" s="9" t="s">
        <v>355</v>
      </c>
      <c r="B241" s="10">
        <v>98</v>
      </c>
      <c r="C241" s="10">
        <v>3</v>
      </c>
      <c r="D241" s="10">
        <v>1</v>
      </c>
      <c r="E241" s="10">
        <v>112</v>
      </c>
      <c r="F241" s="10">
        <v>2458083.4376247022</v>
      </c>
      <c r="G241" s="10">
        <v>122</v>
      </c>
      <c r="H241" s="10">
        <v>4</v>
      </c>
      <c r="I241" s="10">
        <v>0</v>
      </c>
      <c r="J241" s="10">
        <v>222</v>
      </c>
      <c r="K241" s="10">
        <v>2958817.734654231</v>
      </c>
    </row>
    <row r="242" spans="1:11" x14ac:dyDescent="0.35">
      <c r="A242" s="9" t="s">
        <v>356</v>
      </c>
      <c r="B242" s="10">
        <v>622</v>
      </c>
      <c r="C242" s="10">
        <v>14</v>
      </c>
      <c r="D242" s="10">
        <v>6</v>
      </c>
      <c r="E242" s="10">
        <v>543</v>
      </c>
      <c r="F242" s="10">
        <v>19876145.316481855</v>
      </c>
      <c r="G242" s="10">
        <v>608</v>
      </c>
      <c r="H242" s="10">
        <v>13</v>
      </c>
      <c r="I242" s="10">
        <v>5</v>
      </c>
      <c r="J242" s="10">
        <v>545</v>
      </c>
      <c r="K242" s="10">
        <v>19031667.118257191</v>
      </c>
    </row>
    <row r="243" spans="1:11" x14ac:dyDescent="0.35">
      <c r="A243" s="9" t="s">
        <v>357</v>
      </c>
      <c r="B243" s="10">
        <v>537</v>
      </c>
      <c r="C243" s="10">
        <v>16</v>
      </c>
      <c r="D243" s="10">
        <v>1</v>
      </c>
      <c r="E243" s="10">
        <v>475</v>
      </c>
      <c r="F243" s="10">
        <v>15440944.088558553</v>
      </c>
      <c r="G243" s="10">
        <v>500</v>
      </c>
      <c r="H243" s="10">
        <v>21</v>
      </c>
      <c r="I243" s="10">
        <v>0</v>
      </c>
      <c r="J243" s="10">
        <v>528</v>
      </c>
      <c r="K243" s="10">
        <v>18125294.897191584</v>
      </c>
    </row>
    <row r="244" spans="1:11" x14ac:dyDescent="0.35">
      <c r="A244" s="9" t="s">
        <v>358</v>
      </c>
      <c r="B244" s="10">
        <v>782</v>
      </c>
      <c r="C244" s="10">
        <v>10</v>
      </c>
      <c r="D244" s="10">
        <v>1</v>
      </c>
      <c r="E244" s="10">
        <v>669</v>
      </c>
      <c r="F244" s="10">
        <v>27266062.37537165</v>
      </c>
      <c r="G244" s="10">
        <v>710</v>
      </c>
      <c r="H244" s="10">
        <v>11</v>
      </c>
      <c r="I244" s="10">
        <v>1</v>
      </c>
      <c r="J244" s="10">
        <v>699</v>
      </c>
      <c r="K244" s="10">
        <v>27698773.368017323</v>
      </c>
    </row>
    <row r="245" spans="1:11" x14ac:dyDescent="0.35">
      <c r="A245" s="9" t="s">
        <v>359</v>
      </c>
      <c r="B245" s="10">
        <v>197</v>
      </c>
      <c r="C245" s="10">
        <v>5</v>
      </c>
      <c r="D245" s="10">
        <v>0</v>
      </c>
      <c r="E245" s="10">
        <v>140</v>
      </c>
      <c r="F245" s="10">
        <v>7421005.8280484062</v>
      </c>
      <c r="G245" s="10">
        <v>177</v>
      </c>
      <c r="H245" s="10">
        <v>4</v>
      </c>
      <c r="I245" s="10">
        <v>0</v>
      </c>
      <c r="J245" s="10">
        <v>163</v>
      </c>
      <c r="K245" s="10">
        <v>8751204.9052888844</v>
      </c>
    </row>
    <row r="246" spans="1:11" x14ac:dyDescent="0.35">
      <c r="A246" s="9" t="s">
        <v>360</v>
      </c>
      <c r="B246" s="10">
        <v>699</v>
      </c>
      <c r="C246" s="10">
        <v>13</v>
      </c>
      <c r="D246" s="10">
        <v>2</v>
      </c>
      <c r="E246" s="10">
        <v>698</v>
      </c>
      <c r="F246" s="10">
        <v>19529147.088790484</v>
      </c>
      <c r="G246" s="10">
        <v>719</v>
      </c>
      <c r="H246" s="10">
        <v>10</v>
      </c>
      <c r="I246" s="10">
        <v>2</v>
      </c>
      <c r="J246" s="10">
        <v>1053</v>
      </c>
      <c r="K246" s="10">
        <v>17491500.341759533</v>
      </c>
    </row>
    <row r="247" spans="1:11" x14ac:dyDescent="0.35">
      <c r="A247" s="9" t="s">
        <v>361</v>
      </c>
      <c r="B247" s="10">
        <v>1286</v>
      </c>
      <c r="C247" s="10">
        <v>28</v>
      </c>
      <c r="D247" s="10">
        <v>1</v>
      </c>
      <c r="E247" s="10">
        <v>1213</v>
      </c>
      <c r="F247" s="10">
        <v>27220573.451486241</v>
      </c>
      <c r="G247" s="10">
        <v>1336</v>
      </c>
      <c r="H247" s="10">
        <v>106</v>
      </c>
      <c r="I247" s="10">
        <v>2</v>
      </c>
      <c r="J247" s="10">
        <v>1367</v>
      </c>
      <c r="K247" s="10">
        <v>32784877.466808569</v>
      </c>
    </row>
    <row r="248" spans="1:11" x14ac:dyDescent="0.35">
      <c r="A248" s="9" t="s">
        <v>362</v>
      </c>
      <c r="B248" s="10">
        <v>547</v>
      </c>
      <c r="C248" s="10">
        <v>11</v>
      </c>
      <c r="D248" s="10">
        <v>3</v>
      </c>
      <c r="E248" s="10">
        <v>411</v>
      </c>
      <c r="F248" s="10">
        <v>16939018.396810859</v>
      </c>
      <c r="G248" s="10">
        <v>534</v>
      </c>
      <c r="H248" s="10">
        <v>8</v>
      </c>
      <c r="I248" s="10">
        <v>3</v>
      </c>
      <c r="J248" s="10">
        <v>462</v>
      </c>
      <c r="K248" s="10">
        <v>17449130.117944509</v>
      </c>
    </row>
    <row r="249" spans="1:11" x14ac:dyDescent="0.35">
      <c r="A249" s="9" t="s">
        <v>363</v>
      </c>
      <c r="B249" s="10">
        <v>208</v>
      </c>
      <c r="C249" s="10">
        <v>4</v>
      </c>
      <c r="D249" s="10">
        <v>1</v>
      </c>
      <c r="E249" s="10">
        <v>635</v>
      </c>
      <c r="F249" s="10">
        <v>6221966.1318013286</v>
      </c>
      <c r="G249" s="10">
        <v>210</v>
      </c>
      <c r="H249" s="10">
        <v>3</v>
      </c>
      <c r="I249" s="10">
        <v>1</v>
      </c>
      <c r="J249" s="10">
        <v>218</v>
      </c>
      <c r="K249" s="10">
        <v>6358409.306520476</v>
      </c>
    </row>
    <row r="250" spans="1:11" x14ac:dyDescent="0.35">
      <c r="A250" s="9" t="s">
        <v>364</v>
      </c>
      <c r="B250" s="10">
        <v>335</v>
      </c>
      <c r="C250" s="10">
        <v>8</v>
      </c>
      <c r="D250" s="10">
        <v>2</v>
      </c>
      <c r="E250" s="10">
        <v>268</v>
      </c>
      <c r="F250" s="10">
        <v>11091994.978091832</v>
      </c>
      <c r="G250" s="10">
        <v>280</v>
      </c>
      <c r="H250" s="10">
        <v>4</v>
      </c>
      <c r="I250" s="10">
        <v>2</v>
      </c>
      <c r="J250" s="10">
        <v>221</v>
      </c>
      <c r="K250" s="10">
        <v>11106580.161649728</v>
      </c>
    </row>
    <row r="251" spans="1:11" x14ac:dyDescent="0.35">
      <c r="A251" s="9" t="s">
        <v>365</v>
      </c>
      <c r="B251" s="10">
        <v>1097</v>
      </c>
      <c r="C251" s="10">
        <v>15</v>
      </c>
      <c r="D251" s="10">
        <v>0</v>
      </c>
      <c r="E251" s="10">
        <v>1004</v>
      </c>
      <c r="F251" s="10">
        <v>33561812.539182074</v>
      </c>
      <c r="G251" s="10">
        <v>973</v>
      </c>
      <c r="H251" s="10">
        <v>25</v>
      </c>
      <c r="I251" s="10">
        <v>0</v>
      </c>
      <c r="J251" s="10">
        <v>938</v>
      </c>
      <c r="K251" s="10">
        <v>40193070.450700156</v>
      </c>
    </row>
    <row r="252" spans="1:11" x14ac:dyDescent="0.35">
      <c r="A252" s="9" t="s">
        <v>366</v>
      </c>
      <c r="B252" s="10">
        <v>639</v>
      </c>
      <c r="C252" s="10">
        <v>11</v>
      </c>
      <c r="D252" s="10">
        <v>4</v>
      </c>
      <c r="E252" s="10">
        <v>505</v>
      </c>
      <c r="F252" s="10">
        <v>14907722.248508723</v>
      </c>
      <c r="G252" s="10">
        <v>526</v>
      </c>
      <c r="H252" s="10">
        <v>8</v>
      </c>
      <c r="I252" s="10">
        <v>3</v>
      </c>
      <c r="J252" s="10">
        <v>101</v>
      </c>
      <c r="K252" s="10">
        <v>16814189.253983781</v>
      </c>
    </row>
    <row r="253" spans="1:11" x14ac:dyDescent="0.35">
      <c r="A253" s="9" t="s">
        <v>367</v>
      </c>
      <c r="B253" s="10">
        <v>592</v>
      </c>
      <c r="C253" s="10">
        <v>11</v>
      </c>
      <c r="D253" s="10">
        <v>3</v>
      </c>
      <c r="E253" s="10">
        <v>554</v>
      </c>
      <c r="F253" s="10">
        <v>18518613.829348635</v>
      </c>
      <c r="G253" s="10">
        <v>534</v>
      </c>
      <c r="H253" s="10">
        <v>7</v>
      </c>
      <c r="I253" s="10">
        <v>5</v>
      </c>
      <c r="J253" s="10">
        <v>544</v>
      </c>
      <c r="K253" s="10">
        <v>19472255.823472116</v>
      </c>
    </row>
    <row r="254" spans="1:11" x14ac:dyDescent="0.35">
      <c r="A254" s="9" t="s">
        <v>368</v>
      </c>
      <c r="B254" s="10">
        <v>330</v>
      </c>
      <c r="C254" s="10">
        <v>4</v>
      </c>
      <c r="D254" s="10">
        <v>1</v>
      </c>
      <c r="E254" s="10">
        <v>339</v>
      </c>
      <c r="F254" s="10">
        <v>12783802.401850395</v>
      </c>
      <c r="G254" s="10">
        <v>342</v>
      </c>
      <c r="H254" s="10">
        <v>10</v>
      </c>
      <c r="I254" s="10">
        <v>1</v>
      </c>
      <c r="J254" s="10">
        <v>367</v>
      </c>
      <c r="K254" s="10">
        <v>13599678.981211709</v>
      </c>
    </row>
    <row r="255" spans="1:11" x14ac:dyDescent="0.35">
      <c r="A255" s="9" t="s">
        <v>369</v>
      </c>
      <c r="B255" s="10">
        <v>400</v>
      </c>
      <c r="C255" s="10">
        <v>8</v>
      </c>
      <c r="D255" s="10">
        <v>0</v>
      </c>
      <c r="E255" s="10">
        <v>382</v>
      </c>
      <c r="F255" s="10">
        <v>12964221.551382428</v>
      </c>
      <c r="G255" s="10">
        <v>466</v>
      </c>
      <c r="H255" s="10">
        <v>11</v>
      </c>
      <c r="I255" s="10">
        <v>0</v>
      </c>
      <c r="J255" s="10">
        <v>397</v>
      </c>
      <c r="K255" s="10">
        <v>13644055.062801214</v>
      </c>
    </row>
    <row r="256" spans="1:11" x14ac:dyDescent="0.35">
      <c r="A256" s="9" t="s">
        <v>370</v>
      </c>
      <c r="B256" s="10">
        <v>642</v>
      </c>
      <c r="C256" s="10">
        <v>9</v>
      </c>
      <c r="D256" s="10">
        <v>3</v>
      </c>
      <c r="E256" s="10">
        <v>513</v>
      </c>
      <c r="F256" s="10">
        <v>18577004.841048699</v>
      </c>
      <c r="G256" s="10">
        <v>617</v>
      </c>
      <c r="H256" s="10">
        <v>11</v>
      </c>
      <c r="I256" s="10">
        <v>3</v>
      </c>
      <c r="J256" s="10">
        <v>512</v>
      </c>
      <c r="K256" s="10">
        <v>18014990.052721467</v>
      </c>
    </row>
    <row r="257" spans="1:11" x14ac:dyDescent="0.35">
      <c r="A257" s="9" t="s">
        <v>371</v>
      </c>
      <c r="B257" s="10">
        <v>647</v>
      </c>
      <c r="C257" s="10">
        <v>5</v>
      </c>
      <c r="D257" s="10">
        <v>4</v>
      </c>
      <c r="E257" s="10">
        <v>573</v>
      </c>
      <c r="F257" s="10">
        <v>22602490.47059799</v>
      </c>
      <c r="G257" s="10">
        <v>629</v>
      </c>
      <c r="H257" s="10">
        <v>9</v>
      </c>
      <c r="I257" s="10">
        <v>4</v>
      </c>
      <c r="J257" s="10">
        <v>593</v>
      </c>
      <c r="K257" s="10">
        <v>23037484.57079782</v>
      </c>
    </row>
    <row r="258" spans="1:11" x14ac:dyDescent="0.35">
      <c r="A258" s="9" t="s">
        <v>372</v>
      </c>
      <c r="B258" s="10">
        <v>690</v>
      </c>
      <c r="C258" s="10">
        <v>7</v>
      </c>
      <c r="D258" s="10">
        <v>4</v>
      </c>
      <c r="E258" s="10">
        <v>548</v>
      </c>
      <c r="F258" s="10">
        <v>23130799.183307819</v>
      </c>
      <c r="G258" s="10">
        <v>673</v>
      </c>
      <c r="H258" s="10">
        <v>15</v>
      </c>
      <c r="I258" s="10">
        <v>4</v>
      </c>
      <c r="J258" s="10">
        <v>624</v>
      </c>
      <c r="K258" s="10">
        <v>22626187.184584908</v>
      </c>
    </row>
    <row r="259" spans="1:11" x14ac:dyDescent="0.35">
      <c r="A259" s="9" t="s">
        <v>373</v>
      </c>
      <c r="B259" s="10">
        <v>841</v>
      </c>
      <c r="C259" s="10">
        <v>6</v>
      </c>
      <c r="D259" s="10">
        <v>1</v>
      </c>
      <c r="E259" s="10">
        <v>809</v>
      </c>
      <c r="F259" s="10">
        <v>18274249.721115872</v>
      </c>
      <c r="G259" s="10">
        <v>826</v>
      </c>
      <c r="H259" s="10">
        <v>8</v>
      </c>
      <c r="I259" s="10">
        <v>1</v>
      </c>
      <c r="J259" s="10">
        <v>763</v>
      </c>
      <c r="K259" s="10">
        <v>17669066.852482628</v>
      </c>
    </row>
    <row r="260" spans="1:11" x14ac:dyDescent="0.35">
      <c r="A260" s="9" t="s">
        <v>374</v>
      </c>
      <c r="B260" s="10">
        <v>850</v>
      </c>
      <c r="C260" s="10">
        <v>10</v>
      </c>
      <c r="D260" s="10">
        <v>1</v>
      </c>
      <c r="E260" s="10">
        <v>733</v>
      </c>
      <c r="F260" s="10">
        <v>27995072.588390123</v>
      </c>
      <c r="G260" s="10">
        <v>723</v>
      </c>
      <c r="H260" s="10">
        <v>12</v>
      </c>
      <c r="I260" s="10">
        <v>1</v>
      </c>
      <c r="J260" s="10">
        <v>738</v>
      </c>
      <c r="K260" s="10">
        <v>28692757.08921526</v>
      </c>
    </row>
    <row r="261" spans="1:11" x14ac:dyDescent="0.35">
      <c r="A261" s="9" t="s">
        <v>375</v>
      </c>
      <c r="B261" s="10">
        <v>833</v>
      </c>
      <c r="C261" s="10">
        <v>13</v>
      </c>
      <c r="D261" s="10">
        <v>2</v>
      </c>
      <c r="E261" s="10">
        <v>808</v>
      </c>
      <c r="F261" s="10">
        <v>27507133.914477911</v>
      </c>
      <c r="G261" s="10">
        <v>796</v>
      </c>
      <c r="H261" s="10">
        <v>17</v>
      </c>
      <c r="I261" s="10">
        <v>3</v>
      </c>
      <c r="J261" s="10">
        <v>751</v>
      </c>
      <c r="K261" s="10">
        <v>26004398.729064915</v>
      </c>
    </row>
    <row r="262" spans="1:11" x14ac:dyDescent="0.35">
      <c r="A262" s="9" t="s">
        <v>376</v>
      </c>
      <c r="B262" s="10">
        <v>1339</v>
      </c>
      <c r="C262" s="10">
        <v>30</v>
      </c>
      <c r="D262" s="10">
        <v>9</v>
      </c>
      <c r="E262" s="10">
        <v>1165</v>
      </c>
      <c r="F262" s="10">
        <v>50696723.500351459</v>
      </c>
      <c r="G262" s="10">
        <v>1430</v>
      </c>
      <c r="H262" s="10">
        <v>27</v>
      </c>
      <c r="I262" s="10">
        <v>8</v>
      </c>
      <c r="J262" s="10">
        <v>1305</v>
      </c>
      <c r="K262" s="10">
        <v>49709185.399439789</v>
      </c>
    </row>
    <row r="263" spans="1:11" x14ac:dyDescent="0.35">
      <c r="A263" s="9" t="s">
        <v>377</v>
      </c>
      <c r="B263" s="10">
        <v>573</v>
      </c>
      <c r="C263" s="10">
        <v>10</v>
      </c>
      <c r="D263" s="10">
        <v>1</v>
      </c>
      <c r="E263" s="10">
        <v>424</v>
      </c>
      <c r="F263" s="10">
        <v>23290704.374275792</v>
      </c>
      <c r="G263" s="10">
        <v>522</v>
      </c>
      <c r="H263" s="10">
        <v>9</v>
      </c>
      <c r="I263" s="10">
        <v>1</v>
      </c>
      <c r="J263" s="10">
        <v>397</v>
      </c>
      <c r="K263" s="10">
        <v>23884520.685251705</v>
      </c>
    </row>
    <row r="264" spans="1:11" x14ac:dyDescent="0.35">
      <c r="A264" s="9" t="s">
        <v>378</v>
      </c>
      <c r="B264" s="10">
        <v>435</v>
      </c>
      <c r="C264" s="10">
        <v>8</v>
      </c>
      <c r="D264" s="10">
        <v>1</v>
      </c>
      <c r="E264" s="10">
        <v>388</v>
      </c>
      <c r="F264" s="10">
        <v>13886391.646024868</v>
      </c>
      <c r="G264" s="10">
        <v>385</v>
      </c>
      <c r="H264" s="10">
        <v>6</v>
      </c>
      <c r="I264" s="10">
        <v>1</v>
      </c>
      <c r="J264" s="10">
        <v>400</v>
      </c>
      <c r="K264" s="10">
        <v>13751266.520998996</v>
      </c>
    </row>
    <row r="265" spans="1:11" x14ac:dyDescent="0.35">
      <c r="A265" s="9" t="s">
        <v>379</v>
      </c>
      <c r="B265" s="10">
        <v>686</v>
      </c>
      <c r="C265" s="10">
        <v>35</v>
      </c>
      <c r="D265" s="10">
        <v>2</v>
      </c>
      <c r="E265" s="10">
        <v>506</v>
      </c>
      <c r="F265" s="10">
        <v>33884112.623968691</v>
      </c>
      <c r="G265" s="10">
        <v>708</v>
      </c>
      <c r="H265" s="10">
        <v>14</v>
      </c>
      <c r="I265" s="10">
        <v>2</v>
      </c>
      <c r="J265" s="10">
        <v>558</v>
      </c>
      <c r="K265" s="10">
        <v>34469994.330781087</v>
      </c>
    </row>
    <row r="266" spans="1:11" x14ac:dyDescent="0.35">
      <c r="A266" s="9" t="s">
        <v>380</v>
      </c>
      <c r="B266" s="10">
        <v>698</v>
      </c>
      <c r="C266" s="10">
        <v>6</v>
      </c>
      <c r="D266" s="10">
        <v>1</v>
      </c>
      <c r="E266" s="10">
        <v>682</v>
      </c>
      <c r="F266" s="10">
        <v>16526207.661172165</v>
      </c>
      <c r="G266" s="10">
        <v>663</v>
      </c>
      <c r="H266" s="10">
        <v>8</v>
      </c>
      <c r="I266" s="10">
        <v>0</v>
      </c>
      <c r="J266" s="10">
        <v>640</v>
      </c>
      <c r="K266" s="10">
        <v>16146744.286700943</v>
      </c>
    </row>
    <row r="267" spans="1:11" x14ac:dyDescent="0.35">
      <c r="A267" s="9" t="s">
        <v>381</v>
      </c>
      <c r="B267" s="10">
        <v>873</v>
      </c>
      <c r="C267" s="10">
        <v>67</v>
      </c>
      <c r="D267" s="10">
        <v>3</v>
      </c>
      <c r="E267" s="10">
        <v>637</v>
      </c>
      <c r="F267" s="10">
        <v>34029126.290045843</v>
      </c>
      <c r="G267" s="10">
        <v>999</v>
      </c>
      <c r="H267" s="10">
        <v>53</v>
      </c>
      <c r="I267" s="10">
        <v>2</v>
      </c>
      <c r="J267" s="10">
        <v>720</v>
      </c>
      <c r="K267" s="10">
        <v>34844043.877608269</v>
      </c>
    </row>
    <row r="268" spans="1:11" x14ac:dyDescent="0.35">
      <c r="A268" s="9" t="s">
        <v>382</v>
      </c>
      <c r="B268" s="10">
        <v>906</v>
      </c>
      <c r="C268" s="10">
        <v>9</v>
      </c>
      <c r="D268" s="10">
        <v>4</v>
      </c>
      <c r="E268" s="10">
        <v>698</v>
      </c>
      <c r="F268" s="10">
        <v>37108668.91151309</v>
      </c>
      <c r="G268" s="10">
        <v>874</v>
      </c>
      <c r="H268" s="10">
        <v>16</v>
      </c>
      <c r="I268" s="10">
        <v>4</v>
      </c>
      <c r="J268" s="10">
        <v>644</v>
      </c>
      <c r="K268" s="10">
        <v>38346969.18543072</v>
      </c>
    </row>
    <row r="269" spans="1:11" x14ac:dyDescent="0.35">
      <c r="A269" s="9" t="s">
        <v>383</v>
      </c>
      <c r="B269" s="10">
        <v>578</v>
      </c>
      <c r="C269" s="10">
        <v>5</v>
      </c>
      <c r="D269" s="10">
        <v>2</v>
      </c>
      <c r="E269" s="10">
        <v>528</v>
      </c>
      <c r="F269" s="10">
        <v>17383841.536049891</v>
      </c>
      <c r="G269" s="10">
        <v>617</v>
      </c>
      <c r="H269" s="10">
        <v>10</v>
      </c>
      <c r="I269" s="10">
        <v>2</v>
      </c>
      <c r="J269" s="10">
        <v>567</v>
      </c>
      <c r="K269" s="10">
        <v>16905724.72914933</v>
      </c>
    </row>
    <row r="270" spans="1:11" x14ac:dyDescent="0.35">
      <c r="A270" s="9" t="s">
        <v>384</v>
      </c>
      <c r="B270" s="10">
        <v>581</v>
      </c>
      <c r="C270" s="10">
        <v>4</v>
      </c>
      <c r="D270" s="10">
        <v>3</v>
      </c>
      <c r="E270" s="10">
        <v>549</v>
      </c>
      <c r="F270" s="10">
        <v>22715116.790383775</v>
      </c>
      <c r="G270" s="10">
        <v>722</v>
      </c>
      <c r="H270" s="10">
        <v>9</v>
      </c>
      <c r="I270" s="10">
        <v>3</v>
      </c>
      <c r="J270" s="10">
        <v>601</v>
      </c>
      <c r="K270" s="10">
        <v>22529521.07069492</v>
      </c>
    </row>
    <row r="271" spans="1:11" x14ac:dyDescent="0.35">
      <c r="A271" s="9" t="s">
        <v>385</v>
      </c>
      <c r="B271" s="10">
        <v>678</v>
      </c>
      <c r="C271" s="10">
        <v>13</v>
      </c>
      <c r="D271" s="10">
        <v>2</v>
      </c>
      <c r="E271" s="10">
        <v>568</v>
      </c>
      <c r="F271" s="10">
        <v>22423205.595757507</v>
      </c>
      <c r="G271" s="10">
        <v>679</v>
      </c>
      <c r="H271" s="10">
        <v>13</v>
      </c>
      <c r="I271" s="10">
        <v>2</v>
      </c>
      <c r="J271" s="10">
        <v>525</v>
      </c>
      <c r="K271" s="10">
        <v>22896777.593345389</v>
      </c>
    </row>
    <row r="272" spans="1:11" x14ac:dyDescent="0.35">
      <c r="A272" s="9" t="s">
        <v>386</v>
      </c>
      <c r="B272" s="10">
        <v>263</v>
      </c>
      <c r="C272" s="10">
        <v>6</v>
      </c>
      <c r="D272" s="10">
        <v>1</v>
      </c>
      <c r="E272" s="10">
        <v>218</v>
      </c>
      <c r="F272" s="10">
        <v>12036168.309617635</v>
      </c>
      <c r="G272" s="10">
        <v>255</v>
      </c>
      <c r="H272" s="10">
        <v>5</v>
      </c>
      <c r="I272" s="10">
        <v>1</v>
      </c>
      <c r="J272" s="10">
        <v>199</v>
      </c>
      <c r="K272" s="10">
        <v>11138361.61124328</v>
      </c>
    </row>
    <row r="273" spans="1:11" x14ac:dyDescent="0.35">
      <c r="A273" s="9" t="s">
        <v>387</v>
      </c>
      <c r="B273" s="10">
        <v>935</v>
      </c>
      <c r="C273" s="10">
        <v>8</v>
      </c>
      <c r="D273" s="10">
        <v>1</v>
      </c>
      <c r="E273" s="10">
        <v>739</v>
      </c>
      <c r="F273" s="10">
        <v>24111709.330763862</v>
      </c>
      <c r="G273" s="10">
        <v>819</v>
      </c>
      <c r="H273" s="10">
        <v>14</v>
      </c>
      <c r="I273" s="10">
        <v>1</v>
      </c>
      <c r="J273" s="10">
        <v>759</v>
      </c>
      <c r="K273" s="10">
        <v>23225515.490951233</v>
      </c>
    </row>
    <row r="274" spans="1:11" x14ac:dyDescent="0.35">
      <c r="A274" s="9" t="s">
        <v>388</v>
      </c>
      <c r="B274" s="10">
        <v>1210</v>
      </c>
      <c r="C274" s="10">
        <v>14</v>
      </c>
      <c r="D274" s="10">
        <v>3</v>
      </c>
      <c r="E274" s="10">
        <v>1001</v>
      </c>
      <c r="F274" s="10">
        <v>47885661.257324174</v>
      </c>
      <c r="G274" s="10">
        <v>1096</v>
      </c>
      <c r="H274" s="10">
        <v>15</v>
      </c>
      <c r="I274" s="10">
        <v>2</v>
      </c>
      <c r="J274" s="10">
        <v>993</v>
      </c>
      <c r="K274" s="10">
        <v>48926708.338602804</v>
      </c>
    </row>
    <row r="275" spans="1:11" x14ac:dyDescent="0.35">
      <c r="A275" s="9" t="s">
        <v>389</v>
      </c>
      <c r="B275" s="10">
        <v>543</v>
      </c>
      <c r="C275" s="10">
        <v>9</v>
      </c>
      <c r="D275" s="10">
        <v>2</v>
      </c>
      <c r="E275" s="10">
        <v>488</v>
      </c>
      <c r="F275" s="10">
        <v>26207630.054312624</v>
      </c>
      <c r="G275" s="10">
        <v>584</v>
      </c>
      <c r="H275" s="10">
        <v>12</v>
      </c>
      <c r="I275" s="10">
        <v>2</v>
      </c>
      <c r="J275" s="10">
        <v>451</v>
      </c>
      <c r="K275" s="10">
        <v>25355047.644255474</v>
      </c>
    </row>
    <row r="276" spans="1:11" x14ac:dyDescent="0.35">
      <c r="A276" s="9" t="s">
        <v>390</v>
      </c>
      <c r="B276" s="10">
        <v>515</v>
      </c>
      <c r="C276" s="10">
        <v>11</v>
      </c>
      <c r="D276" s="10">
        <v>1</v>
      </c>
      <c r="E276" s="10">
        <v>547</v>
      </c>
      <c r="F276" s="10">
        <v>15792225.337637048</v>
      </c>
      <c r="G276" s="10">
        <v>579</v>
      </c>
      <c r="H276" s="10">
        <v>11</v>
      </c>
      <c r="I276" s="10">
        <v>1</v>
      </c>
      <c r="J276" s="10">
        <v>670</v>
      </c>
      <c r="K276" s="10">
        <v>16812067.817421801</v>
      </c>
    </row>
    <row r="277" spans="1:11" x14ac:dyDescent="0.35">
      <c r="A277" s="9" t="s">
        <v>391</v>
      </c>
      <c r="B277" s="10">
        <v>532</v>
      </c>
      <c r="C277" s="10">
        <v>1</v>
      </c>
      <c r="D277" s="10">
        <v>4</v>
      </c>
      <c r="E277" s="10">
        <v>423</v>
      </c>
      <c r="F277" s="10">
        <v>18168846.877054393</v>
      </c>
      <c r="G277" s="10">
        <v>518</v>
      </c>
      <c r="H277" s="10">
        <v>6</v>
      </c>
      <c r="I277" s="10">
        <v>5</v>
      </c>
      <c r="J277" s="10">
        <v>440</v>
      </c>
      <c r="K277" s="10">
        <v>23845594.47576445</v>
      </c>
    </row>
    <row r="278" spans="1:11" x14ac:dyDescent="0.35">
      <c r="A278" s="9" t="s">
        <v>392</v>
      </c>
      <c r="B278" s="10">
        <v>557</v>
      </c>
      <c r="C278" s="10">
        <v>8</v>
      </c>
      <c r="D278" s="10">
        <v>1</v>
      </c>
      <c r="E278" s="10">
        <v>488</v>
      </c>
      <c r="F278" s="10">
        <v>15120768.050345352</v>
      </c>
      <c r="G278" s="10">
        <v>514</v>
      </c>
      <c r="H278" s="10">
        <v>6</v>
      </c>
      <c r="I278" s="10">
        <v>2</v>
      </c>
      <c r="J278" s="10">
        <v>493</v>
      </c>
      <c r="K278" s="10">
        <v>14845346.907264628</v>
      </c>
    </row>
    <row r="279" spans="1:11" x14ac:dyDescent="0.35">
      <c r="A279" s="9" t="s">
        <v>393</v>
      </c>
      <c r="B279" s="10">
        <v>222</v>
      </c>
      <c r="C279" s="10">
        <v>6</v>
      </c>
      <c r="D279" s="10">
        <v>2</v>
      </c>
      <c r="E279" s="10">
        <v>161</v>
      </c>
      <c r="F279" s="10">
        <v>12689480.711907938</v>
      </c>
      <c r="G279" s="10">
        <v>238</v>
      </c>
      <c r="H279" s="10">
        <v>4</v>
      </c>
      <c r="I279" s="10">
        <v>2</v>
      </c>
      <c r="J279" s="10">
        <v>141</v>
      </c>
      <c r="K279" s="10">
        <v>11353090.216456484</v>
      </c>
    </row>
    <row r="280" spans="1:11" x14ac:dyDescent="0.35">
      <c r="A280" s="9" t="s">
        <v>394</v>
      </c>
      <c r="B280" s="10">
        <v>304</v>
      </c>
      <c r="C280" s="10">
        <v>4</v>
      </c>
      <c r="D280" s="10">
        <v>5</v>
      </c>
      <c r="E280" s="10">
        <v>204</v>
      </c>
      <c r="F280" s="10">
        <v>13442119.332956487</v>
      </c>
      <c r="G280" s="10">
        <v>322</v>
      </c>
      <c r="H280" s="10">
        <v>6</v>
      </c>
      <c r="I280" s="10">
        <v>6</v>
      </c>
      <c r="J280" s="10">
        <v>210</v>
      </c>
      <c r="K280" s="10">
        <v>13784674.132752337</v>
      </c>
    </row>
    <row r="281" spans="1:11" x14ac:dyDescent="0.35">
      <c r="A281" s="9" t="s">
        <v>395</v>
      </c>
      <c r="B281" s="10">
        <v>624</v>
      </c>
      <c r="C281" s="10">
        <v>7</v>
      </c>
      <c r="D281" s="10">
        <v>2</v>
      </c>
      <c r="E281" s="10">
        <v>642</v>
      </c>
      <c r="F281" s="10">
        <v>20580504.312482744</v>
      </c>
      <c r="G281" s="10">
        <v>731</v>
      </c>
      <c r="H281" s="10">
        <v>7</v>
      </c>
      <c r="I281" s="10">
        <v>2</v>
      </c>
      <c r="J281" s="10">
        <v>676</v>
      </c>
      <c r="K281" s="10">
        <v>21344151.045410942</v>
      </c>
    </row>
    <row r="282" spans="1:11" x14ac:dyDescent="0.35">
      <c r="A282" s="9" t="s">
        <v>396</v>
      </c>
      <c r="B282" s="10">
        <v>475</v>
      </c>
      <c r="C282" s="10">
        <v>12</v>
      </c>
      <c r="D282" s="10">
        <v>4</v>
      </c>
      <c r="E282" s="10">
        <v>406</v>
      </c>
      <c r="F282" s="10">
        <v>12672965.204398921</v>
      </c>
      <c r="G282" s="10">
        <v>513</v>
      </c>
      <c r="H282" s="10">
        <v>8</v>
      </c>
      <c r="I282" s="10">
        <v>4</v>
      </c>
      <c r="J282" s="10">
        <v>444</v>
      </c>
      <c r="K282" s="10">
        <v>13302774.499717198</v>
      </c>
    </row>
    <row r="283" spans="1:11" x14ac:dyDescent="0.35">
      <c r="A283" s="9" t="s">
        <v>397</v>
      </c>
      <c r="B283" s="10">
        <v>229</v>
      </c>
      <c r="C283" s="10">
        <v>2</v>
      </c>
      <c r="D283" s="10">
        <v>1</v>
      </c>
      <c r="E283" s="10">
        <v>249</v>
      </c>
      <c r="F283" s="10">
        <v>8556158.5056180842</v>
      </c>
      <c r="G283" s="10">
        <v>268</v>
      </c>
      <c r="H283" s="10">
        <v>1</v>
      </c>
      <c r="I283" s="10">
        <v>1</v>
      </c>
      <c r="J283" s="10">
        <v>248</v>
      </c>
      <c r="K283" s="10">
        <v>7070866.7805370362</v>
      </c>
    </row>
    <row r="284" spans="1:11" x14ac:dyDescent="0.35">
      <c r="A284" s="9" t="s">
        <v>398</v>
      </c>
      <c r="B284" s="10">
        <v>959</v>
      </c>
      <c r="C284" s="10">
        <v>17</v>
      </c>
      <c r="D284" s="10">
        <v>2</v>
      </c>
      <c r="E284" s="10">
        <v>961</v>
      </c>
      <c r="F284" s="10">
        <v>32439133.627479117</v>
      </c>
      <c r="G284" s="10">
        <v>1061</v>
      </c>
      <c r="H284" s="10">
        <v>15</v>
      </c>
      <c r="I284" s="10">
        <v>2</v>
      </c>
      <c r="J284" s="10">
        <v>1128</v>
      </c>
      <c r="K284" s="10">
        <v>37737844.645443588</v>
      </c>
    </row>
    <row r="285" spans="1:11" x14ac:dyDescent="0.35">
      <c r="A285" s="9" t="s">
        <v>399</v>
      </c>
      <c r="B285" s="10">
        <v>1883</v>
      </c>
      <c r="C285" s="10">
        <v>32</v>
      </c>
      <c r="D285" s="10">
        <v>1</v>
      </c>
      <c r="E285" s="10">
        <v>1749</v>
      </c>
      <c r="F285" s="10">
        <v>54787445.633411311</v>
      </c>
      <c r="G285" s="10">
        <v>1827</v>
      </c>
      <c r="H285" s="10">
        <v>35</v>
      </c>
      <c r="I285" s="10">
        <v>1</v>
      </c>
      <c r="J285" s="10">
        <v>1517</v>
      </c>
      <c r="K285" s="10">
        <v>55440116.905481175</v>
      </c>
    </row>
    <row r="286" spans="1:11" x14ac:dyDescent="0.35">
      <c r="A286" s="9" t="s">
        <v>400</v>
      </c>
      <c r="B286" s="10">
        <v>366</v>
      </c>
      <c r="C286" s="10">
        <v>1</v>
      </c>
      <c r="D286" s="10">
        <v>27</v>
      </c>
      <c r="E286" s="10">
        <v>941</v>
      </c>
      <c r="F286" s="10">
        <v>23286354.267544527</v>
      </c>
      <c r="G286" s="10">
        <v>342</v>
      </c>
      <c r="H286" s="10">
        <v>1</v>
      </c>
      <c r="I286" s="10">
        <v>28</v>
      </c>
      <c r="J286" s="10">
        <v>261</v>
      </c>
      <c r="K286" s="10">
        <v>21703738.339247297</v>
      </c>
    </row>
    <row r="287" spans="1:11" x14ac:dyDescent="0.35">
      <c r="A287" s="9" t="s">
        <v>401</v>
      </c>
      <c r="B287" s="10">
        <v>0</v>
      </c>
      <c r="C287" s="10">
        <v>0</v>
      </c>
      <c r="D287" s="10">
        <v>0</v>
      </c>
      <c r="E287" s="10">
        <v>0</v>
      </c>
      <c r="F287" s="10">
        <v>0</v>
      </c>
      <c r="G287" s="10">
        <v>0</v>
      </c>
      <c r="H287" s="10">
        <v>0</v>
      </c>
      <c r="I287" s="10">
        <v>0</v>
      </c>
      <c r="J287" s="10">
        <v>0</v>
      </c>
      <c r="K287" s="10">
        <v>0</v>
      </c>
    </row>
    <row r="288" spans="1:11" x14ac:dyDescent="0.35">
      <c r="A288" s="9" t="s">
        <v>402</v>
      </c>
      <c r="B288" s="10">
        <v>749</v>
      </c>
      <c r="C288" s="10">
        <v>3</v>
      </c>
      <c r="D288" s="10">
        <v>16</v>
      </c>
      <c r="E288" s="10">
        <v>14</v>
      </c>
      <c r="F288" s="10">
        <v>29246921.764913112</v>
      </c>
      <c r="G288" s="10">
        <v>909</v>
      </c>
      <c r="H288" s="10">
        <v>2</v>
      </c>
      <c r="I288" s="10">
        <v>18</v>
      </c>
      <c r="J288" s="10">
        <v>855</v>
      </c>
      <c r="K288" s="10">
        <v>33972011.782796614</v>
      </c>
    </row>
    <row r="289" spans="1:11" x14ac:dyDescent="0.35">
      <c r="A289" s="9" t="s">
        <v>403</v>
      </c>
      <c r="B289" s="10">
        <v>0</v>
      </c>
      <c r="C289" s="10">
        <v>0</v>
      </c>
      <c r="D289" s="10">
        <v>0</v>
      </c>
      <c r="E289" s="10">
        <v>0</v>
      </c>
      <c r="F289" s="10">
        <v>0</v>
      </c>
      <c r="G289" s="10">
        <v>0</v>
      </c>
      <c r="H289" s="10">
        <v>0</v>
      </c>
      <c r="I289" s="10">
        <v>0</v>
      </c>
      <c r="J289" s="10">
        <v>0</v>
      </c>
      <c r="K289" s="10">
        <v>0</v>
      </c>
    </row>
    <row r="290" spans="1:11" x14ac:dyDescent="0.35">
      <c r="A290" s="9" t="s">
        <v>404</v>
      </c>
      <c r="B290" s="10">
        <v>1659</v>
      </c>
      <c r="C290" s="10">
        <v>31</v>
      </c>
      <c r="D290" s="10">
        <v>6</v>
      </c>
      <c r="E290" s="10">
        <v>1604</v>
      </c>
      <c r="F290" s="10">
        <v>62364050.999997422</v>
      </c>
      <c r="G290" s="10">
        <v>1771</v>
      </c>
      <c r="H290" s="10">
        <v>33</v>
      </c>
      <c r="I290" s="10">
        <v>7</v>
      </c>
      <c r="J290" s="10">
        <v>1731</v>
      </c>
      <c r="K290" s="10">
        <v>68840353.740909919</v>
      </c>
    </row>
    <row r="291" spans="1:11" x14ac:dyDescent="0.35">
      <c r="A291" s="9" t="s">
        <v>405</v>
      </c>
      <c r="B291" s="10">
        <v>596</v>
      </c>
      <c r="C291" s="10">
        <v>5</v>
      </c>
      <c r="D291" s="10">
        <v>1</v>
      </c>
      <c r="E291" s="10">
        <v>505</v>
      </c>
      <c r="F291" s="10">
        <v>22458914.473303616</v>
      </c>
      <c r="G291" s="10">
        <v>637</v>
      </c>
      <c r="H291" s="10">
        <v>4</v>
      </c>
      <c r="I291" s="10">
        <v>1</v>
      </c>
      <c r="J291" s="10">
        <v>618</v>
      </c>
      <c r="K291" s="10">
        <v>25599353.50409117</v>
      </c>
    </row>
    <row r="292" spans="1:11" x14ac:dyDescent="0.35">
      <c r="A292" s="9" t="s">
        <v>406</v>
      </c>
      <c r="B292" s="10">
        <v>1735</v>
      </c>
      <c r="C292" s="10">
        <v>16</v>
      </c>
      <c r="D292" s="10">
        <v>7</v>
      </c>
      <c r="E292" s="10">
        <v>1625</v>
      </c>
      <c r="F292" s="10">
        <v>74818751.174514577</v>
      </c>
      <c r="G292" s="10">
        <v>1818</v>
      </c>
      <c r="H292" s="10">
        <v>20</v>
      </c>
      <c r="I292" s="10">
        <v>8</v>
      </c>
      <c r="J292" s="10">
        <v>1661</v>
      </c>
      <c r="K292" s="10">
        <v>77336439.156895995</v>
      </c>
    </row>
    <row r="293" spans="1:11" x14ac:dyDescent="0.35">
      <c r="A293" s="9" t="s">
        <v>407</v>
      </c>
      <c r="B293" s="10">
        <v>740</v>
      </c>
      <c r="C293" s="10">
        <v>9</v>
      </c>
      <c r="D293" s="10">
        <v>1</v>
      </c>
      <c r="E293" s="10">
        <v>646</v>
      </c>
      <c r="F293" s="10">
        <v>35890608.031018399</v>
      </c>
      <c r="G293" s="10">
        <v>665</v>
      </c>
      <c r="H293" s="10">
        <v>5</v>
      </c>
      <c r="I293" s="10">
        <v>2</v>
      </c>
      <c r="J293" s="10">
        <v>654</v>
      </c>
      <c r="K293" s="10">
        <v>36916070.359201208</v>
      </c>
    </row>
    <row r="294" spans="1:11" x14ac:dyDescent="0.35">
      <c r="A294" s="9" t="s">
        <v>408</v>
      </c>
      <c r="B294" s="10">
        <v>780</v>
      </c>
      <c r="C294" s="10">
        <v>9</v>
      </c>
      <c r="D294" s="10">
        <v>1</v>
      </c>
      <c r="E294" s="10">
        <v>704</v>
      </c>
      <c r="F294" s="10">
        <v>30512153.287003335</v>
      </c>
      <c r="G294" s="10">
        <v>772</v>
      </c>
      <c r="H294" s="10">
        <v>8</v>
      </c>
      <c r="I294" s="10">
        <v>0</v>
      </c>
      <c r="J294" s="10">
        <v>756</v>
      </c>
      <c r="K294" s="10">
        <v>34111509.876545973</v>
      </c>
    </row>
    <row r="295" spans="1:11" x14ac:dyDescent="0.35">
      <c r="A295" s="9" t="s">
        <v>409</v>
      </c>
      <c r="B295" s="10">
        <v>1194</v>
      </c>
      <c r="C295" s="10">
        <v>5</v>
      </c>
      <c r="D295" s="10">
        <v>33</v>
      </c>
      <c r="E295" s="10">
        <v>1103</v>
      </c>
      <c r="F295" s="10">
        <v>82350408.958044767</v>
      </c>
      <c r="G295" s="10">
        <v>1200</v>
      </c>
      <c r="H295" s="10">
        <v>22</v>
      </c>
      <c r="I295" s="10">
        <v>35</v>
      </c>
      <c r="J295" s="10">
        <v>1071</v>
      </c>
      <c r="K295" s="10">
        <v>84464898.423597306</v>
      </c>
    </row>
    <row r="296" spans="1:11" x14ac:dyDescent="0.35">
      <c r="A296" s="9" t="s">
        <v>410</v>
      </c>
      <c r="B296" s="10">
        <v>661</v>
      </c>
      <c r="C296" s="10">
        <v>3</v>
      </c>
      <c r="D296" s="10">
        <v>1</v>
      </c>
      <c r="E296" s="10">
        <v>595</v>
      </c>
      <c r="F296" s="10">
        <v>33453752.05067163</v>
      </c>
      <c r="G296" s="10">
        <v>711</v>
      </c>
      <c r="H296" s="10">
        <v>4</v>
      </c>
      <c r="I296" s="10">
        <v>0</v>
      </c>
      <c r="J296" s="10">
        <v>675</v>
      </c>
      <c r="K296" s="10">
        <v>42334527.975654118</v>
      </c>
    </row>
    <row r="297" spans="1:11" x14ac:dyDescent="0.35">
      <c r="A297" s="9" t="s">
        <v>411</v>
      </c>
      <c r="B297" s="10">
        <v>636</v>
      </c>
      <c r="C297" s="10">
        <v>5</v>
      </c>
      <c r="D297" s="10">
        <v>1</v>
      </c>
      <c r="E297" s="10">
        <v>522</v>
      </c>
      <c r="F297" s="10">
        <v>39841000.831110448</v>
      </c>
      <c r="G297" s="10">
        <v>580</v>
      </c>
      <c r="H297" s="10">
        <v>2</v>
      </c>
      <c r="I297" s="10">
        <v>1</v>
      </c>
      <c r="J297" s="10">
        <v>514</v>
      </c>
      <c r="K297" s="10">
        <v>44122664.254972175</v>
      </c>
    </row>
    <row r="298" spans="1:11" x14ac:dyDescent="0.35">
      <c r="A298" s="9" t="s">
        <v>412</v>
      </c>
      <c r="B298" s="10">
        <v>464</v>
      </c>
      <c r="C298" s="10">
        <v>2</v>
      </c>
      <c r="D298" s="10">
        <v>2</v>
      </c>
      <c r="E298" s="10">
        <v>547</v>
      </c>
      <c r="F298" s="10">
        <v>20339170.231002759</v>
      </c>
      <c r="G298" s="10">
        <v>544</v>
      </c>
      <c r="H298" s="10">
        <v>4</v>
      </c>
      <c r="I298" s="10">
        <v>3</v>
      </c>
      <c r="J298" s="10">
        <v>535</v>
      </c>
      <c r="K298" s="10">
        <v>26805450.994331576</v>
      </c>
    </row>
    <row r="299" spans="1:11" x14ac:dyDescent="0.35">
      <c r="A299" s="9" t="s">
        <v>413</v>
      </c>
      <c r="B299" s="10">
        <v>898</v>
      </c>
      <c r="C299" s="10">
        <v>6</v>
      </c>
      <c r="D299" s="10">
        <v>5</v>
      </c>
      <c r="E299" s="10">
        <v>825</v>
      </c>
      <c r="F299" s="10">
        <v>54089067.918311693</v>
      </c>
      <c r="G299" s="10">
        <v>893</v>
      </c>
      <c r="H299" s="10">
        <v>7</v>
      </c>
      <c r="I299" s="10">
        <v>7</v>
      </c>
      <c r="J299" s="10">
        <v>886</v>
      </c>
      <c r="K299" s="10">
        <v>59483709.402563043</v>
      </c>
    </row>
    <row r="300" spans="1:11" x14ac:dyDescent="0.35">
      <c r="A300" s="9" t="s">
        <v>414</v>
      </c>
      <c r="B300" s="10">
        <v>227</v>
      </c>
      <c r="C300" s="10">
        <v>6</v>
      </c>
      <c r="D300" s="10">
        <v>0</v>
      </c>
      <c r="E300" s="10">
        <v>246</v>
      </c>
      <c r="F300" s="10">
        <v>2392884.0170136672</v>
      </c>
      <c r="G300" s="10">
        <v>278</v>
      </c>
      <c r="H300" s="10">
        <v>8</v>
      </c>
      <c r="I300" s="10">
        <v>0</v>
      </c>
      <c r="J300" s="10">
        <v>258</v>
      </c>
      <c r="K300" s="10">
        <v>2712617.983203481</v>
      </c>
    </row>
    <row r="301" spans="1:11" x14ac:dyDescent="0.35">
      <c r="A301" s="9" t="s">
        <v>415</v>
      </c>
      <c r="B301" s="10">
        <v>271</v>
      </c>
      <c r="C301" s="10">
        <v>1</v>
      </c>
      <c r="D301" s="10">
        <v>0</v>
      </c>
      <c r="E301" s="10">
        <v>229</v>
      </c>
      <c r="F301" s="10">
        <v>10869965.989880605</v>
      </c>
      <c r="G301" s="10">
        <v>334</v>
      </c>
      <c r="H301" s="10">
        <v>2</v>
      </c>
      <c r="I301" s="10">
        <v>0</v>
      </c>
      <c r="J301" s="10">
        <v>225</v>
      </c>
      <c r="K301" s="10">
        <v>11612864.04751784</v>
      </c>
    </row>
    <row r="302" spans="1:11" x14ac:dyDescent="0.35">
      <c r="A302" s="9" t="s">
        <v>416</v>
      </c>
      <c r="B302" s="10">
        <v>448</v>
      </c>
      <c r="C302" s="10">
        <v>14</v>
      </c>
      <c r="D302" s="10">
        <v>3</v>
      </c>
      <c r="E302" s="10">
        <v>406</v>
      </c>
      <c r="F302" s="10">
        <v>22138817.583861537</v>
      </c>
      <c r="G302" s="10">
        <v>560</v>
      </c>
      <c r="H302" s="10">
        <v>14</v>
      </c>
      <c r="I302" s="10">
        <v>4</v>
      </c>
      <c r="J302" s="10">
        <v>795</v>
      </c>
      <c r="K302" s="10">
        <v>23892578.937550236</v>
      </c>
    </row>
    <row r="303" spans="1:11" x14ac:dyDescent="0.35">
      <c r="A303" s="9" t="s">
        <v>417</v>
      </c>
      <c r="B303" s="10">
        <v>663</v>
      </c>
      <c r="C303" s="10">
        <v>15</v>
      </c>
      <c r="D303" s="10">
        <v>0</v>
      </c>
      <c r="E303" s="10">
        <v>595</v>
      </c>
      <c r="F303" s="10">
        <v>18857081.38967156</v>
      </c>
      <c r="G303" s="10">
        <v>612</v>
      </c>
      <c r="H303" s="10">
        <v>10</v>
      </c>
      <c r="I303" s="10">
        <v>1</v>
      </c>
      <c r="J303" s="10">
        <v>715</v>
      </c>
      <c r="K303" s="10">
        <v>18058832.769516397</v>
      </c>
    </row>
    <row r="304" spans="1:11" x14ac:dyDescent="0.35">
      <c r="A304" s="9" t="s">
        <v>418</v>
      </c>
      <c r="B304" s="10">
        <v>821</v>
      </c>
      <c r="C304" s="10">
        <v>12</v>
      </c>
      <c r="D304" s="10">
        <v>2</v>
      </c>
      <c r="E304" s="10">
        <v>677</v>
      </c>
      <c r="F304" s="10">
        <v>33627665.086175613</v>
      </c>
      <c r="G304" s="10">
        <v>758</v>
      </c>
      <c r="H304" s="10">
        <v>15</v>
      </c>
      <c r="I304" s="10">
        <v>2</v>
      </c>
      <c r="J304" s="10">
        <v>698</v>
      </c>
      <c r="K304" s="10">
        <v>37488444.121391721</v>
      </c>
    </row>
    <row r="305" spans="1:11" x14ac:dyDescent="0.35">
      <c r="A305" s="9" t="s">
        <v>419</v>
      </c>
      <c r="B305" s="10">
        <v>360</v>
      </c>
      <c r="C305" s="10">
        <v>4</v>
      </c>
      <c r="D305" s="10">
        <v>1</v>
      </c>
      <c r="E305" s="10">
        <v>322</v>
      </c>
      <c r="F305" s="10">
        <v>9975933.8846980631</v>
      </c>
      <c r="G305" s="10">
        <v>387</v>
      </c>
      <c r="H305" s="10">
        <v>6</v>
      </c>
      <c r="I305" s="10">
        <v>0</v>
      </c>
      <c r="J305" s="10">
        <v>389</v>
      </c>
      <c r="K305" s="10">
        <v>10663198.041842828</v>
      </c>
    </row>
    <row r="306" spans="1:11" x14ac:dyDescent="0.35">
      <c r="A306" s="9" t="s">
        <v>420</v>
      </c>
      <c r="B306" s="10">
        <v>543</v>
      </c>
      <c r="C306" s="10">
        <v>7</v>
      </c>
      <c r="D306" s="10">
        <v>5</v>
      </c>
      <c r="E306" s="10">
        <v>429</v>
      </c>
      <c r="F306" s="10">
        <v>22500132.482185427</v>
      </c>
      <c r="G306" s="10">
        <v>460</v>
      </c>
      <c r="H306" s="10">
        <v>15</v>
      </c>
      <c r="I306" s="10">
        <v>4</v>
      </c>
      <c r="J306" s="10">
        <v>403</v>
      </c>
      <c r="K306" s="10">
        <v>21620907.066652711</v>
      </c>
    </row>
    <row r="307" spans="1:11" x14ac:dyDescent="0.35">
      <c r="A307" s="9" t="s">
        <v>421</v>
      </c>
      <c r="B307" s="10">
        <v>580</v>
      </c>
      <c r="C307" s="10">
        <v>2</v>
      </c>
      <c r="D307" s="10">
        <v>1</v>
      </c>
      <c r="E307" s="10">
        <v>533</v>
      </c>
      <c r="F307" s="10">
        <v>16951564.540652469</v>
      </c>
      <c r="G307" s="10">
        <v>570</v>
      </c>
      <c r="H307" s="10">
        <v>10</v>
      </c>
      <c r="I307" s="10">
        <v>0</v>
      </c>
      <c r="J307" s="10">
        <v>547</v>
      </c>
      <c r="K307" s="10">
        <v>16312328.642535746</v>
      </c>
    </row>
    <row r="308" spans="1:11" x14ac:dyDescent="0.35">
      <c r="A308" s="9" t="s">
        <v>422</v>
      </c>
      <c r="B308" s="10">
        <v>226</v>
      </c>
      <c r="C308" s="10">
        <v>1</v>
      </c>
      <c r="D308" s="10">
        <v>1</v>
      </c>
      <c r="E308" s="10">
        <v>194</v>
      </c>
      <c r="F308" s="10">
        <v>8764802.5000501536</v>
      </c>
      <c r="G308" s="10">
        <v>187</v>
      </c>
      <c r="H308" s="10">
        <v>5</v>
      </c>
      <c r="I308" s="10">
        <v>0</v>
      </c>
      <c r="J308" s="10">
        <v>164</v>
      </c>
      <c r="K308" s="10">
        <v>8124804.6478990037</v>
      </c>
    </row>
    <row r="309" spans="1:11" x14ac:dyDescent="0.35">
      <c r="A309" s="9" t="s">
        <v>423</v>
      </c>
      <c r="B309" s="10">
        <v>646</v>
      </c>
      <c r="C309" s="10">
        <v>20</v>
      </c>
      <c r="D309" s="10">
        <v>3</v>
      </c>
      <c r="E309" s="10">
        <v>436</v>
      </c>
      <c r="F309" s="10">
        <v>28749752.716716994</v>
      </c>
      <c r="G309" s="10">
        <v>544</v>
      </c>
      <c r="H309" s="10">
        <v>21</v>
      </c>
      <c r="I309" s="10">
        <v>3</v>
      </c>
      <c r="J309" s="10">
        <v>400</v>
      </c>
      <c r="K309" s="10">
        <v>32280637.2674383</v>
      </c>
    </row>
    <row r="310" spans="1:11" x14ac:dyDescent="0.35">
      <c r="A310" s="9" t="s">
        <v>424</v>
      </c>
      <c r="B310" s="10">
        <v>337</v>
      </c>
      <c r="C310" s="10">
        <v>4</v>
      </c>
      <c r="D310" s="10">
        <v>1</v>
      </c>
      <c r="E310" s="10">
        <v>323</v>
      </c>
      <c r="F310" s="10">
        <v>13444746.285415404</v>
      </c>
      <c r="G310" s="10">
        <v>307</v>
      </c>
      <c r="H310" s="10">
        <v>4</v>
      </c>
      <c r="I310" s="10">
        <v>1</v>
      </c>
      <c r="J310" s="10">
        <v>277</v>
      </c>
      <c r="K310" s="10">
        <v>12879058.192215508</v>
      </c>
    </row>
    <row r="311" spans="1:11" x14ac:dyDescent="0.35">
      <c r="A311" s="9" t="s">
        <v>425</v>
      </c>
      <c r="B311" s="10">
        <v>276</v>
      </c>
      <c r="C311" s="10">
        <v>2</v>
      </c>
      <c r="D311" s="10">
        <v>1</v>
      </c>
      <c r="E311" s="10">
        <v>226</v>
      </c>
      <c r="F311" s="10">
        <v>10209641.478744904</v>
      </c>
      <c r="G311" s="10">
        <v>234</v>
      </c>
      <c r="H311" s="10">
        <v>3</v>
      </c>
      <c r="I311" s="10">
        <v>1</v>
      </c>
      <c r="J311" s="10">
        <v>205</v>
      </c>
      <c r="K311" s="10">
        <v>9376243.0337085556</v>
      </c>
    </row>
    <row r="312" spans="1:11" x14ac:dyDescent="0.35">
      <c r="A312" s="9" t="s">
        <v>426</v>
      </c>
      <c r="B312" s="10">
        <v>1021</v>
      </c>
      <c r="C312" s="10">
        <v>10</v>
      </c>
      <c r="D312" s="10">
        <v>3</v>
      </c>
      <c r="E312" s="10">
        <v>917</v>
      </c>
      <c r="F312" s="10">
        <v>40513697.555289157</v>
      </c>
      <c r="G312" s="10">
        <v>796</v>
      </c>
      <c r="H312" s="10">
        <v>19</v>
      </c>
      <c r="I312" s="10">
        <v>2</v>
      </c>
      <c r="J312" s="10">
        <v>320</v>
      </c>
      <c r="K312" s="10">
        <v>37299386.887800358</v>
      </c>
    </row>
    <row r="313" spans="1:11" x14ac:dyDescent="0.35">
      <c r="A313" s="9" t="s">
        <v>427</v>
      </c>
      <c r="B313" s="10">
        <v>421</v>
      </c>
      <c r="C313" s="10">
        <v>13</v>
      </c>
      <c r="D313" s="10">
        <v>1</v>
      </c>
      <c r="E313" s="10">
        <v>313</v>
      </c>
      <c r="F313" s="10">
        <v>13997670.02279228</v>
      </c>
      <c r="G313" s="10">
        <v>349</v>
      </c>
      <c r="H313" s="10">
        <v>59</v>
      </c>
      <c r="I313" s="10">
        <v>1</v>
      </c>
      <c r="J313" s="10">
        <v>274</v>
      </c>
      <c r="K313" s="10">
        <v>15232623.757933706</v>
      </c>
    </row>
    <row r="314" spans="1:11" x14ac:dyDescent="0.35">
      <c r="A314" s="9" t="s">
        <v>428</v>
      </c>
      <c r="B314" s="10">
        <v>254</v>
      </c>
      <c r="C314" s="10">
        <v>2</v>
      </c>
      <c r="D314" s="10">
        <v>1</v>
      </c>
      <c r="E314" s="10">
        <v>220</v>
      </c>
      <c r="F314" s="10">
        <v>11730728.418966031</v>
      </c>
      <c r="G314" s="10">
        <v>254</v>
      </c>
      <c r="H314" s="10">
        <v>8</v>
      </c>
      <c r="I314" s="10">
        <v>1</v>
      </c>
      <c r="J314" s="10">
        <v>245</v>
      </c>
      <c r="K314" s="10">
        <v>13640296.788245603</v>
      </c>
    </row>
    <row r="315" spans="1:11" x14ac:dyDescent="0.35">
      <c r="A315" s="9" t="s">
        <v>429</v>
      </c>
      <c r="B315" s="10">
        <v>980</v>
      </c>
      <c r="C315" s="10">
        <v>18</v>
      </c>
      <c r="D315" s="10">
        <v>3</v>
      </c>
      <c r="E315" s="10">
        <v>770</v>
      </c>
      <c r="F315" s="10">
        <v>29400074.163524501</v>
      </c>
      <c r="G315" s="10">
        <v>835</v>
      </c>
      <c r="H315" s="10">
        <v>31</v>
      </c>
      <c r="I315" s="10">
        <v>3</v>
      </c>
      <c r="J315" s="10">
        <v>784</v>
      </c>
      <c r="K315" s="10">
        <v>33187741.912340164</v>
      </c>
    </row>
    <row r="316" spans="1:11" x14ac:dyDescent="0.35">
      <c r="A316" s="9" t="s">
        <v>430</v>
      </c>
      <c r="B316" s="10">
        <v>1130</v>
      </c>
      <c r="C316" s="10">
        <v>9</v>
      </c>
      <c r="D316" s="10">
        <v>2</v>
      </c>
      <c r="E316" s="10">
        <v>1025</v>
      </c>
      <c r="F316" s="10">
        <v>43269411.141890101</v>
      </c>
      <c r="G316" s="10">
        <v>1029</v>
      </c>
      <c r="H316" s="10">
        <v>21</v>
      </c>
      <c r="I316" s="10">
        <v>1</v>
      </c>
      <c r="J316" s="10">
        <v>998</v>
      </c>
      <c r="K316" s="10">
        <v>43823557.527586266</v>
      </c>
    </row>
    <row r="317" spans="1:11" x14ac:dyDescent="0.35">
      <c r="A317" s="9" t="s">
        <v>431</v>
      </c>
      <c r="B317" s="10">
        <v>171</v>
      </c>
      <c r="C317" s="10">
        <v>2</v>
      </c>
      <c r="D317" s="10">
        <v>3</v>
      </c>
      <c r="E317" s="10">
        <v>115</v>
      </c>
      <c r="F317" s="10">
        <v>10769579.156260716</v>
      </c>
      <c r="G317" s="10">
        <v>326</v>
      </c>
      <c r="H317" s="10">
        <v>42</v>
      </c>
      <c r="I317" s="10">
        <v>4</v>
      </c>
      <c r="J317" s="10">
        <v>310</v>
      </c>
      <c r="K317" s="10">
        <v>11161851.426010884</v>
      </c>
    </row>
    <row r="318" spans="1:11" x14ac:dyDescent="0.35">
      <c r="A318" s="9" t="s">
        <v>432</v>
      </c>
      <c r="B318" s="10">
        <v>760</v>
      </c>
      <c r="C318" s="10">
        <v>5</v>
      </c>
      <c r="D318" s="10">
        <v>1</v>
      </c>
      <c r="E318" s="10">
        <v>604</v>
      </c>
      <c r="F318" s="10">
        <v>22010545.324502274</v>
      </c>
      <c r="G318" s="10">
        <v>676</v>
      </c>
      <c r="H318" s="10">
        <v>9</v>
      </c>
      <c r="I318" s="10">
        <v>1</v>
      </c>
      <c r="J318" s="10">
        <v>650</v>
      </c>
      <c r="K318" s="10">
        <v>24000814.526905425</v>
      </c>
    </row>
    <row r="319" spans="1:11" x14ac:dyDescent="0.35">
      <c r="A319" s="9" t="s">
        <v>433</v>
      </c>
      <c r="B319" s="10">
        <v>716</v>
      </c>
      <c r="C319" s="10">
        <v>11</v>
      </c>
      <c r="D319" s="10">
        <v>5</v>
      </c>
      <c r="E319" s="10">
        <v>637</v>
      </c>
      <c r="F319" s="10">
        <v>30628862.685908847</v>
      </c>
      <c r="G319" s="10">
        <v>681</v>
      </c>
      <c r="H319" s="10">
        <v>14</v>
      </c>
      <c r="I319" s="10">
        <v>5</v>
      </c>
      <c r="J319" s="10">
        <v>655</v>
      </c>
      <c r="K319" s="10">
        <v>30667083.591051735</v>
      </c>
    </row>
    <row r="320" spans="1:11" x14ac:dyDescent="0.35">
      <c r="A320" s="9" t="s">
        <v>434</v>
      </c>
      <c r="B320" s="10">
        <v>576</v>
      </c>
      <c r="C320" s="10">
        <v>6</v>
      </c>
      <c r="D320" s="10">
        <v>2</v>
      </c>
      <c r="E320" s="10">
        <v>515</v>
      </c>
      <c r="F320" s="10">
        <v>15952838.123139657</v>
      </c>
      <c r="G320" s="10">
        <v>528</v>
      </c>
      <c r="H320" s="10">
        <v>7</v>
      </c>
      <c r="I320" s="10">
        <v>2</v>
      </c>
      <c r="J320" s="10">
        <v>529</v>
      </c>
      <c r="K320" s="10">
        <v>17435815.063497771</v>
      </c>
    </row>
    <row r="321" spans="1:11" x14ac:dyDescent="0.35">
      <c r="A321" s="9" t="s">
        <v>435</v>
      </c>
      <c r="B321" s="10">
        <v>698</v>
      </c>
      <c r="C321" s="10">
        <v>15</v>
      </c>
      <c r="D321" s="10">
        <v>1</v>
      </c>
      <c r="E321" s="10">
        <v>569</v>
      </c>
      <c r="F321" s="10">
        <v>21635419.535467103</v>
      </c>
      <c r="G321" s="10">
        <v>684</v>
      </c>
      <c r="H321" s="10">
        <v>11</v>
      </c>
      <c r="I321" s="10">
        <v>1</v>
      </c>
      <c r="J321" s="10">
        <v>599</v>
      </c>
      <c r="K321" s="10">
        <v>22346499.043932911</v>
      </c>
    </row>
    <row r="322" spans="1:11" x14ac:dyDescent="0.35">
      <c r="A322" s="9" t="s">
        <v>436</v>
      </c>
      <c r="B322" s="10">
        <v>941</v>
      </c>
      <c r="C322" s="10">
        <v>13</v>
      </c>
      <c r="D322" s="10">
        <v>1</v>
      </c>
      <c r="E322" s="10">
        <v>869</v>
      </c>
      <c r="F322" s="10">
        <v>27782825.283980768</v>
      </c>
      <c r="G322" s="10">
        <v>897</v>
      </c>
      <c r="H322" s="10">
        <v>17</v>
      </c>
      <c r="I322" s="10">
        <v>2</v>
      </c>
      <c r="J322" s="10">
        <v>865</v>
      </c>
      <c r="K322" s="10">
        <v>27747850.670496259</v>
      </c>
    </row>
    <row r="323" spans="1:11" x14ac:dyDescent="0.35">
      <c r="A323" s="9" t="s">
        <v>437</v>
      </c>
      <c r="B323" s="10">
        <v>700</v>
      </c>
      <c r="C323" s="10">
        <v>7</v>
      </c>
      <c r="D323" s="10">
        <v>2</v>
      </c>
      <c r="E323" s="10">
        <v>742</v>
      </c>
      <c r="F323" s="10">
        <v>17211181.386110596</v>
      </c>
      <c r="G323" s="10">
        <v>718</v>
      </c>
      <c r="H323" s="10">
        <v>10</v>
      </c>
      <c r="I323" s="10">
        <v>2</v>
      </c>
      <c r="J323" s="10">
        <v>683</v>
      </c>
      <c r="K323" s="10">
        <v>16280344.765988067</v>
      </c>
    </row>
    <row r="324" spans="1:11" x14ac:dyDescent="0.35">
      <c r="A324" s="9" t="s">
        <v>438</v>
      </c>
      <c r="B324" s="10">
        <v>715</v>
      </c>
      <c r="C324" s="10">
        <v>9</v>
      </c>
      <c r="D324" s="10">
        <v>2</v>
      </c>
      <c r="E324" s="10">
        <v>526</v>
      </c>
      <c r="F324" s="10">
        <v>31119977.836868573</v>
      </c>
      <c r="G324" s="10">
        <v>600</v>
      </c>
      <c r="H324" s="10">
        <v>8</v>
      </c>
      <c r="I324" s="10">
        <v>2</v>
      </c>
      <c r="J324" s="10">
        <v>539</v>
      </c>
      <c r="K324" s="10">
        <v>32804000.485440113</v>
      </c>
    </row>
    <row r="325" spans="1:11" x14ac:dyDescent="0.35">
      <c r="A325" s="9" t="s">
        <v>439</v>
      </c>
      <c r="B325" s="10">
        <v>834</v>
      </c>
      <c r="C325" s="10">
        <v>15</v>
      </c>
      <c r="D325" s="10">
        <v>0</v>
      </c>
      <c r="E325" s="10">
        <v>704</v>
      </c>
      <c r="F325" s="10">
        <v>55530051.497151159</v>
      </c>
      <c r="G325" s="10">
        <v>870</v>
      </c>
      <c r="H325" s="10">
        <v>30</v>
      </c>
      <c r="I325" s="10">
        <v>1</v>
      </c>
      <c r="J325" s="10">
        <v>802</v>
      </c>
      <c r="K325" s="10">
        <v>61135840.064930752</v>
      </c>
    </row>
    <row r="326" spans="1:11" x14ac:dyDescent="0.35">
      <c r="A326" s="9" t="s">
        <v>440</v>
      </c>
      <c r="B326" s="10">
        <v>393</v>
      </c>
      <c r="C326" s="10">
        <v>10</v>
      </c>
      <c r="D326" s="10">
        <v>0</v>
      </c>
      <c r="E326" s="10">
        <v>352</v>
      </c>
      <c r="F326" s="10">
        <v>13366599.453334402</v>
      </c>
      <c r="G326" s="10">
        <v>375</v>
      </c>
      <c r="H326" s="10">
        <v>10</v>
      </c>
      <c r="I326" s="10">
        <v>1</v>
      </c>
      <c r="J326" s="10">
        <v>349</v>
      </c>
      <c r="K326" s="10">
        <v>15844461.506673563</v>
      </c>
    </row>
    <row r="327" spans="1:11" x14ac:dyDescent="0.35">
      <c r="A327" s="9" t="s">
        <v>441</v>
      </c>
      <c r="B327" s="10">
        <v>2102</v>
      </c>
      <c r="C327" s="10">
        <v>30</v>
      </c>
      <c r="D327" s="10">
        <v>3</v>
      </c>
      <c r="E327" s="10">
        <v>1827</v>
      </c>
      <c r="F327" s="10">
        <v>71194908.109100193</v>
      </c>
      <c r="G327" s="10">
        <v>1658</v>
      </c>
      <c r="H327" s="10">
        <v>35</v>
      </c>
      <c r="I327" s="10">
        <v>2</v>
      </c>
      <c r="J327" s="10">
        <v>1532</v>
      </c>
      <c r="K327" s="10">
        <v>66213317.826518163</v>
      </c>
    </row>
    <row r="328" spans="1:11" x14ac:dyDescent="0.35">
      <c r="A328" s="9" t="s">
        <v>442</v>
      </c>
      <c r="B328" s="10">
        <v>1072</v>
      </c>
      <c r="C328" s="10">
        <v>21</v>
      </c>
      <c r="D328" s="10">
        <v>5</v>
      </c>
      <c r="E328" s="10">
        <v>968</v>
      </c>
      <c r="F328" s="10">
        <v>36064490.901587345</v>
      </c>
      <c r="G328" s="10">
        <v>918</v>
      </c>
      <c r="H328" s="10">
        <v>19</v>
      </c>
      <c r="I328" s="10">
        <v>5</v>
      </c>
      <c r="J328" s="10">
        <v>926</v>
      </c>
      <c r="K328" s="10">
        <v>39837526.7874678</v>
      </c>
    </row>
    <row r="329" spans="1:11" x14ac:dyDescent="0.35">
      <c r="A329" s="9" t="s">
        <v>443</v>
      </c>
      <c r="B329" s="10">
        <v>395</v>
      </c>
      <c r="C329" s="10">
        <v>135</v>
      </c>
      <c r="D329" s="10">
        <v>0</v>
      </c>
      <c r="E329" s="10">
        <v>176</v>
      </c>
      <c r="F329" s="10">
        <v>7693427.7870794656</v>
      </c>
      <c r="G329" s="10">
        <v>236</v>
      </c>
      <c r="H329" s="10">
        <v>3</v>
      </c>
      <c r="I329" s="10">
        <v>1</v>
      </c>
      <c r="J329" s="10">
        <v>189</v>
      </c>
      <c r="K329" s="10">
        <v>8200261.3728541164</v>
      </c>
    </row>
    <row r="330" spans="1:11" x14ac:dyDescent="0.35">
      <c r="A330" s="9" t="s">
        <v>444</v>
      </c>
      <c r="B330" s="10">
        <v>809</v>
      </c>
      <c r="C330" s="10">
        <v>28</v>
      </c>
      <c r="D330" s="10">
        <v>8</v>
      </c>
      <c r="E330" s="10">
        <v>712</v>
      </c>
      <c r="F330" s="10">
        <v>31069523.35635031</v>
      </c>
      <c r="G330" s="10">
        <v>797</v>
      </c>
      <c r="H330" s="10">
        <v>21</v>
      </c>
      <c r="I330" s="10">
        <v>12</v>
      </c>
      <c r="J330" s="10">
        <v>684</v>
      </c>
      <c r="K330" s="10">
        <v>39221661.66664283</v>
      </c>
    </row>
    <row r="331" spans="1:11" x14ac:dyDescent="0.35">
      <c r="A331" s="9" t="s">
        <v>445</v>
      </c>
      <c r="B331" s="10">
        <v>613</v>
      </c>
      <c r="C331" s="10">
        <v>9</v>
      </c>
      <c r="D331" s="10">
        <v>1</v>
      </c>
      <c r="E331" s="10">
        <v>568</v>
      </c>
      <c r="F331" s="10">
        <v>19020767.095634274</v>
      </c>
      <c r="G331" s="10">
        <v>574</v>
      </c>
      <c r="H331" s="10">
        <v>18</v>
      </c>
      <c r="I331" s="10">
        <v>1</v>
      </c>
      <c r="J331" s="10">
        <v>599</v>
      </c>
      <c r="K331" s="10">
        <v>22921908.43626624</v>
      </c>
    </row>
    <row r="332" spans="1:11" x14ac:dyDescent="0.35">
      <c r="A332" s="9" t="s">
        <v>446</v>
      </c>
      <c r="B332" s="10">
        <v>277</v>
      </c>
      <c r="C332" s="10">
        <v>6</v>
      </c>
      <c r="D332" s="10">
        <v>1</v>
      </c>
      <c r="E332" s="10">
        <v>211</v>
      </c>
      <c r="F332" s="10">
        <v>7020427.4781362703</v>
      </c>
      <c r="G332" s="10">
        <v>228</v>
      </c>
      <c r="H332" s="10">
        <v>5</v>
      </c>
      <c r="I332" s="10">
        <v>1</v>
      </c>
      <c r="J332" s="10">
        <v>201</v>
      </c>
      <c r="K332" s="10">
        <v>6956727.4794304827</v>
      </c>
    </row>
    <row r="333" spans="1:11" x14ac:dyDescent="0.35">
      <c r="A333" s="9" t="s">
        <v>447</v>
      </c>
      <c r="B333" s="10">
        <v>1002</v>
      </c>
      <c r="C333" s="10">
        <v>23</v>
      </c>
      <c r="D333" s="10">
        <v>6</v>
      </c>
      <c r="E333" s="10">
        <v>802</v>
      </c>
      <c r="F333" s="10">
        <v>47109802.437402233</v>
      </c>
      <c r="G333" s="10">
        <v>1131</v>
      </c>
      <c r="H333" s="10">
        <v>37</v>
      </c>
      <c r="I333" s="10">
        <v>7</v>
      </c>
      <c r="J333" s="10">
        <v>1067</v>
      </c>
      <c r="K333" s="10">
        <v>50831278.301409431</v>
      </c>
    </row>
    <row r="334" spans="1:11" x14ac:dyDescent="0.35">
      <c r="A334" s="9" t="s">
        <v>448</v>
      </c>
      <c r="B334" s="10">
        <v>823</v>
      </c>
      <c r="C334" s="10">
        <v>7</v>
      </c>
      <c r="D334" s="10">
        <v>2</v>
      </c>
      <c r="E334" s="10">
        <v>688</v>
      </c>
      <c r="F334" s="10">
        <v>29645999.243814241</v>
      </c>
      <c r="G334" s="10">
        <v>793</v>
      </c>
      <c r="H334" s="10">
        <v>10</v>
      </c>
      <c r="I334" s="10">
        <v>2</v>
      </c>
      <c r="J334" s="10">
        <v>1022</v>
      </c>
      <c r="K334" s="10">
        <v>30963122.694249704</v>
      </c>
    </row>
    <row r="335" spans="1:11" x14ac:dyDescent="0.35">
      <c r="A335" s="9" t="s">
        <v>449</v>
      </c>
      <c r="B335" s="10">
        <v>484</v>
      </c>
      <c r="C335" s="10">
        <v>1</v>
      </c>
      <c r="D335" s="10">
        <v>1</v>
      </c>
      <c r="E335" s="10">
        <v>426</v>
      </c>
      <c r="F335" s="10">
        <v>14955243.27582204</v>
      </c>
      <c r="G335" s="10">
        <v>421</v>
      </c>
      <c r="H335" s="10">
        <v>10</v>
      </c>
      <c r="I335" s="10">
        <v>1</v>
      </c>
      <c r="J335" s="10">
        <v>412</v>
      </c>
      <c r="K335" s="10">
        <v>15614975.368826387</v>
      </c>
    </row>
    <row r="336" spans="1:11" x14ac:dyDescent="0.35">
      <c r="A336" s="9" t="s">
        <v>450</v>
      </c>
      <c r="B336" s="10">
        <v>220</v>
      </c>
      <c r="C336" s="10">
        <v>3</v>
      </c>
      <c r="D336" s="10">
        <v>1</v>
      </c>
      <c r="E336" s="10">
        <v>175</v>
      </c>
      <c r="F336" s="10">
        <v>6399281.0045099976</v>
      </c>
      <c r="G336" s="10">
        <v>215</v>
      </c>
      <c r="H336" s="10">
        <v>2</v>
      </c>
      <c r="I336" s="10">
        <v>0</v>
      </c>
      <c r="J336" s="10">
        <v>207</v>
      </c>
      <c r="K336" s="10">
        <v>6500643.4388303682</v>
      </c>
    </row>
    <row r="337" spans="1:11" x14ac:dyDescent="0.35">
      <c r="A337" s="9" t="s">
        <v>451</v>
      </c>
      <c r="B337" s="10">
        <v>635</v>
      </c>
      <c r="C337" s="10">
        <v>8</v>
      </c>
      <c r="D337" s="10">
        <v>0</v>
      </c>
      <c r="E337" s="10">
        <v>652</v>
      </c>
      <c r="F337" s="10">
        <v>26862466.496768437</v>
      </c>
      <c r="G337" s="10">
        <v>636</v>
      </c>
      <c r="H337" s="10">
        <v>15</v>
      </c>
      <c r="I337" s="10">
        <v>1</v>
      </c>
      <c r="J337" s="10">
        <v>668</v>
      </c>
      <c r="K337" s="10">
        <v>25869184.219444033</v>
      </c>
    </row>
    <row r="338" spans="1:11" x14ac:dyDescent="0.35">
      <c r="A338" s="9" t="s">
        <v>452</v>
      </c>
      <c r="B338" s="10">
        <v>689</v>
      </c>
      <c r="C338" s="10">
        <v>11</v>
      </c>
      <c r="D338" s="10">
        <v>1</v>
      </c>
      <c r="E338" s="10">
        <v>545</v>
      </c>
      <c r="F338" s="10">
        <v>25769182.686444741</v>
      </c>
      <c r="G338" s="10">
        <v>546</v>
      </c>
      <c r="H338" s="10">
        <v>10</v>
      </c>
      <c r="I338" s="10">
        <v>1</v>
      </c>
      <c r="J338" s="10">
        <v>494</v>
      </c>
      <c r="K338" s="10">
        <v>26003832.732944917</v>
      </c>
    </row>
    <row r="339" spans="1:11" x14ac:dyDescent="0.35">
      <c r="A339" s="9" t="s">
        <v>453</v>
      </c>
      <c r="B339" s="10">
        <v>203</v>
      </c>
      <c r="C339" s="10">
        <v>7</v>
      </c>
      <c r="D339" s="10">
        <v>0</v>
      </c>
      <c r="E339" s="10">
        <v>128</v>
      </c>
      <c r="F339" s="10">
        <v>9917204.796546042</v>
      </c>
      <c r="G339" s="10">
        <v>188</v>
      </c>
      <c r="H339" s="10">
        <v>2</v>
      </c>
      <c r="I339" s="10">
        <v>0</v>
      </c>
      <c r="J339" s="10">
        <v>140</v>
      </c>
      <c r="K339" s="10">
        <v>10625746.650902422</v>
      </c>
    </row>
    <row r="340" spans="1:11" x14ac:dyDescent="0.35">
      <c r="A340" s="9" t="s">
        <v>454</v>
      </c>
      <c r="B340" s="10">
        <v>734</v>
      </c>
      <c r="C340" s="10">
        <v>19</v>
      </c>
      <c r="D340" s="10">
        <v>2</v>
      </c>
      <c r="E340" s="10">
        <v>679</v>
      </c>
      <c r="F340" s="10">
        <v>19729752.703426737</v>
      </c>
      <c r="G340" s="10">
        <v>835</v>
      </c>
      <c r="H340" s="10">
        <v>29</v>
      </c>
      <c r="I340" s="10">
        <v>3</v>
      </c>
      <c r="J340" s="10">
        <v>760</v>
      </c>
      <c r="K340" s="10">
        <v>23834363.137056075</v>
      </c>
    </row>
    <row r="341" spans="1:11" x14ac:dyDescent="0.35">
      <c r="A341" s="9" t="s">
        <v>455</v>
      </c>
      <c r="B341" s="10">
        <v>986</v>
      </c>
      <c r="C341" s="10">
        <v>7</v>
      </c>
      <c r="D341" s="10">
        <v>2</v>
      </c>
      <c r="E341" s="10">
        <v>776</v>
      </c>
      <c r="F341" s="10">
        <v>42649977.669006765</v>
      </c>
      <c r="G341" s="10">
        <v>1120</v>
      </c>
      <c r="H341" s="10">
        <v>20</v>
      </c>
      <c r="I341" s="10">
        <v>2</v>
      </c>
      <c r="J341" s="10">
        <v>1011</v>
      </c>
      <c r="K341" s="10">
        <v>44533630.91590476</v>
      </c>
    </row>
    <row r="342" spans="1:11" x14ac:dyDescent="0.35">
      <c r="A342" s="9" t="s">
        <v>456</v>
      </c>
      <c r="B342" s="10">
        <v>113</v>
      </c>
      <c r="C342" s="10">
        <v>0</v>
      </c>
      <c r="D342" s="10">
        <v>2</v>
      </c>
      <c r="E342" s="10">
        <v>192</v>
      </c>
      <c r="F342" s="10">
        <v>6874042.6675237343</v>
      </c>
      <c r="G342" s="10">
        <v>133</v>
      </c>
      <c r="H342" s="10">
        <v>0</v>
      </c>
      <c r="I342" s="10">
        <v>1</v>
      </c>
      <c r="J342" s="10">
        <v>110</v>
      </c>
      <c r="K342" s="10">
        <v>7242858.836586548</v>
      </c>
    </row>
    <row r="343" spans="1:11" x14ac:dyDescent="0.35">
      <c r="A343" s="9" t="s">
        <v>457</v>
      </c>
      <c r="B343" s="10">
        <v>1284</v>
      </c>
      <c r="C343" s="10">
        <v>7</v>
      </c>
      <c r="D343" s="10">
        <v>1</v>
      </c>
      <c r="E343" s="10">
        <v>1028</v>
      </c>
      <c r="F343" s="10">
        <v>28591812.437047325</v>
      </c>
      <c r="G343" s="10">
        <v>1350</v>
      </c>
      <c r="H343" s="10">
        <v>12</v>
      </c>
      <c r="I343" s="10">
        <v>2</v>
      </c>
      <c r="J343" s="10">
        <v>1172</v>
      </c>
      <c r="K343" s="10">
        <v>56623475.333974488</v>
      </c>
    </row>
    <row r="344" spans="1:11" x14ac:dyDescent="0.35">
      <c r="A344" s="9" t="s">
        <v>458</v>
      </c>
      <c r="B344" s="10">
        <v>120</v>
      </c>
      <c r="C344" s="10">
        <v>2</v>
      </c>
      <c r="D344" s="10">
        <v>1</v>
      </c>
      <c r="E344" s="10">
        <v>89</v>
      </c>
      <c r="F344" s="10">
        <v>3500596.5009625121</v>
      </c>
      <c r="G344" s="10">
        <v>100</v>
      </c>
      <c r="H344" s="10">
        <v>0</v>
      </c>
      <c r="I344" s="10">
        <v>0</v>
      </c>
      <c r="J344" s="10">
        <v>64</v>
      </c>
      <c r="K344" s="10">
        <v>2969175.4704557229</v>
      </c>
    </row>
    <row r="345" spans="1:11" x14ac:dyDescent="0.35">
      <c r="A345" s="9" t="s">
        <v>459</v>
      </c>
      <c r="B345" s="10">
        <v>709</v>
      </c>
      <c r="C345" s="10">
        <v>15</v>
      </c>
      <c r="D345" s="10">
        <v>1</v>
      </c>
      <c r="E345" s="10">
        <v>614</v>
      </c>
      <c r="F345" s="10">
        <v>29439782.064263567</v>
      </c>
      <c r="G345" s="10">
        <v>654</v>
      </c>
      <c r="H345" s="10">
        <v>27</v>
      </c>
      <c r="I345" s="10">
        <v>1</v>
      </c>
      <c r="J345" s="10">
        <v>658</v>
      </c>
      <c r="K345" s="10">
        <v>35804149.626011774</v>
      </c>
    </row>
    <row r="346" spans="1:11" x14ac:dyDescent="0.35">
      <c r="A346" s="9" t="s">
        <v>460</v>
      </c>
      <c r="B346" s="10">
        <v>568</v>
      </c>
      <c r="C346" s="10">
        <v>13</v>
      </c>
      <c r="D346" s="10">
        <v>1</v>
      </c>
      <c r="E346" s="10">
        <v>585</v>
      </c>
      <c r="F346" s="10">
        <v>19753371.124442194</v>
      </c>
      <c r="G346" s="10">
        <v>628</v>
      </c>
      <c r="H346" s="10">
        <v>15</v>
      </c>
      <c r="I346" s="10">
        <v>1</v>
      </c>
      <c r="J346" s="10">
        <v>647</v>
      </c>
      <c r="K346" s="10">
        <v>20472796.353294309</v>
      </c>
    </row>
    <row r="347" spans="1:11" x14ac:dyDescent="0.35">
      <c r="A347" s="9" t="s">
        <v>461</v>
      </c>
      <c r="B347" s="10">
        <v>657</v>
      </c>
      <c r="C347" s="10">
        <v>17</v>
      </c>
      <c r="D347" s="10">
        <v>7</v>
      </c>
      <c r="E347" s="10">
        <v>587</v>
      </c>
      <c r="F347" s="10">
        <v>28664397.43741712</v>
      </c>
      <c r="G347" s="10">
        <v>624</v>
      </c>
      <c r="H347" s="10">
        <v>9</v>
      </c>
      <c r="I347" s="10">
        <v>7</v>
      </c>
      <c r="J347" s="10">
        <v>558</v>
      </c>
      <c r="K347" s="10">
        <v>27611059.211629536</v>
      </c>
    </row>
    <row r="348" spans="1:11" x14ac:dyDescent="0.35">
      <c r="A348" s="9" t="s">
        <v>462</v>
      </c>
      <c r="B348" s="10">
        <v>690</v>
      </c>
      <c r="C348" s="10">
        <v>8</v>
      </c>
      <c r="D348" s="10">
        <v>1</v>
      </c>
      <c r="E348" s="10">
        <v>764</v>
      </c>
      <c r="F348" s="10">
        <v>17827186.472781423</v>
      </c>
      <c r="G348" s="10">
        <v>661</v>
      </c>
      <c r="H348" s="10">
        <v>8</v>
      </c>
      <c r="I348" s="10">
        <v>0</v>
      </c>
      <c r="J348" s="10">
        <v>647</v>
      </c>
      <c r="K348" s="10">
        <v>19842970.622941285</v>
      </c>
    </row>
    <row r="349" spans="1:11" x14ac:dyDescent="0.35">
      <c r="A349" s="9" t="s">
        <v>463</v>
      </c>
      <c r="B349" s="10">
        <v>577</v>
      </c>
      <c r="C349" s="10">
        <v>19</v>
      </c>
      <c r="D349" s="10">
        <v>5</v>
      </c>
      <c r="E349" s="10">
        <v>492</v>
      </c>
      <c r="F349" s="10">
        <v>23219615.608305633</v>
      </c>
      <c r="G349" s="10">
        <v>613</v>
      </c>
      <c r="H349" s="10">
        <v>23</v>
      </c>
      <c r="I349" s="10">
        <v>5</v>
      </c>
      <c r="J349" s="10">
        <v>426</v>
      </c>
      <c r="K349" s="10">
        <v>12243583.238856444</v>
      </c>
    </row>
    <row r="350" spans="1:11" x14ac:dyDescent="0.35">
      <c r="A350" s="9" t="s">
        <v>464</v>
      </c>
      <c r="B350" s="10">
        <v>965</v>
      </c>
      <c r="C350" s="10">
        <v>10</v>
      </c>
      <c r="D350" s="10">
        <v>2</v>
      </c>
      <c r="E350" s="10">
        <v>920</v>
      </c>
      <c r="F350" s="10">
        <v>28380880.726458374</v>
      </c>
      <c r="G350" s="10">
        <v>834</v>
      </c>
      <c r="H350" s="10">
        <v>12</v>
      </c>
      <c r="I350" s="10">
        <v>2</v>
      </c>
      <c r="J350" s="10">
        <v>742</v>
      </c>
      <c r="K350" s="10">
        <v>31640946.737576723</v>
      </c>
    </row>
    <row r="351" spans="1:11" x14ac:dyDescent="0.35">
      <c r="A351" s="9" t="s">
        <v>465</v>
      </c>
      <c r="B351" s="10">
        <v>513</v>
      </c>
      <c r="C351" s="10">
        <v>5</v>
      </c>
      <c r="D351" s="10">
        <v>3</v>
      </c>
      <c r="E351" s="10">
        <v>573</v>
      </c>
      <c r="F351" s="10">
        <v>15421718.029048553</v>
      </c>
      <c r="G351" s="10">
        <v>549</v>
      </c>
      <c r="H351" s="10">
        <v>16</v>
      </c>
      <c r="I351" s="10">
        <v>2</v>
      </c>
      <c r="J351" s="10">
        <v>543</v>
      </c>
      <c r="K351" s="10">
        <v>18117307.289628722</v>
      </c>
    </row>
    <row r="352" spans="1:11" x14ac:dyDescent="0.35">
      <c r="A352" s="9" t="s">
        <v>466</v>
      </c>
      <c r="B352" s="10">
        <v>911</v>
      </c>
      <c r="C352" s="10">
        <v>124</v>
      </c>
      <c r="D352" s="10">
        <v>6</v>
      </c>
      <c r="E352" s="10">
        <v>747</v>
      </c>
      <c r="F352" s="10">
        <v>30623631.421189494</v>
      </c>
      <c r="G352" s="10">
        <v>772</v>
      </c>
      <c r="H352" s="10">
        <v>24</v>
      </c>
      <c r="I352" s="10">
        <v>5</v>
      </c>
      <c r="J352" s="10">
        <v>663</v>
      </c>
      <c r="K352" s="10">
        <v>33219321.416296016</v>
      </c>
    </row>
    <row r="353" spans="1:11" x14ac:dyDescent="0.35">
      <c r="A353" s="9" t="s">
        <v>467</v>
      </c>
      <c r="B353" s="10">
        <v>391</v>
      </c>
      <c r="C353" s="10">
        <v>1</v>
      </c>
      <c r="D353" s="10">
        <v>1</v>
      </c>
      <c r="E353" s="10">
        <v>394</v>
      </c>
      <c r="F353" s="10">
        <v>10785681.718901871</v>
      </c>
      <c r="G353" s="10">
        <v>437</v>
      </c>
      <c r="H353" s="10">
        <v>3</v>
      </c>
      <c r="I353" s="10">
        <v>1</v>
      </c>
      <c r="J353" s="10">
        <v>394</v>
      </c>
      <c r="K353" s="10">
        <v>12053414.5252032</v>
      </c>
    </row>
    <row r="354" spans="1:11" x14ac:dyDescent="0.35">
      <c r="A354" s="9" t="s">
        <v>468</v>
      </c>
      <c r="B354" s="10">
        <v>656</v>
      </c>
      <c r="C354" s="10">
        <v>5</v>
      </c>
      <c r="D354" s="10">
        <v>2</v>
      </c>
      <c r="E354" s="10">
        <v>525</v>
      </c>
      <c r="F354" s="10">
        <v>18168484.522465903</v>
      </c>
      <c r="G354" s="10">
        <v>691</v>
      </c>
      <c r="H354" s="10">
        <v>10</v>
      </c>
      <c r="I354" s="10">
        <v>2</v>
      </c>
      <c r="J354" s="10">
        <v>483</v>
      </c>
      <c r="K354" s="10">
        <v>24179413.046148624</v>
      </c>
    </row>
    <row r="355" spans="1:11" x14ac:dyDescent="0.35">
      <c r="A355" s="9" t="s">
        <v>469</v>
      </c>
      <c r="B355" s="10">
        <v>843</v>
      </c>
      <c r="C355" s="10">
        <v>4</v>
      </c>
      <c r="D355" s="10">
        <v>1</v>
      </c>
      <c r="E355" s="10">
        <v>256</v>
      </c>
      <c r="F355" s="10">
        <v>12496412.072320316</v>
      </c>
      <c r="G355" s="10">
        <v>1546</v>
      </c>
      <c r="H355" s="10">
        <v>7</v>
      </c>
      <c r="I355" s="10">
        <v>1</v>
      </c>
      <c r="J355" s="10">
        <v>279</v>
      </c>
      <c r="K355" s="10">
        <v>11343271.052407045</v>
      </c>
    </row>
    <row r="356" spans="1:11" x14ac:dyDescent="0.35">
      <c r="A356" s="9" t="s">
        <v>470</v>
      </c>
      <c r="B356" s="10">
        <v>1512</v>
      </c>
      <c r="C356" s="10">
        <v>8</v>
      </c>
      <c r="D356" s="10">
        <v>16</v>
      </c>
      <c r="E356" s="10">
        <v>821</v>
      </c>
      <c r="F356" s="10">
        <v>52047560.518638462</v>
      </c>
      <c r="G356" s="10">
        <v>1172</v>
      </c>
      <c r="H356" s="10">
        <v>16</v>
      </c>
      <c r="I356" s="10">
        <v>18</v>
      </c>
      <c r="J356" s="10">
        <v>862</v>
      </c>
      <c r="K356" s="10">
        <v>52319497.892061211</v>
      </c>
    </row>
    <row r="357" spans="1:11" x14ac:dyDescent="0.35">
      <c r="A357" s="9" t="s">
        <v>471</v>
      </c>
      <c r="B357" s="10">
        <v>1163</v>
      </c>
      <c r="C357" s="10">
        <v>11</v>
      </c>
      <c r="D357" s="10">
        <v>7</v>
      </c>
      <c r="E357" s="10">
        <v>1166</v>
      </c>
      <c r="F357" s="10">
        <v>33971688.018176593</v>
      </c>
      <c r="G357" s="10">
        <v>1286</v>
      </c>
      <c r="H357" s="10">
        <v>27</v>
      </c>
      <c r="I357" s="10">
        <v>6</v>
      </c>
      <c r="J357" s="10">
        <v>1328</v>
      </c>
      <c r="K357" s="10">
        <v>37495138.080878608</v>
      </c>
    </row>
    <row r="358" spans="1:11" x14ac:dyDescent="0.35">
      <c r="A358" s="9" t="s">
        <v>472</v>
      </c>
      <c r="B358" s="10">
        <v>285</v>
      </c>
      <c r="C358" s="10">
        <v>9</v>
      </c>
      <c r="D358" s="10">
        <v>3</v>
      </c>
      <c r="E358" s="10">
        <v>355</v>
      </c>
      <c r="F358" s="10">
        <v>10820180.382708644</v>
      </c>
      <c r="G358" s="10">
        <v>377</v>
      </c>
      <c r="H358" s="10">
        <v>4</v>
      </c>
      <c r="I358" s="10">
        <v>2</v>
      </c>
      <c r="J358" s="10">
        <v>284</v>
      </c>
      <c r="K358" s="10">
        <v>10656298.552026656</v>
      </c>
    </row>
    <row r="359" spans="1:11" x14ac:dyDescent="0.35">
      <c r="A359" s="9" t="s">
        <v>473</v>
      </c>
      <c r="B359" s="10">
        <v>535</v>
      </c>
      <c r="C359" s="10">
        <v>106</v>
      </c>
      <c r="D359" s="10">
        <v>4</v>
      </c>
      <c r="E359" s="10">
        <v>502</v>
      </c>
      <c r="F359" s="10">
        <v>17923393.716968089</v>
      </c>
      <c r="G359" s="10">
        <v>460</v>
      </c>
      <c r="H359" s="10">
        <v>5</v>
      </c>
      <c r="I359" s="10">
        <v>3</v>
      </c>
      <c r="J359" s="10">
        <v>408</v>
      </c>
      <c r="K359" s="10">
        <v>17362916.053340442</v>
      </c>
    </row>
    <row r="360" spans="1:11" x14ac:dyDescent="0.35">
      <c r="A360" s="9" t="s">
        <v>474</v>
      </c>
      <c r="B360" s="10">
        <v>587</v>
      </c>
      <c r="C360" s="10">
        <v>14</v>
      </c>
      <c r="D360" s="10">
        <v>4</v>
      </c>
      <c r="E360" s="10">
        <v>406</v>
      </c>
      <c r="F360" s="10">
        <v>7911694.6858615</v>
      </c>
      <c r="G360" s="10">
        <v>609</v>
      </c>
      <c r="H360" s="10">
        <v>6</v>
      </c>
      <c r="I360" s="10">
        <v>6</v>
      </c>
      <c r="J360" s="10">
        <v>565</v>
      </c>
      <c r="K360" s="10">
        <v>15254980.752171503</v>
      </c>
    </row>
    <row r="361" spans="1:11" x14ac:dyDescent="0.35">
      <c r="A361" s="9" t="s">
        <v>475</v>
      </c>
      <c r="B361" s="10">
        <v>246</v>
      </c>
      <c r="C361" s="10">
        <v>1</v>
      </c>
      <c r="D361" s="10">
        <v>1</v>
      </c>
      <c r="E361" s="10">
        <v>219</v>
      </c>
      <c r="F361" s="10">
        <v>10451838.755834656</v>
      </c>
      <c r="G361" s="10">
        <v>233</v>
      </c>
      <c r="H361" s="10">
        <v>8</v>
      </c>
      <c r="I361" s="10">
        <v>1</v>
      </c>
      <c r="J361" s="10">
        <v>204</v>
      </c>
      <c r="K361" s="10">
        <v>10487916.21211802</v>
      </c>
    </row>
    <row r="362" spans="1:11" x14ac:dyDescent="0.35">
      <c r="A362" s="9" t="s">
        <v>476</v>
      </c>
      <c r="B362" s="10">
        <v>810</v>
      </c>
      <c r="C362" s="10">
        <v>10</v>
      </c>
      <c r="D362" s="10">
        <v>1</v>
      </c>
      <c r="E362" s="10">
        <v>872</v>
      </c>
      <c r="F362" s="10">
        <v>29655970.626272839</v>
      </c>
      <c r="G362" s="10">
        <v>806</v>
      </c>
      <c r="H362" s="10">
        <v>17</v>
      </c>
      <c r="I362" s="10">
        <v>2</v>
      </c>
      <c r="J362" s="10">
        <v>772</v>
      </c>
      <c r="K362" s="10">
        <v>29984566.253828321</v>
      </c>
    </row>
    <row r="363" spans="1:11" x14ac:dyDescent="0.35">
      <c r="A363" s="9" t="s">
        <v>477</v>
      </c>
      <c r="B363" s="10">
        <v>459</v>
      </c>
      <c r="C363" s="10">
        <v>2</v>
      </c>
      <c r="D363" s="10">
        <v>4</v>
      </c>
      <c r="E363" s="10">
        <v>481</v>
      </c>
      <c r="F363" s="10">
        <v>21190195.620309591</v>
      </c>
      <c r="G363" s="10">
        <v>564</v>
      </c>
      <c r="H363" s="10">
        <v>12</v>
      </c>
      <c r="I363" s="10">
        <v>6</v>
      </c>
      <c r="J363" s="10">
        <v>514</v>
      </c>
      <c r="K363" s="10">
        <v>19941255.400416527</v>
      </c>
    </row>
    <row r="364" spans="1:11" x14ac:dyDescent="0.35">
      <c r="A364" s="9" t="s">
        <v>478</v>
      </c>
      <c r="B364" s="10">
        <v>1262</v>
      </c>
      <c r="C364" s="10">
        <v>11</v>
      </c>
      <c r="D364" s="10">
        <v>2</v>
      </c>
      <c r="E364" s="10">
        <v>946</v>
      </c>
      <c r="F364" s="10">
        <v>37610916.668344453</v>
      </c>
      <c r="G364" s="10">
        <v>1131</v>
      </c>
      <c r="H364" s="10">
        <v>28</v>
      </c>
      <c r="I364" s="10">
        <v>1</v>
      </c>
      <c r="J364" s="10">
        <v>860</v>
      </c>
      <c r="K364" s="10">
        <v>37600438.065839753</v>
      </c>
    </row>
    <row r="365" spans="1:11" x14ac:dyDescent="0.35">
      <c r="A365" s="9" t="s">
        <v>479</v>
      </c>
      <c r="B365" s="10">
        <v>550</v>
      </c>
      <c r="C365" s="10">
        <v>4</v>
      </c>
      <c r="D365" s="10">
        <v>1</v>
      </c>
      <c r="E365" s="10">
        <v>489</v>
      </c>
      <c r="F365" s="10">
        <v>21395044.427337568</v>
      </c>
      <c r="G365" s="10">
        <v>547</v>
      </c>
      <c r="H365" s="10">
        <v>10</v>
      </c>
      <c r="I365" s="10">
        <v>1</v>
      </c>
      <c r="J365" s="10">
        <v>518</v>
      </c>
      <c r="K365" s="10">
        <v>24838454.288242064</v>
      </c>
    </row>
    <row r="366" spans="1:11" x14ac:dyDescent="0.35">
      <c r="A366" s="9" t="s">
        <v>480</v>
      </c>
      <c r="B366" s="10">
        <v>411</v>
      </c>
      <c r="C366" s="10">
        <v>6</v>
      </c>
      <c r="D366" s="10">
        <v>3</v>
      </c>
      <c r="E366" s="10">
        <v>236</v>
      </c>
      <c r="F366" s="10">
        <v>15719473.347000757</v>
      </c>
      <c r="G366" s="10">
        <v>492</v>
      </c>
      <c r="H366" s="10">
        <v>15</v>
      </c>
      <c r="I366" s="10">
        <v>2</v>
      </c>
      <c r="J366" s="10">
        <v>361</v>
      </c>
      <c r="K366" s="10">
        <v>21181647.230254948</v>
      </c>
    </row>
    <row r="367" spans="1:11" x14ac:dyDescent="0.35">
      <c r="A367" s="9" t="s">
        <v>481</v>
      </c>
      <c r="B367" s="10">
        <v>235</v>
      </c>
      <c r="C367" s="10">
        <v>2</v>
      </c>
      <c r="D367" s="10">
        <v>1</v>
      </c>
      <c r="E367" s="10">
        <v>96</v>
      </c>
      <c r="F367" s="10">
        <v>11860682.26462689</v>
      </c>
      <c r="G367" s="10">
        <v>285</v>
      </c>
      <c r="H367" s="10">
        <v>3</v>
      </c>
      <c r="I367" s="10">
        <v>0</v>
      </c>
      <c r="J367" s="10">
        <v>90</v>
      </c>
      <c r="K367" s="10">
        <v>9894365.2769082561</v>
      </c>
    </row>
    <row r="368" spans="1:11" x14ac:dyDescent="0.35">
      <c r="A368" s="9" t="s">
        <v>482</v>
      </c>
      <c r="B368" s="10">
        <v>385</v>
      </c>
      <c r="C368" s="10">
        <v>2</v>
      </c>
      <c r="D368" s="10">
        <v>1</v>
      </c>
      <c r="E368" s="10">
        <v>216</v>
      </c>
      <c r="F368" s="10">
        <v>11201115.05755477</v>
      </c>
      <c r="G368" s="10">
        <v>619</v>
      </c>
      <c r="H368" s="10">
        <v>15</v>
      </c>
      <c r="I368" s="10">
        <v>1</v>
      </c>
      <c r="J368" s="10">
        <v>520</v>
      </c>
      <c r="K368" s="10">
        <v>21465979.8232756</v>
      </c>
    </row>
    <row r="369" spans="1:11" x14ac:dyDescent="0.35">
      <c r="A369" s="9" t="s">
        <v>483</v>
      </c>
      <c r="B369" s="10">
        <v>672</v>
      </c>
      <c r="C369" s="10">
        <v>33</v>
      </c>
      <c r="D369" s="10">
        <v>5</v>
      </c>
      <c r="E369" s="10">
        <v>552</v>
      </c>
      <c r="F369" s="10">
        <v>19801509.278243542</v>
      </c>
      <c r="G369" s="10">
        <v>660</v>
      </c>
      <c r="H369" s="10">
        <v>10</v>
      </c>
      <c r="I369" s="10">
        <v>5</v>
      </c>
      <c r="J369" s="10">
        <v>672</v>
      </c>
      <c r="K369" s="10">
        <v>19092456.448355962</v>
      </c>
    </row>
    <row r="370" spans="1:11" x14ac:dyDescent="0.35">
      <c r="A370" s="9" t="s">
        <v>484</v>
      </c>
      <c r="B370" s="10">
        <v>335</v>
      </c>
      <c r="C370" s="10">
        <v>2</v>
      </c>
      <c r="D370" s="10">
        <v>1</v>
      </c>
      <c r="E370" s="10">
        <v>145</v>
      </c>
      <c r="F370" s="10">
        <v>11325065.110333474</v>
      </c>
      <c r="G370" s="10">
        <v>458</v>
      </c>
      <c r="H370" s="10">
        <v>10</v>
      </c>
      <c r="I370" s="10">
        <v>1</v>
      </c>
      <c r="J370" s="10">
        <v>323</v>
      </c>
      <c r="K370" s="10">
        <v>14538134.512930645</v>
      </c>
    </row>
    <row r="371" spans="1:11" x14ac:dyDescent="0.35">
      <c r="A371" s="9" t="s">
        <v>485</v>
      </c>
      <c r="B371" s="10">
        <v>1464</v>
      </c>
      <c r="C371" s="10">
        <v>14</v>
      </c>
      <c r="D371" s="10">
        <v>6</v>
      </c>
      <c r="E371" s="10">
        <v>1307</v>
      </c>
      <c r="F371" s="10">
        <v>54518202.667494051</v>
      </c>
      <c r="G371" s="10">
        <v>1200</v>
      </c>
      <c r="H371" s="10">
        <v>14</v>
      </c>
      <c r="I371" s="10">
        <v>4</v>
      </c>
      <c r="J371" s="10">
        <v>949</v>
      </c>
      <c r="K371" s="10">
        <v>46469926.839219153</v>
      </c>
    </row>
    <row r="372" spans="1:11" x14ac:dyDescent="0.35">
      <c r="A372" s="9" t="s">
        <v>486</v>
      </c>
      <c r="B372" s="10">
        <v>599</v>
      </c>
      <c r="C372" s="10">
        <v>10</v>
      </c>
      <c r="D372" s="10">
        <v>6</v>
      </c>
      <c r="E372" s="10">
        <v>434</v>
      </c>
      <c r="F372" s="10">
        <v>16683419.345235348</v>
      </c>
      <c r="G372" s="10">
        <v>432</v>
      </c>
      <c r="H372" s="10">
        <v>3</v>
      </c>
      <c r="I372" s="10">
        <v>6</v>
      </c>
      <c r="J372" s="10">
        <v>407</v>
      </c>
      <c r="K372" s="10">
        <v>17104153.251761872</v>
      </c>
    </row>
    <row r="373" spans="1:11" x14ac:dyDescent="0.35">
      <c r="A373" s="9" t="s">
        <v>487</v>
      </c>
      <c r="B373" s="10">
        <v>976</v>
      </c>
      <c r="C373" s="10">
        <v>7</v>
      </c>
      <c r="D373" s="10">
        <v>16</v>
      </c>
      <c r="E373" s="10">
        <v>874</v>
      </c>
      <c r="F373" s="10">
        <v>51328272.053983435</v>
      </c>
      <c r="G373" s="10">
        <v>1020</v>
      </c>
      <c r="H373" s="10">
        <v>8</v>
      </c>
      <c r="I373" s="10">
        <v>13</v>
      </c>
      <c r="J373" s="10">
        <v>863</v>
      </c>
      <c r="K373" s="10">
        <v>41570211.602621131</v>
      </c>
    </row>
    <row r="374" spans="1:11" x14ac:dyDescent="0.35">
      <c r="A374" s="9" t="s">
        <v>488</v>
      </c>
      <c r="B374" s="10">
        <v>855</v>
      </c>
      <c r="C374" s="10">
        <v>68</v>
      </c>
      <c r="D374" s="10">
        <v>2</v>
      </c>
      <c r="E374" s="10">
        <v>720</v>
      </c>
      <c r="F374" s="10">
        <v>26771426.385401972</v>
      </c>
      <c r="G374" s="10">
        <v>788</v>
      </c>
      <c r="H374" s="10">
        <v>15</v>
      </c>
      <c r="I374" s="10">
        <v>3</v>
      </c>
      <c r="J374" s="10">
        <v>560</v>
      </c>
      <c r="K374" s="10">
        <v>25837031.808656417</v>
      </c>
    </row>
    <row r="375" spans="1:11" x14ac:dyDescent="0.35">
      <c r="A375" s="9" t="s">
        <v>489</v>
      </c>
      <c r="B375" s="10">
        <v>550</v>
      </c>
      <c r="C375" s="10">
        <v>48</v>
      </c>
      <c r="D375" s="10">
        <v>1</v>
      </c>
      <c r="E375" s="10">
        <v>435</v>
      </c>
      <c r="F375" s="10">
        <v>18870545.601455674</v>
      </c>
      <c r="G375" s="10">
        <v>433</v>
      </c>
      <c r="H375" s="10">
        <v>23</v>
      </c>
      <c r="I375" s="10">
        <v>1</v>
      </c>
      <c r="J375" s="10">
        <v>259</v>
      </c>
      <c r="K375" s="10">
        <v>16972749.341533825</v>
      </c>
    </row>
    <row r="376" spans="1:11" x14ac:dyDescent="0.35">
      <c r="A376" s="9" t="s">
        <v>490</v>
      </c>
      <c r="B376" s="10">
        <v>918</v>
      </c>
      <c r="C376" s="10">
        <v>435</v>
      </c>
      <c r="D376" s="10">
        <v>4</v>
      </c>
      <c r="E376" s="10">
        <v>369</v>
      </c>
      <c r="F376" s="10">
        <v>18168240.95229888</v>
      </c>
      <c r="G376" s="10">
        <v>468</v>
      </c>
      <c r="H376" s="10">
        <v>219</v>
      </c>
      <c r="I376" s="10">
        <v>3</v>
      </c>
      <c r="J376" s="10">
        <v>122</v>
      </c>
      <c r="K376" s="10">
        <v>16231367.016105724</v>
      </c>
    </row>
    <row r="377" spans="1:11" x14ac:dyDescent="0.35">
      <c r="A377" s="9" t="s">
        <v>491</v>
      </c>
      <c r="B377" s="10">
        <v>306</v>
      </c>
      <c r="C377" s="10">
        <v>2</v>
      </c>
      <c r="D377" s="10">
        <v>1</v>
      </c>
      <c r="E377" s="10">
        <v>165</v>
      </c>
      <c r="F377" s="10">
        <v>8705485.5819701608</v>
      </c>
      <c r="G377" s="10">
        <v>333</v>
      </c>
      <c r="H377" s="10">
        <v>3</v>
      </c>
      <c r="I377" s="10">
        <v>1</v>
      </c>
      <c r="J377" s="10">
        <v>331</v>
      </c>
      <c r="K377" s="10">
        <v>12680860.195015941</v>
      </c>
    </row>
    <row r="378" spans="1:11" x14ac:dyDescent="0.35">
      <c r="A378" s="9" t="s">
        <v>492</v>
      </c>
      <c r="B378" s="10">
        <v>1139</v>
      </c>
      <c r="C378" s="10">
        <v>169</v>
      </c>
      <c r="D378" s="10">
        <v>4</v>
      </c>
      <c r="E378" s="10">
        <v>1020</v>
      </c>
      <c r="F378" s="10">
        <v>44667187.378312834</v>
      </c>
      <c r="G378" s="10">
        <v>1367</v>
      </c>
      <c r="H378" s="10">
        <v>61</v>
      </c>
      <c r="I378" s="10">
        <v>2</v>
      </c>
      <c r="J378" s="10">
        <v>1057</v>
      </c>
      <c r="K378" s="10">
        <v>39869812.198418498</v>
      </c>
    </row>
    <row r="379" spans="1:11" x14ac:dyDescent="0.35">
      <c r="A379" s="9" t="s">
        <v>493</v>
      </c>
      <c r="B379" s="10">
        <v>466</v>
      </c>
      <c r="C379" s="10">
        <v>34</v>
      </c>
      <c r="D379" s="10">
        <v>1</v>
      </c>
      <c r="E379" s="10">
        <v>227</v>
      </c>
      <c r="F379" s="10">
        <v>14533623.628834136</v>
      </c>
      <c r="G379" s="10">
        <v>670</v>
      </c>
      <c r="H379" s="10">
        <v>108</v>
      </c>
      <c r="I379" s="10">
        <v>1</v>
      </c>
      <c r="J379" s="10">
        <v>501</v>
      </c>
      <c r="K379" s="10">
        <v>18107865.187286507</v>
      </c>
    </row>
    <row r="380" spans="1:11" x14ac:dyDescent="0.35">
      <c r="A380" s="9" t="s">
        <v>494</v>
      </c>
      <c r="B380" s="10">
        <v>510</v>
      </c>
      <c r="C380" s="10">
        <v>5</v>
      </c>
      <c r="D380" s="10">
        <v>1</v>
      </c>
      <c r="E380" s="10">
        <v>510</v>
      </c>
      <c r="F380" s="10">
        <v>13274916.957065169</v>
      </c>
      <c r="G380" s="10">
        <v>549</v>
      </c>
      <c r="H380" s="10">
        <v>7</v>
      </c>
      <c r="I380" s="10">
        <v>0</v>
      </c>
      <c r="J380" s="10">
        <v>437</v>
      </c>
      <c r="K380" s="10">
        <v>13362147.46293438</v>
      </c>
    </row>
    <row r="381" spans="1:11" x14ac:dyDescent="0.35">
      <c r="A381" s="9" t="s">
        <v>495</v>
      </c>
      <c r="B381" s="10">
        <v>641</v>
      </c>
      <c r="C381" s="10">
        <v>5</v>
      </c>
      <c r="D381" s="10">
        <v>5</v>
      </c>
      <c r="E381" s="10">
        <v>582</v>
      </c>
      <c r="F381" s="10">
        <v>24225829.043159112</v>
      </c>
      <c r="G381" s="10">
        <v>651</v>
      </c>
      <c r="H381" s="10">
        <v>8</v>
      </c>
      <c r="I381" s="10">
        <v>5</v>
      </c>
      <c r="J381" s="10">
        <v>660</v>
      </c>
      <c r="K381" s="10">
        <v>24523474.669587132</v>
      </c>
    </row>
    <row r="382" spans="1:11" x14ac:dyDescent="0.35">
      <c r="A382" s="9" t="s">
        <v>496</v>
      </c>
      <c r="B382" s="10">
        <v>545</v>
      </c>
      <c r="C382" s="10">
        <v>6</v>
      </c>
      <c r="D382" s="10">
        <v>1</v>
      </c>
      <c r="E382" s="10">
        <v>573</v>
      </c>
      <c r="F382" s="10">
        <v>16069192.007471399</v>
      </c>
      <c r="G382" s="10">
        <v>430</v>
      </c>
      <c r="H382" s="10">
        <v>6</v>
      </c>
      <c r="I382" s="10">
        <v>2</v>
      </c>
      <c r="J382" s="10">
        <v>441</v>
      </c>
      <c r="K382" s="10">
        <v>15070614.713030009</v>
      </c>
    </row>
    <row r="383" spans="1:11" x14ac:dyDescent="0.35">
      <c r="A383" s="9" t="s">
        <v>497</v>
      </c>
      <c r="B383" s="10">
        <v>253</v>
      </c>
      <c r="C383" s="10">
        <v>2</v>
      </c>
      <c r="D383" s="10">
        <v>2</v>
      </c>
      <c r="E383" s="10">
        <v>165</v>
      </c>
      <c r="F383" s="10">
        <v>8789392.7574031856</v>
      </c>
      <c r="G383" s="10">
        <v>231</v>
      </c>
      <c r="H383" s="10">
        <v>3</v>
      </c>
      <c r="I383" s="10">
        <v>2</v>
      </c>
      <c r="J383" s="10">
        <v>131</v>
      </c>
      <c r="K383" s="10">
        <v>6358937.415797649</v>
      </c>
    </row>
    <row r="384" spans="1:11" x14ac:dyDescent="0.35">
      <c r="A384" s="9" t="s">
        <v>498</v>
      </c>
      <c r="B384" s="10">
        <v>611</v>
      </c>
      <c r="C384" s="10">
        <v>11</v>
      </c>
      <c r="D384" s="10">
        <v>2</v>
      </c>
      <c r="E384" s="10">
        <v>427</v>
      </c>
      <c r="F384" s="10">
        <v>19067859.131604861</v>
      </c>
      <c r="G384" s="10">
        <v>577</v>
      </c>
      <c r="H384" s="10">
        <v>14</v>
      </c>
      <c r="I384" s="10">
        <v>2</v>
      </c>
      <c r="J384" s="10">
        <v>375</v>
      </c>
      <c r="K384" s="10">
        <v>18236247.854214579</v>
      </c>
    </row>
    <row r="385" spans="1:11" x14ac:dyDescent="0.35">
      <c r="A385" s="9" t="s">
        <v>499</v>
      </c>
      <c r="B385" s="10">
        <v>470</v>
      </c>
      <c r="C385" s="10">
        <v>4</v>
      </c>
      <c r="D385" s="10">
        <v>1</v>
      </c>
      <c r="E385" s="10">
        <v>450</v>
      </c>
      <c r="F385" s="10">
        <v>21955357.004028045</v>
      </c>
      <c r="G385" s="10">
        <v>431</v>
      </c>
      <c r="H385" s="10">
        <v>10</v>
      </c>
      <c r="I385" s="10">
        <v>2</v>
      </c>
      <c r="J385" s="10">
        <v>471</v>
      </c>
      <c r="K385" s="10">
        <v>21854308.303477429</v>
      </c>
    </row>
    <row r="386" spans="1:11" x14ac:dyDescent="0.35">
      <c r="A386" s="9" t="s">
        <v>500</v>
      </c>
      <c r="B386" s="10">
        <v>434</v>
      </c>
      <c r="C386" s="10">
        <v>8</v>
      </c>
      <c r="D386" s="10">
        <v>1</v>
      </c>
      <c r="E386" s="10">
        <v>402</v>
      </c>
      <c r="F386" s="10">
        <v>19225452.1959286</v>
      </c>
      <c r="G386" s="10">
        <v>515</v>
      </c>
      <c r="H386" s="10">
        <v>3</v>
      </c>
      <c r="I386" s="10">
        <v>1</v>
      </c>
      <c r="J386" s="10">
        <v>397</v>
      </c>
      <c r="K386" s="10">
        <v>17128102.010257367</v>
      </c>
    </row>
    <row r="387" spans="1:11" x14ac:dyDescent="0.35">
      <c r="A387" s="9" t="s">
        <v>501</v>
      </c>
      <c r="B387" s="10">
        <v>738</v>
      </c>
      <c r="C387" s="10">
        <v>28</v>
      </c>
      <c r="D387" s="10">
        <v>4</v>
      </c>
      <c r="E387" s="10">
        <v>611</v>
      </c>
      <c r="F387" s="10">
        <v>26000882.952493936</v>
      </c>
      <c r="G387" s="10">
        <v>889</v>
      </c>
      <c r="H387" s="10">
        <v>19</v>
      </c>
      <c r="I387" s="10">
        <v>3</v>
      </c>
      <c r="J387" s="10">
        <v>660</v>
      </c>
      <c r="K387" s="10">
        <v>27996983.791379377</v>
      </c>
    </row>
    <row r="388" spans="1:11" x14ac:dyDescent="0.35">
      <c r="A388" s="9" t="s">
        <v>502</v>
      </c>
      <c r="B388" s="10">
        <v>1975</v>
      </c>
      <c r="C388" s="10">
        <v>12</v>
      </c>
      <c r="D388" s="10">
        <v>18</v>
      </c>
      <c r="E388" s="10">
        <v>1588</v>
      </c>
      <c r="F388" s="10">
        <v>91851409.96620515</v>
      </c>
      <c r="G388" s="10">
        <v>1725</v>
      </c>
      <c r="H388" s="10">
        <v>32</v>
      </c>
      <c r="I388" s="10">
        <v>18</v>
      </c>
      <c r="J388" s="10">
        <v>1585</v>
      </c>
      <c r="K388" s="10">
        <v>87899283.657221183</v>
      </c>
    </row>
    <row r="389" spans="1:11" x14ac:dyDescent="0.35">
      <c r="A389" s="9" t="s">
        <v>503</v>
      </c>
      <c r="B389" s="10">
        <v>517</v>
      </c>
      <c r="C389" s="10">
        <v>8</v>
      </c>
      <c r="D389" s="10">
        <v>3</v>
      </c>
      <c r="E389" s="10">
        <v>529</v>
      </c>
      <c r="F389" s="10">
        <v>18004273.397815555</v>
      </c>
      <c r="G389" s="10">
        <v>529</v>
      </c>
      <c r="H389" s="10">
        <v>14</v>
      </c>
      <c r="I389" s="10">
        <v>3</v>
      </c>
      <c r="J389" s="10">
        <v>371</v>
      </c>
      <c r="K389" s="10">
        <v>16926742.373215731</v>
      </c>
    </row>
    <row r="390" spans="1:11" x14ac:dyDescent="0.35">
      <c r="A390" s="9" t="s">
        <v>504</v>
      </c>
      <c r="B390" s="10">
        <v>204</v>
      </c>
      <c r="C390" s="10">
        <v>4</v>
      </c>
      <c r="D390" s="10">
        <v>0</v>
      </c>
      <c r="E390" s="10">
        <v>163</v>
      </c>
      <c r="F390" s="10">
        <v>7619588.8542737709</v>
      </c>
      <c r="G390" s="10">
        <v>252</v>
      </c>
      <c r="H390" s="10">
        <v>3</v>
      </c>
      <c r="I390" s="10">
        <v>0</v>
      </c>
      <c r="J390" s="10">
        <v>245</v>
      </c>
      <c r="K390" s="10">
        <v>7600641.1406855918</v>
      </c>
    </row>
    <row r="391" spans="1:11" x14ac:dyDescent="0.35">
      <c r="A391" s="9" t="s">
        <v>505</v>
      </c>
      <c r="B391" s="10">
        <v>842</v>
      </c>
      <c r="C391" s="10">
        <v>5</v>
      </c>
      <c r="D391" s="10">
        <v>1</v>
      </c>
      <c r="E391" s="10">
        <v>793</v>
      </c>
      <c r="F391" s="10">
        <v>23192924.075371079</v>
      </c>
      <c r="G391" s="10">
        <v>812</v>
      </c>
      <c r="H391" s="10">
        <v>8</v>
      </c>
      <c r="I391" s="10">
        <v>1</v>
      </c>
      <c r="J391" s="10">
        <v>806</v>
      </c>
      <c r="K391" s="10">
        <v>22856025.786727376</v>
      </c>
    </row>
    <row r="392" spans="1:11" x14ac:dyDescent="0.35">
      <c r="A392" s="9" t="s">
        <v>506</v>
      </c>
      <c r="B392" s="10">
        <v>820</v>
      </c>
      <c r="C392" s="10">
        <v>74</v>
      </c>
      <c r="D392" s="10">
        <v>2</v>
      </c>
      <c r="E392" s="10">
        <v>455</v>
      </c>
      <c r="F392" s="10">
        <v>28335055.058431309</v>
      </c>
      <c r="G392" s="10">
        <v>606</v>
      </c>
      <c r="H392" s="10">
        <v>20</v>
      </c>
      <c r="I392" s="10">
        <v>1</v>
      </c>
      <c r="J392" s="10">
        <v>322</v>
      </c>
      <c r="K392" s="10">
        <v>25569205.40560808</v>
      </c>
    </row>
    <row r="393" spans="1:11" x14ac:dyDescent="0.35">
      <c r="A393" s="9" t="s">
        <v>507</v>
      </c>
      <c r="B393" s="10">
        <v>890</v>
      </c>
      <c r="C393" s="10">
        <v>74</v>
      </c>
      <c r="D393" s="10">
        <v>2</v>
      </c>
      <c r="E393" s="10">
        <v>717</v>
      </c>
      <c r="F393" s="10">
        <v>37618877.718071029</v>
      </c>
      <c r="G393" s="10">
        <v>1050</v>
      </c>
      <c r="H393" s="10">
        <v>68</v>
      </c>
      <c r="I393" s="10">
        <v>2</v>
      </c>
      <c r="J393" s="10">
        <v>720</v>
      </c>
      <c r="K393" s="10">
        <v>35862353.866888307</v>
      </c>
    </row>
    <row r="394" spans="1:11" x14ac:dyDescent="0.35">
      <c r="A394" s="9" t="s">
        <v>508</v>
      </c>
      <c r="B394" s="10">
        <v>546</v>
      </c>
      <c r="C394" s="10">
        <v>14</v>
      </c>
      <c r="D394" s="10">
        <v>1</v>
      </c>
      <c r="E394" s="10">
        <v>528</v>
      </c>
      <c r="F394" s="10">
        <v>18934713.119294193</v>
      </c>
      <c r="G394" s="10">
        <v>613</v>
      </c>
      <c r="H394" s="10">
        <v>15</v>
      </c>
      <c r="I394" s="10">
        <v>2</v>
      </c>
      <c r="J394" s="10">
        <v>632</v>
      </c>
      <c r="K394" s="10">
        <v>17687895.681680001</v>
      </c>
    </row>
    <row r="395" spans="1:11" x14ac:dyDescent="0.35">
      <c r="A395" s="9" t="s">
        <v>509</v>
      </c>
      <c r="B395" s="10">
        <v>341</v>
      </c>
      <c r="C395" s="10">
        <v>9</v>
      </c>
      <c r="D395" s="10">
        <v>2</v>
      </c>
      <c r="E395" s="10">
        <v>238</v>
      </c>
      <c r="F395" s="10">
        <v>9057522.0418871809</v>
      </c>
      <c r="G395" s="10">
        <v>489</v>
      </c>
      <c r="H395" s="10">
        <v>11</v>
      </c>
      <c r="I395" s="10">
        <v>2</v>
      </c>
      <c r="J395" s="10">
        <v>562</v>
      </c>
      <c r="K395" s="10">
        <v>13576866.478431152</v>
      </c>
    </row>
    <row r="396" spans="1:11" x14ac:dyDescent="0.35">
      <c r="A396" s="9" t="s">
        <v>510</v>
      </c>
      <c r="B396" s="10">
        <v>449</v>
      </c>
      <c r="C396" s="10">
        <v>1</v>
      </c>
      <c r="D396" s="10">
        <v>2</v>
      </c>
      <c r="E396" s="10">
        <v>418</v>
      </c>
      <c r="F396" s="10">
        <v>16094312.872464426</v>
      </c>
      <c r="G396" s="10">
        <v>388</v>
      </c>
      <c r="H396" s="10">
        <v>5</v>
      </c>
      <c r="I396" s="10">
        <v>1</v>
      </c>
      <c r="J396" s="10">
        <v>381</v>
      </c>
      <c r="K396" s="10">
        <v>15538392.093440948</v>
      </c>
    </row>
    <row r="397" spans="1:11" x14ac:dyDescent="0.35">
      <c r="A397" s="9" t="s">
        <v>511</v>
      </c>
      <c r="B397" s="10">
        <v>170</v>
      </c>
      <c r="C397" s="10">
        <v>2</v>
      </c>
      <c r="D397" s="10">
        <v>2</v>
      </c>
      <c r="E397" s="10">
        <v>172</v>
      </c>
      <c r="F397" s="10">
        <v>9921273.8153696973</v>
      </c>
      <c r="G397" s="10">
        <v>189</v>
      </c>
      <c r="H397" s="10">
        <v>5</v>
      </c>
      <c r="I397" s="10">
        <v>1</v>
      </c>
      <c r="J397" s="10">
        <v>146</v>
      </c>
      <c r="K397" s="10">
        <v>11384303.918452393</v>
      </c>
    </row>
    <row r="398" spans="1:11" x14ac:dyDescent="0.35">
      <c r="A398" s="9" t="s">
        <v>512</v>
      </c>
      <c r="B398" s="10">
        <v>768</v>
      </c>
      <c r="C398" s="10">
        <v>4</v>
      </c>
      <c r="D398" s="10">
        <v>7</v>
      </c>
      <c r="E398" s="10">
        <v>650</v>
      </c>
      <c r="F398" s="10">
        <v>24687400.379127339</v>
      </c>
      <c r="G398" s="10">
        <v>460</v>
      </c>
      <c r="H398" s="10">
        <v>17</v>
      </c>
      <c r="I398" s="10">
        <v>5</v>
      </c>
      <c r="J398" s="10">
        <v>635</v>
      </c>
      <c r="K398" s="10">
        <v>25063701.898268286</v>
      </c>
    </row>
    <row r="399" spans="1:11" x14ac:dyDescent="0.35">
      <c r="A399" s="9" t="s">
        <v>513</v>
      </c>
      <c r="B399" s="10">
        <v>1120</v>
      </c>
      <c r="C399" s="10">
        <v>15</v>
      </c>
      <c r="D399" s="10">
        <v>1</v>
      </c>
      <c r="E399" s="10">
        <v>550</v>
      </c>
      <c r="F399" s="10">
        <v>32995478.572519183</v>
      </c>
      <c r="G399" s="10">
        <v>916</v>
      </c>
      <c r="H399" s="10">
        <v>13</v>
      </c>
      <c r="I399" s="10">
        <v>2</v>
      </c>
      <c r="J399" s="10">
        <v>629</v>
      </c>
      <c r="K399" s="10">
        <v>25795362.070353575</v>
      </c>
    </row>
    <row r="400" spans="1:11" x14ac:dyDescent="0.35">
      <c r="A400" s="9" t="s">
        <v>514</v>
      </c>
      <c r="B400" s="10">
        <v>562</v>
      </c>
      <c r="C400" s="10">
        <v>16</v>
      </c>
      <c r="D400" s="10">
        <v>2</v>
      </c>
      <c r="E400" s="10">
        <v>361</v>
      </c>
      <c r="F400" s="10">
        <v>17769940.745195877</v>
      </c>
      <c r="G400" s="10">
        <v>739</v>
      </c>
      <c r="H400" s="10">
        <v>6</v>
      </c>
      <c r="I400" s="10">
        <v>2</v>
      </c>
      <c r="J400" s="10">
        <v>629</v>
      </c>
      <c r="K400" s="10">
        <v>22717987.497329786</v>
      </c>
    </row>
    <row r="401" spans="1:11" x14ac:dyDescent="0.35">
      <c r="A401" s="9" t="s">
        <v>515</v>
      </c>
      <c r="B401" s="10">
        <v>991</v>
      </c>
      <c r="C401" s="10">
        <v>21</v>
      </c>
      <c r="D401" s="10">
        <v>2</v>
      </c>
      <c r="E401" s="10">
        <v>856</v>
      </c>
      <c r="F401" s="10">
        <v>30080799.421652511</v>
      </c>
      <c r="G401" s="10">
        <v>979</v>
      </c>
      <c r="H401" s="10">
        <v>20</v>
      </c>
      <c r="I401" s="10">
        <v>1</v>
      </c>
      <c r="J401" s="10">
        <v>758</v>
      </c>
      <c r="K401" s="10">
        <v>30539107.431380749</v>
      </c>
    </row>
    <row r="402" spans="1:11" x14ac:dyDescent="0.35">
      <c r="A402" s="9" t="s">
        <v>516</v>
      </c>
      <c r="B402" s="10">
        <v>292</v>
      </c>
      <c r="C402" s="10">
        <v>3</v>
      </c>
      <c r="D402" s="10">
        <v>0</v>
      </c>
      <c r="E402" s="10">
        <v>351</v>
      </c>
      <c r="F402" s="10">
        <v>10588208.272381108</v>
      </c>
      <c r="G402" s="10">
        <v>314</v>
      </c>
      <c r="H402" s="10">
        <v>5</v>
      </c>
      <c r="I402" s="10">
        <v>1</v>
      </c>
      <c r="J402" s="10">
        <v>343</v>
      </c>
      <c r="K402" s="10">
        <v>10043573.374933807</v>
      </c>
    </row>
    <row r="403" spans="1:11" x14ac:dyDescent="0.35">
      <c r="A403" s="9" t="s">
        <v>517</v>
      </c>
      <c r="B403" s="10">
        <v>767</v>
      </c>
      <c r="C403" s="10">
        <v>13</v>
      </c>
      <c r="D403" s="10">
        <v>1</v>
      </c>
      <c r="E403" s="10">
        <v>854</v>
      </c>
      <c r="F403" s="10">
        <v>25515758.645786174</v>
      </c>
      <c r="G403" s="10">
        <v>752</v>
      </c>
      <c r="H403" s="10">
        <v>10</v>
      </c>
      <c r="I403" s="10">
        <v>1</v>
      </c>
      <c r="J403" s="10">
        <v>718</v>
      </c>
      <c r="K403" s="10">
        <v>22051805.178572062</v>
      </c>
    </row>
    <row r="404" spans="1:11" x14ac:dyDescent="0.35">
      <c r="A404" s="9" t="s">
        <v>518</v>
      </c>
      <c r="B404" s="10">
        <v>620</v>
      </c>
      <c r="C404" s="10">
        <v>10</v>
      </c>
      <c r="D404" s="10">
        <v>1</v>
      </c>
      <c r="E404" s="10">
        <v>603</v>
      </c>
      <c r="F404" s="10">
        <v>17700338.131107435</v>
      </c>
      <c r="G404" s="10">
        <v>608</v>
      </c>
      <c r="H404" s="10">
        <v>8</v>
      </c>
      <c r="I404" s="10">
        <v>1</v>
      </c>
      <c r="J404" s="10">
        <v>652</v>
      </c>
      <c r="K404" s="10">
        <v>15870947.881066021</v>
      </c>
    </row>
    <row r="405" spans="1:11" x14ac:dyDescent="0.35">
      <c r="A405" s="9" t="s">
        <v>519</v>
      </c>
      <c r="B405" s="10">
        <v>1002</v>
      </c>
      <c r="C405" s="10">
        <v>18</v>
      </c>
      <c r="D405" s="10">
        <v>4</v>
      </c>
      <c r="E405" s="10">
        <v>1099</v>
      </c>
      <c r="F405" s="10">
        <v>37897260.524540745</v>
      </c>
      <c r="G405" s="10">
        <v>798</v>
      </c>
      <c r="H405" s="10">
        <v>11</v>
      </c>
      <c r="I405" s="10">
        <v>4</v>
      </c>
      <c r="J405" s="10">
        <v>885</v>
      </c>
      <c r="K405" s="10">
        <v>35316891.523521401</v>
      </c>
    </row>
    <row r="406" spans="1:11" x14ac:dyDescent="0.35">
      <c r="A406" s="9" t="s">
        <v>520</v>
      </c>
      <c r="B406" s="10">
        <v>561</v>
      </c>
      <c r="C406" s="10">
        <v>202</v>
      </c>
      <c r="D406" s="10">
        <v>2</v>
      </c>
      <c r="E406" s="10">
        <v>400</v>
      </c>
      <c r="F406" s="10">
        <v>17750188.366630662</v>
      </c>
      <c r="G406" s="10">
        <v>860</v>
      </c>
      <c r="H406" s="10">
        <v>426</v>
      </c>
      <c r="I406" s="10">
        <v>1</v>
      </c>
      <c r="J406" s="10">
        <v>475</v>
      </c>
      <c r="K406" s="10">
        <v>17000142.976435792</v>
      </c>
    </row>
    <row r="407" spans="1:11" x14ac:dyDescent="0.35">
      <c r="A407" s="9" t="s">
        <v>521</v>
      </c>
      <c r="B407" s="10">
        <v>637</v>
      </c>
      <c r="C407" s="10">
        <v>10</v>
      </c>
      <c r="D407" s="10">
        <v>4</v>
      </c>
      <c r="E407" s="10">
        <v>602</v>
      </c>
      <c r="F407" s="10">
        <v>21321001.070440505</v>
      </c>
      <c r="G407" s="10">
        <v>582</v>
      </c>
      <c r="H407" s="10">
        <v>14</v>
      </c>
      <c r="I407" s="10">
        <v>3</v>
      </c>
      <c r="J407" s="10">
        <v>500</v>
      </c>
      <c r="K407" s="10">
        <v>20121070.515992209</v>
      </c>
    </row>
    <row r="408" spans="1:11" x14ac:dyDescent="0.35">
      <c r="A408" s="9" t="s">
        <v>522</v>
      </c>
      <c r="B408" s="10">
        <v>629</v>
      </c>
      <c r="C408" s="10">
        <v>2</v>
      </c>
      <c r="D408" s="10">
        <v>1</v>
      </c>
      <c r="E408" s="10">
        <v>569</v>
      </c>
      <c r="F408" s="10">
        <v>11460513.911126124</v>
      </c>
      <c r="G408" s="10">
        <v>643</v>
      </c>
      <c r="H408" s="10">
        <v>7</v>
      </c>
      <c r="I408" s="10">
        <v>1</v>
      </c>
      <c r="J408" s="10">
        <v>792</v>
      </c>
      <c r="K408" s="10">
        <v>17893560.624519266</v>
      </c>
    </row>
    <row r="409" spans="1:11" x14ac:dyDescent="0.35">
      <c r="A409" s="9" t="s">
        <v>523</v>
      </c>
      <c r="B409" s="10">
        <v>330</v>
      </c>
      <c r="C409" s="10">
        <v>2</v>
      </c>
      <c r="D409" s="10">
        <v>2</v>
      </c>
      <c r="E409" s="10">
        <v>214</v>
      </c>
      <c r="F409" s="10">
        <v>11190774.51564524</v>
      </c>
      <c r="G409" s="10">
        <v>529</v>
      </c>
      <c r="H409" s="10">
        <v>6</v>
      </c>
      <c r="I409" s="10">
        <v>3</v>
      </c>
      <c r="J409" s="10">
        <v>514</v>
      </c>
      <c r="K409" s="10">
        <v>18713387.064568877</v>
      </c>
    </row>
    <row r="410" spans="1:11" x14ac:dyDescent="0.35">
      <c r="A410" s="9" t="s">
        <v>524</v>
      </c>
      <c r="B410" s="10">
        <v>644</v>
      </c>
      <c r="C410" s="10">
        <v>31</v>
      </c>
      <c r="D410" s="10">
        <v>2</v>
      </c>
      <c r="E410" s="10">
        <v>449</v>
      </c>
      <c r="F410" s="10">
        <v>21116762.798416175</v>
      </c>
      <c r="G410" s="10">
        <v>659</v>
      </c>
      <c r="H410" s="10">
        <v>9</v>
      </c>
      <c r="I410" s="10">
        <v>3</v>
      </c>
      <c r="J410" s="10">
        <v>626</v>
      </c>
      <c r="K410" s="10">
        <v>19249268.249259446</v>
      </c>
    </row>
    <row r="411" spans="1:11" x14ac:dyDescent="0.35">
      <c r="A411" s="9" t="s">
        <v>525</v>
      </c>
      <c r="B411" s="10">
        <v>985</v>
      </c>
      <c r="C411" s="10">
        <v>22</v>
      </c>
      <c r="D411" s="10">
        <v>4</v>
      </c>
      <c r="E411" s="10">
        <v>1113</v>
      </c>
      <c r="F411" s="10">
        <v>23581084.682472114</v>
      </c>
      <c r="G411" s="10">
        <v>800</v>
      </c>
      <c r="H411" s="10">
        <v>10</v>
      </c>
      <c r="I411" s="10">
        <v>2</v>
      </c>
      <c r="J411" s="10">
        <v>708</v>
      </c>
      <c r="K411" s="10">
        <v>21512597.259122416</v>
      </c>
    </row>
    <row r="412" spans="1:11" x14ac:dyDescent="0.35">
      <c r="A412" s="9" t="s">
        <v>526</v>
      </c>
      <c r="B412" s="10">
        <v>1431</v>
      </c>
      <c r="C412" s="10">
        <v>8</v>
      </c>
      <c r="D412" s="10">
        <v>4</v>
      </c>
      <c r="E412" s="10">
        <v>1420</v>
      </c>
      <c r="F412" s="10">
        <v>46391130.494377859</v>
      </c>
      <c r="G412" s="10">
        <v>1158</v>
      </c>
      <c r="H412" s="10">
        <v>10</v>
      </c>
      <c r="I412" s="10">
        <v>3</v>
      </c>
      <c r="J412" s="10">
        <v>1213</v>
      </c>
      <c r="K412" s="10">
        <v>38122935.820861578</v>
      </c>
    </row>
    <row r="413" spans="1:11" x14ac:dyDescent="0.35">
      <c r="A413" s="9" t="s">
        <v>527</v>
      </c>
      <c r="B413" s="10">
        <v>615</v>
      </c>
      <c r="C413" s="10">
        <v>5</v>
      </c>
      <c r="D413" s="10">
        <v>1</v>
      </c>
      <c r="E413" s="10">
        <v>708</v>
      </c>
      <c r="F413" s="10">
        <v>20071743.904986504</v>
      </c>
      <c r="G413" s="10">
        <v>675</v>
      </c>
      <c r="H413" s="10">
        <v>4</v>
      </c>
      <c r="I413" s="10">
        <v>1</v>
      </c>
      <c r="J413" s="10">
        <v>659</v>
      </c>
      <c r="K413" s="10">
        <v>21982213.660805743</v>
      </c>
    </row>
    <row r="414" spans="1:11" x14ac:dyDescent="0.35">
      <c r="A414" s="9" t="s">
        <v>528</v>
      </c>
      <c r="B414" s="10">
        <v>876</v>
      </c>
      <c r="C414" s="10">
        <v>0</v>
      </c>
      <c r="D414" s="10">
        <v>3</v>
      </c>
      <c r="E414" s="10">
        <v>677</v>
      </c>
      <c r="F414" s="10">
        <v>24337713.493016157</v>
      </c>
      <c r="G414" s="10">
        <v>887</v>
      </c>
      <c r="H414" s="10">
        <v>7</v>
      </c>
      <c r="I414" s="10">
        <v>5</v>
      </c>
      <c r="J414" s="10">
        <v>934</v>
      </c>
      <c r="K414" s="10">
        <v>30796205.22511968</v>
      </c>
    </row>
    <row r="415" spans="1:11" x14ac:dyDescent="0.35">
      <c r="A415" s="9" t="s">
        <v>529</v>
      </c>
      <c r="B415" s="10">
        <v>664</v>
      </c>
      <c r="C415" s="10">
        <v>8</v>
      </c>
      <c r="D415" s="10">
        <v>9</v>
      </c>
      <c r="E415" s="10">
        <v>768</v>
      </c>
      <c r="F415" s="10">
        <v>22581153.269323487</v>
      </c>
      <c r="G415" s="10">
        <v>729</v>
      </c>
      <c r="H415" s="10">
        <v>9</v>
      </c>
      <c r="I415" s="10">
        <v>8</v>
      </c>
      <c r="J415" s="10">
        <v>790</v>
      </c>
      <c r="K415" s="10">
        <v>24548060.784347173</v>
      </c>
    </row>
    <row r="416" spans="1:11" x14ac:dyDescent="0.35">
      <c r="A416" s="9" t="s">
        <v>530</v>
      </c>
      <c r="B416" s="10">
        <v>1980</v>
      </c>
      <c r="C416" s="10">
        <v>7</v>
      </c>
      <c r="D416" s="10">
        <v>20</v>
      </c>
      <c r="E416" s="10">
        <v>1508</v>
      </c>
      <c r="F416" s="10">
        <v>94910195.989293978</v>
      </c>
      <c r="G416" s="10">
        <v>1782</v>
      </c>
      <c r="H416" s="10">
        <v>36</v>
      </c>
      <c r="I416" s="10">
        <v>19</v>
      </c>
      <c r="J416" s="10">
        <v>1447</v>
      </c>
      <c r="K416" s="10">
        <v>84161858.988257408</v>
      </c>
    </row>
    <row r="417" spans="1:11" x14ac:dyDescent="0.35">
      <c r="A417" s="9" t="s">
        <v>531</v>
      </c>
      <c r="B417" s="10">
        <v>1294</v>
      </c>
      <c r="C417" s="10">
        <v>16</v>
      </c>
      <c r="D417" s="10">
        <v>5</v>
      </c>
      <c r="E417" s="10">
        <v>1209</v>
      </c>
      <c r="F417" s="10">
        <v>42387851.75304947</v>
      </c>
      <c r="G417" s="10">
        <v>1314</v>
      </c>
      <c r="H417" s="10">
        <v>17</v>
      </c>
      <c r="I417" s="10">
        <v>5</v>
      </c>
      <c r="J417" s="10">
        <v>1112</v>
      </c>
      <c r="K417" s="10">
        <v>41677521.585432239</v>
      </c>
    </row>
    <row r="418" spans="1:11" x14ac:dyDescent="0.35">
      <c r="A418" s="9" t="s">
        <v>532</v>
      </c>
      <c r="B418" s="10">
        <v>884</v>
      </c>
      <c r="C418" s="10">
        <v>8</v>
      </c>
      <c r="D418" s="10">
        <v>3</v>
      </c>
      <c r="E418" s="10">
        <v>848</v>
      </c>
      <c r="F418" s="10">
        <v>23046452.374569111</v>
      </c>
      <c r="G418" s="10">
        <v>736</v>
      </c>
      <c r="H418" s="10">
        <v>8</v>
      </c>
      <c r="I418" s="10">
        <v>4</v>
      </c>
      <c r="J418" s="10">
        <v>822</v>
      </c>
      <c r="K418" s="10">
        <v>22697549.665894654</v>
      </c>
    </row>
    <row r="419" spans="1:11" x14ac:dyDescent="0.35">
      <c r="A419" s="9" t="s">
        <v>533</v>
      </c>
      <c r="B419" s="10">
        <v>546</v>
      </c>
      <c r="C419" s="10">
        <v>3</v>
      </c>
      <c r="D419" s="10">
        <v>2</v>
      </c>
      <c r="E419" s="10">
        <v>430</v>
      </c>
      <c r="F419" s="10">
        <v>20326018.372001477</v>
      </c>
      <c r="G419" s="10">
        <v>522</v>
      </c>
      <c r="H419" s="10">
        <v>6</v>
      </c>
      <c r="I419" s="10">
        <v>2</v>
      </c>
      <c r="J419" s="10">
        <v>476</v>
      </c>
      <c r="K419" s="10">
        <v>21741838.868719187</v>
      </c>
    </row>
    <row r="420" spans="1:11" x14ac:dyDescent="0.35">
      <c r="A420" s="9" t="s">
        <v>534</v>
      </c>
      <c r="B420" s="10">
        <v>1304</v>
      </c>
      <c r="C420" s="10">
        <v>4</v>
      </c>
      <c r="D420" s="10">
        <v>10</v>
      </c>
      <c r="E420" s="10">
        <v>1260</v>
      </c>
      <c r="F420" s="10">
        <v>45022407.474143885</v>
      </c>
      <c r="G420" s="10">
        <v>1290</v>
      </c>
      <c r="H420" s="10">
        <v>8</v>
      </c>
      <c r="I420" s="10">
        <v>11</v>
      </c>
      <c r="J420" s="10">
        <v>1118</v>
      </c>
      <c r="K420" s="10">
        <v>42675981.642558783</v>
      </c>
    </row>
    <row r="421" spans="1:11" x14ac:dyDescent="0.35">
      <c r="A421" s="9" t="s">
        <v>535</v>
      </c>
      <c r="B421" s="10">
        <v>992</v>
      </c>
      <c r="C421" s="10">
        <v>6</v>
      </c>
      <c r="D421" s="10">
        <v>3</v>
      </c>
      <c r="E421" s="10">
        <v>667</v>
      </c>
      <c r="F421" s="10">
        <v>28108994.547464561</v>
      </c>
      <c r="G421" s="10">
        <v>1022</v>
      </c>
      <c r="H421" s="10">
        <v>12</v>
      </c>
      <c r="I421" s="10">
        <v>4</v>
      </c>
      <c r="J421" s="10">
        <v>677</v>
      </c>
      <c r="K421" s="10">
        <v>27341390.351247393</v>
      </c>
    </row>
    <row r="422" spans="1:11" x14ac:dyDescent="0.35">
      <c r="A422" s="9" t="s">
        <v>536</v>
      </c>
      <c r="B422" s="10">
        <v>1465</v>
      </c>
      <c r="C422" s="10">
        <v>3</v>
      </c>
      <c r="D422" s="10">
        <v>23</v>
      </c>
      <c r="E422" s="10">
        <v>1479</v>
      </c>
      <c r="F422" s="10">
        <v>72025698.807279244</v>
      </c>
      <c r="G422" s="10">
        <v>1424</v>
      </c>
      <c r="H422" s="10">
        <v>6</v>
      </c>
      <c r="I422" s="10">
        <v>20</v>
      </c>
      <c r="J422" s="10">
        <v>1302</v>
      </c>
      <c r="K422" s="10">
        <v>59558199.072381347</v>
      </c>
    </row>
    <row r="423" spans="1:11" x14ac:dyDescent="0.35">
      <c r="A423" s="9" t="s">
        <v>537</v>
      </c>
      <c r="B423" s="10">
        <v>214</v>
      </c>
      <c r="C423" s="10">
        <v>1</v>
      </c>
      <c r="D423" s="10">
        <v>1</v>
      </c>
      <c r="E423" s="10">
        <v>128</v>
      </c>
      <c r="F423" s="10">
        <v>5477038.3152037868</v>
      </c>
      <c r="G423" s="10">
        <v>467</v>
      </c>
      <c r="H423" s="10">
        <v>5</v>
      </c>
      <c r="I423" s="10">
        <v>0</v>
      </c>
      <c r="J423" s="10">
        <v>362</v>
      </c>
      <c r="K423" s="10">
        <v>13152477.031694571</v>
      </c>
    </row>
    <row r="424" spans="1:11" x14ac:dyDescent="0.35">
      <c r="A424" s="9" t="s">
        <v>538</v>
      </c>
      <c r="B424" s="10">
        <v>512</v>
      </c>
      <c r="C424" s="10">
        <v>6</v>
      </c>
      <c r="D424" s="10">
        <v>2</v>
      </c>
      <c r="E424" s="10">
        <v>436</v>
      </c>
      <c r="F424" s="10">
        <v>16416540.457048656</v>
      </c>
      <c r="G424" s="10">
        <v>611</v>
      </c>
      <c r="H424" s="10">
        <v>6</v>
      </c>
      <c r="I424" s="10">
        <v>2</v>
      </c>
      <c r="J424" s="10">
        <v>412</v>
      </c>
      <c r="K424" s="10">
        <v>18610212.531893343</v>
      </c>
    </row>
    <row r="425" spans="1:11" x14ac:dyDescent="0.35">
      <c r="A425" s="9" t="s">
        <v>539</v>
      </c>
      <c r="B425" s="10">
        <v>1338</v>
      </c>
      <c r="C425" s="10">
        <v>5</v>
      </c>
      <c r="D425" s="10">
        <v>22</v>
      </c>
      <c r="E425" s="10">
        <v>1140</v>
      </c>
      <c r="F425" s="10">
        <v>39873714.903083585</v>
      </c>
      <c r="G425" s="10">
        <v>1550</v>
      </c>
      <c r="H425" s="10">
        <v>2</v>
      </c>
      <c r="I425" s="10">
        <v>25</v>
      </c>
      <c r="J425" s="10">
        <v>1506</v>
      </c>
      <c r="K425" s="10">
        <v>45758600.840415694</v>
      </c>
    </row>
    <row r="426" spans="1:11" x14ac:dyDescent="0.35">
      <c r="A426" s="9" t="s">
        <v>540</v>
      </c>
      <c r="B426" s="10">
        <v>274</v>
      </c>
      <c r="C426" s="10">
        <v>3</v>
      </c>
      <c r="D426" s="10">
        <v>2</v>
      </c>
      <c r="E426" s="10">
        <v>514</v>
      </c>
      <c r="F426" s="10">
        <v>6242021.4775680508</v>
      </c>
      <c r="G426" s="10"/>
      <c r="H426" s="10"/>
      <c r="I426" s="10"/>
      <c r="J426" s="10"/>
      <c r="K426" s="10"/>
    </row>
    <row r="427" spans="1:11" x14ac:dyDescent="0.35">
      <c r="A427" s="9" t="s">
        <v>541</v>
      </c>
      <c r="B427" s="10">
        <v>291</v>
      </c>
      <c r="C427" s="10">
        <v>1</v>
      </c>
      <c r="D427" s="10">
        <v>1</v>
      </c>
      <c r="E427" s="10">
        <v>560</v>
      </c>
      <c r="F427" s="10">
        <v>6654691.2348559359</v>
      </c>
      <c r="G427" s="10"/>
      <c r="H427" s="10"/>
      <c r="I427" s="10"/>
      <c r="J427" s="10"/>
      <c r="K427" s="10"/>
    </row>
    <row r="428" spans="1:11" x14ac:dyDescent="0.35">
      <c r="A428" s="9" t="s">
        <v>542</v>
      </c>
      <c r="B428" s="10"/>
      <c r="C428" s="10"/>
      <c r="D428" s="10"/>
      <c r="E428" s="10"/>
      <c r="F428" s="10"/>
      <c r="G428" s="10"/>
      <c r="H428" s="10"/>
      <c r="I428" s="10"/>
      <c r="J428" s="10"/>
      <c r="K428" s="10"/>
    </row>
    <row r="429" spans="1:11" x14ac:dyDescent="0.35">
      <c r="A429" s="14" t="s">
        <v>203</v>
      </c>
      <c r="B429" s="13">
        <v>307976</v>
      </c>
      <c r="C429" s="13">
        <v>7543</v>
      </c>
      <c r="D429" s="13">
        <v>1213</v>
      </c>
      <c r="E429" s="13">
        <v>269586</v>
      </c>
      <c r="F429" s="13">
        <v>11737387648.997608</v>
      </c>
      <c r="G429" s="13">
        <v>303268</v>
      </c>
      <c r="H429" s="13">
        <v>8978</v>
      </c>
      <c r="I429" s="13">
        <v>1201</v>
      </c>
      <c r="J429" s="13">
        <v>266275</v>
      </c>
      <c r="K429" s="13">
        <v>11904231599.113306</v>
      </c>
    </row>
  </sheetData>
  <autoFilter ref="A5:K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2024-10-24T02:40:19Z</dcterms:created>
  <dcterms:modified xsi:type="dcterms:W3CDTF">2026-09-27T12:38:21Z</dcterms:modified>
</cp:coreProperties>
</file>