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<sst xmlns="http://schemas.openxmlformats.org/spreadsheetml/2006/main" count="683" uniqueCount="502">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</sst>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B23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57721292.779109754</v>
      </c>
      <c r="G2" s="1">
        <f>VLOOKUP(A:A,MASTER!A:K,11,0)</f>
        <v>62513555.135326281</v>
      </c>
      <c r="H2" s="12">
        <f t="shared" ref="H2:H36" si="0">IFERROR(G2/F2-1,0)</f>
        <v>8.3024168820261091E-2</v>
      </c>
      <c r="I2" s="2">
        <f>VLOOKUP(A:A,MASTER!A:E,5,0)</f>
        <v>1183</v>
      </c>
      <c r="J2" s="2">
        <f>VLOOKUP(A:A,MASTER!A:J,10,0)</f>
        <v>1299</v>
      </c>
      <c r="K2" s="12">
        <f t="shared" ref="K2:K36" si="1">IFERROR(J2/I2-1,0)</f>
        <v>9.8055790363482664E-2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6</v>
      </c>
      <c r="P2" s="1">
        <f>VLOOKUP(A:A,MASTER!A:H,8,0)</f>
        <v>9</v>
      </c>
      <c r="Q2" s="12">
        <f t="shared" ref="Q2:Q36" si="3">IFERROR(P2/O2-1,0)</f>
        <v>0.5</v>
      </c>
      <c r="R2" s="1">
        <f>VLOOKUP(A:A,MASTER!A:B,2,0)</f>
        <v>1580</v>
      </c>
      <c r="S2">
        <f>VLOOKUP(A:A,MASTER!A:G,7,0)</f>
        <v>1559</v>
      </c>
      <c r="T2" s="12">
        <f t="shared" ref="T2:T36" si="4">IFERROR(S2/R2-1,0)</f>
        <v>-1.3291139240506289E-2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29251994.30506324</v>
      </c>
      <c r="G3" s="1">
        <f>VLOOKUP(A:A,MASTER!A:K,11,0)</f>
        <v>12848923.740277842</v>
      </c>
      <c r="H3" s="12">
        <f t="shared" si="0"/>
        <v>-0.56075050452017161</v>
      </c>
      <c r="I3" s="2">
        <f>VLOOKUP(A:A,MASTER!A:E,5,0)</f>
        <v>542</v>
      </c>
      <c r="J3" s="2">
        <f>VLOOKUP(A:A,MASTER!A:J,10,0)</f>
        <v>400</v>
      </c>
      <c r="K3" s="12">
        <f t="shared" si="1"/>
        <v>-0.26199261992619927</v>
      </c>
      <c r="L3" s="2">
        <f>VLOOKUP(A:A,MASTER!A:D,4,0)</f>
        <v>5</v>
      </c>
      <c r="M3" s="2">
        <f>VLOOKUP(A:A,MASTER!A:I,9,0)</f>
        <v>2</v>
      </c>
      <c r="N3" s="12">
        <f t="shared" si="2"/>
        <v>-0.6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885</v>
      </c>
      <c r="S3">
        <f>VLOOKUP(A:A,MASTER!A:G,7,0)</f>
        <v>725</v>
      </c>
      <c r="T3" s="12">
        <f t="shared" si="4"/>
        <v>-0.1807909604519774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58786594.222495466</v>
      </c>
      <c r="G4" s="1">
        <f>VLOOKUP(A:A,MASTER!A:K,11,0)</f>
        <v>69319927.66282542</v>
      </c>
      <c r="H4" s="12">
        <f t="shared" si="0"/>
        <v>0.17917917477007417</v>
      </c>
      <c r="I4" s="2">
        <f>VLOOKUP(A:A,MASTER!A:E,5,0)</f>
        <v>1669</v>
      </c>
      <c r="J4" s="2">
        <f>VLOOKUP(A:A,MASTER!A:J,10,0)</f>
        <v>1605</v>
      </c>
      <c r="K4" s="12">
        <f t="shared" si="1"/>
        <v>-3.8346315158777733E-2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3</v>
      </c>
      <c r="P4" s="1">
        <f>VLOOKUP(A:A,MASTER!A:H,8,0)</f>
        <v>7</v>
      </c>
      <c r="Q4" s="12">
        <f t="shared" si="3"/>
        <v>1.3333333333333335</v>
      </c>
      <c r="R4" s="1">
        <f>VLOOKUP(A:A,MASTER!A:B,2,0)</f>
        <v>1997</v>
      </c>
      <c r="S4">
        <f>VLOOKUP(A:A,MASTER!A:G,7,0)</f>
        <v>1864</v>
      </c>
      <c r="T4" s="12">
        <f t="shared" si="4"/>
        <v>-6.6599899849774657E-2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39474828.076947451</v>
      </c>
      <c r="G5" s="1">
        <f>VLOOKUP(A:A,MASTER!A:K,11,0)</f>
        <v>37812840.332666084</v>
      </c>
      <c r="H5" s="12">
        <f t="shared" si="0"/>
        <v>-4.2102469478567217E-2</v>
      </c>
      <c r="I5" s="2">
        <f>VLOOKUP(A:A,MASTER!A:E,5,0)</f>
        <v>1081</v>
      </c>
      <c r="J5" s="2">
        <f>VLOOKUP(A:A,MASTER!A:J,10,0)</f>
        <v>1017</v>
      </c>
      <c r="K5" s="12">
        <f t="shared" si="1"/>
        <v>-5.9204440333024966E-2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6</v>
      </c>
      <c r="P5" s="1">
        <f>VLOOKUP(A:A,MASTER!A:H,8,0)</f>
        <v>2</v>
      </c>
      <c r="Q5" s="12">
        <f t="shared" si="3"/>
        <v>-0.66666666666666674</v>
      </c>
      <c r="R5" s="1">
        <f>VLOOKUP(A:A,MASTER!A:B,2,0)</f>
        <v>1187</v>
      </c>
      <c r="S5">
        <f>VLOOKUP(A:A,MASTER!A:G,7,0)</f>
        <v>1143</v>
      </c>
      <c r="T5" s="12">
        <f t="shared" si="4"/>
        <v>-3.7068239258635227E-2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45504813.719143599</v>
      </c>
      <c r="G6" s="1">
        <f>VLOOKUP(A:A,MASTER!A:K,11,0)</f>
        <v>41869439.175619453</v>
      </c>
      <c r="H6" s="12">
        <f t="shared" si="0"/>
        <v>-7.9889889583149021E-2</v>
      </c>
      <c r="I6" s="2">
        <f>VLOOKUP(A:A,MASTER!A:E,5,0)</f>
        <v>1102</v>
      </c>
      <c r="J6" s="2">
        <f>VLOOKUP(A:A,MASTER!A:J,10,0)</f>
        <v>1096</v>
      </c>
      <c r="K6" s="12">
        <f t="shared" si="1"/>
        <v>-5.4446460980036582E-3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6</v>
      </c>
      <c r="P6" s="1">
        <f>VLOOKUP(A:A,MASTER!A:H,8,0)</f>
        <v>11</v>
      </c>
      <c r="Q6" s="12">
        <f t="shared" si="3"/>
        <v>0.83333333333333326</v>
      </c>
      <c r="R6" s="1">
        <f>VLOOKUP(A:A,MASTER!A:B,2,0)</f>
        <v>1451</v>
      </c>
      <c r="S6">
        <f>VLOOKUP(A:A,MASTER!A:G,7,0)</f>
        <v>1395</v>
      </c>
      <c r="T6" s="12">
        <f t="shared" si="4"/>
        <v>-3.8594073053066835E-2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76677618.249519289</v>
      </c>
      <c r="G7" s="1">
        <f>VLOOKUP(A:A,MASTER!A:K,11,0)</f>
        <v>76663312.958136618</v>
      </c>
      <c r="H7" s="12">
        <f t="shared" si="0"/>
        <v>-1.8656410709205762E-4</v>
      </c>
      <c r="I7" s="2">
        <f>VLOOKUP(A:A,MASTER!A:E,5,0)</f>
        <v>1830</v>
      </c>
      <c r="J7" s="2">
        <f>VLOOKUP(A:A,MASTER!A:J,10,0)</f>
        <v>1792</v>
      </c>
      <c r="K7" s="12">
        <f t="shared" si="1"/>
        <v>-2.0765027322404372E-2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10</v>
      </c>
      <c r="P7" s="1">
        <f>VLOOKUP(A:A,MASTER!A:H,8,0)</f>
        <v>15</v>
      </c>
      <c r="Q7" s="12">
        <f t="shared" si="3"/>
        <v>0.5</v>
      </c>
      <c r="R7" s="1">
        <f>VLOOKUP(A:A,MASTER!A:B,2,0)</f>
        <v>2157</v>
      </c>
      <c r="S7">
        <f>VLOOKUP(A:A,MASTER!A:G,7,0)</f>
        <v>2121</v>
      </c>
      <c r="T7" s="12">
        <f t="shared" si="4"/>
        <v>-1.6689847009735748E-2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54800373.57940346</v>
      </c>
      <c r="G8" s="1">
        <f>VLOOKUP(A:A,MASTER!A:K,11,0)</f>
        <v>55837503.498501748</v>
      </c>
      <c r="H8" s="12">
        <f t="shared" si="0"/>
        <v>1.8925599432192408E-2</v>
      </c>
      <c r="I8" s="2">
        <f>VLOOKUP(A:A,MASTER!A:E,5,0)</f>
        <v>1142</v>
      </c>
      <c r="J8" s="2">
        <f>VLOOKUP(A:A,MASTER!A:J,10,0)</f>
        <v>1250</v>
      </c>
      <c r="K8" s="12">
        <f t="shared" si="1"/>
        <v>9.4570928196147097E-2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640</v>
      </c>
      <c r="P8" s="1">
        <f>VLOOKUP(A:A,MASTER!A:H,8,0)</f>
        <v>589</v>
      </c>
      <c r="Q8" s="12">
        <f t="shared" si="3"/>
        <v>-7.9687500000000022E-2</v>
      </c>
      <c r="R8" s="1">
        <f>VLOOKUP(A:A,MASTER!A:B,2,0)</f>
        <v>1973</v>
      </c>
      <c r="S8">
        <f>VLOOKUP(A:A,MASTER!A:G,7,0)</f>
        <v>2101</v>
      </c>
      <c r="T8" s="12">
        <f t="shared" si="4"/>
        <v>6.4875823618854467E-2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105917573.93760562</v>
      </c>
      <c r="G9" s="1">
        <f>VLOOKUP(A:A,MASTER!A:K,11,0)</f>
        <v>102845000.30261716</v>
      </c>
      <c r="H9" s="12">
        <f t="shared" si="0"/>
        <v>-2.9009101330044307E-2</v>
      </c>
      <c r="I9" s="2">
        <f>VLOOKUP(A:A,MASTER!A:E,5,0)</f>
        <v>2585</v>
      </c>
      <c r="J9" s="2">
        <f>VLOOKUP(A:A,MASTER!A:J,10,0)</f>
        <v>2656</v>
      </c>
      <c r="K9" s="12">
        <f t="shared" si="1"/>
        <v>2.7466150870406159E-2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412</v>
      </c>
      <c r="P9" s="1">
        <f>VLOOKUP(A:A,MASTER!A:H,8,0)</f>
        <v>482</v>
      </c>
      <c r="Q9" s="12">
        <f t="shared" si="3"/>
        <v>0.16990291262135915</v>
      </c>
      <c r="R9" s="1">
        <f>VLOOKUP(A:A,MASTER!A:B,2,0)</f>
        <v>3483</v>
      </c>
      <c r="S9">
        <f>VLOOKUP(A:A,MASTER!A:G,7,0)</f>
        <v>3557</v>
      </c>
      <c r="T9" s="12">
        <f t="shared" si="4"/>
        <v>2.1246052253804271E-2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27067889.230773084</v>
      </c>
      <c r="G10" s="1">
        <f>VLOOKUP(A:A,MASTER!A:K,11,0)</f>
        <v>22839611.396921363</v>
      </c>
      <c r="H10" s="12">
        <f t="shared" si="0"/>
        <v>-0.15621010555358172</v>
      </c>
      <c r="I10" s="2">
        <f>VLOOKUP(A:A,MASTER!A:E,5,0)</f>
        <v>512</v>
      </c>
      <c r="J10" s="2">
        <f>VLOOKUP(A:A,MASTER!A:J,10,0)</f>
        <v>513</v>
      </c>
      <c r="K10" s="12">
        <f t="shared" si="1"/>
        <v>1.953125E-3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6</v>
      </c>
      <c r="Q10" s="12">
        <f t="shared" si="3"/>
        <v>5</v>
      </c>
      <c r="R10" s="1">
        <f>VLOOKUP(A:A,MASTER!A:B,2,0)</f>
        <v>656</v>
      </c>
      <c r="S10">
        <f>VLOOKUP(A:A,MASTER!A:G,7,0)</f>
        <v>644</v>
      </c>
      <c r="T10" s="12">
        <f t="shared" si="4"/>
        <v>-1.8292682926829285E-2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93666258.758662909</v>
      </c>
      <c r="G11" s="1">
        <f>VLOOKUP(A:A,MASTER!A:K,11,0)</f>
        <v>102967091.25377075</v>
      </c>
      <c r="H11" s="12">
        <f t="shared" si="0"/>
        <v>9.929757650587967E-2</v>
      </c>
      <c r="I11" s="2">
        <f>VLOOKUP(A:A,MASTER!A:E,5,0)</f>
        <v>2749</v>
      </c>
      <c r="J11" s="2">
        <f>VLOOKUP(A:A,MASTER!A:J,10,0)</f>
        <v>2797</v>
      </c>
      <c r="K11" s="12">
        <f t="shared" si="1"/>
        <v>1.7460894870862109E-2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10</v>
      </c>
      <c r="P11" s="1">
        <f>VLOOKUP(A:A,MASTER!A:H,8,0)</f>
        <v>9</v>
      </c>
      <c r="Q11" s="12">
        <f t="shared" si="3"/>
        <v>-9.9999999999999978E-2</v>
      </c>
      <c r="R11" s="1">
        <f>VLOOKUP(A:A,MASTER!A:B,2,0)</f>
        <v>2675</v>
      </c>
      <c r="S11">
        <f>VLOOKUP(A:A,MASTER!A:G,7,0)</f>
        <v>2842</v>
      </c>
      <c r="T11" s="12">
        <f t="shared" si="4"/>
        <v>6.2429906542056157E-2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59498964.630646154</v>
      </c>
      <c r="G12" s="1">
        <f>VLOOKUP(A:A,MASTER!A:K,11,0)</f>
        <v>55361691.036396101</v>
      </c>
      <c r="H12" s="12">
        <f t="shared" si="0"/>
        <v>-6.9535219981274543E-2</v>
      </c>
      <c r="I12" s="2">
        <f>VLOOKUP(A:A,MASTER!A:E,5,0)</f>
        <v>888</v>
      </c>
      <c r="J12" s="2">
        <f>VLOOKUP(A:A,MASTER!A:J,10,0)</f>
        <v>1017</v>
      </c>
      <c r="K12" s="12">
        <f t="shared" si="1"/>
        <v>0.14527027027027017</v>
      </c>
      <c r="L12" s="2">
        <f>VLOOKUP(A:A,MASTER!A:D,4,0)</f>
        <v>7</v>
      </c>
      <c r="M12" s="2">
        <f>VLOOKUP(A:A,MASTER!A:I,9,0)</f>
        <v>6</v>
      </c>
      <c r="N12" s="12">
        <f t="shared" si="2"/>
        <v>-0.1428571428571429</v>
      </c>
      <c r="O12" s="1">
        <f>VLOOKUP(A:A,MASTER!A:C,3,0)</f>
        <v>7</v>
      </c>
      <c r="P12" s="1">
        <f>VLOOKUP(A:A,MASTER!A:H,8,0)</f>
        <v>9</v>
      </c>
      <c r="Q12" s="12">
        <f t="shared" si="3"/>
        <v>0.28571428571428581</v>
      </c>
      <c r="R12" s="1">
        <f>VLOOKUP(A:A,MASTER!A:B,2,0)</f>
        <v>1017</v>
      </c>
      <c r="S12">
        <f>VLOOKUP(A:A,MASTER!A:G,7,0)</f>
        <v>1069</v>
      </c>
      <c r="T12" s="12">
        <f t="shared" si="4"/>
        <v>5.1130776794493515E-2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52874952.421722367</v>
      </c>
      <c r="G13" s="1">
        <f>VLOOKUP(A:A,MASTER!A:K,11,0)</f>
        <v>53827129.535597391</v>
      </c>
      <c r="H13" s="12">
        <f t="shared" si="0"/>
        <v>1.8008094007926578E-2</v>
      </c>
      <c r="I13" s="2">
        <f>VLOOKUP(A:A,MASTER!A:E,5,0)</f>
        <v>1327</v>
      </c>
      <c r="J13" s="2">
        <f>VLOOKUP(A:A,MASTER!A:J,10,0)</f>
        <v>1384</v>
      </c>
      <c r="K13" s="12">
        <f t="shared" si="1"/>
        <v>4.2954031650339175E-2</v>
      </c>
      <c r="L13" s="2">
        <f>VLOOKUP(A:A,MASTER!A:D,4,0)</f>
        <v>8</v>
      </c>
      <c r="M13" s="2">
        <f>VLOOKUP(A:A,MASTER!A:I,9,0)</f>
        <v>12</v>
      </c>
      <c r="N13" s="12">
        <f t="shared" si="2"/>
        <v>0.5</v>
      </c>
      <c r="O13" s="1">
        <f>VLOOKUP(A:A,MASTER!A:C,3,0)</f>
        <v>7</v>
      </c>
      <c r="P13" s="1">
        <f>VLOOKUP(A:A,MASTER!A:H,8,0)</f>
        <v>2</v>
      </c>
      <c r="Q13" s="12">
        <f t="shared" si="3"/>
        <v>-0.7142857142857143</v>
      </c>
      <c r="R13" s="1">
        <f>VLOOKUP(A:A,MASTER!A:B,2,0)</f>
        <v>1399</v>
      </c>
      <c r="S13">
        <f>VLOOKUP(A:A,MASTER!A:G,7,0)</f>
        <v>1434</v>
      </c>
      <c r="T13" s="12">
        <f t="shared" si="4"/>
        <v>2.501786990707644E-2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42605573.731565073</v>
      </c>
      <c r="G14" s="1">
        <f>VLOOKUP(A:A,MASTER!A:K,11,0)</f>
        <v>41478070.486399099</v>
      </c>
      <c r="H14" s="12">
        <f t="shared" si="0"/>
        <v>-2.6463749843383622E-2</v>
      </c>
      <c r="I14" s="2">
        <f>VLOOKUP(A:A,MASTER!A:E,5,0)</f>
        <v>687</v>
      </c>
      <c r="J14" s="2">
        <f>VLOOKUP(A:A,MASTER!A:J,10,0)</f>
        <v>656</v>
      </c>
      <c r="K14" s="12">
        <f t="shared" si="1"/>
        <v>-4.5123726346433801E-2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3</v>
      </c>
      <c r="P14" s="1">
        <f>VLOOKUP(A:A,MASTER!A:H,8,0)</f>
        <v>5</v>
      </c>
      <c r="Q14" s="12">
        <f t="shared" si="3"/>
        <v>0.66666666666666674</v>
      </c>
      <c r="R14" s="1">
        <f>VLOOKUP(A:A,MASTER!A:B,2,0)</f>
        <v>857</v>
      </c>
      <c r="S14">
        <f>VLOOKUP(A:A,MASTER!A:G,7,0)</f>
        <v>833</v>
      </c>
      <c r="T14" s="12">
        <f t="shared" si="4"/>
        <v>-2.8004667444574083E-2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39733740.730467834</v>
      </c>
      <c r="G15" s="1">
        <f>VLOOKUP(A:A,MASTER!A:K,11,0)</f>
        <v>26401509.202701714</v>
      </c>
      <c r="H15" s="12">
        <f t="shared" si="0"/>
        <v>-0.33553929941318017</v>
      </c>
      <c r="I15" s="2">
        <f>VLOOKUP(A:A,MASTER!A:E,5,0)</f>
        <v>953</v>
      </c>
      <c r="J15" s="2">
        <f>VLOOKUP(A:A,MASTER!A:J,10,0)</f>
        <v>860</v>
      </c>
      <c r="K15" s="12">
        <f t="shared" si="1"/>
        <v>-9.758656873032534E-2</v>
      </c>
      <c r="L15" s="2">
        <f>VLOOKUP(A:A,MASTER!A:D,4,0)</f>
        <v>9</v>
      </c>
      <c r="M15" s="2">
        <f>VLOOKUP(A:A,MASTER!A:I,9,0)</f>
        <v>7</v>
      </c>
      <c r="N15" s="12">
        <f t="shared" si="2"/>
        <v>-0.22222222222222221</v>
      </c>
      <c r="O15" s="1">
        <f>VLOOKUP(A:A,MASTER!A:C,3,0)</f>
        <v>2</v>
      </c>
      <c r="P15" s="1">
        <f>VLOOKUP(A:A,MASTER!A:H,8,0)</f>
        <v>3</v>
      </c>
      <c r="Q15" s="12">
        <f t="shared" si="3"/>
        <v>0.5</v>
      </c>
      <c r="R15" s="1">
        <f>VLOOKUP(A:A,MASTER!A:B,2,0)</f>
        <v>1184</v>
      </c>
      <c r="S15">
        <f>VLOOKUP(A:A,MASTER!A:G,7,0)</f>
        <v>1166</v>
      </c>
      <c r="T15" s="12">
        <f t="shared" si="4"/>
        <v>-1.5202702702702742E-2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24081860.636562388</v>
      </c>
      <c r="G16" s="1">
        <f>VLOOKUP(A:A,MASTER!A:K,11,0)</f>
        <v>23178339.616457265</v>
      </c>
      <c r="H16" s="12">
        <f t="shared" si="0"/>
        <v>-3.7518738013679442E-2</v>
      </c>
      <c r="I16" s="2">
        <f>VLOOKUP(A:A,MASTER!A:E,5,0)</f>
        <v>899</v>
      </c>
      <c r="J16" s="2">
        <f>VLOOKUP(A:A,MASTER!A:J,10,0)</f>
        <v>833</v>
      </c>
      <c r="K16" s="12">
        <f t="shared" si="1"/>
        <v>-7.3414905450500556E-2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1</v>
      </c>
      <c r="P16" s="1">
        <f>VLOOKUP(A:A,MASTER!A:H,8,0)</f>
        <v>1</v>
      </c>
      <c r="Q16" s="12">
        <f t="shared" si="3"/>
        <v>0</v>
      </c>
      <c r="R16" s="1">
        <f>VLOOKUP(A:A,MASTER!A:B,2,0)</f>
        <v>757</v>
      </c>
      <c r="S16">
        <f>VLOOKUP(A:A,MASTER!A:G,7,0)</f>
        <v>741</v>
      </c>
      <c r="T16" s="12">
        <f t="shared" si="4"/>
        <v>-2.1136063408190187E-2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76083389.477577791</v>
      </c>
      <c r="G17" s="1">
        <f>VLOOKUP(A:A,MASTER!A:K,11,0)</f>
        <v>72851844.651795045</v>
      </c>
      <c r="H17" s="12">
        <f t="shared" si="0"/>
        <v>-4.2473723213068748E-2</v>
      </c>
      <c r="I17" s="2">
        <f>VLOOKUP(A:A,MASTER!A:E,5,0)</f>
        <v>1111</v>
      </c>
      <c r="J17" s="2">
        <f>VLOOKUP(A:A,MASTER!A:J,10,0)</f>
        <v>1242</v>
      </c>
      <c r="K17" s="12">
        <f t="shared" si="1"/>
        <v>0.11791179117911788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6</v>
      </c>
      <c r="P17" s="1">
        <f>VLOOKUP(A:A,MASTER!A:H,8,0)</f>
        <v>9</v>
      </c>
      <c r="Q17" s="12">
        <f t="shared" si="3"/>
        <v>0.5</v>
      </c>
      <c r="R17" s="1">
        <f>VLOOKUP(A:A,MASTER!A:B,2,0)</f>
        <v>1403</v>
      </c>
      <c r="S17">
        <f>VLOOKUP(A:A,MASTER!A:G,7,0)</f>
        <v>1329</v>
      </c>
      <c r="T17" s="12">
        <f t="shared" si="4"/>
        <v>-5.2744119743406981E-2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35164868.254296318</v>
      </c>
      <c r="G18" s="1">
        <f>VLOOKUP(A:A,MASTER!A:K,11,0)</f>
        <v>28743486.896788053</v>
      </c>
      <c r="H18" s="12">
        <f t="shared" si="0"/>
        <v>-0.1826078605235133</v>
      </c>
      <c r="I18" s="2">
        <f>VLOOKUP(A:A,MASTER!A:E,5,0)</f>
        <v>1003</v>
      </c>
      <c r="J18" s="2">
        <f>VLOOKUP(A:A,MASTER!A:J,10,0)</f>
        <v>1128</v>
      </c>
      <c r="K18" s="12">
        <f t="shared" si="1"/>
        <v>0.12462612163509479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1004</v>
      </c>
      <c r="S18">
        <f>VLOOKUP(A:A,MASTER!A:G,7,0)</f>
        <v>961</v>
      </c>
      <c r="T18" s="12">
        <f t="shared" si="4"/>
        <v>-4.2828685258964105E-2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98994042.303340077</v>
      </c>
      <c r="G19" s="1">
        <f>VLOOKUP(A:A,MASTER!A:K,11,0)</f>
        <v>96701016.450478911</v>
      </c>
      <c r="H19" s="12">
        <f t="shared" si="0"/>
        <v>-2.316327123843287E-2</v>
      </c>
      <c r="I19" s="2">
        <f>VLOOKUP(A:A,MASTER!A:E,5,0)</f>
        <v>1818</v>
      </c>
      <c r="J19" s="2">
        <f>VLOOKUP(A:A,MASTER!A:J,10,0)</f>
        <v>1861</v>
      </c>
      <c r="K19" s="12">
        <f t="shared" si="1"/>
        <v>2.3652365236523698E-2</v>
      </c>
      <c r="L19" s="2">
        <f>VLOOKUP(A:A,MASTER!A:D,4,0)</f>
        <v>19</v>
      </c>
      <c r="M19" s="2">
        <f>VLOOKUP(A:A,MASTER!A:I,9,0)</f>
        <v>20</v>
      </c>
      <c r="N19" s="12">
        <f t="shared" si="2"/>
        <v>5.2631578947368363E-2</v>
      </c>
      <c r="O19" s="1">
        <f>VLOOKUP(A:A,MASTER!A:C,3,0)</f>
        <v>7</v>
      </c>
      <c r="P19" s="1">
        <f>VLOOKUP(A:A,MASTER!A:H,8,0)</f>
        <v>3</v>
      </c>
      <c r="Q19" s="12">
        <f t="shared" si="3"/>
        <v>-0.5714285714285714</v>
      </c>
      <c r="R19" s="1">
        <f>VLOOKUP(A:A,MASTER!A:B,2,0)</f>
        <v>2255</v>
      </c>
      <c r="S19">
        <f>VLOOKUP(A:A,MASTER!A:G,7,0)</f>
        <v>2274</v>
      </c>
      <c r="T19" s="12">
        <f t="shared" si="4"/>
        <v>8.4257206208426805E-3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32753100.070737921</v>
      </c>
      <c r="G20" s="1">
        <f>VLOOKUP(A:A,MASTER!A:K,11,0)</f>
        <v>31819600.483706441</v>
      </c>
      <c r="H20" s="12">
        <f t="shared" si="0"/>
        <v>-2.8501106307963875E-2</v>
      </c>
      <c r="I20" s="2">
        <f>VLOOKUP(A:A,MASTER!A:E,5,0)</f>
        <v>427</v>
      </c>
      <c r="J20" s="2">
        <f>VLOOKUP(A:A,MASTER!A:J,10,0)</f>
        <v>439</v>
      </c>
      <c r="K20" s="12">
        <f t="shared" si="1"/>
        <v>2.8103044496487151E-2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561</v>
      </c>
      <c r="S20">
        <f>VLOOKUP(A:A,MASTER!A:G,7,0)</f>
        <v>550</v>
      </c>
      <c r="T20" s="12">
        <f t="shared" si="4"/>
        <v>-1.9607843137254943E-2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29609241.808801677</v>
      </c>
      <c r="G21" s="1">
        <f>VLOOKUP(A:A,MASTER!A:K,11,0)</f>
        <v>25601267.169170327</v>
      </c>
      <c r="H21" s="12">
        <f t="shared" si="0"/>
        <v>-0.13536228538077377</v>
      </c>
      <c r="I21" s="2">
        <f>VLOOKUP(A:A,MASTER!A:E,5,0)</f>
        <v>429</v>
      </c>
      <c r="J21" s="2">
        <f>VLOOKUP(A:A,MASTER!A:J,10,0)</f>
        <v>436</v>
      </c>
      <c r="K21" s="12">
        <f t="shared" si="1"/>
        <v>1.631701631701632E-2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3</v>
      </c>
      <c r="P21" s="1">
        <f>VLOOKUP(A:A,MASTER!A:H,8,0)</f>
        <v>1</v>
      </c>
      <c r="Q21" s="12">
        <f t="shared" si="3"/>
        <v>-0.66666666666666674</v>
      </c>
      <c r="R21" s="1">
        <f>VLOOKUP(A:A,MASTER!A:B,2,0)</f>
        <v>521</v>
      </c>
      <c r="S21">
        <f>VLOOKUP(A:A,MASTER!A:G,7,0)</f>
        <v>508</v>
      </c>
      <c r="T21" s="12">
        <f t="shared" si="4"/>
        <v>-2.4952015355086399E-2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17604814.402159955</v>
      </c>
      <c r="G22" s="1">
        <f>VLOOKUP(A:A,MASTER!A:K,11,0)</f>
        <v>32272303.429959293</v>
      </c>
      <c r="H22" s="12">
        <f t="shared" si="0"/>
        <v>0.83315215331095827</v>
      </c>
      <c r="I22" s="2">
        <f>VLOOKUP(A:A,MASTER!A:E,5,0)</f>
        <v>470</v>
      </c>
      <c r="J22" s="2">
        <f>VLOOKUP(A:A,MASTER!A:J,10,0)</f>
        <v>532</v>
      </c>
      <c r="K22" s="12">
        <f t="shared" si="1"/>
        <v>0.13191489361702136</v>
      </c>
      <c r="L22" s="2">
        <f>VLOOKUP(A:A,MASTER!A:D,4,0)</f>
        <v>2</v>
      </c>
      <c r="M22" s="2">
        <f>VLOOKUP(A:A,MASTER!A:I,9,0)</f>
        <v>6</v>
      </c>
      <c r="N22" s="12">
        <f t="shared" si="2"/>
        <v>2</v>
      </c>
      <c r="O22" s="1">
        <f>VLOOKUP(A:A,MASTER!A:C,3,0)</f>
        <v>2</v>
      </c>
      <c r="P22" s="1">
        <f>VLOOKUP(A:A,MASTER!A:H,8,0)</f>
        <v>5</v>
      </c>
      <c r="Q22" s="12">
        <f t="shared" si="3"/>
        <v>1.5</v>
      </c>
      <c r="R22" s="1">
        <f>VLOOKUP(A:A,MASTER!A:B,2,0)</f>
        <v>661</v>
      </c>
      <c r="S22">
        <f>VLOOKUP(A:A,MASTER!A:G,7,0)</f>
        <v>620</v>
      </c>
      <c r="T22" s="12">
        <f t="shared" si="4"/>
        <v>-6.2027231467473576E-2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48375501.050278254</v>
      </c>
      <c r="G23" s="1">
        <f>VLOOKUP(A:A,MASTER!A:K,11,0)</f>
        <v>51072592.108574763</v>
      </c>
      <c r="H23" s="12">
        <f t="shared" si="0"/>
        <v>5.5753242855166141E-2</v>
      </c>
      <c r="I23" s="2">
        <f>VLOOKUP(A:A,MASTER!A:E,5,0)</f>
        <v>941</v>
      </c>
      <c r="J23" s="2">
        <f>VLOOKUP(A:A,MASTER!A:J,10,0)</f>
        <v>1006</v>
      </c>
      <c r="K23" s="12">
        <f t="shared" si="1"/>
        <v>6.9075451647183872E-2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6</v>
      </c>
      <c r="P23" s="1">
        <f>VLOOKUP(A:A,MASTER!A:H,8,0)</f>
        <v>9</v>
      </c>
      <c r="Q23" s="12">
        <f t="shared" si="3"/>
        <v>0.5</v>
      </c>
      <c r="R23" s="1">
        <f>VLOOKUP(A:A,MASTER!A:B,2,0)</f>
        <v>1140</v>
      </c>
      <c r="S23">
        <f>VLOOKUP(A:A,MASTER!A:G,7,0)</f>
        <v>1124</v>
      </c>
      <c r="T23" s="12">
        <f t="shared" si="4"/>
        <v>-1.4035087719298289E-2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88292649.344700396</v>
      </c>
      <c r="G24" s="1">
        <f>VLOOKUP(A:A,MASTER!A:K,11,0)</f>
        <v>85619995.521741509</v>
      </c>
      <c r="H24" s="12">
        <f t="shared" si="0"/>
        <v>-3.027040011592208E-2</v>
      </c>
      <c r="I24" s="2">
        <f>VLOOKUP(A:A,MASTER!A:E,5,0)</f>
        <v>2051</v>
      </c>
      <c r="J24" s="2">
        <f>VLOOKUP(A:A,MASTER!A:J,10,0)</f>
        <v>1619</v>
      </c>
      <c r="K24" s="12">
        <f t="shared" si="1"/>
        <v>-0.21062896148220378</v>
      </c>
      <c r="L24" s="2">
        <f>VLOOKUP(A:A,MASTER!A:D,4,0)</f>
        <v>4</v>
      </c>
      <c r="M24" s="2">
        <f>VLOOKUP(A:A,MASTER!A:I,9,0)</f>
        <v>5</v>
      </c>
      <c r="N24" s="12">
        <f t="shared" si="2"/>
        <v>0.25</v>
      </c>
      <c r="O24" s="1">
        <f>VLOOKUP(A:A,MASTER!A:C,3,0)</f>
        <v>18</v>
      </c>
      <c r="P24" s="1">
        <f>VLOOKUP(A:A,MASTER!A:H,8,0)</f>
        <v>135</v>
      </c>
      <c r="Q24" s="12">
        <f t="shared" si="3"/>
        <v>6.5</v>
      </c>
      <c r="R24" s="1">
        <f>VLOOKUP(A:A,MASTER!A:B,2,0)</f>
        <v>1569</v>
      </c>
      <c r="S24">
        <f>VLOOKUP(A:A,MASTER!A:G,7,0)</f>
        <v>1654</v>
      </c>
      <c r="T24" s="12">
        <f t="shared" si="4"/>
        <v>5.4174633524537885E-2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111028127.19907619</v>
      </c>
      <c r="G25" s="1">
        <f>VLOOKUP(A:A,MASTER!A:K,11,0)</f>
        <v>111249037.21376628</v>
      </c>
      <c r="H25" s="12">
        <f t="shared" si="0"/>
        <v>1.9896761321929191E-3</v>
      </c>
      <c r="I25" s="2">
        <f>VLOOKUP(A:A,MASTER!A:E,5,0)</f>
        <v>1503</v>
      </c>
      <c r="J25" s="2">
        <f>VLOOKUP(A:A,MASTER!A:J,10,0)</f>
        <v>2221</v>
      </c>
      <c r="K25" s="12">
        <f t="shared" si="1"/>
        <v>0.47771124417831001</v>
      </c>
      <c r="L25" s="2">
        <f>VLOOKUP(A:A,MASTER!A:D,4,0)</f>
        <v>11</v>
      </c>
      <c r="M25" s="2">
        <f>VLOOKUP(A:A,MASTER!A:I,9,0)</f>
        <v>10</v>
      </c>
      <c r="N25" s="12">
        <f t="shared" si="2"/>
        <v>-9.0909090909090939E-2</v>
      </c>
      <c r="O25" s="1">
        <f>VLOOKUP(A:A,MASTER!A:C,3,0)</f>
        <v>28</v>
      </c>
      <c r="P25" s="1">
        <f>VLOOKUP(A:A,MASTER!A:H,8,0)</f>
        <v>36</v>
      </c>
      <c r="Q25" s="12">
        <f t="shared" si="3"/>
        <v>0.28571428571428581</v>
      </c>
      <c r="R25" s="1">
        <f>VLOOKUP(A:A,MASTER!A:B,2,0)</f>
        <v>2746</v>
      </c>
      <c r="S25">
        <f>VLOOKUP(A:A,MASTER!A:G,7,0)</f>
        <v>2725</v>
      </c>
      <c r="T25" s="12">
        <f t="shared" si="4"/>
        <v>-7.6474872541879568E-3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23590764.022108503</v>
      </c>
      <c r="G26" s="1">
        <f>VLOOKUP(A:A,MASTER!A:K,11,0)</f>
        <v>24830578.603106957</v>
      </c>
      <c r="H26" s="12">
        <f t="shared" si="0"/>
        <v>5.2555083838596417E-2</v>
      </c>
      <c r="I26" s="2">
        <f>VLOOKUP(A:A,MASTER!A:E,5,0)</f>
        <v>576</v>
      </c>
      <c r="J26" s="2">
        <f>VLOOKUP(A:A,MASTER!A:J,10,0)</f>
        <v>566</v>
      </c>
      <c r="K26" s="12">
        <f t="shared" si="1"/>
        <v>-1.736111111111116E-2</v>
      </c>
      <c r="L26" s="2">
        <f>VLOOKUP(A:A,MASTER!A:D,4,0)</f>
        <v>1</v>
      </c>
      <c r="M26" s="2">
        <f>VLOOKUP(A:A,MASTER!A:I,9,0)</f>
        <v>0</v>
      </c>
      <c r="N26" s="12">
        <f t="shared" si="2"/>
        <v>-1</v>
      </c>
      <c r="O26" s="1">
        <f>VLOOKUP(A:A,MASTER!A:C,3,0)</f>
        <v>3</v>
      </c>
      <c r="P26" s="1">
        <f>VLOOKUP(A:A,MASTER!A:H,8,0)</f>
        <v>0</v>
      </c>
      <c r="Q26" s="12">
        <f t="shared" si="3"/>
        <v>-1</v>
      </c>
      <c r="R26" s="1">
        <f>VLOOKUP(A:A,MASTER!A:B,2,0)</f>
        <v>691</v>
      </c>
      <c r="S26">
        <f>VLOOKUP(A:A,MASTER!A:G,7,0)</f>
        <v>680</v>
      </c>
      <c r="T26" s="12">
        <f t="shared" si="4"/>
        <v>-1.591895803183796E-2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44287178.210485406</v>
      </c>
      <c r="G27" s="1">
        <f>VLOOKUP(A:A,MASTER!A:K,11,0)</f>
        <v>45737925.53457734</v>
      </c>
      <c r="H27" s="12">
        <f t="shared" si="0"/>
        <v>3.2757727692582117E-2</v>
      </c>
      <c r="I27" s="2">
        <f>VLOOKUP(A:A,MASTER!A:E,5,0)</f>
        <v>957</v>
      </c>
      <c r="J27" s="2">
        <f>VLOOKUP(A:A,MASTER!A:J,10,0)</f>
        <v>856</v>
      </c>
      <c r="K27" s="12">
        <f t="shared" si="1"/>
        <v>-0.10553814002089867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15</v>
      </c>
      <c r="P27" s="1">
        <f>VLOOKUP(A:A,MASTER!A:H,8,0)</f>
        <v>5</v>
      </c>
      <c r="Q27" s="12">
        <f t="shared" si="3"/>
        <v>-0.66666666666666674</v>
      </c>
      <c r="R27" s="1">
        <f>VLOOKUP(A:A,MASTER!A:B,2,0)</f>
        <v>996</v>
      </c>
      <c r="S27">
        <f>VLOOKUP(A:A,MASTER!A:G,7,0)</f>
        <v>1023</v>
      </c>
      <c r="T27" s="12">
        <f t="shared" si="4"/>
        <v>2.7108433734939652E-2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22477812.009918679</v>
      </c>
      <c r="G28" s="1">
        <f>VLOOKUP(A:A,MASTER!A:K,11,0)</f>
        <v>21211785.235070921</v>
      </c>
      <c r="H28" s="12">
        <f t="shared" si="0"/>
        <v>-5.6323399016287912E-2</v>
      </c>
      <c r="I28" s="2">
        <f>VLOOKUP(A:A,MASTER!A:E,5,0)</f>
        <v>662</v>
      </c>
      <c r="J28" s="2">
        <f>VLOOKUP(A:A,MASTER!A:J,10,0)</f>
        <v>649</v>
      </c>
      <c r="K28" s="12">
        <f t="shared" si="1"/>
        <v>-1.963746223564955E-2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60</v>
      </c>
      <c r="Q28" s="12">
        <f t="shared" si="3"/>
        <v>19</v>
      </c>
      <c r="R28" s="1">
        <f>VLOOKUP(A:A,MASTER!A:B,2,0)</f>
        <v>723</v>
      </c>
      <c r="S28">
        <f>VLOOKUP(A:A,MASTER!A:G,7,0)</f>
        <v>740</v>
      </c>
      <c r="T28" s="12">
        <f t="shared" si="4"/>
        <v>2.3513139695712226E-2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52450152.176385969</v>
      </c>
      <c r="G29" s="1">
        <f>VLOOKUP(A:A,MASTER!A:K,11,0)</f>
        <v>55830249.039076075</v>
      </c>
      <c r="H29" s="12">
        <f t="shared" si="0"/>
        <v>6.4443985811958981E-2</v>
      </c>
      <c r="I29" s="2">
        <f>VLOOKUP(A:A,MASTER!A:E,5,0)</f>
        <v>1115</v>
      </c>
      <c r="J29" s="2">
        <f>VLOOKUP(A:A,MASTER!A:J,10,0)</f>
        <v>1252</v>
      </c>
      <c r="K29" s="12">
        <f t="shared" si="1"/>
        <v>0.12286995515695076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7</v>
      </c>
      <c r="P29" s="1">
        <f>VLOOKUP(A:A,MASTER!A:H,8,0)</f>
        <v>9</v>
      </c>
      <c r="Q29" s="12">
        <f t="shared" si="3"/>
        <v>0.28571428571428581</v>
      </c>
      <c r="R29" s="1">
        <f>VLOOKUP(A:A,MASTER!A:B,2,0)</f>
        <v>1154</v>
      </c>
      <c r="S29">
        <f>VLOOKUP(A:A,MASTER!A:G,7,0)</f>
        <v>1161</v>
      </c>
      <c r="T29" s="12">
        <f t="shared" si="4"/>
        <v>6.0658578856152001E-3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72428674.230875105</v>
      </c>
      <c r="G30" s="1">
        <f>VLOOKUP(A:A,MASTER!A:K,11,0)</f>
        <v>67695010.010945246</v>
      </c>
      <c r="H30" s="12">
        <f t="shared" si="0"/>
        <v>-6.5356217964735008E-2</v>
      </c>
      <c r="I30" s="2">
        <f>VLOOKUP(A:A,MASTER!A:E,5,0)</f>
        <v>1536</v>
      </c>
      <c r="J30" s="2">
        <f>VLOOKUP(A:A,MASTER!A:J,10,0)</f>
        <v>1767</v>
      </c>
      <c r="K30" s="12">
        <f t="shared" si="1"/>
        <v>0.150390625</v>
      </c>
      <c r="L30" s="2">
        <f>VLOOKUP(A:A,MASTER!A:D,4,0)</f>
        <v>8</v>
      </c>
      <c r="M30" s="2">
        <f>VLOOKUP(A:A,MASTER!A:I,9,0)</f>
        <v>8</v>
      </c>
      <c r="N30" s="12">
        <f t="shared" si="2"/>
        <v>0</v>
      </c>
      <c r="O30" s="1">
        <f>VLOOKUP(A:A,MASTER!A:C,3,0)</f>
        <v>22</v>
      </c>
      <c r="P30" s="1">
        <f>VLOOKUP(A:A,MASTER!A:H,8,0)</f>
        <v>6</v>
      </c>
      <c r="Q30" s="12">
        <f t="shared" si="3"/>
        <v>-0.72727272727272729</v>
      </c>
      <c r="R30" s="1">
        <f>VLOOKUP(A:A,MASTER!A:B,2,0)</f>
        <v>1714</v>
      </c>
      <c r="S30">
        <f>VLOOKUP(A:A,MASTER!A:G,7,0)</f>
        <v>1751</v>
      </c>
      <c r="T30" s="12">
        <f t="shared" si="4"/>
        <v>2.1586931155192612E-2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30447296.214709181</v>
      </c>
      <c r="G31" s="1">
        <f>VLOOKUP(A:A,MASTER!A:K,11,0)</f>
        <v>32082408.635803565</v>
      </c>
      <c r="H31" s="12">
        <f t="shared" si="0"/>
        <v>5.3703041792737549E-2</v>
      </c>
      <c r="I31" s="2">
        <f>VLOOKUP(A:A,MASTER!A:E,5,0)</f>
        <v>786</v>
      </c>
      <c r="J31" s="2">
        <f>VLOOKUP(A:A,MASTER!A:J,10,0)</f>
        <v>778</v>
      </c>
      <c r="K31" s="12">
        <f t="shared" si="1"/>
        <v>-1.0178117048346036E-2</v>
      </c>
      <c r="L31" s="2">
        <f>VLOOKUP(A:A,MASTER!A:D,4,0)</f>
        <v>5</v>
      </c>
      <c r="M31" s="2">
        <f>VLOOKUP(A:A,MASTER!A:I,9,0)</f>
        <v>7</v>
      </c>
      <c r="N31" s="12">
        <f t="shared" si="2"/>
        <v>0.39999999999999991</v>
      </c>
      <c r="O31" s="1">
        <f>VLOOKUP(A:A,MASTER!A:C,3,0)</f>
        <v>6</v>
      </c>
      <c r="P31" s="1">
        <f>VLOOKUP(A:A,MASTER!A:H,8,0)</f>
        <v>3</v>
      </c>
      <c r="Q31" s="12">
        <f t="shared" si="3"/>
        <v>-0.5</v>
      </c>
      <c r="R31" s="1">
        <f>VLOOKUP(A:A,MASTER!A:B,2,0)</f>
        <v>854</v>
      </c>
      <c r="S31">
        <f>VLOOKUP(A:A,MASTER!A:G,7,0)</f>
        <v>848</v>
      </c>
      <c r="T31" s="12">
        <f t="shared" si="4"/>
        <v>-7.0257611241217877E-3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37903502.253414042</v>
      </c>
      <c r="G32" s="1">
        <f>VLOOKUP(A:A,MASTER!A:K,11,0)</f>
        <v>35688638.566749036</v>
      </c>
      <c r="H32" s="12">
        <f t="shared" si="0"/>
        <v>-5.8434275330467855E-2</v>
      </c>
      <c r="I32" s="2">
        <f>VLOOKUP(A:A,MASTER!A:E,5,0)</f>
        <v>518</v>
      </c>
      <c r="J32" s="2">
        <f>VLOOKUP(A:A,MASTER!A:J,10,0)</f>
        <v>481</v>
      </c>
      <c r="K32" s="12">
        <f t="shared" si="1"/>
        <v>-7.1428571428571397E-2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1</v>
      </c>
      <c r="Q32" s="12">
        <f t="shared" si="3"/>
        <v>-0.85714285714285721</v>
      </c>
      <c r="R32" s="1">
        <f>VLOOKUP(A:A,MASTER!A:B,2,0)</f>
        <v>647</v>
      </c>
      <c r="S32">
        <f>VLOOKUP(A:A,MASTER!A:G,7,0)</f>
        <v>647</v>
      </c>
      <c r="T32" s="12">
        <f t="shared" si="4"/>
        <v>0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121783541.27448595</v>
      </c>
      <c r="G33" s="1">
        <f>VLOOKUP(A:A,MASTER!A:K,11,0)</f>
        <v>109051123.66701192</v>
      </c>
      <c r="H33" s="12">
        <f t="shared" si="0"/>
        <v>-0.10454957602831272</v>
      </c>
      <c r="I33" s="2">
        <f>VLOOKUP(A:A,MASTER!A:E,5,0)</f>
        <v>1755</v>
      </c>
      <c r="J33" s="2">
        <f>VLOOKUP(A:A,MASTER!A:J,10,0)</f>
        <v>1696</v>
      </c>
      <c r="K33" s="12">
        <f t="shared" si="1"/>
        <v>-3.3618233618233573E-2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21</v>
      </c>
      <c r="P33" s="1">
        <f>VLOOKUP(A:A,MASTER!A:H,8,0)</f>
        <v>13</v>
      </c>
      <c r="Q33" s="12">
        <f t="shared" si="3"/>
        <v>-0.38095238095238093</v>
      </c>
      <c r="R33" s="1">
        <f>VLOOKUP(A:A,MASTER!A:B,2,0)</f>
        <v>2020</v>
      </c>
      <c r="S33">
        <f>VLOOKUP(A:A,MASTER!A:G,7,0)</f>
        <v>1983</v>
      </c>
      <c r="T33" s="12">
        <f t="shared" si="4"/>
        <v>-1.8316831683168333E-2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96072606.551952958</v>
      </c>
      <c r="G34" s="1">
        <f>VLOOKUP(A:A,MASTER!A:K,11,0)</f>
        <v>93650146.594534114</v>
      </c>
      <c r="H34" s="12">
        <f t="shared" si="0"/>
        <v>-2.5214887410271891E-2</v>
      </c>
      <c r="I34" s="2">
        <f>VLOOKUP(A:A,MASTER!A:E,5,0)</f>
        <v>1434</v>
      </c>
      <c r="J34" s="2">
        <f>VLOOKUP(A:A,MASTER!A:J,10,0)</f>
        <v>1550</v>
      </c>
      <c r="K34" s="12">
        <f t="shared" si="1"/>
        <v>8.0892608089260909E-2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19</v>
      </c>
      <c r="P34" s="1">
        <f>VLOOKUP(A:A,MASTER!A:H,8,0)</f>
        <v>14</v>
      </c>
      <c r="Q34" s="12">
        <f t="shared" si="3"/>
        <v>-0.26315789473684215</v>
      </c>
      <c r="R34" s="1">
        <f>VLOOKUP(A:A,MASTER!A:B,2,0)</f>
        <v>1831</v>
      </c>
      <c r="S34">
        <f>VLOOKUP(A:A,MASTER!A:G,7,0)</f>
        <v>1838</v>
      </c>
      <c r="T34" s="12">
        <f t="shared" si="4"/>
        <v>3.8230475150191623E-3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57550282.092272289</v>
      </c>
      <c r="G35" s="1">
        <f>VLOOKUP(A:A,MASTER!A:K,11,0)</f>
        <v>55108277.316837884</v>
      </c>
      <c r="H35" s="12">
        <f t="shared" si="0"/>
        <v>-4.24325422335734E-2</v>
      </c>
      <c r="I35" s="2">
        <f>VLOOKUP(A:A,MASTER!A:E,5,0)</f>
        <v>793</v>
      </c>
      <c r="J35" s="2">
        <f>VLOOKUP(A:A,MASTER!A:J,10,0)</f>
        <v>860</v>
      </c>
      <c r="K35" s="12">
        <f t="shared" si="1"/>
        <v>8.4489281210592626E-2</v>
      </c>
      <c r="L35" s="2">
        <f>VLOOKUP(A:A,MASTER!A:D,4,0)</f>
        <v>1</v>
      </c>
      <c r="M35" s="2">
        <f>VLOOKUP(A:A,MASTER!A:I,9,0)</f>
        <v>3</v>
      </c>
      <c r="N35" s="12">
        <f t="shared" si="2"/>
        <v>2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935</v>
      </c>
      <c r="S35">
        <f>VLOOKUP(A:A,MASTER!A:G,7,0)</f>
        <v>955</v>
      </c>
      <c r="T35" s="12">
        <f t="shared" si="4"/>
        <v>2.1390374331550888E-2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73161309.909016624</v>
      </c>
      <c r="G36" s="1">
        <f>VLOOKUP(A:A,MASTER!A:K,11,0)</f>
        <v>72912850.874652222</v>
      </c>
      <c r="H36" s="12">
        <f t="shared" si="0"/>
        <v>-3.3960440931605218E-3</v>
      </c>
      <c r="I36" s="2">
        <f>VLOOKUP(A:A,MASTER!A:E,5,0)</f>
        <v>1970</v>
      </c>
      <c r="J36" s="2">
        <f>VLOOKUP(A:A,MASTER!A:J,10,0)</f>
        <v>2152</v>
      </c>
      <c r="K36" s="12">
        <f t="shared" si="1"/>
        <v>9.2385786802030356E-2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10</v>
      </c>
      <c r="P36" s="1">
        <f>VLOOKUP(A:A,MASTER!A:H,8,0)</f>
        <v>11</v>
      </c>
      <c r="Q36" s="12">
        <f t="shared" si="3"/>
        <v>0.10000000000000009</v>
      </c>
      <c r="R36" s="1">
        <f>VLOOKUP(A:A,MASTER!A:B,2,0)</f>
        <v>1993</v>
      </c>
      <c r="S36">
        <f>VLOOKUP(A:A,MASTER!A:G,7,0)</f>
        <v>1920</v>
      </c>
      <c r="T36" s="12">
        <f t="shared" si="4"/>
        <v>-3.6628198695433989E-2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34490063.088890627</v>
      </c>
      <c r="G37" s="1">
        <f>VLOOKUP(A:A,MASTER!A:K,11,0)</f>
        <v>30349916.973865934</v>
      </c>
      <c r="H37" s="12">
        <f t="shared" ref="H37:H46" si="5">IFERROR(G37/F37-1,0)</f>
        <v>-0.12003880956536284</v>
      </c>
      <c r="I37" s="2">
        <f>VLOOKUP(A:A,MASTER!A:E,5,0)</f>
        <v>819</v>
      </c>
      <c r="J37" s="2">
        <f>VLOOKUP(A:A,MASTER!A:J,10,0)</f>
        <v>821</v>
      </c>
      <c r="K37" s="12">
        <f t="shared" ref="K37:K46" si="6">IFERROR(J37/I37-1,0)</f>
        <v>2.4420024420024333E-3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3</v>
      </c>
      <c r="Q37" s="12">
        <f t="shared" ref="Q37:Q46" si="8">IFERROR(P37/O37-1,0)</f>
        <v>-0.25</v>
      </c>
      <c r="R37" s="1">
        <f>VLOOKUP(A:A,MASTER!A:B,2,0)</f>
        <v>990</v>
      </c>
      <c r="S37">
        <f>VLOOKUP(A:A,MASTER!A:G,7,0)</f>
        <v>993</v>
      </c>
      <c r="T37" s="12">
        <f t="shared" ref="T37:T46" si="9">IFERROR(S37/R37-1,0)</f>
        <v>3.0303030303029388E-3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69223487.370296404</v>
      </c>
      <c r="G38" s="1">
        <f>VLOOKUP(A:A,MASTER!A:K,11,0)</f>
        <v>73577336.585778072</v>
      </c>
      <c r="H38" s="12">
        <f t="shared" si="5"/>
        <v>6.2895548619093411E-2</v>
      </c>
      <c r="I38" s="2">
        <f>VLOOKUP(A:A,MASTER!A:E,5,0)</f>
        <v>1481</v>
      </c>
      <c r="J38" s="2">
        <f>VLOOKUP(A:A,MASTER!A:J,10,0)</f>
        <v>1614</v>
      </c>
      <c r="K38" s="12">
        <f t="shared" si="6"/>
        <v>8.9804186360567195E-2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4</v>
      </c>
      <c r="Q38" s="12">
        <f t="shared" si="8"/>
        <v>-0.94117647058823528</v>
      </c>
      <c r="R38" s="1">
        <f>VLOOKUP(A:A,MASTER!A:B,2,0)</f>
        <v>1965</v>
      </c>
      <c r="S38">
        <f>VLOOKUP(A:A,MASTER!A:G,7,0)</f>
        <v>1927</v>
      </c>
      <c r="T38" s="12">
        <f t="shared" si="9"/>
        <v>-1.9338422391857457E-2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29174604.452844072</v>
      </c>
      <c r="G39" s="1">
        <f>VLOOKUP(A:A,MASTER!A:K,11,0)</f>
        <v>31119541.040841356</v>
      </c>
      <c r="H39" s="12">
        <f t="shared" si="5"/>
        <v>6.6665396994189052E-2</v>
      </c>
      <c r="I39" s="2">
        <f>VLOOKUP(A:A,MASTER!A:E,5,0)</f>
        <v>849</v>
      </c>
      <c r="J39" s="2">
        <f>VLOOKUP(A:A,MASTER!A:J,10,0)</f>
        <v>850</v>
      </c>
      <c r="K39" s="12">
        <f t="shared" si="6"/>
        <v>1.1778563015312216E-3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3</v>
      </c>
      <c r="P39" s="1">
        <f>VLOOKUP(A:A,MASTER!A:H,8,0)</f>
        <v>2</v>
      </c>
      <c r="Q39" s="12">
        <f t="shared" si="8"/>
        <v>-0.33333333333333337</v>
      </c>
      <c r="R39" s="1">
        <f>VLOOKUP(A:A,MASTER!A:B,2,0)</f>
        <v>948</v>
      </c>
      <c r="S39">
        <f>VLOOKUP(A:A,MASTER!A:G,7,0)</f>
        <v>994</v>
      </c>
      <c r="T39" s="12">
        <f t="shared" si="9"/>
        <v>4.8523206751054815E-2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22217563.922399305</v>
      </c>
      <c r="G40" s="1">
        <f>VLOOKUP(A:A,MASTER!A:K,11,0)</f>
        <v>22488717.307285931</v>
      </c>
      <c r="H40" s="12">
        <f t="shared" si="5"/>
        <v>1.2204460661560335E-2</v>
      </c>
      <c r="I40" s="2">
        <f>VLOOKUP(A:A,MASTER!A:E,5,0)</f>
        <v>492</v>
      </c>
      <c r="J40" s="2">
        <f>VLOOKUP(A:A,MASTER!A:J,10,0)</f>
        <v>446</v>
      </c>
      <c r="K40" s="12">
        <f t="shared" si="6"/>
        <v>-9.3495934959349603E-2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4</v>
      </c>
      <c r="Q40" s="12">
        <f t="shared" si="8"/>
        <v>0.33333333333333326</v>
      </c>
      <c r="R40" s="1">
        <f>VLOOKUP(A:A,MASTER!A:B,2,0)</f>
        <v>483</v>
      </c>
      <c r="S40">
        <f>VLOOKUP(A:A,MASTER!A:G,7,0)</f>
        <v>498</v>
      </c>
      <c r="T40" s="12">
        <f t="shared" si="9"/>
        <v>3.105590062111796E-2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45343807.287582397</v>
      </c>
      <c r="G41" s="1">
        <f>VLOOKUP(A:A,MASTER!A:K,11,0)</f>
        <v>62114098.293996632</v>
      </c>
      <c r="H41" s="12">
        <f t="shared" si="5"/>
        <v>0.36984743914538587</v>
      </c>
      <c r="I41" s="2">
        <f>VLOOKUP(A:A,MASTER!A:E,5,0)</f>
        <v>767</v>
      </c>
      <c r="J41" s="2">
        <f>VLOOKUP(A:A,MASTER!A:J,10,0)</f>
        <v>841</v>
      </c>
      <c r="K41" s="12">
        <f t="shared" si="6"/>
        <v>9.64797913950457E-2</v>
      </c>
      <c r="L41" s="2">
        <f>VLOOKUP(A:A,MASTER!A:D,4,0)</f>
        <v>4</v>
      </c>
      <c r="M41" s="2">
        <f>VLOOKUP(A:A,MASTER!A:I,9,0)</f>
        <v>4</v>
      </c>
      <c r="N41" s="12">
        <f t="shared" si="7"/>
        <v>0</v>
      </c>
      <c r="O41" s="1">
        <f>VLOOKUP(A:A,MASTER!A:C,3,0)</f>
        <v>10</v>
      </c>
      <c r="P41" s="1">
        <f>VLOOKUP(A:A,MASTER!A:H,8,0)</f>
        <v>9</v>
      </c>
      <c r="Q41" s="12">
        <f t="shared" si="8"/>
        <v>-9.9999999999999978E-2</v>
      </c>
      <c r="R41" s="1">
        <f>VLOOKUP(A:A,MASTER!A:B,2,0)</f>
        <v>921</v>
      </c>
      <c r="S41">
        <f>VLOOKUP(A:A,MASTER!A:G,7,0)</f>
        <v>959</v>
      </c>
      <c r="T41" s="12">
        <f t="shared" si="9"/>
        <v>4.1259500542888183E-2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37645070.590456292</v>
      </c>
      <c r="G42" s="1">
        <f>VLOOKUP(A:A,MASTER!A:K,11,0)</f>
        <v>38238427.159772232</v>
      </c>
      <c r="H42" s="12">
        <f t="shared" si="5"/>
        <v>1.5761866295088467E-2</v>
      </c>
      <c r="I42" s="2">
        <f>VLOOKUP(A:A,MASTER!A:E,5,0)</f>
        <v>812</v>
      </c>
      <c r="J42" s="2">
        <f>VLOOKUP(A:A,MASTER!A:J,10,0)</f>
        <v>815</v>
      </c>
      <c r="K42" s="12">
        <f t="shared" si="6"/>
        <v>3.6945812807882561E-3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851</v>
      </c>
      <c r="S42">
        <f>VLOOKUP(A:A,MASTER!A:G,7,0)</f>
        <v>886</v>
      </c>
      <c r="T42" s="12">
        <f t="shared" si="9"/>
        <v>4.1128084606345539E-2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38287765.640144587</v>
      </c>
      <c r="G43" s="1">
        <f>VLOOKUP(A:A,MASTER!A:K,11,0)</f>
        <v>42011144.537483916</v>
      </c>
      <c r="H43" s="12">
        <f t="shared" si="5"/>
        <v>9.7247223364619106E-2</v>
      </c>
      <c r="I43" s="2">
        <f>VLOOKUP(A:A,MASTER!A:E,5,0)</f>
        <v>796</v>
      </c>
      <c r="J43" s="2">
        <f>VLOOKUP(A:A,MASTER!A:J,10,0)</f>
        <v>778</v>
      </c>
      <c r="K43" s="12">
        <f t="shared" si="6"/>
        <v>-2.2613065326633208E-2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4</v>
      </c>
      <c r="P43" s="1">
        <f>VLOOKUP(A:A,MASTER!A:H,8,0)</f>
        <v>4</v>
      </c>
      <c r="Q43" s="12">
        <f t="shared" si="8"/>
        <v>0</v>
      </c>
      <c r="R43" s="1">
        <f>VLOOKUP(A:A,MASTER!A:B,2,0)</f>
        <v>800</v>
      </c>
      <c r="S43">
        <f>VLOOKUP(A:A,MASTER!A:G,7,0)</f>
        <v>840</v>
      </c>
      <c r="T43" s="12">
        <f t="shared" si="9"/>
        <v>5.0000000000000044E-2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84458190.175074711</v>
      </c>
      <c r="G44" s="1">
        <f>VLOOKUP(A:A,MASTER!A:K,11,0)</f>
        <v>72560532.424541041</v>
      </c>
      <c r="H44" s="12">
        <f t="shared" si="5"/>
        <v>-0.14087038481254244</v>
      </c>
      <c r="I44" s="2">
        <f>VLOOKUP(A:A,MASTER!A:E,5,0)</f>
        <v>1556</v>
      </c>
      <c r="J44" s="2">
        <f>VLOOKUP(A:A,MASTER!A:J,10,0)</f>
        <v>1532</v>
      </c>
      <c r="K44" s="12">
        <f t="shared" si="6"/>
        <v>-1.5424164524421635E-2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4</v>
      </c>
      <c r="P44" s="1">
        <f>VLOOKUP(A:A,MASTER!A:H,8,0)</f>
        <v>5</v>
      </c>
      <c r="Q44" s="12">
        <f t="shared" si="8"/>
        <v>0.25</v>
      </c>
      <c r="R44" s="1">
        <f>VLOOKUP(A:A,MASTER!A:B,2,0)</f>
        <v>1923</v>
      </c>
      <c r="S44">
        <f>VLOOKUP(A:A,MASTER!A:G,7,0)</f>
        <v>1909</v>
      </c>
      <c r="T44" s="12">
        <f t="shared" si="9"/>
        <v>-7.2802912116484153E-3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19752621.143052056</v>
      </c>
      <c r="G45" s="1">
        <f>VLOOKUP(A:A,MASTER!A:K,11,0)</f>
        <v>14104074.386817405</v>
      </c>
      <c r="H45" s="12">
        <f t="shared" si="5"/>
        <v>-0.28596441532123018</v>
      </c>
      <c r="I45" s="2">
        <f>VLOOKUP(A:A,MASTER!A:E,5,0)</f>
        <v>826</v>
      </c>
      <c r="J45" s="2">
        <f>VLOOKUP(A:A,MASTER!A:J,10,0)</f>
        <v>766</v>
      </c>
      <c r="K45" s="12">
        <f t="shared" si="6"/>
        <v>-7.2639225181598044E-2</v>
      </c>
      <c r="L45" s="2">
        <f>VLOOKUP(A:A,MASTER!A:D,4,0)</f>
        <v>4</v>
      </c>
      <c r="M45" s="2">
        <f>VLOOKUP(A:A,MASTER!A:I,9,0)</f>
        <v>4</v>
      </c>
      <c r="N45" s="12">
        <f t="shared" si="7"/>
        <v>0</v>
      </c>
      <c r="O45" s="1">
        <f>VLOOKUP(A:A,MASTER!A:C,3,0)</f>
        <v>3</v>
      </c>
      <c r="P45" s="1">
        <f>VLOOKUP(A:A,MASTER!A:H,8,0)</f>
        <v>8</v>
      </c>
      <c r="Q45" s="12">
        <f t="shared" si="8"/>
        <v>1.6666666666666665</v>
      </c>
      <c r="R45" s="1">
        <f>VLOOKUP(A:A,MASTER!A:B,2,0)</f>
        <v>705</v>
      </c>
      <c r="S45">
        <f>VLOOKUP(A:A,MASTER!A:G,7,0)</f>
        <v>710</v>
      </c>
      <c r="T45" s="12">
        <f t="shared" si="9"/>
        <v>7.0921985815601829E-3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44607128.556082174</v>
      </c>
      <c r="G46" s="1">
        <f>VLOOKUP(A:A,MASTER!A:K,11,0)</f>
        <v>44860630.867287338</v>
      </c>
      <c r="H46" s="12">
        <f t="shared" si="5"/>
        <v>5.6829999915024576E-3</v>
      </c>
      <c r="I46" s="2">
        <f>VLOOKUP(A:A,MASTER!A:E,5,0)</f>
        <v>850</v>
      </c>
      <c r="J46" s="2">
        <f>VLOOKUP(A:A,MASTER!A:J,10,0)</f>
        <v>813</v>
      </c>
      <c r="K46" s="12">
        <f t="shared" si="6"/>
        <v>-4.3529411764705928E-2</v>
      </c>
      <c r="L46" s="2">
        <f>VLOOKUP(A:A,MASTER!A:D,4,0)</f>
        <v>10</v>
      </c>
      <c r="M46" s="2">
        <f>VLOOKUP(A:A,MASTER!A:I,9,0)</f>
        <v>10</v>
      </c>
      <c r="N46" s="12">
        <f t="shared" si="7"/>
        <v>0</v>
      </c>
      <c r="O46" s="1">
        <f>VLOOKUP(A:A,MASTER!A:C,3,0)</f>
        <v>7</v>
      </c>
      <c r="P46" s="1">
        <f>VLOOKUP(A:A,MASTER!A:H,8,0)</f>
        <v>12</v>
      </c>
      <c r="Q46" s="12">
        <f t="shared" si="8"/>
        <v>0.71428571428571419</v>
      </c>
      <c r="R46" s="1">
        <f>VLOOKUP(A:A,MASTER!A:B,2,0)</f>
        <v>871</v>
      </c>
      <c r="S46">
        <f>VLOOKUP(A:A,MASTER!A:G,7,0)</f>
        <v>936</v>
      </c>
      <c r="T46" s="12">
        <f t="shared" si="9"/>
        <v>7.4626865671641784E-2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112792</v>
      </c>
      <c r="C3" s="11">
        <f t="shared" si="0"/>
        <v>2733</v>
      </c>
      <c r="D3" s="11">
        <f t="shared" si="0"/>
        <v>486</v>
      </c>
      <c r="E3" s="11">
        <f t="shared" si="0"/>
        <v>92248</v>
      </c>
      <c r="F3" s="11">
        <f t="shared" si="0"/>
        <v>3923580053.5669365</v>
      </c>
      <c r="G3" s="11">
        <f t="shared" si="0"/>
        <v>108041</v>
      </c>
      <c r="H3" s="11">
        <f t="shared" si="0"/>
        <v>2606</v>
      </c>
      <c r="I3" s="11">
        <f t="shared" si="0"/>
        <v>494</v>
      </c>
      <c r="J3" s="11">
        <f t="shared" si="0"/>
        <v>93249</v>
      </c>
      <c r="K3" s="11">
        <f t="shared" si="0"/>
        <v>3836812015.4269099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3401</v>
      </c>
      <c r="C6" s="10">
        <v>2</v>
      </c>
      <c r="D6" s="10">
        <v>4</v>
      </c>
      <c r="E6" s="10">
        <v>545</v>
      </c>
      <c r="F6" s="10">
        <v>18810373.263858035</v>
      </c>
      <c r="G6" s="10">
        <v>1477</v>
      </c>
      <c r="H6" s="10">
        <v>3</v>
      </c>
      <c r="I6" s="10">
        <v>3</v>
      </c>
      <c r="J6" s="10">
        <v>252</v>
      </c>
      <c r="K6" s="10">
        <v>15645607.71220744</v>
      </c>
    </row>
    <row r="7" spans="1:11" x14ac:dyDescent="0.35">
      <c r="A7" s="9" t="s">
        <v>95</v>
      </c>
      <c r="B7" s="10">
        <v>1459</v>
      </c>
      <c r="C7" s="10">
        <v>8</v>
      </c>
      <c r="D7" s="10">
        <v>4</v>
      </c>
      <c r="E7" s="10">
        <v>737</v>
      </c>
      <c r="F7" s="10">
        <v>19976746.491849441</v>
      </c>
      <c r="G7" s="10">
        <v>963</v>
      </c>
      <c r="H7" s="10">
        <v>6</v>
      </c>
      <c r="I7" s="10">
        <v>5</v>
      </c>
      <c r="J7" s="10">
        <v>1017</v>
      </c>
      <c r="K7" s="10">
        <v>19482636.45790121</v>
      </c>
    </row>
    <row r="8" spans="1:11" x14ac:dyDescent="0.35">
      <c r="A8" s="9" t="s">
        <v>91</v>
      </c>
      <c r="B8" s="10">
        <v>1679</v>
      </c>
      <c r="C8" s="10">
        <v>13</v>
      </c>
      <c r="D8" s="10">
        <v>2</v>
      </c>
      <c r="E8" s="10">
        <v>1076</v>
      </c>
      <c r="F8" s="10">
        <v>33055725.578663997</v>
      </c>
      <c r="G8" s="10">
        <v>1407</v>
      </c>
      <c r="H8" s="10">
        <v>5</v>
      </c>
      <c r="I8" s="10">
        <v>2</v>
      </c>
      <c r="J8" s="10">
        <v>1153</v>
      </c>
      <c r="K8" s="10">
        <v>22854755.475922532</v>
      </c>
    </row>
    <row r="9" spans="1:11" x14ac:dyDescent="0.35">
      <c r="A9" s="9" t="s">
        <v>92</v>
      </c>
      <c r="B9" s="10">
        <v>1978</v>
      </c>
      <c r="C9" s="10">
        <v>16</v>
      </c>
      <c r="D9" s="10">
        <v>4</v>
      </c>
      <c r="E9" s="10">
        <v>1452</v>
      </c>
      <c r="F9" s="10">
        <v>55745878.323034048</v>
      </c>
      <c r="G9" s="10">
        <v>1685</v>
      </c>
      <c r="H9" s="10">
        <v>8</v>
      </c>
      <c r="I9" s="10">
        <v>3</v>
      </c>
      <c r="J9" s="10">
        <v>1355</v>
      </c>
      <c r="K9" s="10">
        <v>47759347.569036782</v>
      </c>
    </row>
    <row r="10" spans="1:11" x14ac:dyDescent="0.35">
      <c r="A10" s="9" t="s">
        <v>93</v>
      </c>
      <c r="B10" s="10">
        <v>1419</v>
      </c>
      <c r="C10" s="10">
        <v>7</v>
      </c>
      <c r="D10" s="10">
        <v>4</v>
      </c>
      <c r="E10" s="10">
        <v>1376</v>
      </c>
      <c r="F10" s="10">
        <v>51596287.197333023</v>
      </c>
      <c r="G10" s="10">
        <v>1338</v>
      </c>
      <c r="H10" s="10">
        <v>7</v>
      </c>
      <c r="I10" s="10">
        <v>4</v>
      </c>
      <c r="J10" s="10">
        <v>1324</v>
      </c>
      <c r="K10" s="10">
        <v>48841745.161633834</v>
      </c>
    </row>
    <row r="11" spans="1:11" x14ac:dyDescent="0.35">
      <c r="A11" s="9" t="s">
        <v>94</v>
      </c>
      <c r="B11" s="10">
        <v>1125</v>
      </c>
      <c r="C11" s="10">
        <v>13</v>
      </c>
      <c r="D11" s="10">
        <v>8</v>
      </c>
      <c r="E11" s="10">
        <v>768</v>
      </c>
      <c r="F11" s="10">
        <v>36038153.048212834</v>
      </c>
      <c r="G11" s="10">
        <v>992</v>
      </c>
      <c r="H11" s="10">
        <v>5</v>
      </c>
      <c r="I11" s="10">
        <v>8</v>
      </c>
      <c r="J11" s="10">
        <v>700</v>
      </c>
      <c r="K11" s="10">
        <v>35253282.033159837</v>
      </c>
    </row>
    <row r="12" spans="1:11" x14ac:dyDescent="0.35">
      <c r="A12" s="9" t="s">
        <v>97</v>
      </c>
      <c r="B12" s="10">
        <v>1601</v>
      </c>
      <c r="C12" s="10">
        <v>18</v>
      </c>
      <c r="D12" s="10">
        <v>3</v>
      </c>
      <c r="E12" s="10">
        <v>1028</v>
      </c>
      <c r="F12" s="10">
        <v>35981390.977586135</v>
      </c>
      <c r="G12" s="10">
        <v>1361</v>
      </c>
      <c r="H12" s="10">
        <v>15</v>
      </c>
      <c r="I12" s="10">
        <v>2</v>
      </c>
      <c r="J12" s="10">
        <v>1008</v>
      </c>
      <c r="K12" s="10">
        <v>34015477.878189877</v>
      </c>
    </row>
    <row r="13" spans="1:11" x14ac:dyDescent="0.35">
      <c r="A13" s="9" t="s">
        <v>98</v>
      </c>
      <c r="B13" s="10">
        <v>857</v>
      </c>
      <c r="C13" s="10">
        <v>8</v>
      </c>
      <c r="D13" s="10">
        <v>3</v>
      </c>
      <c r="E13" s="10">
        <v>767</v>
      </c>
      <c r="F13" s="10">
        <v>34347433.812451705</v>
      </c>
      <c r="G13" s="10">
        <v>775</v>
      </c>
      <c r="H13" s="10">
        <v>10</v>
      </c>
      <c r="I13" s="10">
        <v>3</v>
      </c>
      <c r="J13" s="10">
        <v>784</v>
      </c>
      <c r="K13" s="10">
        <v>32459093.922280341</v>
      </c>
    </row>
    <row r="14" spans="1:11" x14ac:dyDescent="0.35">
      <c r="A14" s="9" t="s">
        <v>102</v>
      </c>
      <c r="B14" s="10">
        <v>511</v>
      </c>
      <c r="C14" s="10">
        <v>9</v>
      </c>
      <c r="D14" s="10">
        <v>2</v>
      </c>
      <c r="E14" s="10">
        <v>554</v>
      </c>
      <c r="F14" s="10">
        <v>20526136.65960829</v>
      </c>
      <c r="G14" s="10">
        <v>460</v>
      </c>
      <c r="H14" s="10">
        <v>5</v>
      </c>
      <c r="I14" s="10">
        <v>2</v>
      </c>
      <c r="J14" s="10">
        <v>553</v>
      </c>
      <c r="K14" s="10">
        <v>19937798.965523601</v>
      </c>
    </row>
    <row r="15" spans="1:11" x14ac:dyDescent="0.35">
      <c r="A15" s="9" t="s">
        <v>99</v>
      </c>
      <c r="B15" s="10">
        <v>1332</v>
      </c>
      <c r="C15" s="10">
        <v>13</v>
      </c>
      <c r="D15" s="10">
        <v>2</v>
      </c>
      <c r="E15" s="10">
        <v>1109</v>
      </c>
      <c r="F15" s="10">
        <v>35205845.148522407</v>
      </c>
      <c r="G15" s="10">
        <v>1298</v>
      </c>
      <c r="H15" s="10">
        <v>16</v>
      </c>
      <c r="I15" s="10">
        <v>1</v>
      </c>
      <c r="J15" s="10">
        <v>1059</v>
      </c>
      <c r="K15" s="10">
        <v>35271988.454101451</v>
      </c>
    </row>
    <row r="16" spans="1:11" x14ac:dyDescent="0.35">
      <c r="A16" s="9" t="s">
        <v>103</v>
      </c>
      <c r="B16" s="10">
        <v>1039</v>
      </c>
      <c r="C16" s="10">
        <v>1</v>
      </c>
      <c r="D16" s="10">
        <v>2</v>
      </c>
      <c r="E16" s="10">
        <v>1055</v>
      </c>
      <c r="F16" s="10">
        <v>23938253.591655366</v>
      </c>
      <c r="G16" s="10">
        <v>967</v>
      </c>
      <c r="H16" s="10">
        <v>4</v>
      </c>
      <c r="I16" s="10">
        <v>2</v>
      </c>
      <c r="J16" s="10">
        <v>1046</v>
      </c>
      <c r="K16" s="10">
        <v>23788330.295358233</v>
      </c>
    </row>
    <row r="17" spans="1:11" x14ac:dyDescent="0.35">
      <c r="A17" s="9" t="s">
        <v>104</v>
      </c>
      <c r="B17" s="10">
        <v>732</v>
      </c>
      <c r="C17" s="10">
        <v>7</v>
      </c>
      <c r="D17" s="10">
        <v>1</v>
      </c>
      <c r="E17" s="10">
        <v>750</v>
      </c>
      <c r="F17" s="10">
        <v>24576713.044874117</v>
      </c>
      <c r="G17" s="10">
        <v>723</v>
      </c>
      <c r="H17" s="10">
        <v>8</v>
      </c>
      <c r="I17" s="10">
        <v>1</v>
      </c>
      <c r="J17" s="10">
        <v>795</v>
      </c>
      <c r="K17" s="10">
        <v>25124691.454647373</v>
      </c>
    </row>
    <row r="18" spans="1:11" x14ac:dyDescent="0.35">
      <c r="A18" s="9" t="s">
        <v>19</v>
      </c>
      <c r="B18" s="10">
        <v>1528</v>
      </c>
      <c r="C18" s="10">
        <v>14</v>
      </c>
      <c r="D18" s="10">
        <v>7</v>
      </c>
      <c r="E18" s="10">
        <v>1124</v>
      </c>
      <c r="F18" s="10">
        <v>45063740.22747995</v>
      </c>
      <c r="G18" s="10">
        <v>1572</v>
      </c>
      <c r="H18" s="10">
        <v>3</v>
      </c>
      <c r="I18" s="10">
        <v>7</v>
      </c>
      <c r="J18" s="10">
        <v>1369</v>
      </c>
      <c r="K18" s="10">
        <v>43829632.997465089</v>
      </c>
    </row>
    <row r="19" spans="1:11" x14ac:dyDescent="0.35">
      <c r="A19" s="9" t="s">
        <v>40</v>
      </c>
      <c r="B19" s="10">
        <v>1346</v>
      </c>
      <c r="C19" s="10">
        <v>0</v>
      </c>
      <c r="D19" s="10">
        <v>5</v>
      </c>
      <c r="E19" s="10">
        <v>944</v>
      </c>
      <c r="F19" s="10">
        <v>58751184.735806301</v>
      </c>
      <c r="G19" s="10">
        <v>1309</v>
      </c>
      <c r="H19" s="10">
        <v>7</v>
      </c>
      <c r="I19" s="10">
        <v>5</v>
      </c>
      <c r="J19" s="10">
        <v>925</v>
      </c>
      <c r="K19" s="10">
        <v>45216491.266195342</v>
      </c>
    </row>
    <row r="20" spans="1:11" x14ac:dyDescent="0.35">
      <c r="A20" s="9" t="s">
        <v>41</v>
      </c>
      <c r="B20" s="10">
        <v>1797</v>
      </c>
      <c r="C20" s="10">
        <v>17</v>
      </c>
      <c r="D20" s="10">
        <v>9</v>
      </c>
      <c r="E20" s="10">
        <v>1525</v>
      </c>
      <c r="F20" s="10">
        <v>46267872.363665767</v>
      </c>
      <c r="G20" s="10">
        <v>1552</v>
      </c>
      <c r="H20" s="10">
        <v>8</v>
      </c>
      <c r="I20" s="10">
        <v>6</v>
      </c>
      <c r="J20" s="10">
        <v>1559</v>
      </c>
      <c r="K20" s="10">
        <v>44149453.20266363</v>
      </c>
    </row>
    <row r="21" spans="1:11" x14ac:dyDescent="0.35">
      <c r="A21" s="9" t="s">
        <v>42</v>
      </c>
      <c r="B21" s="10">
        <v>995</v>
      </c>
      <c r="C21" s="10">
        <v>5</v>
      </c>
      <c r="D21" s="10">
        <v>6</v>
      </c>
      <c r="E21" s="10">
        <v>714</v>
      </c>
      <c r="F21" s="10">
        <v>27739080.495551568</v>
      </c>
      <c r="G21" s="10">
        <v>948</v>
      </c>
      <c r="H21" s="10">
        <v>4</v>
      </c>
      <c r="I21" s="10">
        <v>5</v>
      </c>
      <c r="J21" s="10">
        <v>937</v>
      </c>
      <c r="K21" s="10">
        <v>26921812.082899764</v>
      </c>
    </row>
    <row r="22" spans="1:11" x14ac:dyDescent="0.35">
      <c r="A22" s="9" t="s">
        <v>43</v>
      </c>
      <c r="B22" s="10">
        <v>2952</v>
      </c>
      <c r="C22" s="10">
        <v>229</v>
      </c>
      <c r="D22" s="10">
        <v>13</v>
      </c>
      <c r="E22" s="10">
        <v>2404</v>
      </c>
      <c r="F22" s="10">
        <v>100965652.3196009</v>
      </c>
      <c r="G22" s="10">
        <v>2914</v>
      </c>
      <c r="H22" s="10">
        <v>297</v>
      </c>
      <c r="I22" s="10">
        <v>13</v>
      </c>
      <c r="J22" s="10">
        <v>2601</v>
      </c>
      <c r="K22" s="10">
        <v>99238482.037973836</v>
      </c>
    </row>
    <row r="23" spans="1:11" x14ac:dyDescent="0.35">
      <c r="A23" s="9" t="s">
        <v>44</v>
      </c>
      <c r="B23" s="10">
        <v>1422</v>
      </c>
      <c r="C23" s="10">
        <v>6</v>
      </c>
      <c r="D23" s="10">
        <v>3</v>
      </c>
      <c r="E23" s="10">
        <v>1267</v>
      </c>
      <c r="F23" s="10">
        <v>52859296.132534899</v>
      </c>
      <c r="G23" s="10">
        <v>1409</v>
      </c>
      <c r="H23" s="10">
        <v>5</v>
      </c>
      <c r="I23" s="10">
        <v>3</v>
      </c>
      <c r="J23" s="10">
        <v>1516</v>
      </c>
      <c r="K23" s="10">
        <v>52957631.872511685</v>
      </c>
    </row>
    <row r="24" spans="1:11" x14ac:dyDescent="0.35">
      <c r="A24" s="9" t="s">
        <v>45</v>
      </c>
      <c r="B24" s="10">
        <v>2817</v>
      </c>
      <c r="C24" s="10">
        <v>10</v>
      </c>
      <c r="D24" s="10">
        <v>13</v>
      </c>
      <c r="E24" s="10">
        <v>2133</v>
      </c>
      <c r="F24" s="10">
        <v>94265100.12289241</v>
      </c>
      <c r="G24" s="10">
        <v>2659</v>
      </c>
      <c r="H24" s="10">
        <v>7</v>
      </c>
      <c r="I24" s="10">
        <v>13</v>
      </c>
      <c r="J24" s="10">
        <v>2198</v>
      </c>
      <c r="K24" s="10">
        <v>92708719.934115127</v>
      </c>
    </row>
    <row r="25" spans="1:11" x14ac:dyDescent="0.35">
      <c r="A25" s="9" t="s">
        <v>51</v>
      </c>
      <c r="B25" s="10">
        <v>587</v>
      </c>
      <c r="C25" s="10">
        <v>3</v>
      </c>
      <c r="D25" s="10">
        <v>2</v>
      </c>
      <c r="E25" s="10">
        <v>567</v>
      </c>
      <c r="F25" s="10">
        <v>16912239.902713042</v>
      </c>
      <c r="G25" s="10">
        <v>583</v>
      </c>
      <c r="H25" s="10">
        <v>1</v>
      </c>
      <c r="I25" s="10">
        <v>2</v>
      </c>
      <c r="J25" s="10">
        <v>636</v>
      </c>
      <c r="K25" s="10">
        <v>17376939.271504961</v>
      </c>
    </row>
    <row r="26" spans="1:11" x14ac:dyDescent="0.35">
      <c r="A26" s="9" t="s">
        <v>54</v>
      </c>
      <c r="B26" s="10">
        <v>2367</v>
      </c>
      <c r="C26" s="10">
        <v>26</v>
      </c>
      <c r="D26" s="10">
        <v>3</v>
      </c>
      <c r="E26" s="10">
        <v>1980</v>
      </c>
      <c r="F26" s="10">
        <v>52026962.15058659</v>
      </c>
      <c r="G26" s="10">
        <v>2372</v>
      </c>
      <c r="H26" s="10">
        <v>18</v>
      </c>
      <c r="I26" s="10">
        <v>2</v>
      </c>
      <c r="J26" s="10">
        <v>2080</v>
      </c>
      <c r="K26" s="10">
        <v>55718793.606652781</v>
      </c>
    </row>
    <row r="27" spans="1:11" x14ac:dyDescent="0.35">
      <c r="A27" s="9" t="s">
        <v>52</v>
      </c>
      <c r="B27" s="10">
        <v>924</v>
      </c>
      <c r="C27" s="10">
        <v>7</v>
      </c>
      <c r="D27" s="10">
        <v>1</v>
      </c>
      <c r="E27" s="10">
        <v>899</v>
      </c>
      <c r="F27" s="10">
        <v>18579942.998186488</v>
      </c>
      <c r="G27" s="10">
        <v>943</v>
      </c>
      <c r="H27" s="10">
        <v>8</v>
      </c>
      <c r="I27" s="10">
        <v>2</v>
      </c>
      <c r="J27" s="10">
        <v>889</v>
      </c>
      <c r="K27" s="10">
        <v>22083107.526303675</v>
      </c>
    </row>
    <row r="28" spans="1:11" x14ac:dyDescent="0.35">
      <c r="A28" s="9" t="s">
        <v>53</v>
      </c>
      <c r="B28" s="10">
        <v>922</v>
      </c>
      <c r="C28" s="10">
        <v>5</v>
      </c>
      <c r="D28" s="10">
        <v>1</v>
      </c>
      <c r="E28" s="10">
        <v>827</v>
      </c>
      <c r="F28" s="10">
        <v>22686331.322798319</v>
      </c>
      <c r="G28" s="10">
        <v>973</v>
      </c>
      <c r="H28" s="10">
        <v>3</v>
      </c>
      <c r="I28" s="10">
        <v>1</v>
      </c>
      <c r="J28" s="10">
        <v>705</v>
      </c>
      <c r="K28" s="10">
        <v>22294653.895217199</v>
      </c>
    </row>
    <row r="29" spans="1:11" x14ac:dyDescent="0.35">
      <c r="A29" s="9" t="s">
        <v>57</v>
      </c>
      <c r="B29" s="10">
        <v>239</v>
      </c>
      <c r="C29" s="10">
        <v>1</v>
      </c>
      <c r="D29" s="10">
        <v>0</v>
      </c>
      <c r="E29" s="10">
        <v>169</v>
      </c>
      <c r="F29" s="10">
        <v>5612798.352742671</v>
      </c>
      <c r="G29" s="10">
        <v>232</v>
      </c>
      <c r="H29" s="10">
        <v>0</v>
      </c>
      <c r="I29" s="10">
        <v>0</v>
      </c>
      <c r="J29" s="10">
        <v>194</v>
      </c>
      <c r="K29" s="10">
        <v>7269933.6180904936</v>
      </c>
    </row>
    <row r="30" spans="1:11" x14ac:dyDescent="0.35">
      <c r="A30" s="9" t="s">
        <v>86</v>
      </c>
      <c r="B30" s="10">
        <v>1992</v>
      </c>
      <c r="C30" s="10">
        <v>8</v>
      </c>
      <c r="D30" s="10">
        <v>10</v>
      </c>
      <c r="E30" s="10">
        <v>1831</v>
      </c>
      <c r="F30" s="10">
        <v>52561408.719839558</v>
      </c>
      <c r="G30" s="10">
        <v>1898</v>
      </c>
      <c r="H30" s="10">
        <v>9</v>
      </c>
      <c r="I30" s="10">
        <v>11</v>
      </c>
      <c r="J30" s="10">
        <v>1758</v>
      </c>
      <c r="K30" s="10">
        <v>53287350.435992487</v>
      </c>
    </row>
    <row r="31" spans="1:11" x14ac:dyDescent="0.35">
      <c r="A31" s="9" t="s">
        <v>87</v>
      </c>
      <c r="B31" s="10">
        <v>1056</v>
      </c>
      <c r="C31" s="10">
        <v>3</v>
      </c>
      <c r="D31" s="10">
        <v>1</v>
      </c>
      <c r="E31" s="10">
        <v>782</v>
      </c>
      <c r="F31" s="10">
        <v>45018312.254472837</v>
      </c>
      <c r="G31" s="10">
        <v>1039</v>
      </c>
      <c r="H31" s="10">
        <v>2</v>
      </c>
      <c r="I31" s="10">
        <v>0</v>
      </c>
      <c r="J31" s="10">
        <v>779</v>
      </c>
      <c r="K31" s="10">
        <v>47409009.674207225</v>
      </c>
    </row>
    <row r="32" spans="1:11" x14ac:dyDescent="0.35">
      <c r="A32" s="9" t="s">
        <v>88</v>
      </c>
      <c r="B32" s="10">
        <v>1114</v>
      </c>
      <c r="C32" s="10">
        <v>3</v>
      </c>
      <c r="D32" s="10">
        <v>4</v>
      </c>
      <c r="E32" s="10">
        <v>1006</v>
      </c>
      <c r="F32" s="10">
        <v>42914996.298225284</v>
      </c>
      <c r="G32" s="10">
        <v>1146</v>
      </c>
      <c r="H32" s="10">
        <v>6</v>
      </c>
      <c r="I32" s="10">
        <v>4</v>
      </c>
      <c r="J32" s="10">
        <v>985</v>
      </c>
      <c r="K32" s="10">
        <v>46842683.218588933</v>
      </c>
    </row>
    <row r="33" spans="1:11" x14ac:dyDescent="0.35">
      <c r="A33" s="9" t="s">
        <v>89</v>
      </c>
      <c r="B33" s="10">
        <v>1646</v>
      </c>
      <c r="C33" s="10">
        <v>2</v>
      </c>
      <c r="D33" s="10">
        <v>5</v>
      </c>
      <c r="E33" s="10">
        <v>1294</v>
      </c>
      <c r="F33" s="10">
        <v>63984713.337079167</v>
      </c>
      <c r="G33" s="10">
        <v>1557</v>
      </c>
      <c r="H33" s="10">
        <v>4</v>
      </c>
      <c r="I33" s="10">
        <v>4</v>
      </c>
      <c r="J33" s="10">
        <v>1302</v>
      </c>
      <c r="K33" s="10">
        <v>66411529.998744823</v>
      </c>
    </row>
    <row r="34" spans="1:11" x14ac:dyDescent="0.35">
      <c r="A34" s="9" t="s">
        <v>15</v>
      </c>
      <c r="B34" s="10">
        <v>1580</v>
      </c>
      <c r="C34" s="10">
        <v>6</v>
      </c>
      <c r="D34" s="10">
        <v>3</v>
      </c>
      <c r="E34" s="10">
        <v>1183</v>
      </c>
      <c r="F34" s="10">
        <v>57721292.779109754</v>
      </c>
      <c r="G34" s="10">
        <v>1559</v>
      </c>
      <c r="H34" s="10">
        <v>9</v>
      </c>
      <c r="I34" s="10">
        <v>4</v>
      </c>
      <c r="J34" s="10">
        <v>1299</v>
      </c>
      <c r="K34" s="10">
        <v>62513555.135326281</v>
      </c>
    </row>
    <row r="35" spans="1:11" x14ac:dyDescent="0.35">
      <c r="A35" s="9" t="s">
        <v>17</v>
      </c>
      <c r="B35" s="10">
        <v>885</v>
      </c>
      <c r="C35" s="10">
        <v>4</v>
      </c>
      <c r="D35" s="10">
        <v>5</v>
      </c>
      <c r="E35" s="10">
        <v>542</v>
      </c>
      <c r="F35" s="10">
        <v>29251994.30506324</v>
      </c>
      <c r="G35" s="10">
        <v>725</v>
      </c>
      <c r="H35" s="10">
        <v>1</v>
      </c>
      <c r="I35" s="10">
        <v>2</v>
      </c>
      <c r="J35" s="10">
        <v>400</v>
      </c>
      <c r="K35" s="10">
        <v>12848923.740277842</v>
      </c>
    </row>
    <row r="36" spans="1:11" x14ac:dyDescent="0.35">
      <c r="A36" s="9" t="s">
        <v>38</v>
      </c>
      <c r="B36" s="10">
        <v>1997</v>
      </c>
      <c r="C36" s="10">
        <v>3</v>
      </c>
      <c r="D36" s="10">
        <v>9</v>
      </c>
      <c r="E36" s="10">
        <v>1669</v>
      </c>
      <c r="F36" s="10">
        <v>58786594.222495466</v>
      </c>
      <c r="G36" s="10">
        <v>1864</v>
      </c>
      <c r="H36" s="10">
        <v>7</v>
      </c>
      <c r="I36" s="10">
        <v>11</v>
      </c>
      <c r="J36" s="10">
        <v>1605</v>
      </c>
      <c r="K36" s="10">
        <v>69319927.66282542</v>
      </c>
    </row>
    <row r="37" spans="1:11" x14ac:dyDescent="0.35">
      <c r="A37" s="9" t="s">
        <v>108</v>
      </c>
      <c r="B37" s="10">
        <v>1187</v>
      </c>
      <c r="C37" s="10">
        <v>6</v>
      </c>
      <c r="D37" s="10">
        <v>5</v>
      </c>
      <c r="E37" s="10">
        <v>1081</v>
      </c>
      <c r="F37" s="10">
        <v>39474828.076947451</v>
      </c>
      <c r="G37" s="10">
        <v>1143</v>
      </c>
      <c r="H37" s="10">
        <v>2</v>
      </c>
      <c r="I37" s="10">
        <v>5</v>
      </c>
      <c r="J37" s="10">
        <v>1017</v>
      </c>
      <c r="K37" s="10">
        <v>37812840.332666084</v>
      </c>
    </row>
    <row r="38" spans="1:11" x14ac:dyDescent="0.35">
      <c r="A38" s="9" t="s">
        <v>106</v>
      </c>
      <c r="B38" s="10">
        <v>1451</v>
      </c>
      <c r="C38" s="10">
        <v>6</v>
      </c>
      <c r="D38" s="10">
        <v>2</v>
      </c>
      <c r="E38" s="10">
        <v>1102</v>
      </c>
      <c r="F38" s="10">
        <v>45504813.719143599</v>
      </c>
      <c r="G38" s="10">
        <v>1395</v>
      </c>
      <c r="H38" s="10">
        <v>11</v>
      </c>
      <c r="I38" s="10">
        <v>4</v>
      </c>
      <c r="J38" s="10">
        <v>1096</v>
      </c>
      <c r="K38" s="10">
        <v>41869439.175619453</v>
      </c>
    </row>
    <row r="39" spans="1:11" x14ac:dyDescent="0.35">
      <c r="A39" s="9" t="s">
        <v>110</v>
      </c>
      <c r="B39" s="10">
        <v>2157</v>
      </c>
      <c r="C39" s="10">
        <v>10</v>
      </c>
      <c r="D39" s="10">
        <v>4</v>
      </c>
      <c r="E39" s="10">
        <v>1830</v>
      </c>
      <c r="F39" s="10">
        <v>76677618.249519289</v>
      </c>
      <c r="G39" s="10">
        <v>2121</v>
      </c>
      <c r="H39" s="10">
        <v>15</v>
      </c>
      <c r="I39" s="10">
        <v>5</v>
      </c>
      <c r="J39" s="10">
        <v>1792</v>
      </c>
      <c r="K39" s="10">
        <v>76663312.958136618</v>
      </c>
    </row>
    <row r="40" spans="1:11" x14ac:dyDescent="0.35">
      <c r="A40" s="9" t="s">
        <v>2</v>
      </c>
      <c r="B40" s="10">
        <v>1973</v>
      </c>
      <c r="C40" s="10">
        <v>640</v>
      </c>
      <c r="D40" s="10">
        <v>4</v>
      </c>
      <c r="E40" s="10">
        <v>1142</v>
      </c>
      <c r="F40" s="10">
        <v>54800373.57940346</v>
      </c>
      <c r="G40" s="10">
        <v>2101</v>
      </c>
      <c r="H40" s="10">
        <v>589</v>
      </c>
      <c r="I40" s="10">
        <v>4</v>
      </c>
      <c r="J40" s="10">
        <v>1250</v>
      </c>
      <c r="K40" s="10">
        <v>55837503.498501748</v>
      </c>
    </row>
    <row r="41" spans="1:11" x14ac:dyDescent="0.35">
      <c r="A41" s="9" t="s">
        <v>112</v>
      </c>
      <c r="B41" s="10">
        <v>3483</v>
      </c>
      <c r="C41" s="10">
        <v>412</v>
      </c>
      <c r="D41" s="10">
        <v>7</v>
      </c>
      <c r="E41" s="10">
        <v>2585</v>
      </c>
      <c r="F41" s="10">
        <v>105917573.93760562</v>
      </c>
      <c r="G41" s="10">
        <v>3557</v>
      </c>
      <c r="H41" s="10">
        <v>482</v>
      </c>
      <c r="I41" s="10">
        <v>8</v>
      </c>
      <c r="J41" s="10">
        <v>2656</v>
      </c>
      <c r="K41" s="10">
        <v>102845000.30261716</v>
      </c>
    </row>
    <row r="42" spans="1:11" x14ac:dyDescent="0.35">
      <c r="A42" s="9" t="s">
        <v>13</v>
      </c>
      <c r="B42" s="10">
        <v>656</v>
      </c>
      <c r="C42" s="10">
        <v>1</v>
      </c>
      <c r="D42" s="10">
        <v>11</v>
      </c>
      <c r="E42" s="10">
        <v>512</v>
      </c>
      <c r="F42" s="10">
        <v>27067889.230773084</v>
      </c>
      <c r="G42" s="10">
        <v>644</v>
      </c>
      <c r="H42" s="10">
        <v>6</v>
      </c>
      <c r="I42" s="10">
        <v>11</v>
      </c>
      <c r="J42" s="10">
        <v>513</v>
      </c>
      <c r="K42" s="10">
        <v>22839611.396921363</v>
      </c>
    </row>
    <row r="43" spans="1:11" x14ac:dyDescent="0.35">
      <c r="A43" s="9" t="s">
        <v>7</v>
      </c>
      <c r="B43" s="10">
        <v>2675</v>
      </c>
      <c r="C43" s="10">
        <v>10</v>
      </c>
      <c r="D43" s="10">
        <v>9</v>
      </c>
      <c r="E43" s="10">
        <v>2749</v>
      </c>
      <c r="F43" s="10">
        <v>93666258.758662909</v>
      </c>
      <c r="G43" s="10">
        <v>2842</v>
      </c>
      <c r="H43" s="10">
        <v>9</v>
      </c>
      <c r="I43" s="10">
        <v>10</v>
      </c>
      <c r="J43" s="10">
        <v>2797</v>
      </c>
      <c r="K43" s="10">
        <v>102967091.25377075</v>
      </c>
    </row>
    <row r="44" spans="1:11" x14ac:dyDescent="0.35">
      <c r="A44" s="9" t="s">
        <v>34</v>
      </c>
      <c r="B44" s="10">
        <v>1017</v>
      </c>
      <c r="C44" s="10">
        <v>7</v>
      </c>
      <c r="D44" s="10">
        <v>7</v>
      </c>
      <c r="E44" s="10">
        <v>888</v>
      </c>
      <c r="F44" s="10">
        <v>59498964.630646154</v>
      </c>
      <c r="G44" s="10">
        <v>1069</v>
      </c>
      <c r="H44" s="10">
        <v>9</v>
      </c>
      <c r="I44" s="10">
        <v>6</v>
      </c>
      <c r="J44" s="10">
        <v>1017</v>
      </c>
      <c r="K44" s="10">
        <v>55361691.036396101</v>
      </c>
    </row>
    <row r="45" spans="1:11" x14ac:dyDescent="0.35">
      <c r="A45" s="9" t="s">
        <v>5</v>
      </c>
      <c r="B45" s="10">
        <v>1399</v>
      </c>
      <c r="C45" s="10">
        <v>7</v>
      </c>
      <c r="D45" s="10">
        <v>8</v>
      </c>
      <c r="E45" s="10">
        <v>1327</v>
      </c>
      <c r="F45" s="10">
        <v>52874952.421722367</v>
      </c>
      <c r="G45" s="10">
        <v>1434</v>
      </c>
      <c r="H45" s="10">
        <v>2</v>
      </c>
      <c r="I45" s="10">
        <v>12</v>
      </c>
      <c r="J45" s="10">
        <v>1384</v>
      </c>
      <c r="K45" s="10">
        <v>53827129.535597391</v>
      </c>
    </row>
    <row r="46" spans="1:11" x14ac:dyDescent="0.35">
      <c r="A46" s="9" t="s">
        <v>36</v>
      </c>
      <c r="B46" s="10">
        <v>857</v>
      </c>
      <c r="C46" s="10">
        <v>3</v>
      </c>
      <c r="D46" s="10">
        <v>6</v>
      </c>
      <c r="E46" s="10">
        <v>687</v>
      </c>
      <c r="F46" s="10">
        <v>42605573.731565073</v>
      </c>
      <c r="G46" s="10">
        <v>833</v>
      </c>
      <c r="H46" s="10">
        <v>5</v>
      </c>
      <c r="I46" s="10">
        <v>8</v>
      </c>
      <c r="J46" s="10">
        <v>656</v>
      </c>
      <c r="K46" s="10">
        <v>41478070.486399099</v>
      </c>
    </row>
    <row r="47" spans="1:11" x14ac:dyDescent="0.35">
      <c r="A47" s="9" t="s">
        <v>114</v>
      </c>
      <c r="B47" s="10">
        <v>1184</v>
      </c>
      <c r="C47" s="10">
        <v>2</v>
      </c>
      <c r="D47" s="10">
        <v>9</v>
      </c>
      <c r="E47" s="10">
        <v>953</v>
      </c>
      <c r="F47" s="10">
        <v>39733740.730467834</v>
      </c>
      <c r="G47" s="10">
        <v>1166</v>
      </c>
      <c r="H47" s="10">
        <v>3</v>
      </c>
      <c r="I47" s="10">
        <v>7</v>
      </c>
      <c r="J47" s="10">
        <v>860</v>
      </c>
      <c r="K47" s="10">
        <v>26401509.202701714</v>
      </c>
    </row>
    <row r="48" spans="1:11" x14ac:dyDescent="0.35">
      <c r="A48" s="9" t="s">
        <v>116</v>
      </c>
      <c r="B48" s="10">
        <v>757</v>
      </c>
      <c r="C48" s="10">
        <v>1</v>
      </c>
      <c r="D48" s="10">
        <v>3</v>
      </c>
      <c r="E48" s="10">
        <v>899</v>
      </c>
      <c r="F48" s="10">
        <v>24081860.636562388</v>
      </c>
      <c r="G48" s="10">
        <v>741</v>
      </c>
      <c r="H48" s="10">
        <v>1</v>
      </c>
      <c r="I48" s="10">
        <v>1</v>
      </c>
      <c r="J48" s="10">
        <v>833</v>
      </c>
      <c r="K48" s="10">
        <v>23178339.616457265</v>
      </c>
    </row>
    <row r="49" spans="1:11" x14ac:dyDescent="0.35">
      <c r="A49" s="9" t="s">
        <v>60</v>
      </c>
      <c r="B49" s="10">
        <v>1403</v>
      </c>
      <c r="C49" s="10">
        <v>6</v>
      </c>
      <c r="D49" s="10">
        <v>9</v>
      </c>
      <c r="E49" s="10">
        <v>1111</v>
      </c>
      <c r="F49" s="10">
        <v>76083389.477577791</v>
      </c>
      <c r="G49" s="10">
        <v>1329</v>
      </c>
      <c r="H49" s="10">
        <v>9</v>
      </c>
      <c r="I49" s="10">
        <v>10</v>
      </c>
      <c r="J49" s="10">
        <v>1242</v>
      </c>
      <c r="K49" s="10">
        <v>72851844.651795045</v>
      </c>
    </row>
    <row r="50" spans="1:11" x14ac:dyDescent="0.35">
      <c r="A50" s="9" t="s">
        <v>154</v>
      </c>
      <c r="B50" s="10">
        <v>519</v>
      </c>
      <c r="C50" s="10">
        <v>1</v>
      </c>
      <c r="D50" s="10">
        <v>2</v>
      </c>
      <c r="E50" s="10">
        <v>563</v>
      </c>
      <c r="F50" s="10">
        <v>12748102.73814092</v>
      </c>
      <c r="G50" s="10">
        <v>466</v>
      </c>
      <c r="H50" s="10">
        <v>1</v>
      </c>
      <c r="I50" s="10">
        <v>2</v>
      </c>
      <c r="J50" s="10">
        <v>525</v>
      </c>
      <c r="K50" s="10">
        <v>11650030.050837014</v>
      </c>
    </row>
    <row r="51" spans="1:11" x14ac:dyDescent="0.35">
      <c r="A51" s="9" t="s">
        <v>26</v>
      </c>
      <c r="B51" s="10">
        <v>1004</v>
      </c>
      <c r="C51" s="10">
        <v>3</v>
      </c>
      <c r="D51" s="10">
        <v>6</v>
      </c>
      <c r="E51" s="10">
        <v>1003</v>
      </c>
      <c r="F51" s="10">
        <v>35164868.254296318</v>
      </c>
      <c r="G51" s="10">
        <v>961</v>
      </c>
      <c r="H51" s="10">
        <v>1</v>
      </c>
      <c r="I51" s="10">
        <v>5</v>
      </c>
      <c r="J51" s="10">
        <v>1128</v>
      </c>
      <c r="K51" s="10">
        <v>28743486.896788053</v>
      </c>
    </row>
    <row r="52" spans="1:11" x14ac:dyDescent="0.35">
      <c r="A52" s="9" t="s">
        <v>28</v>
      </c>
      <c r="B52" s="10">
        <v>2255</v>
      </c>
      <c r="C52" s="10">
        <v>7</v>
      </c>
      <c r="D52" s="10">
        <v>19</v>
      </c>
      <c r="E52" s="10">
        <v>1818</v>
      </c>
      <c r="F52" s="10">
        <v>98994042.303340077</v>
      </c>
      <c r="G52" s="10">
        <v>2274</v>
      </c>
      <c r="H52" s="10">
        <v>3</v>
      </c>
      <c r="I52" s="10">
        <v>20</v>
      </c>
      <c r="J52" s="10">
        <v>1861</v>
      </c>
      <c r="K52" s="10">
        <v>96701016.450478911</v>
      </c>
    </row>
    <row r="53" spans="1:11" x14ac:dyDescent="0.35">
      <c r="A53" s="9" t="s">
        <v>62</v>
      </c>
      <c r="B53" s="10">
        <v>561</v>
      </c>
      <c r="C53" s="10">
        <v>5</v>
      </c>
      <c r="D53" s="10">
        <v>8</v>
      </c>
      <c r="E53" s="10">
        <v>427</v>
      </c>
      <c r="F53" s="10">
        <v>32753100.070737921</v>
      </c>
      <c r="G53" s="10">
        <v>550</v>
      </c>
      <c r="H53" s="10">
        <v>0</v>
      </c>
      <c r="I53" s="10">
        <v>6</v>
      </c>
      <c r="J53" s="10">
        <v>439</v>
      </c>
      <c r="K53" s="10">
        <v>31819600.483706441</v>
      </c>
    </row>
    <row r="54" spans="1:11" x14ac:dyDescent="0.35">
      <c r="A54" s="9" t="s">
        <v>58</v>
      </c>
      <c r="B54" s="10">
        <v>521</v>
      </c>
      <c r="C54" s="10">
        <v>3</v>
      </c>
      <c r="D54" s="10">
        <v>4</v>
      </c>
      <c r="E54" s="10">
        <v>429</v>
      </c>
      <c r="F54" s="10">
        <v>29609241.808801677</v>
      </c>
      <c r="G54" s="10">
        <v>508</v>
      </c>
      <c r="H54" s="10">
        <v>1</v>
      </c>
      <c r="I54" s="10">
        <v>5</v>
      </c>
      <c r="J54" s="10">
        <v>436</v>
      </c>
      <c r="K54" s="10">
        <v>25601267.169170327</v>
      </c>
    </row>
    <row r="55" spans="1:11" x14ac:dyDescent="0.35">
      <c r="A55" s="9" t="s">
        <v>64</v>
      </c>
      <c r="B55" s="10">
        <v>661</v>
      </c>
      <c r="C55" s="10">
        <v>2</v>
      </c>
      <c r="D55" s="10">
        <v>2</v>
      </c>
      <c r="E55" s="10">
        <v>470</v>
      </c>
      <c r="F55" s="10">
        <v>17604814.402159955</v>
      </c>
      <c r="G55" s="10">
        <v>620</v>
      </c>
      <c r="H55" s="10">
        <v>5</v>
      </c>
      <c r="I55" s="10">
        <v>6</v>
      </c>
      <c r="J55" s="10">
        <v>532</v>
      </c>
      <c r="K55" s="10">
        <v>32272303.429959293</v>
      </c>
    </row>
    <row r="56" spans="1:11" x14ac:dyDescent="0.35">
      <c r="A56" s="9" t="s">
        <v>122</v>
      </c>
      <c r="B56" s="10">
        <v>1140</v>
      </c>
      <c r="C56" s="10">
        <v>6</v>
      </c>
      <c r="D56" s="10">
        <v>0</v>
      </c>
      <c r="E56" s="10">
        <v>941</v>
      </c>
      <c r="F56" s="10">
        <v>48375501.050278254</v>
      </c>
      <c r="G56" s="10">
        <v>1124</v>
      </c>
      <c r="H56" s="10">
        <v>9</v>
      </c>
      <c r="I56" s="10">
        <v>0</v>
      </c>
      <c r="J56" s="10">
        <v>1006</v>
      </c>
      <c r="K56" s="10">
        <v>51072592.108574763</v>
      </c>
    </row>
    <row r="57" spans="1:11" x14ac:dyDescent="0.35">
      <c r="A57" s="9" t="s">
        <v>70</v>
      </c>
      <c r="B57" s="10">
        <v>1569</v>
      </c>
      <c r="C57" s="10">
        <v>18</v>
      </c>
      <c r="D57" s="10">
        <v>4</v>
      </c>
      <c r="E57" s="10">
        <v>2051</v>
      </c>
      <c r="F57" s="10">
        <v>88292649.344700396</v>
      </c>
      <c r="G57" s="10">
        <v>1654</v>
      </c>
      <c r="H57" s="10">
        <v>135</v>
      </c>
      <c r="I57" s="10">
        <v>5</v>
      </c>
      <c r="J57" s="10">
        <v>1619</v>
      </c>
      <c r="K57" s="10">
        <v>85619995.521741509</v>
      </c>
    </row>
    <row r="58" spans="1:11" x14ac:dyDescent="0.35">
      <c r="A58" s="9" t="s">
        <v>72</v>
      </c>
      <c r="B58" s="10">
        <v>2746</v>
      </c>
      <c r="C58" s="10">
        <v>28</v>
      </c>
      <c r="D58" s="10">
        <v>11</v>
      </c>
      <c r="E58" s="10">
        <v>1503</v>
      </c>
      <c r="F58" s="10">
        <v>111028127.19907619</v>
      </c>
      <c r="G58" s="10">
        <v>2725</v>
      </c>
      <c r="H58" s="10">
        <v>36</v>
      </c>
      <c r="I58" s="10">
        <v>10</v>
      </c>
      <c r="J58" s="10">
        <v>2221</v>
      </c>
      <c r="K58" s="10">
        <v>111249037.21376628</v>
      </c>
    </row>
    <row r="59" spans="1:11" x14ac:dyDescent="0.35">
      <c r="A59" s="9" t="s">
        <v>130</v>
      </c>
      <c r="B59" s="10">
        <v>691</v>
      </c>
      <c r="C59" s="10">
        <v>3</v>
      </c>
      <c r="D59" s="10">
        <v>1</v>
      </c>
      <c r="E59" s="10">
        <v>576</v>
      </c>
      <c r="F59" s="10">
        <v>23590764.022108503</v>
      </c>
      <c r="G59" s="10">
        <v>680</v>
      </c>
      <c r="H59" s="10">
        <v>0</v>
      </c>
      <c r="I59" s="10">
        <v>0</v>
      </c>
      <c r="J59" s="10">
        <v>566</v>
      </c>
      <c r="K59" s="10">
        <v>24830578.603106957</v>
      </c>
    </row>
    <row r="60" spans="1:11" x14ac:dyDescent="0.35">
      <c r="A60" s="9" t="s">
        <v>76</v>
      </c>
      <c r="B60" s="10">
        <v>996</v>
      </c>
      <c r="C60" s="10">
        <v>15</v>
      </c>
      <c r="D60" s="10">
        <v>9</v>
      </c>
      <c r="E60" s="10">
        <v>957</v>
      </c>
      <c r="F60" s="10">
        <v>44287178.210485406</v>
      </c>
      <c r="G60" s="10">
        <v>1023</v>
      </c>
      <c r="H60" s="10">
        <v>5</v>
      </c>
      <c r="I60" s="10">
        <v>10</v>
      </c>
      <c r="J60" s="10">
        <v>856</v>
      </c>
      <c r="K60" s="10">
        <v>45737925.53457734</v>
      </c>
    </row>
    <row r="61" spans="1:11" x14ac:dyDescent="0.35">
      <c r="A61" s="9" t="s">
        <v>128</v>
      </c>
      <c r="B61" s="10">
        <v>723</v>
      </c>
      <c r="C61" s="10">
        <v>3</v>
      </c>
      <c r="D61" s="10">
        <v>1</v>
      </c>
      <c r="E61" s="10">
        <v>662</v>
      </c>
      <c r="F61" s="10">
        <v>22477812.009918679</v>
      </c>
      <c r="G61" s="10">
        <v>740</v>
      </c>
      <c r="H61" s="10">
        <v>60</v>
      </c>
      <c r="I61" s="10">
        <v>2</v>
      </c>
      <c r="J61" s="10">
        <v>649</v>
      </c>
      <c r="K61" s="10">
        <v>21211785.235070921</v>
      </c>
    </row>
    <row r="62" spans="1:11" x14ac:dyDescent="0.35">
      <c r="A62" s="9" t="s">
        <v>124</v>
      </c>
      <c r="B62" s="10">
        <v>1154</v>
      </c>
      <c r="C62" s="10">
        <v>7</v>
      </c>
      <c r="D62" s="10">
        <v>2</v>
      </c>
      <c r="E62" s="10">
        <v>1115</v>
      </c>
      <c r="F62" s="10">
        <v>52450152.176385969</v>
      </c>
      <c r="G62" s="10">
        <v>1161</v>
      </c>
      <c r="H62" s="10">
        <v>9</v>
      </c>
      <c r="I62" s="10">
        <v>1</v>
      </c>
      <c r="J62" s="10">
        <v>1252</v>
      </c>
      <c r="K62" s="10">
        <v>55830249.039076075</v>
      </c>
    </row>
    <row r="63" spans="1:11" x14ac:dyDescent="0.35">
      <c r="A63" s="9" t="s">
        <v>78</v>
      </c>
      <c r="B63" s="10">
        <v>1714</v>
      </c>
      <c r="C63" s="10">
        <v>22</v>
      </c>
      <c r="D63" s="10">
        <v>8</v>
      </c>
      <c r="E63" s="10">
        <v>1536</v>
      </c>
      <c r="F63" s="10">
        <v>72428674.230875105</v>
      </c>
      <c r="G63" s="10">
        <v>1751</v>
      </c>
      <c r="H63" s="10">
        <v>6</v>
      </c>
      <c r="I63" s="10">
        <v>8</v>
      </c>
      <c r="J63" s="10">
        <v>1767</v>
      </c>
      <c r="K63" s="10">
        <v>67695010.010945246</v>
      </c>
    </row>
    <row r="64" spans="1:11" x14ac:dyDescent="0.35">
      <c r="A64" s="9" t="s">
        <v>80</v>
      </c>
      <c r="B64" s="10">
        <v>854</v>
      </c>
      <c r="C64" s="10">
        <v>6</v>
      </c>
      <c r="D64" s="10">
        <v>5</v>
      </c>
      <c r="E64" s="10">
        <v>786</v>
      </c>
      <c r="F64" s="10">
        <v>30447296.214709181</v>
      </c>
      <c r="G64" s="10">
        <v>848</v>
      </c>
      <c r="H64" s="10">
        <v>3</v>
      </c>
      <c r="I64" s="10">
        <v>7</v>
      </c>
      <c r="J64" s="10">
        <v>778</v>
      </c>
      <c r="K64" s="10">
        <v>32082408.635803565</v>
      </c>
    </row>
    <row r="65" spans="1:11" x14ac:dyDescent="0.35">
      <c r="A65" s="9" t="s">
        <v>82</v>
      </c>
      <c r="B65" s="10">
        <v>647</v>
      </c>
      <c r="C65" s="10">
        <v>7</v>
      </c>
      <c r="D65" s="10">
        <v>8</v>
      </c>
      <c r="E65" s="10">
        <v>518</v>
      </c>
      <c r="F65" s="10">
        <v>37903502.253414042</v>
      </c>
      <c r="G65" s="10">
        <v>647</v>
      </c>
      <c r="H65" s="10">
        <v>1</v>
      </c>
      <c r="I65" s="10">
        <v>8</v>
      </c>
      <c r="J65" s="10">
        <v>481</v>
      </c>
      <c r="K65" s="10">
        <v>35688638.566749036</v>
      </c>
    </row>
    <row r="66" spans="1:11" x14ac:dyDescent="0.35">
      <c r="A66" s="9" t="s">
        <v>20</v>
      </c>
      <c r="B66" s="10">
        <v>2020</v>
      </c>
      <c r="C66" s="10">
        <v>21</v>
      </c>
      <c r="D66" s="10">
        <v>14</v>
      </c>
      <c r="E66" s="10">
        <v>1755</v>
      </c>
      <c r="F66" s="10">
        <v>121783541.27448595</v>
      </c>
      <c r="G66" s="10">
        <v>1983</v>
      </c>
      <c r="H66" s="10">
        <v>13</v>
      </c>
      <c r="I66" s="10">
        <v>13</v>
      </c>
      <c r="J66" s="10">
        <v>1696</v>
      </c>
      <c r="K66" s="10">
        <v>109051123.66701192</v>
      </c>
    </row>
    <row r="67" spans="1:11" x14ac:dyDescent="0.35">
      <c r="A67" s="9" t="s">
        <v>22</v>
      </c>
      <c r="B67" s="10">
        <v>1831</v>
      </c>
      <c r="C67" s="10">
        <v>19</v>
      </c>
      <c r="D67" s="10">
        <v>11</v>
      </c>
      <c r="E67" s="10">
        <v>1434</v>
      </c>
      <c r="F67" s="10">
        <v>96072606.551952958</v>
      </c>
      <c r="G67" s="10">
        <v>1838</v>
      </c>
      <c r="H67" s="10">
        <v>14</v>
      </c>
      <c r="I67" s="10">
        <v>12</v>
      </c>
      <c r="J67" s="10">
        <v>1550</v>
      </c>
      <c r="K67" s="10">
        <v>93650146.594534114</v>
      </c>
    </row>
    <row r="68" spans="1:11" x14ac:dyDescent="0.35">
      <c r="A68" s="9" t="s">
        <v>24</v>
      </c>
      <c r="B68" s="10">
        <v>935</v>
      </c>
      <c r="C68" s="10">
        <v>3</v>
      </c>
      <c r="D68" s="10">
        <v>1</v>
      </c>
      <c r="E68" s="10">
        <v>793</v>
      </c>
      <c r="F68" s="10">
        <v>57550282.092272289</v>
      </c>
      <c r="G68" s="10">
        <v>955</v>
      </c>
      <c r="H68" s="10">
        <v>1</v>
      </c>
      <c r="I68" s="10">
        <v>3</v>
      </c>
      <c r="J68" s="10">
        <v>860</v>
      </c>
      <c r="K68" s="10">
        <v>55108277.316837884</v>
      </c>
    </row>
    <row r="69" spans="1:11" x14ac:dyDescent="0.35">
      <c r="A69" s="9" t="s">
        <v>46</v>
      </c>
      <c r="B69" s="10">
        <v>2800</v>
      </c>
      <c r="C69" s="10">
        <v>783</v>
      </c>
      <c r="D69" s="10">
        <v>15</v>
      </c>
      <c r="E69" s="10">
        <v>1581</v>
      </c>
      <c r="F69" s="10">
        <v>80331922.99575834</v>
      </c>
      <c r="G69" s="10">
        <v>2572</v>
      </c>
      <c r="H69" s="10">
        <v>550</v>
      </c>
      <c r="I69" s="10">
        <v>15</v>
      </c>
      <c r="J69" s="10">
        <v>1229</v>
      </c>
      <c r="K69" s="10">
        <v>82575304.887870371</v>
      </c>
    </row>
    <row r="70" spans="1:11" x14ac:dyDescent="0.35">
      <c r="A70" s="9" t="s">
        <v>100</v>
      </c>
      <c r="B70" s="10">
        <v>449</v>
      </c>
      <c r="C70" s="10">
        <v>3</v>
      </c>
      <c r="D70" s="10">
        <v>1</v>
      </c>
      <c r="E70" s="10">
        <v>475</v>
      </c>
      <c r="F70" s="10">
        <v>12174088.06135376</v>
      </c>
      <c r="G70" s="10">
        <v>415</v>
      </c>
      <c r="H70" s="10">
        <v>3</v>
      </c>
      <c r="I70" s="10">
        <v>0</v>
      </c>
      <c r="J70" s="10">
        <v>446</v>
      </c>
      <c r="K70" s="10">
        <v>11055122.743460607</v>
      </c>
    </row>
    <row r="71" spans="1:11" x14ac:dyDescent="0.35">
      <c r="A71" s="9" t="s">
        <v>9</v>
      </c>
      <c r="B71" s="10">
        <v>1993</v>
      </c>
      <c r="C71" s="10">
        <v>10</v>
      </c>
      <c r="D71" s="10">
        <v>11</v>
      </c>
      <c r="E71" s="10">
        <v>1970</v>
      </c>
      <c r="F71" s="10">
        <v>73161309.909016624</v>
      </c>
      <c r="G71" s="10">
        <v>1920</v>
      </c>
      <c r="H71" s="10">
        <v>11</v>
      </c>
      <c r="I71" s="10">
        <v>12</v>
      </c>
      <c r="J71" s="10">
        <v>2152</v>
      </c>
      <c r="K71" s="10">
        <v>72912850.874652222</v>
      </c>
    </row>
    <row r="72" spans="1:11" x14ac:dyDescent="0.35">
      <c r="A72" s="9" t="s">
        <v>11</v>
      </c>
      <c r="B72" s="10">
        <v>990</v>
      </c>
      <c r="C72" s="10">
        <v>4</v>
      </c>
      <c r="D72" s="10">
        <v>7</v>
      </c>
      <c r="E72" s="10">
        <v>819</v>
      </c>
      <c r="F72" s="10">
        <v>34490063.088890627</v>
      </c>
      <c r="G72" s="10">
        <v>993</v>
      </c>
      <c r="H72" s="10">
        <v>3</v>
      </c>
      <c r="I72" s="10">
        <v>5</v>
      </c>
      <c r="J72" s="10">
        <v>821</v>
      </c>
      <c r="K72" s="10">
        <v>30349916.973865934</v>
      </c>
    </row>
    <row r="73" spans="1:11" x14ac:dyDescent="0.35">
      <c r="A73" s="9" t="s">
        <v>118</v>
      </c>
      <c r="B73" s="10">
        <v>1965</v>
      </c>
      <c r="C73" s="10">
        <v>68</v>
      </c>
      <c r="D73" s="10">
        <v>11</v>
      </c>
      <c r="E73" s="10">
        <v>1481</v>
      </c>
      <c r="F73" s="10">
        <v>69223487.370296404</v>
      </c>
      <c r="G73" s="10">
        <v>1927</v>
      </c>
      <c r="H73" s="10">
        <v>4</v>
      </c>
      <c r="I73" s="10">
        <v>13</v>
      </c>
      <c r="J73" s="10">
        <v>1614</v>
      </c>
      <c r="K73" s="10">
        <v>73577336.585778072</v>
      </c>
    </row>
    <row r="74" spans="1:11" x14ac:dyDescent="0.35">
      <c r="A74" s="9" t="s">
        <v>49</v>
      </c>
      <c r="B74" s="10">
        <v>1402</v>
      </c>
      <c r="C74" s="10">
        <v>10</v>
      </c>
      <c r="D74" s="10">
        <v>6</v>
      </c>
      <c r="E74" s="10">
        <v>1473</v>
      </c>
      <c r="F74" s="10">
        <v>33568996.232961707</v>
      </c>
      <c r="G74" s="10">
        <v>1342</v>
      </c>
      <c r="H74" s="10">
        <v>3</v>
      </c>
      <c r="I74" s="10">
        <v>5</v>
      </c>
      <c r="J74" s="10">
        <v>1228</v>
      </c>
      <c r="K74" s="10">
        <v>20444020.79717635</v>
      </c>
    </row>
    <row r="75" spans="1:11" x14ac:dyDescent="0.35">
      <c r="A75" s="9" t="s">
        <v>47</v>
      </c>
      <c r="B75" s="10">
        <v>1817</v>
      </c>
      <c r="C75" s="10">
        <v>16</v>
      </c>
      <c r="D75" s="10">
        <v>11</v>
      </c>
      <c r="E75" s="10">
        <v>1317</v>
      </c>
      <c r="F75" s="10">
        <v>74010250.542344213</v>
      </c>
      <c r="G75" s="10">
        <v>1805</v>
      </c>
      <c r="H75" s="10">
        <v>8</v>
      </c>
      <c r="I75" s="10">
        <v>12</v>
      </c>
      <c r="J75" s="10">
        <v>1368</v>
      </c>
      <c r="K75" s="10">
        <v>74088024.336392909</v>
      </c>
    </row>
    <row r="76" spans="1:11" x14ac:dyDescent="0.35">
      <c r="A76" s="9" t="s">
        <v>101</v>
      </c>
      <c r="B76" s="10">
        <v>966</v>
      </c>
      <c r="C76" s="10">
        <v>7</v>
      </c>
      <c r="D76" s="10">
        <v>1</v>
      </c>
      <c r="E76" s="10">
        <v>976</v>
      </c>
      <c r="F76" s="10">
        <v>27225759.742112763</v>
      </c>
      <c r="G76" s="10">
        <v>955</v>
      </c>
      <c r="H76" s="10">
        <v>15</v>
      </c>
      <c r="I76" s="10">
        <v>2</v>
      </c>
      <c r="J76" s="10">
        <v>925</v>
      </c>
      <c r="K76" s="10">
        <v>27032438.894885659</v>
      </c>
    </row>
    <row r="77" spans="1:11" x14ac:dyDescent="0.35">
      <c r="A77" s="9" t="s">
        <v>126</v>
      </c>
      <c r="B77" s="10">
        <v>948</v>
      </c>
      <c r="C77" s="10">
        <v>3</v>
      </c>
      <c r="D77" s="10">
        <v>0</v>
      </c>
      <c r="E77" s="10">
        <v>849</v>
      </c>
      <c r="F77" s="10">
        <v>29174604.452844072</v>
      </c>
      <c r="G77" s="10">
        <v>994</v>
      </c>
      <c r="H77" s="10">
        <v>2</v>
      </c>
      <c r="I77" s="10">
        <v>1</v>
      </c>
      <c r="J77" s="10">
        <v>850</v>
      </c>
      <c r="K77" s="10">
        <v>31119541.040841356</v>
      </c>
    </row>
    <row r="78" spans="1:11" x14ac:dyDescent="0.35">
      <c r="A78" s="9" t="s">
        <v>48</v>
      </c>
      <c r="B78" s="10">
        <v>655</v>
      </c>
      <c r="C78" s="10">
        <v>2</v>
      </c>
      <c r="D78" s="10">
        <v>4</v>
      </c>
      <c r="E78" s="10">
        <v>495</v>
      </c>
      <c r="F78" s="10">
        <v>27192711.061761625</v>
      </c>
      <c r="G78" s="10">
        <v>653</v>
      </c>
      <c r="H78" s="10">
        <v>2</v>
      </c>
      <c r="I78" s="10">
        <v>5</v>
      </c>
      <c r="J78" s="10">
        <v>507</v>
      </c>
      <c r="K78" s="10">
        <v>27269994.831902467</v>
      </c>
    </row>
    <row r="79" spans="1:11" x14ac:dyDescent="0.35">
      <c r="A79" s="9" t="s">
        <v>96</v>
      </c>
      <c r="B79" s="10">
        <v>898</v>
      </c>
      <c r="C79" s="10">
        <v>17</v>
      </c>
      <c r="D79" s="10">
        <v>2</v>
      </c>
      <c r="E79" s="10">
        <v>1347</v>
      </c>
      <c r="F79" s="10">
        <v>28946623.008111119</v>
      </c>
      <c r="G79" s="10">
        <v>965</v>
      </c>
      <c r="H79" s="10">
        <v>9</v>
      </c>
      <c r="I79" s="10">
        <v>2</v>
      </c>
      <c r="J79" s="10">
        <v>1405</v>
      </c>
      <c r="K79" s="10">
        <v>34076325.568500802</v>
      </c>
    </row>
    <row r="80" spans="1:11" x14ac:dyDescent="0.35">
      <c r="A80" s="9" t="s">
        <v>30</v>
      </c>
      <c r="B80" s="10">
        <v>483</v>
      </c>
      <c r="C80" s="10">
        <v>3</v>
      </c>
      <c r="D80" s="10">
        <v>16</v>
      </c>
      <c r="E80" s="10">
        <v>492</v>
      </c>
      <c r="F80" s="10">
        <v>22217563.922399305</v>
      </c>
      <c r="G80" s="10">
        <v>498</v>
      </c>
      <c r="H80" s="10">
        <v>4</v>
      </c>
      <c r="I80" s="10">
        <v>15</v>
      </c>
      <c r="J80" s="10">
        <v>446</v>
      </c>
      <c r="K80" s="10">
        <v>22488717.307285931</v>
      </c>
    </row>
    <row r="81" spans="1:11" x14ac:dyDescent="0.35">
      <c r="A81" s="9" t="s">
        <v>84</v>
      </c>
      <c r="B81" s="10">
        <v>921</v>
      </c>
      <c r="C81" s="10">
        <v>10</v>
      </c>
      <c r="D81" s="10">
        <v>4</v>
      </c>
      <c r="E81" s="10">
        <v>767</v>
      </c>
      <c r="F81" s="10">
        <v>45343807.287582397</v>
      </c>
      <c r="G81" s="10">
        <v>959</v>
      </c>
      <c r="H81" s="10">
        <v>9</v>
      </c>
      <c r="I81" s="10">
        <v>4</v>
      </c>
      <c r="J81" s="10">
        <v>841</v>
      </c>
      <c r="K81" s="10">
        <v>62114098.293996632</v>
      </c>
    </row>
    <row r="82" spans="1:11" x14ac:dyDescent="0.35">
      <c r="A82" s="9" t="s">
        <v>32</v>
      </c>
      <c r="B82" s="10">
        <v>851</v>
      </c>
      <c r="C82" s="10">
        <v>2</v>
      </c>
      <c r="D82" s="10">
        <v>14</v>
      </c>
      <c r="E82" s="10">
        <v>812</v>
      </c>
      <c r="F82" s="10">
        <v>37645070.590456292</v>
      </c>
      <c r="G82" s="10">
        <v>886</v>
      </c>
      <c r="H82" s="10">
        <v>3</v>
      </c>
      <c r="I82" s="10">
        <v>14</v>
      </c>
      <c r="J82" s="10">
        <v>815</v>
      </c>
      <c r="K82" s="10">
        <v>38238427.159772232</v>
      </c>
    </row>
    <row r="83" spans="1:11" x14ac:dyDescent="0.35">
      <c r="A83" s="9" t="s">
        <v>55</v>
      </c>
      <c r="B83" s="10">
        <v>1029</v>
      </c>
      <c r="C83" s="10">
        <v>5</v>
      </c>
      <c r="D83" s="10">
        <v>3</v>
      </c>
      <c r="E83" s="10">
        <v>1015</v>
      </c>
      <c r="F83" s="10">
        <v>28788545.419180475</v>
      </c>
      <c r="G83" s="10">
        <v>981</v>
      </c>
      <c r="H83" s="10">
        <v>0</v>
      </c>
      <c r="I83" s="10">
        <v>3</v>
      </c>
      <c r="J83" s="10">
        <v>607</v>
      </c>
      <c r="K83" s="10">
        <v>25378881.075431097</v>
      </c>
    </row>
    <row r="84" spans="1:11" x14ac:dyDescent="0.35">
      <c r="A84" s="9" t="s">
        <v>50</v>
      </c>
      <c r="B84" s="10">
        <v>1005</v>
      </c>
      <c r="C84" s="10">
        <v>6</v>
      </c>
      <c r="D84" s="10">
        <v>4</v>
      </c>
      <c r="E84" s="10">
        <v>899</v>
      </c>
      <c r="F84" s="10">
        <v>31324997.88354234</v>
      </c>
      <c r="G84" s="10">
        <v>1014</v>
      </c>
      <c r="H84" s="10">
        <v>9</v>
      </c>
      <c r="I84" s="10">
        <v>4</v>
      </c>
      <c r="J84" s="10">
        <v>824</v>
      </c>
      <c r="K84" s="10">
        <v>27241996.558555175</v>
      </c>
    </row>
    <row r="85" spans="1:11" x14ac:dyDescent="0.35">
      <c r="A85" s="9" t="s">
        <v>66</v>
      </c>
      <c r="B85" s="10">
        <v>800</v>
      </c>
      <c r="C85" s="10">
        <v>4</v>
      </c>
      <c r="D85" s="10">
        <v>8</v>
      </c>
      <c r="E85" s="10">
        <v>796</v>
      </c>
      <c r="F85" s="10">
        <v>38287765.640144587</v>
      </c>
      <c r="G85" s="10">
        <v>840</v>
      </c>
      <c r="H85" s="10">
        <v>4</v>
      </c>
      <c r="I85" s="10">
        <v>8</v>
      </c>
      <c r="J85" s="10">
        <v>778</v>
      </c>
      <c r="K85" s="10">
        <v>42011144.537483916</v>
      </c>
    </row>
    <row r="86" spans="1:11" x14ac:dyDescent="0.35">
      <c r="A86" s="9" t="s">
        <v>105</v>
      </c>
      <c r="B86" s="10">
        <v>847</v>
      </c>
      <c r="C86" s="10">
        <v>7</v>
      </c>
      <c r="D86" s="10">
        <v>3</v>
      </c>
      <c r="E86" s="10">
        <v>874</v>
      </c>
      <c r="F86" s="10">
        <v>21959601.571328551</v>
      </c>
      <c r="G86" s="10">
        <v>826</v>
      </c>
      <c r="H86" s="10">
        <v>5</v>
      </c>
      <c r="I86" s="10">
        <v>3</v>
      </c>
      <c r="J86" s="10">
        <v>801</v>
      </c>
      <c r="K86" s="10">
        <v>21758081.776218351</v>
      </c>
    </row>
    <row r="87" spans="1:11" x14ac:dyDescent="0.35">
      <c r="A87" s="9" t="s">
        <v>120</v>
      </c>
      <c r="B87" s="10">
        <v>1923</v>
      </c>
      <c r="C87" s="10">
        <v>4</v>
      </c>
      <c r="D87" s="10">
        <v>11</v>
      </c>
      <c r="E87" s="10">
        <v>1556</v>
      </c>
      <c r="F87" s="10">
        <v>84458190.175074711</v>
      </c>
      <c r="G87" s="10">
        <v>1909</v>
      </c>
      <c r="H87" s="10">
        <v>5</v>
      </c>
      <c r="I87" s="10">
        <v>11</v>
      </c>
      <c r="J87" s="10">
        <v>1532</v>
      </c>
      <c r="K87" s="10">
        <v>72560532.424541041</v>
      </c>
    </row>
    <row r="88" spans="1:11" x14ac:dyDescent="0.35">
      <c r="A88" s="9" t="s">
        <v>68</v>
      </c>
      <c r="B88" s="10">
        <v>705</v>
      </c>
      <c r="C88" s="10">
        <v>3</v>
      </c>
      <c r="D88" s="10">
        <v>4</v>
      </c>
      <c r="E88" s="10">
        <v>826</v>
      </c>
      <c r="F88" s="10">
        <v>19752621.143052056</v>
      </c>
      <c r="G88" s="10">
        <v>710</v>
      </c>
      <c r="H88" s="10">
        <v>8</v>
      </c>
      <c r="I88" s="10">
        <v>4</v>
      </c>
      <c r="J88" s="10">
        <v>766</v>
      </c>
      <c r="K88" s="10">
        <v>14104074.386817405</v>
      </c>
    </row>
    <row r="89" spans="1:11" x14ac:dyDescent="0.35">
      <c r="A89" s="9" t="s">
        <v>74</v>
      </c>
      <c r="B89" s="10">
        <v>871</v>
      </c>
      <c r="C89" s="10">
        <v>7</v>
      </c>
      <c r="D89" s="10">
        <v>10</v>
      </c>
      <c r="E89" s="10">
        <v>850</v>
      </c>
      <c r="F89" s="10">
        <v>44607128.556082174</v>
      </c>
      <c r="G89" s="10">
        <v>936</v>
      </c>
      <c r="H89" s="10">
        <v>12</v>
      </c>
      <c r="I89" s="10">
        <v>10</v>
      </c>
      <c r="J89" s="10">
        <v>813</v>
      </c>
      <c r="K89" s="10">
        <v>44860630.867287338</v>
      </c>
    </row>
    <row r="90" spans="1:11" x14ac:dyDescent="0.35">
      <c r="A90" s="9" t="s">
        <v>56</v>
      </c>
      <c r="B90" s="10">
        <v>435</v>
      </c>
      <c r="C90" s="10">
        <v>2</v>
      </c>
      <c r="D90" s="10">
        <v>1</v>
      </c>
      <c r="E90" s="10">
        <v>298</v>
      </c>
      <c r="F90" s="10">
        <v>6376401.3454112746</v>
      </c>
      <c r="G90" s="10">
        <v>358</v>
      </c>
      <c r="H90" s="10">
        <v>0</v>
      </c>
      <c r="I90" s="10">
        <v>1</v>
      </c>
      <c r="J90" s="10">
        <v>363</v>
      </c>
      <c r="K90" s="10">
        <v>3172310.9703599173</v>
      </c>
    </row>
    <row r="91" spans="1:11" x14ac:dyDescent="0.35">
      <c r="A91" s="9" t="s">
        <v>158</v>
      </c>
      <c r="B91" s="10">
        <v>2158</v>
      </c>
      <c r="C91" s="10">
        <v>8</v>
      </c>
      <c r="D91" s="10">
        <v>5</v>
      </c>
      <c r="E91" s="10">
        <v>1651</v>
      </c>
      <c r="F91" s="10">
        <v>73157086.991009966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824</v>
      </c>
      <c r="C92" s="10">
        <v>9</v>
      </c>
      <c r="D92" s="10">
        <v>1</v>
      </c>
      <c r="E92" s="10">
        <v>612</v>
      </c>
      <c r="F92" s="10">
        <v>29349380.990142815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993</v>
      </c>
      <c r="C93" s="10">
        <v>8</v>
      </c>
      <c r="D93" s="10">
        <v>1</v>
      </c>
      <c r="E93" s="10">
        <v>852</v>
      </c>
      <c r="F93" s="10">
        <v>35219361.885563761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547</v>
      </c>
      <c r="C94" s="10">
        <v>2</v>
      </c>
      <c r="D94" s="10">
        <v>0</v>
      </c>
      <c r="E94" s="10">
        <v>540</v>
      </c>
      <c r="F94" s="10">
        <v>16093083.503209893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423</v>
      </c>
      <c r="C95" s="10">
        <v>4</v>
      </c>
      <c r="D95" s="10">
        <v>1</v>
      </c>
      <c r="E95" s="10">
        <v>431</v>
      </c>
      <c r="F95" s="10">
        <v>16489538.3620627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1072</v>
      </c>
      <c r="C96" s="10">
        <v>6</v>
      </c>
      <c r="D96" s="10">
        <v>3</v>
      </c>
      <c r="E96" s="10">
        <v>888</v>
      </c>
      <c r="F96" s="10">
        <v>19237416.935385175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1206</v>
      </c>
      <c r="C97" s="10">
        <v>26</v>
      </c>
      <c r="D97" s="10">
        <v>6</v>
      </c>
      <c r="E97" s="10">
        <v>1007</v>
      </c>
      <c r="F97" s="10">
        <v>31252511.527872603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553</v>
      </c>
      <c r="C98" s="10">
        <v>3</v>
      </c>
      <c r="D98" s="10">
        <v>2</v>
      </c>
      <c r="E98" s="10">
        <v>392</v>
      </c>
      <c r="F98" s="10">
        <v>14161952.16852038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633</v>
      </c>
      <c r="C99" s="10">
        <v>4</v>
      </c>
      <c r="D99" s="10">
        <v>2</v>
      </c>
      <c r="E99" s="10">
        <v>495</v>
      </c>
      <c r="F99" s="10">
        <v>14986854.565162091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491</v>
      </c>
      <c r="C100" s="10">
        <v>10</v>
      </c>
      <c r="D100" s="10">
        <v>2</v>
      </c>
      <c r="E100" s="10">
        <v>487</v>
      </c>
      <c r="F100" s="10">
        <v>12744757.838135989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1035</v>
      </c>
      <c r="C101" s="10">
        <v>6</v>
      </c>
      <c r="D101" s="10">
        <v>1</v>
      </c>
      <c r="E101" s="10">
        <v>803</v>
      </c>
      <c r="F101" s="10">
        <v>19214549.577179205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886</v>
      </c>
      <c r="C102" s="10">
        <v>13</v>
      </c>
      <c r="D102" s="10">
        <v>5</v>
      </c>
      <c r="E102" s="10">
        <v>681</v>
      </c>
      <c r="F102" s="10">
        <v>21338762.358005963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1633</v>
      </c>
      <c r="C103" s="10">
        <v>10</v>
      </c>
      <c r="D103" s="10">
        <v>2</v>
      </c>
      <c r="E103" s="10">
        <v>1696</v>
      </c>
      <c r="F103" s="10">
        <v>31000397.985271964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1737</v>
      </c>
      <c r="C104" s="10">
        <v>15</v>
      </c>
      <c r="D104" s="10">
        <v>2</v>
      </c>
      <c r="E104" s="10">
        <v>1452</v>
      </c>
      <c r="F104" s="10">
        <v>32946486.99701634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992</v>
      </c>
      <c r="C105" s="10">
        <v>9</v>
      </c>
      <c r="D105" s="10">
        <v>2</v>
      </c>
      <c r="E105" s="10">
        <v>984</v>
      </c>
      <c r="F105" s="10">
        <v>26321059.111919254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2246</v>
      </c>
      <c r="C106" s="10">
        <v>36</v>
      </c>
      <c r="D106" s="10">
        <v>5</v>
      </c>
      <c r="E106" s="10">
        <v>2212</v>
      </c>
      <c r="F106" s="10">
        <v>54920912.928464308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2333</v>
      </c>
      <c r="C107" s="10">
        <v>24</v>
      </c>
      <c r="D107" s="10">
        <v>3</v>
      </c>
      <c r="E107" s="10">
        <v>1700</v>
      </c>
      <c r="F107" s="10">
        <v>51498177.281072251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1542</v>
      </c>
      <c r="C108" s="10">
        <v>14</v>
      </c>
      <c r="D108" s="10">
        <v>1</v>
      </c>
      <c r="E108" s="10">
        <v>1470</v>
      </c>
      <c r="F108" s="10">
        <v>46456230.330743566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870</v>
      </c>
      <c r="C109" s="10">
        <v>10</v>
      </c>
      <c r="D109" s="10">
        <v>4</v>
      </c>
      <c r="E109" s="10">
        <v>915</v>
      </c>
      <c r="F109" s="10">
        <v>17858795.744307514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1379</v>
      </c>
      <c r="C110" s="10">
        <v>29</v>
      </c>
      <c r="D110" s="10">
        <v>3</v>
      </c>
      <c r="E110" s="10">
        <v>1198</v>
      </c>
      <c r="F110" s="10">
        <v>29212596.657619607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2324</v>
      </c>
      <c r="C111" s="10">
        <v>22</v>
      </c>
      <c r="D111" s="10">
        <v>7</v>
      </c>
      <c r="E111" s="10">
        <v>2088</v>
      </c>
      <c r="F111" s="10">
        <v>47198168.675851598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897</v>
      </c>
      <c r="C112" s="10">
        <v>3</v>
      </c>
      <c r="D112" s="10">
        <v>2</v>
      </c>
      <c r="E112" s="10">
        <v>843</v>
      </c>
      <c r="F112" s="10">
        <v>17798250.930771623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442</v>
      </c>
      <c r="C113" s="10">
        <v>1</v>
      </c>
      <c r="D113" s="10">
        <v>2</v>
      </c>
      <c r="E113" s="10">
        <v>525</v>
      </c>
      <c r="F113" s="10">
        <v>8661338.6441425346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1083</v>
      </c>
      <c r="C114" s="10">
        <v>13</v>
      </c>
      <c r="D114" s="10">
        <v>5</v>
      </c>
      <c r="E114" s="10">
        <v>1025</v>
      </c>
      <c r="F114" s="10">
        <v>24683218.510820832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533</v>
      </c>
      <c r="C115" s="10">
        <v>2</v>
      </c>
      <c r="D115" s="10">
        <v>3</v>
      </c>
      <c r="E115" s="10">
        <v>489</v>
      </c>
      <c r="F115" s="10">
        <v>15360991.799572432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784</v>
      </c>
      <c r="C116" s="10">
        <v>4</v>
      </c>
      <c r="D116" s="10">
        <v>3</v>
      </c>
      <c r="E116" s="10">
        <v>683</v>
      </c>
      <c r="F116" s="10">
        <v>12977492.324563311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1832</v>
      </c>
      <c r="C117" s="10">
        <v>13</v>
      </c>
      <c r="D117" s="10">
        <v>7</v>
      </c>
      <c r="E117" s="10">
        <v>1564</v>
      </c>
      <c r="F117" s="10">
        <v>39720859.723451406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1428</v>
      </c>
      <c r="C118" s="10">
        <v>16</v>
      </c>
      <c r="D118" s="10">
        <v>4</v>
      </c>
      <c r="E118" s="10">
        <v>1290</v>
      </c>
      <c r="F118" s="10">
        <v>29084050.497205596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980</v>
      </c>
      <c r="C119" s="10">
        <v>5</v>
      </c>
      <c r="D119" s="10">
        <v>3</v>
      </c>
      <c r="E119" s="10">
        <v>892</v>
      </c>
      <c r="F119" s="10">
        <v>25240724.123650253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2844</v>
      </c>
      <c r="C120" s="10">
        <v>17</v>
      </c>
      <c r="D120" s="10">
        <v>7</v>
      </c>
      <c r="E120" s="10">
        <v>2141</v>
      </c>
      <c r="F120" s="10">
        <v>62792830.058207184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2963</v>
      </c>
      <c r="C121" s="10">
        <v>42</v>
      </c>
      <c r="D121" s="10">
        <v>5</v>
      </c>
      <c r="E121" s="10">
        <v>2331</v>
      </c>
      <c r="F121" s="10">
        <v>68697187.21929273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2050</v>
      </c>
      <c r="C122" s="10">
        <v>54</v>
      </c>
      <c r="D122" s="10">
        <v>2</v>
      </c>
      <c r="E122" s="10">
        <v>1693</v>
      </c>
      <c r="F122" s="10">
        <v>44834131.658260293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1599</v>
      </c>
      <c r="C123" s="10">
        <v>93</v>
      </c>
      <c r="D123" s="10">
        <v>8</v>
      </c>
      <c r="E123" s="10">
        <v>1486</v>
      </c>
      <c r="F123" s="10">
        <v>41091677.657419771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1736</v>
      </c>
      <c r="C124" s="10">
        <v>47</v>
      </c>
      <c r="D124" s="10">
        <v>0</v>
      </c>
      <c r="E124" s="10">
        <v>1366</v>
      </c>
      <c r="F124" s="10">
        <v>43698716.545259364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1160</v>
      </c>
      <c r="C125" s="10">
        <v>8</v>
      </c>
      <c r="D125" s="10">
        <v>4</v>
      </c>
      <c r="E125" s="10">
        <v>1275</v>
      </c>
      <c r="F125" s="10">
        <v>37525532.222595677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1214</v>
      </c>
      <c r="C126" s="10">
        <v>15</v>
      </c>
      <c r="D126" s="10">
        <v>2</v>
      </c>
      <c r="E126" s="10">
        <v>1044</v>
      </c>
      <c r="F126" s="10">
        <v>30124448.649319857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1108</v>
      </c>
      <c r="C127" s="10">
        <v>5</v>
      </c>
      <c r="D127" s="10">
        <v>4</v>
      </c>
      <c r="E127" s="10">
        <v>1308</v>
      </c>
      <c r="F127" s="10">
        <v>28119790.918710671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2140</v>
      </c>
      <c r="C128" s="10">
        <v>21</v>
      </c>
      <c r="D128" s="10">
        <v>1</v>
      </c>
      <c r="E128" s="10">
        <v>1823</v>
      </c>
      <c r="F128" s="10">
        <v>41756012.036486022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207</v>
      </c>
      <c r="C129" s="10">
        <v>1</v>
      </c>
      <c r="D129" s="10">
        <v>1</v>
      </c>
      <c r="E129" s="10">
        <v>146</v>
      </c>
      <c r="F129" s="10">
        <v>5043026.7208327381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734</v>
      </c>
      <c r="C130" s="10">
        <v>7</v>
      </c>
      <c r="D130" s="10">
        <v>3</v>
      </c>
      <c r="E130" s="10">
        <v>614</v>
      </c>
      <c r="F130" s="10">
        <v>27193132.271138072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1097</v>
      </c>
      <c r="C131" s="10">
        <v>14</v>
      </c>
      <c r="D131" s="10">
        <v>4</v>
      </c>
      <c r="E131" s="10">
        <v>1068</v>
      </c>
      <c r="F131" s="10">
        <v>31207656.356025994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1316</v>
      </c>
      <c r="C132" s="10">
        <v>27</v>
      </c>
      <c r="D132" s="10">
        <v>7</v>
      </c>
      <c r="E132" s="10">
        <v>1227</v>
      </c>
      <c r="F132" s="10">
        <v>54703567.664215505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971</v>
      </c>
      <c r="C133" s="10">
        <v>10</v>
      </c>
      <c r="D133" s="10">
        <v>4</v>
      </c>
      <c r="E133" s="10">
        <v>946</v>
      </c>
      <c r="F133" s="10">
        <v>26298939.17839767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702</v>
      </c>
      <c r="C134" s="10">
        <v>5</v>
      </c>
      <c r="D134" s="10">
        <v>1</v>
      </c>
      <c r="E134" s="10">
        <v>512</v>
      </c>
      <c r="F134" s="10">
        <v>20187614.393181507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637</v>
      </c>
      <c r="C135" s="10">
        <v>3</v>
      </c>
      <c r="D135" s="10">
        <v>2</v>
      </c>
      <c r="E135" s="10">
        <v>386</v>
      </c>
      <c r="F135" s="10">
        <v>16157938.494066637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991</v>
      </c>
      <c r="C136" s="10">
        <v>19</v>
      </c>
      <c r="D136" s="10">
        <v>1</v>
      </c>
      <c r="E136" s="10">
        <v>976</v>
      </c>
      <c r="F136" s="10">
        <v>37379732.859305799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1386</v>
      </c>
      <c r="C137" s="10">
        <v>11</v>
      </c>
      <c r="D137" s="10">
        <v>2</v>
      </c>
      <c r="E137" s="10">
        <v>1288</v>
      </c>
      <c r="F137" s="10">
        <v>44564456.238393351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1460</v>
      </c>
      <c r="C138" s="10">
        <v>60</v>
      </c>
      <c r="D138" s="10">
        <v>4</v>
      </c>
      <c r="E138" s="10">
        <v>1470</v>
      </c>
      <c r="F138" s="10">
        <v>56520609.771992743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407</v>
      </c>
      <c r="C139" s="10">
        <v>2</v>
      </c>
      <c r="D139" s="10">
        <v>2</v>
      </c>
      <c r="E139" s="10">
        <v>309</v>
      </c>
      <c r="F139" s="10">
        <v>12301290.128794085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2169</v>
      </c>
      <c r="C140" s="10">
        <v>49</v>
      </c>
      <c r="D140" s="10">
        <v>5</v>
      </c>
      <c r="E140" s="10">
        <v>1791</v>
      </c>
      <c r="F140" s="10">
        <v>75331118.268134519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719</v>
      </c>
      <c r="C141" s="10">
        <v>10</v>
      </c>
      <c r="D141" s="10">
        <v>4</v>
      </c>
      <c r="E141" s="10">
        <v>664</v>
      </c>
      <c r="F141" s="10">
        <v>33287028.806021035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1854</v>
      </c>
      <c r="C142" s="10">
        <v>16</v>
      </c>
      <c r="D142" s="10">
        <v>1</v>
      </c>
      <c r="E142" s="10">
        <v>1584</v>
      </c>
      <c r="F142" s="10">
        <v>44480531.494004019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2476</v>
      </c>
      <c r="C143" s="10">
        <v>43</v>
      </c>
      <c r="D143" s="10">
        <v>7</v>
      </c>
      <c r="E143" s="10">
        <v>2178</v>
      </c>
      <c r="F143" s="10">
        <v>112051718.03584668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2617</v>
      </c>
      <c r="C144" s="10">
        <v>23</v>
      </c>
      <c r="D144" s="10">
        <v>7</v>
      </c>
      <c r="E144" s="10">
        <v>2136</v>
      </c>
      <c r="F144" s="10">
        <v>63306639.323228538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3297</v>
      </c>
      <c r="C145" s="10">
        <v>34</v>
      </c>
      <c r="D145" s="10">
        <v>3</v>
      </c>
      <c r="E145" s="10">
        <v>2345</v>
      </c>
      <c r="F145" s="10">
        <v>64181311.503614798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944</v>
      </c>
      <c r="C146" s="10">
        <v>11</v>
      </c>
      <c r="D146" s="10">
        <v>7</v>
      </c>
      <c r="E146" s="10">
        <v>1014</v>
      </c>
      <c r="F146" s="10">
        <v>23152006.197708778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611</v>
      </c>
      <c r="C147" s="10">
        <v>3</v>
      </c>
      <c r="D147" s="10">
        <v>4</v>
      </c>
      <c r="E147" s="10">
        <v>521</v>
      </c>
      <c r="F147" s="10">
        <v>31312748.968345072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3144</v>
      </c>
      <c r="C148" s="10">
        <v>112</v>
      </c>
      <c r="D148" s="10">
        <v>11</v>
      </c>
      <c r="E148" s="10">
        <v>3442</v>
      </c>
      <c r="F148" s="10">
        <v>84398484.7555843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691</v>
      </c>
      <c r="C149" s="10">
        <v>8</v>
      </c>
      <c r="D149" s="10">
        <v>4</v>
      </c>
      <c r="E149" s="10">
        <v>685</v>
      </c>
      <c r="F149" s="10">
        <v>19123570.388613157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1049</v>
      </c>
      <c r="C150" s="10">
        <v>14</v>
      </c>
      <c r="D150" s="10">
        <v>4</v>
      </c>
      <c r="E150" s="10">
        <v>818</v>
      </c>
      <c r="F150" s="10">
        <v>33344389.686390787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1686</v>
      </c>
      <c r="C151" s="10">
        <v>18</v>
      </c>
      <c r="D151" s="10">
        <v>3</v>
      </c>
      <c r="E151" s="10">
        <v>1374</v>
      </c>
      <c r="F151" s="10">
        <v>45350543.125512399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2439</v>
      </c>
      <c r="C152" s="10">
        <v>19</v>
      </c>
      <c r="D152" s="10">
        <v>3</v>
      </c>
      <c r="E152" s="10">
        <v>1794</v>
      </c>
      <c r="F152" s="10">
        <v>62002530.766029827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1860</v>
      </c>
      <c r="C153" s="10">
        <v>27</v>
      </c>
      <c r="D153" s="10">
        <v>19</v>
      </c>
      <c r="E153" s="10">
        <v>1254</v>
      </c>
      <c r="F153" s="10">
        <v>79886906.177945435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1729</v>
      </c>
      <c r="C154" s="10">
        <v>21</v>
      </c>
      <c r="D154" s="10">
        <v>2</v>
      </c>
      <c r="E154" s="10">
        <v>1171</v>
      </c>
      <c r="F154" s="10">
        <v>33765270.170164146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2233</v>
      </c>
      <c r="C155" s="10">
        <v>17</v>
      </c>
      <c r="D155" s="10">
        <v>4</v>
      </c>
      <c r="E155" s="10">
        <v>2002</v>
      </c>
      <c r="F155" s="10">
        <v>46516295.402698621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1243</v>
      </c>
      <c r="C156" s="10">
        <v>12</v>
      </c>
      <c r="D156" s="10">
        <v>7</v>
      </c>
      <c r="E156" s="10">
        <v>1109</v>
      </c>
      <c r="F156" s="10">
        <v>37751798.501232035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1395</v>
      </c>
      <c r="C157" s="10">
        <v>15</v>
      </c>
      <c r="D157" s="10">
        <v>3</v>
      </c>
      <c r="E157" s="10">
        <v>1759</v>
      </c>
      <c r="F157" s="10">
        <v>26210361.001388527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991</v>
      </c>
      <c r="C158" s="10">
        <v>11</v>
      </c>
      <c r="D158" s="10">
        <v>5</v>
      </c>
      <c r="E158" s="10">
        <v>1084</v>
      </c>
      <c r="F158" s="10">
        <v>20438047.95734302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1044</v>
      </c>
      <c r="C159" s="10">
        <v>12</v>
      </c>
      <c r="D159" s="10">
        <v>2</v>
      </c>
      <c r="E159" s="10">
        <v>1119</v>
      </c>
      <c r="F159" s="10">
        <v>27821081.341821134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1306</v>
      </c>
      <c r="C160" s="10">
        <v>15</v>
      </c>
      <c r="D160" s="10">
        <v>2</v>
      </c>
      <c r="E160" s="10">
        <v>1320</v>
      </c>
      <c r="F160" s="10">
        <v>21780697.702301208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821</v>
      </c>
      <c r="C161" s="10">
        <v>14</v>
      </c>
      <c r="D161" s="10">
        <v>2</v>
      </c>
      <c r="E161" s="10">
        <v>681</v>
      </c>
      <c r="F161" s="10">
        <v>32882555.636418324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795</v>
      </c>
      <c r="C162" s="10">
        <v>9</v>
      </c>
      <c r="D162" s="10">
        <v>6</v>
      </c>
      <c r="E162" s="10">
        <v>683</v>
      </c>
      <c r="F162" s="10">
        <v>41934383.67520386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941</v>
      </c>
      <c r="C163" s="10">
        <v>10</v>
      </c>
      <c r="D163" s="10">
        <v>2</v>
      </c>
      <c r="E163" s="10">
        <v>850</v>
      </c>
      <c r="F163" s="10">
        <v>22304194.040434971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1626</v>
      </c>
      <c r="C164" s="10">
        <v>18</v>
      </c>
      <c r="D164" s="10">
        <v>2</v>
      </c>
      <c r="E164" s="10">
        <v>1599</v>
      </c>
      <c r="F164" s="10">
        <v>44226449.773842685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1013</v>
      </c>
      <c r="C165" s="10">
        <v>14</v>
      </c>
      <c r="D165" s="10">
        <v>3</v>
      </c>
      <c r="E165" s="10">
        <v>823</v>
      </c>
      <c r="F165" s="10">
        <v>15010352.228121227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869</v>
      </c>
      <c r="C166" s="10">
        <v>7</v>
      </c>
      <c r="D166" s="10">
        <v>19</v>
      </c>
      <c r="E166" s="10">
        <v>701</v>
      </c>
      <c r="F166" s="10">
        <v>35096647.933722809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1212</v>
      </c>
      <c r="C167" s="10">
        <v>16</v>
      </c>
      <c r="D167" s="10">
        <v>5</v>
      </c>
      <c r="E167" s="10">
        <v>1204</v>
      </c>
      <c r="F167" s="10">
        <v>23934511.531359207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1280</v>
      </c>
      <c r="C168" s="10">
        <v>19</v>
      </c>
      <c r="D168" s="10">
        <v>4</v>
      </c>
      <c r="E168" s="10">
        <v>1164</v>
      </c>
      <c r="F168" s="10">
        <v>49292425.111628763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1558</v>
      </c>
      <c r="C169" s="10">
        <v>25</v>
      </c>
      <c r="D169" s="10">
        <v>10</v>
      </c>
      <c r="E169" s="10">
        <v>1339</v>
      </c>
      <c r="F169" s="10">
        <v>62501419.094841242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1060</v>
      </c>
      <c r="C170" s="10">
        <v>10</v>
      </c>
      <c r="D170" s="10">
        <v>17</v>
      </c>
      <c r="E170" s="10">
        <v>920</v>
      </c>
      <c r="F170" s="10">
        <v>38626261.609636396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1697</v>
      </c>
      <c r="C171" s="10">
        <v>30</v>
      </c>
      <c r="D171" s="10">
        <v>8</v>
      </c>
      <c r="E171" s="10">
        <v>1927</v>
      </c>
      <c r="F171" s="10">
        <v>57142378.27269572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1036</v>
      </c>
      <c r="C172" s="10">
        <v>5</v>
      </c>
      <c r="D172" s="10">
        <v>2</v>
      </c>
      <c r="E172" s="10">
        <v>595</v>
      </c>
      <c r="F172" s="10">
        <v>20624011.709386423</v>
      </c>
      <c r="G172" s="10">
        <v>699</v>
      </c>
      <c r="H172" s="10">
        <v>5</v>
      </c>
      <c r="I172" s="10">
        <v>2</v>
      </c>
      <c r="J172" s="10">
        <v>588</v>
      </c>
      <c r="K172" s="10">
        <v>20408774.002491482</v>
      </c>
    </row>
    <row r="173" spans="1:11" x14ac:dyDescent="0.35">
      <c r="A173" s="9" t="s">
        <v>240</v>
      </c>
      <c r="B173" s="10">
        <v>499</v>
      </c>
      <c r="C173" s="10">
        <v>0</v>
      </c>
      <c r="D173" s="10">
        <v>0</v>
      </c>
      <c r="E173" s="10">
        <v>21</v>
      </c>
      <c r="F173" s="10">
        <v>13100.722651858001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1196</v>
      </c>
      <c r="C174" s="10">
        <v>16</v>
      </c>
      <c r="D174" s="10">
        <v>3</v>
      </c>
      <c r="E174" s="10">
        <v>875</v>
      </c>
      <c r="F174" s="10">
        <v>41737140.411981642</v>
      </c>
      <c r="G174" s="10">
        <v>1025</v>
      </c>
      <c r="H174" s="10">
        <v>10</v>
      </c>
      <c r="I174" s="10">
        <v>3</v>
      </c>
      <c r="J174" s="10">
        <v>971</v>
      </c>
      <c r="K174" s="10">
        <v>44214298.669492163</v>
      </c>
    </row>
    <row r="175" spans="1:11" x14ac:dyDescent="0.35">
      <c r="A175" s="9" t="s">
        <v>242</v>
      </c>
      <c r="B175" s="10">
        <v>1149</v>
      </c>
      <c r="C175" s="10">
        <v>18</v>
      </c>
      <c r="D175" s="10">
        <v>6</v>
      </c>
      <c r="E175" s="10">
        <v>1042</v>
      </c>
      <c r="F175" s="10">
        <v>38876425.754494607</v>
      </c>
      <c r="G175" s="10">
        <v>1086</v>
      </c>
      <c r="H175" s="10">
        <v>7</v>
      </c>
      <c r="I175" s="10">
        <v>7</v>
      </c>
      <c r="J175" s="10">
        <v>1115</v>
      </c>
      <c r="K175" s="10">
        <v>38913297.72587321</v>
      </c>
    </row>
    <row r="176" spans="1:11" x14ac:dyDescent="0.35">
      <c r="A176" s="9" t="s">
        <v>243</v>
      </c>
      <c r="B176" s="10">
        <v>1095</v>
      </c>
      <c r="C176" s="10">
        <v>30</v>
      </c>
      <c r="D176" s="10">
        <v>7</v>
      </c>
      <c r="E176" s="10">
        <v>1019</v>
      </c>
      <c r="F176" s="10">
        <v>24474083.72948011</v>
      </c>
      <c r="G176" s="10">
        <v>915</v>
      </c>
      <c r="H176" s="10">
        <v>13</v>
      </c>
      <c r="I176" s="10">
        <v>6</v>
      </c>
      <c r="J176" s="10">
        <v>1072</v>
      </c>
      <c r="K176" s="10">
        <v>27554018.437616117</v>
      </c>
    </row>
    <row r="177" spans="1:11" x14ac:dyDescent="0.35">
      <c r="A177" s="9" t="s">
        <v>244</v>
      </c>
      <c r="B177" s="10">
        <v>1618</v>
      </c>
      <c r="C177" s="10">
        <v>121</v>
      </c>
      <c r="D177" s="10">
        <v>4</v>
      </c>
      <c r="E177" s="10">
        <v>1426</v>
      </c>
      <c r="F177" s="10">
        <v>39359676.082027122</v>
      </c>
      <c r="G177" s="10">
        <v>1581</v>
      </c>
      <c r="H177" s="10">
        <v>44</v>
      </c>
      <c r="I177" s="10">
        <v>4</v>
      </c>
      <c r="J177" s="10">
        <v>1363</v>
      </c>
      <c r="K177" s="10">
        <v>39114660.09929131</v>
      </c>
    </row>
    <row r="178" spans="1:11" x14ac:dyDescent="0.35">
      <c r="A178" s="9" t="s">
        <v>245</v>
      </c>
      <c r="B178" s="10">
        <v>2392</v>
      </c>
      <c r="C178" s="10">
        <v>83</v>
      </c>
      <c r="D178" s="10">
        <v>4</v>
      </c>
      <c r="E178" s="10">
        <v>1366</v>
      </c>
      <c r="F178" s="10">
        <v>46951025.843145147</v>
      </c>
      <c r="G178" s="10">
        <v>2199</v>
      </c>
      <c r="H178" s="10">
        <v>42</v>
      </c>
      <c r="I178" s="10">
        <v>6</v>
      </c>
      <c r="J178" s="10">
        <v>1814</v>
      </c>
      <c r="K178" s="10">
        <v>62021492.822277568</v>
      </c>
    </row>
    <row r="179" spans="1:11" x14ac:dyDescent="0.35">
      <c r="A179" s="9" t="s">
        <v>246</v>
      </c>
      <c r="B179" s="10">
        <v>1406</v>
      </c>
      <c r="C179" s="10">
        <v>30</v>
      </c>
      <c r="D179" s="10">
        <v>5</v>
      </c>
      <c r="E179" s="10">
        <v>1722</v>
      </c>
      <c r="F179" s="10">
        <v>48884493.83309596</v>
      </c>
      <c r="G179" s="10">
        <v>1323</v>
      </c>
      <c r="H179" s="10">
        <v>15</v>
      </c>
      <c r="I179" s="10">
        <v>4</v>
      </c>
      <c r="J179" s="10">
        <v>1361</v>
      </c>
      <c r="K179" s="10">
        <v>44832204.53876131</v>
      </c>
    </row>
    <row r="180" spans="1:11" x14ac:dyDescent="0.35">
      <c r="A180" s="9" t="s">
        <v>247</v>
      </c>
      <c r="B180" s="10">
        <v>644</v>
      </c>
      <c r="C180" s="10">
        <v>11</v>
      </c>
      <c r="D180" s="10">
        <v>5</v>
      </c>
      <c r="E180" s="10">
        <v>546</v>
      </c>
      <c r="F180" s="10">
        <v>30916058.954364341</v>
      </c>
      <c r="G180" s="10">
        <v>646</v>
      </c>
      <c r="H180" s="10">
        <v>7</v>
      </c>
      <c r="I180" s="10">
        <v>4</v>
      </c>
      <c r="J180" s="10">
        <v>566</v>
      </c>
      <c r="K180" s="10">
        <v>30696042.131806254</v>
      </c>
    </row>
    <row r="181" spans="1:11" x14ac:dyDescent="0.35">
      <c r="A181" s="9" t="s">
        <v>248</v>
      </c>
      <c r="B181" s="10">
        <v>1283</v>
      </c>
      <c r="C181" s="10">
        <v>25</v>
      </c>
      <c r="D181" s="10">
        <v>6</v>
      </c>
      <c r="E181" s="10">
        <v>1375</v>
      </c>
      <c r="F181" s="10">
        <v>31582898.1171377</v>
      </c>
      <c r="G181" s="10">
        <v>1294</v>
      </c>
      <c r="H181" s="10">
        <v>13</v>
      </c>
      <c r="I181" s="10">
        <v>6</v>
      </c>
      <c r="J181" s="10">
        <v>1665</v>
      </c>
      <c r="K181" s="10">
        <v>41216504.515505239</v>
      </c>
    </row>
    <row r="182" spans="1:11" x14ac:dyDescent="0.35">
      <c r="A182" s="9" t="s">
        <v>249</v>
      </c>
      <c r="B182" s="10">
        <v>1095</v>
      </c>
      <c r="C182" s="10">
        <v>12</v>
      </c>
      <c r="D182" s="10">
        <v>2</v>
      </c>
      <c r="E182" s="10">
        <v>982</v>
      </c>
      <c r="F182" s="10">
        <v>29262687.275301471</v>
      </c>
      <c r="G182" s="10">
        <v>1053</v>
      </c>
      <c r="H182" s="10">
        <v>9</v>
      </c>
      <c r="I182" s="10">
        <v>3</v>
      </c>
      <c r="J182" s="10">
        <v>942</v>
      </c>
      <c r="K182" s="10">
        <v>29525742.880063232</v>
      </c>
    </row>
    <row r="183" spans="1:11" x14ac:dyDescent="0.35">
      <c r="A183" s="9" t="s">
        <v>250</v>
      </c>
      <c r="B183" s="10">
        <v>3322</v>
      </c>
      <c r="C183" s="10">
        <v>74</v>
      </c>
      <c r="D183" s="10">
        <v>8</v>
      </c>
      <c r="E183" s="10">
        <v>2735</v>
      </c>
      <c r="F183" s="10">
        <v>68482941.841611832</v>
      </c>
      <c r="G183" s="10">
        <v>3173</v>
      </c>
      <c r="H183" s="10">
        <v>34</v>
      </c>
      <c r="I183" s="10">
        <v>7</v>
      </c>
      <c r="J183" s="10">
        <v>2657</v>
      </c>
      <c r="K183" s="10">
        <v>68309357.343068749</v>
      </c>
    </row>
    <row r="184" spans="1:11" x14ac:dyDescent="0.35">
      <c r="A184" s="9" t="s">
        <v>251</v>
      </c>
      <c r="B184" s="10">
        <v>553</v>
      </c>
      <c r="C184" s="10">
        <v>5</v>
      </c>
      <c r="D184" s="10">
        <v>1</v>
      </c>
      <c r="E184" s="10">
        <v>443</v>
      </c>
      <c r="F184" s="10">
        <v>12867080.391351439</v>
      </c>
      <c r="G184" s="10">
        <v>502</v>
      </c>
      <c r="H184" s="10">
        <v>0</v>
      </c>
      <c r="I184" s="10">
        <v>0</v>
      </c>
      <c r="J184" s="10">
        <v>482</v>
      </c>
      <c r="K184" s="10">
        <v>14505543.504292345</v>
      </c>
    </row>
    <row r="185" spans="1:11" x14ac:dyDescent="0.35">
      <c r="A185" s="9" t="s">
        <v>252</v>
      </c>
      <c r="B185" s="10">
        <v>878</v>
      </c>
      <c r="C185" s="10">
        <v>359</v>
      </c>
      <c r="D185" s="10">
        <v>2</v>
      </c>
      <c r="E185" s="10">
        <v>477</v>
      </c>
      <c r="F185" s="10">
        <v>11455929.074714191</v>
      </c>
      <c r="G185" s="10">
        <v>753</v>
      </c>
      <c r="H185" s="10">
        <v>5</v>
      </c>
      <c r="I185" s="10">
        <v>3</v>
      </c>
      <c r="J185" s="10">
        <v>469</v>
      </c>
      <c r="K185" s="10">
        <v>10686999.220908789</v>
      </c>
    </row>
    <row r="186" spans="1:11" x14ac:dyDescent="0.35">
      <c r="A186" s="9" t="s">
        <v>253</v>
      </c>
      <c r="B186" s="10">
        <v>1118</v>
      </c>
      <c r="C186" s="10">
        <v>12</v>
      </c>
      <c r="D186" s="10">
        <v>2</v>
      </c>
      <c r="E186" s="10">
        <v>1008</v>
      </c>
      <c r="F186" s="10">
        <v>35090341.686414085</v>
      </c>
      <c r="G186" s="10">
        <v>1098</v>
      </c>
      <c r="H186" s="10">
        <v>23</v>
      </c>
      <c r="I186" s="10">
        <v>3</v>
      </c>
      <c r="J186" s="10">
        <v>1009</v>
      </c>
      <c r="K186" s="10">
        <v>36142967.397119001</v>
      </c>
    </row>
    <row r="187" spans="1:11" x14ac:dyDescent="0.35">
      <c r="A187" s="9" t="s">
        <v>254</v>
      </c>
      <c r="B187" s="10">
        <v>651</v>
      </c>
      <c r="C187" s="10">
        <v>12</v>
      </c>
      <c r="D187" s="10">
        <v>2</v>
      </c>
      <c r="E187" s="10">
        <v>499</v>
      </c>
      <c r="F187" s="10">
        <v>24537476.012671962</v>
      </c>
      <c r="G187" s="10">
        <v>639</v>
      </c>
      <c r="H187" s="10">
        <v>11</v>
      </c>
      <c r="I187" s="10">
        <v>3</v>
      </c>
      <c r="J187" s="10">
        <v>460</v>
      </c>
      <c r="K187" s="10">
        <v>22422048.737490699</v>
      </c>
    </row>
    <row r="188" spans="1:11" x14ac:dyDescent="0.35">
      <c r="A188" s="9" t="s">
        <v>255</v>
      </c>
      <c r="B188" s="10">
        <v>1302</v>
      </c>
      <c r="C188" s="10">
        <v>15</v>
      </c>
      <c r="D188" s="10">
        <v>3</v>
      </c>
      <c r="E188" s="10">
        <v>1201</v>
      </c>
      <c r="F188" s="10">
        <v>39852239.236844972</v>
      </c>
      <c r="G188" s="10">
        <v>1245</v>
      </c>
      <c r="H188" s="10">
        <v>9</v>
      </c>
      <c r="I188" s="10">
        <v>3</v>
      </c>
      <c r="J188" s="10">
        <v>1086</v>
      </c>
      <c r="K188" s="10">
        <v>37471865.01365149</v>
      </c>
    </row>
    <row r="189" spans="1:11" x14ac:dyDescent="0.35">
      <c r="A189" s="9" t="s">
        <v>256</v>
      </c>
      <c r="B189" s="10">
        <v>707</v>
      </c>
      <c r="C189" s="10">
        <v>13</v>
      </c>
      <c r="D189" s="10">
        <v>2</v>
      </c>
      <c r="E189" s="10">
        <v>667</v>
      </c>
      <c r="F189" s="10">
        <v>22450649.886824101</v>
      </c>
      <c r="G189" s="10">
        <v>720</v>
      </c>
      <c r="H189" s="10">
        <v>5</v>
      </c>
      <c r="I189" s="10">
        <v>1</v>
      </c>
      <c r="J189" s="10">
        <v>588</v>
      </c>
      <c r="K189" s="10">
        <v>24043030.910962578</v>
      </c>
    </row>
    <row r="190" spans="1:11" x14ac:dyDescent="0.35">
      <c r="A190" s="9" t="s">
        <v>257</v>
      </c>
      <c r="B190" s="10">
        <v>449</v>
      </c>
      <c r="C190" s="10">
        <v>4</v>
      </c>
      <c r="D190" s="10">
        <v>3</v>
      </c>
      <c r="E190" s="10">
        <v>387</v>
      </c>
      <c r="F190" s="10">
        <v>16781394.907179207</v>
      </c>
      <c r="G190" s="10">
        <v>369</v>
      </c>
      <c r="H190" s="10">
        <v>3</v>
      </c>
      <c r="I190" s="10">
        <v>2</v>
      </c>
      <c r="J190" s="10">
        <v>349</v>
      </c>
      <c r="K190" s="10">
        <v>14997646.410618801</v>
      </c>
    </row>
    <row r="191" spans="1:11" x14ac:dyDescent="0.35">
      <c r="A191" s="9" t="s">
        <v>258</v>
      </c>
      <c r="B191" s="10">
        <v>1426</v>
      </c>
      <c r="C191" s="10">
        <v>16</v>
      </c>
      <c r="D191" s="10">
        <v>4</v>
      </c>
      <c r="E191" s="10">
        <v>1133</v>
      </c>
      <c r="F191" s="10">
        <v>39910838.078804716</v>
      </c>
      <c r="G191" s="10">
        <v>1387</v>
      </c>
      <c r="H191" s="10">
        <v>15</v>
      </c>
      <c r="I191" s="10">
        <v>6</v>
      </c>
      <c r="J191" s="10">
        <v>1122</v>
      </c>
      <c r="K191" s="10">
        <v>41357531.71384193</v>
      </c>
    </row>
    <row r="192" spans="1:11" x14ac:dyDescent="0.35">
      <c r="A192" s="9" t="s">
        <v>259</v>
      </c>
      <c r="B192" s="10">
        <v>696</v>
      </c>
      <c r="C192" s="10">
        <v>21</v>
      </c>
      <c r="D192" s="10">
        <v>3</v>
      </c>
      <c r="E192" s="10">
        <v>580</v>
      </c>
      <c r="F192" s="10">
        <v>16614152.855466256</v>
      </c>
      <c r="G192" s="10">
        <v>660</v>
      </c>
      <c r="H192" s="10">
        <v>8</v>
      </c>
      <c r="I192" s="10">
        <v>2</v>
      </c>
      <c r="J192" s="10">
        <v>587</v>
      </c>
      <c r="K192" s="10">
        <v>16431638.60777238</v>
      </c>
    </row>
    <row r="193" spans="1:11" x14ac:dyDescent="0.35">
      <c r="A193" s="9" t="s">
        <v>260</v>
      </c>
      <c r="B193" s="10">
        <v>1041</v>
      </c>
      <c r="C193" s="10">
        <v>18</v>
      </c>
      <c r="D193" s="10">
        <v>4</v>
      </c>
      <c r="E193" s="10">
        <v>1037</v>
      </c>
      <c r="F193" s="10">
        <v>38651317.964713283</v>
      </c>
      <c r="G193" s="10">
        <v>1026</v>
      </c>
      <c r="H193" s="10">
        <v>10</v>
      </c>
      <c r="I193" s="10">
        <v>4</v>
      </c>
      <c r="J193" s="10">
        <v>918</v>
      </c>
      <c r="K193" s="10">
        <v>36696426.741656736</v>
      </c>
    </row>
    <row r="194" spans="1:11" x14ac:dyDescent="0.35">
      <c r="A194" s="9" t="s">
        <v>261</v>
      </c>
      <c r="B194" s="10">
        <v>1700</v>
      </c>
      <c r="C194" s="10">
        <v>51</v>
      </c>
      <c r="D194" s="10">
        <v>14</v>
      </c>
      <c r="E194" s="10">
        <v>1414</v>
      </c>
      <c r="F194" s="10">
        <v>74394501.635827824</v>
      </c>
      <c r="G194" s="10">
        <v>1606</v>
      </c>
      <c r="H194" s="10">
        <v>38</v>
      </c>
      <c r="I194" s="10">
        <v>15</v>
      </c>
      <c r="J194" s="10">
        <v>1447</v>
      </c>
      <c r="K194" s="10">
        <v>78506905.413337052</v>
      </c>
    </row>
    <row r="195" spans="1:11" x14ac:dyDescent="0.35">
      <c r="A195" s="9" t="s">
        <v>262</v>
      </c>
      <c r="B195" s="10">
        <v>610</v>
      </c>
      <c r="C195" s="10">
        <v>8</v>
      </c>
      <c r="D195" s="10">
        <v>0</v>
      </c>
      <c r="E195" s="10">
        <v>484</v>
      </c>
      <c r="F195" s="10">
        <v>16300185.203389436</v>
      </c>
      <c r="G195" s="10">
        <v>575</v>
      </c>
      <c r="H195" s="10">
        <v>7</v>
      </c>
      <c r="I195" s="10">
        <v>0</v>
      </c>
      <c r="J195" s="10">
        <v>404</v>
      </c>
      <c r="K195" s="10">
        <v>13812935.255260134</v>
      </c>
    </row>
    <row r="196" spans="1:11" x14ac:dyDescent="0.35">
      <c r="A196" s="9" t="s">
        <v>263</v>
      </c>
      <c r="B196" s="10">
        <v>691</v>
      </c>
      <c r="C196" s="10">
        <v>18</v>
      </c>
      <c r="D196" s="10">
        <v>2</v>
      </c>
      <c r="E196" s="10">
        <v>704</v>
      </c>
      <c r="F196" s="10">
        <v>27145061.603775878</v>
      </c>
      <c r="G196" s="10">
        <v>686</v>
      </c>
      <c r="H196" s="10">
        <v>36</v>
      </c>
      <c r="I196" s="10">
        <v>3</v>
      </c>
      <c r="J196" s="10">
        <v>613</v>
      </c>
      <c r="K196" s="10">
        <v>27301048.459583927</v>
      </c>
    </row>
    <row r="197" spans="1:11" x14ac:dyDescent="0.35">
      <c r="A197" s="9" t="s">
        <v>264</v>
      </c>
      <c r="B197" s="10">
        <v>801</v>
      </c>
      <c r="C197" s="10">
        <v>56</v>
      </c>
      <c r="D197" s="10">
        <v>4</v>
      </c>
      <c r="E197" s="10">
        <v>621</v>
      </c>
      <c r="F197" s="10">
        <v>33843122.250664629</v>
      </c>
      <c r="G197" s="10">
        <v>843</v>
      </c>
      <c r="H197" s="10">
        <v>24</v>
      </c>
      <c r="I197" s="10">
        <v>2</v>
      </c>
      <c r="J197" s="10">
        <v>670</v>
      </c>
      <c r="K197" s="10">
        <v>32006682.601131875</v>
      </c>
    </row>
    <row r="198" spans="1:11" x14ac:dyDescent="0.35">
      <c r="A198" s="9" t="s">
        <v>265</v>
      </c>
      <c r="B198" s="10">
        <v>722</v>
      </c>
      <c r="C198" s="10">
        <v>14</v>
      </c>
      <c r="D198" s="10">
        <v>1</v>
      </c>
      <c r="E198" s="10">
        <v>641</v>
      </c>
      <c r="F198" s="10">
        <v>31266913.071446389</v>
      </c>
      <c r="G198" s="10">
        <v>698</v>
      </c>
      <c r="H198" s="10">
        <v>12</v>
      </c>
      <c r="I198" s="10">
        <v>2</v>
      </c>
      <c r="J198" s="10">
        <v>634</v>
      </c>
      <c r="K198" s="10">
        <v>33683463.854523376</v>
      </c>
    </row>
    <row r="199" spans="1:11" x14ac:dyDescent="0.35">
      <c r="A199" s="9" t="s">
        <v>266</v>
      </c>
      <c r="B199" s="10">
        <v>1437</v>
      </c>
      <c r="C199" s="10">
        <v>18</v>
      </c>
      <c r="D199" s="10">
        <v>7</v>
      </c>
      <c r="E199" s="10">
        <v>1323</v>
      </c>
      <c r="F199" s="10">
        <v>41474419.143018216</v>
      </c>
      <c r="G199" s="10">
        <v>1436</v>
      </c>
      <c r="H199" s="10">
        <v>14</v>
      </c>
      <c r="I199" s="10">
        <v>11</v>
      </c>
      <c r="J199" s="10">
        <v>1591</v>
      </c>
      <c r="K199" s="10">
        <v>45510543.727355383</v>
      </c>
    </row>
    <row r="200" spans="1:11" x14ac:dyDescent="0.35">
      <c r="A200" s="9" t="s">
        <v>267</v>
      </c>
      <c r="B200" s="10">
        <v>717</v>
      </c>
      <c r="C200" s="10">
        <v>7</v>
      </c>
      <c r="D200" s="10">
        <v>2</v>
      </c>
      <c r="E200" s="10">
        <v>731</v>
      </c>
      <c r="F200" s="10">
        <v>23177163.923746742</v>
      </c>
      <c r="G200" s="10">
        <v>750</v>
      </c>
      <c r="H200" s="10">
        <v>12</v>
      </c>
      <c r="I200" s="10">
        <v>2</v>
      </c>
      <c r="J200" s="10">
        <v>621</v>
      </c>
      <c r="K200" s="10">
        <v>27455078.031518772</v>
      </c>
    </row>
    <row r="201" spans="1:11" x14ac:dyDescent="0.35">
      <c r="A201" s="9" t="s">
        <v>268</v>
      </c>
      <c r="B201" s="10">
        <v>936</v>
      </c>
      <c r="C201" s="10">
        <v>15</v>
      </c>
      <c r="D201" s="10">
        <v>7</v>
      </c>
      <c r="E201" s="10">
        <v>796</v>
      </c>
      <c r="F201" s="10">
        <v>42138147.547373287</v>
      </c>
      <c r="G201" s="10">
        <v>875</v>
      </c>
      <c r="H201" s="10">
        <v>7</v>
      </c>
      <c r="I201" s="10">
        <v>5</v>
      </c>
      <c r="J201" s="10">
        <v>834</v>
      </c>
      <c r="K201" s="10">
        <v>32729555.684272148</v>
      </c>
    </row>
    <row r="202" spans="1:11" x14ac:dyDescent="0.35">
      <c r="A202" s="9" t="s">
        <v>269</v>
      </c>
      <c r="B202" s="10">
        <v>919</v>
      </c>
      <c r="C202" s="10">
        <v>21</v>
      </c>
      <c r="D202" s="10">
        <v>9</v>
      </c>
      <c r="E202" s="10">
        <v>1178</v>
      </c>
      <c r="F202" s="10">
        <v>40273002.764293104</v>
      </c>
      <c r="G202" s="10">
        <v>878</v>
      </c>
      <c r="H202" s="10">
        <v>11</v>
      </c>
      <c r="I202" s="10">
        <v>10</v>
      </c>
      <c r="J202" s="10">
        <v>807</v>
      </c>
      <c r="K202" s="10">
        <v>39471722.478644401</v>
      </c>
    </row>
    <row r="203" spans="1:11" x14ac:dyDescent="0.35">
      <c r="A203" s="9" t="s">
        <v>270</v>
      </c>
      <c r="B203" s="10">
        <v>524</v>
      </c>
      <c r="C203" s="10">
        <v>6</v>
      </c>
      <c r="D203" s="10">
        <v>1</v>
      </c>
      <c r="E203" s="10">
        <v>423</v>
      </c>
      <c r="F203" s="10">
        <v>16452016.446205202</v>
      </c>
      <c r="G203" s="10">
        <v>536</v>
      </c>
      <c r="H203" s="10">
        <v>12</v>
      </c>
      <c r="I203" s="10">
        <v>1</v>
      </c>
      <c r="J203" s="10">
        <v>404</v>
      </c>
      <c r="K203" s="10">
        <v>16224456.070436044</v>
      </c>
    </row>
    <row r="204" spans="1:11" x14ac:dyDescent="0.35">
      <c r="A204" s="9" t="s">
        <v>271</v>
      </c>
      <c r="B204" s="10">
        <v>1004</v>
      </c>
      <c r="C204" s="10">
        <v>12</v>
      </c>
      <c r="D204" s="10">
        <v>11</v>
      </c>
      <c r="E204" s="10">
        <v>862</v>
      </c>
      <c r="F204" s="10">
        <v>44929623.50349348</v>
      </c>
      <c r="G204" s="10">
        <v>979</v>
      </c>
      <c r="H204" s="10">
        <v>12</v>
      </c>
      <c r="I204" s="10">
        <v>10</v>
      </c>
      <c r="J204" s="10">
        <v>973</v>
      </c>
      <c r="K204" s="10">
        <v>50741396.706238136</v>
      </c>
    </row>
    <row r="205" spans="1:11" x14ac:dyDescent="0.35">
      <c r="A205" s="9" t="s">
        <v>272</v>
      </c>
      <c r="B205" s="10">
        <v>623</v>
      </c>
      <c r="C205" s="10">
        <v>4</v>
      </c>
      <c r="D205" s="10">
        <v>5</v>
      </c>
      <c r="E205" s="10">
        <v>531</v>
      </c>
      <c r="F205" s="10">
        <v>23232950.143194441</v>
      </c>
      <c r="G205" s="10">
        <v>637</v>
      </c>
      <c r="H205" s="10">
        <v>8</v>
      </c>
      <c r="I205" s="10">
        <v>4</v>
      </c>
      <c r="J205" s="10">
        <v>544</v>
      </c>
      <c r="K205" s="10">
        <v>22255440.723299693</v>
      </c>
    </row>
    <row r="206" spans="1:11" x14ac:dyDescent="0.35">
      <c r="A206" s="9" t="s">
        <v>273</v>
      </c>
      <c r="B206" s="10">
        <v>674</v>
      </c>
      <c r="C206" s="10">
        <v>11</v>
      </c>
      <c r="D206" s="10">
        <v>2</v>
      </c>
      <c r="E206" s="10">
        <v>646</v>
      </c>
      <c r="F206" s="10">
        <v>22447523.306053065</v>
      </c>
      <c r="G206" s="10">
        <v>663</v>
      </c>
      <c r="H206" s="10">
        <v>10</v>
      </c>
      <c r="I206" s="10">
        <v>1</v>
      </c>
      <c r="J206" s="10">
        <v>466</v>
      </c>
      <c r="K206" s="10">
        <v>20203087.647132214</v>
      </c>
    </row>
    <row r="207" spans="1:11" x14ac:dyDescent="0.35">
      <c r="A207" s="9" t="s">
        <v>274</v>
      </c>
      <c r="B207" s="10">
        <v>421</v>
      </c>
      <c r="C207" s="10">
        <v>3</v>
      </c>
      <c r="D207" s="10">
        <v>1</v>
      </c>
      <c r="E207" s="10">
        <v>315</v>
      </c>
      <c r="F207" s="10">
        <v>12078411.897976022</v>
      </c>
      <c r="G207" s="10">
        <v>397</v>
      </c>
      <c r="H207" s="10">
        <v>3</v>
      </c>
      <c r="I207" s="10">
        <v>3</v>
      </c>
      <c r="J207" s="10">
        <v>402</v>
      </c>
      <c r="K207" s="10">
        <v>14009002.286539219</v>
      </c>
    </row>
    <row r="208" spans="1:11" x14ac:dyDescent="0.35">
      <c r="A208" s="9" t="s">
        <v>275</v>
      </c>
      <c r="B208" s="10">
        <v>1210</v>
      </c>
      <c r="C208" s="10">
        <v>27</v>
      </c>
      <c r="D208" s="10">
        <v>7</v>
      </c>
      <c r="E208" s="10">
        <v>1126</v>
      </c>
      <c r="F208" s="10">
        <v>54027471.543906122</v>
      </c>
      <c r="G208" s="10">
        <v>1165</v>
      </c>
      <c r="H208" s="10">
        <v>15</v>
      </c>
      <c r="I208" s="10">
        <v>6</v>
      </c>
      <c r="J208" s="10">
        <v>988</v>
      </c>
      <c r="K208" s="10">
        <v>48142937.260442406</v>
      </c>
    </row>
    <row r="209" spans="1:11" x14ac:dyDescent="0.35">
      <c r="A209" s="9" t="s">
        <v>276</v>
      </c>
      <c r="B209" s="10">
        <v>671</v>
      </c>
      <c r="C209" s="10">
        <v>12</v>
      </c>
      <c r="D209" s="10">
        <v>3</v>
      </c>
      <c r="E209" s="10">
        <v>580</v>
      </c>
      <c r="F209" s="10">
        <v>25166569.94153662</v>
      </c>
      <c r="G209" s="10">
        <v>718</v>
      </c>
      <c r="H209" s="10">
        <v>9</v>
      </c>
      <c r="I209" s="10">
        <v>3</v>
      </c>
      <c r="J209" s="10">
        <v>583</v>
      </c>
      <c r="K209" s="10">
        <v>31006364.329616375</v>
      </c>
    </row>
    <row r="210" spans="1:11" x14ac:dyDescent="0.35">
      <c r="A210" s="9" t="s">
        <v>277</v>
      </c>
      <c r="B210" s="10">
        <v>1050</v>
      </c>
      <c r="C210" s="10">
        <v>20</v>
      </c>
      <c r="D210" s="10">
        <v>8</v>
      </c>
      <c r="E210" s="10">
        <v>1001</v>
      </c>
      <c r="F210" s="10">
        <v>34631316.348730817</v>
      </c>
      <c r="G210" s="10">
        <v>1036</v>
      </c>
      <c r="H210" s="10">
        <v>24</v>
      </c>
      <c r="I210" s="10">
        <v>8</v>
      </c>
      <c r="J210" s="10">
        <v>959</v>
      </c>
      <c r="K210" s="10">
        <v>37314588.620167919</v>
      </c>
    </row>
    <row r="211" spans="1:11" x14ac:dyDescent="0.35">
      <c r="A211" s="9" t="s">
        <v>278</v>
      </c>
      <c r="B211" s="10">
        <v>431</v>
      </c>
      <c r="C211" s="10">
        <v>9</v>
      </c>
      <c r="D211" s="10">
        <v>2</v>
      </c>
      <c r="E211" s="10">
        <v>365</v>
      </c>
      <c r="F211" s="10">
        <v>18984318.842530627</v>
      </c>
      <c r="G211" s="10">
        <v>415</v>
      </c>
      <c r="H211" s="10">
        <v>8</v>
      </c>
      <c r="I211" s="10">
        <v>3</v>
      </c>
      <c r="J211" s="10">
        <v>312</v>
      </c>
      <c r="K211" s="10">
        <v>16911021.82899037</v>
      </c>
    </row>
    <row r="212" spans="1:11" x14ac:dyDescent="0.35">
      <c r="A212" s="9" t="s">
        <v>279</v>
      </c>
      <c r="B212" s="10">
        <v>1967</v>
      </c>
      <c r="C212" s="10">
        <v>294</v>
      </c>
      <c r="D212" s="10">
        <v>12</v>
      </c>
      <c r="E212" s="10">
        <v>1550</v>
      </c>
      <c r="F212" s="10">
        <v>57602892.598114379</v>
      </c>
      <c r="G212" s="10">
        <v>1878</v>
      </c>
      <c r="H212" s="10">
        <v>78</v>
      </c>
      <c r="I212" s="10">
        <v>12</v>
      </c>
      <c r="J212" s="10">
        <v>1782</v>
      </c>
      <c r="K212" s="10">
        <v>71201256.320106059</v>
      </c>
    </row>
    <row r="213" spans="1:11" x14ac:dyDescent="0.35">
      <c r="A213" s="9" t="s">
        <v>280</v>
      </c>
      <c r="B213" s="10">
        <v>1311</v>
      </c>
      <c r="C213" s="10">
        <v>12</v>
      </c>
      <c r="D213" s="10">
        <v>3</v>
      </c>
      <c r="E213" s="10">
        <v>1305</v>
      </c>
      <c r="F213" s="10">
        <v>42518602.006903477</v>
      </c>
      <c r="G213" s="10">
        <v>1269</v>
      </c>
      <c r="H213" s="10">
        <v>17</v>
      </c>
      <c r="I213" s="10">
        <v>3</v>
      </c>
      <c r="J213" s="10">
        <v>1124</v>
      </c>
      <c r="K213" s="10">
        <v>37817944.877834275</v>
      </c>
    </row>
    <row r="214" spans="1:11" x14ac:dyDescent="0.35">
      <c r="A214" s="9" t="s">
        <v>281</v>
      </c>
      <c r="B214" s="10">
        <v>966</v>
      </c>
      <c r="C214" s="10">
        <v>19</v>
      </c>
      <c r="D214" s="10">
        <v>8</v>
      </c>
      <c r="E214" s="10">
        <v>843</v>
      </c>
      <c r="F214" s="10">
        <v>37391824.756752431</v>
      </c>
      <c r="G214" s="10">
        <v>922</v>
      </c>
      <c r="H214" s="10">
        <v>19</v>
      </c>
      <c r="I214" s="10">
        <v>10</v>
      </c>
      <c r="J214" s="10">
        <v>927</v>
      </c>
      <c r="K214" s="10">
        <v>43073018.017031834</v>
      </c>
    </row>
    <row r="215" spans="1:11" x14ac:dyDescent="0.35">
      <c r="A215" s="9" t="s">
        <v>282</v>
      </c>
      <c r="B215" s="10">
        <v>791</v>
      </c>
      <c r="C215" s="10">
        <v>12</v>
      </c>
      <c r="D215" s="10">
        <v>1</v>
      </c>
      <c r="E215" s="10">
        <v>825</v>
      </c>
      <c r="F215" s="10">
        <v>30072459.523187481</v>
      </c>
      <c r="G215" s="10">
        <v>870</v>
      </c>
      <c r="H215" s="10">
        <v>11</v>
      </c>
      <c r="I215" s="10">
        <v>2</v>
      </c>
      <c r="J215" s="10">
        <v>939</v>
      </c>
      <c r="K215" s="10">
        <v>39145005.362544857</v>
      </c>
    </row>
    <row r="216" spans="1:11" x14ac:dyDescent="0.35">
      <c r="A216" s="9" t="s">
        <v>283</v>
      </c>
      <c r="B216" s="10">
        <v>1335</v>
      </c>
      <c r="C216" s="10">
        <v>26</v>
      </c>
      <c r="D216" s="10">
        <v>7</v>
      </c>
      <c r="E216" s="10">
        <v>1092</v>
      </c>
      <c r="F216" s="10">
        <v>44295607.244449891</v>
      </c>
      <c r="G216" s="10">
        <v>1219</v>
      </c>
      <c r="H216" s="10">
        <v>45</v>
      </c>
      <c r="I216" s="10">
        <v>7</v>
      </c>
      <c r="J216" s="10">
        <v>1009</v>
      </c>
      <c r="K216" s="10">
        <v>43675279.344124414</v>
      </c>
    </row>
    <row r="217" spans="1:11" x14ac:dyDescent="0.35">
      <c r="A217" s="9" t="s">
        <v>284</v>
      </c>
      <c r="B217" s="10">
        <v>721</v>
      </c>
      <c r="C217" s="10">
        <v>2</v>
      </c>
      <c r="D217" s="10">
        <v>2</v>
      </c>
      <c r="E217" s="10">
        <v>572</v>
      </c>
      <c r="F217" s="10">
        <v>33113482.50011526</v>
      </c>
      <c r="G217" s="10">
        <v>679</v>
      </c>
      <c r="H217" s="10">
        <v>9</v>
      </c>
      <c r="I217" s="10">
        <v>3</v>
      </c>
      <c r="J217" s="10">
        <v>516</v>
      </c>
      <c r="K217" s="10">
        <v>32936661.216283932</v>
      </c>
    </row>
    <row r="218" spans="1:11" x14ac:dyDescent="0.35">
      <c r="A218" s="9" t="s">
        <v>285</v>
      </c>
      <c r="B218" s="10">
        <v>621</v>
      </c>
      <c r="C218" s="10">
        <v>9</v>
      </c>
      <c r="D218" s="10">
        <v>5</v>
      </c>
      <c r="E218" s="10">
        <v>583</v>
      </c>
      <c r="F218" s="10">
        <v>25324263.563347291</v>
      </c>
      <c r="G218" s="10">
        <v>652</v>
      </c>
      <c r="H218" s="10">
        <v>4</v>
      </c>
      <c r="I218" s="10">
        <v>5</v>
      </c>
      <c r="J218" s="10">
        <v>483</v>
      </c>
      <c r="K218" s="10">
        <v>25877748.108802691</v>
      </c>
    </row>
    <row r="219" spans="1:11" x14ac:dyDescent="0.35">
      <c r="A219" s="9" t="s">
        <v>286</v>
      </c>
      <c r="B219" s="10">
        <v>1905</v>
      </c>
      <c r="C219" s="10">
        <v>49</v>
      </c>
      <c r="D219" s="10">
        <v>17</v>
      </c>
      <c r="E219" s="10">
        <v>1885</v>
      </c>
      <c r="F219" s="10">
        <v>79030761.288533285</v>
      </c>
      <c r="G219" s="10">
        <v>1929</v>
      </c>
      <c r="H219" s="10">
        <v>87</v>
      </c>
      <c r="I219" s="10">
        <v>18</v>
      </c>
      <c r="J219" s="10">
        <v>1959</v>
      </c>
      <c r="K219" s="10">
        <v>76467408.141001135</v>
      </c>
    </row>
    <row r="220" spans="1:11" x14ac:dyDescent="0.35">
      <c r="A220" s="9" t="s">
        <v>287</v>
      </c>
      <c r="B220" s="10">
        <v>681</v>
      </c>
      <c r="C220" s="10">
        <v>7</v>
      </c>
      <c r="D220" s="10">
        <v>8</v>
      </c>
      <c r="E220" s="10">
        <v>607</v>
      </c>
      <c r="F220" s="10">
        <v>29931254.916458108</v>
      </c>
      <c r="G220" s="10">
        <v>661</v>
      </c>
      <c r="H220" s="10">
        <v>8</v>
      </c>
      <c r="I220" s="10">
        <v>9</v>
      </c>
      <c r="J220" s="10">
        <v>567</v>
      </c>
      <c r="K220" s="10">
        <v>30267169.70999819</v>
      </c>
    </row>
    <row r="221" spans="1:11" x14ac:dyDescent="0.35">
      <c r="A221" s="9" t="s">
        <v>288</v>
      </c>
      <c r="B221" s="10">
        <v>405</v>
      </c>
      <c r="C221" s="10">
        <v>13</v>
      </c>
      <c r="D221" s="10">
        <v>2</v>
      </c>
      <c r="E221" s="10">
        <v>288</v>
      </c>
      <c r="F221" s="10">
        <v>8533342.255620148</v>
      </c>
      <c r="G221" s="10">
        <v>302</v>
      </c>
      <c r="H221" s="10">
        <v>4</v>
      </c>
      <c r="I221" s="10">
        <v>1</v>
      </c>
      <c r="J221" s="10">
        <v>266</v>
      </c>
      <c r="K221" s="10">
        <v>7912591.522958396</v>
      </c>
    </row>
    <row r="222" spans="1:11" x14ac:dyDescent="0.35">
      <c r="A222" s="9" t="s">
        <v>289</v>
      </c>
      <c r="B222" s="10">
        <v>649</v>
      </c>
      <c r="C222" s="10">
        <v>15</v>
      </c>
      <c r="D222" s="10">
        <v>8</v>
      </c>
      <c r="E222" s="10">
        <v>534</v>
      </c>
      <c r="F222" s="10">
        <v>25962948.974016972</v>
      </c>
      <c r="G222" s="10">
        <v>639</v>
      </c>
      <c r="H222" s="10">
        <v>7</v>
      </c>
      <c r="I222" s="10">
        <v>8</v>
      </c>
      <c r="J222" s="10">
        <v>480</v>
      </c>
      <c r="K222" s="10">
        <v>25194818.81201788</v>
      </c>
    </row>
    <row r="223" spans="1:11" x14ac:dyDescent="0.35">
      <c r="A223" s="9" t="s">
        <v>290</v>
      </c>
      <c r="B223" s="10">
        <v>889</v>
      </c>
      <c r="C223" s="10">
        <v>12</v>
      </c>
      <c r="D223" s="10">
        <v>13</v>
      </c>
      <c r="E223" s="10">
        <v>730</v>
      </c>
      <c r="F223" s="10">
        <v>31245165.161086187</v>
      </c>
      <c r="G223" s="10">
        <v>836</v>
      </c>
      <c r="H223" s="10">
        <v>23</v>
      </c>
      <c r="I223" s="10">
        <v>14</v>
      </c>
      <c r="J223" s="10">
        <v>682</v>
      </c>
      <c r="K223" s="10">
        <v>30092695.241614938</v>
      </c>
    </row>
    <row r="224" spans="1:11" x14ac:dyDescent="0.35">
      <c r="A224" s="9" t="s">
        <v>291</v>
      </c>
      <c r="B224" s="10">
        <v>1606</v>
      </c>
      <c r="C224" s="10">
        <v>25</v>
      </c>
      <c r="D224" s="10">
        <v>7</v>
      </c>
      <c r="E224" s="10">
        <v>1407</v>
      </c>
      <c r="F224" s="10">
        <v>50727700.194544747</v>
      </c>
      <c r="G224" s="10">
        <v>1478</v>
      </c>
      <c r="H224" s="10">
        <v>20</v>
      </c>
      <c r="I224" s="10">
        <v>7</v>
      </c>
      <c r="J224" s="10">
        <v>1448</v>
      </c>
      <c r="K224" s="10">
        <v>51646799.886872828</v>
      </c>
    </row>
    <row r="225" spans="1:11" x14ac:dyDescent="0.35">
      <c r="A225" s="9" t="s">
        <v>292</v>
      </c>
      <c r="B225" s="10">
        <v>642</v>
      </c>
      <c r="C225" s="10">
        <v>9</v>
      </c>
      <c r="D225" s="10">
        <v>8</v>
      </c>
      <c r="E225" s="10">
        <v>705</v>
      </c>
      <c r="F225" s="10">
        <v>18657365.546589401</v>
      </c>
      <c r="G225" s="10">
        <v>603</v>
      </c>
      <c r="H225" s="10">
        <v>10</v>
      </c>
      <c r="I225" s="10">
        <v>8</v>
      </c>
      <c r="J225" s="10">
        <v>700</v>
      </c>
      <c r="K225" s="10">
        <v>20647857.956798933</v>
      </c>
    </row>
    <row r="226" spans="1:11" x14ac:dyDescent="0.35">
      <c r="A226" s="9" t="s">
        <v>293</v>
      </c>
      <c r="B226" s="10">
        <v>723</v>
      </c>
      <c r="C226" s="10">
        <v>13</v>
      </c>
      <c r="D226" s="10">
        <v>3</v>
      </c>
      <c r="E226" s="10">
        <v>705</v>
      </c>
      <c r="F226" s="10">
        <v>16677677.020570189</v>
      </c>
      <c r="G226" s="10">
        <v>708</v>
      </c>
      <c r="H226" s="10">
        <v>7</v>
      </c>
      <c r="I226" s="10">
        <v>4</v>
      </c>
      <c r="J226" s="10">
        <v>738</v>
      </c>
      <c r="K226" s="10">
        <v>19228294.410609867</v>
      </c>
    </row>
    <row r="227" spans="1:11" x14ac:dyDescent="0.35">
      <c r="A227" s="9" t="s">
        <v>294</v>
      </c>
      <c r="B227" s="10">
        <v>889</v>
      </c>
      <c r="C227" s="10">
        <v>21</v>
      </c>
      <c r="D227" s="10">
        <v>3</v>
      </c>
      <c r="E227" s="10">
        <v>797</v>
      </c>
      <c r="F227" s="10">
        <v>26245469.530025121</v>
      </c>
      <c r="G227" s="10">
        <v>873</v>
      </c>
      <c r="H227" s="10">
        <v>15</v>
      </c>
      <c r="I227" s="10">
        <v>5</v>
      </c>
      <c r="J227" s="10">
        <v>924</v>
      </c>
      <c r="K227" s="10">
        <v>32190298.890592135</v>
      </c>
    </row>
    <row r="228" spans="1:11" x14ac:dyDescent="0.35">
      <c r="A228" s="9" t="s">
        <v>295</v>
      </c>
      <c r="B228" s="10">
        <v>932</v>
      </c>
      <c r="C228" s="10">
        <v>12</v>
      </c>
      <c r="D228" s="10">
        <v>3</v>
      </c>
      <c r="E228" s="10">
        <v>863</v>
      </c>
      <c r="F228" s="10">
        <v>29744922.017459415</v>
      </c>
      <c r="G228" s="10">
        <v>881</v>
      </c>
      <c r="H228" s="10">
        <v>3</v>
      </c>
      <c r="I228" s="10">
        <v>3</v>
      </c>
      <c r="J228" s="10">
        <v>640</v>
      </c>
      <c r="K228" s="10">
        <v>25746187.814676221</v>
      </c>
    </row>
    <row r="229" spans="1:11" x14ac:dyDescent="0.35">
      <c r="A229" s="9" t="s">
        <v>296</v>
      </c>
      <c r="B229" s="10">
        <v>784</v>
      </c>
      <c r="C229" s="10">
        <v>9</v>
      </c>
      <c r="D229" s="10">
        <v>3</v>
      </c>
      <c r="E229" s="10">
        <v>554</v>
      </c>
      <c r="F229" s="10">
        <v>34458852.856051996</v>
      </c>
      <c r="G229" s="10">
        <v>706</v>
      </c>
      <c r="H229" s="10">
        <v>2</v>
      </c>
      <c r="I229" s="10">
        <v>7</v>
      </c>
      <c r="J229" s="10">
        <v>525</v>
      </c>
      <c r="K229" s="10">
        <v>35450077.779061876</v>
      </c>
    </row>
    <row r="230" spans="1:11" x14ac:dyDescent="0.35">
      <c r="A230" s="9" t="s">
        <v>297</v>
      </c>
      <c r="B230" s="10">
        <v>1148</v>
      </c>
      <c r="C230" s="10">
        <v>11</v>
      </c>
      <c r="D230" s="10">
        <v>5</v>
      </c>
      <c r="E230" s="10">
        <v>947</v>
      </c>
      <c r="F230" s="10">
        <v>34635787.673240319</v>
      </c>
      <c r="G230" s="10">
        <v>1119</v>
      </c>
      <c r="H230" s="10">
        <v>4</v>
      </c>
      <c r="I230" s="10">
        <v>5</v>
      </c>
      <c r="J230" s="10">
        <v>994</v>
      </c>
      <c r="K230" s="10">
        <v>34351127.148130134</v>
      </c>
    </row>
    <row r="231" spans="1:11" x14ac:dyDescent="0.35">
      <c r="A231" s="9" t="s">
        <v>298</v>
      </c>
      <c r="B231" s="10">
        <v>725</v>
      </c>
      <c r="C231" s="10">
        <v>9</v>
      </c>
      <c r="D231" s="10">
        <v>2</v>
      </c>
      <c r="E231" s="10">
        <v>598</v>
      </c>
      <c r="F231" s="10">
        <v>12647084.037070798</v>
      </c>
      <c r="G231" s="10">
        <v>691</v>
      </c>
      <c r="H231" s="10">
        <v>7</v>
      </c>
      <c r="I231" s="10">
        <v>2</v>
      </c>
      <c r="J231" s="10">
        <v>595</v>
      </c>
      <c r="K231" s="10">
        <v>12857155.4630324</v>
      </c>
    </row>
    <row r="232" spans="1:11" x14ac:dyDescent="0.35">
      <c r="A232" s="9" t="s">
        <v>299</v>
      </c>
      <c r="B232" s="10">
        <v>487</v>
      </c>
      <c r="C232" s="10">
        <v>11</v>
      </c>
      <c r="D232" s="10">
        <v>1</v>
      </c>
      <c r="E232" s="10">
        <v>586</v>
      </c>
      <c r="F232" s="10">
        <v>15727198.80252043</v>
      </c>
      <c r="G232" s="10">
        <v>514</v>
      </c>
      <c r="H232" s="10">
        <v>9</v>
      </c>
      <c r="I232" s="10">
        <v>0</v>
      </c>
      <c r="J232" s="10">
        <v>613</v>
      </c>
      <c r="K232" s="10">
        <v>20670712.171973318</v>
      </c>
    </row>
    <row r="233" spans="1:11" x14ac:dyDescent="0.35">
      <c r="A233" s="9" t="s">
        <v>300</v>
      </c>
      <c r="B233" s="10">
        <v>735</v>
      </c>
      <c r="C233" s="10">
        <v>9</v>
      </c>
      <c r="D233" s="10">
        <v>2</v>
      </c>
      <c r="E233" s="10">
        <v>661</v>
      </c>
      <c r="F233" s="10">
        <v>23154374.962480396</v>
      </c>
      <c r="G233" s="10">
        <v>722</v>
      </c>
      <c r="H233" s="10">
        <v>9</v>
      </c>
      <c r="I233" s="10">
        <v>2</v>
      </c>
      <c r="J233" s="10">
        <v>644</v>
      </c>
      <c r="K233" s="10">
        <v>26542815.192781858</v>
      </c>
    </row>
    <row r="234" spans="1:11" x14ac:dyDescent="0.35">
      <c r="A234" s="9" t="s">
        <v>301</v>
      </c>
      <c r="B234" s="10">
        <v>332</v>
      </c>
      <c r="C234" s="10">
        <v>1</v>
      </c>
      <c r="D234" s="10">
        <v>0</v>
      </c>
      <c r="E234" s="10">
        <v>50</v>
      </c>
      <c r="F234" s="10">
        <v>6476955.4022132372</v>
      </c>
      <c r="G234" s="10">
        <v>216</v>
      </c>
      <c r="H234" s="10">
        <v>1</v>
      </c>
      <c r="I234" s="10">
        <v>2</v>
      </c>
      <c r="J234" s="10">
        <v>5</v>
      </c>
      <c r="K234" s="10">
        <v>1044571.035316622</v>
      </c>
    </row>
    <row r="235" spans="1:11" x14ac:dyDescent="0.35">
      <c r="A235" s="9" t="s">
        <v>302</v>
      </c>
      <c r="B235" s="10">
        <v>2457</v>
      </c>
      <c r="C235" s="10">
        <v>43</v>
      </c>
      <c r="D235" s="10">
        <v>10</v>
      </c>
      <c r="E235" s="10">
        <v>2498</v>
      </c>
      <c r="F235" s="10">
        <v>76247323.000858814</v>
      </c>
      <c r="G235" s="10">
        <v>2363</v>
      </c>
      <c r="H235" s="10">
        <v>25</v>
      </c>
      <c r="I235" s="10">
        <v>9</v>
      </c>
      <c r="J235" s="10">
        <v>2139</v>
      </c>
      <c r="K235" s="10">
        <v>88918291.548461691</v>
      </c>
    </row>
    <row r="236" spans="1:11" x14ac:dyDescent="0.35">
      <c r="A236" s="9" t="s">
        <v>303</v>
      </c>
      <c r="B236" s="10">
        <v>1142</v>
      </c>
      <c r="C236" s="10">
        <v>10</v>
      </c>
      <c r="D236" s="10">
        <v>2</v>
      </c>
      <c r="E236" s="10">
        <v>817</v>
      </c>
      <c r="F236" s="10">
        <v>40066561.301335827</v>
      </c>
      <c r="G236" s="10">
        <v>1056</v>
      </c>
      <c r="H236" s="10">
        <v>11</v>
      </c>
      <c r="I236" s="10">
        <v>3</v>
      </c>
      <c r="J236" s="10">
        <v>988</v>
      </c>
      <c r="K236" s="10">
        <v>41474484.044832915</v>
      </c>
    </row>
    <row r="237" spans="1:11" x14ac:dyDescent="0.35">
      <c r="A237" s="9" t="s">
        <v>304</v>
      </c>
      <c r="B237" s="10">
        <v>490</v>
      </c>
      <c r="C237" s="10">
        <v>5</v>
      </c>
      <c r="D237" s="10">
        <v>3</v>
      </c>
      <c r="E237" s="10">
        <v>469</v>
      </c>
      <c r="F237" s="10">
        <v>11076795.663971651</v>
      </c>
      <c r="G237" s="10">
        <v>534</v>
      </c>
      <c r="H237" s="10">
        <v>5</v>
      </c>
      <c r="I237" s="10">
        <v>3</v>
      </c>
      <c r="J237" s="10">
        <v>472</v>
      </c>
      <c r="K237" s="10">
        <v>16118224.627176125</v>
      </c>
    </row>
    <row r="238" spans="1:11" x14ac:dyDescent="0.35">
      <c r="A238" s="9" t="s">
        <v>305</v>
      </c>
      <c r="B238" s="10">
        <v>918</v>
      </c>
      <c r="C238" s="10">
        <v>8</v>
      </c>
      <c r="D238" s="10">
        <v>3</v>
      </c>
      <c r="E238" s="10">
        <v>876</v>
      </c>
      <c r="F238" s="10">
        <v>22757316.588332646</v>
      </c>
      <c r="G238" s="10">
        <v>909</v>
      </c>
      <c r="H238" s="10">
        <v>10</v>
      </c>
      <c r="I238" s="10">
        <v>5</v>
      </c>
      <c r="J238" s="10">
        <v>709</v>
      </c>
      <c r="K238" s="10">
        <v>19722924.956777517</v>
      </c>
    </row>
    <row r="239" spans="1:11" x14ac:dyDescent="0.35">
      <c r="A239" s="9" t="s">
        <v>306</v>
      </c>
      <c r="B239" s="10">
        <v>913</v>
      </c>
      <c r="C239" s="10">
        <v>12</v>
      </c>
      <c r="D239" s="10">
        <v>4</v>
      </c>
      <c r="E239" s="10">
        <v>816</v>
      </c>
      <c r="F239" s="10">
        <v>31841753.514173593</v>
      </c>
      <c r="G239" s="10">
        <v>875</v>
      </c>
      <c r="H239" s="10">
        <v>10</v>
      </c>
      <c r="I239" s="10">
        <v>3</v>
      </c>
      <c r="J239" s="10">
        <v>856</v>
      </c>
      <c r="K239" s="10">
        <v>28871359.025036044</v>
      </c>
    </row>
    <row r="240" spans="1:11" x14ac:dyDescent="0.35">
      <c r="A240" s="9" t="s">
        <v>307</v>
      </c>
      <c r="B240" s="10">
        <v>2229</v>
      </c>
      <c r="C240" s="10">
        <v>31</v>
      </c>
      <c r="D240" s="10">
        <v>5</v>
      </c>
      <c r="E240" s="10">
        <v>1617</v>
      </c>
      <c r="F240" s="10">
        <v>62074619.554697484</v>
      </c>
      <c r="G240" s="10">
        <v>2062</v>
      </c>
      <c r="H240" s="10">
        <v>23</v>
      </c>
      <c r="I240" s="10">
        <v>5</v>
      </c>
      <c r="J240" s="10">
        <v>1994</v>
      </c>
      <c r="K240" s="10">
        <v>69694004.103352502</v>
      </c>
    </row>
    <row r="241" spans="1:11" x14ac:dyDescent="0.35">
      <c r="A241" s="9" t="s">
        <v>308</v>
      </c>
      <c r="B241" s="10">
        <v>171</v>
      </c>
      <c r="C241" s="10">
        <v>4</v>
      </c>
      <c r="D241" s="10">
        <v>0</v>
      </c>
      <c r="E241" s="10">
        <v>167</v>
      </c>
      <c r="F241" s="10">
        <v>4103376.470591126</v>
      </c>
      <c r="G241" s="10">
        <v>176</v>
      </c>
      <c r="H241" s="10">
        <v>1</v>
      </c>
      <c r="I241" s="10">
        <v>1</v>
      </c>
      <c r="J241" s="10">
        <v>249</v>
      </c>
      <c r="K241" s="10">
        <v>4536835.6476129591</v>
      </c>
    </row>
    <row r="242" spans="1:11" x14ac:dyDescent="0.35">
      <c r="A242" s="9" t="s">
        <v>309</v>
      </c>
      <c r="B242" s="10">
        <v>663</v>
      </c>
      <c r="C242" s="10">
        <v>11</v>
      </c>
      <c r="D242" s="10">
        <v>6</v>
      </c>
      <c r="E242" s="10">
        <v>626</v>
      </c>
      <c r="F242" s="10">
        <v>16937956.155231871</v>
      </c>
      <c r="G242" s="10">
        <v>716</v>
      </c>
      <c r="H242" s="10">
        <v>12</v>
      </c>
      <c r="I242" s="10">
        <v>6</v>
      </c>
      <c r="J242" s="10">
        <v>648</v>
      </c>
      <c r="K242" s="10">
        <v>20726864.035545606</v>
      </c>
    </row>
    <row r="243" spans="1:11" x14ac:dyDescent="0.35">
      <c r="A243" s="9" t="s">
        <v>310</v>
      </c>
      <c r="B243" s="10">
        <v>610</v>
      </c>
      <c r="C243" s="10">
        <v>17</v>
      </c>
      <c r="D243" s="10">
        <v>1</v>
      </c>
      <c r="E243" s="10">
        <v>546</v>
      </c>
      <c r="F243" s="10">
        <v>16921117.09022544</v>
      </c>
      <c r="G243" s="10">
        <v>609</v>
      </c>
      <c r="H243" s="10">
        <v>7</v>
      </c>
      <c r="I243" s="10">
        <v>1</v>
      </c>
      <c r="J243" s="10">
        <v>437</v>
      </c>
      <c r="K243" s="10">
        <v>16157070.560725005</v>
      </c>
    </row>
    <row r="244" spans="1:11" x14ac:dyDescent="0.35">
      <c r="A244" s="9" t="s">
        <v>311</v>
      </c>
      <c r="B244" s="10">
        <v>870</v>
      </c>
      <c r="C244" s="10">
        <v>11</v>
      </c>
      <c r="D244" s="10">
        <v>3</v>
      </c>
      <c r="E244" s="10">
        <v>868</v>
      </c>
      <c r="F244" s="10">
        <v>28772048.343419272</v>
      </c>
      <c r="G244" s="10">
        <v>885</v>
      </c>
      <c r="H244" s="10">
        <v>5</v>
      </c>
      <c r="I244" s="10">
        <v>4</v>
      </c>
      <c r="J244" s="10">
        <v>885</v>
      </c>
      <c r="K244" s="10">
        <v>29061363.037901193</v>
      </c>
    </row>
    <row r="245" spans="1:11" x14ac:dyDescent="0.35">
      <c r="A245" s="9" t="s">
        <v>312</v>
      </c>
      <c r="B245" s="10">
        <v>442</v>
      </c>
      <c r="C245" s="10">
        <v>5</v>
      </c>
      <c r="D245" s="10">
        <v>1</v>
      </c>
      <c r="E245" s="10">
        <v>431</v>
      </c>
      <c r="F245" s="10">
        <v>17717421.581719484</v>
      </c>
      <c r="G245" s="10">
        <v>440</v>
      </c>
      <c r="H245" s="10">
        <v>6</v>
      </c>
      <c r="I245" s="10">
        <v>0</v>
      </c>
      <c r="J245" s="10">
        <v>340</v>
      </c>
      <c r="K245" s="10">
        <v>17479450.249028269</v>
      </c>
    </row>
    <row r="246" spans="1:11" x14ac:dyDescent="0.35">
      <c r="A246" s="9" t="s">
        <v>313</v>
      </c>
      <c r="B246" s="10">
        <v>1039</v>
      </c>
      <c r="C246" s="10">
        <v>7</v>
      </c>
      <c r="D246" s="10">
        <v>3</v>
      </c>
      <c r="E246" s="10">
        <v>1018</v>
      </c>
      <c r="F246" s="10">
        <v>21205143.892488487</v>
      </c>
      <c r="G246" s="10">
        <v>1017</v>
      </c>
      <c r="H246" s="10">
        <v>7</v>
      </c>
      <c r="I246" s="10">
        <v>4</v>
      </c>
      <c r="J246" s="10">
        <v>845</v>
      </c>
      <c r="K246" s="10">
        <v>19978639.01265708</v>
      </c>
    </row>
    <row r="247" spans="1:11" x14ac:dyDescent="0.35">
      <c r="A247" s="9" t="s">
        <v>314</v>
      </c>
      <c r="B247" s="10">
        <v>1407</v>
      </c>
      <c r="C247" s="10">
        <v>20</v>
      </c>
      <c r="D247" s="10">
        <v>4</v>
      </c>
      <c r="E247" s="10">
        <v>1384</v>
      </c>
      <c r="F247" s="10">
        <v>29369638.871757321</v>
      </c>
      <c r="G247" s="10">
        <v>1472</v>
      </c>
      <c r="H247" s="10">
        <v>15</v>
      </c>
      <c r="I247" s="10">
        <v>6</v>
      </c>
      <c r="J247" s="10">
        <v>1503</v>
      </c>
      <c r="K247" s="10">
        <v>28780703.978470709</v>
      </c>
    </row>
    <row r="248" spans="1:11" x14ac:dyDescent="0.35">
      <c r="A248" s="9" t="s">
        <v>315</v>
      </c>
      <c r="B248" s="10">
        <v>1100</v>
      </c>
      <c r="C248" s="10">
        <v>7</v>
      </c>
      <c r="D248" s="10">
        <v>3</v>
      </c>
      <c r="E248" s="10">
        <v>878</v>
      </c>
      <c r="F248" s="10">
        <v>31261738.176377829</v>
      </c>
      <c r="G248" s="10">
        <v>1124</v>
      </c>
      <c r="H248" s="10">
        <v>12</v>
      </c>
      <c r="I248" s="10">
        <v>6</v>
      </c>
      <c r="J248" s="10">
        <v>972</v>
      </c>
      <c r="K248" s="10">
        <v>39748875.301565923</v>
      </c>
    </row>
    <row r="249" spans="1:11" x14ac:dyDescent="0.35">
      <c r="A249" s="9" t="s">
        <v>316</v>
      </c>
      <c r="B249" s="10">
        <v>613</v>
      </c>
      <c r="C249" s="10">
        <v>12</v>
      </c>
      <c r="D249" s="10">
        <v>3</v>
      </c>
      <c r="E249" s="10">
        <v>550</v>
      </c>
      <c r="F249" s="10">
        <v>17744737.917296886</v>
      </c>
      <c r="G249" s="10">
        <v>576</v>
      </c>
      <c r="H249" s="10">
        <v>5</v>
      </c>
      <c r="I249" s="10">
        <v>3</v>
      </c>
      <c r="J249" s="10">
        <v>531</v>
      </c>
      <c r="K249" s="10">
        <v>18883980.640529737</v>
      </c>
    </row>
    <row r="250" spans="1:11" x14ac:dyDescent="0.35">
      <c r="A250" s="9" t="s">
        <v>317</v>
      </c>
      <c r="B250" s="10">
        <v>894</v>
      </c>
      <c r="C250" s="10">
        <v>14</v>
      </c>
      <c r="D250" s="10">
        <v>3</v>
      </c>
      <c r="E250" s="10">
        <v>712</v>
      </c>
      <c r="F250" s="10">
        <v>28719797.62246564</v>
      </c>
      <c r="G250" s="10">
        <v>871</v>
      </c>
      <c r="H250" s="10">
        <v>8</v>
      </c>
      <c r="I250" s="10">
        <v>3</v>
      </c>
      <c r="J250" s="10">
        <v>714</v>
      </c>
      <c r="K250" s="10">
        <v>30896447.331019666</v>
      </c>
    </row>
    <row r="251" spans="1:11" x14ac:dyDescent="0.35">
      <c r="A251" s="9" t="s">
        <v>318</v>
      </c>
      <c r="B251" s="10">
        <v>1172</v>
      </c>
      <c r="C251" s="10">
        <v>22</v>
      </c>
      <c r="D251" s="10">
        <v>0</v>
      </c>
      <c r="E251" s="10">
        <v>1050</v>
      </c>
      <c r="F251" s="10">
        <v>34460547.41982314</v>
      </c>
      <c r="G251" s="10">
        <v>1130</v>
      </c>
      <c r="H251" s="10">
        <v>10</v>
      </c>
      <c r="I251" s="10">
        <v>1</v>
      </c>
      <c r="J251" s="10">
        <v>1034</v>
      </c>
      <c r="K251" s="10">
        <v>31098271.791609589</v>
      </c>
    </row>
    <row r="252" spans="1:11" x14ac:dyDescent="0.35">
      <c r="A252" s="9" t="s">
        <v>319</v>
      </c>
      <c r="B252" s="10">
        <v>944</v>
      </c>
      <c r="C252" s="10">
        <v>9</v>
      </c>
      <c r="D252" s="10">
        <v>4</v>
      </c>
      <c r="E252" s="10">
        <v>814</v>
      </c>
      <c r="F252" s="10">
        <v>21243777.092014715</v>
      </c>
      <c r="G252" s="10">
        <v>944</v>
      </c>
      <c r="H252" s="10">
        <v>11</v>
      </c>
      <c r="I252" s="10">
        <v>5</v>
      </c>
      <c r="J252" s="10">
        <v>756</v>
      </c>
      <c r="K252" s="10">
        <v>21861440.959362179</v>
      </c>
    </row>
    <row r="253" spans="1:11" x14ac:dyDescent="0.35">
      <c r="A253" s="9" t="s">
        <v>320</v>
      </c>
      <c r="B253" s="10">
        <v>668</v>
      </c>
      <c r="C253" s="10">
        <v>4</v>
      </c>
      <c r="D253" s="10">
        <v>5</v>
      </c>
      <c r="E253" s="10">
        <v>678</v>
      </c>
      <c r="F253" s="10">
        <v>18194903.610498622</v>
      </c>
      <c r="G253" s="10">
        <v>631</v>
      </c>
      <c r="H253" s="10">
        <v>3</v>
      </c>
      <c r="I253" s="10">
        <v>4</v>
      </c>
      <c r="J253" s="10">
        <v>790</v>
      </c>
      <c r="K253" s="10">
        <v>17654919.688907113</v>
      </c>
    </row>
    <row r="254" spans="1:11" x14ac:dyDescent="0.35">
      <c r="A254" s="9" t="s">
        <v>321</v>
      </c>
      <c r="B254" s="10">
        <v>978</v>
      </c>
      <c r="C254" s="10">
        <v>56</v>
      </c>
      <c r="D254" s="10">
        <v>8</v>
      </c>
      <c r="E254" s="10">
        <v>932</v>
      </c>
      <c r="F254" s="10">
        <v>28138103.693104126</v>
      </c>
      <c r="G254" s="10">
        <v>867</v>
      </c>
      <c r="H254" s="10">
        <v>6</v>
      </c>
      <c r="I254" s="10">
        <v>6</v>
      </c>
      <c r="J254" s="10">
        <v>927</v>
      </c>
      <c r="K254" s="10">
        <v>25636866.183664322</v>
      </c>
    </row>
    <row r="255" spans="1:11" x14ac:dyDescent="0.35">
      <c r="A255" s="9" t="s">
        <v>322</v>
      </c>
      <c r="B255" s="10">
        <v>1338</v>
      </c>
      <c r="C255" s="10">
        <v>19</v>
      </c>
      <c r="D255" s="10">
        <v>7</v>
      </c>
      <c r="E255" s="10">
        <v>1111</v>
      </c>
      <c r="F255" s="10">
        <v>33550983.237535849</v>
      </c>
      <c r="G255" s="10">
        <v>1861</v>
      </c>
      <c r="H255" s="10">
        <v>21</v>
      </c>
      <c r="I255" s="10">
        <v>7</v>
      </c>
      <c r="J255" s="10">
        <v>1096</v>
      </c>
      <c r="K255" s="10">
        <v>34732912.101504266</v>
      </c>
    </row>
    <row r="256" spans="1:11" x14ac:dyDescent="0.35">
      <c r="A256" s="9" t="s">
        <v>323</v>
      </c>
      <c r="B256" s="10">
        <v>1127</v>
      </c>
      <c r="C256" s="10">
        <v>13</v>
      </c>
      <c r="D256" s="10">
        <v>7</v>
      </c>
      <c r="E256" s="10">
        <v>928</v>
      </c>
      <c r="F256" s="10">
        <v>28299052.659651287</v>
      </c>
      <c r="G256" s="10">
        <v>1104</v>
      </c>
      <c r="H256" s="10">
        <v>12</v>
      </c>
      <c r="I256" s="10">
        <v>6</v>
      </c>
      <c r="J256" s="10">
        <v>976</v>
      </c>
      <c r="K256" s="10">
        <v>30771929.140627354</v>
      </c>
    </row>
    <row r="257" spans="1:11" x14ac:dyDescent="0.35">
      <c r="A257" s="9" t="s">
        <v>324</v>
      </c>
      <c r="B257" s="10">
        <v>915</v>
      </c>
      <c r="C257" s="10">
        <v>10</v>
      </c>
      <c r="D257" s="10">
        <v>5</v>
      </c>
      <c r="E257" s="10">
        <v>832</v>
      </c>
      <c r="F257" s="10">
        <v>28331741.306093514</v>
      </c>
      <c r="G257" s="10">
        <v>884</v>
      </c>
      <c r="H257" s="10">
        <v>8</v>
      </c>
      <c r="I257" s="10">
        <v>7</v>
      </c>
      <c r="J257" s="10">
        <v>732</v>
      </c>
      <c r="K257" s="10">
        <v>29381386.942854315</v>
      </c>
    </row>
    <row r="258" spans="1:11" x14ac:dyDescent="0.35">
      <c r="A258" s="9" t="s">
        <v>325</v>
      </c>
      <c r="B258" s="10">
        <v>1091</v>
      </c>
      <c r="C258" s="10">
        <v>13</v>
      </c>
      <c r="D258" s="10">
        <v>5</v>
      </c>
      <c r="E258" s="10">
        <v>955</v>
      </c>
      <c r="F258" s="10">
        <v>30269354.935965277</v>
      </c>
      <c r="G258" s="10">
        <v>1109</v>
      </c>
      <c r="H258" s="10">
        <v>21</v>
      </c>
      <c r="I258" s="10">
        <v>6</v>
      </c>
      <c r="J258" s="10">
        <v>991</v>
      </c>
      <c r="K258" s="10">
        <v>35755793.827049181</v>
      </c>
    </row>
    <row r="259" spans="1:11" x14ac:dyDescent="0.35">
      <c r="A259" s="9" t="s">
        <v>326</v>
      </c>
      <c r="B259" s="10">
        <v>914</v>
      </c>
      <c r="C259" s="10">
        <v>9</v>
      </c>
      <c r="D259" s="10">
        <v>2</v>
      </c>
      <c r="E259" s="10">
        <v>860</v>
      </c>
      <c r="F259" s="10">
        <v>16818399.945968643</v>
      </c>
      <c r="G259" s="10">
        <v>862</v>
      </c>
      <c r="H259" s="10">
        <v>4</v>
      </c>
      <c r="I259" s="10">
        <v>3</v>
      </c>
      <c r="J259" s="10">
        <v>769</v>
      </c>
      <c r="K259" s="10">
        <v>15743823.852057796</v>
      </c>
    </row>
    <row r="260" spans="1:11" x14ac:dyDescent="0.35">
      <c r="A260" s="9" t="s">
        <v>327</v>
      </c>
      <c r="B260" s="10">
        <v>902</v>
      </c>
      <c r="C260" s="10">
        <v>11</v>
      </c>
      <c r="D260" s="10">
        <v>1</v>
      </c>
      <c r="E260" s="10">
        <v>693</v>
      </c>
      <c r="F260" s="10">
        <v>25051627.559597753</v>
      </c>
      <c r="G260" s="10">
        <v>857</v>
      </c>
      <c r="H260" s="10">
        <v>7</v>
      </c>
      <c r="I260" s="10">
        <v>1</v>
      </c>
      <c r="J260" s="10">
        <v>669</v>
      </c>
      <c r="K260" s="10">
        <v>18760560.726951871</v>
      </c>
    </row>
    <row r="261" spans="1:11" x14ac:dyDescent="0.35">
      <c r="A261" s="9" t="s">
        <v>328</v>
      </c>
      <c r="B261" s="10">
        <v>1730</v>
      </c>
      <c r="C261" s="10">
        <v>29</v>
      </c>
      <c r="D261" s="10">
        <v>8</v>
      </c>
      <c r="E261" s="10">
        <v>1687</v>
      </c>
      <c r="F261" s="10">
        <v>46148813.701145992</v>
      </c>
      <c r="G261" s="10">
        <v>1668</v>
      </c>
      <c r="H261" s="10">
        <v>24</v>
      </c>
      <c r="I261" s="10">
        <v>6</v>
      </c>
      <c r="J261" s="10">
        <v>1640</v>
      </c>
      <c r="K261" s="10">
        <v>45912969.354326233</v>
      </c>
    </row>
    <row r="262" spans="1:11" x14ac:dyDescent="0.35">
      <c r="A262" s="9" t="s">
        <v>329</v>
      </c>
      <c r="B262" s="10">
        <v>2127</v>
      </c>
      <c r="C262" s="10">
        <v>36</v>
      </c>
      <c r="D262" s="10">
        <v>14</v>
      </c>
      <c r="E262" s="10">
        <v>2051</v>
      </c>
      <c r="F262" s="10">
        <v>66950739.766690537</v>
      </c>
      <c r="G262" s="10">
        <v>2111</v>
      </c>
      <c r="H262" s="10">
        <v>30</v>
      </c>
      <c r="I262" s="10">
        <v>14</v>
      </c>
      <c r="J262" s="10">
        <v>2244</v>
      </c>
      <c r="K262" s="10">
        <v>75261024.045860171</v>
      </c>
    </row>
    <row r="263" spans="1:11" x14ac:dyDescent="0.35">
      <c r="A263" s="9" t="s">
        <v>330</v>
      </c>
      <c r="B263" s="10">
        <v>1217</v>
      </c>
      <c r="C263" s="10">
        <v>15</v>
      </c>
      <c r="D263" s="10">
        <v>5</v>
      </c>
      <c r="E263" s="10">
        <v>939</v>
      </c>
      <c r="F263" s="10">
        <v>40016246.64691335</v>
      </c>
      <c r="G263" s="10">
        <v>1169</v>
      </c>
      <c r="H263" s="10">
        <v>19</v>
      </c>
      <c r="I263" s="10">
        <v>4</v>
      </c>
      <c r="J263" s="10">
        <v>991</v>
      </c>
      <c r="K263" s="10">
        <v>42765868.966287225</v>
      </c>
    </row>
    <row r="264" spans="1:11" x14ac:dyDescent="0.35">
      <c r="A264" s="9" t="s">
        <v>331</v>
      </c>
      <c r="B264" s="10">
        <v>769</v>
      </c>
      <c r="C264" s="10">
        <v>7</v>
      </c>
      <c r="D264" s="10">
        <v>4</v>
      </c>
      <c r="E264" s="10">
        <v>640</v>
      </c>
      <c r="F264" s="10">
        <v>18950311.922350708</v>
      </c>
      <c r="G264" s="10">
        <v>741</v>
      </c>
      <c r="H264" s="10">
        <v>17</v>
      </c>
      <c r="I264" s="10">
        <v>4</v>
      </c>
      <c r="J264" s="10">
        <v>704</v>
      </c>
      <c r="K264" s="10">
        <v>19519455.617892787</v>
      </c>
    </row>
    <row r="265" spans="1:11" x14ac:dyDescent="0.35">
      <c r="A265" s="9" t="s">
        <v>332</v>
      </c>
      <c r="B265" s="10">
        <v>1357</v>
      </c>
      <c r="C265" s="10">
        <v>32</v>
      </c>
      <c r="D265" s="10">
        <v>6</v>
      </c>
      <c r="E265" s="10">
        <v>1265</v>
      </c>
      <c r="F265" s="10">
        <v>53657065.570121743</v>
      </c>
      <c r="G265" s="10">
        <v>1320</v>
      </c>
      <c r="H265" s="10">
        <v>28</v>
      </c>
      <c r="I265" s="10">
        <v>4</v>
      </c>
      <c r="J265" s="10">
        <v>1304</v>
      </c>
      <c r="K265" s="10">
        <v>51059620.735893928</v>
      </c>
    </row>
    <row r="266" spans="1:11" x14ac:dyDescent="0.35">
      <c r="A266" s="9" t="s">
        <v>333</v>
      </c>
      <c r="B266" s="10">
        <v>797</v>
      </c>
      <c r="C266" s="10">
        <v>9</v>
      </c>
      <c r="D266" s="10">
        <v>1</v>
      </c>
      <c r="E266" s="10">
        <v>722</v>
      </c>
      <c r="F266" s="10">
        <v>14293504.123416603</v>
      </c>
      <c r="G266" s="10">
        <v>761</v>
      </c>
      <c r="H266" s="10">
        <v>0</v>
      </c>
      <c r="I266" s="10">
        <v>1</v>
      </c>
      <c r="J266" s="10">
        <v>773</v>
      </c>
      <c r="K266" s="10">
        <v>14026042.954656795</v>
      </c>
    </row>
    <row r="267" spans="1:11" x14ac:dyDescent="0.35">
      <c r="A267" s="9" t="s">
        <v>334</v>
      </c>
      <c r="B267" s="10">
        <v>2173</v>
      </c>
      <c r="C267" s="10">
        <v>125</v>
      </c>
      <c r="D267" s="10">
        <v>6</v>
      </c>
      <c r="E267" s="10">
        <v>2057</v>
      </c>
      <c r="F267" s="10">
        <v>56452925.679912254</v>
      </c>
      <c r="G267" s="10">
        <v>2091</v>
      </c>
      <c r="H267" s="10">
        <v>61</v>
      </c>
      <c r="I267" s="10">
        <v>6</v>
      </c>
      <c r="J267" s="10">
        <v>2095</v>
      </c>
      <c r="K267" s="10">
        <v>62358347.070854917</v>
      </c>
    </row>
    <row r="268" spans="1:11" x14ac:dyDescent="0.35">
      <c r="A268" s="9" t="s">
        <v>335</v>
      </c>
      <c r="B268" s="10">
        <v>1972</v>
      </c>
      <c r="C268" s="10">
        <v>15</v>
      </c>
      <c r="D268" s="10">
        <v>6</v>
      </c>
      <c r="E268" s="10">
        <v>1414</v>
      </c>
      <c r="F268" s="10">
        <v>56091738.47355333</v>
      </c>
      <c r="G268" s="10">
        <v>2024</v>
      </c>
      <c r="H268" s="10">
        <v>22</v>
      </c>
      <c r="I268" s="10">
        <v>7</v>
      </c>
      <c r="J268" s="10">
        <v>1617</v>
      </c>
      <c r="K268" s="10">
        <v>62138015.36262136</v>
      </c>
    </row>
    <row r="269" spans="1:11" x14ac:dyDescent="0.35">
      <c r="A269" s="9" t="s">
        <v>336</v>
      </c>
      <c r="B269" s="10">
        <v>602</v>
      </c>
      <c r="C269" s="10">
        <v>7</v>
      </c>
      <c r="D269" s="10">
        <v>2</v>
      </c>
      <c r="E269" s="10">
        <v>707</v>
      </c>
      <c r="F269" s="10">
        <v>16928174.464463118</v>
      </c>
      <c r="G269" s="10">
        <v>590</v>
      </c>
      <c r="H269" s="10">
        <v>4</v>
      </c>
      <c r="I269" s="10">
        <v>3</v>
      </c>
      <c r="J269" s="10">
        <v>724</v>
      </c>
      <c r="K269" s="10">
        <v>16284456.576091647</v>
      </c>
    </row>
    <row r="270" spans="1:11" x14ac:dyDescent="0.35">
      <c r="A270" s="9" t="s">
        <v>337</v>
      </c>
      <c r="B270" s="10">
        <v>1119</v>
      </c>
      <c r="C270" s="10">
        <v>13</v>
      </c>
      <c r="D270" s="10">
        <v>5</v>
      </c>
      <c r="E270" s="10">
        <v>1208</v>
      </c>
      <c r="F270" s="10">
        <v>33267632.907431431</v>
      </c>
      <c r="G270" s="10">
        <v>1090</v>
      </c>
      <c r="H270" s="10">
        <v>14</v>
      </c>
      <c r="I270" s="10">
        <v>5</v>
      </c>
      <c r="J270" s="10">
        <v>1070</v>
      </c>
      <c r="K270" s="10">
        <v>34531240.746229403</v>
      </c>
    </row>
    <row r="271" spans="1:11" x14ac:dyDescent="0.35">
      <c r="A271" s="9" t="s">
        <v>338</v>
      </c>
      <c r="B271" s="10">
        <v>1566</v>
      </c>
      <c r="C271" s="10">
        <v>17</v>
      </c>
      <c r="D271" s="10">
        <v>6</v>
      </c>
      <c r="E271" s="10">
        <v>1417</v>
      </c>
      <c r="F271" s="10">
        <v>41610758.402510107</v>
      </c>
      <c r="G271" s="10">
        <v>1585</v>
      </c>
      <c r="H271" s="10">
        <v>16</v>
      </c>
      <c r="I271" s="10">
        <v>4</v>
      </c>
      <c r="J271" s="10">
        <v>1428</v>
      </c>
      <c r="K271" s="10">
        <v>44475923.540874317</v>
      </c>
    </row>
    <row r="272" spans="1:11" x14ac:dyDescent="0.35">
      <c r="A272" s="9" t="s">
        <v>339</v>
      </c>
      <c r="B272" s="10">
        <v>690</v>
      </c>
      <c r="C272" s="10">
        <v>7</v>
      </c>
      <c r="D272" s="10">
        <v>2</v>
      </c>
      <c r="E272" s="10">
        <v>606</v>
      </c>
      <c r="F272" s="10">
        <v>21090347.036791913</v>
      </c>
      <c r="G272" s="10">
        <v>676</v>
      </c>
      <c r="H272" s="10">
        <v>9</v>
      </c>
      <c r="I272" s="10">
        <v>2</v>
      </c>
      <c r="J272" s="10">
        <v>589</v>
      </c>
      <c r="K272" s="10">
        <v>19690868.136051118</v>
      </c>
    </row>
    <row r="273" spans="1:11" x14ac:dyDescent="0.35">
      <c r="A273" s="9" t="s">
        <v>340</v>
      </c>
      <c r="B273" s="10">
        <v>1048</v>
      </c>
      <c r="C273" s="10">
        <v>12</v>
      </c>
      <c r="D273" s="10">
        <v>2</v>
      </c>
      <c r="E273" s="10">
        <v>842</v>
      </c>
      <c r="F273" s="10">
        <v>23448178.194724865</v>
      </c>
      <c r="G273" s="10">
        <v>1004</v>
      </c>
      <c r="H273" s="10">
        <v>5</v>
      </c>
      <c r="I273" s="10">
        <v>2</v>
      </c>
      <c r="J273" s="10">
        <v>836</v>
      </c>
      <c r="K273" s="10">
        <v>24853984.478460304</v>
      </c>
    </row>
    <row r="274" spans="1:11" x14ac:dyDescent="0.35">
      <c r="A274" s="9" t="s">
        <v>341</v>
      </c>
      <c r="B274" s="10">
        <v>1294</v>
      </c>
      <c r="C274" s="10">
        <v>16</v>
      </c>
      <c r="D274" s="10">
        <v>3</v>
      </c>
      <c r="E274" s="10">
        <v>1225</v>
      </c>
      <c r="F274" s="10">
        <v>42870991.712201491</v>
      </c>
      <c r="G274" s="10">
        <v>1299</v>
      </c>
      <c r="H274" s="10">
        <v>8</v>
      </c>
      <c r="I274" s="10">
        <v>4</v>
      </c>
      <c r="J274" s="10">
        <v>1150</v>
      </c>
      <c r="K274" s="10">
        <v>49561121.45244056</v>
      </c>
    </row>
    <row r="275" spans="1:11" x14ac:dyDescent="0.35">
      <c r="A275" s="9" t="s">
        <v>342</v>
      </c>
      <c r="B275" s="10">
        <v>1113</v>
      </c>
      <c r="C275" s="10">
        <v>14</v>
      </c>
      <c r="D275" s="10">
        <v>4</v>
      </c>
      <c r="E275" s="10">
        <v>1111</v>
      </c>
      <c r="F275" s="10">
        <v>40609910.56218873</v>
      </c>
      <c r="G275" s="10">
        <v>1124</v>
      </c>
      <c r="H275" s="10">
        <v>20</v>
      </c>
      <c r="I275" s="10">
        <v>5</v>
      </c>
      <c r="J275" s="10">
        <v>1202</v>
      </c>
      <c r="K275" s="10">
        <v>46608376.590278327</v>
      </c>
    </row>
    <row r="276" spans="1:11" x14ac:dyDescent="0.35">
      <c r="A276" s="9" t="s">
        <v>343</v>
      </c>
      <c r="B276" s="10">
        <v>579</v>
      </c>
      <c r="C276" s="10">
        <v>8</v>
      </c>
      <c r="D276" s="10">
        <v>2</v>
      </c>
      <c r="E276" s="10">
        <v>611</v>
      </c>
      <c r="F276" s="10">
        <v>15020696.67028917</v>
      </c>
      <c r="G276" s="10">
        <v>598</v>
      </c>
      <c r="H276" s="10">
        <v>10</v>
      </c>
      <c r="I276" s="10">
        <v>2</v>
      </c>
      <c r="J276" s="10">
        <v>750</v>
      </c>
      <c r="K276" s="10">
        <v>18604234.165239133</v>
      </c>
    </row>
    <row r="277" spans="1:11" x14ac:dyDescent="0.35">
      <c r="A277" s="9" t="s">
        <v>344</v>
      </c>
      <c r="B277" s="10">
        <v>903</v>
      </c>
      <c r="C277" s="10">
        <v>7</v>
      </c>
      <c r="D277" s="10">
        <v>9</v>
      </c>
      <c r="E277" s="10">
        <v>894</v>
      </c>
      <c r="F277" s="10">
        <v>32898419.552041784</v>
      </c>
      <c r="G277" s="10">
        <v>886</v>
      </c>
      <c r="H277" s="10">
        <v>13</v>
      </c>
      <c r="I277" s="10">
        <v>7</v>
      </c>
      <c r="J277" s="10">
        <v>953</v>
      </c>
      <c r="K277" s="10">
        <v>35630000.556082189</v>
      </c>
    </row>
    <row r="278" spans="1:11" x14ac:dyDescent="0.35">
      <c r="A278" s="9" t="s">
        <v>345</v>
      </c>
      <c r="B278" s="10">
        <v>751</v>
      </c>
      <c r="C278" s="10">
        <v>7</v>
      </c>
      <c r="D278" s="10">
        <v>6</v>
      </c>
      <c r="E278" s="10">
        <v>527</v>
      </c>
      <c r="F278" s="10">
        <v>13675917.195633179</v>
      </c>
      <c r="G278" s="10">
        <v>709</v>
      </c>
      <c r="H278" s="10">
        <v>1</v>
      </c>
      <c r="I278" s="10">
        <v>7</v>
      </c>
      <c r="J278" s="10">
        <v>546</v>
      </c>
      <c r="K278" s="10">
        <v>16334856.090524487</v>
      </c>
    </row>
    <row r="279" spans="1:11" x14ac:dyDescent="0.35">
      <c r="A279" s="9" t="s">
        <v>346</v>
      </c>
      <c r="B279" s="10">
        <v>326</v>
      </c>
      <c r="C279" s="10">
        <v>4</v>
      </c>
      <c r="D279" s="10">
        <v>3</v>
      </c>
      <c r="E279" s="10">
        <v>286</v>
      </c>
      <c r="F279" s="10">
        <v>13538393.758787628</v>
      </c>
      <c r="G279" s="10">
        <v>311</v>
      </c>
      <c r="H279" s="10">
        <v>4</v>
      </c>
      <c r="I279" s="10">
        <v>3</v>
      </c>
      <c r="J279" s="10">
        <v>288</v>
      </c>
      <c r="K279" s="10">
        <v>14274835.462810326</v>
      </c>
    </row>
    <row r="280" spans="1:11" x14ac:dyDescent="0.35">
      <c r="A280" s="9" t="s">
        <v>347</v>
      </c>
      <c r="B280" s="10">
        <v>398</v>
      </c>
      <c r="C280" s="10">
        <v>3</v>
      </c>
      <c r="D280" s="10">
        <v>7</v>
      </c>
      <c r="E280" s="10">
        <v>320</v>
      </c>
      <c r="F280" s="10">
        <v>14394599.668797534</v>
      </c>
      <c r="G280" s="10">
        <v>409</v>
      </c>
      <c r="H280" s="10">
        <v>5</v>
      </c>
      <c r="I280" s="10">
        <v>7</v>
      </c>
      <c r="J280" s="10">
        <v>311</v>
      </c>
      <c r="K280" s="10">
        <v>16692087.795022884</v>
      </c>
    </row>
    <row r="281" spans="1:11" x14ac:dyDescent="0.35">
      <c r="A281" s="9" t="s">
        <v>348</v>
      </c>
      <c r="B281" s="10">
        <v>693</v>
      </c>
      <c r="C281" s="10">
        <v>8</v>
      </c>
      <c r="D281" s="10">
        <v>3</v>
      </c>
      <c r="E281" s="10">
        <v>932</v>
      </c>
      <c r="F281" s="10">
        <v>19157098.182098344</v>
      </c>
      <c r="G281" s="10">
        <v>727</v>
      </c>
      <c r="H281" s="10">
        <v>4</v>
      </c>
      <c r="I281" s="10">
        <v>3</v>
      </c>
      <c r="J281" s="10">
        <v>707</v>
      </c>
      <c r="K281" s="10">
        <v>17738004.099367309</v>
      </c>
    </row>
    <row r="282" spans="1:11" x14ac:dyDescent="0.35">
      <c r="A282" s="9" t="s">
        <v>349</v>
      </c>
      <c r="B282" s="10">
        <v>481</v>
      </c>
      <c r="C282" s="10">
        <v>6</v>
      </c>
      <c r="D282" s="10">
        <v>5</v>
      </c>
      <c r="E282" s="10">
        <v>462</v>
      </c>
      <c r="F282" s="10">
        <v>12453897.345162705</v>
      </c>
      <c r="G282" s="10">
        <v>528</v>
      </c>
      <c r="H282" s="10">
        <v>4</v>
      </c>
      <c r="I282" s="10">
        <v>6</v>
      </c>
      <c r="J282" s="10">
        <v>403</v>
      </c>
      <c r="K282" s="10">
        <v>12620316.332796402</v>
      </c>
    </row>
    <row r="283" spans="1:11" x14ac:dyDescent="0.35">
      <c r="A283" s="9" t="s">
        <v>350</v>
      </c>
      <c r="B283" s="10">
        <v>244</v>
      </c>
      <c r="C283" s="10">
        <v>1</v>
      </c>
      <c r="D283" s="10">
        <v>2</v>
      </c>
      <c r="E283" s="10">
        <v>71</v>
      </c>
      <c r="F283" s="10">
        <v>6004337.3132136846</v>
      </c>
      <c r="G283" s="10">
        <v>209</v>
      </c>
      <c r="H283" s="10">
        <v>0</v>
      </c>
      <c r="I283" s="10">
        <v>1</v>
      </c>
      <c r="J283" s="10">
        <v>252</v>
      </c>
      <c r="K283" s="10">
        <v>1846391.4905939361</v>
      </c>
    </row>
    <row r="284" spans="1:11" x14ac:dyDescent="0.35">
      <c r="A284" s="9" t="s">
        <v>351</v>
      </c>
      <c r="B284" s="10">
        <v>1054</v>
      </c>
      <c r="C284" s="10">
        <v>9</v>
      </c>
      <c r="D284" s="10">
        <v>3</v>
      </c>
      <c r="E284" s="10">
        <v>1048</v>
      </c>
      <c r="F284" s="10">
        <v>32635753.970016416</v>
      </c>
      <c r="G284" s="10">
        <v>1116</v>
      </c>
      <c r="H284" s="10">
        <v>12</v>
      </c>
      <c r="I284" s="10">
        <v>4</v>
      </c>
      <c r="J284" s="10">
        <v>1399</v>
      </c>
      <c r="K284" s="10">
        <v>39946560.951044351</v>
      </c>
    </row>
    <row r="285" spans="1:11" x14ac:dyDescent="0.35">
      <c r="A285" s="9" t="s">
        <v>352</v>
      </c>
      <c r="B285" s="10">
        <v>2039</v>
      </c>
      <c r="C285" s="10">
        <v>32</v>
      </c>
      <c r="D285" s="10">
        <v>3</v>
      </c>
      <c r="E285" s="10">
        <v>1883</v>
      </c>
      <c r="F285" s="10">
        <v>52960099.732775062</v>
      </c>
      <c r="G285" s="10">
        <v>2016</v>
      </c>
      <c r="H285" s="10">
        <v>15</v>
      </c>
      <c r="I285" s="10">
        <v>4</v>
      </c>
      <c r="J285" s="10">
        <v>1952</v>
      </c>
      <c r="K285" s="10">
        <v>52136086.001461416</v>
      </c>
    </row>
    <row r="286" spans="1:11" x14ac:dyDescent="0.35">
      <c r="A286" s="9" t="s">
        <v>353</v>
      </c>
      <c r="B286" s="10">
        <v>407</v>
      </c>
      <c r="C286" s="10">
        <v>1</v>
      </c>
      <c r="D286" s="10">
        <v>29</v>
      </c>
      <c r="E286" s="10">
        <v>304</v>
      </c>
      <c r="F286" s="10">
        <v>18837239.40771025</v>
      </c>
      <c r="G286" s="10">
        <v>389</v>
      </c>
      <c r="H286" s="10">
        <v>0</v>
      </c>
      <c r="I286" s="10">
        <v>29</v>
      </c>
      <c r="J286" s="10">
        <v>369</v>
      </c>
      <c r="K286" s="10">
        <v>19622128.89998772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793</v>
      </c>
      <c r="C288" s="10">
        <v>2</v>
      </c>
      <c r="D288" s="10">
        <v>20</v>
      </c>
      <c r="E288" s="10">
        <v>895</v>
      </c>
      <c r="F288" s="10">
        <v>28638974.376163077</v>
      </c>
      <c r="G288" s="10">
        <v>761</v>
      </c>
      <c r="H288" s="10">
        <v>7</v>
      </c>
      <c r="I288" s="10">
        <v>22</v>
      </c>
      <c r="J288" s="10">
        <v>869</v>
      </c>
      <c r="K288" s="10">
        <v>32631935.966369808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1785</v>
      </c>
      <c r="C290" s="10">
        <v>30</v>
      </c>
      <c r="D290" s="10">
        <v>9</v>
      </c>
      <c r="E290" s="10">
        <v>1772</v>
      </c>
      <c r="F290" s="10">
        <v>60068274.438691095</v>
      </c>
      <c r="G290" s="10">
        <v>1770</v>
      </c>
      <c r="H290" s="10">
        <v>12</v>
      </c>
      <c r="I290" s="10">
        <v>11</v>
      </c>
      <c r="J290" s="10">
        <v>1828</v>
      </c>
      <c r="K290" s="10">
        <v>60304144.44924631</v>
      </c>
    </row>
    <row r="291" spans="1:11" x14ac:dyDescent="0.35">
      <c r="A291" s="9" t="s">
        <v>358</v>
      </c>
      <c r="B291" s="10">
        <v>634</v>
      </c>
      <c r="C291" s="10">
        <v>3</v>
      </c>
      <c r="D291" s="10">
        <v>3</v>
      </c>
      <c r="E291" s="10">
        <v>567</v>
      </c>
      <c r="F291" s="10">
        <v>22253994.028436646</v>
      </c>
      <c r="G291" s="10">
        <v>674</v>
      </c>
      <c r="H291" s="10">
        <v>9</v>
      </c>
      <c r="I291" s="10">
        <v>4</v>
      </c>
      <c r="J291" s="10">
        <v>774</v>
      </c>
      <c r="K291" s="10">
        <v>27289562.95293713</v>
      </c>
    </row>
    <row r="292" spans="1:11" x14ac:dyDescent="0.35">
      <c r="A292" s="9" t="s">
        <v>359</v>
      </c>
      <c r="B292" s="10">
        <v>1934</v>
      </c>
      <c r="C292" s="10">
        <v>15</v>
      </c>
      <c r="D292" s="10">
        <v>11</v>
      </c>
      <c r="E292" s="10">
        <v>1833</v>
      </c>
      <c r="F292" s="10">
        <v>71421756.797680438</v>
      </c>
      <c r="G292" s="10">
        <v>1886</v>
      </c>
      <c r="H292" s="10">
        <v>17</v>
      </c>
      <c r="I292" s="10">
        <v>8</v>
      </c>
      <c r="J292" s="10">
        <v>1797</v>
      </c>
      <c r="K292" s="10">
        <v>69843073.788862303</v>
      </c>
    </row>
    <row r="293" spans="1:11" x14ac:dyDescent="0.35">
      <c r="A293" s="9" t="s">
        <v>360</v>
      </c>
      <c r="B293" s="10">
        <v>769</v>
      </c>
      <c r="C293" s="10">
        <v>5</v>
      </c>
      <c r="D293" s="10">
        <v>2</v>
      </c>
      <c r="E293" s="10">
        <v>628</v>
      </c>
      <c r="F293" s="10">
        <v>30812747.652382448</v>
      </c>
      <c r="G293" s="10">
        <v>746</v>
      </c>
      <c r="H293" s="10">
        <v>2</v>
      </c>
      <c r="I293" s="10">
        <v>1</v>
      </c>
      <c r="J293" s="10">
        <v>671</v>
      </c>
      <c r="K293" s="10">
        <v>32749983.93743822</v>
      </c>
    </row>
    <row r="294" spans="1:11" x14ac:dyDescent="0.35">
      <c r="A294" s="9" t="s">
        <v>361</v>
      </c>
      <c r="B294" s="10">
        <v>829</v>
      </c>
      <c r="C294" s="10">
        <v>7</v>
      </c>
      <c r="D294" s="10">
        <v>1</v>
      </c>
      <c r="E294" s="10">
        <v>761</v>
      </c>
      <c r="F294" s="10">
        <v>28810278.71597854</v>
      </c>
      <c r="G294" s="10">
        <v>826</v>
      </c>
      <c r="H294" s="10">
        <v>2</v>
      </c>
      <c r="I294" s="10">
        <v>0</v>
      </c>
      <c r="J294" s="10">
        <v>688</v>
      </c>
      <c r="K294" s="10">
        <v>27776286.403898813</v>
      </c>
    </row>
    <row r="295" spans="1:11" x14ac:dyDescent="0.35">
      <c r="A295" s="9" t="s">
        <v>362</v>
      </c>
      <c r="B295" s="10">
        <v>1319</v>
      </c>
      <c r="C295" s="10">
        <v>17</v>
      </c>
      <c r="D295" s="10">
        <v>39</v>
      </c>
      <c r="E295" s="10">
        <v>1183</v>
      </c>
      <c r="F295" s="10">
        <v>79234223.58459641</v>
      </c>
      <c r="G295" s="10">
        <v>1258</v>
      </c>
      <c r="H295" s="10">
        <v>8</v>
      </c>
      <c r="I295" s="10">
        <v>39</v>
      </c>
      <c r="J295" s="10">
        <v>1264</v>
      </c>
      <c r="K295" s="10">
        <v>71984555.702560022</v>
      </c>
    </row>
    <row r="296" spans="1:11" x14ac:dyDescent="0.35">
      <c r="A296" s="9" t="s">
        <v>363</v>
      </c>
      <c r="B296" s="10">
        <v>728</v>
      </c>
      <c r="C296" s="10">
        <v>4</v>
      </c>
      <c r="D296" s="10">
        <v>1</v>
      </c>
      <c r="E296" s="10">
        <v>633</v>
      </c>
      <c r="F296" s="10">
        <v>37675732.66128397</v>
      </c>
      <c r="G296" s="10">
        <v>735</v>
      </c>
      <c r="H296" s="10">
        <v>4</v>
      </c>
      <c r="I296" s="10">
        <v>1</v>
      </c>
      <c r="J296" s="10">
        <v>626</v>
      </c>
      <c r="K296" s="10">
        <v>35505898.225897446</v>
      </c>
    </row>
    <row r="297" spans="1:11" x14ac:dyDescent="0.35">
      <c r="A297" s="9" t="s">
        <v>364</v>
      </c>
      <c r="B297" s="10">
        <v>681</v>
      </c>
      <c r="C297" s="10">
        <v>2</v>
      </c>
      <c r="D297" s="10">
        <v>2</v>
      </c>
      <c r="E297" s="10">
        <v>541</v>
      </c>
      <c r="F297" s="10">
        <v>38046074.490840957</v>
      </c>
      <c r="G297" s="10">
        <v>660</v>
      </c>
      <c r="H297" s="10">
        <v>2</v>
      </c>
      <c r="I297" s="10">
        <v>3</v>
      </c>
      <c r="J297" s="10">
        <v>561</v>
      </c>
      <c r="K297" s="10">
        <v>40008538.962967038</v>
      </c>
    </row>
    <row r="298" spans="1:11" x14ac:dyDescent="0.35">
      <c r="A298" s="9" t="s">
        <v>365</v>
      </c>
      <c r="B298" s="10">
        <v>482</v>
      </c>
      <c r="C298" s="10">
        <v>2</v>
      </c>
      <c r="D298" s="10">
        <v>4</v>
      </c>
      <c r="E298" s="10">
        <v>496</v>
      </c>
      <c r="F298" s="10">
        <v>23696445.684397593</v>
      </c>
      <c r="G298" s="10">
        <v>478</v>
      </c>
      <c r="H298" s="10">
        <v>3</v>
      </c>
      <c r="I298" s="10">
        <v>5</v>
      </c>
      <c r="J298" s="10">
        <v>499</v>
      </c>
      <c r="K298" s="10">
        <v>23821814.151114929</v>
      </c>
    </row>
    <row r="299" spans="1:11" x14ac:dyDescent="0.35">
      <c r="A299" s="9" t="s">
        <v>366</v>
      </c>
      <c r="B299" s="10">
        <v>998</v>
      </c>
      <c r="C299" s="10">
        <v>6</v>
      </c>
      <c r="D299" s="10">
        <v>10</v>
      </c>
      <c r="E299" s="10">
        <v>856</v>
      </c>
      <c r="F299" s="10">
        <v>54545767.804251432</v>
      </c>
      <c r="G299" s="10">
        <v>981</v>
      </c>
      <c r="H299" s="10">
        <v>7</v>
      </c>
      <c r="I299" s="10">
        <v>8</v>
      </c>
      <c r="J299" s="10">
        <v>864</v>
      </c>
      <c r="K299" s="10">
        <v>48340354.159685992</v>
      </c>
    </row>
    <row r="300" spans="1:11" x14ac:dyDescent="0.35">
      <c r="A300" s="9" t="s">
        <v>367</v>
      </c>
      <c r="B300" s="10">
        <v>230</v>
      </c>
      <c r="C300" s="10">
        <v>5</v>
      </c>
      <c r="D300" s="10">
        <v>0</v>
      </c>
      <c r="E300" s="10">
        <v>273</v>
      </c>
      <c r="F300" s="10">
        <v>2292573.4455659622</v>
      </c>
      <c r="G300" s="10">
        <v>240</v>
      </c>
      <c r="H300" s="10">
        <v>1</v>
      </c>
      <c r="I300" s="10">
        <v>0</v>
      </c>
      <c r="J300" s="10">
        <v>250</v>
      </c>
      <c r="K300" s="10">
        <v>2203232.1131098159</v>
      </c>
    </row>
    <row r="301" spans="1:11" x14ac:dyDescent="0.35">
      <c r="A301" s="9" t="s">
        <v>368</v>
      </c>
      <c r="B301" s="10">
        <v>342</v>
      </c>
      <c r="C301" s="10">
        <v>2</v>
      </c>
      <c r="D301" s="10">
        <v>0</v>
      </c>
      <c r="E301" s="10">
        <v>244</v>
      </c>
      <c r="F301" s="10">
        <v>10147267.499638986</v>
      </c>
      <c r="G301" s="10">
        <v>332</v>
      </c>
      <c r="H301" s="10">
        <v>1</v>
      </c>
      <c r="I301" s="10">
        <v>1</v>
      </c>
      <c r="J301" s="10">
        <v>256</v>
      </c>
      <c r="K301" s="10">
        <v>8222277.3035351178</v>
      </c>
    </row>
    <row r="302" spans="1:11" x14ac:dyDescent="0.35">
      <c r="A302" s="9" t="s">
        <v>369</v>
      </c>
      <c r="B302" s="10">
        <v>544</v>
      </c>
      <c r="C302" s="10">
        <v>14</v>
      </c>
      <c r="D302" s="10">
        <v>9</v>
      </c>
      <c r="E302" s="10">
        <v>1033</v>
      </c>
      <c r="F302" s="10">
        <v>24837352.583095375</v>
      </c>
      <c r="G302" s="10">
        <v>518</v>
      </c>
      <c r="H302" s="10">
        <v>5</v>
      </c>
      <c r="I302" s="10">
        <v>9</v>
      </c>
      <c r="J302" s="10">
        <v>458</v>
      </c>
      <c r="K302" s="10">
        <v>21294506.407617427</v>
      </c>
    </row>
    <row r="303" spans="1:11" x14ac:dyDescent="0.35">
      <c r="A303" s="9" t="s">
        <v>370</v>
      </c>
      <c r="B303" s="10">
        <v>713</v>
      </c>
      <c r="C303" s="10">
        <v>9</v>
      </c>
      <c r="D303" s="10">
        <v>1</v>
      </c>
      <c r="E303" s="10">
        <v>665</v>
      </c>
      <c r="F303" s="10">
        <v>15865138.648598209</v>
      </c>
      <c r="G303" s="10">
        <v>690</v>
      </c>
      <c r="H303" s="10">
        <v>4</v>
      </c>
      <c r="I303" s="10">
        <v>2</v>
      </c>
      <c r="J303" s="10">
        <v>722</v>
      </c>
      <c r="K303" s="10">
        <v>15492987.858451882</v>
      </c>
    </row>
    <row r="304" spans="1:11" x14ac:dyDescent="0.35">
      <c r="A304" s="9" t="s">
        <v>371</v>
      </c>
      <c r="B304" s="10">
        <v>950</v>
      </c>
      <c r="C304" s="10">
        <v>17</v>
      </c>
      <c r="D304" s="10">
        <v>3</v>
      </c>
      <c r="E304" s="10">
        <v>763</v>
      </c>
      <c r="F304" s="10">
        <v>35808278.459359147</v>
      </c>
      <c r="G304" s="10">
        <v>911</v>
      </c>
      <c r="H304" s="10">
        <v>18</v>
      </c>
      <c r="I304" s="10">
        <v>5</v>
      </c>
      <c r="J304" s="10">
        <v>989</v>
      </c>
      <c r="K304" s="10">
        <v>41347264.816065989</v>
      </c>
    </row>
    <row r="305" spans="1:11" x14ac:dyDescent="0.35">
      <c r="A305" s="9" t="s">
        <v>372</v>
      </c>
      <c r="B305" s="10">
        <v>651</v>
      </c>
      <c r="C305" s="10">
        <v>17</v>
      </c>
      <c r="D305" s="10">
        <v>2</v>
      </c>
      <c r="E305" s="10">
        <v>612</v>
      </c>
      <c r="F305" s="10">
        <v>17687289.069798283</v>
      </c>
      <c r="G305" s="10">
        <v>625</v>
      </c>
      <c r="H305" s="10">
        <v>10</v>
      </c>
      <c r="I305" s="10">
        <v>4</v>
      </c>
      <c r="J305" s="10">
        <v>597</v>
      </c>
      <c r="K305" s="10">
        <v>20559058.337817013</v>
      </c>
    </row>
    <row r="306" spans="1:11" x14ac:dyDescent="0.35">
      <c r="A306" s="9" t="s">
        <v>373</v>
      </c>
      <c r="B306" s="10">
        <v>675</v>
      </c>
      <c r="C306" s="10">
        <v>13</v>
      </c>
      <c r="D306" s="10">
        <v>7</v>
      </c>
      <c r="E306" s="10">
        <v>515</v>
      </c>
      <c r="F306" s="10">
        <v>24774234.660226747</v>
      </c>
      <c r="G306" s="10">
        <v>644</v>
      </c>
      <c r="H306" s="10">
        <v>11</v>
      </c>
      <c r="I306" s="10">
        <v>9</v>
      </c>
      <c r="J306" s="10">
        <v>617</v>
      </c>
      <c r="K306" s="10">
        <v>28040673.332092807</v>
      </c>
    </row>
    <row r="307" spans="1:11" x14ac:dyDescent="0.35">
      <c r="A307" s="9" t="s">
        <v>374</v>
      </c>
      <c r="B307" s="10">
        <v>603</v>
      </c>
      <c r="C307" s="10">
        <v>8</v>
      </c>
      <c r="D307" s="10">
        <v>1</v>
      </c>
      <c r="E307" s="10">
        <v>543</v>
      </c>
      <c r="F307" s="10">
        <v>14293453.846387634</v>
      </c>
      <c r="G307" s="10">
        <v>591</v>
      </c>
      <c r="H307" s="10">
        <v>3</v>
      </c>
      <c r="I307" s="10">
        <v>1</v>
      </c>
      <c r="J307" s="10">
        <v>520</v>
      </c>
      <c r="K307" s="10">
        <v>14704057.137577387</v>
      </c>
    </row>
    <row r="308" spans="1:11" x14ac:dyDescent="0.35">
      <c r="A308" s="9" t="s">
        <v>375</v>
      </c>
      <c r="B308" s="10">
        <v>266</v>
      </c>
      <c r="C308" s="10">
        <v>5</v>
      </c>
      <c r="D308" s="10">
        <v>0</v>
      </c>
      <c r="E308" s="10">
        <v>184</v>
      </c>
      <c r="F308" s="10">
        <v>7679075.6969860587</v>
      </c>
      <c r="G308" s="10">
        <v>263</v>
      </c>
      <c r="H308" s="10">
        <v>2</v>
      </c>
      <c r="I308" s="10">
        <v>0</v>
      </c>
      <c r="J308" s="10">
        <v>185</v>
      </c>
      <c r="K308" s="10">
        <v>7862518.1697674775</v>
      </c>
    </row>
    <row r="309" spans="1:11" x14ac:dyDescent="0.35">
      <c r="A309" s="9" t="s">
        <v>376</v>
      </c>
      <c r="B309" s="10">
        <v>740</v>
      </c>
      <c r="C309" s="10">
        <v>20</v>
      </c>
      <c r="D309" s="10">
        <v>5</v>
      </c>
      <c r="E309" s="10">
        <v>606</v>
      </c>
      <c r="F309" s="10">
        <v>32261124.824061524</v>
      </c>
      <c r="G309" s="10">
        <v>723</v>
      </c>
      <c r="H309" s="10">
        <v>11</v>
      </c>
      <c r="I309" s="10">
        <v>6</v>
      </c>
      <c r="J309" s="10">
        <v>583</v>
      </c>
      <c r="K309" s="10">
        <v>34200525.390789978</v>
      </c>
    </row>
    <row r="310" spans="1:11" x14ac:dyDescent="0.35">
      <c r="A310" s="9" t="s">
        <v>377</v>
      </c>
      <c r="B310" s="10">
        <v>744</v>
      </c>
      <c r="C310" s="10">
        <v>11</v>
      </c>
      <c r="D310" s="10">
        <v>6</v>
      </c>
      <c r="E310" s="10">
        <v>813</v>
      </c>
      <c r="F310" s="10">
        <v>29387028.505928993</v>
      </c>
      <c r="G310" s="10">
        <v>718</v>
      </c>
      <c r="H310" s="10">
        <v>33</v>
      </c>
      <c r="I310" s="10">
        <v>5</v>
      </c>
      <c r="J310" s="10">
        <v>687</v>
      </c>
      <c r="K310" s="10">
        <v>26412112.236606784</v>
      </c>
    </row>
    <row r="311" spans="1:11" x14ac:dyDescent="0.35">
      <c r="A311" s="9" t="s">
        <v>378</v>
      </c>
      <c r="B311" s="10">
        <v>419</v>
      </c>
      <c r="C311" s="10">
        <v>4</v>
      </c>
      <c r="D311" s="10">
        <v>1</v>
      </c>
      <c r="E311" s="10">
        <v>295</v>
      </c>
      <c r="F311" s="10">
        <v>11512060.662160572</v>
      </c>
      <c r="G311" s="10">
        <v>399</v>
      </c>
      <c r="H311" s="10">
        <v>2</v>
      </c>
      <c r="I311" s="10">
        <v>2</v>
      </c>
      <c r="J311" s="10">
        <v>295</v>
      </c>
      <c r="K311" s="10">
        <v>11223287.094714087</v>
      </c>
    </row>
    <row r="312" spans="1:11" x14ac:dyDescent="0.35">
      <c r="A312" s="9" t="s">
        <v>379</v>
      </c>
      <c r="B312" s="10">
        <v>1071</v>
      </c>
      <c r="C312" s="10">
        <v>17</v>
      </c>
      <c r="D312" s="10">
        <v>4</v>
      </c>
      <c r="E312" s="10">
        <v>148</v>
      </c>
      <c r="F312" s="10">
        <v>33526397.173001282</v>
      </c>
      <c r="G312" s="10">
        <v>1070</v>
      </c>
      <c r="H312" s="10">
        <v>15</v>
      </c>
      <c r="I312" s="10">
        <v>6</v>
      </c>
      <c r="J312" s="10">
        <v>1015</v>
      </c>
      <c r="K312" s="10">
        <v>35322421.899324901</v>
      </c>
    </row>
    <row r="313" spans="1:11" x14ac:dyDescent="0.35">
      <c r="A313" s="9" t="s">
        <v>380</v>
      </c>
      <c r="B313" s="10">
        <v>860</v>
      </c>
      <c r="C313" s="10">
        <v>107</v>
      </c>
      <c r="D313" s="10">
        <v>5</v>
      </c>
      <c r="E313" s="10">
        <v>924</v>
      </c>
      <c r="F313" s="10">
        <v>31199661.156118304</v>
      </c>
      <c r="G313" s="10">
        <v>769</v>
      </c>
      <c r="H313" s="10">
        <v>10</v>
      </c>
      <c r="I313" s="10">
        <v>4</v>
      </c>
      <c r="J313" s="10">
        <v>697</v>
      </c>
      <c r="K313" s="10">
        <v>21715608.098543055</v>
      </c>
    </row>
    <row r="314" spans="1:11" x14ac:dyDescent="0.35">
      <c r="A314" s="9" t="s">
        <v>381</v>
      </c>
      <c r="B314" s="10">
        <v>280</v>
      </c>
      <c r="C314" s="10">
        <v>5</v>
      </c>
      <c r="D314" s="10">
        <v>2</v>
      </c>
      <c r="E314" s="10">
        <v>292</v>
      </c>
      <c r="F314" s="10">
        <v>12345330.911705989</v>
      </c>
      <c r="G314" s="10">
        <v>265</v>
      </c>
      <c r="H314" s="10">
        <v>4</v>
      </c>
      <c r="I314" s="10">
        <v>2</v>
      </c>
      <c r="J314" s="10">
        <v>37</v>
      </c>
      <c r="K314" s="10">
        <v>9038356.2881202847</v>
      </c>
    </row>
    <row r="315" spans="1:11" x14ac:dyDescent="0.35">
      <c r="A315" s="9" t="s">
        <v>382</v>
      </c>
      <c r="B315" s="10">
        <v>1068</v>
      </c>
      <c r="C315" s="10">
        <v>26</v>
      </c>
      <c r="D315" s="10">
        <v>3</v>
      </c>
      <c r="E315" s="10">
        <v>799</v>
      </c>
      <c r="F315" s="10">
        <v>30342409.559472363</v>
      </c>
      <c r="G315" s="10">
        <v>1041</v>
      </c>
      <c r="H315" s="10">
        <v>17</v>
      </c>
      <c r="I315" s="10">
        <v>5</v>
      </c>
      <c r="J315" s="10">
        <v>1243</v>
      </c>
      <c r="K315" s="10">
        <v>33073457.54549484</v>
      </c>
    </row>
    <row r="316" spans="1:11" x14ac:dyDescent="0.35">
      <c r="A316" s="9" t="s">
        <v>383</v>
      </c>
      <c r="B316" s="10">
        <v>1261</v>
      </c>
      <c r="C316" s="10">
        <v>19</v>
      </c>
      <c r="D316" s="10">
        <v>3</v>
      </c>
      <c r="E316" s="10">
        <v>1097</v>
      </c>
      <c r="F316" s="10">
        <v>41984205.323142551</v>
      </c>
      <c r="G316" s="10">
        <v>1292</v>
      </c>
      <c r="H316" s="10">
        <v>15</v>
      </c>
      <c r="I316" s="10">
        <v>3</v>
      </c>
      <c r="J316" s="10">
        <v>1063</v>
      </c>
      <c r="K316" s="10">
        <v>38792493.98887518</v>
      </c>
    </row>
    <row r="317" spans="1:11" x14ac:dyDescent="0.35">
      <c r="A317" s="9" t="s">
        <v>384</v>
      </c>
      <c r="B317" s="10">
        <v>190</v>
      </c>
      <c r="C317" s="10">
        <v>5</v>
      </c>
      <c r="D317" s="10">
        <v>6</v>
      </c>
      <c r="E317" s="10">
        <v>152</v>
      </c>
      <c r="F317" s="10">
        <v>9843143.7921164315</v>
      </c>
      <c r="G317" s="10">
        <v>219</v>
      </c>
      <c r="H317" s="10">
        <v>3</v>
      </c>
      <c r="I317" s="10">
        <v>5</v>
      </c>
      <c r="J317" s="10">
        <v>185</v>
      </c>
      <c r="K317" s="10">
        <v>10207539.395816097</v>
      </c>
    </row>
    <row r="318" spans="1:11" x14ac:dyDescent="0.35">
      <c r="A318" s="9" t="s">
        <v>385</v>
      </c>
      <c r="B318" s="10">
        <v>841</v>
      </c>
      <c r="C318" s="10">
        <v>10</v>
      </c>
      <c r="D318" s="10">
        <v>3</v>
      </c>
      <c r="E318" s="10">
        <v>620</v>
      </c>
      <c r="F318" s="10">
        <v>21861069.307333156</v>
      </c>
      <c r="G318" s="10">
        <v>760</v>
      </c>
      <c r="H318" s="10">
        <v>5</v>
      </c>
      <c r="I318" s="10">
        <v>3</v>
      </c>
      <c r="J318" s="10">
        <v>458</v>
      </c>
      <c r="K318" s="10">
        <v>20298510.113126453</v>
      </c>
    </row>
    <row r="319" spans="1:11" x14ac:dyDescent="0.35">
      <c r="A319" s="9" t="s">
        <v>386</v>
      </c>
      <c r="B319" s="10">
        <v>1043</v>
      </c>
      <c r="C319" s="10">
        <v>20</v>
      </c>
      <c r="D319" s="10">
        <v>8</v>
      </c>
      <c r="E319" s="10">
        <v>915</v>
      </c>
      <c r="F319" s="10">
        <v>38414924.781808645</v>
      </c>
      <c r="G319" s="10">
        <v>1021</v>
      </c>
      <c r="H319" s="10">
        <v>10</v>
      </c>
      <c r="I319" s="10">
        <v>9</v>
      </c>
      <c r="J319" s="10">
        <v>841</v>
      </c>
      <c r="K319" s="10">
        <v>37616319.322068699</v>
      </c>
    </row>
    <row r="320" spans="1:11" x14ac:dyDescent="0.35">
      <c r="A320" s="9" t="s">
        <v>387</v>
      </c>
      <c r="B320" s="10">
        <v>677</v>
      </c>
      <c r="C320" s="10">
        <v>6</v>
      </c>
      <c r="D320" s="10">
        <v>2</v>
      </c>
      <c r="E320" s="10">
        <v>667</v>
      </c>
      <c r="F320" s="10">
        <v>18266105.723576762</v>
      </c>
      <c r="G320" s="10">
        <v>685</v>
      </c>
      <c r="H320" s="10">
        <v>6</v>
      </c>
      <c r="I320" s="10">
        <v>2</v>
      </c>
      <c r="J320" s="10">
        <v>719</v>
      </c>
      <c r="K320" s="10">
        <v>18684211.129946589</v>
      </c>
    </row>
    <row r="321" spans="1:11" x14ac:dyDescent="0.35">
      <c r="A321" s="9" t="s">
        <v>388</v>
      </c>
      <c r="B321" s="10">
        <v>851</v>
      </c>
      <c r="C321" s="10">
        <v>12</v>
      </c>
      <c r="D321" s="10">
        <v>5</v>
      </c>
      <c r="E321" s="10">
        <v>928</v>
      </c>
      <c r="F321" s="10">
        <v>31750740.64319098</v>
      </c>
      <c r="G321" s="10">
        <v>791</v>
      </c>
      <c r="H321" s="10">
        <v>10</v>
      </c>
      <c r="I321" s="10">
        <v>4</v>
      </c>
      <c r="J321" s="10">
        <v>825</v>
      </c>
      <c r="K321" s="10">
        <v>24809062.405915409</v>
      </c>
    </row>
    <row r="322" spans="1:11" x14ac:dyDescent="0.35">
      <c r="A322" s="9" t="s">
        <v>389</v>
      </c>
      <c r="B322" s="10">
        <v>976</v>
      </c>
      <c r="C322" s="10">
        <v>19</v>
      </c>
      <c r="D322" s="10">
        <v>3</v>
      </c>
      <c r="E322" s="10">
        <v>940</v>
      </c>
      <c r="F322" s="10">
        <v>24558959.961337332</v>
      </c>
      <c r="G322" s="10">
        <v>1000</v>
      </c>
      <c r="H322" s="10">
        <v>14</v>
      </c>
      <c r="I322" s="10">
        <v>3</v>
      </c>
      <c r="J322" s="10">
        <v>897</v>
      </c>
      <c r="K322" s="10">
        <v>27527132.220935494</v>
      </c>
    </row>
    <row r="323" spans="1:11" x14ac:dyDescent="0.35">
      <c r="A323" s="9" t="s">
        <v>390</v>
      </c>
      <c r="B323" s="10">
        <v>724</v>
      </c>
      <c r="C323" s="10">
        <v>9</v>
      </c>
      <c r="D323" s="10">
        <v>2</v>
      </c>
      <c r="E323" s="10">
        <v>725</v>
      </c>
      <c r="F323" s="10">
        <v>14757088.326071054</v>
      </c>
      <c r="G323" s="10">
        <v>720</v>
      </c>
      <c r="H323" s="10">
        <v>4</v>
      </c>
      <c r="I323" s="10">
        <v>2</v>
      </c>
      <c r="J323" s="10">
        <v>677</v>
      </c>
      <c r="K323" s="10">
        <v>13705776.565243818</v>
      </c>
    </row>
    <row r="324" spans="1:11" x14ac:dyDescent="0.35">
      <c r="A324" s="9" t="s">
        <v>391</v>
      </c>
      <c r="B324" s="10">
        <v>733</v>
      </c>
      <c r="C324" s="10">
        <v>10</v>
      </c>
      <c r="D324" s="10">
        <v>3</v>
      </c>
      <c r="E324" s="10">
        <v>567</v>
      </c>
      <c r="F324" s="10">
        <v>29422788.991867159</v>
      </c>
      <c r="G324" s="10">
        <v>684</v>
      </c>
      <c r="H324" s="10">
        <v>7</v>
      </c>
      <c r="I324" s="10">
        <v>2</v>
      </c>
      <c r="J324" s="10">
        <v>1017</v>
      </c>
      <c r="K324" s="10">
        <v>28421298.501588713</v>
      </c>
    </row>
    <row r="325" spans="1:11" x14ac:dyDescent="0.35">
      <c r="A325" s="9" t="s">
        <v>392</v>
      </c>
      <c r="B325" s="10">
        <v>923</v>
      </c>
      <c r="C325" s="10">
        <v>26</v>
      </c>
      <c r="D325" s="10">
        <v>5</v>
      </c>
      <c r="E325" s="10">
        <v>799</v>
      </c>
      <c r="F325" s="10">
        <v>54135184.625667594</v>
      </c>
      <c r="G325" s="10">
        <v>913</v>
      </c>
      <c r="H325" s="10">
        <v>15</v>
      </c>
      <c r="I325" s="10">
        <v>2</v>
      </c>
      <c r="J325" s="10">
        <v>695</v>
      </c>
      <c r="K325" s="10">
        <v>45121944.822753944</v>
      </c>
    </row>
    <row r="326" spans="1:11" x14ac:dyDescent="0.35">
      <c r="A326" s="9" t="s">
        <v>393</v>
      </c>
      <c r="B326" s="10">
        <v>433</v>
      </c>
      <c r="C326" s="10">
        <v>7</v>
      </c>
      <c r="D326" s="10">
        <v>2</v>
      </c>
      <c r="E326" s="10">
        <v>359</v>
      </c>
      <c r="F326" s="10">
        <v>14217544.741384927</v>
      </c>
      <c r="G326" s="10">
        <v>424</v>
      </c>
      <c r="H326" s="10">
        <v>6</v>
      </c>
      <c r="I326" s="10">
        <v>3</v>
      </c>
      <c r="J326" s="10">
        <v>377</v>
      </c>
      <c r="K326" s="10">
        <v>15325334.431225196</v>
      </c>
    </row>
    <row r="327" spans="1:11" x14ac:dyDescent="0.35">
      <c r="A327" s="9" t="s">
        <v>394</v>
      </c>
      <c r="B327" s="10">
        <v>2153</v>
      </c>
      <c r="C327" s="10">
        <v>30</v>
      </c>
      <c r="D327" s="10">
        <v>4</v>
      </c>
      <c r="E327" s="10">
        <v>1641</v>
      </c>
      <c r="F327" s="10">
        <v>58410727.260776833</v>
      </c>
      <c r="G327" s="10">
        <v>1984</v>
      </c>
      <c r="H327" s="10">
        <v>18</v>
      </c>
      <c r="I327" s="10">
        <v>4</v>
      </c>
      <c r="J327" s="10">
        <v>1395</v>
      </c>
      <c r="K327" s="10">
        <v>51907007.958861724</v>
      </c>
    </row>
    <row r="328" spans="1:11" x14ac:dyDescent="0.35">
      <c r="A328" s="9" t="s">
        <v>395</v>
      </c>
      <c r="B328" s="10">
        <v>1137</v>
      </c>
      <c r="C328" s="10">
        <v>19</v>
      </c>
      <c r="D328" s="10">
        <v>6</v>
      </c>
      <c r="E328" s="10">
        <v>1011</v>
      </c>
      <c r="F328" s="10">
        <v>34915432.057661809</v>
      </c>
      <c r="G328" s="10">
        <v>1134</v>
      </c>
      <c r="H328" s="10">
        <v>9</v>
      </c>
      <c r="I328" s="10">
        <v>5</v>
      </c>
      <c r="J328" s="10">
        <v>94</v>
      </c>
      <c r="K328" s="10">
        <v>31945213.191559449</v>
      </c>
    </row>
    <row r="329" spans="1:11" x14ac:dyDescent="0.35">
      <c r="A329" s="9" t="s">
        <v>396</v>
      </c>
      <c r="B329" s="10">
        <v>661</v>
      </c>
      <c r="C329" s="10">
        <v>7</v>
      </c>
      <c r="D329" s="10">
        <v>1</v>
      </c>
      <c r="E329" s="10">
        <v>583</v>
      </c>
      <c r="F329" s="10">
        <v>21091144.375888005</v>
      </c>
      <c r="G329" s="10">
        <v>614</v>
      </c>
      <c r="H329" s="10">
        <v>6</v>
      </c>
      <c r="I329" s="10">
        <v>1</v>
      </c>
      <c r="J329" s="10">
        <v>646</v>
      </c>
      <c r="K329" s="10">
        <v>23054169.89789544</v>
      </c>
    </row>
    <row r="330" spans="1:11" x14ac:dyDescent="0.35">
      <c r="A330" s="9" t="s">
        <v>397</v>
      </c>
      <c r="B330" s="10">
        <v>980</v>
      </c>
      <c r="C330" s="10">
        <v>18</v>
      </c>
      <c r="D330" s="10">
        <v>16</v>
      </c>
      <c r="E330" s="10">
        <v>828</v>
      </c>
      <c r="F330" s="10">
        <v>39321884.515699729</v>
      </c>
      <c r="G330" s="10">
        <v>1004</v>
      </c>
      <c r="H330" s="10">
        <v>99</v>
      </c>
      <c r="I330" s="10">
        <v>17</v>
      </c>
      <c r="J330" s="10">
        <v>858</v>
      </c>
      <c r="K330" s="10">
        <v>35145534.126001723</v>
      </c>
    </row>
    <row r="331" spans="1:11" x14ac:dyDescent="0.35">
      <c r="A331" s="9" t="s">
        <v>398</v>
      </c>
      <c r="B331" s="10">
        <v>642</v>
      </c>
      <c r="C331" s="10">
        <v>9</v>
      </c>
      <c r="D331" s="10">
        <v>1</v>
      </c>
      <c r="E331" s="10">
        <v>615</v>
      </c>
      <c r="F331" s="10">
        <v>19251978.294507805</v>
      </c>
      <c r="G331" s="10">
        <v>660</v>
      </c>
      <c r="H331" s="10">
        <v>4</v>
      </c>
      <c r="I331" s="10">
        <v>1</v>
      </c>
      <c r="J331" s="10">
        <v>632</v>
      </c>
      <c r="K331" s="10">
        <v>20321015.481225058</v>
      </c>
    </row>
    <row r="332" spans="1:11" x14ac:dyDescent="0.35">
      <c r="A332" s="9" t="s">
        <v>399</v>
      </c>
      <c r="B332" s="10">
        <v>496</v>
      </c>
      <c r="C332" s="10">
        <v>8</v>
      </c>
      <c r="D332" s="10">
        <v>1</v>
      </c>
      <c r="E332" s="10">
        <v>579</v>
      </c>
      <c r="F332" s="10">
        <v>12900934.65208431</v>
      </c>
      <c r="G332" s="10">
        <v>443</v>
      </c>
      <c r="H332" s="10">
        <v>5</v>
      </c>
      <c r="I332" s="10">
        <v>2</v>
      </c>
      <c r="J332" s="10">
        <v>589</v>
      </c>
      <c r="K332" s="10">
        <v>11704661.662972234</v>
      </c>
    </row>
    <row r="333" spans="1:11" x14ac:dyDescent="0.35">
      <c r="A333" s="9" t="s">
        <v>400</v>
      </c>
      <c r="B333" s="10">
        <v>1083</v>
      </c>
      <c r="C333" s="10">
        <v>31</v>
      </c>
      <c r="D333" s="10">
        <v>10</v>
      </c>
      <c r="E333" s="10">
        <v>870</v>
      </c>
      <c r="F333" s="10">
        <v>46476952.678371221</v>
      </c>
      <c r="G333" s="10">
        <v>1197</v>
      </c>
      <c r="H333" s="10">
        <v>13</v>
      </c>
      <c r="I333" s="10">
        <v>12</v>
      </c>
      <c r="J333" s="10">
        <v>906</v>
      </c>
      <c r="K333" s="10">
        <v>45044251.857036434</v>
      </c>
    </row>
    <row r="334" spans="1:11" x14ac:dyDescent="0.35">
      <c r="A334" s="9" t="s">
        <v>401</v>
      </c>
      <c r="B334" s="10">
        <v>898</v>
      </c>
      <c r="C334" s="10">
        <v>10</v>
      </c>
      <c r="D334" s="10">
        <v>2</v>
      </c>
      <c r="E334" s="10">
        <v>777</v>
      </c>
      <c r="F334" s="10">
        <v>27235149.114555843</v>
      </c>
      <c r="G334" s="10">
        <v>907</v>
      </c>
      <c r="H334" s="10">
        <v>14</v>
      </c>
      <c r="I334" s="10">
        <v>3</v>
      </c>
      <c r="J334" s="10">
        <v>1097</v>
      </c>
      <c r="K334" s="10">
        <v>23409018.52660758</v>
      </c>
    </row>
    <row r="335" spans="1:11" x14ac:dyDescent="0.35">
      <c r="A335" s="9" t="s">
        <v>402</v>
      </c>
      <c r="B335" s="10">
        <v>552</v>
      </c>
      <c r="C335" s="10">
        <v>10</v>
      </c>
      <c r="D335" s="10">
        <v>4</v>
      </c>
      <c r="E335" s="10">
        <v>514</v>
      </c>
      <c r="F335" s="10">
        <v>16280371.905329645</v>
      </c>
      <c r="G335" s="10">
        <v>538</v>
      </c>
      <c r="H335" s="10">
        <v>10</v>
      </c>
      <c r="I335" s="10">
        <v>5</v>
      </c>
      <c r="J335" s="10">
        <v>533</v>
      </c>
      <c r="K335" s="10">
        <v>18533238.252133962</v>
      </c>
    </row>
    <row r="336" spans="1:11" x14ac:dyDescent="0.35">
      <c r="A336" s="9" t="s">
        <v>403</v>
      </c>
      <c r="B336" s="10">
        <v>262</v>
      </c>
      <c r="C336" s="10">
        <v>2</v>
      </c>
      <c r="D336" s="10">
        <v>0</v>
      </c>
      <c r="E336" s="10">
        <v>231</v>
      </c>
      <c r="F336" s="10">
        <v>6762261.2748649549</v>
      </c>
      <c r="G336" s="10">
        <v>277</v>
      </c>
      <c r="H336" s="10">
        <v>4</v>
      </c>
      <c r="I336" s="10">
        <v>0</v>
      </c>
      <c r="J336" s="10">
        <v>237</v>
      </c>
      <c r="K336" s="10">
        <v>7553488.4064115006</v>
      </c>
    </row>
    <row r="337" spans="1:11" x14ac:dyDescent="0.35">
      <c r="A337" s="9" t="s">
        <v>404</v>
      </c>
      <c r="B337" s="10">
        <v>848</v>
      </c>
      <c r="C337" s="10">
        <v>21</v>
      </c>
      <c r="D337" s="10">
        <v>4</v>
      </c>
      <c r="E337" s="10">
        <v>919</v>
      </c>
      <c r="F337" s="10">
        <v>30302631.72799198</v>
      </c>
      <c r="G337" s="10">
        <v>871</v>
      </c>
      <c r="H337" s="10">
        <v>12</v>
      </c>
      <c r="I337" s="10">
        <v>4</v>
      </c>
      <c r="J337" s="10">
        <v>785</v>
      </c>
      <c r="K337" s="10">
        <v>27649527.145293377</v>
      </c>
    </row>
    <row r="338" spans="1:11" x14ac:dyDescent="0.35">
      <c r="A338" s="9" t="s">
        <v>405</v>
      </c>
      <c r="B338" s="10">
        <v>727</v>
      </c>
      <c r="C338" s="10">
        <v>10</v>
      </c>
      <c r="D338" s="10">
        <v>3</v>
      </c>
      <c r="E338" s="10">
        <v>595</v>
      </c>
      <c r="F338" s="10">
        <v>25394009.16487515</v>
      </c>
      <c r="G338" s="10">
        <v>673</v>
      </c>
      <c r="H338" s="10">
        <v>5</v>
      </c>
      <c r="I338" s="10">
        <v>2</v>
      </c>
      <c r="J338" s="10">
        <v>591</v>
      </c>
      <c r="K338" s="10">
        <v>17212727.999832954</v>
      </c>
    </row>
    <row r="339" spans="1:11" x14ac:dyDescent="0.35">
      <c r="A339" s="9" t="s">
        <v>406</v>
      </c>
      <c r="B339" s="10">
        <v>228</v>
      </c>
      <c r="C339" s="10">
        <v>1</v>
      </c>
      <c r="D339" s="10">
        <v>3</v>
      </c>
      <c r="E339" s="10">
        <v>149</v>
      </c>
      <c r="F339" s="10">
        <v>9635723.5193884037</v>
      </c>
      <c r="G339" s="10">
        <v>227</v>
      </c>
      <c r="H339" s="10">
        <v>1</v>
      </c>
      <c r="I339" s="10">
        <v>3</v>
      </c>
      <c r="J339" s="10">
        <v>166</v>
      </c>
      <c r="K339" s="10">
        <v>9535794.3590294588</v>
      </c>
    </row>
    <row r="340" spans="1:11" x14ac:dyDescent="0.35">
      <c r="A340" s="9" t="s">
        <v>407</v>
      </c>
      <c r="B340" s="10">
        <v>825</v>
      </c>
      <c r="C340" s="10">
        <v>25</v>
      </c>
      <c r="D340" s="10">
        <v>5</v>
      </c>
      <c r="E340" s="10">
        <v>861</v>
      </c>
      <c r="F340" s="10">
        <v>23561415.831943206</v>
      </c>
      <c r="G340" s="10">
        <v>848</v>
      </c>
      <c r="H340" s="10">
        <v>11</v>
      </c>
      <c r="I340" s="10">
        <v>6</v>
      </c>
      <c r="J340" s="10">
        <v>741</v>
      </c>
      <c r="K340" s="10">
        <v>25988023.840491489</v>
      </c>
    </row>
    <row r="341" spans="1:11" x14ac:dyDescent="0.35">
      <c r="A341" s="9" t="s">
        <v>408</v>
      </c>
      <c r="B341" s="10">
        <v>1199</v>
      </c>
      <c r="C341" s="10">
        <v>18</v>
      </c>
      <c r="D341" s="10">
        <v>7</v>
      </c>
      <c r="E341" s="10">
        <v>1091</v>
      </c>
      <c r="F341" s="10">
        <v>49668068.924370401</v>
      </c>
      <c r="G341" s="10">
        <v>1254</v>
      </c>
      <c r="H341" s="10">
        <v>18</v>
      </c>
      <c r="I341" s="10">
        <v>9</v>
      </c>
      <c r="J341" s="10">
        <v>1181</v>
      </c>
      <c r="K341" s="10">
        <v>55272757.919828035</v>
      </c>
    </row>
    <row r="342" spans="1:11" x14ac:dyDescent="0.35">
      <c r="A342" s="9" t="s">
        <v>409</v>
      </c>
      <c r="B342" s="10">
        <v>138</v>
      </c>
      <c r="C342" s="10">
        <v>0</v>
      </c>
      <c r="D342" s="10">
        <v>4</v>
      </c>
      <c r="E342" s="10">
        <v>162</v>
      </c>
      <c r="F342" s="10">
        <v>7587862.0206090147</v>
      </c>
      <c r="G342" s="10">
        <v>149</v>
      </c>
      <c r="H342" s="10">
        <v>2</v>
      </c>
      <c r="I342" s="10">
        <v>5</v>
      </c>
      <c r="J342" s="10">
        <v>132</v>
      </c>
      <c r="K342" s="10">
        <v>7690307.3350407416</v>
      </c>
    </row>
    <row r="343" spans="1:11" x14ac:dyDescent="0.35">
      <c r="A343" s="9" t="s">
        <v>410</v>
      </c>
      <c r="B343" s="10">
        <v>1411</v>
      </c>
      <c r="C343" s="10">
        <v>14</v>
      </c>
      <c r="D343" s="10">
        <v>4</v>
      </c>
      <c r="E343" s="10">
        <v>1251</v>
      </c>
      <c r="F343" s="10">
        <v>50668798.663550816</v>
      </c>
      <c r="G343" s="10">
        <v>1420</v>
      </c>
      <c r="H343" s="10">
        <v>13</v>
      </c>
      <c r="I343" s="10">
        <v>4</v>
      </c>
      <c r="J343" s="10">
        <v>1103</v>
      </c>
      <c r="K343" s="10">
        <v>55196795.312151857</v>
      </c>
    </row>
    <row r="344" spans="1:11" x14ac:dyDescent="0.35">
      <c r="A344" s="9" t="s">
        <v>411</v>
      </c>
      <c r="B344" s="10">
        <v>171</v>
      </c>
      <c r="C344" s="10">
        <v>0</v>
      </c>
      <c r="D344" s="10">
        <v>0</v>
      </c>
      <c r="E344" s="10">
        <v>169</v>
      </c>
      <c r="F344" s="10">
        <v>5472332.2844788413</v>
      </c>
      <c r="G344" s="10">
        <v>163</v>
      </c>
      <c r="H344" s="10">
        <v>1</v>
      </c>
      <c r="I344" s="10">
        <v>0</v>
      </c>
      <c r="J344" s="10">
        <v>83</v>
      </c>
      <c r="K344" s="10">
        <v>4696489.4116366971</v>
      </c>
    </row>
    <row r="345" spans="1:11" x14ac:dyDescent="0.35">
      <c r="A345" s="9" t="s">
        <v>412</v>
      </c>
      <c r="B345" s="10">
        <v>798</v>
      </c>
      <c r="C345" s="10">
        <v>25</v>
      </c>
      <c r="D345" s="10">
        <v>2</v>
      </c>
      <c r="E345" s="10">
        <v>692</v>
      </c>
      <c r="F345" s="10">
        <v>32708147.704524182</v>
      </c>
      <c r="G345" s="10">
        <v>764</v>
      </c>
      <c r="H345" s="10">
        <v>7</v>
      </c>
      <c r="I345" s="10">
        <v>4</v>
      </c>
      <c r="J345" s="10">
        <v>688</v>
      </c>
      <c r="K345" s="10">
        <v>29598367.3633653</v>
      </c>
    </row>
    <row r="346" spans="1:11" x14ac:dyDescent="0.35">
      <c r="A346" s="9" t="s">
        <v>413</v>
      </c>
      <c r="B346" s="10">
        <v>649</v>
      </c>
      <c r="C346" s="10">
        <v>16</v>
      </c>
      <c r="D346" s="10">
        <v>3</v>
      </c>
      <c r="E346" s="10">
        <v>189</v>
      </c>
      <c r="F346" s="10">
        <v>20453540.379569679</v>
      </c>
      <c r="G346" s="10">
        <v>642</v>
      </c>
      <c r="H346" s="10">
        <v>3</v>
      </c>
      <c r="I346" s="10">
        <v>4</v>
      </c>
      <c r="J346" s="10">
        <v>769</v>
      </c>
      <c r="K346" s="10">
        <v>20341039.333766874</v>
      </c>
    </row>
    <row r="347" spans="1:11" x14ac:dyDescent="0.35">
      <c r="A347" s="9" t="s">
        <v>414</v>
      </c>
      <c r="B347" s="10">
        <v>1139</v>
      </c>
      <c r="C347" s="10">
        <v>14</v>
      </c>
      <c r="D347" s="10">
        <v>9</v>
      </c>
      <c r="E347" s="10">
        <v>1193</v>
      </c>
      <c r="F347" s="10">
        <v>41550373.020025946</v>
      </c>
      <c r="G347" s="10">
        <v>1120</v>
      </c>
      <c r="H347" s="10">
        <v>16</v>
      </c>
      <c r="I347" s="10">
        <v>9</v>
      </c>
      <c r="J347" s="10">
        <v>1090</v>
      </c>
      <c r="K347" s="10">
        <v>41130791.252575099</v>
      </c>
    </row>
    <row r="348" spans="1:11" x14ac:dyDescent="0.35">
      <c r="A348" s="9" t="s">
        <v>415</v>
      </c>
      <c r="B348" s="10">
        <v>739</v>
      </c>
      <c r="C348" s="10">
        <v>7</v>
      </c>
      <c r="D348" s="10">
        <v>1</v>
      </c>
      <c r="E348" s="10">
        <v>721</v>
      </c>
      <c r="F348" s="10">
        <v>16762412.842189012</v>
      </c>
      <c r="G348" s="10">
        <v>713</v>
      </c>
      <c r="H348" s="10">
        <v>6</v>
      </c>
      <c r="I348" s="10">
        <v>2</v>
      </c>
      <c r="J348" s="10">
        <v>668</v>
      </c>
      <c r="K348" s="10">
        <v>12144838.473683052</v>
      </c>
    </row>
    <row r="349" spans="1:11" x14ac:dyDescent="0.35">
      <c r="A349" s="9" t="s">
        <v>416</v>
      </c>
      <c r="B349" s="10">
        <v>655</v>
      </c>
      <c r="C349" s="10">
        <v>19</v>
      </c>
      <c r="D349" s="10">
        <v>10</v>
      </c>
      <c r="E349" s="10">
        <v>605</v>
      </c>
      <c r="F349" s="10">
        <v>14752775.73071762</v>
      </c>
      <c r="G349" s="10">
        <v>588</v>
      </c>
      <c r="H349" s="10">
        <v>5</v>
      </c>
      <c r="I349" s="10">
        <v>8</v>
      </c>
      <c r="J349" s="10">
        <v>579</v>
      </c>
      <c r="K349" s="10">
        <v>5608010.0229310095</v>
      </c>
    </row>
    <row r="350" spans="1:11" x14ac:dyDescent="0.35">
      <c r="A350" s="9" t="s">
        <v>417</v>
      </c>
      <c r="B350" s="10">
        <v>1183</v>
      </c>
      <c r="C350" s="10">
        <v>15</v>
      </c>
      <c r="D350" s="10">
        <v>4</v>
      </c>
      <c r="E350" s="10">
        <v>983</v>
      </c>
      <c r="F350" s="10">
        <v>30363300.934063911</v>
      </c>
      <c r="G350" s="10">
        <v>1064</v>
      </c>
      <c r="H350" s="10">
        <v>11</v>
      </c>
      <c r="I350" s="10">
        <v>2</v>
      </c>
      <c r="J350" s="10">
        <v>810</v>
      </c>
      <c r="K350" s="10">
        <v>29010306.388613567</v>
      </c>
    </row>
    <row r="351" spans="1:11" x14ac:dyDescent="0.35">
      <c r="A351" s="9" t="s">
        <v>418</v>
      </c>
      <c r="B351" s="10">
        <v>630</v>
      </c>
      <c r="C351" s="10">
        <v>13</v>
      </c>
      <c r="D351" s="10">
        <v>4</v>
      </c>
      <c r="E351" s="10">
        <v>705</v>
      </c>
      <c r="F351" s="10">
        <v>17937278.626073852</v>
      </c>
      <c r="G351" s="10">
        <v>663</v>
      </c>
      <c r="H351" s="10">
        <v>15</v>
      </c>
      <c r="I351" s="10">
        <v>4</v>
      </c>
      <c r="J351" s="10">
        <v>729</v>
      </c>
      <c r="K351" s="10">
        <v>17348930.461795349</v>
      </c>
    </row>
    <row r="352" spans="1:11" x14ac:dyDescent="0.35">
      <c r="A352" s="9" t="s">
        <v>419</v>
      </c>
      <c r="B352" s="10">
        <v>1312</v>
      </c>
      <c r="C352" s="10">
        <v>27</v>
      </c>
      <c r="D352" s="10">
        <v>7</v>
      </c>
      <c r="E352" s="10">
        <v>1117</v>
      </c>
      <c r="F352" s="10">
        <v>43774821.467696965</v>
      </c>
      <c r="G352" s="10">
        <v>1276</v>
      </c>
      <c r="H352" s="10">
        <v>22</v>
      </c>
      <c r="I352" s="10">
        <v>6</v>
      </c>
      <c r="J352" s="10">
        <v>982</v>
      </c>
      <c r="K352" s="10">
        <v>40567921.955776379</v>
      </c>
    </row>
    <row r="353" spans="1:11" x14ac:dyDescent="0.35">
      <c r="A353" s="9" t="s">
        <v>420</v>
      </c>
      <c r="B353" s="10">
        <v>404</v>
      </c>
      <c r="C353" s="10">
        <v>2</v>
      </c>
      <c r="D353" s="10">
        <v>2</v>
      </c>
      <c r="E353" s="10">
        <v>637</v>
      </c>
      <c r="F353" s="10">
        <v>10822651.3868409</v>
      </c>
      <c r="G353" s="10">
        <v>395</v>
      </c>
      <c r="H353" s="10">
        <v>0</v>
      </c>
      <c r="I353" s="10">
        <v>2</v>
      </c>
      <c r="J353" s="10">
        <v>425</v>
      </c>
      <c r="K353" s="10">
        <v>8953518.1800085194</v>
      </c>
    </row>
    <row r="354" spans="1:11" x14ac:dyDescent="0.35">
      <c r="A354" s="9" t="s">
        <v>421</v>
      </c>
      <c r="B354" s="10">
        <v>801</v>
      </c>
      <c r="C354" s="10">
        <v>12</v>
      </c>
      <c r="D354" s="10">
        <v>4</v>
      </c>
      <c r="E354" s="10">
        <v>702</v>
      </c>
      <c r="F354" s="10">
        <v>23977966.545054045</v>
      </c>
      <c r="G354" s="10">
        <v>865</v>
      </c>
      <c r="H354" s="10">
        <v>4</v>
      </c>
      <c r="I354" s="10">
        <v>3</v>
      </c>
      <c r="J354" s="10">
        <v>951</v>
      </c>
      <c r="K354" s="10">
        <v>32130278.103857379</v>
      </c>
    </row>
    <row r="355" spans="1:11" x14ac:dyDescent="0.35">
      <c r="A355" s="9" t="s">
        <v>422</v>
      </c>
      <c r="B355" s="10">
        <v>922</v>
      </c>
      <c r="C355" s="10">
        <v>7</v>
      </c>
      <c r="D355" s="10">
        <v>3</v>
      </c>
      <c r="E355" s="10">
        <v>371</v>
      </c>
      <c r="F355" s="10">
        <v>12564383.551110625</v>
      </c>
      <c r="G355" s="10">
        <v>747</v>
      </c>
      <c r="H355" s="10">
        <v>2</v>
      </c>
      <c r="I355" s="10">
        <v>2</v>
      </c>
      <c r="J355" s="10">
        <v>373</v>
      </c>
      <c r="K355" s="10">
        <v>12544844.520644719</v>
      </c>
    </row>
    <row r="356" spans="1:11" x14ac:dyDescent="0.35">
      <c r="A356" s="9" t="s">
        <v>423</v>
      </c>
      <c r="B356" s="10">
        <v>2760</v>
      </c>
      <c r="C356" s="10">
        <v>18</v>
      </c>
      <c r="D356" s="10">
        <v>23</v>
      </c>
      <c r="E356" s="10">
        <v>1963</v>
      </c>
      <c r="F356" s="10">
        <v>71852485.38986887</v>
      </c>
      <c r="G356" s="10">
        <v>2348</v>
      </c>
      <c r="H356" s="10">
        <v>12</v>
      </c>
      <c r="I356" s="10">
        <v>21</v>
      </c>
      <c r="J356" s="10">
        <v>1747</v>
      </c>
      <c r="K356" s="10">
        <v>71816762.856907725</v>
      </c>
    </row>
    <row r="357" spans="1:11" x14ac:dyDescent="0.35">
      <c r="A357" s="9" t="s">
        <v>424</v>
      </c>
      <c r="B357" s="10">
        <v>2072</v>
      </c>
      <c r="C357" s="10">
        <v>33</v>
      </c>
      <c r="D357" s="10">
        <v>9</v>
      </c>
      <c r="E357" s="10">
        <v>2297</v>
      </c>
      <c r="F357" s="10">
        <v>57757451.302712798</v>
      </c>
      <c r="G357" s="10">
        <v>1983</v>
      </c>
      <c r="H357" s="10">
        <v>27</v>
      </c>
      <c r="I357" s="10">
        <v>9</v>
      </c>
      <c r="J357" s="10">
        <v>1871</v>
      </c>
      <c r="K357" s="10">
        <v>53536195.496994749</v>
      </c>
    </row>
    <row r="358" spans="1:11" x14ac:dyDescent="0.35">
      <c r="A358" s="9" t="s">
        <v>425</v>
      </c>
      <c r="B358" s="10">
        <v>663</v>
      </c>
      <c r="C358" s="10">
        <v>3</v>
      </c>
      <c r="D358" s="10">
        <v>4</v>
      </c>
      <c r="E358" s="10">
        <v>406</v>
      </c>
      <c r="F358" s="10">
        <v>14593999.855780035</v>
      </c>
      <c r="G358" s="10">
        <v>691</v>
      </c>
      <c r="H358" s="10">
        <v>8</v>
      </c>
      <c r="I358" s="10">
        <v>4</v>
      </c>
      <c r="J358" s="10">
        <v>671</v>
      </c>
      <c r="K358" s="10">
        <v>14465524.181697687</v>
      </c>
    </row>
    <row r="359" spans="1:11" x14ac:dyDescent="0.35">
      <c r="A359" s="9" t="s">
        <v>426</v>
      </c>
      <c r="B359" s="10">
        <v>1542</v>
      </c>
      <c r="C359" s="10">
        <v>11</v>
      </c>
      <c r="D359" s="10">
        <v>3</v>
      </c>
      <c r="E359" s="10">
        <v>1236</v>
      </c>
      <c r="F359" s="10">
        <v>36469546.858898737</v>
      </c>
      <c r="G359" s="10">
        <v>1418</v>
      </c>
      <c r="H359" s="10">
        <v>16</v>
      </c>
      <c r="I359" s="10">
        <v>4</v>
      </c>
      <c r="J359" s="10">
        <v>1196</v>
      </c>
      <c r="K359" s="10">
        <v>40935346.866523214</v>
      </c>
    </row>
    <row r="360" spans="1:11" x14ac:dyDescent="0.35">
      <c r="A360" s="9" t="s">
        <v>427</v>
      </c>
      <c r="B360" s="10">
        <v>1273</v>
      </c>
      <c r="C360" s="10">
        <v>18</v>
      </c>
      <c r="D360" s="10">
        <v>7</v>
      </c>
      <c r="E360" s="10">
        <v>1444</v>
      </c>
      <c r="F360" s="10">
        <v>29412107.70130581</v>
      </c>
      <c r="G360" s="10">
        <v>1152</v>
      </c>
      <c r="H360" s="10">
        <v>11</v>
      </c>
      <c r="I360" s="10">
        <v>7</v>
      </c>
      <c r="J360" s="10">
        <v>1388</v>
      </c>
      <c r="K360" s="10">
        <v>29093616.89450644</v>
      </c>
    </row>
    <row r="361" spans="1:11" x14ac:dyDescent="0.35">
      <c r="A361" s="9" t="s">
        <v>428</v>
      </c>
      <c r="B361" s="10">
        <v>1029</v>
      </c>
      <c r="C361" s="10">
        <v>14</v>
      </c>
      <c r="D361" s="10">
        <v>3</v>
      </c>
      <c r="E361" s="10">
        <v>900</v>
      </c>
      <c r="F361" s="10">
        <v>33367990.362686351</v>
      </c>
      <c r="G361" s="10">
        <v>1017</v>
      </c>
      <c r="H361" s="10">
        <v>6</v>
      </c>
      <c r="I361" s="10">
        <v>2</v>
      </c>
      <c r="J361" s="10">
        <v>895</v>
      </c>
      <c r="K361" s="10">
        <v>32453649.791626513</v>
      </c>
    </row>
    <row r="362" spans="1:11" x14ac:dyDescent="0.35">
      <c r="A362" s="9" t="s">
        <v>429</v>
      </c>
      <c r="B362" s="10">
        <v>2654</v>
      </c>
      <c r="C362" s="10">
        <v>38</v>
      </c>
      <c r="D362" s="10">
        <v>3</v>
      </c>
      <c r="E362" s="10">
        <v>2636</v>
      </c>
      <c r="F362" s="10">
        <v>75713713.87676014</v>
      </c>
      <c r="G362" s="10">
        <v>2536</v>
      </c>
      <c r="H362" s="10">
        <v>21</v>
      </c>
      <c r="I362" s="10">
        <v>3</v>
      </c>
      <c r="J362" s="10">
        <v>2554</v>
      </c>
      <c r="K362" s="10">
        <v>73916105.682661518</v>
      </c>
    </row>
    <row r="363" spans="1:11" x14ac:dyDescent="0.35">
      <c r="A363" s="9" t="s">
        <v>430</v>
      </c>
      <c r="B363" s="10">
        <v>798</v>
      </c>
      <c r="C363" s="10">
        <v>17</v>
      </c>
      <c r="D363" s="10">
        <v>9</v>
      </c>
      <c r="E363" s="10">
        <v>852</v>
      </c>
      <c r="F363" s="10">
        <v>28006490.438402951</v>
      </c>
      <c r="G363" s="10">
        <v>800</v>
      </c>
      <c r="H363" s="10">
        <v>9</v>
      </c>
      <c r="I363" s="10">
        <v>8</v>
      </c>
      <c r="J363" s="10">
        <v>920</v>
      </c>
      <c r="K363" s="10">
        <v>32129710.913417205</v>
      </c>
    </row>
    <row r="364" spans="1:11" x14ac:dyDescent="0.35">
      <c r="A364" s="9" t="s">
        <v>431</v>
      </c>
      <c r="B364" s="10">
        <v>3960</v>
      </c>
      <c r="C364" s="10">
        <v>48</v>
      </c>
      <c r="D364" s="10">
        <v>6</v>
      </c>
      <c r="E364" s="10">
        <v>2919</v>
      </c>
      <c r="F364" s="10">
        <v>87355609.047280326</v>
      </c>
      <c r="G364" s="10">
        <v>3704</v>
      </c>
      <c r="H364" s="10">
        <v>42</v>
      </c>
      <c r="I364" s="10">
        <v>7</v>
      </c>
      <c r="J364" s="10">
        <v>2963</v>
      </c>
      <c r="K364" s="10">
        <v>96327954.725873902</v>
      </c>
    </row>
    <row r="365" spans="1:11" x14ac:dyDescent="0.35">
      <c r="A365" s="9" t="s">
        <v>432</v>
      </c>
      <c r="B365" s="10">
        <v>1794</v>
      </c>
      <c r="C365" s="10">
        <v>19</v>
      </c>
      <c r="D365" s="10">
        <v>4</v>
      </c>
      <c r="E365" s="10">
        <v>1729</v>
      </c>
      <c r="F365" s="10">
        <v>59276214.39926143</v>
      </c>
      <c r="G365" s="10">
        <v>1781</v>
      </c>
      <c r="H365" s="10">
        <v>18</v>
      </c>
      <c r="I365" s="10">
        <v>4</v>
      </c>
      <c r="J365" s="10">
        <v>1700</v>
      </c>
      <c r="K365" s="10">
        <v>59792113.538542092</v>
      </c>
    </row>
    <row r="366" spans="1:11" x14ac:dyDescent="0.35">
      <c r="A366" s="9" t="s">
        <v>433</v>
      </c>
      <c r="B366" s="10">
        <v>1178</v>
      </c>
      <c r="C366" s="10">
        <v>20</v>
      </c>
      <c r="D366" s="10">
        <v>4</v>
      </c>
      <c r="E366" s="10">
        <v>1252</v>
      </c>
      <c r="F366" s="10">
        <v>41856683.551055014</v>
      </c>
      <c r="G366" s="10">
        <v>1065</v>
      </c>
      <c r="H366" s="10">
        <v>12</v>
      </c>
      <c r="I366" s="10">
        <v>3</v>
      </c>
      <c r="J366" s="10">
        <v>1147</v>
      </c>
      <c r="K366" s="10">
        <v>41016214.406485967</v>
      </c>
    </row>
    <row r="367" spans="1:11" x14ac:dyDescent="0.35">
      <c r="A367" s="9" t="s">
        <v>434</v>
      </c>
      <c r="B367" s="10">
        <v>1062</v>
      </c>
      <c r="C367" s="10">
        <v>9</v>
      </c>
      <c r="D367" s="10">
        <v>1</v>
      </c>
      <c r="E367" s="10">
        <v>695</v>
      </c>
      <c r="F367" s="10">
        <v>22616618.598311428</v>
      </c>
      <c r="G367" s="10">
        <v>1027</v>
      </c>
      <c r="H367" s="10">
        <v>7</v>
      </c>
      <c r="I367" s="10">
        <v>1</v>
      </c>
      <c r="J367" s="10">
        <v>577</v>
      </c>
      <c r="K367" s="10">
        <v>22464476.503384925</v>
      </c>
    </row>
    <row r="368" spans="1:11" x14ac:dyDescent="0.35">
      <c r="A368" s="9" t="s">
        <v>435</v>
      </c>
      <c r="B368" s="10">
        <v>1568</v>
      </c>
      <c r="C368" s="10">
        <v>24</v>
      </c>
      <c r="D368" s="10">
        <v>3</v>
      </c>
      <c r="E368" s="10">
        <v>1854</v>
      </c>
      <c r="F368" s="10">
        <v>53511453.200719751</v>
      </c>
      <c r="G368" s="10">
        <v>1585</v>
      </c>
      <c r="H368" s="10">
        <v>62</v>
      </c>
      <c r="I368" s="10">
        <v>3</v>
      </c>
      <c r="J368" s="10">
        <v>2330</v>
      </c>
      <c r="K368" s="10">
        <v>72887874.356125772</v>
      </c>
    </row>
    <row r="369" spans="1:11" x14ac:dyDescent="0.35">
      <c r="A369" s="9" t="s">
        <v>436</v>
      </c>
      <c r="B369" s="10">
        <v>1804</v>
      </c>
      <c r="C369" s="10">
        <v>19</v>
      </c>
      <c r="D369" s="10">
        <v>6</v>
      </c>
      <c r="E369" s="10">
        <v>1515</v>
      </c>
      <c r="F369" s="10">
        <v>36924152.459533699</v>
      </c>
      <c r="G369" s="10">
        <v>1660</v>
      </c>
      <c r="H369" s="10">
        <v>19</v>
      </c>
      <c r="I369" s="10">
        <v>8</v>
      </c>
      <c r="J369" s="10">
        <v>1703</v>
      </c>
      <c r="K369" s="10">
        <v>46727566.73788996</v>
      </c>
    </row>
    <row r="370" spans="1:11" x14ac:dyDescent="0.35">
      <c r="A370" s="9" t="s">
        <v>437</v>
      </c>
      <c r="B370" s="10">
        <v>1057</v>
      </c>
      <c r="C370" s="10">
        <v>22</v>
      </c>
      <c r="D370" s="10">
        <v>2</v>
      </c>
      <c r="E370" s="10">
        <v>973</v>
      </c>
      <c r="F370" s="10">
        <v>32004017.897716962</v>
      </c>
      <c r="G370" s="10">
        <v>955</v>
      </c>
      <c r="H370" s="10">
        <v>12</v>
      </c>
      <c r="I370" s="10">
        <v>2</v>
      </c>
      <c r="J370" s="10">
        <v>1167</v>
      </c>
      <c r="K370" s="10">
        <v>40588019.983012937</v>
      </c>
    </row>
    <row r="371" spans="1:11" x14ac:dyDescent="0.35">
      <c r="A371" s="9" t="s">
        <v>438</v>
      </c>
      <c r="B371" s="10">
        <v>3655</v>
      </c>
      <c r="C371" s="10">
        <v>36</v>
      </c>
      <c r="D371" s="10">
        <v>5</v>
      </c>
      <c r="E371" s="10">
        <v>2470</v>
      </c>
      <c r="F371" s="10">
        <v>84062458.34926489</v>
      </c>
      <c r="G371" s="10">
        <v>3600</v>
      </c>
      <c r="H371" s="10">
        <v>38</v>
      </c>
      <c r="I371" s="10">
        <v>6</v>
      </c>
      <c r="J371" s="10">
        <v>2567</v>
      </c>
      <c r="K371" s="10">
        <v>88208925.92222476</v>
      </c>
    </row>
    <row r="372" spans="1:11" x14ac:dyDescent="0.35">
      <c r="A372" s="9" t="s">
        <v>439</v>
      </c>
      <c r="B372" s="10">
        <v>1267</v>
      </c>
      <c r="C372" s="10">
        <v>10</v>
      </c>
      <c r="D372" s="10">
        <v>10</v>
      </c>
      <c r="E372" s="10">
        <v>991</v>
      </c>
      <c r="F372" s="10">
        <v>33199907.439341184</v>
      </c>
      <c r="G372" s="10">
        <v>1195</v>
      </c>
      <c r="H372" s="10">
        <v>5</v>
      </c>
      <c r="I372" s="10">
        <v>10</v>
      </c>
      <c r="J372" s="10">
        <v>931</v>
      </c>
      <c r="K372" s="10">
        <v>32554985.200807355</v>
      </c>
    </row>
    <row r="373" spans="1:11" x14ac:dyDescent="0.35">
      <c r="A373" s="9" t="s">
        <v>440</v>
      </c>
      <c r="B373" s="10">
        <v>1152</v>
      </c>
      <c r="C373" s="10">
        <v>11</v>
      </c>
      <c r="D373" s="10">
        <v>14</v>
      </c>
      <c r="E373" s="10">
        <v>807</v>
      </c>
      <c r="F373" s="10">
        <v>35737550.23599194</v>
      </c>
      <c r="G373" s="10">
        <v>1172</v>
      </c>
      <c r="H373" s="10">
        <v>5</v>
      </c>
      <c r="I373" s="10">
        <v>15</v>
      </c>
      <c r="J373" s="10">
        <v>1045</v>
      </c>
      <c r="K373" s="10">
        <v>48001254.516176552</v>
      </c>
    </row>
    <row r="374" spans="1:11" x14ac:dyDescent="0.35">
      <c r="A374" s="9" t="s">
        <v>441</v>
      </c>
      <c r="B374" s="10">
        <v>2033</v>
      </c>
      <c r="C374" s="10">
        <v>29</v>
      </c>
      <c r="D374" s="10">
        <v>5</v>
      </c>
      <c r="E374" s="10">
        <v>2018</v>
      </c>
      <c r="F374" s="10">
        <v>59539022.786163628</v>
      </c>
      <c r="G374" s="10">
        <v>1871</v>
      </c>
      <c r="H374" s="10">
        <v>94</v>
      </c>
      <c r="I374" s="10">
        <v>4</v>
      </c>
      <c r="J374" s="10">
        <v>1719</v>
      </c>
      <c r="K374" s="10">
        <v>56110985.559485495</v>
      </c>
    </row>
    <row r="375" spans="1:11" x14ac:dyDescent="0.35">
      <c r="A375" s="9" t="s">
        <v>442</v>
      </c>
      <c r="B375" s="10">
        <v>2347</v>
      </c>
      <c r="C375" s="10">
        <v>52</v>
      </c>
      <c r="D375" s="10">
        <v>2</v>
      </c>
      <c r="E375" s="10">
        <v>2050</v>
      </c>
      <c r="F375" s="10">
        <v>56377791.088821277</v>
      </c>
      <c r="G375" s="10">
        <v>2192</v>
      </c>
      <c r="H375" s="10">
        <v>13</v>
      </c>
      <c r="I375" s="10">
        <v>4</v>
      </c>
      <c r="J375" s="10">
        <v>1431</v>
      </c>
      <c r="K375" s="10">
        <v>39703617.699933037</v>
      </c>
    </row>
    <row r="376" spans="1:11" x14ac:dyDescent="0.35">
      <c r="A376" s="9" t="s">
        <v>443</v>
      </c>
      <c r="B376" s="10">
        <v>1767</v>
      </c>
      <c r="C376" s="10">
        <v>222</v>
      </c>
      <c r="D376" s="10">
        <v>4</v>
      </c>
      <c r="E376" s="10">
        <v>1042</v>
      </c>
      <c r="F376" s="10">
        <v>34563632.26471933</v>
      </c>
      <c r="G376" s="10">
        <v>1512</v>
      </c>
      <c r="H376" s="10">
        <v>154</v>
      </c>
      <c r="I376" s="10">
        <v>2</v>
      </c>
      <c r="J376" s="10">
        <v>878</v>
      </c>
      <c r="K376" s="10">
        <v>27630997.159322515</v>
      </c>
    </row>
    <row r="377" spans="1:11" x14ac:dyDescent="0.35">
      <c r="A377" s="9" t="s">
        <v>444</v>
      </c>
      <c r="B377" s="10">
        <v>950</v>
      </c>
      <c r="C377" s="10">
        <v>14</v>
      </c>
      <c r="D377" s="10">
        <v>3</v>
      </c>
      <c r="E377" s="10">
        <v>1351</v>
      </c>
      <c r="F377" s="10">
        <v>29780141.589239314</v>
      </c>
      <c r="G377" s="10">
        <v>938</v>
      </c>
      <c r="H377" s="10">
        <v>5</v>
      </c>
      <c r="I377" s="10">
        <v>4</v>
      </c>
      <c r="J377" s="10">
        <v>1122</v>
      </c>
      <c r="K377" s="10">
        <v>34314390.59804865</v>
      </c>
    </row>
    <row r="378" spans="1:11" x14ac:dyDescent="0.35">
      <c r="A378" s="9" t="s">
        <v>445</v>
      </c>
      <c r="B378" s="10">
        <v>4336</v>
      </c>
      <c r="C378" s="10">
        <v>76</v>
      </c>
      <c r="D378" s="10">
        <v>5</v>
      </c>
      <c r="E378" s="10">
        <v>3168</v>
      </c>
      <c r="F378" s="10">
        <v>89333289.316760719</v>
      </c>
      <c r="G378" s="10">
        <v>4529</v>
      </c>
      <c r="H378" s="10">
        <v>91</v>
      </c>
      <c r="I378" s="10">
        <v>7</v>
      </c>
      <c r="J378" s="10">
        <v>3541</v>
      </c>
      <c r="K378" s="10">
        <v>110733339.23647684</v>
      </c>
    </row>
    <row r="379" spans="1:11" x14ac:dyDescent="0.35">
      <c r="A379" s="9" t="s">
        <v>446</v>
      </c>
      <c r="B379" s="10">
        <v>1199</v>
      </c>
      <c r="C379" s="10">
        <v>117</v>
      </c>
      <c r="D379" s="10">
        <v>5</v>
      </c>
      <c r="E379" s="10">
        <v>1887</v>
      </c>
      <c r="F379" s="10">
        <v>40585129.617082372</v>
      </c>
      <c r="G379" s="10">
        <v>1311</v>
      </c>
      <c r="H379" s="10">
        <v>40</v>
      </c>
      <c r="I379" s="10">
        <v>4</v>
      </c>
      <c r="J379" s="10">
        <v>1494</v>
      </c>
      <c r="K379" s="10">
        <v>46189671.738244966</v>
      </c>
    </row>
    <row r="380" spans="1:11" x14ac:dyDescent="0.35">
      <c r="A380" s="9" t="s">
        <v>447</v>
      </c>
      <c r="B380" s="10">
        <v>1581</v>
      </c>
      <c r="C380" s="10">
        <v>24</v>
      </c>
      <c r="D380" s="10">
        <v>1</v>
      </c>
      <c r="E380" s="10">
        <v>1579</v>
      </c>
      <c r="F380" s="10">
        <v>38067616.85992343</v>
      </c>
      <c r="G380" s="10">
        <v>1469</v>
      </c>
      <c r="H380" s="10">
        <v>10</v>
      </c>
      <c r="I380" s="10">
        <v>2</v>
      </c>
      <c r="J380" s="10">
        <v>1412</v>
      </c>
      <c r="K380" s="10">
        <v>34433949.968425274</v>
      </c>
    </row>
    <row r="381" spans="1:11" x14ac:dyDescent="0.35">
      <c r="A381" s="9" t="s">
        <v>448</v>
      </c>
      <c r="B381" s="10">
        <v>2129</v>
      </c>
      <c r="C381" s="10">
        <v>21</v>
      </c>
      <c r="D381" s="10">
        <v>9</v>
      </c>
      <c r="E381" s="10">
        <v>2148</v>
      </c>
      <c r="F381" s="10">
        <v>64513499.523384981</v>
      </c>
      <c r="G381" s="10">
        <v>2070</v>
      </c>
      <c r="H381" s="10">
        <v>15</v>
      </c>
      <c r="I381" s="10">
        <v>9</v>
      </c>
      <c r="J381" s="10">
        <v>1977</v>
      </c>
      <c r="K381" s="10">
        <v>63705942.433637604</v>
      </c>
    </row>
    <row r="382" spans="1:11" x14ac:dyDescent="0.35">
      <c r="A382" s="9" t="s">
        <v>449</v>
      </c>
      <c r="B382" s="10">
        <v>1593</v>
      </c>
      <c r="C382" s="10">
        <v>12</v>
      </c>
      <c r="D382" s="10">
        <v>3</v>
      </c>
      <c r="E382" s="10">
        <v>1473</v>
      </c>
      <c r="F382" s="10">
        <v>37110792.688036494</v>
      </c>
      <c r="G382" s="10">
        <v>1519</v>
      </c>
      <c r="H382" s="10">
        <v>8</v>
      </c>
      <c r="I382" s="10">
        <v>2</v>
      </c>
      <c r="J382" s="10">
        <v>1249</v>
      </c>
      <c r="K382" s="10">
        <v>33041057.936730854</v>
      </c>
    </row>
    <row r="383" spans="1:11" x14ac:dyDescent="0.35">
      <c r="A383" s="9" t="s">
        <v>450</v>
      </c>
      <c r="B383" s="10">
        <v>699</v>
      </c>
      <c r="C383" s="10">
        <v>6</v>
      </c>
      <c r="D383" s="10">
        <v>3</v>
      </c>
      <c r="E383" s="10">
        <v>460</v>
      </c>
      <c r="F383" s="10">
        <v>12320640.309402978</v>
      </c>
      <c r="G383" s="10">
        <v>737</v>
      </c>
      <c r="H383" s="10">
        <v>2</v>
      </c>
      <c r="I383" s="10">
        <v>3</v>
      </c>
      <c r="J383" s="10">
        <v>454</v>
      </c>
      <c r="K383" s="10">
        <v>14571804.963295624</v>
      </c>
    </row>
    <row r="384" spans="1:11" x14ac:dyDescent="0.35">
      <c r="A384" s="9" t="s">
        <v>451</v>
      </c>
      <c r="B384" s="10">
        <v>2119</v>
      </c>
      <c r="C384" s="10">
        <v>319</v>
      </c>
      <c r="D384" s="10">
        <v>5</v>
      </c>
      <c r="E384" s="10">
        <v>1512</v>
      </c>
      <c r="F384" s="10">
        <v>40738520.986644208</v>
      </c>
      <c r="G384" s="10">
        <v>2541</v>
      </c>
      <c r="H384" s="10">
        <v>931</v>
      </c>
      <c r="I384" s="10">
        <v>5</v>
      </c>
      <c r="J384" s="10">
        <v>1614</v>
      </c>
      <c r="K384" s="10">
        <v>49292796.355112076</v>
      </c>
    </row>
    <row r="385" spans="1:11" x14ac:dyDescent="0.35">
      <c r="A385" s="9" t="s">
        <v>452</v>
      </c>
      <c r="B385" s="10">
        <v>1368</v>
      </c>
      <c r="C385" s="10">
        <v>11</v>
      </c>
      <c r="D385" s="10">
        <v>6</v>
      </c>
      <c r="E385" s="10">
        <v>1237</v>
      </c>
      <c r="F385" s="10">
        <v>43242019.081700571</v>
      </c>
      <c r="G385" s="10">
        <v>1322</v>
      </c>
      <c r="H385" s="10">
        <v>10</v>
      </c>
      <c r="I385" s="10">
        <v>6</v>
      </c>
      <c r="J385" s="10">
        <v>1136</v>
      </c>
      <c r="K385" s="10">
        <v>42194406.882693134</v>
      </c>
    </row>
    <row r="386" spans="1:11" x14ac:dyDescent="0.35">
      <c r="A386" s="9" t="s">
        <v>453</v>
      </c>
      <c r="B386" s="10">
        <v>1345</v>
      </c>
      <c r="C386" s="10">
        <v>12</v>
      </c>
      <c r="D386" s="10">
        <v>4</v>
      </c>
      <c r="E386" s="10">
        <v>1293</v>
      </c>
      <c r="F386" s="10">
        <v>35961257.716720887</v>
      </c>
      <c r="G386" s="10">
        <v>1361</v>
      </c>
      <c r="H386" s="10">
        <v>13</v>
      </c>
      <c r="I386" s="10">
        <v>5</v>
      </c>
      <c r="J386" s="10">
        <v>1406</v>
      </c>
      <c r="K386" s="10">
        <v>42237088.645143099</v>
      </c>
    </row>
    <row r="387" spans="1:11" x14ac:dyDescent="0.35">
      <c r="A387" s="9" t="s">
        <v>454</v>
      </c>
      <c r="B387" s="10">
        <v>2681</v>
      </c>
      <c r="C387" s="10">
        <v>48</v>
      </c>
      <c r="D387" s="10">
        <v>8</v>
      </c>
      <c r="E387" s="10">
        <v>2382</v>
      </c>
      <c r="F387" s="10">
        <v>68228043.647996157</v>
      </c>
      <c r="G387" s="10">
        <v>2667</v>
      </c>
      <c r="H387" s="10">
        <v>52</v>
      </c>
      <c r="I387" s="10">
        <v>7</v>
      </c>
      <c r="J387" s="10">
        <v>2461</v>
      </c>
      <c r="K387" s="10">
        <v>77149310.868703052</v>
      </c>
    </row>
    <row r="388" spans="1:11" x14ac:dyDescent="0.35">
      <c r="A388" s="9" t="s">
        <v>455</v>
      </c>
      <c r="B388" s="10">
        <v>2891</v>
      </c>
      <c r="C388" s="10">
        <v>40</v>
      </c>
      <c r="D388" s="10">
        <v>34</v>
      </c>
      <c r="E388" s="10">
        <v>2469</v>
      </c>
      <c r="F388" s="10">
        <v>106752691.82470763</v>
      </c>
      <c r="G388" s="10">
        <v>2760</v>
      </c>
      <c r="H388" s="10">
        <v>9</v>
      </c>
      <c r="I388" s="10">
        <v>23</v>
      </c>
      <c r="J388" s="10">
        <v>2250</v>
      </c>
      <c r="K388" s="10">
        <v>87486150.145877689</v>
      </c>
    </row>
    <row r="389" spans="1:11" x14ac:dyDescent="0.35">
      <c r="A389" s="9" t="s">
        <v>456</v>
      </c>
      <c r="B389" s="10">
        <v>1429</v>
      </c>
      <c r="C389" s="10">
        <v>22</v>
      </c>
      <c r="D389" s="10">
        <v>4</v>
      </c>
      <c r="E389" s="10">
        <v>3776</v>
      </c>
      <c r="F389" s="10">
        <v>42712836.732262179</v>
      </c>
      <c r="G389" s="10">
        <v>1375</v>
      </c>
      <c r="H389" s="10">
        <v>14</v>
      </c>
      <c r="I389" s="10">
        <v>3</v>
      </c>
      <c r="J389" s="10">
        <v>1429</v>
      </c>
      <c r="K389" s="10">
        <v>42325290.936285622</v>
      </c>
    </row>
    <row r="390" spans="1:11" x14ac:dyDescent="0.35">
      <c r="A390" s="9" t="s">
        <v>457</v>
      </c>
      <c r="B390" s="10">
        <v>560</v>
      </c>
      <c r="C390" s="10">
        <v>11</v>
      </c>
      <c r="D390" s="10">
        <v>0</v>
      </c>
      <c r="E390" s="10">
        <v>674</v>
      </c>
      <c r="F390" s="10">
        <v>18919586.563453615</v>
      </c>
      <c r="G390" s="10">
        <v>561</v>
      </c>
      <c r="H390" s="10">
        <v>7</v>
      </c>
      <c r="I390" s="10">
        <v>1</v>
      </c>
      <c r="J390" s="10">
        <v>858</v>
      </c>
      <c r="K390" s="10">
        <v>23263533.727143899</v>
      </c>
    </row>
    <row r="391" spans="1:11" x14ac:dyDescent="0.35">
      <c r="A391" s="9" t="s">
        <v>458</v>
      </c>
      <c r="B391" s="10">
        <v>1873</v>
      </c>
      <c r="C391" s="10">
        <v>15</v>
      </c>
      <c r="D391" s="10">
        <v>5</v>
      </c>
      <c r="E391" s="10">
        <v>1848</v>
      </c>
      <c r="F391" s="10">
        <v>45362161.481969096</v>
      </c>
      <c r="G391" s="10">
        <v>1815</v>
      </c>
      <c r="H391" s="10">
        <v>14</v>
      </c>
      <c r="I391" s="10">
        <v>4</v>
      </c>
      <c r="J391" s="10">
        <v>1949</v>
      </c>
      <c r="K391" s="10">
        <v>46172299.205540344</v>
      </c>
    </row>
    <row r="392" spans="1:11" x14ac:dyDescent="0.35">
      <c r="A392" s="9" t="s">
        <v>459</v>
      </c>
      <c r="B392" s="10">
        <v>3086</v>
      </c>
      <c r="C392" s="10">
        <v>38</v>
      </c>
      <c r="D392" s="10">
        <v>5</v>
      </c>
      <c r="E392" s="10">
        <v>2075</v>
      </c>
      <c r="F392" s="10">
        <v>64287543.420920163</v>
      </c>
      <c r="G392" s="10">
        <v>2995</v>
      </c>
      <c r="H392" s="10">
        <v>19</v>
      </c>
      <c r="I392" s="10">
        <v>4</v>
      </c>
      <c r="J392" s="10">
        <v>1643</v>
      </c>
      <c r="K392" s="10">
        <v>52517713.030218519</v>
      </c>
    </row>
    <row r="393" spans="1:11" x14ac:dyDescent="0.35">
      <c r="A393" s="9" t="s">
        <v>460</v>
      </c>
      <c r="B393" s="10">
        <v>3429</v>
      </c>
      <c r="C393" s="10">
        <v>90</v>
      </c>
      <c r="D393" s="10">
        <v>3</v>
      </c>
      <c r="E393" s="10">
        <v>2782</v>
      </c>
      <c r="F393" s="10">
        <v>82305201.023068845</v>
      </c>
      <c r="G393" s="10">
        <v>3297</v>
      </c>
      <c r="H393" s="10">
        <v>51</v>
      </c>
      <c r="I393" s="10">
        <v>2</v>
      </c>
      <c r="J393" s="10">
        <v>2365</v>
      </c>
      <c r="K393" s="10">
        <v>76925955.384418145</v>
      </c>
    </row>
    <row r="394" spans="1:11" x14ac:dyDescent="0.35">
      <c r="A394" s="9" t="s">
        <v>461</v>
      </c>
      <c r="B394" s="10">
        <v>1628</v>
      </c>
      <c r="C394" s="10">
        <v>31</v>
      </c>
      <c r="D394" s="10">
        <v>4</v>
      </c>
      <c r="E394" s="10">
        <v>1415</v>
      </c>
      <c r="F394" s="10">
        <v>33710605.841197893</v>
      </c>
      <c r="G394" s="10">
        <v>1657</v>
      </c>
      <c r="H394" s="10">
        <v>64</v>
      </c>
      <c r="I394" s="10">
        <v>3</v>
      </c>
      <c r="J394" s="10">
        <v>1636</v>
      </c>
      <c r="K394" s="10">
        <v>48725451.48518233</v>
      </c>
    </row>
    <row r="395" spans="1:11" x14ac:dyDescent="0.35">
      <c r="A395" s="9" t="s">
        <v>462</v>
      </c>
      <c r="B395" s="10">
        <v>884</v>
      </c>
      <c r="C395" s="10">
        <v>19</v>
      </c>
      <c r="D395" s="10">
        <v>3</v>
      </c>
      <c r="E395" s="10">
        <v>1336</v>
      </c>
      <c r="F395" s="10">
        <v>33935760.305552907</v>
      </c>
      <c r="G395" s="10">
        <v>887</v>
      </c>
      <c r="H395" s="10">
        <v>16</v>
      </c>
      <c r="I395" s="10">
        <v>3</v>
      </c>
      <c r="J395" s="10">
        <v>1480</v>
      </c>
      <c r="K395" s="10">
        <v>42008934.509824641</v>
      </c>
    </row>
    <row r="396" spans="1:11" x14ac:dyDescent="0.35">
      <c r="A396" s="9" t="s">
        <v>463</v>
      </c>
      <c r="B396" s="10">
        <v>934</v>
      </c>
      <c r="C396" s="10">
        <v>12</v>
      </c>
      <c r="D396" s="10">
        <v>1</v>
      </c>
      <c r="E396" s="10">
        <v>840</v>
      </c>
      <c r="F396" s="10">
        <v>27679521.160031524</v>
      </c>
      <c r="G396" s="10">
        <v>913</v>
      </c>
      <c r="H396" s="10">
        <v>5</v>
      </c>
      <c r="I396" s="10">
        <v>0</v>
      </c>
      <c r="J396" s="10">
        <v>766</v>
      </c>
      <c r="K396" s="10">
        <v>25589979.595045619</v>
      </c>
    </row>
    <row r="397" spans="1:11" x14ac:dyDescent="0.35">
      <c r="A397" s="9" t="s">
        <v>464</v>
      </c>
      <c r="B397" s="10">
        <v>791</v>
      </c>
      <c r="C397" s="10">
        <v>10</v>
      </c>
      <c r="D397" s="10">
        <v>2</v>
      </c>
      <c r="E397" s="10">
        <v>814</v>
      </c>
      <c r="F397" s="10">
        <v>29666534.553352248</v>
      </c>
      <c r="G397" s="10">
        <v>774</v>
      </c>
      <c r="H397" s="10">
        <v>9</v>
      </c>
      <c r="I397" s="10">
        <v>2</v>
      </c>
      <c r="J397" s="10">
        <v>655</v>
      </c>
      <c r="K397" s="10">
        <v>26248081.396159854</v>
      </c>
    </row>
    <row r="398" spans="1:11" x14ac:dyDescent="0.35">
      <c r="A398" s="9" t="s">
        <v>465</v>
      </c>
      <c r="B398" s="10">
        <v>1566</v>
      </c>
      <c r="C398" s="10">
        <v>21</v>
      </c>
      <c r="D398" s="10">
        <v>5</v>
      </c>
      <c r="E398" s="10">
        <v>1462</v>
      </c>
      <c r="F398" s="10">
        <v>47175658.676434256</v>
      </c>
      <c r="G398" s="10">
        <v>1482</v>
      </c>
      <c r="H398" s="10">
        <v>17</v>
      </c>
      <c r="I398" s="10">
        <v>7</v>
      </c>
      <c r="J398" s="10">
        <v>1390</v>
      </c>
      <c r="K398" s="10">
        <v>50120130.956534132</v>
      </c>
    </row>
    <row r="399" spans="1:11" x14ac:dyDescent="0.35">
      <c r="A399" s="9" t="s">
        <v>466</v>
      </c>
      <c r="B399" s="10">
        <v>2458</v>
      </c>
      <c r="C399" s="10">
        <v>29</v>
      </c>
      <c r="D399" s="10">
        <v>3</v>
      </c>
      <c r="E399" s="10">
        <v>1921</v>
      </c>
      <c r="F399" s="10">
        <v>57315082.452520527</v>
      </c>
      <c r="G399" s="10">
        <v>2482</v>
      </c>
      <c r="H399" s="10">
        <v>41</v>
      </c>
      <c r="I399" s="10">
        <v>3</v>
      </c>
      <c r="J399" s="10">
        <v>2399</v>
      </c>
      <c r="K399" s="10">
        <v>80649671.170836881</v>
      </c>
    </row>
    <row r="400" spans="1:11" x14ac:dyDescent="0.35">
      <c r="A400" s="9" t="s">
        <v>467</v>
      </c>
      <c r="B400" s="10">
        <v>1873</v>
      </c>
      <c r="C400" s="10">
        <v>24</v>
      </c>
      <c r="D400" s="10">
        <v>4</v>
      </c>
      <c r="E400" s="10">
        <v>2161</v>
      </c>
      <c r="F400" s="10">
        <v>51321679.858868904</v>
      </c>
      <c r="G400" s="10">
        <v>1837</v>
      </c>
      <c r="H400" s="10">
        <v>23</v>
      </c>
      <c r="I400" s="10">
        <v>4</v>
      </c>
      <c r="J400" s="10">
        <v>2448</v>
      </c>
      <c r="K400" s="10">
        <v>61172153.231702834</v>
      </c>
    </row>
    <row r="401" spans="1:11" x14ac:dyDescent="0.35">
      <c r="A401" s="9" t="s">
        <v>468</v>
      </c>
      <c r="B401" s="10">
        <v>2677</v>
      </c>
      <c r="C401" s="10">
        <v>46</v>
      </c>
      <c r="D401" s="10">
        <v>2</v>
      </c>
      <c r="E401" s="10">
        <v>2817</v>
      </c>
      <c r="F401" s="10">
        <v>76049269.581872448</v>
      </c>
      <c r="G401" s="10">
        <v>2579</v>
      </c>
      <c r="H401" s="10">
        <v>96</v>
      </c>
      <c r="I401" s="10">
        <v>2</v>
      </c>
      <c r="J401" s="10">
        <v>2516</v>
      </c>
      <c r="K401" s="10">
        <v>71159286.724031836</v>
      </c>
    </row>
    <row r="402" spans="1:11" x14ac:dyDescent="0.35">
      <c r="A402" s="9" t="s">
        <v>469</v>
      </c>
      <c r="B402" s="10">
        <v>1017</v>
      </c>
      <c r="C402" s="10">
        <v>13</v>
      </c>
      <c r="D402" s="10">
        <v>3</v>
      </c>
      <c r="E402" s="10">
        <v>1249</v>
      </c>
      <c r="F402" s="10">
        <v>31409656.610897139</v>
      </c>
      <c r="G402" s="10">
        <v>993</v>
      </c>
      <c r="H402" s="10">
        <v>10</v>
      </c>
      <c r="I402" s="10">
        <v>3</v>
      </c>
      <c r="J402" s="10">
        <v>1137</v>
      </c>
      <c r="K402" s="10">
        <v>30411897.167433158</v>
      </c>
    </row>
    <row r="403" spans="1:11" x14ac:dyDescent="0.35">
      <c r="A403" s="9" t="s">
        <v>470</v>
      </c>
      <c r="B403" s="10">
        <v>2463</v>
      </c>
      <c r="C403" s="10">
        <v>23</v>
      </c>
      <c r="D403" s="10">
        <v>4</v>
      </c>
      <c r="E403" s="10">
        <v>2166</v>
      </c>
      <c r="F403" s="10">
        <v>53643812.302871227</v>
      </c>
      <c r="G403" s="10">
        <v>2409</v>
      </c>
      <c r="H403" s="10">
        <v>26</v>
      </c>
      <c r="I403" s="10">
        <v>4</v>
      </c>
      <c r="J403" s="10">
        <v>2222</v>
      </c>
      <c r="K403" s="10">
        <v>58654260.043657631</v>
      </c>
    </row>
    <row r="404" spans="1:11" x14ac:dyDescent="0.35">
      <c r="A404" s="9" t="s">
        <v>471</v>
      </c>
      <c r="B404" s="10">
        <v>1391</v>
      </c>
      <c r="C404" s="10">
        <v>15</v>
      </c>
      <c r="D404" s="10">
        <v>3</v>
      </c>
      <c r="E404" s="10">
        <v>1298</v>
      </c>
      <c r="F404" s="10">
        <v>29675427.920548107</v>
      </c>
      <c r="G404" s="10">
        <v>1353</v>
      </c>
      <c r="H404" s="10">
        <v>10</v>
      </c>
      <c r="I404" s="10">
        <v>3</v>
      </c>
      <c r="J404" s="10">
        <v>1268</v>
      </c>
      <c r="K404" s="10">
        <v>32808108.502246559</v>
      </c>
    </row>
    <row r="405" spans="1:11" x14ac:dyDescent="0.35">
      <c r="A405" s="9" t="s">
        <v>472</v>
      </c>
      <c r="B405" s="10">
        <v>3031</v>
      </c>
      <c r="C405" s="10">
        <v>20</v>
      </c>
      <c r="D405" s="10">
        <v>7</v>
      </c>
      <c r="E405" s="10">
        <v>2584</v>
      </c>
      <c r="F405" s="10">
        <v>73768088.754792452</v>
      </c>
      <c r="G405" s="10">
        <v>2897</v>
      </c>
      <c r="H405" s="10">
        <v>18</v>
      </c>
      <c r="I405" s="10">
        <v>9</v>
      </c>
      <c r="J405" s="10">
        <v>2365</v>
      </c>
      <c r="K405" s="10">
        <v>65483283.54771775</v>
      </c>
    </row>
    <row r="406" spans="1:11" x14ac:dyDescent="0.35">
      <c r="A406" s="9" t="s">
        <v>473</v>
      </c>
      <c r="B406" s="10">
        <v>1569</v>
      </c>
      <c r="C406" s="10">
        <v>12</v>
      </c>
      <c r="D406" s="10">
        <v>1</v>
      </c>
      <c r="E406" s="10">
        <v>1294</v>
      </c>
      <c r="F406" s="10">
        <v>37912102.4271264</v>
      </c>
      <c r="G406" s="10">
        <v>1579</v>
      </c>
      <c r="H406" s="10">
        <v>11</v>
      </c>
      <c r="I406" s="10">
        <v>1</v>
      </c>
      <c r="J406" s="10">
        <v>1210</v>
      </c>
      <c r="K406" s="10">
        <v>39267020.154443845</v>
      </c>
    </row>
    <row r="407" spans="1:11" x14ac:dyDescent="0.35">
      <c r="A407" s="9" t="s">
        <v>474</v>
      </c>
      <c r="B407" s="10">
        <v>1742</v>
      </c>
      <c r="C407" s="10">
        <v>45</v>
      </c>
      <c r="D407" s="10">
        <v>4</v>
      </c>
      <c r="E407" s="10">
        <v>1522</v>
      </c>
      <c r="F407" s="10">
        <v>41366160.599595696</v>
      </c>
      <c r="G407" s="10">
        <v>1704</v>
      </c>
      <c r="H407" s="10">
        <v>22</v>
      </c>
      <c r="I407" s="10">
        <v>4</v>
      </c>
      <c r="J407" s="10">
        <v>1472</v>
      </c>
      <c r="K407" s="10">
        <v>44691050.842286326</v>
      </c>
    </row>
    <row r="408" spans="1:11" x14ac:dyDescent="0.35">
      <c r="A408" s="9" t="s">
        <v>475</v>
      </c>
      <c r="B408" s="10">
        <v>1100</v>
      </c>
      <c r="C408" s="10">
        <v>19</v>
      </c>
      <c r="D408" s="10">
        <v>5</v>
      </c>
      <c r="E408" s="10">
        <v>1497</v>
      </c>
      <c r="F408" s="10">
        <v>37478212.81142357</v>
      </c>
      <c r="G408" s="10">
        <v>1011</v>
      </c>
      <c r="H408" s="10">
        <v>14</v>
      </c>
      <c r="I408" s="10">
        <v>4</v>
      </c>
      <c r="J408" s="10">
        <v>1474</v>
      </c>
      <c r="K408" s="10">
        <v>40384788.293851681</v>
      </c>
    </row>
    <row r="409" spans="1:11" x14ac:dyDescent="0.35">
      <c r="A409" s="9" t="s">
        <v>476</v>
      </c>
      <c r="B409" s="10">
        <v>786</v>
      </c>
      <c r="C409" s="10">
        <v>17</v>
      </c>
      <c r="D409" s="10">
        <v>4</v>
      </c>
      <c r="E409" s="10">
        <v>1259</v>
      </c>
      <c r="F409" s="10">
        <v>33515250.939142704</v>
      </c>
      <c r="G409" s="10">
        <v>838</v>
      </c>
      <c r="H409" s="10">
        <v>13</v>
      </c>
      <c r="I409" s="10">
        <v>4</v>
      </c>
      <c r="J409" s="10">
        <v>1517</v>
      </c>
      <c r="K409" s="10">
        <v>39965632.28871306</v>
      </c>
    </row>
    <row r="410" spans="1:11" x14ac:dyDescent="0.35">
      <c r="A410" s="9" t="s">
        <v>477</v>
      </c>
      <c r="B410" s="10">
        <v>1761</v>
      </c>
      <c r="C410" s="10">
        <v>18</v>
      </c>
      <c r="D410" s="10">
        <v>3</v>
      </c>
      <c r="E410" s="10">
        <v>1807</v>
      </c>
      <c r="F410" s="10">
        <v>39249150.273049526</v>
      </c>
      <c r="G410" s="10">
        <v>1740</v>
      </c>
      <c r="H410" s="10">
        <v>15</v>
      </c>
      <c r="I410" s="10">
        <v>3</v>
      </c>
      <c r="J410" s="10">
        <v>2003</v>
      </c>
      <c r="K410" s="10">
        <v>48705512.564902291</v>
      </c>
    </row>
    <row r="411" spans="1:11" x14ac:dyDescent="0.35">
      <c r="A411" s="9" t="s">
        <v>478</v>
      </c>
      <c r="B411" s="10">
        <v>2195</v>
      </c>
      <c r="C411" s="10">
        <v>22</v>
      </c>
      <c r="D411" s="10">
        <v>6</v>
      </c>
      <c r="E411" s="10">
        <v>1978</v>
      </c>
      <c r="F411" s="10">
        <v>46877722.650135696</v>
      </c>
      <c r="G411" s="10">
        <v>2111</v>
      </c>
      <c r="H411" s="10">
        <v>16</v>
      </c>
      <c r="I411" s="10">
        <v>5</v>
      </c>
      <c r="J411" s="10">
        <v>1940</v>
      </c>
      <c r="K411" s="10">
        <v>47464016.295045257</v>
      </c>
    </row>
    <row r="412" spans="1:11" x14ac:dyDescent="0.35">
      <c r="A412" s="9" t="s">
        <v>479</v>
      </c>
      <c r="B412" s="10">
        <v>3068</v>
      </c>
      <c r="C412" s="10">
        <v>21</v>
      </c>
      <c r="D412" s="10">
        <v>6</v>
      </c>
      <c r="E412" s="10">
        <v>3097</v>
      </c>
      <c r="F412" s="10">
        <v>72117296.694500655</v>
      </c>
      <c r="G412" s="10">
        <v>2912</v>
      </c>
      <c r="H412" s="10">
        <v>17</v>
      </c>
      <c r="I412" s="10">
        <v>5</v>
      </c>
      <c r="J412" s="10">
        <v>2660</v>
      </c>
      <c r="K412" s="10">
        <v>75452744.919304267</v>
      </c>
    </row>
    <row r="413" spans="1:11" x14ac:dyDescent="0.35">
      <c r="A413" s="9" t="s">
        <v>480</v>
      </c>
      <c r="B413" s="10">
        <v>1689</v>
      </c>
      <c r="C413" s="10">
        <v>10</v>
      </c>
      <c r="D413" s="10">
        <v>2</v>
      </c>
      <c r="E413" s="10">
        <v>1724</v>
      </c>
      <c r="F413" s="10">
        <v>43403809.81477192</v>
      </c>
      <c r="G413" s="10">
        <v>1700</v>
      </c>
      <c r="H413" s="10">
        <v>8</v>
      </c>
      <c r="I413" s="10">
        <v>2</v>
      </c>
      <c r="J413" s="10">
        <v>1720</v>
      </c>
      <c r="K413" s="10">
        <v>48812389.489607692</v>
      </c>
    </row>
    <row r="414" spans="1:11" x14ac:dyDescent="0.35">
      <c r="A414" s="9" t="s">
        <v>481</v>
      </c>
      <c r="B414" s="10">
        <v>1613</v>
      </c>
      <c r="C414" s="10">
        <v>11</v>
      </c>
      <c r="D414" s="10">
        <v>5</v>
      </c>
      <c r="E414" s="10">
        <v>1608</v>
      </c>
      <c r="F414" s="10">
        <v>44193646.934584528</v>
      </c>
      <c r="G414" s="10">
        <v>1644</v>
      </c>
      <c r="H414" s="10">
        <v>8</v>
      </c>
      <c r="I414" s="10">
        <v>8</v>
      </c>
      <c r="J414" s="10">
        <v>1801</v>
      </c>
      <c r="K414" s="10">
        <v>53132387.515618652</v>
      </c>
    </row>
    <row r="415" spans="1:11" x14ac:dyDescent="0.35">
      <c r="A415" s="9" t="s">
        <v>482</v>
      </c>
      <c r="B415" s="10">
        <v>1343</v>
      </c>
      <c r="C415" s="10">
        <v>14</v>
      </c>
      <c r="D415" s="10">
        <v>11</v>
      </c>
      <c r="E415" s="10">
        <v>1555</v>
      </c>
      <c r="F415" s="10">
        <v>44446804.296981402</v>
      </c>
      <c r="G415" s="10">
        <v>1304</v>
      </c>
      <c r="H415" s="10">
        <v>7</v>
      </c>
      <c r="I415" s="10">
        <v>14</v>
      </c>
      <c r="J415" s="10">
        <v>1518</v>
      </c>
      <c r="K415" s="10">
        <v>42266280.640049152</v>
      </c>
    </row>
    <row r="416" spans="1:11" x14ac:dyDescent="0.35">
      <c r="A416" s="9" t="s">
        <v>483</v>
      </c>
      <c r="B416" s="10">
        <v>2289</v>
      </c>
      <c r="C416" s="10">
        <v>43</v>
      </c>
      <c r="D416" s="10">
        <v>31</v>
      </c>
      <c r="E416" s="10">
        <v>1744</v>
      </c>
      <c r="F416" s="10">
        <v>84814156.605022684</v>
      </c>
      <c r="G416" s="10">
        <v>2151</v>
      </c>
      <c r="H416" s="10">
        <v>13</v>
      </c>
      <c r="I416" s="10">
        <v>23</v>
      </c>
      <c r="J416" s="10">
        <v>1529</v>
      </c>
      <c r="K416" s="10">
        <v>59800523.005886547</v>
      </c>
    </row>
    <row r="417" spans="1:11" x14ac:dyDescent="0.35">
      <c r="A417" s="9" t="s">
        <v>484</v>
      </c>
      <c r="B417" s="10">
        <v>2247</v>
      </c>
      <c r="C417" s="10">
        <v>29</v>
      </c>
      <c r="D417" s="10">
        <v>14</v>
      </c>
      <c r="E417" s="10">
        <v>2110</v>
      </c>
      <c r="F417" s="10">
        <v>65504021.362146959</v>
      </c>
      <c r="G417" s="10">
        <v>2134</v>
      </c>
      <c r="H417" s="10">
        <v>15</v>
      </c>
      <c r="I417" s="10">
        <v>14</v>
      </c>
      <c r="J417" s="10">
        <v>2252</v>
      </c>
      <c r="K417" s="10">
        <v>63107250.571478464</v>
      </c>
    </row>
    <row r="418" spans="1:11" x14ac:dyDescent="0.35">
      <c r="A418" s="9" t="s">
        <v>485</v>
      </c>
      <c r="B418" s="10">
        <v>1187</v>
      </c>
      <c r="C418" s="10">
        <v>10</v>
      </c>
      <c r="D418" s="10">
        <v>5</v>
      </c>
      <c r="E418" s="10">
        <v>1202</v>
      </c>
      <c r="F418" s="10">
        <v>25240232.878863245</v>
      </c>
      <c r="G418" s="10">
        <v>1131</v>
      </c>
      <c r="H418" s="10">
        <v>10</v>
      </c>
      <c r="I418" s="10">
        <v>6</v>
      </c>
      <c r="J418" s="10">
        <v>1294</v>
      </c>
      <c r="K418" s="10">
        <v>24652947.461556744</v>
      </c>
    </row>
    <row r="419" spans="1:11" x14ac:dyDescent="0.35">
      <c r="A419" s="9" t="s">
        <v>486</v>
      </c>
      <c r="B419" s="10">
        <v>1210</v>
      </c>
      <c r="C419" s="10">
        <v>28</v>
      </c>
      <c r="D419" s="10">
        <v>3</v>
      </c>
      <c r="E419" s="10">
        <v>1114</v>
      </c>
      <c r="F419" s="10">
        <v>37818262.000773422</v>
      </c>
      <c r="G419" s="10">
        <v>1205</v>
      </c>
      <c r="H419" s="10">
        <v>10</v>
      </c>
      <c r="I419" s="10">
        <v>2</v>
      </c>
      <c r="J419" s="10">
        <v>1045</v>
      </c>
      <c r="K419" s="10">
        <v>38789206.140595213</v>
      </c>
    </row>
    <row r="420" spans="1:11" x14ac:dyDescent="0.35">
      <c r="A420" s="9" t="s">
        <v>487</v>
      </c>
      <c r="B420" s="10">
        <v>1887</v>
      </c>
      <c r="C420" s="10">
        <v>46</v>
      </c>
      <c r="D420" s="10">
        <v>45</v>
      </c>
      <c r="E420" s="10">
        <v>1994</v>
      </c>
      <c r="F420" s="10">
        <v>63373623.747554637</v>
      </c>
      <c r="G420" s="10">
        <v>1873</v>
      </c>
      <c r="H420" s="10">
        <v>10</v>
      </c>
      <c r="I420" s="10">
        <v>39</v>
      </c>
      <c r="J420" s="10">
        <v>1870</v>
      </c>
      <c r="K420" s="10">
        <v>58020147.519576326</v>
      </c>
    </row>
    <row r="421" spans="1:11" x14ac:dyDescent="0.35">
      <c r="A421" s="9" t="s">
        <v>488</v>
      </c>
      <c r="B421" s="10">
        <v>1191</v>
      </c>
      <c r="C421" s="10">
        <v>33</v>
      </c>
      <c r="D421" s="10">
        <v>10</v>
      </c>
      <c r="E421" s="10">
        <v>941</v>
      </c>
      <c r="F421" s="10">
        <v>28678289.66789626</v>
      </c>
      <c r="G421" s="10">
        <v>1221</v>
      </c>
      <c r="H421" s="10">
        <v>19</v>
      </c>
      <c r="I421" s="10">
        <v>8</v>
      </c>
      <c r="J421" s="10">
        <v>850</v>
      </c>
      <c r="K421" s="10">
        <v>29425931.711670842</v>
      </c>
    </row>
    <row r="422" spans="1:11" x14ac:dyDescent="0.35">
      <c r="A422" s="9" t="s">
        <v>489</v>
      </c>
      <c r="B422" s="10">
        <v>1656</v>
      </c>
      <c r="C422" s="10">
        <v>11</v>
      </c>
      <c r="D422" s="10">
        <v>24</v>
      </c>
      <c r="E422" s="10">
        <v>1344</v>
      </c>
      <c r="F422" s="10">
        <v>54036227.728491798</v>
      </c>
      <c r="G422" s="10">
        <v>1617</v>
      </c>
      <c r="H422" s="10">
        <v>4</v>
      </c>
      <c r="I422" s="10">
        <v>20</v>
      </c>
      <c r="J422" s="10">
        <v>1278</v>
      </c>
      <c r="K422" s="10">
        <v>44146284.205118276</v>
      </c>
    </row>
    <row r="423" spans="1:11" x14ac:dyDescent="0.35">
      <c r="A423" s="9" t="s">
        <v>490</v>
      </c>
      <c r="B423" s="10">
        <v>836</v>
      </c>
      <c r="C423" s="10">
        <v>19</v>
      </c>
      <c r="D423" s="10">
        <v>2</v>
      </c>
      <c r="E423" s="10">
        <v>1318</v>
      </c>
      <c r="F423" s="10">
        <v>36309134.678164713</v>
      </c>
      <c r="G423" s="10">
        <v>848</v>
      </c>
      <c r="H423" s="10">
        <v>18</v>
      </c>
      <c r="I423" s="10">
        <v>4</v>
      </c>
      <c r="J423" s="10">
        <v>1525</v>
      </c>
      <c r="K423" s="10">
        <v>46339874.846847735</v>
      </c>
    </row>
    <row r="424" spans="1:11" x14ac:dyDescent="0.35">
      <c r="A424" s="9" t="s">
        <v>491</v>
      </c>
      <c r="B424" s="10">
        <v>986</v>
      </c>
      <c r="C424" s="10">
        <v>9</v>
      </c>
      <c r="D424" s="10">
        <v>2</v>
      </c>
      <c r="E424" s="10">
        <v>902</v>
      </c>
      <c r="F424" s="10">
        <v>30247893.039352231</v>
      </c>
      <c r="G424" s="10">
        <v>1010</v>
      </c>
      <c r="H424" s="10">
        <v>6</v>
      </c>
      <c r="I424" s="10">
        <v>2</v>
      </c>
      <c r="J424" s="10">
        <v>886</v>
      </c>
      <c r="K424" s="10">
        <v>31324245.630985513</v>
      </c>
    </row>
    <row r="425" spans="1:11" x14ac:dyDescent="0.35">
      <c r="A425" s="9" t="s">
        <v>492</v>
      </c>
      <c r="B425" s="10">
        <v>1401</v>
      </c>
      <c r="C425" s="10">
        <v>2</v>
      </c>
      <c r="D425" s="10">
        <v>28</v>
      </c>
      <c r="E425" s="10">
        <v>1538</v>
      </c>
      <c r="F425" s="10">
        <v>40316675.885445394</v>
      </c>
      <c r="G425" s="10">
        <v>1411</v>
      </c>
      <c r="H425" s="10">
        <v>6</v>
      </c>
      <c r="I425" s="10">
        <v>30</v>
      </c>
      <c r="J425" s="10">
        <v>1653</v>
      </c>
      <c r="K425" s="10">
        <v>47222396.636522077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513711</v>
      </c>
      <c r="C427" s="13">
        <v>9953</v>
      </c>
      <c r="D427" s="13">
        <v>2152</v>
      </c>
      <c r="E427" s="13">
        <v>453674</v>
      </c>
      <c r="F427" s="13">
        <v>15532711993.694618</v>
      </c>
      <c r="G427" s="13">
        <v>392000</v>
      </c>
      <c r="H427" s="13">
        <v>7275</v>
      </c>
      <c r="I427" s="13">
        <v>1840</v>
      </c>
      <c r="J427" s="13">
        <v>354282</v>
      </c>
      <c r="K427" s="13">
        <v>12692273527.52631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2026-10-22T12:42:18Z</dcterms:modified>
</cp:coreProperties>
</file>