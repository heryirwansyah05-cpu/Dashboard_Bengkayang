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 activeTab="1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Sheet1!$A$1:$U$85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I3" i="4"/>
  <c r="J3" i="4"/>
  <c r="K3" i="4"/>
  <c r="R3" i="3" l="1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2" i="3"/>
  <c r="F3" i="3" l="1"/>
  <c r="G3" i="3"/>
  <c r="I3" i="3"/>
  <c r="J3" i="3"/>
  <c r="L3" i="3"/>
  <c r="M3" i="3"/>
  <c r="O3" i="3"/>
  <c r="P3" i="3"/>
  <c r="S3" i="3"/>
  <c r="T3" i="3" s="1"/>
  <c r="F4" i="3"/>
  <c r="G4" i="3"/>
  <c r="H4" i="3" s="1"/>
  <c r="I4" i="3"/>
  <c r="J4" i="3"/>
  <c r="L4" i="3"/>
  <c r="M4" i="3"/>
  <c r="O4" i="3"/>
  <c r="P4" i="3"/>
  <c r="S4" i="3"/>
  <c r="T4" i="3" s="1"/>
  <c r="F5" i="3"/>
  <c r="G5" i="3"/>
  <c r="I5" i="3"/>
  <c r="J5" i="3"/>
  <c r="L5" i="3"/>
  <c r="M5" i="3"/>
  <c r="O5" i="3"/>
  <c r="P5" i="3"/>
  <c r="S5" i="3"/>
  <c r="T5" i="3" s="1"/>
  <c r="F6" i="3"/>
  <c r="G6" i="3"/>
  <c r="I6" i="3"/>
  <c r="J6" i="3"/>
  <c r="L6" i="3"/>
  <c r="M6" i="3"/>
  <c r="O6" i="3"/>
  <c r="P6" i="3"/>
  <c r="Q6" i="3" s="1"/>
  <c r="S6" i="3"/>
  <c r="T6" i="3" s="1"/>
  <c r="F7" i="3"/>
  <c r="G7" i="3"/>
  <c r="I7" i="3"/>
  <c r="J7" i="3"/>
  <c r="L7" i="3"/>
  <c r="M7" i="3"/>
  <c r="O7" i="3"/>
  <c r="P7" i="3"/>
  <c r="S7" i="3"/>
  <c r="T7" i="3" s="1"/>
  <c r="F8" i="3"/>
  <c r="G8" i="3"/>
  <c r="H8" i="3" s="1"/>
  <c r="I8" i="3"/>
  <c r="J8" i="3"/>
  <c r="L8" i="3"/>
  <c r="M8" i="3"/>
  <c r="O8" i="3"/>
  <c r="P8" i="3"/>
  <c r="S8" i="3"/>
  <c r="T8" i="3" s="1"/>
  <c r="F9" i="3"/>
  <c r="G9" i="3"/>
  <c r="I9" i="3"/>
  <c r="J9" i="3"/>
  <c r="L9" i="3"/>
  <c r="M9" i="3"/>
  <c r="O9" i="3"/>
  <c r="P9" i="3"/>
  <c r="S9" i="3"/>
  <c r="T9" i="3" s="1"/>
  <c r="F10" i="3"/>
  <c r="G10" i="3"/>
  <c r="I10" i="3"/>
  <c r="J10" i="3"/>
  <c r="L10" i="3"/>
  <c r="M10" i="3"/>
  <c r="O10" i="3"/>
  <c r="P10" i="3"/>
  <c r="Q10" i="3" s="1"/>
  <c r="S10" i="3"/>
  <c r="T10" i="3" s="1"/>
  <c r="F11" i="3"/>
  <c r="G11" i="3"/>
  <c r="I11" i="3"/>
  <c r="J11" i="3"/>
  <c r="L11" i="3"/>
  <c r="M11" i="3"/>
  <c r="O11" i="3"/>
  <c r="P11" i="3"/>
  <c r="S11" i="3"/>
  <c r="T11" i="3" s="1"/>
  <c r="F12" i="3"/>
  <c r="G12" i="3"/>
  <c r="H12" i="3" s="1"/>
  <c r="I12" i="3"/>
  <c r="J12" i="3"/>
  <c r="L12" i="3"/>
  <c r="M12" i="3"/>
  <c r="O12" i="3"/>
  <c r="P12" i="3"/>
  <c r="S12" i="3"/>
  <c r="T12" i="3" s="1"/>
  <c r="F13" i="3"/>
  <c r="G13" i="3"/>
  <c r="I13" i="3"/>
  <c r="J13" i="3"/>
  <c r="L13" i="3"/>
  <c r="M13" i="3"/>
  <c r="O13" i="3"/>
  <c r="P13" i="3"/>
  <c r="S13" i="3"/>
  <c r="T13" i="3" s="1"/>
  <c r="F14" i="3"/>
  <c r="G14" i="3"/>
  <c r="I14" i="3"/>
  <c r="J14" i="3"/>
  <c r="L14" i="3"/>
  <c r="M14" i="3"/>
  <c r="O14" i="3"/>
  <c r="P14" i="3"/>
  <c r="Q14" i="3" s="1"/>
  <c r="S14" i="3"/>
  <c r="T14" i="3" s="1"/>
  <c r="F15" i="3"/>
  <c r="G15" i="3"/>
  <c r="I15" i="3"/>
  <c r="J15" i="3"/>
  <c r="L15" i="3"/>
  <c r="M15" i="3"/>
  <c r="O15" i="3"/>
  <c r="P15" i="3"/>
  <c r="S15" i="3"/>
  <c r="T15" i="3" s="1"/>
  <c r="F16" i="3"/>
  <c r="G16" i="3"/>
  <c r="H16" i="3" s="1"/>
  <c r="I16" i="3"/>
  <c r="J16" i="3"/>
  <c r="L16" i="3"/>
  <c r="M16" i="3"/>
  <c r="O16" i="3"/>
  <c r="P16" i="3"/>
  <c r="S16" i="3"/>
  <c r="T16" i="3" s="1"/>
  <c r="F17" i="3"/>
  <c r="G17" i="3"/>
  <c r="I17" i="3"/>
  <c r="J17" i="3"/>
  <c r="L17" i="3"/>
  <c r="M17" i="3"/>
  <c r="O17" i="3"/>
  <c r="P17" i="3"/>
  <c r="S17" i="3"/>
  <c r="T17" i="3" s="1"/>
  <c r="F18" i="3"/>
  <c r="G18" i="3"/>
  <c r="I18" i="3"/>
  <c r="J18" i="3"/>
  <c r="L18" i="3"/>
  <c r="M18" i="3"/>
  <c r="O18" i="3"/>
  <c r="P18" i="3"/>
  <c r="Q18" i="3" s="1"/>
  <c r="S18" i="3"/>
  <c r="T18" i="3" s="1"/>
  <c r="F19" i="3"/>
  <c r="G19" i="3"/>
  <c r="I19" i="3"/>
  <c r="J19" i="3"/>
  <c r="L19" i="3"/>
  <c r="M19" i="3"/>
  <c r="O19" i="3"/>
  <c r="P19" i="3"/>
  <c r="S19" i="3"/>
  <c r="T19" i="3" s="1"/>
  <c r="F20" i="3"/>
  <c r="G20" i="3"/>
  <c r="H20" i="3" s="1"/>
  <c r="I20" i="3"/>
  <c r="J20" i="3"/>
  <c r="L20" i="3"/>
  <c r="M20" i="3"/>
  <c r="O20" i="3"/>
  <c r="P20" i="3"/>
  <c r="S20" i="3"/>
  <c r="T20" i="3" s="1"/>
  <c r="F21" i="3"/>
  <c r="G21" i="3"/>
  <c r="I21" i="3"/>
  <c r="J21" i="3"/>
  <c r="L21" i="3"/>
  <c r="M21" i="3"/>
  <c r="O21" i="3"/>
  <c r="P21" i="3"/>
  <c r="S21" i="3"/>
  <c r="T21" i="3" s="1"/>
  <c r="F22" i="3"/>
  <c r="G22" i="3"/>
  <c r="I22" i="3"/>
  <c r="J22" i="3"/>
  <c r="L22" i="3"/>
  <c r="M22" i="3"/>
  <c r="O22" i="3"/>
  <c r="P22" i="3"/>
  <c r="Q22" i="3" s="1"/>
  <c r="S22" i="3"/>
  <c r="T22" i="3" s="1"/>
  <c r="F23" i="3"/>
  <c r="G23" i="3"/>
  <c r="I23" i="3"/>
  <c r="J23" i="3"/>
  <c r="L23" i="3"/>
  <c r="M23" i="3"/>
  <c r="O23" i="3"/>
  <c r="P23" i="3"/>
  <c r="S23" i="3"/>
  <c r="T23" i="3" s="1"/>
  <c r="F24" i="3"/>
  <c r="G24" i="3"/>
  <c r="H24" i="3" s="1"/>
  <c r="I24" i="3"/>
  <c r="J24" i="3"/>
  <c r="L24" i="3"/>
  <c r="M24" i="3"/>
  <c r="O24" i="3"/>
  <c r="P24" i="3"/>
  <c r="S24" i="3"/>
  <c r="T24" i="3" s="1"/>
  <c r="F25" i="3"/>
  <c r="G25" i="3"/>
  <c r="I25" i="3"/>
  <c r="J25" i="3"/>
  <c r="L25" i="3"/>
  <c r="M25" i="3"/>
  <c r="O25" i="3"/>
  <c r="P25" i="3"/>
  <c r="S25" i="3"/>
  <c r="T25" i="3" s="1"/>
  <c r="F26" i="3"/>
  <c r="G26" i="3"/>
  <c r="I26" i="3"/>
  <c r="J26" i="3"/>
  <c r="L26" i="3"/>
  <c r="M26" i="3"/>
  <c r="O26" i="3"/>
  <c r="P26" i="3"/>
  <c r="Q26" i="3" s="1"/>
  <c r="S26" i="3"/>
  <c r="T26" i="3" s="1"/>
  <c r="F27" i="3"/>
  <c r="G27" i="3"/>
  <c r="I27" i="3"/>
  <c r="J27" i="3"/>
  <c r="L27" i="3"/>
  <c r="M27" i="3"/>
  <c r="O27" i="3"/>
  <c r="P27" i="3"/>
  <c r="S27" i="3"/>
  <c r="T27" i="3" s="1"/>
  <c r="F28" i="3"/>
  <c r="G28" i="3"/>
  <c r="I28" i="3"/>
  <c r="J28" i="3"/>
  <c r="L28" i="3"/>
  <c r="M28" i="3"/>
  <c r="O28" i="3"/>
  <c r="P28" i="3"/>
  <c r="S28" i="3"/>
  <c r="T28" i="3" s="1"/>
  <c r="F29" i="3"/>
  <c r="G29" i="3"/>
  <c r="I29" i="3"/>
  <c r="J29" i="3"/>
  <c r="L29" i="3"/>
  <c r="M29" i="3"/>
  <c r="O29" i="3"/>
  <c r="P29" i="3"/>
  <c r="S29" i="3"/>
  <c r="T29" i="3" s="1"/>
  <c r="F30" i="3"/>
  <c r="G30" i="3"/>
  <c r="I30" i="3"/>
  <c r="J30" i="3"/>
  <c r="L30" i="3"/>
  <c r="M30" i="3"/>
  <c r="O30" i="3"/>
  <c r="P30" i="3"/>
  <c r="Q30" i="3" s="1"/>
  <c r="S30" i="3"/>
  <c r="T30" i="3" s="1"/>
  <c r="F31" i="3"/>
  <c r="G31" i="3"/>
  <c r="I31" i="3"/>
  <c r="J31" i="3"/>
  <c r="L31" i="3"/>
  <c r="M31" i="3"/>
  <c r="O31" i="3"/>
  <c r="P31" i="3"/>
  <c r="S31" i="3"/>
  <c r="T31" i="3" s="1"/>
  <c r="F32" i="3"/>
  <c r="G32" i="3"/>
  <c r="H32" i="3" s="1"/>
  <c r="I32" i="3"/>
  <c r="J32" i="3"/>
  <c r="L32" i="3"/>
  <c r="M32" i="3"/>
  <c r="O32" i="3"/>
  <c r="P32" i="3"/>
  <c r="S32" i="3"/>
  <c r="T32" i="3" s="1"/>
  <c r="F33" i="3"/>
  <c r="G33" i="3"/>
  <c r="I33" i="3"/>
  <c r="J33" i="3"/>
  <c r="L33" i="3"/>
  <c r="M33" i="3"/>
  <c r="O33" i="3"/>
  <c r="P33" i="3"/>
  <c r="S33" i="3"/>
  <c r="T33" i="3" s="1"/>
  <c r="F34" i="3"/>
  <c r="G34" i="3"/>
  <c r="I34" i="3"/>
  <c r="J34" i="3"/>
  <c r="L34" i="3"/>
  <c r="M34" i="3"/>
  <c r="O34" i="3"/>
  <c r="P34" i="3"/>
  <c r="Q34" i="3" s="1"/>
  <c r="S34" i="3"/>
  <c r="T34" i="3" s="1"/>
  <c r="F35" i="3"/>
  <c r="G35" i="3"/>
  <c r="I35" i="3"/>
  <c r="J35" i="3"/>
  <c r="L35" i="3"/>
  <c r="M35" i="3"/>
  <c r="O35" i="3"/>
  <c r="P35" i="3"/>
  <c r="S35" i="3"/>
  <c r="T35" i="3" s="1"/>
  <c r="F36" i="3"/>
  <c r="G36" i="3"/>
  <c r="H36" i="3" s="1"/>
  <c r="I36" i="3"/>
  <c r="J36" i="3"/>
  <c r="L36" i="3"/>
  <c r="M36" i="3"/>
  <c r="O36" i="3"/>
  <c r="P36" i="3"/>
  <c r="S36" i="3"/>
  <c r="T36" i="3" s="1"/>
  <c r="F37" i="3"/>
  <c r="G37" i="3"/>
  <c r="I37" i="3"/>
  <c r="J37" i="3"/>
  <c r="L37" i="3"/>
  <c r="M37" i="3"/>
  <c r="O37" i="3"/>
  <c r="P37" i="3"/>
  <c r="S37" i="3"/>
  <c r="T37" i="3" s="1"/>
  <c r="F38" i="3"/>
  <c r="G38" i="3"/>
  <c r="I38" i="3"/>
  <c r="J38" i="3"/>
  <c r="L38" i="3"/>
  <c r="M38" i="3"/>
  <c r="O38" i="3"/>
  <c r="P38" i="3"/>
  <c r="Q38" i="3" s="1"/>
  <c r="S38" i="3"/>
  <c r="T38" i="3" s="1"/>
  <c r="F39" i="3"/>
  <c r="G39" i="3"/>
  <c r="I39" i="3"/>
  <c r="J39" i="3"/>
  <c r="L39" i="3"/>
  <c r="M39" i="3"/>
  <c r="O39" i="3"/>
  <c r="P39" i="3"/>
  <c r="S39" i="3"/>
  <c r="T39" i="3" s="1"/>
  <c r="F40" i="3"/>
  <c r="G40" i="3"/>
  <c r="H40" i="3" s="1"/>
  <c r="I40" i="3"/>
  <c r="J40" i="3"/>
  <c r="L40" i="3"/>
  <c r="M40" i="3"/>
  <c r="O40" i="3"/>
  <c r="P40" i="3"/>
  <c r="S40" i="3"/>
  <c r="T40" i="3" s="1"/>
  <c r="F41" i="3"/>
  <c r="G41" i="3"/>
  <c r="I41" i="3"/>
  <c r="J41" i="3"/>
  <c r="L41" i="3"/>
  <c r="M41" i="3"/>
  <c r="O41" i="3"/>
  <c r="P41" i="3"/>
  <c r="S41" i="3"/>
  <c r="T41" i="3" s="1"/>
  <c r="F42" i="3"/>
  <c r="G42" i="3"/>
  <c r="I42" i="3"/>
  <c r="J42" i="3"/>
  <c r="L42" i="3"/>
  <c r="M42" i="3"/>
  <c r="O42" i="3"/>
  <c r="P42" i="3"/>
  <c r="Q42" i="3" s="1"/>
  <c r="S42" i="3"/>
  <c r="T42" i="3" s="1"/>
  <c r="F43" i="3"/>
  <c r="G43" i="3"/>
  <c r="I43" i="3"/>
  <c r="J43" i="3"/>
  <c r="L43" i="3"/>
  <c r="M43" i="3"/>
  <c r="O43" i="3"/>
  <c r="P43" i="3"/>
  <c r="S43" i="3"/>
  <c r="T43" i="3" s="1"/>
  <c r="F44" i="3"/>
  <c r="G44" i="3"/>
  <c r="H44" i="3" s="1"/>
  <c r="I44" i="3"/>
  <c r="J44" i="3"/>
  <c r="L44" i="3"/>
  <c r="M44" i="3"/>
  <c r="O44" i="3"/>
  <c r="P44" i="3"/>
  <c r="S44" i="3"/>
  <c r="T44" i="3" s="1"/>
  <c r="F45" i="3"/>
  <c r="G45" i="3"/>
  <c r="I45" i="3"/>
  <c r="J45" i="3"/>
  <c r="L45" i="3"/>
  <c r="M45" i="3"/>
  <c r="O45" i="3"/>
  <c r="P45" i="3"/>
  <c r="S45" i="3"/>
  <c r="T45" i="3" s="1"/>
  <c r="F46" i="3"/>
  <c r="G46" i="3"/>
  <c r="I46" i="3"/>
  <c r="J46" i="3"/>
  <c r="L46" i="3"/>
  <c r="M46" i="3"/>
  <c r="O46" i="3"/>
  <c r="P46" i="3"/>
  <c r="Q46" i="3" s="1"/>
  <c r="S46" i="3"/>
  <c r="T46" i="3" s="1"/>
  <c r="F47" i="3"/>
  <c r="G47" i="3"/>
  <c r="I47" i="3"/>
  <c r="J47" i="3"/>
  <c r="L47" i="3"/>
  <c r="M47" i="3"/>
  <c r="O47" i="3"/>
  <c r="P47" i="3"/>
  <c r="S47" i="3"/>
  <c r="T47" i="3" s="1"/>
  <c r="F48" i="3"/>
  <c r="G48" i="3"/>
  <c r="H48" i="3" s="1"/>
  <c r="I48" i="3"/>
  <c r="J48" i="3"/>
  <c r="L48" i="3"/>
  <c r="M48" i="3"/>
  <c r="O48" i="3"/>
  <c r="P48" i="3"/>
  <c r="S48" i="3"/>
  <c r="T48" i="3" s="1"/>
  <c r="F49" i="3"/>
  <c r="G49" i="3"/>
  <c r="I49" i="3"/>
  <c r="J49" i="3"/>
  <c r="L49" i="3"/>
  <c r="M49" i="3"/>
  <c r="O49" i="3"/>
  <c r="P49" i="3"/>
  <c r="S49" i="3"/>
  <c r="T49" i="3" s="1"/>
  <c r="F50" i="3"/>
  <c r="G50" i="3"/>
  <c r="I50" i="3"/>
  <c r="J50" i="3"/>
  <c r="L50" i="3"/>
  <c r="M50" i="3"/>
  <c r="O50" i="3"/>
  <c r="P50" i="3"/>
  <c r="Q50" i="3" s="1"/>
  <c r="S50" i="3"/>
  <c r="T50" i="3" s="1"/>
  <c r="F51" i="3"/>
  <c r="G51" i="3"/>
  <c r="I51" i="3"/>
  <c r="J51" i="3"/>
  <c r="L51" i="3"/>
  <c r="M51" i="3"/>
  <c r="O51" i="3"/>
  <c r="P51" i="3"/>
  <c r="S51" i="3"/>
  <c r="T51" i="3" s="1"/>
  <c r="F52" i="3"/>
  <c r="G52" i="3"/>
  <c r="I52" i="3"/>
  <c r="J52" i="3"/>
  <c r="L52" i="3"/>
  <c r="M52" i="3"/>
  <c r="O52" i="3"/>
  <c r="P52" i="3"/>
  <c r="S52" i="3"/>
  <c r="T52" i="3" s="1"/>
  <c r="F53" i="3"/>
  <c r="G53" i="3"/>
  <c r="I53" i="3"/>
  <c r="J53" i="3"/>
  <c r="L53" i="3"/>
  <c r="M53" i="3"/>
  <c r="O53" i="3"/>
  <c r="P53" i="3"/>
  <c r="S53" i="3"/>
  <c r="T53" i="3" s="1"/>
  <c r="F54" i="3"/>
  <c r="G54" i="3"/>
  <c r="I54" i="3"/>
  <c r="J54" i="3"/>
  <c r="L54" i="3"/>
  <c r="M54" i="3"/>
  <c r="O54" i="3"/>
  <c r="P54" i="3"/>
  <c r="Q54" i="3" s="1"/>
  <c r="S54" i="3"/>
  <c r="T54" i="3" s="1"/>
  <c r="F55" i="3"/>
  <c r="G55" i="3"/>
  <c r="I55" i="3"/>
  <c r="J55" i="3"/>
  <c r="L55" i="3"/>
  <c r="M55" i="3"/>
  <c r="O55" i="3"/>
  <c r="P55" i="3"/>
  <c r="S55" i="3"/>
  <c r="T55" i="3" s="1"/>
  <c r="F56" i="3"/>
  <c r="G56" i="3"/>
  <c r="H56" i="3" s="1"/>
  <c r="I56" i="3"/>
  <c r="J56" i="3"/>
  <c r="L56" i="3"/>
  <c r="M56" i="3"/>
  <c r="O56" i="3"/>
  <c r="P56" i="3"/>
  <c r="S56" i="3"/>
  <c r="T56" i="3" s="1"/>
  <c r="F57" i="3"/>
  <c r="G57" i="3"/>
  <c r="I57" i="3"/>
  <c r="J57" i="3"/>
  <c r="L57" i="3"/>
  <c r="M57" i="3"/>
  <c r="O57" i="3"/>
  <c r="P57" i="3"/>
  <c r="S57" i="3"/>
  <c r="T57" i="3" s="1"/>
  <c r="F58" i="3"/>
  <c r="G58" i="3"/>
  <c r="I58" i="3"/>
  <c r="J58" i="3"/>
  <c r="L58" i="3"/>
  <c r="M58" i="3"/>
  <c r="O58" i="3"/>
  <c r="P58" i="3"/>
  <c r="Q58" i="3" s="1"/>
  <c r="S58" i="3"/>
  <c r="T58" i="3" s="1"/>
  <c r="F59" i="3"/>
  <c r="G59" i="3"/>
  <c r="I59" i="3"/>
  <c r="J59" i="3"/>
  <c r="L59" i="3"/>
  <c r="M59" i="3"/>
  <c r="O59" i="3"/>
  <c r="P59" i="3"/>
  <c r="S59" i="3"/>
  <c r="T59" i="3" s="1"/>
  <c r="F60" i="3"/>
  <c r="G60" i="3"/>
  <c r="H60" i="3" s="1"/>
  <c r="I60" i="3"/>
  <c r="J60" i="3"/>
  <c r="L60" i="3"/>
  <c r="M60" i="3"/>
  <c r="O60" i="3"/>
  <c r="P60" i="3"/>
  <c r="S60" i="3"/>
  <c r="T60" i="3" s="1"/>
  <c r="F61" i="3"/>
  <c r="G61" i="3"/>
  <c r="I61" i="3"/>
  <c r="J61" i="3"/>
  <c r="L61" i="3"/>
  <c r="M61" i="3"/>
  <c r="O61" i="3"/>
  <c r="P61" i="3"/>
  <c r="S61" i="3"/>
  <c r="T61" i="3" s="1"/>
  <c r="F62" i="3"/>
  <c r="G62" i="3"/>
  <c r="I62" i="3"/>
  <c r="J62" i="3"/>
  <c r="L62" i="3"/>
  <c r="M62" i="3"/>
  <c r="O62" i="3"/>
  <c r="P62" i="3"/>
  <c r="Q62" i="3" s="1"/>
  <c r="S62" i="3"/>
  <c r="T62" i="3" s="1"/>
  <c r="F63" i="3"/>
  <c r="G63" i="3"/>
  <c r="I63" i="3"/>
  <c r="J63" i="3"/>
  <c r="L63" i="3"/>
  <c r="M63" i="3"/>
  <c r="O63" i="3"/>
  <c r="P63" i="3"/>
  <c r="S63" i="3"/>
  <c r="T63" i="3" s="1"/>
  <c r="F64" i="3"/>
  <c r="G64" i="3"/>
  <c r="I64" i="3"/>
  <c r="J64" i="3"/>
  <c r="L64" i="3"/>
  <c r="M64" i="3"/>
  <c r="O64" i="3"/>
  <c r="P64" i="3"/>
  <c r="S64" i="3"/>
  <c r="T64" i="3" s="1"/>
  <c r="F65" i="3"/>
  <c r="G65" i="3"/>
  <c r="I65" i="3"/>
  <c r="J65" i="3"/>
  <c r="L65" i="3"/>
  <c r="M65" i="3"/>
  <c r="O65" i="3"/>
  <c r="P65" i="3"/>
  <c r="S65" i="3"/>
  <c r="T65" i="3" s="1"/>
  <c r="F66" i="3"/>
  <c r="G66" i="3"/>
  <c r="I66" i="3"/>
  <c r="J66" i="3"/>
  <c r="L66" i="3"/>
  <c r="M66" i="3"/>
  <c r="O66" i="3"/>
  <c r="P66" i="3"/>
  <c r="Q66" i="3" s="1"/>
  <c r="S66" i="3"/>
  <c r="T66" i="3" s="1"/>
  <c r="F67" i="3"/>
  <c r="G67" i="3"/>
  <c r="I67" i="3"/>
  <c r="J67" i="3"/>
  <c r="L67" i="3"/>
  <c r="M67" i="3"/>
  <c r="O67" i="3"/>
  <c r="P67" i="3"/>
  <c r="S67" i="3"/>
  <c r="T67" i="3" s="1"/>
  <c r="F68" i="3"/>
  <c r="G68" i="3"/>
  <c r="H68" i="3" s="1"/>
  <c r="I68" i="3"/>
  <c r="J68" i="3"/>
  <c r="L68" i="3"/>
  <c r="M68" i="3"/>
  <c r="O68" i="3"/>
  <c r="P68" i="3"/>
  <c r="S68" i="3"/>
  <c r="T68" i="3" s="1"/>
  <c r="F69" i="3"/>
  <c r="G69" i="3"/>
  <c r="I69" i="3"/>
  <c r="J69" i="3"/>
  <c r="L69" i="3"/>
  <c r="M69" i="3"/>
  <c r="O69" i="3"/>
  <c r="P69" i="3"/>
  <c r="S69" i="3"/>
  <c r="T69" i="3" s="1"/>
  <c r="F70" i="3"/>
  <c r="G70" i="3"/>
  <c r="I70" i="3"/>
  <c r="J70" i="3"/>
  <c r="L70" i="3"/>
  <c r="M70" i="3"/>
  <c r="O70" i="3"/>
  <c r="P70" i="3"/>
  <c r="Q70" i="3" s="1"/>
  <c r="S70" i="3"/>
  <c r="T70" i="3" s="1"/>
  <c r="F71" i="3"/>
  <c r="G71" i="3"/>
  <c r="I71" i="3"/>
  <c r="J71" i="3"/>
  <c r="L71" i="3"/>
  <c r="M71" i="3"/>
  <c r="O71" i="3"/>
  <c r="P71" i="3"/>
  <c r="S71" i="3"/>
  <c r="T71" i="3" s="1"/>
  <c r="F72" i="3"/>
  <c r="G72" i="3"/>
  <c r="H72" i="3" s="1"/>
  <c r="I72" i="3"/>
  <c r="J72" i="3"/>
  <c r="L72" i="3"/>
  <c r="M72" i="3"/>
  <c r="O72" i="3"/>
  <c r="P72" i="3"/>
  <c r="S72" i="3"/>
  <c r="T72" i="3" s="1"/>
  <c r="F73" i="3"/>
  <c r="G73" i="3"/>
  <c r="I73" i="3"/>
  <c r="J73" i="3"/>
  <c r="L73" i="3"/>
  <c r="M73" i="3"/>
  <c r="O73" i="3"/>
  <c r="P73" i="3"/>
  <c r="S73" i="3"/>
  <c r="T73" i="3" s="1"/>
  <c r="F74" i="3"/>
  <c r="G74" i="3"/>
  <c r="I74" i="3"/>
  <c r="J74" i="3"/>
  <c r="L74" i="3"/>
  <c r="M74" i="3"/>
  <c r="O74" i="3"/>
  <c r="P74" i="3"/>
  <c r="Q74" i="3" s="1"/>
  <c r="S74" i="3"/>
  <c r="T74" i="3" s="1"/>
  <c r="F75" i="3"/>
  <c r="G75" i="3"/>
  <c r="I75" i="3"/>
  <c r="J75" i="3"/>
  <c r="L75" i="3"/>
  <c r="M75" i="3"/>
  <c r="O75" i="3"/>
  <c r="P75" i="3"/>
  <c r="S75" i="3"/>
  <c r="T75" i="3" s="1"/>
  <c r="F76" i="3"/>
  <c r="G76" i="3"/>
  <c r="H76" i="3" s="1"/>
  <c r="I76" i="3"/>
  <c r="J76" i="3"/>
  <c r="L76" i="3"/>
  <c r="M76" i="3"/>
  <c r="O76" i="3"/>
  <c r="P76" i="3"/>
  <c r="S76" i="3"/>
  <c r="T76" i="3" s="1"/>
  <c r="F77" i="3"/>
  <c r="G77" i="3"/>
  <c r="I77" i="3"/>
  <c r="J77" i="3"/>
  <c r="L77" i="3"/>
  <c r="M77" i="3"/>
  <c r="O77" i="3"/>
  <c r="P77" i="3"/>
  <c r="S77" i="3"/>
  <c r="T77" i="3" s="1"/>
  <c r="F78" i="3"/>
  <c r="G78" i="3"/>
  <c r="I78" i="3"/>
  <c r="J78" i="3"/>
  <c r="L78" i="3"/>
  <c r="M78" i="3"/>
  <c r="O78" i="3"/>
  <c r="P78" i="3"/>
  <c r="Q78" i="3" s="1"/>
  <c r="S78" i="3"/>
  <c r="T78" i="3" s="1"/>
  <c r="F79" i="3"/>
  <c r="G79" i="3"/>
  <c r="I79" i="3"/>
  <c r="J79" i="3"/>
  <c r="L79" i="3"/>
  <c r="M79" i="3"/>
  <c r="O79" i="3"/>
  <c r="P79" i="3"/>
  <c r="S79" i="3"/>
  <c r="T79" i="3" s="1"/>
  <c r="F80" i="3"/>
  <c r="G80" i="3"/>
  <c r="H80" i="3" s="1"/>
  <c r="I80" i="3"/>
  <c r="J80" i="3"/>
  <c r="L80" i="3"/>
  <c r="M80" i="3"/>
  <c r="O80" i="3"/>
  <c r="P80" i="3"/>
  <c r="S80" i="3"/>
  <c r="T80" i="3" s="1"/>
  <c r="F81" i="3"/>
  <c r="G81" i="3"/>
  <c r="I81" i="3"/>
  <c r="J81" i="3"/>
  <c r="L81" i="3"/>
  <c r="M81" i="3"/>
  <c r="O81" i="3"/>
  <c r="P81" i="3"/>
  <c r="S81" i="3"/>
  <c r="T81" i="3" s="1"/>
  <c r="F82" i="3"/>
  <c r="G82" i="3"/>
  <c r="I82" i="3"/>
  <c r="J82" i="3"/>
  <c r="L82" i="3"/>
  <c r="M82" i="3"/>
  <c r="O82" i="3"/>
  <c r="P82" i="3"/>
  <c r="Q82" i="3" s="1"/>
  <c r="S82" i="3"/>
  <c r="T82" i="3" s="1"/>
  <c r="F83" i="3"/>
  <c r="G83" i="3"/>
  <c r="I83" i="3"/>
  <c r="J83" i="3"/>
  <c r="L83" i="3"/>
  <c r="M83" i="3"/>
  <c r="O83" i="3"/>
  <c r="P83" i="3"/>
  <c r="S83" i="3"/>
  <c r="T83" i="3" s="1"/>
  <c r="F84" i="3"/>
  <c r="G84" i="3"/>
  <c r="H84" i="3" s="1"/>
  <c r="I84" i="3"/>
  <c r="J84" i="3"/>
  <c r="L84" i="3"/>
  <c r="M84" i="3"/>
  <c r="O84" i="3"/>
  <c r="P84" i="3"/>
  <c r="S84" i="3"/>
  <c r="T84" i="3" s="1"/>
  <c r="F85" i="3"/>
  <c r="G85" i="3"/>
  <c r="I85" i="3"/>
  <c r="J85" i="3"/>
  <c r="L85" i="3"/>
  <c r="M85" i="3"/>
  <c r="O85" i="3"/>
  <c r="P85" i="3"/>
  <c r="S85" i="3"/>
  <c r="T85" i="3" s="1"/>
  <c r="S2" i="3"/>
  <c r="T2" i="3" s="1"/>
  <c r="P2" i="3"/>
  <c r="O2" i="3"/>
  <c r="M2" i="3"/>
  <c r="L2" i="3"/>
  <c r="J2" i="3"/>
  <c r="I2" i="3"/>
  <c r="G2" i="3"/>
  <c r="F2" i="3"/>
  <c r="N85" i="3" l="1"/>
  <c r="N81" i="3"/>
  <c r="H28" i="3"/>
  <c r="N77" i="3"/>
  <c r="N73" i="3"/>
  <c r="N69" i="3"/>
  <c r="N65" i="3"/>
  <c r="N61" i="3"/>
  <c r="N57" i="3"/>
  <c r="N53" i="3"/>
  <c r="N49" i="3"/>
  <c r="N45" i="3"/>
  <c r="N41" i="3"/>
  <c r="N37" i="3"/>
  <c r="N33" i="3"/>
  <c r="N29" i="3"/>
  <c r="N25" i="3"/>
  <c r="N21" i="3"/>
  <c r="N17" i="3"/>
  <c r="N70" i="3"/>
  <c r="N66" i="3"/>
  <c r="N62" i="3"/>
  <c r="N58" i="3"/>
  <c r="N54" i="3"/>
  <c r="N50" i="3"/>
  <c r="N46" i="3"/>
  <c r="N42" i="3"/>
  <c r="N38" i="3"/>
  <c r="N34" i="3"/>
  <c r="N30" i="3"/>
  <c r="N26" i="3"/>
  <c r="N22" i="3"/>
  <c r="N18" i="3"/>
  <c r="N14" i="3"/>
  <c r="N10" i="3"/>
  <c r="N6" i="3"/>
  <c r="N13" i="3"/>
  <c r="N9" i="3"/>
  <c r="N5" i="3"/>
  <c r="K82" i="3"/>
  <c r="K78" i="3"/>
  <c r="K74" i="3"/>
  <c r="K70" i="3"/>
  <c r="K66" i="3"/>
  <c r="K62" i="3"/>
  <c r="K58" i="3"/>
  <c r="K54" i="3"/>
  <c r="K50" i="3"/>
  <c r="K46" i="3"/>
  <c r="K42" i="3"/>
  <c r="K38" i="3"/>
  <c r="K34" i="3"/>
  <c r="K30" i="3"/>
  <c r="K26" i="3"/>
  <c r="K22" i="3"/>
  <c r="K18" i="3"/>
  <c r="K14" i="3"/>
  <c r="K10" i="3"/>
  <c r="K6" i="3"/>
  <c r="Q77" i="3"/>
  <c r="Q73" i="3"/>
  <c r="Q69" i="3"/>
  <c r="Q65" i="3"/>
  <c r="Q61" i="3"/>
  <c r="Q57" i="3"/>
  <c r="H64" i="3"/>
  <c r="H52" i="3"/>
  <c r="K85" i="3"/>
  <c r="Q85" i="3"/>
  <c r="Q81" i="3"/>
  <c r="N31" i="3"/>
  <c r="N27" i="3"/>
  <c r="N23" i="3"/>
  <c r="N19" i="3"/>
  <c r="N15" i="3"/>
  <c r="N11" i="3"/>
  <c r="N7" i="3"/>
  <c r="N3" i="3"/>
  <c r="K7" i="3"/>
  <c r="K3" i="3"/>
  <c r="K81" i="3"/>
  <c r="K77" i="3"/>
  <c r="K73" i="3"/>
  <c r="K69" i="3"/>
  <c r="K65" i="3"/>
  <c r="K61" i="3"/>
  <c r="K57" i="3"/>
  <c r="K53" i="3"/>
  <c r="K49" i="3"/>
  <c r="K45" i="3"/>
  <c r="K41" i="3"/>
  <c r="K37" i="3"/>
  <c r="N83" i="3"/>
  <c r="N79" i="3"/>
  <c r="N75" i="3"/>
  <c r="N71" i="3"/>
  <c r="N67" i="3"/>
  <c r="N63" i="3"/>
  <c r="N59" i="3"/>
  <c r="N55" i="3"/>
  <c r="N51" i="3"/>
  <c r="N47" i="3"/>
  <c r="N43" i="3"/>
  <c r="N39" i="3"/>
  <c r="Q84" i="3"/>
  <c r="H82" i="3"/>
  <c r="Q80" i="3"/>
  <c r="Q76" i="3"/>
  <c r="Q72" i="3"/>
  <c r="Q68" i="3"/>
  <c r="Q64" i="3"/>
  <c r="Q60" i="3"/>
  <c r="Q56" i="3"/>
  <c r="Q52" i="3"/>
  <c r="Q48" i="3"/>
  <c r="Q44" i="3"/>
  <c r="Q40" i="3"/>
  <c r="Q36" i="3"/>
  <c r="Q32" i="3"/>
  <c r="Q28" i="3"/>
  <c r="Q24" i="3"/>
  <c r="Q20" i="3"/>
  <c r="Q16" i="3"/>
  <c r="Q12" i="3"/>
  <c r="Q8" i="3"/>
  <c r="Q4" i="3"/>
  <c r="Q53" i="3"/>
  <c r="Q49" i="3"/>
  <c r="Q45" i="3"/>
  <c r="Q41" i="3"/>
  <c r="Q37" i="3"/>
  <c r="Q33" i="3"/>
  <c r="Q29" i="3"/>
  <c r="Q25" i="3"/>
  <c r="Q21" i="3"/>
  <c r="Q17" i="3"/>
  <c r="Q13" i="3"/>
  <c r="H11" i="3"/>
  <c r="Q9" i="3"/>
  <c r="H7" i="3"/>
  <c r="Q5" i="3"/>
  <c r="H3" i="3"/>
  <c r="K33" i="3"/>
  <c r="K29" i="3"/>
  <c r="K25" i="3"/>
  <c r="K21" i="3"/>
  <c r="K17" i="3"/>
  <c r="K13" i="3"/>
  <c r="K9" i="3"/>
  <c r="K5" i="3"/>
  <c r="N82" i="3"/>
  <c r="N78" i="3"/>
  <c r="N74" i="3"/>
  <c r="Q83" i="3"/>
  <c r="Q79" i="3"/>
  <c r="Q75" i="3"/>
  <c r="Q71" i="3"/>
  <c r="Q67" i="3"/>
  <c r="Q63" i="3"/>
  <c r="Q59" i="3"/>
  <c r="Q55" i="3"/>
  <c r="Q51" i="3"/>
  <c r="Q47" i="3"/>
  <c r="Q43" i="3"/>
  <c r="Q39" i="3"/>
  <c r="Q35" i="3"/>
  <c r="Q31" i="3"/>
  <c r="Q27" i="3"/>
  <c r="Q23" i="3"/>
  <c r="Q19" i="3"/>
  <c r="Q15" i="3"/>
  <c r="Q11" i="3"/>
  <c r="Q7" i="3"/>
  <c r="Q3" i="3"/>
  <c r="K27" i="3"/>
  <c r="K23" i="3"/>
  <c r="K19" i="3"/>
  <c r="K15" i="3"/>
  <c r="K11" i="3"/>
  <c r="N84" i="3"/>
  <c r="N80" i="3"/>
  <c r="N76" i="3"/>
  <c r="N72" i="3"/>
  <c r="N68" i="3"/>
  <c r="N64" i="3"/>
  <c r="N60" i="3"/>
  <c r="N56" i="3"/>
  <c r="N52" i="3"/>
  <c r="N48" i="3"/>
  <c r="N44" i="3"/>
  <c r="N40" i="3"/>
  <c r="N36" i="3"/>
  <c r="N32" i="3"/>
  <c r="N28" i="3"/>
  <c r="N24" i="3"/>
  <c r="N20" i="3"/>
  <c r="N16" i="3"/>
  <c r="N12" i="3"/>
  <c r="N8" i="3"/>
  <c r="N4" i="3"/>
  <c r="N35" i="3"/>
  <c r="Q2" i="3"/>
  <c r="H78" i="3"/>
  <c r="H74" i="3"/>
  <c r="H70" i="3"/>
  <c r="H66" i="3"/>
  <c r="H62" i="3"/>
  <c r="H58" i="3"/>
  <c r="H54" i="3"/>
  <c r="H50" i="3"/>
  <c r="H46" i="3"/>
  <c r="H42" i="3"/>
  <c r="H38" i="3"/>
  <c r="H34" i="3"/>
  <c r="H30" i="3"/>
  <c r="H26" i="3"/>
  <c r="H22" i="3"/>
  <c r="H18" i="3"/>
  <c r="H14" i="3"/>
  <c r="H10" i="3"/>
  <c r="H6" i="3"/>
  <c r="N2" i="3"/>
  <c r="H85" i="3"/>
  <c r="H81" i="3"/>
  <c r="H77" i="3"/>
  <c r="H73" i="3"/>
  <c r="H69" i="3"/>
  <c r="H65" i="3"/>
  <c r="H61" i="3"/>
  <c r="H57" i="3"/>
  <c r="H53" i="3"/>
  <c r="H49" i="3"/>
  <c r="H45" i="3"/>
  <c r="H41" i="3"/>
  <c r="H37" i="3"/>
  <c r="H33" i="3"/>
  <c r="H29" i="3"/>
  <c r="H25" i="3"/>
  <c r="H21" i="3"/>
  <c r="H17" i="3"/>
  <c r="H13" i="3"/>
  <c r="H9" i="3"/>
  <c r="H5" i="3"/>
  <c r="K2" i="3"/>
  <c r="K83" i="3"/>
  <c r="K79" i="3"/>
  <c r="K75" i="3"/>
  <c r="K71" i="3"/>
  <c r="K67" i="3"/>
  <c r="K63" i="3"/>
  <c r="K59" i="3"/>
  <c r="K55" i="3"/>
  <c r="K51" i="3"/>
  <c r="K47" i="3"/>
  <c r="K43" i="3"/>
  <c r="K39" i="3"/>
  <c r="K35" i="3"/>
  <c r="K31" i="3"/>
  <c r="H2" i="3"/>
  <c r="H83" i="3"/>
  <c r="H79" i="3"/>
  <c r="H75" i="3"/>
  <c r="H71" i="3"/>
  <c r="H67" i="3"/>
  <c r="H63" i="3"/>
  <c r="H59" i="3"/>
  <c r="H55" i="3"/>
  <c r="H51" i="3"/>
  <c r="H47" i="3"/>
  <c r="H43" i="3"/>
  <c r="H39" i="3"/>
  <c r="H35" i="3"/>
  <c r="H31" i="3"/>
  <c r="H27" i="3"/>
  <c r="H23" i="3"/>
  <c r="H19" i="3"/>
  <c r="H15" i="3"/>
  <c r="K84" i="3"/>
  <c r="K80" i="3"/>
  <c r="K76" i="3"/>
  <c r="K72" i="3"/>
  <c r="K68" i="3"/>
  <c r="K64" i="3"/>
  <c r="K60" i="3"/>
  <c r="K56" i="3"/>
  <c r="K52" i="3"/>
  <c r="K48" i="3"/>
  <c r="K44" i="3"/>
  <c r="K40" i="3"/>
  <c r="K36" i="3"/>
  <c r="K32" i="3"/>
  <c r="K28" i="3"/>
  <c r="K24" i="3"/>
  <c r="K20" i="3"/>
  <c r="K16" i="3"/>
  <c r="K12" i="3"/>
  <c r="K8" i="3"/>
  <c r="K4" i="3"/>
</calcChain>
</file>

<file path=xl/sharedStrings.xml><?xml version="1.0" encoding="utf-8"?>
<sst xmlns="http://schemas.openxmlformats.org/spreadsheetml/2006/main" count="540" uniqueCount="205">
  <si>
    <t>SITE ID</t>
  </si>
  <si>
    <t>SITE NAME</t>
  </si>
  <si>
    <t>20BEK0038</t>
  </si>
  <si>
    <t>BUMI_EMAS_MT</t>
  </si>
  <si>
    <t>PT-JAGOI BABANG</t>
  </si>
  <si>
    <t>DSE-JAGOIBABNG02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</si>
  <si>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</si>
  <si>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</si>
  <si>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</si>
  <si>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</si>
  <si>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</si>
  <si>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</si>
  <si>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</si>
  <si>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</si>
  <si>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</si>
  <si>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</si>
  <si>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</si>
  <si>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</si>
  <si>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</si>
  <si>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</si>
  <si>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</si>
  <si>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CAPKALA_MT</t>
  </si>
  <si>
    <t>PT-MONTERADO</t>
  </si>
  <si>
    <t>DSE1082</t>
  </si>
  <si>
    <t>20BEK0066</t>
  </si>
  <si>
    <t>SELUAS_BEK1_MT</t>
  </si>
  <si>
    <t>DSE1147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</si>
  <si>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</si>
  <si>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</si>
  <si>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</si>
  <si>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</si>
  <si>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</si>
  <si>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</si>
  <si>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</si>
  <si>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</si>
  <si>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</si>
  <si>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</si>
  <si>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</si>
  <si>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</si>
  <si>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</si>
  <si>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</si>
  <si>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</si>
  <si>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</si>
  <si>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</si>
  <si>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</si>
  <si>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</si>
  <si>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JAHANDUNG1_MT</t>
  </si>
  <si>
    <t>20BEK0015</t>
  </si>
  <si>
    <t>RANTAU_BEK_PL</t>
  </si>
  <si>
    <t>20BEK0016</t>
  </si>
  <si>
    <t>SIMPANG_MONTERADO_MT</t>
  </si>
  <si>
    <t>20BEK0017</t>
  </si>
  <si>
    <t>MONTERADO_MT</t>
  </si>
  <si>
    <t>20BEK0018</t>
  </si>
  <si>
    <t>NEK_GINAP_PL</t>
  </si>
  <si>
    <t>20BEK0020</t>
  </si>
  <si>
    <t>GINAP_MONTERADO_PL</t>
  </si>
  <si>
    <t>20BEK0069</t>
  </si>
  <si>
    <t>MONTERADO_CAPKALA_ST</t>
  </si>
  <si>
    <t>20BEK0077</t>
  </si>
  <si>
    <t>SIPKANYIN_JAHANDUNG_PL</t>
  </si>
  <si>
    <t>20BEK0082</t>
  </si>
  <si>
    <t>BOMA_MONTERADO_PL</t>
  </si>
  <si>
    <t>20BEK0076</t>
  </si>
  <si>
    <t>JAHANDUNG_BENGKAYANG_PL</t>
  </si>
  <si>
    <t>20BEK0088</t>
  </si>
  <si>
    <t>MONTERADO_BENGKAYANG_PL</t>
  </si>
  <si>
    <t>20BEK0022</t>
  </si>
  <si>
    <t>MARUNSU_PL</t>
  </si>
  <si>
    <t>DSE-BENGKAYANG01</t>
  </si>
  <si>
    <t>20BEK0025</t>
  </si>
  <si>
    <t>BUKIT_SERAYAN_PL</t>
  </si>
  <si>
    <t>20BEK0026</t>
  </si>
  <si>
    <t>BABANE_MT</t>
  </si>
  <si>
    <t>20BEK0023</t>
  </si>
  <si>
    <t>SAMALANTAN_MT</t>
  </si>
  <si>
    <t>20BEK0087</t>
  </si>
  <si>
    <t>DUSUN_JIRAK_PL</t>
  </si>
  <si>
    <t>20BEK0094</t>
  </si>
  <si>
    <t>20BEK0027</t>
  </si>
  <si>
    <t>PASTIJAYA_PL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</si>
  <si>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</si>
  <si>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</si>
  <si>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</si>
  <si>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</si>
  <si>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</si>
  <si>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</si>
  <si>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</si>
  <si>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</si>
  <si>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</si>
  <si>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</si>
  <si>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</si>
  <si>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</si>
  <si>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</si>
  <si>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</si>
  <si>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</si>
  <si>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</si>
  <si>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</si>
  <si>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</si>
  <si>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</si>
  <si>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</si>
  <si>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</si>
  <si>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</si>
  <si>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</si>
  <si>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</si>
  <si>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</si>
  <si>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</si>
  <si>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</si>
  <si>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</si>
  <si>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</si>
  <si>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GUNUNG_MANDERING_EP</t>
  </si>
  <si>
    <t>20BEK0029</t>
  </si>
  <si>
    <t>SUKA_MAJUG_PL</t>
  </si>
  <si>
    <t>20BEK0030</t>
  </si>
  <si>
    <t>SEMALAT_MT</t>
  </si>
  <si>
    <t>20BEK0031</t>
  </si>
  <si>
    <t>CIPTA_KARYA_BEK_PL</t>
  </si>
  <si>
    <t>20BEK0001</t>
  </si>
  <si>
    <t>KARIMUNTING_BEK2_PL</t>
  </si>
  <si>
    <t>20BEK0003</t>
  </si>
  <si>
    <t>RAYA_KEPULAUAN_ST</t>
  </si>
  <si>
    <t>20BEK0004</t>
  </si>
  <si>
    <t>SEI_RAYA_EP</t>
  </si>
  <si>
    <t>20BEK0005</t>
  </si>
  <si>
    <t>SEI_KERANG_PL</t>
  </si>
  <si>
    <t>20BEK0006</t>
  </si>
  <si>
    <t>RUKMA_JAYA_PL</t>
  </si>
  <si>
    <t>20BEK0002</t>
  </si>
  <si>
    <t>KARIMUNTING_BEK1_EP</t>
  </si>
  <si>
    <t>20BEK0083</t>
  </si>
  <si>
    <t>PANTAI_SOGA_PL</t>
  </si>
  <si>
    <t>20BEK0007</t>
  </si>
  <si>
    <t>SEI_DURI_PL</t>
  </si>
  <si>
    <t>20BEK0008</t>
  </si>
  <si>
    <t>RUKMA_JAYA1_PL</t>
  </si>
  <si>
    <t>20BEK0010</t>
  </si>
  <si>
    <t>SUNGAI_DURI1_MT</t>
  </si>
  <si>
    <t>20BEK0070</t>
  </si>
  <si>
    <t>SUNGAI_JAGA_MT</t>
  </si>
  <si>
    <t>20BEK0079</t>
  </si>
  <si>
    <t>SELUAS_SUNGAIRAYA_PL</t>
  </si>
  <si>
    <t>20BEK0009</t>
  </si>
  <si>
    <t>SUNGAI_DURI2_PL</t>
  </si>
  <si>
    <t>20BEK0011</t>
  </si>
  <si>
    <t>SUNGAI_JAGA_A_BEK_PL</t>
  </si>
  <si>
    <t>20BEK0012</t>
  </si>
  <si>
    <t>SEIPANGKALAN_EP</t>
  </si>
  <si>
    <t>20BEK0090</t>
  </si>
  <si>
    <t>SUNGAIDURI_BENGKAYANG_PL</t>
  </si>
  <si>
    <t>20BEK0036</t>
  </si>
  <si>
    <t>BUMI_MAS_PL</t>
  </si>
  <si>
    <t>DSE-JAGOIBABNG01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</si>
  <si>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</si>
  <si>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</si>
  <si>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</si>
  <si>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</si>
  <si>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</si>
  <si>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</si>
  <si>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</si>
  <si>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</si>
  <si>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</si>
  <si>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</si>
  <si>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</si>
  <si>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</si>
  <si>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</si>
  <si>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</si>
  <si>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</si>
  <si>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</si>
  <si>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</si>
  <si>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</si>
  <si>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</si>
  <si>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</si>
  <si>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</si>
  <si>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</si>
  <si>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</si>
  <si>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</si>
  <si>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</si>
  <si>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BANDARA_SERUKAM_CM</t>
  </si>
  <si>
    <t>PARTNER</t>
  </si>
  <si>
    <t>DSE CODE</t>
  </si>
  <si>
    <t>LRS</t>
  </si>
  <si>
    <t>AT RISK</t>
  </si>
  <si>
    <t>PROFIT</t>
  </si>
  <si>
    <t>REVENUE MTD</t>
  </si>
  <si>
    <t>FWA VLR MTD</t>
  </si>
  <si>
    <t>OUTLET AGUSTUS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</si>
  <si>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</si>
  <si>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</si>
  <si>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</si>
  <si>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</si>
  <si>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</si>
  <si>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</si>
  <si>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</si>
  <si>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</si>
  <si>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</si>
  <si>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</si>
  <si>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</si>
  <si>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</si>
  <si>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FWA VLR</t>
  </si>
  <si>
    <t>Sum of VLR SUBS</t>
  </si>
  <si>
    <t>Sum of PREPAID REVENUE NETT</t>
  </si>
  <si>
    <t>20BEK0049</t>
  </si>
  <si>
    <t>GROWTH</t>
  </si>
  <si>
    <t>Grand Total</t>
  </si>
  <si>
    <t>Sum of RGU GA TRADE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</si>
</sst>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  <xf numFmtId="10" fontId="0" fillId="0" borderId="0" xfId="2" applyNumberFormat="1" applyFont="1"/>
    <xf numFmtId="0" fontId="3" fillId="3" borderId="3" xfId="0" applyNumberFormat="1" applyFont="1" applyFill="1" applyBorder="1"/>
    <xf numFmtId="0" fontId="3" fillId="3" borderId="3" xfId="0" applyFont="1" applyFill="1" applyBorder="1" applyAlignment="1">
      <alignment horizontal="left"/>
    </xf>
  </cellXfs>
  <cellStyles count="3">
    <cellStyle name="Comma" xfId="1" builtinId="3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85"/>
  <sheetViews>
    <sheetView workbookViewId="0">
      <pane xSplit="1" ySplit="1" topLeftCell="B68" activePane="bottomRight" state="frozen"/>
      <selection pane="topRight" activeCell="C1" sqref="C1"/>
      <selection pane="bottomLeft" activeCell="A2" sqref="A2"/>
      <selection pane="bottomRight" activeCell="F2" sqref="F2:U85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8" width="18.26953125" customWidth="1"/>
    <col min="9" max="9" width="12.08984375" bestFit="1" customWidth="1"/>
    <col min="10" max="10" width="12.08984375" customWidth="1"/>
    <col min="11" max="11" width="16.54296875" bestFit="1" customWidth="1"/>
    <col min="12" max="12" width="16.54296875" customWidth="1"/>
    <col min="13" max="13" width="17" style="1" bestFit="1" customWidth="1"/>
    <col min="14" max="14" width="17" style="1" customWidth="1"/>
    <col min="15" max="15" width="17.81640625" style="1" bestFit="1" customWidth="1"/>
    <col min="16" max="16" width="18.54296875" bestFit="1" customWidth="1"/>
    <col min="17" max="17" width="17" bestFit="1" customWidth="1"/>
    <col min="21" max="21" width="17" bestFit="1" customWidth="1"/>
  </cols>
  <sheetData>
    <row r="1" spans="1:21" x14ac:dyDescent="0.35">
      <c r="A1" s="3" t="s">
        <v>0</v>
      </c>
      <c r="B1" s="3" t="s">
        <v>1</v>
      </c>
      <c r="C1" s="4" t="s">
        <v>178</v>
      </c>
      <c r="D1" s="4" t="s">
        <v>179</v>
      </c>
      <c r="E1" s="3" t="s">
        <v>176</v>
      </c>
      <c r="F1" s="5" t="s">
        <v>186</v>
      </c>
      <c r="G1" s="5" t="s">
        <v>183</v>
      </c>
      <c r="H1" s="5" t="s">
        <v>202</v>
      </c>
      <c r="I1" s="3" t="s">
        <v>188</v>
      </c>
      <c r="J1" s="3" t="s">
        <v>187</v>
      </c>
      <c r="K1" s="5" t="s">
        <v>202</v>
      </c>
      <c r="L1" s="3" t="s">
        <v>189</v>
      </c>
      <c r="M1" s="3" t="s">
        <v>184</v>
      </c>
      <c r="N1" s="5" t="s">
        <v>202</v>
      </c>
      <c r="O1" s="5" t="s">
        <v>190</v>
      </c>
      <c r="P1" s="5" t="s">
        <v>191</v>
      </c>
      <c r="Q1" s="5" t="s">
        <v>202</v>
      </c>
      <c r="R1" s="5" t="s">
        <v>193</v>
      </c>
      <c r="S1" s="5" t="s">
        <v>192</v>
      </c>
      <c r="T1" s="5" t="s">
        <v>202</v>
      </c>
      <c r="U1" s="6" t="s">
        <v>185</v>
      </c>
    </row>
    <row r="2" spans="1:21" x14ac:dyDescent="0.35">
      <c r="A2" t="s">
        <v>117</v>
      </c>
      <c r="B2" t="s">
        <v>118</v>
      </c>
      <c r="C2" t="s">
        <v>22</v>
      </c>
      <c r="D2" t="s">
        <v>69</v>
      </c>
      <c r="E2" t="s">
        <v>180</v>
      </c>
      <c r="F2" s="1">
        <f>VLOOKUP(A:A,MASTER!A:F,6,0)</f>
        <v>8011855.9913176866</v>
      </c>
      <c r="G2" s="1">
        <f>VLOOKUP(A:A,MASTER!A:K,11,0)</f>
        <v>8539462.2923211604</v>
      </c>
      <c r="H2" s="12">
        <f>IFERROR(G2/F2-1,0)</f>
        <v>6.585319326448591E-2</v>
      </c>
      <c r="I2" s="2">
        <f>VLOOKUP(A:A,MASTER!A:E,5,0)</f>
        <v>351</v>
      </c>
      <c r="J2" s="2">
        <f>VLOOKUP(A:A,MASTER!A:J,10,0)</f>
        <v>358</v>
      </c>
      <c r="K2" s="12">
        <f>IFERROR(J2/I2-1,0)</f>
        <v>1.9943019943019946E-2</v>
      </c>
      <c r="L2" s="2">
        <f>VLOOKUP(A:A,MASTER!A:D,4,0)</f>
        <v>2</v>
      </c>
      <c r="M2" s="2">
        <f>VLOOKUP(A:A,MASTER!A:I,9,0)</f>
        <v>2</v>
      </c>
      <c r="N2" s="12">
        <f>IFERROR(M2/L2-1,0)</f>
        <v>0</v>
      </c>
      <c r="O2" s="1">
        <f>VLOOKUP(A:A,MASTER!A:C,3,0)</f>
        <v>0</v>
      </c>
      <c r="P2" s="1">
        <f>VLOOKUP(A:A,MASTER!A:H,8,0)</f>
        <v>1</v>
      </c>
      <c r="Q2" s="12">
        <f>IFERROR(P2/O2-1,0)</f>
        <v>0</v>
      </c>
      <c r="R2" s="1">
        <f>VLOOKUP(A:A,MASTER!A:B,2,0)</f>
        <v>420</v>
      </c>
      <c r="S2">
        <f>VLOOKUP(A:A,MASTER!A:G,7,0)</f>
        <v>432</v>
      </c>
      <c r="T2" s="12">
        <f>IFERROR(S2/R2-1,0)</f>
        <v>2.857142857142847E-2</v>
      </c>
      <c r="U2">
        <v>3</v>
      </c>
    </row>
    <row r="3" spans="1:21" x14ac:dyDescent="0.35">
      <c r="A3" t="s">
        <v>127</v>
      </c>
      <c r="B3" t="s">
        <v>128</v>
      </c>
      <c r="C3" t="s">
        <v>22</v>
      </c>
      <c r="D3" t="s">
        <v>69</v>
      </c>
      <c r="E3" t="s">
        <v>181</v>
      </c>
      <c r="F3" s="1">
        <f>VLOOKUP(A:A,MASTER!A:F,6,0)</f>
        <v>9589962.4832898322</v>
      </c>
      <c r="G3" s="1">
        <f>VLOOKUP(A:A,MASTER!A:K,11,0)</f>
        <v>8996481.4656081535</v>
      </c>
      <c r="H3" s="12">
        <f t="shared" ref="H3:H66" si="0">IFERROR(G3/F3-1,0)</f>
        <v>-6.1885645404327505E-2</v>
      </c>
      <c r="I3" s="2">
        <f>VLOOKUP(A:A,MASTER!A:E,5,0)</f>
        <v>493</v>
      </c>
      <c r="J3" s="2">
        <f>VLOOKUP(A:A,MASTER!A:J,10,0)</f>
        <v>634</v>
      </c>
      <c r="K3" s="12">
        <f t="shared" ref="K3:K66" si="1">IFERROR(J3/I3-1,0)</f>
        <v>0.28600405679513186</v>
      </c>
      <c r="L3" s="2">
        <f>VLOOKUP(A:A,MASTER!A:D,4,0)</f>
        <v>2</v>
      </c>
      <c r="M3" s="2">
        <f>VLOOKUP(A:A,MASTER!A:I,9,0)</f>
        <v>3</v>
      </c>
      <c r="N3" s="12">
        <f t="shared" ref="N3:N66" si="2">IFERROR(M3/L3-1,0)</f>
        <v>0.5</v>
      </c>
      <c r="O3" s="1">
        <f>VLOOKUP(A:A,MASTER!A:C,3,0)</f>
        <v>3</v>
      </c>
      <c r="P3" s="1">
        <f>VLOOKUP(A:A,MASTER!A:H,8,0)</f>
        <v>5</v>
      </c>
      <c r="Q3" s="12">
        <f t="shared" ref="Q3:Q66" si="3">IFERROR(P3/O3-1,0)</f>
        <v>0.66666666666666674</v>
      </c>
      <c r="R3" s="1">
        <f>VLOOKUP(A:A,MASTER!A:B,2,0)</f>
        <v>654</v>
      </c>
      <c r="S3">
        <f>VLOOKUP(A:A,MASTER!A:G,7,0)</f>
        <v>559</v>
      </c>
      <c r="T3" s="12">
        <f t="shared" ref="T3:T66" si="4">IFERROR(S3/R3-1,0)</f>
        <v>-0.14525993883792054</v>
      </c>
      <c r="U3">
        <v>2</v>
      </c>
    </row>
    <row r="4" spans="1:21" x14ac:dyDescent="0.35">
      <c r="A4" t="s">
        <v>119</v>
      </c>
      <c r="B4" t="s">
        <v>120</v>
      </c>
      <c r="C4" t="s">
        <v>22</v>
      </c>
      <c r="D4" t="s">
        <v>69</v>
      </c>
      <c r="E4" t="s">
        <v>182</v>
      </c>
      <c r="F4" s="1">
        <f>VLOOKUP(A:A,MASTER!A:F,6,0)</f>
        <v>11693170.217475448</v>
      </c>
      <c r="G4" s="1">
        <f>VLOOKUP(A:A,MASTER!A:K,11,0)</f>
        <v>11439196.74842638</v>
      </c>
      <c r="H4" s="12">
        <f t="shared" si="0"/>
        <v>-2.1719812875853339E-2</v>
      </c>
      <c r="I4" s="2">
        <f>VLOOKUP(A:A,MASTER!A:E,5,0)</f>
        <v>724</v>
      </c>
      <c r="J4" s="2">
        <f>VLOOKUP(A:A,MASTER!A:J,10,0)</f>
        <v>350</v>
      </c>
      <c r="K4" s="12">
        <f t="shared" si="1"/>
        <v>-0.51657458563535918</v>
      </c>
      <c r="L4" s="2">
        <f>VLOOKUP(A:A,MASTER!A:D,4,0)</f>
        <v>1</v>
      </c>
      <c r="M4" s="2">
        <f>VLOOKUP(A:A,MASTER!A:I,9,0)</f>
        <v>1</v>
      </c>
      <c r="N4" s="12">
        <f t="shared" si="2"/>
        <v>0</v>
      </c>
      <c r="O4" s="1">
        <f>VLOOKUP(A:A,MASTER!A:C,3,0)</f>
        <v>6</v>
      </c>
      <c r="P4" s="1">
        <f>VLOOKUP(A:A,MASTER!A:H,8,0)</f>
        <v>4</v>
      </c>
      <c r="Q4" s="12">
        <f t="shared" si="3"/>
        <v>-0.33333333333333337</v>
      </c>
      <c r="R4" s="1">
        <f>VLOOKUP(A:A,MASTER!A:B,2,0)</f>
        <v>741</v>
      </c>
      <c r="S4">
        <f>VLOOKUP(A:A,MASTER!A:G,7,0)</f>
        <v>767</v>
      </c>
      <c r="T4" s="12">
        <f t="shared" si="4"/>
        <v>3.5087719298245723E-2</v>
      </c>
      <c r="U4">
        <v>4</v>
      </c>
    </row>
    <row r="5" spans="1:21" x14ac:dyDescent="0.35">
      <c r="A5" t="s">
        <v>121</v>
      </c>
      <c r="B5" t="s">
        <v>122</v>
      </c>
      <c r="C5" t="s">
        <v>22</v>
      </c>
      <c r="D5" t="s">
        <v>69</v>
      </c>
      <c r="E5" t="s">
        <v>182</v>
      </c>
      <c r="F5" s="1">
        <f>VLOOKUP(A:A,MASTER!A:F,6,0)</f>
        <v>20529286.348929532</v>
      </c>
      <c r="G5" s="1">
        <f>VLOOKUP(A:A,MASTER!A:K,11,0)</f>
        <v>21858809.479129504</v>
      </c>
      <c r="H5" s="12">
        <f t="shared" si="0"/>
        <v>6.4762267309369959E-2</v>
      </c>
      <c r="I5" s="2">
        <f>VLOOKUP(A:A,MASTER!A:E,5,0)</f>
        <v>2035</v>
      </c>
      <c r="J5" s="2">
        <f>VLOOKUP(A:A,MASTER!A:J,10,0)</f>
        <v>1007</v>
      </c>
      <c r="K5" s="12">
        <f t="shared" si="1"/>
        <v>-0.50515970515970521</v>
      </c>
      <c r="L5" s="2">
        <f>VLOOKUP(A:A,MASTER!A:D,4,0)</f>
        <v>4</v>
      </c>
      <c r="M5" s="2">
        <f>VLOOKUP(A:A,MASTER!A:I,9,0)</f>
        <v>2</v>
      </c>
      <c r="N5" s="12">
        <f t="shared" si="2"/>
        <v>-0.5</v>
      </c>
      <c r="O5" s="1">
        <f>VLOOKUP(A:A,MASTER!A:C,3,0)</f>
        <v>4</v>
      </c>
      <c r="P5" s="1">
        <f>VLOOKUP(A:A,MASTER!A:H,8,0)</f>
        <v>4</v>
      </c>
      <c r="Q5" s="12">
        <f t="shared" si="3"/>
        <v>0</v>
      </c>
      <c r="R5" s="1">
        <f>VLOOKUP(A:A,MASTER!A:B,2,0)</f>
        <v>1208</v>
      </c>
      <c r="S5">
        <f>VLOOKUP(A:A,MASTER!A:G,7,0)</f>
        <v>1228</v>
      </c>
      <c r="T5" s="12">
        <f t="shared" si="4"/>
        <v>1.655629139072845E-2</v>
      </c>
      <c r="U5">
        <v>1</v>
      </c>
    </row>
    <row r="6" spans="1:21" x14ac:dyDescent="0.35">
      <c r="A6" t="s">
        <v>123</v>
      </c>
      <c r="B6" t="s">
        <v>124</v>
      </c>
      <c r="C6" t="s">
        <v>22</v>
      </c>
      <c r="D6" t="s">
        <v>69</v>
      </c>
      <c r="E6" t="s">
        <v>182</v>
      </c>
      <c r="F6" s="1">
        <f>VLOOKUP(A:A,MASTER!A:F,6,0)</f>
        <v>9136539.7726296578</v>
      </c>
      <c r="G6" s="1">
        <f>VLOOKUP(A:A,MASTER!A:K,11,0)</f>
        <v>9958782.7049773205</v>
      </c>
      <c r="H6" s="12">
        <f t="shared" si="0"/>
        <v>8.9995003886575997E-2</v>
      </c>
      <c r="I6" s="2">
        <f>VLOOKUP(A:A,MASTER!A:E,5,0)</f>
        <v>395</v>
      </c>
      <c r="J6" s="2">
        <f>VLOOKUP(A:A,MASTER!A:J,10,0)</f>
        <v>417</v>
      </c>
      <c r="K6" s="12">
        <f t="shared" si="1"/>
        <v>5.5696202531645644E-2</v>
      </c>
      <c r="L6" s="2">
        <f>VLOOKUP(A:A,MASTER!A:D,4,0)</f>
        <v>1</v>
      </c>
      <c r="M6" s="2">
        <f>VLOOKUP(A:A,MASTER!A:I,9,0)</f>
        <v>1</v>
      </c>
      <c r="N6" s="12">
        <f t="shared" si="2"/>
        <v>0</v>
      </c>
      <c r="O6" s="1">
        <f>VLOOKUP(A:A,MASTER!A:C,3,0)</f>
        <v>1</v>
      </c>
      <c r="P6" s="1">
        <f>VLOOKUP(A:A,MASTER!A:H,8,0)</f>
        <v>3</v>
      </c>
      <c r="Q6" s="12">
        <f t="shared" si="3"/>
        <v>2</v>
      </c>
      <c r="R6" s="1">
        <f>VLOOKUP(A:A,MASTER!A:B,2,0)</f>
        <v>402</v>
      </c>
      <c r="S6">
        <f>VLOOKUP(A:A,MASTER!A:G,7,0)</f>
        <v>392</v>
      </c>
      <c r="T6" s="12">
        <f t="shared" si="4"/>
        <v>-2.4875621890547261E-2</v>
      </c>
      <c r="U6">
        <v>3</v>
      </c>
    </row>
    <row r="7" spans="1:21" x14ac:dyDescent="0.35">
      <c r="A7" t="s">
        <v>125</v>
      </c>
      <c r="B7" t="s">
        <v>126</v>
      </c>
      <c r="C7" t="s">
        <v>22</v>
      </c>
      <c r="D7" t="s">
        <v>69</v>
      </c>
      <c r="E7" t="s">
        <v>182</v>
      </c>
      <c r="F7" s="1">
        <f>VLOOKUP(A:A,MASTER!A:F,6,0)</f>
        <v>7743516.6435261397</v>
      </c>
      <c r="G7" s="1">
        <f>VLOOKUP(A:A,MASTER!A:K,11,0)</f>
        <v>6081677.9457779359</v>
      </c>
      <c r="H7" s="12">
        <f t="shared" si="0"/>
        <v>-0.2146103345871363</v>
      </c>
      <c r="I7" s="2">
        <f>VLOOKUP(A:A,MASTER!A:E,5,0)</f>
        <v>267</v>
      </c>
      <c r="J7" s="2">
        <f>VLOOKUP(A:A,MASTER!A:J,10,0)</f>
        <v>271</v>
      </c>
      <c r="K7" s="12">
        <f t="shared" si="1"/>
        <v>1.4981273408239737E-2</v>
      </c>
      <c r="L7" s="2">
        <f>VLOOKUP(A:A,MASTER!A:D,4,0)</f>
        <v>2</v>
      </c>
      <c r="M7" s="2">
        <f>VLOOKUP(A:A,MASTER!A:I,9,0)</f>
        <v>2</v>
      </c>
      <c r="N7" s="12">
        <f t="shared" si="2"/>
        <v>0</v>
      </c>
      <c r="O7" s="1">
        <f>VLOOKUP(A:A,MASTER!A:C,3,0)</f>
        <v>3</v>
      </c>
      <c r="P7" s="1">
        <f>VLOOKUP(A:A,MASTER!A:H,8,0)</f>
        <v>1</v>
      </c>
      <c r="Q7" s="12">
        <f t="shared" si="3"/>
        <v>-0.66666666666666674</v>
      </c>
      <c r="R7" s="1">
        <f>VLOOKUP(A:A,MASTER!A:B,2,0)</f>
        <v>383</v>
      </c>
      <c r="S7">
        <f>VLOOKUP(A:A,MASTER!A:G,7,0)</f>
        <v>379</v>
      </c>
      <c r="T7" s="12">
        <f t="shared" si="4"/>
        <v>-1.0443864229765065E-2</v>
      </c>
      <c r="U7">
        <v>1</v>
      </c>
    </row>
    <row r="8" spans="1:21" x14ac:dyDescent="0.35">
      <c r="A8" t="s">
        <v>131</v>
      </c>
      <c r="B8" t="s">
        <v>132</v>
      </c>
      <c r="C8" t="s">
        <v>22</v>
      </c>
      <c r="D8" t="s">
        <v>69</v>
      </c>
      <c r="E8" t="s">
        <v>182</v>
      </c>
      <c r="F8" s="1">
        <f>VLOOKUP(A:A,MASTER!A:F,6,0)</f>
        <v>9125846.8320685625</v>
      </c>
      <c r="G8" s="1">
        <f>VLOOKUP(A:A,MASTER!A:K,11,0)</f>
        <v>9528640.5381818991</v>
      </c>
      <c r="H8" s="12">
        <f t="shared" si="0"/>
        <v>4.413767988061168E-2</v>
      </c>
      <c r="I8" s="2">
        <f>VLOOKUP(A:A,MASTER!A:E,5,0)</f>
        <v>496</v>
      </c>
      <c r="J8" s="2">
        <f>VLOOKUP(A:A,MASTER!A:J,10,0)</f>
        <v>505</v>
      </c>
      <c r="K8" s="12">
        <f t="shared" si="1"/>
        <v>1.8145161290322509E-2</v>
      </c>
      <c r="L8" s="2">
        <f>VLOOKUP(A:A,MASTER!A:D,4,0)</f>
        <v>3</v>
      </c>
      <c r="M8" s="2">
        <f>VLOOKUP(A:A,MASTER!A:I,9,0)</f>
        <v>0</v>
      </c>
      <c r="N8" s="12">
        <f t="shared" si="2"/>
        <v>-1</v>
      </c>
      <c r="O8" s="1">
        <f>VLOOKUP(A:A,MASTER!A:C,3,0)</f>
        <v>1</v>
      </c>
      <c r="P8" s="1">
        <f>VLOOKUP(A:A,MASTER!A:H,8,0)</f>
        <v>4</v>
      </c>
      <c r="Q8" s="12">
        <f t="shared" si="3"/>
        <v>3</v>
      </c>
      <c r="R8" s="1">
        <f>VLOOKUP(A:A,MASTER!A:B,2,0)</f>
        <v>595</v>
      </c>
      <c r="S8">
        <f>VLOOKUP(A:A,MASTER!A:G,7,0)</f>
        <v>632</v>
      </c>
      <c r="T8" s="12">
        <f t="shared" si="4"/>
        <v>6.2184873949579833E-2</v>
      </c>
      <c r="U8">
        <v>9</v>
      </c>
    </row>
    <row r="9" spans="1:21" x14ac:dyDescent="0.35">
      <c r="A9" t="s">
        <v>133</v>
      </c>
      <c r="B9" t="s">
        <v>134</v>
      </c>
      <c r="C9" t="s">
        <v>22</v>
      </c>
      <c r="D9" t="s">
        <v>69</v>
      </c>
      <c r="E9" t="s">
        <v>182</v>
      </c>
      <c r="F9" s="1">
        <f>VLOOKUP(A:A,MASTER!A:F,6,0)</f>
        <v>4059495.7912112302</v>
      </c>
      <c r="G9" s="1">
        <f>VLOOKUP(A:A,MASTER!A:K,11,0)</f>
        <v>4278470.8679645592</v>
      </c>
      <c r="H9" s="12">
        <f t="shared" si="0"/>
        <v>5.394144692240066E-2</v>
      </c>
      <c r="I9" s="2">
        <f>VLOOKUP(A:A,MASTER!A:E,5,0)</f>
        <v>134</v>
      </c>
      <c r="J9" s="2">
        <f>VLOOKUP(A:A,MASTER!A:J,10,0)</f>
        <v>145</v>
      </c>
      <c r="K9" s="12">
        <f t="shared" si="1"/>
        <v>8.2089552238805874E-2</v>
      </c>
      <c r="L9" s="2">
        <f>VLOOKUP(A:A,MASTER!A:D,4,0)</f>
        <v>1</v>
      </c>
      <c r="M9" s="2">
        <f>VLOOKUP(A:A,MASTER!A:I,9,0)</f>
        <v>1</v>
      </c>
      <c r="N9" s="12">
        <f t="shared" si="2"/>
        <v>0</v>
      </c>
      <c r="O9" s="1">
        <f>VLOOKUP(A:A,MASTER!A:C,3,0)</f>
        <v>0</v>
      </c>
      <c r="P9" s="1">
        <f>VLOOKUP(A:A,MASTER!A:H,8,0)</f>
        <v>0</v>
      </c>
      <c r="Q9" s="12">
        <f t="shared" si="3"/>
        <v>0</v>
      </c>
      <c r="R9" s="1">
        <f>VLOOKUP(A:A,MASTER!A:B,2,0)</f>
        <v>168</v>
      </c>
      <c r="S9">
        <f>VLOOKUP(A:A,MASTER!A:G,7,0)</f>
        <v>178</v>
      </c>
      <c r="T9" s="12">
        <f t="shared" si="4"/>
        <v>5.9523809523809534E-2</v>
      </c>
      <c r="U9">
        <v>1</v>
      </c>
    </row>
    <row r="10" spans="1:21" x14ac:dyDescent="0.35">
      <c r="A10" t="s">
        <v>141</v>
      </c>
      <c r="B10" t="s">
        <v>142</v>
      </c>
      <c r="C10" t="s">
        <v>22</v>
      </c>
      <c r="D10" t="s">
        <v>69</v>
      </c>
      <c r="E10" t="s">
        <v>180</v>
      </c>
      <c r="F10" s="1">
        <f>VLOOKUP(A:A,MASTER!A:F,6,0)</f>
        <v>832225.483727457</v>
      </c>
      <c r="G10" s="1">
        <f>VLOOKUP(A:A,MASTER!A:K,11,0)</f>
        <v>4260676.8748711916</v>
      </c>
      <c r="H10" s="12">
        <f t="shared" si="0"/>
        <v>4.1196183704781957</v>
      </c>
      <c r="I10" s="2">
        <f>VLOOKUP(A:A,MASTER!A:E,5,0)</f>
        <v>154</v>
      </c>
      <c r="J10" s="2">
        <f>VLOOKUP(A:A,MASTER!A:J,10,0)</f>
        <v>242</v>
      </c>
      <c r="K10" s="12">
        <f t="shared" si="1"/>
        <v>0.5714285714285714</v>
      </c>
      <c r="L10" s="2">
        <f>VLOOKUP(A:A,MASTER!A:D,4,0)</f>
        <v>1</v>
      </c>
      <c r="M10" s="2">
        <f>VLOOKUP(A:A,MASTER!A:I,9,0)</f>
        <v>1</v>
      </c>
      <c r="N10" s="12">
        <f t="shared" si="2"/>
        <v>0</v>
      </c>
      <c r="O10" s="1">
        <f>VLOOKUP(A:A,MASTER!A:C,3,0)</f>
        <v>1</v>
      </c>
      <c r="P10" s="1">
        <f>VLOOKUP(A:A,MASTER!A:H,8,0)</f>
        <v>0</v>
      </c>
      <c r="Q10" s="12">
        <f t="shared" si="3"/>
        <v>-1</v>
      </c>
      <c r="R10" s="1">
        <f>VLOOKUP(A:A,MASTER!A:B,2,0)</f>
        <v>187</v>
      </c>
      <c r="S10">
        <f>VLOOKUP(A:A,MASTER!A:G,7,0)</f>
        <v>208</v>
      </c>
      <c r="T10" s="12">
        <f t="shared" si="4"/>
        <v>0.11229946524064172</v>
      </c>
      <c r="U10">
        <v>0</v>
      </c>
    </row>
    <row r="11" spans="1:21" x14ac:dyDescent="0.35">
      <c r="A11" t="s">
        <v>135</v>
      </c>
      <c r="B11" t="s">
        <v>136</v>
      </c>
      <c r="C11" t="s">
        <v>22</v>
      </c>
      <c r="D11" t="s">
        <v>69</v>
      </c>
      <c r="E11" t="s">
        <v>182</v>
      </c>
      <c r="F11" s="1">
        <f>VLOOKUP(A:A,MASTER!A:F,6,0)</f>
        <v>8440011.6415319797</v>
      </c>
      <c r="G11" s="1">
        <f>VLOOKUP(A:A,MASTER!A:K,11,0)</f>
        <v>7427057.5940592606</v>
      </c>
      <c r="H11" s="12">
        <f t="shared" si="0"/>
        <v>-0.1200180865258681</v>
      </c>
      <c r="I11" s="2">
        <f>VLOOKUP(A:A,MASTER!A:E,5,0)</f>
        <v>360</v>
      </c>
      <c r="J11" s="2">
        <f>VLOOKUP(A:A,MASTER!A:J,10,0)</f>
        <v>363</v>
      </c>
      <c r="K11" s="12">
        <f t="shared" si="1"/>
        <v>8.3333333333333037E-3</v>
      </c>
      <c r="L11" s="2">
        <f>VLOOKUP(A:A,MASTER!A:D,4,0)</f>
        <v>1</v>
      </c>
      <c r="M11" s="2">
        <f>VLOOKUP(A:A,MASTER!A:I,9,0)</f>
        <v>1</v>
      </c>
      <c r="N11" s="12">
        <f t="shared" si="2"/>
        <v>0</v>
      </c>
      <c r="O11" s="1">
        <f>VLOOKUP(A:A,MASTER!A:C,3,0)</f>
        <v>1</v>
      </c>
      <c r="P11" s="1">
        <f>VLOOKUP(A:A,MASTER!A:H,8,0)</f>
        <v>4</v>
      </c>
      <c r="Q11" s="12">
        <f t="shared" si="3"/>
        <v>3</v>
      </c>
      <c r="R11" s="1">
        <f>VLOOKUP(A:A,MASTER!A:B,2,0)</f>
        <v>368</v>
      </c>
      <c r="S11">
        <f>VLOOKUP(A:A,MASTER!A:G,7,0)</f>
        <v>359</v>
      </c>
      <c r="T11" s="12">
        <f t="shared" si="4"/>
        <v>-2.4456521739130488E-2</v>
      </c>
      <c r="U11">
        <v>4</v>
      </c>
    </row>
    <row r="12" spans="1:21" x14ac:dyDescent="0.35">
      <c r="A12" t="s">
        <v>143</v>
      </c>
      <c r="B12" t="s">
        <v>144</v>
      </c>
      <c r="C12" t="s">
        <v>22</v>
      </c>
      <c r="D12" t="s">
        <v>69</v>
      </c>
      <c r="E12" t="s">
        <v>180</v>
      </c>
      <c r="F12" s="1">
        <f>VLOOKUP(A:A,MASTER!A:F,6,0)</f>
        <v>3926643.4736452131</v>
      </c>
      <c r="G12" s="1">
        <f>VLOOKUP(A:A,MASTER!A:K,11,0)</f>
        <v>3647125.4913574592</v>
      </c>
      <c r="H12" s="12">
        <f t="shared" si="0"/>
        <v>-7.1184966031120123E-2</v>
      </c>
      <c r="I12" s="2">
        <f>VLOOKUP(A:A,MASTER!A:E,5,0)</f>
        <v>263</v>
      </c>
      <c r="J12" s="2">
        <f>VLOOKUP(A:A,MASTER!A:J,10,0)</f>
        <v>215</v>
      </c>
      <c r="K12" s="12">
        <f t="shared" si="1"/>
        <v>-0.18250950570342206</v>
      </c>
      <c r="L12" s="2">
        <f>VLOOKUP(A:A,MASTER!A:D,4,0)</f>
        <v>2</v>
      </c>
      <c r="M12" s="2">
        <f>VLOOKUP(A:A,MASTER!A:I,9,0)</f>
        <v>2</v>
      </c>
      <c r="N12" s="12">
        <f t="shared" si="2"/>
        <v>0</v>
      </c>
      <c r="O12" s="1">
        <f>VLOOKUP(A:A,MASTER!A:C,3,0)</f>
        <v>0</v>
      </c>
      <c r="P12" s="1">
        <f>VLOOKUP(A:A,MASTER!A:H,8,0)</f>
        <v>0</v>
      </c>
      <c r="Q12" s="12">
        <f t="shared" si="3"/>
        <v>0</v>
      </c>
      <c r="R12" s="1">
        <f>VLOOKUP(A:A,MASTER!A:B,2,0)</f>
        <v>209</v>
      </c>
      <c r="S12">
        <f>VLOOKUP(A:A,MASTER!A:G,7,0)</f>
        <v>236</v>
      </c>
      <c r="T12" s="12">
        <f t="shared" si="4"/>
        <v>0.12918660287081329</v>
      </c>
      <c r="U12">
        <v>2</v>
      </c>
    </row>
    <row r="13" spans="1:21" x14ac:dyDescent="0.35">
      <c r="A13" t="s">
        <v>145</v>
      </c>
      <c r="B13" t="s">
        <v>146</v>
      </c>
      <c r="C13" t="s">
        <v>22</v>
      </c>
      <c r="D13" t="s">
        <v>69</v>
      </c>
      <c r="E13" t="s">
        <v>180</v>
      </c>
      <c r="F13" s="1">
        <f>VLOOKUP(A:A,MASTER!A:F,6,0)</f>
        <v>4329889.7318454506</v>
      </c>
      <c r="G13" s="1">
        <f>VLOOKUP(A:A,MASTER!A:K,11,0)</f>
        <v>4468512.0865646908</v>
      </c>
      <c r="H13" s="12">
        <f t="shared" si="0"/>
        <v>3.2015215930258245E-2</v>
      </c>
      <c r="I13" s="2">
        <f>VLOOKUP(A:A,MASTER!A:E,5,0)</f>
        <v>232</v>
      </c>
      <c r="J13" s="2">
        <f>VLOOKUP(A:A,MASTER!A:J,10,0)</f>
        <v>220</v>
      </c>
      <c r="K13" s="12">
        <f t="shared" si="1"/>
        <v>-5.1724137931034475E-2</v>
      </c>
      <c r="L13" s="2">
        <f>VLOOKUP(A:A,MASTER!A:D,4,0)</f>
        <v>2</v>
      </c>
      <c r="M13" s="2">
        <f>VLOOKUP(A:A,MASTER!A:I,9,0)</f>
        <v>0</v>
      </c>
      <c r="N13" s="12">
        <f t="shared" si="2"/>
        <v>-1</v>
      </c>
      <c r="O13" s="1">
        <f>VLOOKUP(A:A,MASTER!A:C,3,0)</f>
        <v>1</v>
      </c>
      <c r="P13" s="1">
        <f>VLOOKUP(A:A,MASTER!A:H,8,0)</f>
        <v>0</v>
      </c>
      <c r="Q13" s="12">
        <f t="shared" si="3"/>
        <v>-1</v>
      </c>
      <c r="R13" s="1">
        <f>VLOOKUP(A:A,MASTER!A:B,2,0)</f>
        <v>244</v>
      </c>
      <c r="S13">
        <f>VLOOKUP(A:A,MASTER!A:G,7,0)</f>
        <v>242</v>
      </c>
      <c r="T13" s="12">
        <f t="shared" si="4"/>
        <v>-8.1967213114754189E-3</v>
      </c>
      <c r="U13">
        <v>5</v>
      </c>
    </row>
    <row r="14" spans="1:21" x14ac:dyDescent="0.35">
      <c r="A14" t="s">
        <v>20</v>
      </c>
      <c r="B14" t="s">
        <v>21</v>
      </c>
      <c r="C14" t="s">
        <v>22</v>
      </c>
      <c r="D14" t="s">
        <v>69</v>
      </c>
      <c r="E14" t="s">
        <v>182</v>
      </c>
      <c r="F14" s="1">
        <f>VLOOKUP(A:A,MASTER!A:F,6,0)</f>
        <v>15542536.569016691</v>
      </c>
      <c r="G14" s="1">
        <f>VLOOKUP(A:A,MASTER!A:K,11,0)</f>
        <v>24968411.489844091</v>
      </c>
      <c r="H14" s="12">
        <f t="shared" si="0"/>
        <v>0.60645666677197552</v>
      </c>
      <c r="I14" s="2">
        <f>VLOOKUP(A:A,MASTER!A:E,5,0)</f>
        <v>1327</v>
      </c>
      <c r="J14" s="2">
        <f>VLOOKUP(A:A,MASTER!A:J,10,0)</f>
        <v>1269</v>
      </c>
      <c r="K14" s="12">
        <f t="shared" si="1"/>
        <v>-4.3707611152976611E-2</v>
      </c>
      <c r="L14" s="2">
        <f>VLOOKUP(A:A,MASTER!A:D,4,0)</f>
        <v>3</v>
      </c>
      <c r="M14" s="2">
        <f>VLOOKUP(A:A,MASTER!A:I,9,0)</f>
        <v>5</v>
      </c>
      <c r="N14" s="12">
        <f t="shared" si="2"/>
        <v>0.66666666666666674</v>
      </c>
      <c r="O14" s="1">
        <f>VLOOKUP(A:A,MASTER!A:C,3,0)</f>
        <v>3</v>
      </c>
      <c r="P14" s="1">
        <f>VLOOKUP(A:A,MASTER!A:H,8,0)</f>
        <v>4</v>
      </c>
      <c r="Q14" s="12">
        <f t="shared" si="3"/>
        <v>0.33333333333333326</v>
      </c>
      <c r="R14" s="1">
        <f>VLOOKUP(A:A,MASTER!A:B,2,0)</f>
        <v>1433</v>
      </c>
      <c r="S14">
        <f>VLOOKUP(A:A,MASTER!A:G,7,0)</f>
        <v>1404</v>
      </c>
      <c r="T14" s="12">
        <f t="shared" si="4"/>
        <v>-2.023726448011165E-2</v>
      </c>
      <c r="U14">
        <v>3</v>
      </c>
    </row>
    <row r="15" spans="1:21" x14ac:dyDescent="0.35">
      <c r="A15" t="s">
        <v>45</v>
      </c>
      <c r="B15" t="s">
        <v>46</v>
      </c>
      <c r="C15" t="s">
        <v>22</v>
      </c>
      <c r="D15" t="s">
        <v>23</v>
      </c>
      <c r="E15" t="s">
        <v>182</v>
      </c>
      <c r="F15" s="1">
        <f>VLOOKUP(A:A,MASTER!A:F,6,0)</f>
        <v>29238120.41858248</v>
      </c>
      <c r="G15" s="1">
        <f>VLOOKUP(A:A,MASTER!A:K,11,0)</f>
        <v>35824755.92923595</v>
      </c>
      <c r="H15" s="12">
        <f t="shared" si="0"/>
        <v>0.22527561335534041</v>
      </c>
      <c r="I15" s="2">
        <f>VLOOKUP(A:A,MASTER!A:E,5,0)</f>
        <v>907</v>
      </c>
      <c r="J15" s="2">
        <f>VLOOKUP(A:A,MASTER!A:J,10,0)</f>
        <v>889</v>
      </c>
      <c r="K15" s="12">
        <f t="shared" si="1"/>
        <v>-1.9845644983461974E-2</v>
      </c>
      <c r="L15" s="2">
        <f>VLOOKUP(A:A,MASTER!A:D,4,0)</f>
        <v>3</v>
      </c>
      <c r="M15" s="2">
        <f>VLOOKUP(A:A,MASTER!A:I,9,0)</f>
        <v>2</v>
      </c>
      <c r="N15" s="12">
        <f t="shared" si="2"/>
        <v>-0.33333333333333337</v>
      </c>
      <c r="O15" s="1">
        <f>VLOOKUP(A:A,MASTER!A:C,3,0)</f>
        <v>1</v>
      </c>
      <c r="P15" s="1">
        <f>VLOOKUP(A:A,MASTER!A:H,8,0)</f>
        <v>0</v>
      </c>
      <c r="Q15" s="12">
        <f t="shared" si="3"/>
        <v>-1</v>
      </c>
      <c r="R15" s="1">
        <f>VLOOKUP(A:A,MASTER!A:B,2,0)</f>
        <v>1235</v>
      </c>
      <c r="S15">
        <f>VLOOKUP(A:A,MASTER!A:G,7,0)</f>
        <v>1253</v>
      </c>
      <c r="T15" s="12">
        <f t="shared" si="4"/>
        <v>1.4574898785425061E-2</v>
      </c>
      <c r="U15">
        <v>3</v>
      </c>
    </row>
    <row r="16" spans="1:21" x14ac:dyDescent="0.35">
      <c r="A16" t="s">
        <v>47</v>
      </c>
      <c r="B16" t="s">
        <v>48</v>
      </c>
      <c r="C16" t="s">
        <v>22</v>
      </c>
      <c r="D16" t="s">
        <v>23</v>
      </c>
      <c r="E16" t="s">
        <v>182</v>
      </c>
      <c r="F16" s="1">
        <f>VLOOKUP(A:A,MASTER!A:F,6,0)</f>
        <v>17096402.744824786</v>
      </c>
      <c r="G16" s="1">
        <f>VLOOKUP(A:A,MASTER!A:K,11,0)</f>
        <v>17290212.931036513</v>
      </c>
      <c r="H16" s="12">
        <f t="shared" si="0"/>
        <v>1.1336313790946129E-2</v>
      </c>
      <c r="I16" s="2">
        <f>VLOOKUP(A:A,MASTER!A:E,5,0)</f>
        <v>922</v>
      </c>
      <c r="J16" s="2">
        <f>VLOOKUP(A:A,MASTER!A:J,10,0)</f>
        <v>907</v>
      </c>
      <c r="K16" s="12">
        <f t="shared" si="1"/>
        <v>-1.6268980477223471E-2</v>
      </c>
      <c r="L16" s="2">
        <f>VLOOKUP(A:A,MASTER!A:D,4,0)</f>
        <v>5</v>
      </c>
      <c r="M16" s="2">
        <f>VLOOKUP(A:A,MASTER!A:I,9,0)</f>
        <v>5</v>
      </c>
      <c r="N16" s="12">
        <f t="shared" si="2"/>
        <v>0</v>
      </c>
      <c r="O16" s="1">
        <f>VLOOKUP(A:A,MASTER!A:C,3,0)</f>
        <v>2</v>
      </c>
      <c r="P16" s="1">
        <f>VLOOKUP(A:A,MASTER!A:H,8,0)</f>
        <v>4</v>
      </c>
      <c r="Q16" s="12">
        <f t="shared" si="3"/>
        <v>1</v>
      </c>
      <c r="R16" s="1">
        <f>VLOOKUP(A:A,MASTER!A:B,2,0)</f>
        <v>1024</v>
      </c>
      <c r="S16">
        <f>VLOOKUP(A:A,MASTER!A:G,7,0)</f>
        <v>1018</v>
      </c>
      <c r="T16" s="12">
        <f t="shared" si="4"/>
        <v>-5.859375E-3</v>
      </c>
      <c r="U16">
        <v>3</v>
      </c>
    </row>
    <row r="17" spans="1:21" x14ac:dyDescent="0.35">
      <c r="A17" t="s">
        <v>49</v>
      </c>
      <c r="B17" t="s">
        <v>50</v>
      </c>
      <c r="C17" t="s">
        <v>22</v>
      </c>
      <c r="D17" t="s">
        <v>23</v>
      </c>
      <c r="E17" t="s">
        <v>182</v>
      </c>
      <c r="F17" s="1">
        <f>VLOOKUP(A:A,MASTER!A:F,6,0)</f>
        <v>12161015.921806771</v>
      </c>
      <c r="G17" s="1">
        <f>VLOOKUP(A:A,MASTER!A:K,11,0)</f>
        <v>16203096.619572133</v>
      </c>
      <c r="H17" s="12">
        <f t="shared" si="0"/>
        <v>0.33238018301721173</v>
      </c>
      <c r="I17" s="2">
        <f>VLOOKUP(A:A,MASTER!A:E,5,0)</f>
        <v>681</v>
      </c>
      <c r="J17" s="2">
        <f>VLOOKUP(A:A,MASTER!A:J,10,0)</f>
        <v>636</v>
      </c>
      <c r="K17" s="12">
        <f t="shared" si="1"/>
        <v>-6.607929515418498E-2</v>
      </c>
      <c r="L17" s="2">
        <f>VLOOKUP(A:A,MASTER!A:D,4,0)</f>
        <v>3</v>
      </c>
      <c r="M17" s="2">
        <f>VLOOKUP(A:A,MASTER!A:I,9,0)</f>
        <v>4</v>
      </c>
      <c r="N17" s="12">
        <f t="shared" si="2"/>
        <v>0.33333333333333326</v>
      </c>
      <c r="O17" s="1">
        <f>VLOOKUP(A:A,MASTER!A:C,3,0)</f>
        <v>3</v>
      </c>
      <c r="P17" s="1">
        <f>VLOOKUP(A:A,MASTER!A:H,8,0)</f>
        <v>0</v>
      </c>
      <c r="Q17" s="12">
        <f t="shared" si="3"/>
        <v>-1</v>
      </c>
      <c r="R17" s="1">
        <f>VLOOKUP(A:A,MASTER!A:B,2,0)</f>
        <v>903</v>
      </c>
      <c r="S17">
        <f>VLOOKUP(A:A,MASTER!A:G,7,0)</f>
        <v>906</v>
      </c>
      <c r="T17" s="12">
        <f t="shared" si="4"/>
        <v>3.3222591362125353E-3</v>
      </c>
      <c r="U17">
        <v>4</v>
      </c>
    </row>
    <row r="18" spans="1:21" x14ac:dyDescent="0.35">
      <c r="A18" t="s">
        <v>51</v>
      </c>
      <c r="B18" t="s">
        <v>52</v>
      </c>
      <c r="C18" t="s">
        <v>22</v>
      </c>
      <c r="D18" t="s">
        <v>23</v>
      </c>
      <c r="E18" t="s">
        <v>182</v>
      </c>
      <c r="F18" s="1">
        <f>VLOOKUP(A:A,MASTER!A:F,6,0)</f>
        <v>63455337.242055319</v>
      </c>
      <c r="G18" s="1">
        <f>VLOOKUP(A:A,MASTER!A:K,11,0)</f>
        <v>58431495.578616232</v>
      </c>
      <c r="H18" s="12">
        <f t="shared" si="0"/>
        <v>-7.9171301923355197E-2</v>
      </c>
      <c r="I18" s="2">
        <f>VLOOKUP(A:A,MASTER!A:E,5,0)</f>
        <v>2091</v>
      </c>
      <c r="J18" s="2">
        <f>VLOOKUP(A:A,MASTER!A:J,10,0)</f>
        <v>2265</v>
      </c>
      <c r="K18" s="12">
        <f t="shared" si="1"/>
        <v>8.3213773314203765E-2</v>
      </c>
      <c r="L18" s="2">
        <f>VLOOKUP(A:A,MASTER!A:D,4,0)</f>
        <v>10</v>
      </c>
      <c r="M18" s="2">
        <f>VLOOKUP(A:A,MASTER!A:I,9,0)</f>
        <v>12</v>
      </c>
      <c r="N18" s="12">
        <f t="shared" si="2"/>
        <v>0.19999999999999996</v>
      </c>
      <c r="O18" s="1">
        <f>VLOOKUP(A:A,MASTER!A:C,3,0)</f>
        <v>173</v>
      </c>
      <c r="P18" s="1">
        <f>VLOOKUP(A:A,MASTER!A:H,8,0)</f>
        <v>104</v>
      </c>
      <c r="Q18" s="12">
        <f t="shared" si="3"/>
        <v>-0.39884393063583812</v>
      </c>
      <c r="R18" s="1">
        <f>VLOOKUP(A:A,MASTER!A:B,2,0)</f>
        <v>2872</v>
      </c>
      <c r="S18">
        <f>VLOOKUP(A:A,MASTER!A:G,7,0)</f>
        <v>2799</v>
      </c>
      <c r="T18" s="12">
        <f t="shared" si="4"/>
        <v>-2.5417827298050089E-2</v>
      </c>
      <c r="U18">
        <v>5</v>
      </c>
    </row>
    <row r="19" spans="1:21" x14ac:dyDescent="0.35">
      <c r="A19" t="s">
        <v>53</v>
      </c>
      <c r="B19" t="s">
        <v>54</v>
      </c>
      <c r="C19" t="s">
        <v>22</v>
      </c>
      <c r="D19" t="s">
        <v>23</v>
      </c>
      <c r="E19" t="s">
        <v>182</v>
      </c>
      <c r="F19" s="1">
        <f>VLOOKUP(A:A,MASTER!A:F,6,0)</f>
        <v>13715739.655666236</v>
      </c>
      <c r="G19" s="1">
        <f>VLOOKUP(A:A,MASTER!A:K,11,0)</f>
        <v>30857225.122215234</v>
      </c>
      <c r="H19" s="12">
        <f t="shared" si="0"/>
        <v>1.2497674858874652</v>
      </c>
      <c r="I19" s="2">
        <f>VLOOKUP(A:A,MASTER!A:E,5,0)</f>
        <v>1143</v>
      </c>
      <c r="J19" s="2">
        <f>VLOOKUP(A:A,MASTER!A:J,10,0)</f>
        <v>1218</v>
      </c>
      <c r="K19" s="12">
        <f t="shared" si="1"/>
        <v>6.5616797900262425E-2</v>
      </c>
      <c r="L19" s="2">
        <f>VLOOKUP(A:A,MASTER!A:D,4,0)</f>
        <v>1</v>
      </c>
      <c r="M19" s="2">
        <f>VLOOKUP(A:A,MASTER!A:I,9,0)</f>
        <v>2</v>
      </c>
      <c r="N19" s="12">
        <f t="shared" si="2"/>
        <v>1</v>
      </c>
      <c r="O19" s="1">
        <f>VLOOKUP(A:A,MASTER!A:C,3,0)</f>
        <v>3</v>
      </c>
      <c r="P19" s="1">
        <f>VLOOKUP(A:A,MASTER!A:H,8,0)</f>
        <v>5</v>
      </c>
      <c r="Q19" s="12">
        <f t="shared" si="3"/>
        <v>0.66666666666666674</v>
      </c>
      <c r="R19" s="1">
        <f>VLOOKUP(A:A,MASTER!A:B,2,0)</f>
        <v>1367</v>
      </c>
      <c r="S19">
        <f>VLOOKUP(A:A,MASTER!A:G,7,0)</f>
        <v>1368</v>
      </c>
      <c r="T19" s="12">
        <f t="shared" si="4"/>
        <v>7.3152889539129795E-4</v>
      </c>
      <c r="U19">
        <v>1</v>
      </c>
    </row>
    <row r="20" spans="1:21" x14ac:dyDescent="0.35">
      <c r="A20" t="s">
        <v>55</v>
      </c>
      <c r="B20" t="s">
        <v>56</v>
      </c>
      <c r="C20" t="s">
        <v>22</v>
      </c>
      <c r="D20" t="s">
        <v>23</v>
      </c>
      <c r="E20" t="s">
        <v>182</v>
      </c>
      <c r="F20" s="1">
        <f>VLOOKUP(A:A,MASTER!A:F,6,0)</f>
        <v>62455214.851508647</v>
      </c>
      <c r="G20" s="1">
        <f>VLOOKUP(A:A,MASTER!A:K,11,0)</f>
        <v>53170556.161955953</v>
      </c>
      <c r="H20" s="12">
        <f t="shared" si="0"/>
        <v>-0.14866106395803103</v>
      </c>
      <c r="I20" s="2">
        <f>VLOOKUP(A:A,MASTER!A:E,5,0)</f>
        <v>2209</v>
      </c>
      <c r="J20" s="2">
        <f>VLOOKUP(A:A,MASTER!A:J,10,0)</f>
        <v>2092</v>
      </c>
      <c r="K20" s="12">
        <f t="shared" si="1"/>
        <v>-5.2965142598460857E-2</v>
      </c>
      <c r="L20" s="2">
        <f>VLOOKUP(A:A,MASTER!A:D,4,0)</f>
        <v>10</v>
      </c>
      <c r="M20" s="2">
        <f>VLOOKUP(A:A,MASTER!A:I,9,0)</f>
        <v>10</v>
      </c>
      <c r="N20" s="12">
        <f t="shared" si="2"/>
        <v>0</v>
      </c>
      <c r="O20" s="1">
        <f>VLOOKUP(A:A,MASTER!A:C,3,0)</f>
        <v>15</v>
      </c>
      <c r="P20" s="1">
        <f>VLOOKUP(A:A,MASTER!A:H,8,0)</f>
        <v>5</v>
      </c>
      <c r="Q20" s="12">
        <f t="shared" si="3"/>
        <v>-0.66666666666666674</v>
      </c>
      <c r="R20" s="1">
        <f>VLOOKUP(A:A,MASTER!A:B,2,0)</f>
        <v>2972</v>
      </c>
      <c r="S20">
        <f>VLOOKUP(A:A,MASTER!A:G,7,0)</f>
        <v>2777</v>
      </c>
      <c r="T20" s="12">
        <f t="shared" si="4"/>
        <v>-6.5612382234185751E-2</v>
      </c>
      <c r="U20">
        <v>8</v>
      </c>
    </row>
    <row r="21" spans="1:21" x14ac:dyDescent="0.35">
      <c r="A21" t="s">
        <v>67</v>
      </c>
      <c r="B21" t="s">
        <v>68</v>
      </c>
      <c r="C21" t="s">
        <v>22</v>
      </c>
      <c r="D21" t="s">
        <v>23</v>
      </c>
      <c r="E21" t="s">
        <v>180</v>
      </c>
      <c r="F21" s="1">
        <f>VLOOKUP(A:A,MASTER!A:F,6,0)</f>
        <v>9647857.3613462802</v>
      </c>
      <c r="G21" s="1">
        <f>VLOOKUP(A:A,MASTER!A:K,11,0)</f>
        <v>8653275.5065172911</v>
      </c>
      <c r="H21" s="12">
        <f t="shared" si="0"/>
        <v>-0.1030883664194433</v>
      </c>
      <c r="I21" s="2">
        <f>VLOOKUP(A:A,MASTER!A:E,5,0)</f>
        <v>468</v>
      </c>
      <c r="J21" s="2">
        <f>VLOOKUP(A:A,MASTER!A:J,10,0)</f>
        <v>464</v>
      </c>
      <c r="K21" s="12">
        <f t="shared" si="1"/>
        <v>-8.5470085470085166E-3</v>
      </c>
      <c r="L21" s="2">
        <f>VLOOKUP(A:A,MASTER!A:D,4,0)</f>
        <v>1</v>
      </c>
      <c r="M21" s="2">
        <f>VLOOKUP(A:A,MASTER!A:I,9,0)</f>
        <v>1</v>
      </c>
      <c r="N21" s="12">
        <f t="shared" si="2"/>
        <v>0</v>
      </c>
      <c r="O21" s="1">
        <f>VLOOKUP(A:A,MASTER!A:C,3,0)</f>
        <v>4</v>
      </c>
      <c r="P21" s="1">
        <f>VLOOKUP(A:A,MASTER!A:H,8,0)</f>
        <v>2</v>
      </c>
      <c r="Q21" s="12">
        <f t="shared" si="3"/>
        <v>-0.5</v>
      </c>
      <c r="R21" s="1">
        <f>VLOOKUP(A:A,MASTER!A:B,2,0)</f>
        <v>541</v>
      </c>
      <c r="S21">
        <f>VLOOKUP(A:A,MASTER!A:G,7,0)</f>
        <v>527</v>
      </c>
      <c r="T21" s="12">
        <f t="shared" si="4"/>
        <v>-2.5878003696857665E-2</v>
      </c>
      <c r="U21">
        <v>1</v>
      </c>
    </row>
    <row r="22" spans="1:21" x14ac:dyDescent="0.35">
      <c r="A22" t="s">
        <v>74</v>
      </c>
      <c r="B22" t="s">
        <v>75</v>
      </c>
      <c r="C22" t="s">
        <v>22</v>
      </c>
      <c r="D22" t="s">
        <v>23</v>
      </c>
      <c r="E22" t="s">
        <v>182</v>
      </c>
      <c r="F22" s="1">
        <f>VLOOKUP(A:A,MASTER!A:F,6,0)</f>
        <v>25727162.271941304</v>
      </c>
      <c r="G22" s="1">
        <f>VLOOKUP(A:A,MASTER!A:K,11,0)</f>
        <v>23472141.842081539</v>
      </c>
      <c r="H22" s="12">
        <f t="shared" si="0"/>
        <v>-8.7651347086932563E-2</v>
      </c>
      <c r="I22" s="2">
        <f>VLOOKUP(A:A,MASTER!A:E,5,0)</f>
        <v>1348</v>
      </c>
      <c r="J22" s="2">
        <f>VLOOKUP(A:A,MASTER!A:J,10,0)</f>
        <v>1473</v>
      </c>
      <c r="K22" s="12">
        <f t="shared" si="1"/>
        <v>9.2729970326409505E-2</v>
      </c>
      <c r="L22" s="2">
        <f>VLOOKUP(A:A,MASTER!A:D,4,0)</f>
        <v>2</v>
      </c>
      <c r="M22" s="2">
        <f>VLOOKUP(A:A,MASTER!A:I,9,0)</f>
        <v>1</v>
      </c>
      <c r="N22" s="12">
        <f t="shared" si="2"/>
        <v>-0.5</v>
      </c>
      <c r="O22" s="1">
        <f>VLOOKUP(A:A,MASTER!A:C,3,0)</f>
        <v>13</v>
      </c>
      <c r="P22" s="1">
        <f>VLOOKUP(A:A,MASTER!A:H,8,0)</f>
        <v>14</v>
      </c>
      <c r="Q22" s="12">
        <f t="shared" si="3"/>
        <v>7.6923076923076872E-2</v>
      </c>
      <c r="R22" s="1">
        <f>VLOOKUP(A:A,MASTER!A:B,2,0)</f>
        <v>1749</v>
      </c>
      <c r="S22">
        <f>VLOOKUP(A:A,MASTER!A:G,7,0)</f>
        <v>1740</v>
      </c>
      <c r="T22" s="12">
        <f t="shared" si="4"/>
        <v>-5.145797598627766E-3</v>
      </c>
      <c r="U22">
        <v>7</v>
      </c>
    </row>
    <row r="23" spans="1:21" x14ac:dyDescent="0.35">
      <c r="A23" t="s">
        <v>70</v>
      </c>
      <c r="B23" t="s">
        <v>71</v>
      </c>
      <c r="C23" t="s">
        <v>22</v>
      </c>
      <c r="D23" t="s">
        <v>23</v>
      </c>
      <c r="E23" t="s">
        <v>180</v>
      </c>
      <c r="F23" s="1">
        <f>VLOOKUP(A:A,MASTER!A:F,6,0)</f>
        <v>10259830.90651048</v>
      </c>
      <c r="G23" s="1">
        <f>VLOOKUP(A:A,MASTER!A:K,11,0)</f>
        <v>9877911.5601799227</v>
      </c>
      <c r="H23" s="12">
        <f t="shared" si="0"/>
        <v>-3.7224721324423227E-2</v>
      </c>
      <c r="I23" s="2">
        <f>VLOOKUP(A:A,MASTER!A:E,5,0)</f>
        <v>765</v>
      </c>
      <c r="J23" s="2">
        <f>VLOOKUP(A:A,MASTER!A:J,10,0)</f>
        <v>822</v>
      </c>
      <c r="K23" s="12">
        <f t="shared" si="1"/>
        <v>7.4509803921568585E-2</v>
      </c>
      <c r="L23" s="2">
        <f>VLOOKUP(A:A,MASTER!A:D,4,0)</f>
        <v>1</v>
      </c>
      <c r="M23" s="2">
        <f>VLOOKUP(A:A,MASTER!A:I,9,0)</f>
        <v>0</v>
      </c>
      <c r="N23" s="12">
        <f t="shared" si="2"/>
        <v>-1</v>
      </c>
      <c r="O23" s="1">
        <f>VLOOKUP(A:A,MASTER!A:C,3,0)</f>
        <v>8</v>
      </c>
      <c r="P23" s="1">
        <f>VLOOKUP(A:A,MASTER!A:H,8,0)</f>
        <v>4</v>
      </c>
      <c r="Q23" s="12">
        <f t="shared" si="3"/>
        <v>-0.5</v>
      </c>
      <c r="R23" s="1">
        <f>VLOOKUP(A:A,MASTER!A:B,2,0)</f>
        <v>877</v>
      </c>
      <c r="S23">
        <f>VLOOKUP(A:A,MASTER!A:G,7,0)</f>
        <v>833</v>
      </c>
      <c r="T23" s="12">
        <f t="shared" si="4"/>
        <v>-5.0171037628278237E-2</v>
      </c>
      <c r="U23">
        <v>0</v>
      </c>
    </row>
    <row r="24" spans="1:21" x14ac:dyDescent="0.35">
      <c r="A24" t="s">
        <v>72</v>
      </c>
      <c r="B24" t="s">
        <v>73</v>
      </c>
      <c r="C24" t="s">
        <v>22</v>
      </c>
      <c r="D24" t="s">
        <v>23</v>
      </c>
      <c r="E24" t="s">
        <v>180</v>
      </c>
      <c r="F24" s="1">
        <f>VLOOKUP(A:A,MASTER!A:F,6,0)</f>
        <v>13074169.534061378</v>
      </c>
      <c r="G24" s="1">
        <f>VLOOKUP(A:A,MASTER!A:K,11,0)</f>
        <v>12367446.731246172</v>
      </c>
      <c r="H24" s="12">
        <f t="shared" si="0"/>
        <v>-5.4054890520887189E-2</v>
      </c>
      <c r="I24" s="2">
        <f>VLOOKUP(A:A,MASTER!A:E,5,0)</f>
        <v>807</v>
      </c>
      <c r="J24" s="2">
        <f>VLOOKUP(A:A,MASTER!A:J,10,0)</f>
        <v>729</v>
      </c>
      <c r="K24" s="12">
        <f t="shared" si="1"/>
        <v>-9.6654275092936781E-2</v>
      </c>
      <c r="L24" s="2">
        <f>VLOOKUP(A:A,MASTER!A:D,4,0)</f>
        <v>1</v>
      </c>
      <c r="M24" s="2">
        <f>VLOOKUP(A:A,MASTER!A:I,9,0)</f>
        <v>0</v>
      </c>
      <c r="N24" s="12">
        <f t="shared" si="2"/>
        <v>-1</v>
      </c>
      <c r="O24" s="1">
        <f>VLOOKUP(A:A,MASTER!A:C,3,0)</f>
        <v>5</v>
      </c>
      <c r="P24" s="1">
        <f>VLOOKUP(A:A,MASTER!A:H,8,0)</f>
        <v>1</v>
      </c>
      <c r="Q24" s="12">
        <f t="shared" si="3"/>
        <v>-0.8</v>
      </c>
      <c r="R24" s="1">
        <f>VLOOKUP(A:A,MASTER!A:B,2,0)</f>
        <v>890</v>
      </c>
      <c r="S24">
        <f>VLOOKUP(A:A,MASTER!A:G,7,0)</f>
        <v>874</v>
      </c>
      <c r="T24" s="12">
        <f t="shared" si="4"/>
        <v>-1.7977528089887618E-2</v>
      </c>
      <c r="U24">
        <v>3</v>
      </c>
    </row>
    <row r="25" spans="1:21" x14ac:dyDescent="0.35">
      <c r="A25" t="s">
        <v>79</v>
      </c>
      <c r="B25" t="s">
        <v>80</v>
      </c>
      <c r="C25" t="s">
        <v>22</v>
      </c>
      <c r="D25" t="s">
        <v>23</v>
      </c>
      <c r="E25" t="s">
        <v>180</v>
      </c>
      <c r="F25" s="1">
        <f>VLOOKUP(A:A,MASTER!A:F,6,0)</f>
        <v>2752351.900354438</v>
      </c>
      <c r="G25" s="1">
        <f>VLOOKUP(A:A,MASTER!A:K,11,0)</f>
        <v>3125322.1816324871</v>
      </c>
      <c r="H25" s="12">
        <f t="shared" si="0"/>
        <v>0.1355096640186233</v>
      </c>
      <c r="I25" s="2">
        <f>VLOOKUP(A:A,MASTER!A:E,5,0)</f>
        <v>171</v>
      </c>
      <c r="J25" s="2">
        <f>VLOOKUP(A:A,MASTER!A:J,10,0)</f>
        <v>219</v>
      </c>
      <c r="K25" s="12">
        <f t="shared" si="1"/>
        <v>0.2807017543859649</v>
      </c>
      <c r="L25" s="2">
        <f>VLOOKUP(A:A,MASTER!A:D,4,0)</f>
        <v>2</v>
      </c>
      <c r="M25" s="2">
        <f>VLOOKUP(A:A,MASTER!A:I,9,0)</f>
        <v>0</v>
      </c>
      <c r="N25" s="12">
        <f t="shared" si="2"/>
        <v>-1</v>
      </c>
      <c r="O25" s="1">
        <f>VLOOKUP(A:A,MASTER!A:C,3,0)</f>
        <v>1</v>
      </c>
      <c r="P25" s="1">
        <f>VLOOKUP(A:A,MASTER!A:H,8,0)</f>
        <v>1</v>
      </c>
      <c r="Q25" s="12">
        <f t="shared" si="3"/>
        <v>0</v>
      </c>
      <c r="R25" s="1">
        <f>VLOOKUP(A:A,MASTER!A:B,2,0)</f>
        <v>231</v>
      </c>
      <c r="S25">
        <f>VLOOKUP(A:A,MASTER!A:G,7,0)</f>
        <v>218</v>
      </c>
      <c r="T25" s="12">
        <f t="shared" si="4"/>
        <v>-5.6277056277056259E-2</v>
      </c>
      <c r="U25">
        <v>0</v>
      </c>
    </row>
    <row r="26" spans="1:21" x14ac:dyDescent="0.35">
      <c r="A26" t="s">
        <v>109</v>
      </c>
      <c r="B26" t="s">
        <v>110</v>
      </c>
      <c r="C26" t="s">
        <v>22</v>
      </c>
      <c r="D26" t="s">
        <v>23</v>
      </c>
      <c r="E26" t="s">
        <v>182</v>
      </c>
      <c r="F26" s="1">
        <f>VLOOKUP(A:A,MASTER!A:F,6,0)</f>
        <v>24358751.544144496</v>
      </c>
      <c r="G26" s="1">
        <f>VLOOKUP(A:A,MASTER!A:K,11,0)</f>
        <v>24602514.895429038</v>
      </c>
      <c r="H26" s="12">
        <f t="shared" si="0"/>
        <v>1.0007218590114331E-2</v>
      </c>
      <c r="I26" s="2">
        <f>VLOOKUP(A:A,MASTER!A:E,5,0)</f>
        <v>1293</v>
      </c>
      <c r="J26" s="2">
        <f>VLOOKUP(A:A,MASTER!A:J,10,0)</f>
        <v>1545</v>
      </c>
      <c r="K26" s="12">
        <f t="shared" si="1"/>
        <v>0.19489559164733183</v>
      </c>
      <c r="L26" s="2">
        <f>VLOOKUP(A:A,MASTER!A:D,4,0)</f>
        <v>6</v>
      </c>
      <c r="M26" s="2">
        <f>VLOOKUP(A:A,MASTER!A:I,9,0)</f>
        <v>5</v>
      </c>
      <c r="N26" s="12">
        <f t="shared" si="2"/>
        <v>-0.16666666666666663</v>
      </c>
      <c r="O26" s="1">
        <f>VLOOKUP(A:A,MASTER!A:C,3,0)</f>
        <v>9</v>
      </c>
      <c r="P26" s="1">
        <f>VLOOKUP(A:A,MASTER!A:H,8,0)</f>
        <v>2</v>
      </c>
      <c r="Q26" s="12">
        <f t="shared" si="3"/>
        <v>-0.77777777777777779</v>
      </c>
      <c r="R26" s="1">
        <f>VLOOKUP(A:A,MASTER!A:B,2,0)</f>
        <v>1663</v>
      </c>
      <c r="S26">
        <f>VLOOKUP(A:A,MASTER!A:G,7,0)</f>
        <v>1646</v>
      </c>
      <c r="T26" s="12">
        <f t="shared" si="4"/>
        <v>-1.0222489476849117E-2</v>
      </c>
      <c r="U26">
        <v>0</v>
      </c>
    </row>
    <row r="27" spans="1:21" x14ac:dyDescent="0.35">
      <c r="A27" t="s">
        <v>111</v>
      </c>
      <c r="B27" t="s">
        <v>112</v>
      </c>
      <c r="C27" t="s">
        <v>22</v>
      </c>
      <c r="D27" t="s">
        <v>23</v>
      </c>
      <c r="E27" t="s">
        <v>182</v>
      </c>
      <c r="F27" s="1">
        <f>VLOOKUP(A:A,MASTER!A:F,6,0)</f>
        <v>19811258.757022385</v>
      </c>
      <c r="G27" s="1">
        <f>VLOOKUP(A:A,MASTER!A:K,11,0)</f>
        <v>22132677.989444103</v>
      </c>
      <c r="H27" s="12">
        <f t="shared" si="0"/>
        <v>0.1171767660446541</v>
      </c>
      <c r="I27" s="2">
        <f>VLOOKUP(A:A,MASTER!A:E,5,0)</f>
        <v>629</v>
      </c>
      <c r="J27" s="2">
        <f>VLOOKUP(A:A,MASTER!A:J,10,0)</f>
        <v>630</v>
      </c>
      <c r="K27" s="12">
        <f t="shared" si="1"/>
        <v>1.5898251192367763E-3</v>
      </c>
      <c r="L27" s="2">
        <f>VLOOKUP(A:A,MASTER!A:D,4,0)</f>
        <v>1</v>
      </c>
      <c r="M27" s="2">
        <f>VLOOKUP(A:A,MASTER!A:I,9,0)</f>
        <v>1</v>
      </c>
      <c r="N27" s="12">
        <f t="shared" si="2"/>
        <v>0</v>
      </c>
      <c r="O27" s="1">
        <f>VLOOKUP(A:A,MASTER!A:C,3,0)</f>
        <v>1</v>
      </c>
      <c r="P27" s="1">
        <f>VLOOKUP(A:A,MASTER!A:H,8,0)</f>
        <v>3</v>
      </c>
      <c r="Q27" s="12">
        <f t="shared" si="3"/>
        <v>2</v>
      </c>
      <c r="R27" s="1">
        <f>VLOOKUP(A:A,MASTER!A:B,2,0)</f>
        <v>871</v>
      </c>
      <c r="S27">
        <f>VLOOKUP(A:A,MASTER!A:G,7,0)</f>
        <v>898</v>
      </c>
      <c r="T27" s="12">
        <f t="shared" si="4"/>
        <v>3.0998851894374235E-2</v>
      </c>
      <c r="U27">
        <v>0</v>
      </c>
    </row>
    <row r="28" spans="1:21" x14ac:dyDescent="0.35">
      <c r="A28" t="s">
        <v>113</v>
      </c>
      <c r="B28" t="s">
        <v>114</v>
      </c>
      <c r="C28" t="s">
        <v>22</v>
      </c>
      <c r="D28" t="s">
        <v>23</v>
      </c>
      <c r="E28" t="s">
        <v>182</v>
      </c>
      <c r="F28" s="1">
        <f>VLOOKUP(A:A,MASTER!A:F,6,0)</f>
        <v>19404275.471009124</v>
      </c>
      <c r="G28" s="1">
        <f>VLOOKUP(A:A,MASTER!A:K,11,0)</f>
        <v>21393659.220353145</v>
      </c>
      <c r="H28" s="12">
        <f t="shared" si="0"/>
        <v>0.10252295955683843</v>
      </c>
      <c r="I28" s="2">
        <f>VLOOKUP(A:A,MASTER!A:E,5,0)</f>
        <v>824</v>
      </c>
      <c r="J28" s="2">
        <f>VLOOKUP(A:A,MASTER!A:J,10,0)</f>
        <v>854</v>
      </c>
      <c r="K28" s="12">
        <f t="shared" si="1"/>
        <v>3.6407766990291357E-2</v>
      </c>
      <c r="L28" s="2">
        <f>VLOOKUP(A:A,MASTER!A:D,4,0)</f>
        <v>2</v>
      </c>
      <c r="M28" s="2">
        <f>VLOOKUP(A:A,MASTER!A:I,9,0)</f>
        <v>2</v>
      </c>
      <c r="N28" s="12">
        <f t="shared" si="2"/>
        <v>0</v>
      </c>
      <c r="O28" s="1">
        <f>VLOOKUP(A:A,MASTER!A:C,3,0)</f>
        <v>2</v>
      </c>
      <c r="P28" s="1">
        <f>VLOOKUP(A:A,MASTER!A:H,8,0)</f>
        <v>1</v>
      </c>
      <c r="Q28" s="12">
        <f t="shared" si="3"/>
        <v>-0.5</v>
      </c>
      <c r="R28" s="1">
        <f>VLOOKUP(A:A,MASTER!A:B,2,0)</f>
        <v>1060</v>
      </c>
      <c r="S28">
        <f>VLOOKUP(A:A,MASTER!A:G,7,0)</f>
        <v>1016</v>
      </c>
      <c r="T28" s="12">
        <f t="shared" si="4"/>
        <v>-4.1509433962264142E-2</v>
      </c>
      <c r="U28">
        <v>0</v>
      </c>
    </row>
    <row r="29" spans="1:21" x14ac:dyDescent="0.35">
      <c r="A29" t="s">
        <v>115</v>
      </c>
      <c r="B29" t="s">
        <v>116</v>
      </c>
      <c r="C29" t="s">
        <v>22</v>
      </c>
      <c r="D29" t="s">
        <v>23</v>
      </c>
      <c r="E29" t="s">
        <v>182</v>
      </c>
      <c r="F29" s="1">
        <f>VLOOKUP(A:A,MASTER!A:F,6,0)</f>
        <v>26404188.141816933</v>
      </c>
      <c r="G29" s="1">
        <f>VLOOKUP(A:A,MASTER!A:K,11,0)</f>
        <v>27596352.646259207</v>
      </c>
      <c r="H29" s="12">
        <f t="shared" si="0"/>
        <v>4.515058361344626E-2</v>
      </c>
      <c r="I29" s="2">
        <f>VLOOKUP(A:A,MASTER!A:E,5,0)</f>
        <v>816</v>
      </c>
      <c r="J29" s="2">
        <f>VLOOKUP(A:A,MASTER!A:J,10,0)</f>
        <v>838</v>
      </c>
      <c r="K29" s="12">
        <f t="shared" si="1"/>
        <v>2.6960784313725394E-2</v>
      </c>
      <c r="L29" s="2">
        <f>VLOOKUP(A:A,MASTER!A:D,4,0)</f>
        <v>2</v>
      </c>
      <c r="M29" s="2">
        <f>VLOOKUP(A:A,MASTER!A:I,9,0)</f>
        <v>3</v>
      </c>
      <c r="N29" s="12">
        <f t="shared" si="2"/>
        <v>0.5</v>
      </c>
      <c r="O29" s="1">
        <f>VLOOKUP(A:A,MASTER!A:C,3,0)</f>
        <v>2</v>
      </c>
      <c r="P29" s="1">
        <f>VLOOKUP(A:A,MASTER!A:H,8,0)</f>
        <v>2</v>
      </c>
      <c r="Q29" s="12">
        <f t="shared" si="3"/>
        <v>0</v>
      </c>
      <c r="R29" s="1">
        <f>VLOOKUP(A:A,MASTER!A:B,2,0)</f>
        <v>1115</v>
      </c>
      <c r="S29">
        <f>VLOOKUP(A:A,MASTER!A:G,7,0)</f>
        <v>1149</v>
      </c>
      <c r="T29" s="12">
        <f t="shared" si="4"/>
        <v>3.0493273542600896E-2</v>
      </c>
      <c r="U29">
        <v>0</v>
      </c>
    </row>
    <row r="30" spans="1:21" x14ac:dyDescent="0.35">
      <c r="A30" t="s">
        <v>16</v>
      </c>
      <c r="B30" t="s">
        <v>17</v>
      </c>
      <c r="C30" t="s">
        <v>4</v>
      </c>
      <c r="D30" t="s">
        <v>151</v>
      </c>
      <c r="E30" t="s">
        <v>182</v>
      </c>
      <c r="F30" s="1">
        <f>VLOOKUP(A:A,MASTER!A:F,6,0)</f>
        <v>37505222.301559903</v>
      </c>
      <c r="G30" s="1">
        <f>VLOOKUP(A:A,MASTER!A:K,11,0)</f>
        <v>38482011.267993741</v>
      </c>
      <c r="H30" s="12">
        <f t="shared" si="0"/>
        <v>2.6044078837341278E-2</v>
      </c>
      <c r="I30" s="2">
        <f>VLOOKUP(A:A,MASTER!A:E,5,0)</f>
        <v>1207</v>
      </c>
      <c r="J30" s="2">
        <f>VLOOKUP(A:A,MASTER!A:J,10,0)</f>
        <v>1113</v>
      </c>
      <c r="K30" s="12">
        <f t="shared" si="1"/>
        <v>-7.7879038939519418E-2</v>
      </c>
      <c r="L30" s="2">
        <f>VLOOKUP(A:A,MASTER!A:D,4,0)</f>
        <v>5</v>
      </c>
      <c r="M30" s="2">
        <f>VLOOKUP(A:A,MASTER!A:I,9,0)</f>
        <v>2</v>
      </c>
      <c r="N30" s="12">
        <f t="shared" si="2"/>
        <v>-0.6</v>
      </c>
      <c r="O30" s="1">
        <f>VLOOKUP(A:A,MASTER!A:C,3,0)</f>
        <v>4</v>
      </c>
      <c r="P30" s="1">
        <f>VLOOKUP(A:A,MASTER!A:H,8,0)</f>
        <v>3</v>
      </c>
      <c r="Q30" s="12">
        <f t="shared" si="3"/>
        <v>-0.25</v>
      </c>
      <c r="R30" s="1">
        <f>VLOOKUP(A:A,MASTER!A:B,2,0)</f>
        <v>1455</v>
      </c>
      <c r="S30">
        <f>VLOOKUP(A:A,MASTER!A:G,7,0)</f>
        <v>1447</v>
      </c>
      <c r="T30" s="12">
        <f t="shared" si="4"/>
        <v>-5.4982817869415612E-3</v>
      </c>
      <c r="U30">
        <v>4</v>
      </c>
    </row>
    <row r="31" spans="1:21" x14ac:dyDescent="0.35">
      <c r="A31" t="s">
        <v>18</v>
      </c>
      <c r="B31" t="s">
        <v>19</v>
      </c>
      <c r="C31" t="s">
        <v>4</v>
      </c>
      <c r="D31" t="s">
        <v>151</v>
      </c>
      <c r="E31" t="s">
        <v>182</v>
      </c>
      <c r="F31" s="1">
        <f>VLOOKUP(A:A,MASTER!A:F,6,0)</f>
        <v>15398605.461348807</v>
      </c>
      <c r="G31" s="1">
        <f>VLOOKUP(A:A,MASTER!A:K,11,0)</f>
        <v>15371358.076542115</v>
      </c>
      <c r="H31" s="12">
        <f t="shared" si="0"/>
        <v>-1.7694709352145122E-3</v>
      </c>
      <c r="I31" s="2">
        <f>VLOOKUP(A:A,MASTER!A:E,5,0)</f>
        <v>581</v>
      </c>
      <c r="J31" s="2">
        <f>VLOOKUP(A:A,MASTER!A:J,10,0)</f>
        <v>794</v>
      </c>
      <c r="K31" s="12">
        <f t="shared" si="1"/>
        <v>0.36660929432013778</v>
      </c>
      <c r="L31" s="2">
        <f>VLOOKUP(A:A,MASTER!A:D,4,0)</f>
        <v>5</v>
      </c>
      <c r="M31" s="2">
        <f>VLOOKUP(A:A,MASTER!A:I,9,0)</f>
        <v>5</v>
      </c>
      <c r="N31" s="12">
        <f t="shared" si="2"/>
        <v>0</v>
      </c>
      <c r="O31" s="1">
        <f>VLOOKUP(A:A,MASTER!A:C,3,0)</f>
        <v>0</v>
      </c>
      <c r="P31" s="1">
        <f>VLOOKUP(A:A,MASTER!A:H,8,0)</f>
        <v>3</v>
      </c>
      <c r="Q31" s="12">
        <f t="shared" si="3"/>
        <v>0</v>
      </c>
      <c r="R31" s="1">
        <f>VLOOKUP(A:A,MASTER!A:B,2,0)</f>
        <v>682</v>
      </c>
      <c r="S31">
        <f>VLOOKUP(A:A,MASTER!A:G,7,0)</f>
        <v>685</v>
      </c>
      <c r="T31" s="12">
        <f t="shared" si="4"/>
        <v>4.3988269794721369E-3</v>
      </c>
      <c r="U31">
        <v>3</v>
      </c>
    </row>
    <row r="32" spans="1:21" x14ac:dyDescent="0.35">
      <c r="A32" t="s">
        <v>43</v>
      </c>
      <c r="B32" t="s">
        <v>44</v>
      </c>
      <c r="C32" t="s">
        <v>4</v>
      </c>
      <c r="D32" t="s">
        <v>5</v>
      </c>
      <c r="E32" t="s">
        <v>182</v>
      </c>
      <c r="F32" s="1">
        <f>VLOOKUP(A:A,MASTER!A:F,6,0)</f>
        <v>46536061.009953454</v>
      </c>
      <c r="G32" s="1">
        <f>VLOOKUP(A:A,MASTER!A:K,11,0)</f>
        <v>29407824.984452795</v>
      </c>
      <c r="H32" s="12">
        <f t="shared" si="0"/>
        <v>-0.36806372636130835</v>
      </c>
      <c r="I32" s="2">
        <f>VLOOKUP(A:A,MASTER!A:E,5,0)</f>
        <v>892</v>
      </c>
      <c r="J32" s="2">
        <f>VLOOKUP(A:A,MASTER!A:J,10,0)</f>
        <v>1680</v>
      </c>
      <c r="K32" s="12">
        <f t="shared" si="1"/>
        <v>0.88340807174887903</v>
      </c>
      <c r="L32" s="2">
        <f>VLOOKUP(A:A,MASTER!A:D,4,0)</f>
        <v>11</v>
      </c>
      <c r="M32" s="2">
        <f>VLOOKUP(A:A,MASTER!A:I,9,0)</f>
        <v>6</v>
      </c>
      <c r="N32" s="12">
        <f t="shared" si="2"/>
        <v>-0.45454545454545459</v>
      </c>
      <c r="O32" s="1">
        <f>VLOOKUP(A:A,MASTER!A:C,3,0)</f>
        <v>6</v>
      </c>
      <c r="P32" s="1">
        <f>VLOOKUP(A:A,MASTER!A:H,8,0)</f>
        <v>2</v>
      </c>
      <c r="Q32" s="12">
        <f t="shared" si="3"/>
        <v>-0.66666666666666674</v>
      </c>
      <c r="R32" s="1">
        <f>VLOOKUP(A:A,MASTER!A:B,2,0)</f>
        <v>1941</v>
      </c>
      <c r="S32">
        <f>VLOOKUP(A:A,MASTER!A:G,7,0)</f>
        <v>1857</v>
      </c>
      <c r="T32" s="12">
        <f t="shared" si="4"/>
        <v>-4.3276661514683123E-2</v>
      </c>
      <c r="U32">
        <v>5</v>
      </c>
    </row>
    <row r="33" spans="1:21" x14ac:dyDescent="0.35">
      <c r="A33" t="s">
        <v>152</v>
      </c>
      <c r="B33" t="s">
        <v>153</v>
      </c>
      <c r="C33" t="s">
        <v>4</v>
      </c>
      <c r="D33" t="s">
        <v>151</v>
      </c>
      <c r="E33" t="s">
        <v>182</v>
      </c>
      <c r="F33" s="1">
        <f>VLOOKUP(A:A,MASTER!A:F,6,0)</f>
        <v>15552674.040534776</v>
      </c>
      <c r="G33" s="1">
        <f>VLOOKUP(A:A,MASTER!A:K,11,0)</f>
        <v>16019371.822294367</v>
      </c>
      <c r="H33" s="12">
        <f t="shared" si="0"/>
        <v>3.0007558863719641E-2</v>
      </c>
      <c r="I33" s="2">
        <f>VLOOKUP(A:A,MASTER!A:E,5,0)</f>
        <v>774</v>
      </c>
      <c r="J33" s="2">
        <f>VLOOKUP(A:A,MASTER!A:J,10,0)</f>
        <v>660</v>
      </c>
      <c r="K33" s="12">
        <f t="shared" si="1"/>
        <v>-0.1472868217054264</v>
      </c>
      <c r="L33" s="2">
        <f>VLOOKUP(A:A,MASTER!A:D,4,0)</f>
        <v>2</v>
      </c>
      <c r="M33" s="2">
        <f>VLOOKUP(A:A,MASTER!A:I,9,0)</f>
        <v>3</v>
      </c>
      <c r="N33" s="12">
        <f t="shared" si="2"/>
        <v>0.5</v>
      </c>
      <c r="O33" s="1">
        <f>VLOOKUP(A:A,MASTER!A:C,3,0)</f>
        <v>1</v>
      </c>
      <c r="P33" s="1">
        <f>VLOOKUP(A:A,MASTER!A:H,8,0)</f>
        <v>2</v>
      </c>
      <c r="Q33" s="12">
        <f t="shared" si="3"/>
        <v>1</v>
      </c>
      <c r="R33" s="1">
        <f>VLOOKUP(A:A,MASTER!A:B,2,0)</f>
        <v>844</v>
      </c>
      <c r="S33">
        <f>VLOOKUP(A:A,MASTER!A:G,7,0)</f>
        <v>853</v>
      </c>
      <c r="T33" s="12">
        <f t="shared" si="4"/>
        <v>1.0663507109004655E-2</v>
      </c>
      <c r="U33">
        <v>3</v>
      </c>
    </row>
    <row r="34" spans="1:21" x14ac:dyDescent="0.35">
      <c r="A34" t="s">
        <v>149</v>
      </c>
      <c r="B34" t="s">
        <v>150</v>
      </c>
      <c r="C34" t="s">
        <v>4</v>
      </c>
      <c r="D34" t="s">
        <v>151</v>
      </c>
      <c r="E34" t="s">
        <v>182</v>
      </c>
      <c r="F34" s="1">
        <f>VLOOKUP(A:A,MASTER!A:F,6,0)</f>
        <v>14986852.341861239</v>
      </c>
      <c r="G34" s="1">
        <f>VLOOKUP(A:A,MASTER!A:K,11,0)</f>
        <v>14185152.208508916</v>
      </c>
      <c r="H34" s="12">
        <f t="shared" si="0"/>
        <v>-5.3493563228952046E-2</v>
      </c>
      <c r="I34" s="2">
        <f>VLOOKUP(A:A,MASTER!A:E,5,0)</f>
        <v>538</v>
      </c>
      <c r="J34" s="2">
        <f>VLOOKUP(A:A,MASTER!A:J,10,0)</f>
        <v>598</v>
      </c>
      <c r="K34" s="12">
        <f t="shared" si="1"/>
        <v>0.11152416356877315</v>
      </c>
      <c r="L34" s="2">
        <f>VLOOKUP(A:A,MASTER!A:D,4,0)</f>
        <v>1</v>
      </c>
      <c r="M34" s="2">
        <f>VLOOKUP(A:A,MASTER!A:I,9,0)</f>
        <v>1</v>
      </c>
      <c r="N34" s="12">
        <f t="shared" si="2"/>
        <v>0</v>
      </c>
      <c r="O34" s="1">
        <f>VLOOKUP(A:A,MASTER!A:C,3,0)</f>
        <v>1</v>
      </c>
      <c r="P34" s="1">
        <f>VLOOKUP(A:A,MASTER!A:H,8,0)</f>
        <v>1</v>
      </c>
      <c r="Q34" s="12">
        <f t="shared" si="3"/>
        <v>0</v>
      </c>
      <c r="R34" s="1">
        <f>VLOOKUP(A:A,MASTER!A:B,2,0)</f>
        <v>745</v>
      </c>
      <c r="S34">
        <f>VLOOKUP(A:A,MASTER!A:G,7,0)</f>
        <v>725</v>
      </c>
      <c r="T34" s="12">
        <f t="shared" si="4"/>
        <v>-2.6845637583892579E-2</v>
      </c>
      <c r="U34">
        <v>4</v>
      </c>
    </row>
    <row r="35" spans="1:21" x14ac:dyDescent="0.35">
      <c r="A35" t="s">
        <v>154</v>
      </c>
      <c r="B35" t="s">
        <v>155</v>
      </c>
      <c r="C35" t="s">
        <v>4</v>
      </c>
      <c r="D35" t="s">
        <v>151</v>
      </c>
      <c r="E35" t="s">
        <v>182</v>
      </c>
      <c r="F35" s="1">
        <f>VLOOKUP(A:A,MASTER!A:F,6,0)</f>
        <v>22114246.499472193</v>
      </c>
      <c r="G35" s="1">
        <f>VLOOKUP(A:A,MASTER!A:K,11,0)</f>
        <v>25110758.092792481</v>
      </c>
      <c r="H35" s="12">
        <f t="shared" si="0"/>
        <v>0.13550141052247944</v>
      </c>
      <c r="I35" s="2">
        <f>VLOOKUP(A:A,MASTER!A:E,5,0)</f>
        <v>822</v>
      </c>
      <c r="J35" s="2">
        <f>VLOOKUP(A:A,MASTER!A:J,10,0)</f>
        <v>911</v>
      </c>
      <c r="K35" s="12">
        <f t="shared" si="1"/>
        <v>0.10827250608272498</v>
      </c>
      <c r="L35" s="2">
        <f>VLOOKUP(A:A,MASTER!A:D,4,0)</f>
        <v>1</v>
      </c>
      <c r="M35" s="2">
        <f>VLOOKUP(A:A,MASTER!A:I,9,0)</f>
        <v>2</v>
      </c>
      <c r="N35" s="12">
        <f t="shared" si="2"/>
        <v>1</v>
      </c>
      <c r="O35" s="1">
        <f>VLOOKUP(A:A,MASTER!A:C,3,0)</f>
        <v>12</v>
      </c>
      <c r="P35" s="1">
        <f>VLOOKUP(A:A,MASTER!A:H,8,0)</f>
        <v>5</v>
      </c>
      <c r="Q35" s="12">
        <f t="shared" si="3"/>
        <v>-0.58333333333333326</v>
      </c>
      <c r="R35" s="1">
        <f>VLOOKUP(A:A,MASTER!A:B,2,0)</f>
        <v>1165</v>
      </c>
      <c r="S35">
        <f>VLOOKUP(A:A,MASTER!A:G,7,0)</f>
        <v>1197</v>
      </c>
      <c r="T35" s="12">
        <f t="shared" si="4"/>
        <v>2.7467811158798261E-2</v>
      </c>
      <c r="U35">
        <v>13</v>
      </c>
    </row>
    <row r="36" spans="1:21" x14ac:dyDescent="0.35">
      <c r="A36" t="s">
        <v>2</v>
      </c>
      <c r="B36" t="s">
        <v>3</v>
      </c>
      <c r="C36" t="s">
        <v>4</v>
      </c>
      <c r="D36" t="s">
        <v>151</v>
      </c>
      <c r="E36" t="s">
        <v>182</v>
      </c>
      <c r="F36" s="1">
        <f>VLOOKUP(A:A,MASTER!A:F,6,0)</f>
        <v>20741126.062683959</v>
      </c>
      <c r="G36" s="1">
        <f>VLOOKUP(A:A,MASTER!A:K,11,0)</f>
        <v>22932356.491074044</v>
      </c>
      <c r="H36" s="12">
        <f t="shared" si="0"/>
        <v>0.10564664723447192</v>
      </c>
      <c r="I36" s="2">
        <f>VLOOKUP(A:A,MASTER!A:E,5,0)</f>
        <v>796</v>
      </c>
      <c r="J36" s="2">
        <f>VLOOKUP(A:A,MASTER!A:J,10,0)</f>
        <v>837</v>
      </c>
      <c r="K36" s="12">
        <f t="shared" si="1"/>
        <v>5.1507537688442184E-2</v>
      </c>
      <c r="L36" s="2">
        <f>VLOOKUP(A:A,MASTER!A:D,4,0)</f>
        <v>1</v>
      </c>
      <c r="M36" s="2">
        <f>VLOOKUP(A:A,MASTER!A:I,9,0)</f>
        <v>1</v>
      </c>
      <c r="N36" s="12">
        <f t="shared" si="2"/>
        <v>0</v>
      </c>
      <c r="O36" s="1">
        <f>VLOOKUP(A:A,MASTER!A:C,3,0)</f>
        <v>120</v>
      </c>
      <c r="P36" s="1">
        <f>VLOOKUP(A:A,MASTER!A:H,8,0)</f>
        <v>318</v>
      </c>
      <c r="Q36" s="12">
        <f t="shared" si="3"/>
        <v>1.65</v>
      </c>
      <c r="R36" s="1">
        <f>VLOOKUP(A:A,MASTER!A:B,2,0)</f>
        <v>1331</v>
      </c>
      <c r="S36">
        <f>VLOOKUP(A:A,MASTER!A:G,7,0)</f>
        <v>1433</v>
      </c>
      <c r="T36" s="12">
        <f t="shared" si="4"/>
        <v>7.6634109691960939E-2</v>
      </c>
      <c r="U36">
        <v>4</v>
      </c>
    </row>
    <row r="37" spans="1:21" x14ac:dyDescent="0.35">
      <c r="A37" t="s">
        <v>156</v>
      </c>
      <c r="B37" t="s">
        <v>157</v>
      </c>
      <c r="C37" t="s">
        <v>4</v>
      </c>
      <c r="D37" t="s">
        <v>151</v>
      </c>
      <c r="E37" t="s">
        <v>182</v>
      </c>
      <c r="F37" s="1">
        <f>VLOOKUP(A:A,MASTER!A:F,6,0)</f>
        <v>38453663.605802923</v>
      </c>
      <c r="G37" s="1">
        <f>VLOOKUP(A:A,MASTER!A:K,11,0)</f>
        <v>38312378.880640082</v>
      </c>
      <c r="H37" s="12">
        <f t="shared" si="0"/>
        <v>-3.6741551237141623E-3</v>
      </c>
      <c r="I37" s="2">
        <f>VLOOKUP(A:A,MASTER!A:E,5,0)</f>
        <v>1529</v>
      </c>
      <c r="J37" s="2">
        <f>VLOOKUP(A:A,MASTER!A:J,10,0)</f>
        <v>1557</v>
      </c>
      <c r="K37" s="12">
        <f t="shared" si="1"/>
        <v>1.8312622629169439E-2</v>
      </c>
      <c r="L37" s="2">
        <f>VLOOKUP(A:A,MASTER!A:D,4,0)</f>
        <v>5</v>
      </c>
      <c r="M37" s="2">
        <f>VLOOKUP(A:A,MASTER!A:I,9,0)</f>
        <v>5</v>
      </c>
      <c r="N37" s="12">
        <f t="shared" si="2"/>
        <v>0</v>
      </c>
      <c r="O37" s="1">
        <f>VLOOKUP(A:A,MASTER!A:C,3,0)</f>
        <v>69</v>
      </c>
      <c r="P37" s="1">
        <f>VLOOKUP(A:A,MASTER!A:H,8,0)</f>
        <v>237</v>
      </c>
      <c r="Q37" s="12">
        <f t="shared" si="3"/>
        <v>2.4347826086956523</v>
      </c>
      <c r="R37" s="1">
        <f>VLOOKUP(A:A,MASTER!A:B,2,0)</f>
        <v>2397</v>
      </c>
      <c r="S37">
        <f>VLOOKUP(A:A,MASTER!A:G,7,0)</f>
        <v>2266</v>
      </c>
      <c r="T37" s="12">
        <f t="shared" si="4"/>
        <v>-5.4651647893199873E-2</v>
      </c>
      <c r="U37">
        <v>16</v>
      </c>
    </row>
    <row r="38" spans="1:21" x14ac:dyDescent="0.35">
      <c r="A38" t="s">
        <v>14</v>
      </c>
      <c r="B38" t="s">
        <v>15</v>
      </c>
      <c r="C38" t="s">
        <v>4</v>
      </c>
      <c r="D38" t="s">
        <v>151</v>
      </c>
      <c r="E38" t="s">
        <v>182</v>
      </c>
      <c r="F38" s="1">
        <f>VLOOKUP(A:A,MASTER!A:F,6,0)</f>
        <v>13607803.394892052</v>
      </c>
      <c r="G38" s="1">
        <f>VLOOKUP(A:A,MASTER!A:K,11,0)</f>
        <v>14083966.5119655</v>
      </c>
      <c r="H38" s="12">
        <f t="shared" si="0"/>
        <v>3.4991916274465407E-2</v>
      </c>
      <c r="I38" s="2">
        <f>VLOOKUP(A:A,MASTER!A:E,5,0)</f>
        <v>570</v>
      </c>
      <c r="J38" s="2">
        <f>VLOOKUP(A:A,MASTER!A:J,10,0)</f>
        <v>445</v>
      </c>
      <c r="K38" s="12">
        <f t="shared" si="1"/>
        <v>-0.2192982456140351</v>
      </c>
      <c r="L38" s="2">
        <f>VLOOKUP(A:A,MASTER!A:D,4,0)</f>
        <v>6</v>
      </c>
      <c r="M38" s="2">
        <f>VLOOKUP(A:A,MASTER!A:I,9,0)</f>
        <v>7</v>
      </c>
      <c r="N38" s="12">
        <f t="shared" si="2"/>
        <v>0.16666666666666674</v>
      </c>
      <c r="O38" s="1">
        <f>VLOOKUP(A:A,MASTER!A:C,3,0)</f>
        <v>1</v>
      </c>
      <c r="P38" s="1">
        <f>VLOOKUP(A:A,MASTER!A:H,8,0)</f>
        <v>4</v>
      </c>
      <c r="Q38" s="12">
        <f t="shared" si="3"/>
        <v>3</v>
      </c>
      <c r="R38" s="1">
        <f>VLOOKUP(A:A,MASTER!A:B,2,0)</f>
        <v>618</v>
      </c>
      <c r="S38">
        <f>VLOOKUP(A:A,MASTER!A:G,7,0)</f>
        <v>592</v>
      </c>
      <c r="T38" s="12">
        <f t="shared" si="4"/>
        <v>-4.2071197411003292E-2</v>
      </c>
      <c r="U38">
        <v>3</v>
      </c>
    </row>
    <row r="39" spans="1:21" x14ac:dyDescent="0.35">
      <c r="A39" t="s">
        <v>8</v>
      </c>
      <c r="B39" t="s">
        <v>9</v>
      </c>
      <c r="C39" t="s">
        <v>4</v>
      </c>
      <c r="D39" t="s">
        <v>151</v>
      </c>
      <c r="E39" t="s">
        <v>182</v>
      </c>
      <c r="F39" s="1">
        <f>VLOOKUP(A:A,MASTER!A:F,6,0)</f>
        <v>45449281.559613265</v>
      </c>
      <c r="G39" s="1">
        <f>VLOOKUP(A:A,MASTER!A:K,11,0)</f>
        <v>43927118.587503135</v>
      </c>
      <c r="H39" s="12">
        <f t="shared" si="0"/>
        <v>-3.3491463888457584E-2</v>
      </c>
      <c r="I39" s="2">
        <f>VLOOKUP(A:A,MASTER!A:E,5,0)</f>
        <v>1914</v>
      </c>
      <c r="J39" s="2">
        <f>VLOOKUP(A:A,MASTER!A:J,10,0)</f>
        <v>1817</v>
      </c>
      <c r="K39" s="12">
        <f t="shared" si="1"/>
        <v>-5.0679205851619669E-2</v>
      </c>
      <c r="L39" s="2">
        <f>VLOOKUP(A:A,MASTER!A:D,4,0)</f>
        <v>6</v>
      </c>
      <c r="M39" s="2">
        <f>VLOOKUP(A:A,MASTER!A:I,9,0)</f>
        <v>5</v>
      </c>
      <c r="N39" s="12">
        <f t="shared" si="2"/>
        <v>-0.16666666666666663</v>
      </c>
      <c r="O39" s="1">
        <f>VLOOKUP(A:A,MASTER!A:C,3,0)</f>
        <v>2</v>
      </c>
      <c r="P39" s="1">
        <f>VLOOKUP(A:A,MASTER!A:H,8,0)</f>
        <v>4</v>
      </c>
      <c r="Q39" s="12">
        <f t="shared" si="3"/>
        <v>1</v>
      </c>
      <c r="R39" s="1">
        <f>VLOOKUP(A:A,MASTER!A:B,2,0)</f>
        <v>2057</v>
      </c>
      <c r="S39">
        <f>VLOOKUP(A:A,MASTER!A:G,7,0)</f>
        <v>2031</v>
      </c>
      <c r="T39" s="12">
        <f t="shared" si="4"/>
        <v>-1.2639766650461848E-2</v>
      </c>
      <c r="U39">
        <v>4</v>
      </c>
    </row>
    <row r="40" spans="1:21" x14ac:dyDescent="0.35">
      <c r="A40" t="s">
        <v>39</v>
      </c>
      <c r="B40" t="s">
        <v>40</v>
      </c>
      <c r="C40" t="s">
        <v>4</v>
      </c>
      <c r="D40" t="s">
        <v>5</v>
      </c>
      <c r="E40" t="s">
        <v>182</v>
      </c>
      <c r="F40" s="1">
        <f>VLOOKUP(A:A,MASTER!A:F,6,0)</f>
        <v>29655636.505533084</v>
      </c>
      <c r="G40" s="1">
        <f>VLOOKUP(A:A,MASTER!A:K,11,0)</f>
        <v>33967834.959300019</v>
      </c>
      <c r="H40" s="12">
        <f t="shared" si="0"/>
        <v>0.14540906761392125</v>
      </c>
      <c r="I40" s="2">
        <f>VLOOKUP(A:A,MASTER!A:E,5,0)</f>
        <v>1422</v>
      </c>
      <c r="J40" s="2">
        <f>VLOOKUP(A:A,MASTER!A:J,10,0)</f>
        <v>846</v>
      </c>
      <c r="K40" s="12">
        <f t="shared" si="1"/>
        <v>-0.40506329113924056</v>
      </c>
      <c r="L40" s="2">
        <f>VLOOKUP(A:A,MASTER!A:D,4,0)</f>
        <v>2</v>
      </c>
      <c r="M40" s="2">
        <f>VLOOKUP(A:A,MASTER!A:I,9,0)</f>
        <v>4</v>
      </c>
      <c r="N40" s="12">
        <f t="shared" si="2"/>
        <v>1</v>
      </c>
      <c r="O40" s="1">
        <f>VLOOKUP(A:A,MASTER!A:C,3,0)</f>
        <v>3</v>
      </c>
      <c r="P40" s="1">
        <f>VLOOKUP(A:A,MASTER!A:H,8,0)</f>
        <v>5</v>
      </c>
      <c r="Q40" s="12">
        <f t="shared" si="3"/>
        <v>0.66666666666666674</v>
      </c>
      <c r="R40" s="1">
        <f>VLOOKUP(A:A,MASTER!A:B,2,0)</f>
        <v>900</v>
      </c>
      <c r="S40">
        <f>VLOOKUP(A:A,MASTER!A:G,7,0)</f>
        <v>930</v>
      </c>
      <c r="T40" s="12">
        <f t="shared" si="4"/>
        <v>3.3333333333333437E-2</v>
      </c>
      <c r="U40">
        <v>3</v>
      </c>
    </row>
    <row r="41" spans="1:21" x14ac:dyDescent="0.35">
      <c r="A41" t="s">
        <v>6</v>
      </c>
      <c r="B41" t="s">
        <v>7</v>
      </c>
      <c r="C41" t="s">
        <v>4</v>
      </c>
      <c r="D41" t="s">
        <v>151</v>
      </c>
      <c r="E41" t="s">
        <v>182</v>
      </c>
      <c r="F41" s="1">
        <f>VLOOKUP(A:A,MASTER!A:F,6,0)</f>
        <v>16068125.974080767</v>
      </c>
      <c r="G41" s="1">
        <f>VLOOKUP(A:A,MASTER!A:K,11,0)</f>
        <v>24052081.674599729</v>
      </c>
      <c r="H41" s="12">
        <f t="shared" si="0"/>
        <v>0.49688157246201281</v>
      </c>
      <c r="I41" s="2">
        <f>VLOOKUP(A:A,MASTER!A:E,5,0)</f>
        <v>908</v>
      </c>
      <c r="J41" s="2">
        <f>VLOOKUP(A:A,MASTER!A:J,10,0)</f>
        <v>970</v>
      </c>
      <c r="K41" s="12">
        <f t="shared" si="1"/>
        <v>6.8281938325991165E-2</v>
      </c>
      <c r="L41" s="2">
        <f>VLOOKUP(A:A,MASTER!A:D,4,0)</f>
        <v>3</v>
      </c>
      <c r="M41" s="2">
        <f>VLOOKUP(A:A,MASTER!A:I,9,0)</f>
        <v>3</v>
      </c>
      <c r="N41" s="12">
        <f t="shared" si="2"/>
        <v>0</v>
      </c>
      <c r="O41" s="1">
        <f>VLOOKUP(A:A,MASTER!A:C,3,0)</f>
        <v>0</v>
      </c>
      <c r="P41" s="1">
        <f>VLOOKUP(A:A,MASTER!A:H,8,0)</f>
        <v>6</v>
      </c>
      <c r="Q41" s="12">
        <f t="shared" si="3"/>
        <v>0</v>
      </c>
      <c r="R41" s="1">
        <f>VLOOKUP(A:A,MASTER!A:B,2,0)</f>
        <v>1081</v>
      </c>
      <c r="S41">
        <f>VLOOKUP(A:A,MASTER!A:G,7,0)</f>
        <v>1064</v>
      </c>
      <c r="T41" s="12">
        <f t="shared" si="4"/>
        <v>-1.5726179463459777E-2</v>
      </c>
      <c r="U41">
        <v>4</v>
      </c>
    </row>
    <row r="42" spans="1:21" x14ac:dyDescent="0.35">
      <c r="A42" t="s">
        <v>41</v>
      </c>
      <c r="B42" t="s">
        <v>42</v>
      </c>
      <c r="C42" t="s">
        <v>4</v>
      </c>
      <c r="D42" t="s">
        <v>5</v>
      </c>
      <c r="E42" t="s">
        <v>182</v>
      </c>
      <c r="F42" s="1">
        <f>VLOOKUP(A:A,MASTER!A:F,6,0)</f>
        <v>23518097.944919869</v>
      </c>
      <c r="G42" s="1">
        <f>VLOOKUP(A:A,MASTER!A:K,11,0)</f>
        <v>24303801.668385867</v>
      </c>
      <c r="H42" s="12">
        <f t="shared" si="0"/>
        <v>3.3408472288283697E-2</v>
      </c>
      <c r="I42" s="2">
        <f>VLOOKUP(A:A,MASTER!A:E,5,0)</f>
        <v>627</v>
      </c>
      <c r="J42" s="2">
        <f>VLOOKUP(A:A,MASTER!A:J,10,0)</f>
        <v>597</v>
      </c>
      <c r="K42" s="12">
        <f t="shared" si="1"/>
        <v>-4.7846889952153138E-2</v>
      </c>
      <c r="L42" s="2">
        <f>VLOOKUP(A:A,MASTER!A:D,4,0)</f>
        <v>4</v>
      </c>
      <c r="M42" s="2">
        <f>VLOOKUP(A:A,MASTER!A:I,9,0)</f>
        <v>4</v>
      </c>
      <c r="N42" s="12">
        <f t="shared" si="2"/>
        <v>0</v>
      </c>
      <c r="O42" s="1">
        <f>VLOOKUP(A:A,MASTER!A:C,3,0)</f>
        <v>3</v>
      </c>
      <c r="P42" s="1">
        <f>VLOOKUP(A:A,MASTER!A:H,8,0)</f>
        <v>2</v>
      </c>
      <c r="Q42" s="12">
        <f t="shared" si="3"/>
        <v>-0.33333333333333337</v>
      </c>
      <c r="R42" s="1">
        <f>VLOOKUP(A:A,MASTER!A:B,2,0)</f>
        <v>831</v>
      </c>
      <c r="S42">
        <f>VLOOKUP(A:A,MASTER!A:G,7,0)</f>
        <v>837</v>
      </c>
      <c r="T42" s="12">
        <f t="shared" si="4"/>
        <v>7.2202166064982976E-3</v>
      </c>
      <c r="U42">
        <v>1</v>
      </c>
    </row>
    <row r="43" spans="1:21" x14ac:dyDescent="0.35">
      <c r="A43" t="s">
        <v>158</v>
      </c>
      <c r="B43" t="s">
        <v>159</v>
      </c>
      <c r="C43" t="s">
        <v>4</v>
      </c>
      <c r="D43" t="s">
        <v>151</v>
      </c>
      <c r="E43" t="s">
        <v>182</v>
      </c>
      <c r="F43" s="1">
        <f>VLOOKUP(A:A,MASTER!A:F,6,0)</f>
        <v>15130453.175075745</v>
      </c>
      <c r="G43" s="1">
        <f>VLOOKUP(A:A,MASTER!A:K,11,0)</f>
        <v>14609642.865583366</v>
      </c>
      <c r="H43" s="12">
        <f t="shared" si="0"/>
        <v>-3.4421329187304561E-2</v>
      </c>
      <c r="I43" s="2">
        <f>VLOOKUP(A:A,MASTER!A:E,5,0)</f>
        <v>553</v>
      </c>
      <c r="J43" s="2">
        <f>VLOOKUP(A:A,MASTER!A:J,10,0)</f>
        <v>584</v>
      </c>
      <c r="K43" s="12">
        <f t="shared" si="1"/>
        <v>5.6057866184448413E-2</v>
      </c>
      <c r="L43" s="2">
        <f>VLOOKUP(A:A,MASTER!A:D,4,0)</f>
        <v>10</v>
      </c>
      <c r="M43" s="2">
        <f>VLOOKUP(A:A,MASTER!A:I,9,0)</f>
        <v>9</v>
      </c>
      <c r="N43" s="12">
        <f t="shared" si="2"/>
        <v>-9.9999999999999978E-2</v>
      </c>
      <c r="O43" s="1">
        <f>VLOOKUP(A:A,MASTER!A:C,3,0)</f>
        <v>2</v>
      </c>
      <c r="P43" s="1">
        <f>VLOOKUP(A:A,MASTER!A:H,8,0)</f>
        <v>0</v>
      </c>
      <c r="Q43" s="12">
        <f t="shared" si="3"/>
        <v>-1</v>
      </c>
      <c r="R43" s="1">
        <f>VLOOKUP(A:A,MASTER!A:B,2,0)</f>
        <v>706</v>
      </c>
      <c r="S43">
        <f>VLOOKUP(A:A,MASTER!A:G,7,0)</f>
        <v>717</v>
      </c>
      <c r="T43" s="12">
        <f t="shared" si="4"/>
        <v>1.5580736543909346E-2</v>
      </c>
      <c r="U43">
        <v>2</v>
      </c>
    </row>
    <row r="44" spans="1:21" x14ac:dyDescent="0.35">
      <c r="A44" t="s">
        <v>160</v>
      </c>
      <c r="B44" t="s">
        <v>161</v>
      </c>
      <c r="C44" t="s">
        <v>4</v>
      </c>
      <c r="D44" t="s">
        <v>151</v>
      </c>
      <c r="E44" t="s">
        <v>182</v>
      </c>
      <c r="F44" s="1">
        <f>VLOOKUP(A:A,MASTER!A:F,6,0)</f>
        <v>13321177.692165183</v>
      </c>
      <c r="G44" s="1">
        <f>VLOOKUP(A:A,MASTER!A:K,11,0)</f>
        <v>13640714.055751091</v>
      </c>
      <c r="H44" s="12">
        <f t="shared" si="0"/>
        <v>2.3987095658504876E-2</v>
      </c>
      <c r="I44" s="2">
        <f>VLOOKUP(A:A,MASTER!A:E,5,0)</f>
        <v>719</v>
      </c>
      <c r="J44" s="2">
        <f>VLOOKUP(A:A,MASTER!A:J,10,0)</f>
        <v>778</v>
      </c>
      <c r="K44" s="12">
        <f t="shared" si="1"/>
        <v>8.2058414464533991E-2</v>
      </c>
      <c r="L44" s="2">
        <f>VLOOKUP(A:A,MASTER!A:D,4,0)</f>
        <v>2</v>
      </c>
      <c r="M44" s="2">
        <f>VLOOKUP(A:A,MASTER!A:I,9,0)</f>
        <v>1</v>
      </c>
      <c r="N44" s="12">
        <f t="shared" si="2"/>
        <v>-0.5</v>
      </c>
      <c r="O44" s="1">
        <f>VLOOKUP(A:A,MASTER!A:C,3,0)</f>
        <v>0</v>
      </c>
      <c r="P44" s="1">
        <f>VLOOKUP(A:A,MASTER!A:H,8,0)</f>
        <v>0</v>
      </c>
      <c r="Q44" s="12">
        <f t="shared" si="3"/>
        <v>0</v>
      </c>
      <c r="R44" s="1">
        <f>VLOOKUP(A:A,MASTER!A:B,2,0)</f>
        <v>686</v>
      </c>
      <c r="S44">
        <f>VLOOKUP(A:A,MASTER!A:G,7,0)</f>
        <v>704</v>
      </c>
      <c r="T44" s="12">
        <f t="shared" si="4"/>
        <v>2.6239067055393583E-2</v>
      </c>
      <c r="U44">
        <v>2</v>
      </c>
    </row>
    <row r="45" spans="1:21" x14ac:dyDescent="0.35">
      <c r="A45" t="s">
        <v>83</v>
      </c>
      <c r="B45" t="s">
        <v>84</v>
      </c>
      <c r="C45" t="s">
        <v>4</v>
      </c>
      <c r="D45" t="s">
        <v>26</v>
      </c>
      <c r="E45" t="s">
        <v>182</v>
      </c>
      <c r="F45" s="1">
        <f>VLOOKUP(A:A,MASTER!A:F,6,0)</f>
        <v>40575137.286203943</v>
      </c>
      <c r="G45" s="1">
        <f>VLOOKUP(A:A,MASTER!A:K,11,0)</f>
        <v>45745588.58812362</v>
      </c>
      <c r="H45" s="12">
        <f t="shared" si="0"/>
        <v>0.12742905256115278</v>
      </c>
      <c r="I45" s="2">
        <f>VLOOKUP(A:A,MASTER!A:E,5,0)</f>
        <v>2756</v>
      </c>
      <c r="J45" s="2">
        <f>VLOOKUP(A:A,MASTER!A:J,10,0)</f>
        <v>1136</v>
      </c>
      <c r="K45" s="12">
        <f t="shared" si="1"/>
        <v>-0.58780841799709727</v>
      </c>
      <c r="L45" s="2">
        <f>VLOOKUP(A:A,MASTER!A:D,4,0)</f>
        <v>5</v>
      </c>
      <c r="M45" s="2">
        <f>VLOOKUP(A:A,MASTER!A:I,9,0)</f>
        <v>6</v>
      </c>
      <c r="N45" s="12">
        <f t="shared" si="2"/>
        <v>0.19999999999999996</v>
      </c>
      <c r="O45" s="1">
        <f>VLOOKUP(A:A,MASTER!A:C,3,0)</f>
        <v>0</v>
      </c>
      <c r="P45" s="1">
        <f>VLOOKUP(A:A,MASTER!A:H,8,0)</f>
        <v>3</v>
      </c>
      <c r="Q45" s="12">
        <f t="shared" si="3"/>
        <v>0</v>
      </c>
      <c r="R45" s="1">
        <f>VLOOKUP(A:A,MASTER!A:B,2,0)</f>
        <v>1240</v>
      </c>
      <c r="S45">
        <f>VLOOKUP(A:A,MASTER!A:G,7,0)</f>
        <v>1286</v>
      </c>
      <c r="T45" s="12">
        <f t="shared" si="4"/>
        <v>3.7096774193548399E-2</v>
      </c>
      <c r="U45">
        <v>5</v>
      </c>
    </row>
    <row r="46" spans="1:21" x14ac:dyDescent="0.35">
      <c r="A46" t="s">
        <v>31</v>
      </c>
      <c r="B46" t="s">
        <v>32</v>
      </c>
      <c r="C46" t="s">
        <v>4</v>
      </c>
      <c r="D46" t="s">
        <v>5</v>
      </c>
      <c r="E46" t="s">
        <v>182</v>
      </c>
      <c r="F46" s="1">
        <f>VLOOKUP(A:A,MASTER!A:F,6,0)</f>
        <v>19563741.756338328</v>
      </c>
      <c r="G46" s="1">
        <f>VLOOKUP(A:A,MASTER!A:K,11,0)</f>
        <v>19453326.637208953</v>
      </c>
      <c r="H46" s="12">
        <f t="shared" si="0"/>
        <v>-5.6438650900512144E-3</v>
      </c>
      <c r="I46" s="2">
        <f>VLOOKUP(A:A,MASTER!A:E,5,0)</f>
        <v>1570</v>
      </c>
      <c r="J46" s="2">
        <f>VLOOKUP(A:A,MASTER!A:J,10,0)</f>
        <v>900</v>
      </c>
      <c r="K46" s="12">
        <f t="shared" si="1"/>
        <v>-0.42675159235668791</v>
      </c>
      <c r="L46" s="2">
        <f>VLOOKUP(A:A,MASTER!A:D,4,0)</f>
        <v>7</v>
      </c>
      <c r="M46" s="2">
        <f>VLOOKUP(A:A,MASTER!A:I,9,0)</f>
        <v>5</v>
      </c>
      <c r="N46" s="12">
        <f t="shared" si="2"/>
        <v>-0.2857142857142857</v>
      </c>
      <c r="O46" s="1">
        <f>VLOOKUP(A:A,MASTER!A:C,3,0)</f>
        <v>2</v>
      </c>
      <c r="P46" s="1">
        <f>VLOOKUP(A:A,MASTER!A:H,8,0)</f>
        <v>1</v>
      </c>
      <c r="Q46" s="12">
        <f t="shared" si="3"/>
        <v>-0.5</v>
      </c>
      <c r="R46" s="1">
        <f>VLOOKUP(A:A,MASTER!A:B,2,0)</f>
        <v>908</v>
      </c>
      <c r="S46">
        <f>VLOOKUP(A:A,MASTER!A:G,7,0)</f>
        <v>877</v>
      </c>
      <c r="T46" s="12">
        <f t="shared" si="4"/>
        <v>-3.4140969162995582E-2</v>
      </c>
      <c r="U46">
        <v>4</v>
      </c>
    </row>
    <row r="47" spans="1:21" x14ac:dyDescent="0.35">
      <c r="A47" t="s">
        <v>33</v>
      </c>
      <c r="B47" t="s">
        <v>34</v>
      </c>
      <c r="C47" t="s">
        <v>4</v>
      </c>
      <c r="D47" t="s">
        <v>5</v>
      </c>
      <c r="E47" t="s">
        <v>182</v>
      </c>
      <c r="F47" s="1">
        <f>VLOOKUP(A:A,MASTER!A:F,6,0)</f>
        <v>34200115.304982483</v>
      </c>
      <c r="G47" s="1">
        <f>VLOOKUP(A:A,MASTER!A:K,11,0)</f>
        <v>35513529.941505633</v>
      </c>
      <c r="H47" s="12">
        <f t="shared" si="0"/>
        <v>3.8403807262363365E-2</v>
      </c>
      <c r="I47" s="2">
        <f>VLOOKUP(A:A,MASTER!A:E,5,0)</f>
        <v>465</v>
      </c>
      <c r="J47" s="2">
        <f>VLOOKUP(A:A,MASTER!A:J,10,0)</f>
        <v>972</v>
      </c>
      <c r="K47" s="12">
        <f t="shared" si="1"/>
        <v>1.0903225806451613</v>
      </c>
      <c r="L47" s="2">
        <f>VLOOKUP(A:A,MASTER!A:D,4,0)</f>
        <v>12</v>
      </c>
      <c r="M47" s="2">
        <f>VLOOKUP(A:A,MASTER!A:I,9,0)</f>
        <v>11</v>
      </c>
      <c r="N47" s="12">
        <f t="shared" si="2"/>
        <v>-8.333333333333337E-2</v>
      </c>
      <c r="O47" s="1">
        <f>VLOOKUP(A:A,MASTER!A:C,3,0)</f>
        <v>3</v>
      </c>
      <c r="P47" s="1">
        <f>VLOOKUP(A:A,MASTER!A:H,8,0)</f>
        <v>1</v>
      </c>
      <c r="Q47" s="12">
        <f t="shared" si="3"/>
        <v>-0.66666666666666674</v>
      </c>
      <c r="R47" s="1">
        <f>VLOOKUP(A:A,MASTER!A:B,2,0)</f>
        <v>1345</v>
      </c>
      <c r="S47">
        <f>VLOOKUP(A:A,MASTER!A:G,7,0)</f>
        <v>1413</v>
      </c>
      <c r="T47" s="12">
        <f t="shared" si="4"/>
        <v>5.0557620817843762E-2</v>
      </c>
      <c r="U47">
        <v>5</v>
      </c>
    </row>
    <row r="48" spans="1:21" x14ac:dyDescent="0.35">
      <c r="A48" t="s">
        <v>85</v>
      </c>
      <c r="B48" t="s">
        <v>86</v>
      </c>
      <c r="C48" t="s">
        <v>4</v>
      </c>
      <c r="D48" t="s">
        <v>26</v>
      </c>
      <c r="E48" t="s">
        <v>182</v>
      </c>
      <c r="F48" s="1">
        <f>VLOOKUP(A:A,MASTER!A:F,6,0)</f>
        <v>17692903.869914349</v>
      </c>
      <c r="G48" s="1">
        <f>VLOOKUP(A:A,MASTER!A:K,11,0)</f>
        <v>16698819.456651105</v>
      </c>
      <c r="H48" s="12">
        <f t="shared" si="0"/>
        <v>-5.6185486598026579E-2</v>
      </c>
      <c r="I48" s="2">
        <f>VLOOKUP(A:A,MASTER!A:E,5,0)</f>
        <v>233</v>
      </c>
      <c r="J48" s="2">
        <f>VLOOKUP(A:A,MASTER!A:J,10,0)</f>
        <v>506</v>
      </c>
      <c r="K48" s="12">
        <f t="shared" si="1"/>
        <v>1.1716738197424892</v>
      </c>
      <c r="L48" s="2">
        <f>VLOOKUP(A:A,MASTER!A:D,4,0)</f>
        <v>6</v>
      </c>
      <c r="M48" s="2">
        <f>VLOOKUP(A:A,MASTER!A:I,9,0)</f>
        <v>6</v>
      </c>
      <c r="N48" s="12">
        <f t="shared" si="2"/>
        <v>0</v>
      </c>
      <c r="O48" s="1">
        <f>VLOOKUP(A:A,MASTER!A:C,3,0)</f>
        <v>1</v>
      </c>
      <c r="P48" s="1">
        <f>VLOOKUP(A:A,MASTER!A:H,8,0)</f>
        <v>3</v>
      </c>
      <c r="Q48" s="12">
        <f t="shared" si="3"/>
        <v>2</v>
      </c>
      <c r="R48" s="1">
        <f>VLOOKUP(A:A,MASTER!A:B,2,0)</f>
        <v>483</v>
      </c>
      <c r="S48">
        <f>VLOOKUP(A:A,MASTER!A:G,7,0)</f>
        <v>492</v>
      </c>
      <c r="T48" s="12">
        <f t="shared" si="4"/>
        <v>1.8633540372670732E-2</v>
      </c>
      <c r="U48">
        <v>1</v>
      </c>
    </row>
    <row r="49" spans="1:21" x14ac:dyDescent="0.35">
      <c r="A49" t="s">
        <v>81</v>
      </c>
      <c r="B49" t="s">
        <v>82</v>
      </c>
      <c r="C49" t="s">
        <v>4</v>
      </c>
      <c r="D49" t="s">
        <v>26</v>
      </c>
      <c r="E49" t="s">
        <v>182</v>
      </c>
      <c r="F49" s="1">
        <f>VLOOKUP(A:A,MASTER!A:F,6,0)</f>
        <v>12885929.269668665</v>
      </c>
      <c r="G49" s="1">
        <f>VLOOKUP(A:A,MASTER!A:K,11,0)</f>
        <v>14295788.226282325</v>
      </c>
      <c r="H49" s="12">
        <f t="shared" si="0"/>
        <v>0.10941073221100428</v>
      </c>
      <c r="I49" s="2">
        <f>VLOOKUP(A:A,MASTER!A:E,5,0)</f>
        <v>211</v>
      </c>
      <c r="J49" s="2">
        <f>VLOOKUP(A:A,MASTER!A:J,10,0)</f>
        <v>417</v>
      </c>
      <c r="K49" s="12">
        <f t="shared" si="1"/>
        <v>0.97630331753554511</v>
      </c>
      <c r="L49" s="2">
        <f>VLOOKUP(A:A,MASTER!A:D,4,0)</f>
        <v>4</v>
      </c>
      <c r="M49" s="2">
        <f>VLOOKUP(A:A,MASTER!A:I,9,0)</f>
        <v>3</v>
      </c>
      <c r="N49" s="12">
        <f t="shared" si="2"/>
        <v>-0.25</v>
      </c>
      <c r="O49" s="1">
        <f>VLOOKUP(A:A,MASTER!A:C,3,0)</f>
        <v>0</v>
      </c>
      <c r="P49" s="1">
        <f>VLOOKUP(A:A,MASTER!A:H,8,0)</f>
        <v>2</v>
      </c>
      <c r="Q49" s="12">
        <f t="shared" si="3"/>
        <v>0</v>
      </c>
      <c r="R49" s="1">
        <f>VLOOKUP(A:A,MASTER!A:B,2,0)</f>
        <v>457</v>
      </c>
      <c r="S49">
        <f>VLOOKUP(A:A,MASTER!A:G,7,0)</f>
        <v>459</v>
      </c>
      <c r="T49" s="12">
        <f t="shared" si="4"/>
        <v>4.3763676148795838E-3</v>
      </c>
      <c r="U49">
        <v>5</v>
      </c>
    </row>
    <row r="50" spans="1:21" x14ac:dyDescent="0.35">
      <c r="A50" t="s">
        <v>87</v>
      </c>
      <c r="B50" t="s">
        <v>88</v>
      </c>
      <c r="C50" t="s">
        <v>4</v>
      </c>
      <c r="D50" t="s">
        <v>26</v>
      </c>
      <c r="E50" t="s">
        <v>182</v>
      </c>
      <c r="F50" s="1">
        <f>VLOOKUP(A:A,MASTER!A:F,6,0)</f>
        <v>11147708.240657611</v>
      </c>
      <c r="G50" s="1">
        <f>VLOOKUP(A:A,MASTER!A:K,11,0)</f>
        <v>5589046.8414643016</v>
      </c>
      <c r="H50" s="12">
        <f t="shared" si="0"/>
        <v>-0.49863714399340975</v>
      </c>
      <c r="I50" s="2">
        <f>VLOOKUP(A:A,MASTER!A:E,5,0)</f>
        <v>220</v>
      </c>
      <c r="J50" s="2">
        <f>VLOOKUP(A:A,MASTER!A:J,10,0)</f>
        <v>38</v>
      </c>
      <c r="K50" s="12">
        <f t="shared" si="1"/>
        <v>-0.82727272727272727</v>
      </c>
      <c r="L50" s="2">
        <f>VLOOKUP(A:A,MASTER!A:D,4,0)</f>
        <v>4</v>
      </c>
      <c r="M50" s="2">
        <f>VLOOKUP(A:A,MASTER!A:I,9,0)</f>
        <v>2</v>
      </c>
      <c r="N50" s="12">
        <f t="shared" si="2"/>
        <v>-0.5</v>
      </c>
      <c r="O50" s="1">
        <f>VLOOKUP(A:A,MASTER!A:C,3,0)</f>
        <v>1</v>
      </c>
      <c r="P50" s="1">
        <f>VLOOKUP(A:A,MASTER!A:H,8,0)</f>
        <v>0</v>
      </c>
      <c r="Q50" s="12">
        <f t="shared" si="3"/>
        <v>-1</v>
      </c>
      <c r="R50" s="1">
        <f>VLOOKUP(A:A,MASTER!A:B,2,0)</f>
        <v>430</v>
      </c>
      <c r="S50">
        <f>VLOOKUP(A:A,MASTER!A:G,7,0)</f>
        <v>396</v>
      </c>
      <c r="T50" s="12">
        <f t="shared" si="4"/>
        <v>-7.906976744186045E-2</v>
      </c>
      <c r="U50">
        <v>4</v>
      </c>
    </row>
    <row r="51" spans="1:21" x14ac:dyDescent="0.35">
      <c r="A51" t="s">
        <v>166</v>
      </c>
      <c r="B51" t="s">
        <v>167</v>
      </c>
      <c r="C51" t="s">
        <v>4</v>
      </c>
      <c r="D51" t="s">
        <v>5</v>
      </c>
      <c r="E51" t="s">
        <v>182</v>
      </c>
      <c r="F51" s="1">
        <f>VLOOKUP(A:A,MASTER!A:F,6,0)</f>
        <v>26191668.071031023</v>
      </c>
      <c r="G51" s="1">
        <f>VLOOKUP(A:A,MASTER!A:K,11,0)</f>
        <v>28462888.360719599</v>
      </c>
      <c r="H51" s="12">
        <f t="shared" si="0"/>
        <v>8.6715373894060255E-2</v>
      </c>
      <c r="I51" s="2">
        <f>VLOOKUP(A:A,MASTER!A:E,5,0)</f>
        <v>661</v>
      </c>
      <c r="J51" s="2">
        <f>VLOOKUP(A:A,MASTER!A:J,10,0)</f>
        <v>889</v>
      </c>
      <c r="K51" s="12">
        <f t="shared" si="1"/>
        <v>0.34493192133131623</v>
      </c>
      <c r="L51" s="2">
        <f>VLOOKUP(A:A,MASTER!A:D,4,0)</f>
        <v>0</v>
      </c>
      <c r="M51" s="2">
        <f>VLOOKUP(A:A,MASTER!A:I,9,0)</f>
        <v>0</v>
      </c>
      <c r="N51" s="12">
        <f t="shared" si="2"/>
        <v>0</v>
      </c>
      <c r="O51" s="1">
        <f>VLOOKUP(A:A,MASTER!A:C,3,0)</f>
        <v>4</v>
      </c>
      <c r="P51" s="1">
        <f>VLOOKUP(A:A,MASTER!A:H,8,0)</f>
        <v>2</v>
      </c>
      <c r="Q51" s="12">
        <f t="shared" si="3"/>
        <v>-0.5</v>
      </c>
      <c r="R51" s="1">
        <f>VLOOKUP(A:A,MASTER!A:B,2,0)</f>
        <v>1103</v>
      </c>
      <c r="S51">
        <f>VLOOKUP(A:A,MASTER!A:G,7,0)</f>
        <v>1099</v>
      </c>
      <c r="T51" s="12">
        <f t="shared" si="4"/>
        <v>-3.6264732547597323E-3</v>
      </c>
      <c r="U51">
        <v>5</v>
      </c>
    </row>
    <row r="52" spans="1:21" x14ac:dyDescent="0.35">
      <c r="A52" t="s">
        <v>93</v>
      </c>
      <c r="B52" t="s">
        <v>94</v>
      </c>
      <c r="C52" t="s">
        <v>4</v>
      </c>
      <c r="D52" t="s">
        <v>26</v>
      </c>
      <c r="E52" t="s">
        <v>182</v>
      </c>
      <c r="F52" s="1">
        <f>VLOOKUP(A:A,MASTER!A:F,6,0)</f>
        <v>25274443.649353232</v>
      </c>
      <c r="G52" s="1">
        <f>VLOOKUP(A:A,MASTER!A:K,11,0)</f>
        <v>28675298.836824629</v>
      </c>
      <c r="H52" s="12">
        <f t="shared" si="0"/>
        <v>0.13455707412014295</v>
      </c>
      <c r="I52" s="2">
        <f>VLOOKUP(A:A,MASTER!A:E,5,0)</f>
        <v>715</v>
      </c>
      <c r="J52" s="2">
        <f>VLOOKUP(A:A,MASTER!A:J,10,0)</f>
        <v>797</v>
      </c>
      <c r="K52" s="12">
        <f t="shared" si="1"/>
        <v>0.11468531468531462</v>
      </c>
      <c r="L52" s="2">
        <f>VLOOKUP(A:A,MASTER!A:D,4,0)</f>
        <v>1</v>
      </c>
      <c r="M52" s="2">
        <f>VLOOKUP(A:A,MASTER!A:I,9,0)</f>
        <v>2</v>
      </c>
      <c r="N52" s="12">
        <f t="shared" si="2"/>
        <v>1</v>
      </c>
      <c r="O52" s="1">
        <f>VLOOKUP(A:A,MASTER!A:C,3,0)</f>
        <v>5</v>
      </c>
      <c r="P52" s="1">
        <f>VLOOKUP(A:A,MASTER!A:H,8,0)</f>
        <v>5</v>
      </c>
      <c r="Q52" s="12">
        <f t="shared" si="3"/>
        <v>0</v>
      </c>
      <c r="R52" s="1">
        <f>VLOOKUP(A:A,MASTER!A:B,2,0)</f>
        <v>998</v>
      </c>
      <c r="S52">
        <f>VLOOKUP(A:A,MASTER!A:G,7,0)</f>
        <v>927</v>
      </c>
      <c r="T52" s="12">
        <f t="shared" si="4"/>
        <v>-7.1142284569138292E-2</v>
      </c>
      <c r="U52">
        <v>4</v>
      </c>
    </row>
    <row r="53" spans="1:21" x14ac:dyDescent="0.35">
      <c r="A53" t="s">
        <v>95</v>
      </c>
      <c r="B53" t="s">
        <v>96</v>
      </c>
      <c r="C53" t="s">
        <v>4</v>
      </c>
      <c r="D53" t="s">
        <v>26</v>
      </c>
      <c r="E53" t="s">
        <v>182</v>
      </c>
      <c r="F53" s="1">
        <f>VLOOKUP(A:A,MASTER!A:F,6,0)</f>
        <v>49677371.10828805</v>
      </c>
      <c r="G53" s="1">
        <f>VLOOKUP(A:A,MASTER!A:K,11,0)</f>
        <v>52582289.558401659</v>
      </c>
      <c r="H53" s="12">
        <f t="shared" si="0"/>
        <v>5.8475687930051423E-2</v>
      </c>
      <c r="I53" s="2">
        <f>VLOOKUP(A:A,MASTER!A:E,5,0)</f>
        <v>1226</v>
      </c>
      <c r="J53" s="2">
        <f>VLOOKUP(A:A,MASTER!A:J,10,0)</f>
        <v>1642</v>
      </c>
      <c r="K53" s="12">
        <f t="shared" si="1"/>
        <v>0.33931484502446985</v>
      </c>
      <c r="L53" s="2">
        <f>VLOOKUP(A:A,MASTER!A:D,4,0)</f>
        <v>8</v>
      </c>
      <c r="M53" s="2">
        <f>VLOOKUP(A:A,MASTER!A:I,9,0)</f>
        <v>9</v>
      </c>
      <c r="N53" s="12">
        <f t="shared" si="2"/>
        <v>0.125</v>
      </c>
      <c r="O53" s="1">
        <f>VLOOKUP(A:A,MASTER!A:C,3,0)</f>
        <v>6</v>
      </c>
      <c r="P53" s="1">
        <f>VLOOKUP(A:A,MASTER!A:H,8,0)</f>
        <v>12</v>
      </c>
      <c r="Q53" s="12">
        <f t="shared" si="3"/>
        <v>1</v>
      </c>
      <c r="R53" s="1">
        <f>VLOOKUP(A:A,MASTER!A:B,2,0)</f>
        <v>2065</v>
      </c>
      <c r="S53">
        <f>VLOOKUP(A:A,MASTER!A:G,7,0)</f>
        <v>2100</v>
      </c>
      <c r="T53" s="12">
        <f t="shared" si="4"/>
        <v>1.6949152542372836E-2</v>
      </c>
      <c r="U53">
        <v>8</v>
      </c>
    </row>
    <row r="54" spans="1:21" x14ac:dyDescent="0.35">
      <c r="A54" t="s">
        <v>174</v>
      </c>
      <c r="B54" t="s">
        <v>175</v>
      </c>
      <c r="C54" t="s">
        <v>4</v>
      </c>
      <c r="D54" t="s">
        <v>5</v>
      </c>
      <c r="E54" t="s">
        <v>182</v>
      </c>
      <c r="F54" s="1">
        <f>VLOOKUP(A:A,MASTER!A:F,6,0)</f>
        <v>11997117.736853795</v>
      </c>
      <c r="G54" s="1">
        <f>VLOOKUP(A:A,MASTER!A:K,11,0)</f>
        <v>13982560.869168984</v>
      </c>
      <c r="H54" s="12">
        <f t="shared" si="0"/>
        <v>0.16549334397345539</v>
      </c>
      <c r="I54" s="2">
        <f>VLOOKUP(A:A,MASTER!A:E,5,0)</f>
        <v>453</v>
      </c>
      <c r="J54" s="2">
        <f>VLOOKUP(A:A,MASTER!A:J,10,0)</f>
        <v>675</v>
      </c>
      <c r="K54" s="12">
        <f t="shared" si="1"/>
        <v>0.49006622516556297</v>
      </c>
      <c r="L54" s="2">
        <f>VLOOKUP(A:A,MASTER!A:D,4,0)</f>
        <v>0</v>
      </c>
      <c r="M54" s="2">
        <f>VLOOKUP(A:A,MASTER!A:I,9,0)</f>
        <v>0</v>
      </c>
      <c r="N54" s="12">
        <f t="shared" si="2"/>
        <v>0</v>
      </c>
      <c r="O54" s="1">
        <f>VLOOKUP(A:A,MASTER!A:C,3,0)</f>
        <v>4</v>
      </c>
      <c r="P54" s="1">
        <f>VLOOKUP(A:A,MASTER!A:H,8,0)</f>
        <v>2</v>
      </c>
      <c r="Q54" s="12">
        <f t="shared" si="3"/>
        <v>-0.5</v>
      </c>
      <c r="R54" s="1">
        <f>VLOOKUP(A:A,MASTER!A:B,2,0)</f>
        <v>683</v>
      </c>
      <c r="S54">
        <f>VLOOKUP(A:A,MASTER!A:G,7,0)</f>
        <v>657</v>
      </c>
      <c r="T54" s="12">
        <f t="shared" si="4"/>
        <v>-3.8067349926793503E-2</v>
      </c>
      <c r="U54">
        <v>2</v>
      </c>
    </row>
    <row r="55" spans="1:21" x14ac:dyDescent="0.35">
      <c r="A55" t="s">
        <v>99</v>
      </c>
      <c r="B55" t="s">
        <v>100</v>
      </c>
      <c r="C55" t="s">
        <v>4</v>
      </c>
      <c r="D55" t="s">
        <v>26</v>
      </c>
      <c r="E55" t="s">
        <v>182</v>
      </c>
      <c r="F55" s="1">
        <f>VLOOKUP(A:A,MASTER!A:F,6,0)</f>
        <v>21280371.70766744</v>
      </c>
      <c r="G55" s="1">
        <f>VLOOKUP(A:A,MASTER!A:K,11,0)</f>
        <v>24407846.306572575</v>
      </c>
      <c r="H55" s="12">
        <f t="shared" si="0"/>
        <v>0.1469652241919388</v>
      </c>
      <c r="I55" s="2">
        <f>VLOOKUP(A:A,MASTER!A:E,5,0)</f>
        <v>510</v>
      </c>
      <c r="J55" s="2">
        <f>VLOOKUP(A:A,MASTER!A:J,10,0)</f>
        <v>827</v>
      </c>
      <c r="K55" s="12">
        <f t="shared" si="1"/>
        <v>0.6215686274509804</v>
      </c>
      <c r="L55" s="2">
        <f>VLOOKUP(A:A,MASTER!A:D,4,0)</f>
        <v>5</v>
      </c>
      <c r="M55" s="2">
        <f>VLOOKUP(A:A,MASTER!A:I,9,0)</f>
        <v>6</v>
      </c>
      <c r="N55" s="12">
        <f t="shared" si="2"/>
        <v>0.19999999999999996</v>
      </c>
      <c r="O55" s="1">
        <f>VLOOKUP(A:A,MASTER!A:C,3,0)</f>
        <v>5</v>
      </c>
      <c r="P55" s="1">
        <f>VLOOKUP(A:A,MASTER!A:H,8,0)</f>
        <v>6</v>
      </c>
      <c r="Q55" s="12">
        <f t="shared" si="3"/>
        <v>0.19999999999999996</v>
      </c>
      <c r="R55" s="1">
        <f>VLOOKUP(A:A,MASTER!A:B,2,0)</f>
        <v>868</v>
      </c>
      <c r="S55">
        <f>VLOOKUP(A:A,MASTER!A:G,7,0)</f>
        <v>911</v>
      </c>
      <c r="T55" s="12">
        <f t="shared" si="4"/>
        <v>4.9539170506912367E-2</v>
      </c>
      <c r="U55">
        <v>7</v>
      </c>
    </row>
    <row r="56" spans="1:21" x14ac:dyDescent="0.35">
      <c r="A56" t="s">
        <v>172</v>
      </c>
      <c r="B56" t="s">
        <v>173</v>
      </c>
      <c r="C56" t="s">
        <v>4</v>
      </c>
      <c r="D56" t="s">
        <v>5</v>
      </c>
      <c r="E56" t="s">
        <v>182</v>
      </c>
      <c r="F56" s="1">
        <f>VLOOKUP(A:A,MASTER!A:F,6,0)</f>
        <v>13008470.054326516</v>
      </c>
      <c r="G56" s="1">
        <f>VLOOKUP(A:A,MASTER!A:K,11,0)</f>
        <v>12702688.915399697</v>
      </c>
      <c r="H56" s="12">
        <f t="shared" si="0"/>
        <v>-2.350631070754694E-2</v>
      </c>
      <c r="I56" s="2">
        <f>VLOOKUP(A:A,MASTER!A:E,5,0)</f>
        <v>516</v>
      </c>
      <c r="J56" s="2">
        <f>VLOOKUP(A:A,MASTER!A:J,10,0)</f>
        <v>57</v>
      </c>
      <c r="K56" s="12">
        <f t="shared" si="1"/>
        <v>-0.88953488372093026</v>
      </c>
      <c r="L56" s="2">
        <f>VLOOKUP(A:A,MASTER!A:D,4,0)</f>
        <v>1</v>
      </c>
      <c r="M56" s="2">
        <f>VLOOKUP(A:A,MASTER!A:I,9,0)</f>
        <v>0</v>
      </c>
      <c r="N56" s="12">
        <f t="shared" si="2"/>
        <v>-1</v>
      </c>
      <c r="O56" s="1">
        <f>VLOOKUP(A:A,MASTER!A:C,3,0)</f>
        <v>3</v>
      </c>
      <c r="P56" s="1">
        <f>VLOOKUP(A:A,MASTER!A:H,8,0)</f>
        <v>0</v>
      </c>
      <c r="Q56" s="12">
        <f t="shared" si="3"/>
        <v>-1</v>
      </c>
      <c r="R56" s="1">
        <f>VLOOKUP(A:A,MASTER!A:B,2,0)</f>
        <v>749</v>
      </c>
      <c r="S56">
        <f>VLOOKUP(A:A,MASTER!A:G,7,0)</f>
        <v>673</v>
      </c>
      <c r="T56" s="12">
        <f t="shared" si="4"/>
        <v>-0.10146862483311081</v>
      </c>
      <c r="U56">
        <v>2</v>
      </c>
    </row>
    <row r="57" spans="1:21" x14ac:dyDescent="0.35">
      <c r="A57" t="s">
        <v>168</v>
      </c>
      <c r="B57" t="s">
        <v>169</v>
      </c>
      <c r="C57" t="s">
        <v>4</v>
      </c>
      <c r="D57" t="s">
        <v>5</v>
      </c>
      <c r="E57" t="s">
        <v>182</v>
      </c>
      <c r="F57" s="1">
        <f>VLOOKUP(A:A,MASTER!A:F,6,0)</f>
        <v>27692985.716273904</v>
      </c>
      <c r="G57" s="1">
        <f>VLOOKUP(A:A,MASTER!A:K,11,0)</f>
        <v>30502819.256533097</v>
      </c>
      <c r="H57" s="12">
        <f t="shared" si="0"/>
        <v>0.10146372691796768</v>
      </c>
      <c r="I57" s="2">
        <f>VLOOKUP(A:A,MASTER!A:E,5,0)</f>
        <v>807</v>
      </c>
      <c r="J57" s="2">
        <f>VLOOKUP(A:A,MASTER!A:J,10,0)</f>
        <v>1279</v>
      </c>
      <c r="K57" s="12">
        <f t="shared" si="1"/>
        <v>0.58488228004956633</v>
      </c>
      <c r="L57" s="2">
        <f>VLOOKUP(A:A,MASTER!A:D,4,0)</f>
        <v>0</v>
      </c>
      <c r="M57" s="2">
        <f>VLOOKUP(A:A,MASTER!A:I,9,0)</f>
        <v>1</v>
      </c>
      <c r="N57" s="12">
        <f t="shared" si="2"/>
        <v>0</v>
      </c>
      <c r="O57" s="1">
        <f>VLOOKUP(A:A,MASTER!A:C,3,0)</f>
        <v>5</v>
      </c>
      <c r="P57" s="1">
        <f>VLOOKUP(A:A,MASTER!A:H,8,0)</f>
        <v>5</v>
      </c>
      <c r="Q57" s="12">
        <f t="shared" si="3"/>
        <v>0</v>
      </c>
      <c r="R57" s="1">
        <f>VLOOKUP(A:A,MASTER!A:B,2,0)</f>
        <v>1107</v>
      </c>
      <c r="S57">
        <f>VLOOKUP(A:A,MASTER!A:G,7,0)</f>
        <v>1105</v>
      </c>
      <c r="T57" s="12">
        <f t="shared" si="4"/>
        <v>-1.8066847335139746E-3</v>
      </c>
      <c r="U57">
        <v>2</v>
      </c>
    </row>
    <row r="58" spans="1:21" x14ac:dyDescent="0.35">
      <c r="A58" t="s">
        <v>101</v>
      </c>
      <c r="B58" t="s">
        <v>102</v>
      </c>
      <c r="C58" t="s">
        <v>4</v>
      </c>
      <c r="D58" t="s">
        <v>26</v>
      </c>
      <c r="E58" t="s">
        <v>182</v>
      </c>
      <c r="F58" s="1">
        <f>VLOOKUP(A:A,MASTER!A:F,6,0)</f>
        <v>33951195.810102426</v>
      </c>
      <c r="G58" s="1">
        <f>VLOOKUP(A:A,MASTER!A:K,11,0)</f>
        <v>41763405.554746158</v>
      </c>
      <c r="H58" s="12">
        <f t="shared" si="0"/>
        <v>0.23010116604844755</v>
      </c>
      <c r="I58" s="2">
        <f>VLOOKUP(A:A,MASTER!A:E,5,0)</f>
        <v>1441</v>
      </c>
      <c r="J58" s="2">
        <f>VLOOKUP(A:A,MASTER!A:J,10,0)</f>
        <v>1494</v>
      </c>
      <c r="K58" s="12">
        <f t="shared" si="1"/>
        <v>3.6780013879250451E-2</v>
      </c>
      <c r="L58" s="2">
        <f>VLOOKUP(A:A,MASTER!A:D,4,0)</f>
        <v>4</v>
      </c>
      <c r="M58" s="2">
        <f>VLOOKUP(A:A,MASTER!A:I,9,0)</f>
        <v>5</v>
      </c>
      <c r="N58" s="12">
        <f t="shared" si="2"/>
        <v>0.25</v>
      </c>
      <c r="O58" s="1">
        <f>VLOOKUP(A:A,MASTER!A:C,3,0)</f>
        <v>4</v>
      </c>
      <c r="P58" s="1">
        <f>VLOOKUP(A:A,MASTER!A:H,8,0)</f>
        <v>7</v>
      </c>
      <c r="Q58" s="12">
        <f t="shared" si="3"/>
        <v>0.75</v>
      </c>
      <c r="R58" s="1">
        <f>VLOOKUP(A:A,MASTER!A:B,2,0)</f>
        <v>1436</v>
      </c>
      <c r="S58">
        <f>VLOOKUP(A:A,MASTER!A:G,7,0)</f>
        <v>1598</v>
      </c>
      <c r="T58" s="12">
        <f t="shared" si="4"/>
        <v>0.11281337047353768</v>
      </c>
      <c r="U58">
        <v>4</v>
      </c>
    </row>
    <row r="59" spans="1:21" x14ac:dyDescent="0.35">
      <c r="A59" t="s">
        <v>103</v>
      </c>
      <c r="B59" t="s">
        <v>104</v>
      </c>
      <c r="C59" t="s">
        <v>4</v>
      </c>
      <c r="D59" t="s">
        <v>26</v>
      </c>
      <c r="E59" t="s">
        <v>182</v>
      </c>
      <c r="F59" s="1">
        <f>VLOOKUP(A:A,MASTER!A:F,6,0)</f>
        <v>18629448.795252305</v>
      </c>
      <c r="G59" s="1">
        <f>VLOOKUP(A:A,MASTER!A:K,11,0)</f>
        <v>16761125.185675364</v>
      </c>
      <c r="H59" s="12">
        <f t="shared" si="0"/>
        <v>-0.10028872191071381</v>
      </c>
      <c r="I59" s="2">
        <f>VLOOKUP(A:A,MASTER!A:E,5,0)</f>
        <v>648</v>
      </c>
      <c r="J59" s="2">
        <f>VLOOKUP(A:A,MASTER!A:J,10,0)</f>
        <v>790</v>
      </c>
      <c r="K59" s="12">
        <f t="shared" si="1"/>
        <v>0.21913580246913589</v>
      </c>
      <c r="L59" s="2">
        <f>VLOOKUP(A:A,MASTER!A:D,4,0)</f>
        <v>4</v>
      </c>
      <c r="M59" s="2">
        <f>VLOOKUP(A:A,MASTER!A:I,9,0)</f>
        <v>5</v>
      </c>
      <c r="N59" s="12">
        <f t="shared" si="2"/>
        <v>0.25</v>
      </c>
      <c r="O59" s="1">
        <f>VLOOKUP(A:A,MASTER!A:C,3,0)</f>
        <v>1</v>
      </c>
      <c r="P59" s="1">
        <f>VLOOKUP(A:A,MASTER!A:H,8,0)</f>
        <v>4</v>
      </c>
      <c r="Q59" s="12">
        <f t="shared" si="3"/>
        <v>3</v>
      </c>
      <c r="R59" s="1">
        <f>VLOOKUP(A:A,MASTER!A:B,2,0)</f>
        <v>774</v>
      </c>
      <c r="S59">
        <f>VLOOKUP(A:A,MASTER!A:G,7,0)</f>
        <v>805</v>
      </c>
      <c r="T59" s="12">
        <f t="shared" si="4"/>
        <v>4.0051679586563305E-2</v>
      </c>
      <c r="U59">
        <v>3</v>
      </c>
    </row>
    <row r="60" spans="1:21" x14ac:dyDescent="0.35">
      <c r="A60" t="s">
        <v>105</v>
      </c>
      <c r="B60" t="s">
        <v>106</v>
      </c>
      <c r="C60" t="s">
        <v>4</v>
      </c>
      <c r="D60" t="s">
        <v>26</v>
      </c>
      <c r="E60" t="s">
        <v>182</v>
      </c>
      <c r="F60" s="1">
        <f>VLOOKUP(A:A,MASTER!A:F,6,0)</f>
        <v>20847380.402954869</v>
      </c>
      <c r="G60" s="1">
        <f>VLOOKUP(A:A,MASTER!A:K,11,0)</f>
        <v>22020764.973671433</v>
      </c>
      <c r="H60" s="12">
        <f t="shared" si="0"/>
        <v>5.6284509038375452E-2</v>
      </c>
      <c r="I60" s="2">
        <f>VLOOKUP(A:A,MASTER!A:E,5,0)</f>
        <v>450</v>
      </c>
      <c r="J60" s="2">
        <f>VLOOKUP(A:A,MASTER!A:J,10,0)</f>
        <v>464</v>
      </c>
      <c r="K60" s="12">
        <f t="shared" si="1"/>
        <v>3.1111111111111089E-2</v>
      </c>
      <c r="L60" s="2">
        <f>VLOOKUP(A:A,MASTER!A:D,4,0)</f>
        <v>5</v>
      </c>
      <c r="M60" s="2">
        <f>VLOOKUP(A:A,MASTER!A:I,9,0)</f>
        <v>7</v>
      </c>
      <c r="N60" s="12">
        <f t="shared" si="2"/>
        <v>0.39999999999999991</v>
      </c>
      <c r="O60" s="1">
        <f>VLOOKUP(A:A,MASTER!A:C,3,0)</f>
        <v>7</v>
      </c>
      <c r="P60" s="1">
        <f>VLOOKUP(A:A,MASTER!A:H,8,0)</f>
        <v>3</v>
      </c>
      <c r="Q60" s="12">
        <f t="shared" si="3"/>
        <v>-0.5714285714285714</v>
      </c>
      <c r="R60" s="1">
        <f>VLOOKUP(A:A,MASTER!A:B,2,0)</f>
        <v>651</v>
      </c>
      <c r="S60">
        <f>VLOOKUP(A:A,MASTER!A:G,7,0)</f>
        <v>643</v>
      </c>
      <c r="T60" s="12">
        <f t="shared" si="4"/>
        <v>-1.228878648233489E-2</v>
      </c>
      <c r="U60">
        <v>10</v>
      </c>
    </row>
    <row r="61" spans="1:21" x14ac:dyDescent="0.35">
      <c r="A61" t="s">
        <v>24</v>
      </c>
      <c r="B61" t="s">
        <v>25</v>
      </c>
      <c r="C61" t="s">
        <v>4</v>
      </c>
      <c r="D61" t="s">
        <v>26</v>
      </c>
      <c r="E61" t="s">
        <v>182</v>
      </c>
      <c r="F61" s="1">
        <f>VLOOKUP(A:A,MASTER!A:F,6,0)</f>
        <v>67327568.067904234</v>
      </c>
      <c r="G61" s="1">
        <f>VLOOKUP(A:A,MASTER!A:K,11,0)</f>
        <v>70670658.044179976</v>
      </c>
      <c r="H61" s="12">
        <f t="shared" si="0"/>
        <v>4.9654102653819532E-2</v>
      </c>
      <c r="I61" s="2">
        <f>VLOOKUP(A:A,MASTER!A:E,5,0)</f>
        <v>1641</v>
      </c>
      <c r="J61" s="2">
        <f>VLOOKUP(A:A,MASTER!A:J,10,0)</f>
        <v>1829</v>
      </c>
      <c r="K61" s="12">
        <f t="shared" si="1"/>
        <v>0.11456429006703228</v>
      </c>
      <c r="L61" s="2">
        <f>VLOOKUP(A:A,MASTER!A:D,4,0)</f>
        <v>10</v>
      </c>
      <c r="M61" s="2">
        <f>VLOOKUP(A:A,MASTER!A:I,9,0)</f>
        <v>13</v>
      </c>
      <c r="N61" s="12">
        <f t="shared" si="2"/>
        <v>0.30000000000000004</v>
      </c>
      <c r="O61" s="1">
        <f>VLOOKUP(A:A,MASTER!A:C,3,0)</f>
        <v>9</v>
      </c>
      <c r="P61" s="1">
        <f>VLOOKUP(A:A,MASTER!A:H,8,0)</f>
        <v>13</v>
      </c>
      <c r="Q61" s="12">
        <f t="shared" si="3"/>
        <v>0.44444444444444442</v>
      </c>
      <c r="R61" s="1">
        <f>VLOOKUP(A:A,MASTER!A:B,2,0)</f>
        <v>1983</v>
      </c>
      <c r="S61">
        <f>VLOOKUP(A:A,MASTER!A:G,7,0)</f>
        <v>1971</v>
      </c>
      <c r="T61" s="12">
        <f t="shared" si="4"/>
        <v>-6.0514372163388286E-3</v>
      </c>
      <c r="U61">
        <v>10</v>
      </c>
    </row>
    <row r="62" spans="1:21" x14ac:dyDescent="0.35">
      <c r="A62" t="s">
        <v>27</v>
      </c>
      <c r="B62" t="s">
        <v>28</v>
      </c>
      <c r="C62" t="s">
        <v>4</v>
      </c>
      <c r="D62" t="s">
        <v>26</v>
      </c>
      <c r="E62" t="s">
        <v>182</v>
      </c>
      <c r="F62" s="1">
        <f>VLOOKUP(A:A,MASTER!A:F,6,0)</f>
        <v>49430448.945431069</v>
      </c>
      <c r="G62" s="1">
        <f>VLOOKUP(A:A,MASTER!A:K,11,0)</f>
        <v>50220349.921165459</v>
      </c>
      <c r="H62" s="12">
        <f t="shared" si="0"/>
        <v>1.5980048585162665E-2</v>
      </c>
      <c r="I62" s="2">
        <f>VLOOKUP(A:A,MASTER!A:E,5,0)</f>
        <v>1265</v>
      </c>
      <c r="J62" s="2">
        <f>VLOOKUP(A:A,MASTER!A:J,10,0)</f>
        <v>1201</v>
      </c>
      <c r="K62" s="12">
        <f t="shared" si="1"/>
        <v>-5.0592885375494112E-2</v>
      </c>
      <c r="L62" s="2">
        <f>VLOOKUP(A:A,MASTER!A:D,4,0)</f>
        <v>6</v>
      </c>
      <c r="M62" s="2">
        <f>VLOOKUP(A:A,MASTER!A:I,9,0)</f>
        <v>6</v>
      </c>
      <c r="N62" s="12">
        <f t="shared" si="2"/>
        <v>0</v>
      </c>
      <c r="O62" s="1">
        <f>VLOOKUP(A:A,MASTER!A:C,3,0)</f>
        <v>13</v>
      </c>
      <c r="P62" s="1">
        <f>VLOOKUP(A:A,MASTER!A:H,8,0)</f>
        <v>12</v>
      </c>
      <c r="Q62" s="12">
        <f t="shared" si="3"/>
        <v>-7.6923076923076872E-2</v>
      </c>
      <c r="R62" s="1">
        <f>VLOOKUP(A:A,MASTER!A:B,2,0)</f>
        <v>1583</v>
      </c>
      <c r="S62">
        <f>VLOOKUP(A:A,MASTER!A:G,7,0)</f>
        <v>1603</v>
      </c>
      <c r="T62" s="12">
        <f t="shared" si="4"/>
        <v>1.2634238787113006E-2</v>
      </c>
      <c r="U62">
        <v>9</v>
      </c>
    </row>
    <row r="63" spans="1:21" x14ac:dyDescent="0.35">
      <c r="A63" t="s">
        <v>29</v>
      </c>
      <c r="B63" t="s">
        <v>30</v>
      </c>
      <c r="C63" t="s">
        <v>4</v>
      </c>
      <c r="D63" t="s">
        <v>26</v>
      </c>
      <c r="E63" t="s">
        <v>182</v>
      </c>
      <c r="F63" s="1">
        <f>VLOOKUP(A:A,MASTER!A:F,6,0)</f>
        <v>32493119.305810899</v>
      </c>
      <c r="G63" s="1">
        <f>VLOOKUP(A:A,MASTER!A:K,11,0)</f>
        <v>34013930.676028676</v>
      </c>
      <c r="H63" s="12">
        <f t="shared" si="0"/>
        <v>4.6804105075433755E-2</v>
      </c>
      <c r="I63" s="2">
        <f>VLOOKUP(A:A,MASTER!A:E,5,0)</f>
        <v>734</v>
      </c>
      <c r="J63" s="2">
        <f>VLOOKUP(A:A,MASTER!A:J,10,0)</f>
        <v>699</v>
      </c>
      <c r="K63" s="12">
        <f t="shared" si="1"/>
        <v>-4.7683923705722053E-2</v>
      </c>
      <c r="L63" s="2">
        <f>VLOOKUP(A:A,MASTER!A:D,4,0)</f>
        <v>1</v>
      </c>
      <c r="M63" s="2">
        <f>VLOOKUP(A:A,MASTER!A:I,9,0)</f>
        <v>1</v>
      </c>
      <c r="N63" s="12">
        <f t="shared" si="2"/>
        <v>0</v>
      </c>
      <c r="O63" s="1">
        <f>VLOOKUP(A:A,MASTER!A:C,3,0)</f>
        <v>4</v>
      </c>
      <c r="P63" s="1">
        <f>VLOOKUP(A:A,MASTER!A:H,8,0)</f>
        <v>1</v>
      </c>
      <c r="Q63" s="12">
        <f t="shared" si="3"/>
        <v>-0.75</v>
      </c>
      <c r="R63" s="1">
        <f>VLOOKUP(A:A,MASTER!A:B,2,0)</f>
        <v>884</v>
      </c>
      <c r="S63">
        <f>VLOOKUP(A:A,MASTER!A:G,7,0)</f>
        <v>892</v>
      </c>
      <c r="T63" s="12">
        <f t="shared" si="4"/>
        <v>9.0497737556560764E-3</v>
      </c>
      <c r="U63">
        <v>4</v>
      </c>
    </row>
    <row r="64" spans="1:21" x14ac:dyDescent="0.35">
      <c r="A64" t="s">
        <v>57</v>
      </c>
      <c r="B64" t="s">
        <v>58</v>
      </c>
      <c r="C64" t="s">
        <v>22</v>
      </c>
      <c r="D64" t="s">
        <v>23</v>
      </c>
      <c r="E64" t="s">
        <v>182</v>
      </c>
      <c r="F64" s="1">
        <f>VLOOKUP(A:A,MASTER!A:F,6,0)</f>
        <v>49546807.447998308</v>
      </c>
      <c r="G64" s="1">
        <f>VLOOKUP(A:A,MASTER!A:K,11,0)</f>
        <v>45338783.339071438</v>
      </c>
      <c r="H64" s="12">
        <f t="shared" si="0"/>
        <v>-8.4930277563158629E-2</v>
      </c>
      <c r="I64" s="2">
        <f>VLOOKUP(A:A,MASTER!A:E,5,0)</f>
        <v>1308</v>
      </c>
      <c r="J64" s="2">
        <f>VLOOKUP(A:A,MASTER!A:J,10,0)</f>
        <v>1302</v>
      </c>
      <c r="K64" s="12">
        <f t="shared" si="1"/>
        <v>-4.5871559633027248E-3</v>
      </c>
      <c r="L64" s="2">
        <f>VLOOKUP(A:A,MASTER!A:D,4,0)</f>
        <v>12</v>
      </c>
      <c r="M64" s="2">
        <f>VLOOKUP(A:A,MASTER!A:I,9,0)</f>
        <v>13</v>
      </c>
      <c r="N64" s="12">
        <f t="shared" si="2"/>
        <v>8.3333333333333259E-2</v>
      </c>
      <c r="O64" s="1">
        <f>VLOOKUP(A:A,MASTER!A:C,3,0)</f>
        <v>369</v>
      </c>
      <c r="P64" s="1">
        <f>VLOOKUP(A:A,MASTER!A:H,8,0)</f>
        <v>372</v>
      </c>
      <c r="Q64" s="12">
        <f t="shared" si="3"/>
        <v>8.1300813008129413E-3</v>
      </c>
      <c r="R64" s="1">
        <f>VLOOKUP(A:A,MASTER!A:B,2,0)</f>
        <v>2317</v>
      </c>
      <c r="S64">
        <f>VLOOKUP(A:A,MASTER!A:G,7,0)</f>
        <v>2329</v>
      </c>
      <c r="T64" s="12">
        <f t="shared" si="4"/>
        <v>5.1791109192922402E-3</v>
      </c>
      <c r="U64">
        <v>9</v>
      </c>
    </row>
    <row r="65" spans="1:21" x14ac:dyDescent="0.35">
      <c r="A65" t="s">
        <v>137</v>
      </c>
      <c r="B65" t="s">
        <v>138</v>
      </c>
      <c r="C65" t="s">
        <v>22</v>
      </c>
      <c r="D65" t="s">
        <v>69</v>
      </c>
      <c r="E65" t="s">
        <v>180</v>
      </c>
      <c r="F65" s="1">
        <f>VLOOKUP(A:A,MASTER!A:F,6,0)</f>
        <v>1348505.727031731</v>
      </c>
      <c r="G65" s="1">
        <f>VLOOKUP(A:A,MASTER!A:K,11,0)</f>
        <v>3682667.934082624</v>
      </c>
      <c r="H65" s="12">
        <f t="shared" si="0"/>
        <v>1.7309249491945011</v>
      </c>
      <c r="I65" s="2">
        <f>VLOOKUP(A:A,MASTER!A:E,5,0)</f>
        <v>250</v>
      </c>
      <c r="J65" s="2">
        <f>VLOOKUP(A:A,MASTER!A:J,10,0)</f>
        <v>281</v>
      </c>
      <c r="K65" s="12">
        <f t="shared" si="1"/>
        <v>0.12400000000000011</v>
      </c>
      <c r="L65" s="2">
        <f>VLOOKUP(A:A,MASTER!A:D,4,0)</f>
        <v>1</v>
      </c>
      <c r="M65" s="2">
        <f>VLOOKUP(A:A,MASTER!A:I,9,0)</f>
        <v>0</v>
      </c>
      <c r="N65" s="12">
        <f t="shared" si="2"/>
        <v>-1</v>
      </c>
      <c r="O65" s="1">
        <f>VLOOKUP(A:A,MASTER!A:C,3,0)</f>
        <v>0</v>
      </c>
      <c r="P65" s="1">
        <f>VLOOKUP(A:A,MASTER!A:H,8,0)</f>
        <v>2</v>
      </c>
      <c r="Q65" s="12">
        <f t="shared" si="3"/>
        <v>0</v>
      </c>
      <c r="R65" s="1">
        <f>VLOOKUP(A:A,MASTER!A:B,2,0)</f>
        <v>247</v>
      </c>
      <c r="S65">
        <f>VLOOKUP(A:A,MASTER!A:G,7,0)</f>
        <v>242</v>
      </c>
      <c r="T65" s="12">
        <f t="shared" si="4"/>
        <v>-2.0242914979757054E-2</v>
      </c>
      <c r="U65">
        <v>2</v>
      </c>
    </row>
    <row r="66" spans="1:21" x14ac:dyDescent="0.35">
      <c r="A66" t="s">
        <v>10</v>
      </c>
      <c r="B66" t="s">
        <v>11</v>
      </c>
      <c r="C66" t="s">
        <v>4</v>
      </c>
      <c r="D66" t="s">
        <v>151</v>
      </c>
      <c r="E66" t="s">
        <v>182</v>
      </c>
      <c r="F66" s="1">
        <f>VLOOKUP(A:A,MASTER!A:F,6,0)</f>
        <v>35127326.366053008</v>
      </c>
      <c r="G66" s="1">
        <f>VLOOKUP(A:A,MASTER!A:K,11,0)</f>
        <v>34445460.314459853</v>
      </c>
      <c r="H66" s="12">
        <f t="shared" si="0"/>
        <v>-1.9411270999893371E-2</v>
      </c>
      <c r="I66" s="2">
        <f>VLOOKUP(A:A,MASTER!A:E,5,0)</f>
        <v>1480</v>
      </c>
      <c r="J66" s="2">
        <f>VLOOKUP(A:A,MASTER!A:J,10,0)</f>
        <v>1576</v>
      </c>
      <c r="K66" s="12">
        <f t="shared" si="1"/>
        <v>6.4864864864864868E-2</v>
      </c>
      <c r="L66" s="2">
        <f>VLOOKUP(A:A,MASTER!A:D,4,0)</f>
        <v>6</v>
      </c>
      <c r="M66" s="2">
        <f>VLOOKUP(A:A,MASTER!A:I,9,0)</f>
        <v>8</v>
      </c>
      <c r="N66" s="12">
        <f t="shared" si="2"/>
        <v>0.33333333333333326</v>
      </c>
      <c r="O66" s="1">
        <f>VLOOKUP(A:A,MASTER!A:C,3,0)</f>
        <v>7</v>
      </c>
      <c r="P66" s="1">
        <f>VLOOKUP(A:A,MASTER!A:H,8,0)</f>
        <v>14</v>
      </c>
      <c r="Q66" s="12">
        <f t="shared" si="3"/>
        <v>1</v>
      </c>
      <c r="R66" s="1">
        <f>VLOOKUP(A:A,MASTER!A:B,2,0)</f>
        <v>1669</v>
      </c>
      <c r="S66">
        <f>VLOOKUP(A:A,MASTER!A:G,7,0)</f>
        <v>1608</v>
      </c>
      <c r="T66" s="12">
        <f t="shared" si="4"/>
        <v>-3.6548831635709988E-2</v>
      </c>
      <c r="U66">
        <v>6</v>
      </c>
    </row>
    <row r="67" spans="1:21" x14ac:dyDescent="0.35">
      <c r="A67" t="s">
        <v>12</v>
      </c>
      <c r="B67" t="s">
        <v>13</v>
      </c>
      <c r="C67" t="s">
        <v>4</v>
      </c>
      <c r="D67" t="s">
        <v>151</v>
      </c>
      <c r="E67" t="s">
        <v>182</v>
      </c>
      <c r="F67" s="1">
        <f>VLOOKUP(A:A,MASTER!A:F,6,0)</f>
        <v>16812574.105930068</v>
      </c>
      <c r="G67" s="1">
        <f>VLOOKUP(A:A,MASTER!A:K,11,0)</f>
        <v>15667692.503356764</v>
      </c>
      <c r="H67" s="12">
        <f t="shared" ref="H67:H85" si="5">IFERROR(G67/F67-1,0)</f>
        <v>-6.8096746837207123E-2</v>
      </c>
      <c r="I67" s="2">
        <f>VLOOKUP(A:A,MASTER!A:E,5,0)</f>
        <v>638</v>
      </c>
      <c r="J67" s="2">
        <f>VLOOKUP(A:A,MASTER!A:J,10,0)</f>
        <v>598</v>
      </c>
      <c r="K67" s="12">
        <f t="shared" ref="K67:K85" si="6">IFERROR(J67/I67-1,0)</f>
        <v>-6.2695924764890276E-2</v>
      </c>
      <c r="L67" s="2">
        <f>VLOOKUP(A:A,MASTER!A:D,4,0)</f>
        <v>3</v>
      </c>
      <c r="M67" s="2">
        <f>VLOOKUP(A:A,MASTER!A:I,9,0)</f>
        <v>4</v>
      </c>
      <c r="N67" s="12">
        <f t="shared" ref="N67:N85" si="7">IFERROR(M67/L67-1,0)</f>
        <v>0.33333333333333326</v>
      </c>
      <c r="O67" s="1">
        <f>VLOOKUP(A:A,MASTER!A:C,3,0)</f>
        <v>1</v>
      </c>
      <c r="P67" s="1">
        <f>VLOOKUP(A:A,MASTER!A:H,8,0)</f>
        <v>2</v>
      </c>
      <c r="Q67" s="12">
        <f t="shared" ref="Q67:Q85" si="8">IFERROR(P67/O67-1,0)</f>
        <v>1</v>
      </c>
      <c r="R67" s="1">
        <f>VLOOKUP(A:A,MASTER!A:B,2,0)</f>
        <v>736</v>
      </c>
      <c r="S67">
        <f>VLOOKUP(A:A,MASTER!A:G,7,0)</f>
        <v>794</v>
      </c>
      <c r="T67" s="12">
        <f t="shared" ref="T67:T85" si="9">IFERROR(S67/R67-1,0)</f>
        <v>7.8804347826086918E-2</v>
      </c>
      <c r="U67">
        <v>3</v>
      </c>
    </row>
    <row r="68" spans="1:21" x14ac:dyDescent="0.35">
      <c r="A68" t="s">
        <v>162</v>
      </c>
      <c r="B68" t="s">
        <v>163</v>
      </c>
      <c r="C68" t="s">
        <v>4</v>
      </c>
      <c r="D68" t="s">
        <v>151</v>
      </c>
      <c r="E68" t="s">
        <v>182</v>
      </c>
      <c r="F68" s="1">
        <f>VLOOKUP(A:A,MASTER!A:F,6,0)</f>
        <v>23873577.731227577</v>
      </c>
      <c r="G68" s="1">
        <f>VLOOKUP(A:A,MASTER!A:K,11,0)</f>
        <v>25445366.118607964</v>
      </c>
      <c r="H68" s="12">
        <f t="shared" si="5"/>
        <v>6.5837990647058531E-2</v>
      </c>
      <c r="I68" s="2">
        <f>VLOOKUP(A:A,MASTER!A:E,5,0)</f>
        <v>842</v>
      </c>
      <c r="J68" s="2">
        <f>VLOOKUP(A:A,MASTER!A:J,10,0)</f>
        <v>959</v>
      </c>
      <c r="K68" s="12">
        <f t="shared" si="6"/>
        <v>0.13895486935866974</v>
      </c>
      <c r="L68" s="2">
        <f>VLOOKUP(A:A,MASTER!A:D,4,0)</f>
        <v>4</v>
      </c>
      <c r="M68" s="2">
        <f>VLOOKUP(A:A,MASTER!A:I,9,0)</f>
        <v>5</v>
      </c>
      <c r="N68" s="12">
        <f t="shared" si="7"/>
        <v>0.25</v>
      </c>
      <c r="O68" s="1">
        <f>VLOOKUP(A:A,MASTER!A:C,3,0)</f>
        <v>19</v>
      </c>
      <c r="P68" s="1">
        <f>VLOOKUP(A:A,MASTER!A:H,8,0)</f>
        <v>1</v>
      </c>
      <c r="Q68" s="12">
        <f t="shared" si="8"/>
        <v>-0.94736842105263164</v>
      </c>
      <c r="R68" s="1">
        <f>VLOOKUP(A:A,MASTER!A:B,2,0)</f>
        <v>1367</v>
      </c>
      <c r="S68">
        <f>VLOOKUP(A:A,MASTER!A:G,7,0)</f>
        <v>1464</v>
      </c>
      <c r="T68" s="12">
        <f t="shared" si="9"/>
        <v>7.0958302852962785E-2</v>
      </c>
      <c r="U68">
        <v>4</v>
      </c>
    </row>
    <row r="69" spans="1:21" x14ac:dyDescent="0.35">
      <c r="A69" t="s">
        <v>63</v>
      </c>
      <c r="B69" t="s">
        <v>64</v>
      </c>
      <c r="C69" t="s">
        <v>22</v>
      </c>
      <c r="D69" t="s">
        <v>23</v>
      </c>
      <c r="E69" t="s">
        <v>182</v>
      </c>
      <c r="F69" s="1">
        <f>VLOOKUP(A:A,MASTER!A:F,6,0)</f>
        <v>14656833.663769012</v>
      </c>
      <c r="G69" s="1">
        <f>VLOOKUP(A:A,MASTER!A:K,11,0)</f>
        <v>20167933.173738983</v>
      </c>
      <c r="H69" s="12">
        <f t="shared" si="5"/>
        <v>0.37600887315745024</v>
      </c>
      <c r="I69" s="2">
        <f>VLOOKUP(A:A,MASTER!A:E,5,0)</f>
        <v>982</v>
      </c>
      <c r="J69" s="2">
        <f>VLOOKUP(A:A,MASTER!A:J,10,0)</f>
        <v>1241</v>
      </c>
      <c r="K69" s="12">
        <f t="shared" si="6"/>
        <v>0.26374745417515277</v>
      </c>
      <c r="L69" s="2">
        <f>VLOOKUP(A:A,MASTER!A:D,4,0)</f>
        <v>5</v>
      </c>
      <c r="M69" s="2">
        <f>VLOOKUP(A:A,MASTER!A:I,9,0)</f>
        <v>4</v>
      </c>
      <c r="N69" s="12">
        <f t="shared" si="7"/>
        <v>-0.19999999999999996</v>
      </c>
      <c r="O69" s="1">
        <f>VLOOKUP(A:A,MASTER!A:C,3,0)</f>
        <v>2</v>
      </c>
      <c r="P69" s="1">
        <f>VLOOKUP(A:A,MASTER!A:H,8,0)</f>
        <v>2</v>
      </c>
      <c r="Q69" s="12">
        <f t="shared" si="8"/>
        <v>0</v>
      </c>
      <c r="R69" s="1">
        <f>VLOOKUP(A:A,MASTER!A:B,2,0)</f>
        <v>1283</v>
      </c>
      <c r="S69">
        <f>VLOOKUP(A:A,MASTER!A:G,7,0)</f>
        <v>1320</v>
      </c>
      <c r="T69" s="12">
        <f t="shared" si="9"/>
        <v>2.8838659392049992E-2</v>
      </c>
      <c r="U69">
        <v>4</v>
      </c>
    </row>
    <row r="70" spans="1:21" x14ac:dyDescent="0.35">
      <c r="A70" t="s">
        <v>59</v>
      </c>
      <c r="B70" t="s">
        <v>60</v>
      </c>
      <c r="C70" t="s">
        <v>22</v>
      </c>
      <c r="D70" t="s">
        <v>23</v>
      </c>
      <c r="E70" t="s">
        <v>182</v>
      </c>
      <c r="F70" s="1">
        <f>VLOOKUP(A:A,MASTER!A:F,6,0)</f>
        <v>43203204.558727421</v>
      </c>
      <c r="G70" s="1">
        <f>VLOOKUP(A:A,MASTER!A:K,11,0)</f>
        <v>45274446.644820362</v>
      </c>
      <c r="H70" s="12">
        <f t="shared" si="5"/>
        <v>4.7941862351378095E-2</v>
      </c>
      <c r="I70" s="2">
        <f>VLOOKUP(A:A,MASTER!A:E,5,0)</f>
        <v>1213</v>
      </c>
      <c r="J70" s="2">
        <f>VLOOKUP(A:A,MASTER!A:J,10,0)</f>
        <v>1271</v>
      </c>
      <c r="K70" s="12">
        <f t="shared" si="6"/>
        <v>4.7815333882934796E-2</v>
      </c>
      <c r="L70" s="2">
        <f>VLOOKUP(A:A,MASTER!A:D,4,0)</f>
        <v>4</v>
      </c>
      <c r="M70" s="2">
        <f>VLOOKUP(A:A,MASTER!A:I,9,0)</f>
        <v>7</v>
      </c>
      <c r="N70" s="12">
        <f t="shared" si="7"/>
        <v>0.75</v>
      </c>
      <c r="O70" s="1">
        <f>VLOOKUP(A:A,MASTER!A:C,3,0)</f>
        <v>8</v>
      </c>
      <c r="P70" s="1">
        <f>VLOOKUP(A:A,MASTER!A:H,8,0)</f>
        <v>9</v>
      </c>
      <c r="Q70" s="12">
        <f t="shared" si="8"/>
        <v>0.125</v>
      </c>
      <c r="R70" s="1">
        <f>VLOOKUP(A:A,MASTER!A:B,2,0)</f>
        <v>1745</v>
      </c>
      <c r="S70">
        <f>VLOOKUP(A:A,MASTER!A:G,7,0)</f>
        <v>1778</v>
      </c>
      <c r="T70" s="12">
        <f t="shared" si="9"/>
        <v>1.8911174785100293E-2</v>
      </c>
      <c r="U70">
        <v>4</v>
      </c>
    </row>
    <row r="71" spans="1:21" x14ac:dyDescent="0.35">
      <c r="A71" t="s">
        <v>139</v>
      </c>
      <c r="B71" t="s">
        <v>140</v>
      </c>
      <c r="C71" t="s">
        <v>22</v>
      </c>
      <c r="D71" t="s">
        <v>69</v>
      </c>
      <c r="E71" t="s">
        <v>180</v>
      </c>
      <c r="F71" s="1">
        <f>VLOOKUP(A:A,MASTER!A:F,6,0)</f>
        <v>8716800.0374078844</v>
      </c>
      <c r="G71" s="1">
        <f>VLOOKUP(A:A,MASTER!A:K,11,0)</f>
        <v>8336159.5331871547</v>
      </c>
      <c r="H71" s="12">
        <f t="shared" si="5"/>
        <v>-4.3667458538365289E-2</v>
      </c>
      <c r="I71" s="2">
        <f>VLOOKUP(A:A,MASTER!A:E,5,0)</f>
        <v>629</v>
      </c>
      <c r="J71" s="2">
        <f>VLOOKUP(A:A,MASTER!A:J,10,0)</f>
        <v>421</v>
      </c>
      <c r="K71" s="12">
        <f t="shared" si="6"/>
        <v>-0.33068362480127189</v>
      </c>
      <c r="L71" s="2">
        <f>VLOOKUP(A:A,MASTER!A:D,4,0)</f>
        <v>1</v>
      </c>
      <c r="M71" s="2">
        <f>VLOOKUP(A:A,MASTER!A:I,9,0)</f>
        <v>1</v>
      </c>
      <c r="N71" s="12">
        <f t="shared" si="7"/>
        <v>0</v>
      </c>
      <c r="O71" s="1">
        <f>VLOOKUP(A:A,MASTER!A:C,3,0)</f>
        <v>2</v>
      </c>
      <c r="P71" s="1">
        <f>VLOOKUP(A:A,MASTER!A:H,8,0)</f>
        <v>4</v>
      </c>
      <c r="Q71" s="12">
        <f t="shared" si="8"/>
        <v>1</v>
      </c>
      <c r="R71" s="1">
        <f>VLOOKUP(A:A,MASTER!A:B,2,0)</f>
        <v>515</v>
      </c>
      <c r="S71">
        <f>VLOOKUP(A:A,MASTER!A:G,7,0)</f>
        <v>489</v>
      </c>
      <c r="T71" s="12">
        <f t="shared" si="9"/>
        <v>-5.0485436893203839E-2</v>
      </c>
      <c r="U71">
        <v>1</v>
      </c>
    </row>
    <row r="72" spans="1:21" x14ac:dyDescent="0.35">
      <c r="A72" t="s">
        <v>170</v>
      </c>
      <c r="B72" t="s">
        <v>171</v>
      </c>
      <c r="C72" t="s">
        <v>4</v>
      </c>
      <c r="D72" t="s">
        <v>5</v>
      </c>
      <c r="E72" t="s">
        <v>182</v>
      </c>
      <c r="F72" s="1">
        <f>VLOOKUP(A:A,MASTER!A:F,6,0)</f>
        <v>13419610.797755742</v>
      </c>
      <c r="G72" s="1">
        <f>VLOOKUP(A:A,MASTER!A:K,11,0)</f>
        <v>16320737.705918368</v>
      </c>
      <c r="H72" s="12">
        <f t="shared" si="5"/>
        <v>0.21618562206348058</v>
      </c>
      <c r="I72" s="2">
        <f>VLOOKUP(A:A,MASTER!A:E,5,0)</f>
        <v>669</v>
      </c>
      <c r="J72" s="2">
        <f>VLOOKUP(A:A,MASTER!A:J,10,0)</f>
        <v>897</v>
      </c>
      <c r="K72" s="12">
        <f t="shared" si="6"/>
        <v>0.34080717488789247</v>
      </c>
      <c r="L72" s="2">
        <f>VLOOKUP(A:A,MASTER!A:D,4,0)</f>
        <v>1</v>
      </c>
      <c r="M72" s="2">
        <f>VLOOKUP(A:A,MASTER!A:I,9,0)</f>
        <v>0</v>
      </c>
      <c r="N72" s="12">
        <f t="shared" si="7"/>
        <v>-1</v>
      </c>
      <c r="O72" s="1">
        <f>VLOOKUP(A:A,MASTER!A:C,3,0)</f>
        <v>3</v>
      </c>
      <c r="P72" s="1">
        <f>VLOOKUP(A:A,MASTER!A:H,8,0)</f>
        <v>1</v>
      </c>
      <c r="Q72" s="12">
        <f t="shared" si="8"/>
        <v>-0.66666666666666674</v>
      </c>
      <c r="R72" s="1">
        <f>VLOOKUP(A:A,MASTER!A:B,2,0)</f>
        <v>882</v>
      </c>
      <c r="S72">
        <f>VLOOKUP(A:A,MASTER!A:G,7,0)</f>
        <v>896</v>
      </c>
      <c r="T72" s="12">
        <f t="shared" si="9"/>
        <v>1.5873015873015817E-2</v>
      </c>
      <c r="U72">
        <v>3</v>
      </c>
    </row>
    <row r="73" spans="1:21" x14ac:dyDescent="0.35">
      <c r="A73" t="s">
        <v>61</v>
      </c>
      <c r="B73" t="s">
        <v>62</v>
      </c>
      <c r="C73" t="s">
        <v>22</v>
      </c>
      <c r="D73" t="s">
        <v>23</v>
      </c>
      <c r="E73" t="s">
        <v>182</v>
      </c>
      <c r="F73" s="1">
        <f>VLOOKUP(A:A,MASTER!A:F,6,0)</f>
        <v>13406864.351865375</v>
      </c>
      <c r="G73" s="1">
        <f>VLOOKUP(A:A,MASTER!A:K,11,0)</f>
        <v>14939900.890034296</v>
      </c>
      <c r="H73" s="12">
        <f t="shared" si="5"/>
        <v>0.11434713576076572</v>
      </c>
      <c r="I73" s="2">
        <f>VLOOKUP(A:A,MASTER!A:E,5,0)</f>
        <v>485</v>
      </c>
      <c r="J73" s="2">
        <f>VLOOKUP(A:A,MASTER!A:J,10,0)</f>
        <v>488</v>
      </c>
      <c r="K73" s="12">
        <f t="shared" si="6"/>
        <v>6.1855670103092564E-3</v>
      </c>
      <c r="L73" s="2">
        <f>VLOOKUP(A:A,MASTER!A:D,4,0)</f>
        <v>3</v>
      </c>
      <c r="M73" s="2">
        <f>VLOOKUP(A:A,MASTER!A:I,9,0)</f>
        <v>3</v>
      </c>
      <c r="N73" s="12">
        <f t="shared" si="7"/>
        <v>0</v>
      </c>
      <c r="O73" s="1">
        <f>VLOOKUP(A:A,MASTER!A:C,3,0)</f>
        <v>0</v>
      </c>
      <c r="P73" s="1">
        <f>VLOOKUP(A:A,MASTER!A:H,8,0)</f>
        <v>2</v>
      </c>
      <c r="Q73" s="12">
        <f t="shared" si="8"/>
        <v>0</v>
      </c>
      <c r="R73" s="1">
        <f>VLOOKUP(A:A,MASTER!A:B,2,0)</f>
        <v>652</v>
      </c>
      <c r="S73">
        <f>VLOOKUP(A:A,MASTER!A:G,7,0)</f>
        <v>635</v>
      </c>
      <c r="T73" s="12">
        <f t="shared" si="9"/>
        <v>-2.6073619631901801E-2</v>
      </c>
      <c r="U73">
        <v>7</v>
      </c>
    </row>
    <row r="74" spans="1:21" x14ac:dyDescent="0.35">
      <c r="A74" t="s">
        <v>129</v>
      </c>
      <c r="B74" t="s">
        <v>130</v>
      </c>
      <c r="C74" t="s">
        <v>22</v>
      </c>
      <c r="D74" t="s">
        <v>69</v>
      </c>
      <c r="E74" t="s">
        <v>180</v>
      </c>
      <c r="F74" s="1">
        <f>VLOOKUP(A:A,MASTER!A:F,6,0)</f>
        <v>11044050.643039128</v>
      </c>
      <c r="G74" s="1">
        <f>VLOOKUP(A:A,MASTER!A:K,11,0)</f>
        <v>9544700.5587438848</v>
      </c>
      <c r="H74" s="12">
        <f t="shared" si="5"/>
        <v>-0.13576088454830271</v>
      </c>
      <c r="I74" s="2">
        <f>VLOOKUP(A:A,MASTER!A:E,5,0)</f>
        <v>710</v>
      </c>
      <c r="J74" s="2">
        <f>VLOOKUP(A:A,MASTER!A:J,10,0)</f>
        <v>1030</v>
      </c>
      <c r="K74" s="12">
        <f t="shared" si="6"/>
        <v>0.45070422535211274</v>
      </c>
      <c r="L74" s="2">
        <f>VLOOKUP(A:A,MASTER!A:D,4,0)</f>
        <v>1</v>
      </c>
      <c r="M74" s="2">
        <f>VLOOKUP(A:A,MASTER!A:I,9,0)</f>
        <v>1</v>
      </c>
      <c r="N74" s="12">
        <f t="shared" si="7"/>
        <v>0</v>
      </c>
      <c r="O74" s="1">
        <f>VLOOKUP(A:A,MASTER!A:C,3,0)</f>
        <v>5</v>
      </c>
      <c r="P74" s="1">
        <f>VLOOKUP(A:A,MASTER!A:H,8,0)</f>
        <v>4</v>
      </c>
      <c r="Q74" s="12">
        <f t="shared" si="8"/>
        <v>-0.19999999999999996</v>
      </c>
      <c r="R74" s="1">
        <f>VLOOKUP(A:A,MASTER!A:B,2,0)</f>
        <v>601</v>
      </c>
      <c r="S74">
        <f>VLOOKUP(A:A,MASTER!A:G,7,0)</f>
        <v>605</v>
      </c>
      <c r="T74" s="12">
        <f t="shared" si="9"/>
        <v>6.6555740432612254E-3</v>
      </c>
      <c r="U74">
        <v>1</v>
      </c>
    </row>
    <row r="75" spans="1:21" x14ac:dyDescent="0.35">
      <c r="A75" t="s">
        <v>35</v>
      </c>
      <c r="B75" t="s">
        <v>36</v>
      </c>
      <c r="C75" t="s">
        <v>4</v>
      </c>
      <c r="D75" t="s">
        <v>5</v>
      </c>
      <c r="E75" t="s">
        <v>180</v>
      </c>
      <c r="F75" s="1">
        <f>VLOOKUP(A:A,MASTER!A:F,6,0)</f>
        <v>11871515.03801666</v>
      </c>
      <c r="G75" s="1">
        <f>VLOOKUP(A:A,MASTER!A:K,11,0)</f>
        <v>10204824.002210468</v>
      </c>
      <c r="H75" s="12">
        <f t="shared" si="5"/>
        <v>-0.14039413086441588</v>
      </c>
      <c r="I75" s="2">
        <f>VLOOKUP(A:A,MASTER!A:E,5,0)</f>
        <v>251</v>
      </c>
      <c r="J75" s="2">
        <f>VLOOKUP(A:A,MASTER!A:J,10,0)</f>
        <v>464</v>
      </c>
      <c r="K75" s="12">
        <f t="shared" si="6"/>
        <v>0.84860557768924294</v>
      </c>
      <c r="L75" s="2">
        <f>VLOOKUP(A:A,MASTER!A:D,4,0)</f>
        <v>7</v>
      </c>
      <c r="M75" s="2">
        <f>VLOOKUP(A:A,MASTER!A:I,9,0)</f>
        <v>7</v>
      </c>
      <c r="N75" s="12">
        <f t="shared" si="7"/>
        <v>0</v>
      </c>
      <c r="O75" s="1">
        <f>VLOOKUP(A:A,MASTER!A:C,3,0)</f>
        <v>0</v>
      </c>
      <c r="P75" s="1">
        <f>VLOOKUP(A:A,MASTER!A:H,8,0)</f>
        <v>2</v>
      </c>
      <c r="Q75" s="12">
        <f t="shared" si="8"/>
        <v>0</v>
      </c>
      <c r="R75" s="1">
        <f>VLOOKUP(A:A,MASTER!A:B,2,0)</f>
        <v>447</v>
      </c>
      <c r="S75">
        <f>VLOOKUP(A:A,MASTER!A:G,7,0)</f>
        <v>440</v>
      </c>
      <c r="T75" s="12">
        <f t="shared" si="9"/>
        <v>-1.5659955257270708E-2</v>
      </c>
      <c r="U75">
        <v>0</v>
      </c>
    </row>
    <row r="76" spans="1:21" x14ac:dyDescent="0.35">
      <c r="A76" t="s">
        <v>107</v>
      </c>
      <c r="B76" t="s">
        <v>108</v>
      </c>
      <c r="C76" t="s">
        <v>4</v>
      </c>
      <c r="D76" t="s">
        <v>26</v>
      </c>
      <c r="E76" t="s">
        <v>182</v>
      </c>
      <c r="F76" s="1">
        <f>VLOOKUP(A:A,MASTER!A:F,6,0)</f>
        <v>31261131.096501935</v>
      </c>
      <c r="G76" s="1">
        <f>VLOOKUP(A:A,MASTER!A:K,11,0)</f>
        <v>23598904.180730466</v>
      </c>
      <c r="H76" s="12">
        <f t="shared" si="5"/>
        <v>-0.24510395647932459</v>
      </c>
      <c r="I76" s="2">
        <f>VLOOKUP(A:A,MASTER!A:E,5,0)</f>
        <v>735</v>
      </c>
      <c r="J76" s="2">
        <f>VLOOKUP(A:A,MASTER!A:J,10,0)</f>
        <v>530</v>
      </c>
      <c r="K76" s="12">
        <f t="shared" si="6"/>
        <v>-0.27891156462585032</v>
      </c>
      <c r="L76" s="2">
        <f>VLOOKUP(A:A,MASTER!A:D,4,0)</f>
        <v>3</v>
      </c>
      <c r="M76" s="2">
        <f>VLOOKUP(A:A,MASTER!A:I,9,0)</f>
        <v>2</v>
      </c>
      <c r="N76" s="12">
        <f t="shared" si="7"/>
        <v>-0.33333333333333337</v>
      </c>
      <c r="O76" s="1">
        <f>VLOOKUP(A:A,MASTER!A:C,3,0)</f>
        <v>4</v>
      </c>
      <c r="P76" s="1">
        <f>VLOOKUP(A:A,MASTER!A:H,8,0)</f>
        <v>5</v>
      </c>
      <c r="Q76" s="12">
        <f t="shared" si="8"/>
        <v>0.25</v>
      </c>
      <c r="R76" s="1">
        <f>VLOOKUP(A:A,MASTER!A:B,2,0)</f>
        <v>942</v>
      </c>
      <c r="S76">
        <f>VLOOKUP(A:A,MASTER!A:G,7,0)</f>
        <v>848</v>
      </c>
      <c r="T76" s="12">
        <f t="shared" si="9"/>
        <v>-9.9787685774946899E-2</v>
      </c>
      <c r="U76">
        <v>4</v>
      </c>
    </row>
    <row r="77" spans="1:21" x14ac:dyDescent="0.35">
      <c r="A77" t="s">
        <v>37</v>
      </c>
      <c r="B77" t="s">
        <v>38</v>
      </c>
      <c r="C77" t="s">
        <v>4</v>
      </c>
      <c r="D77" t="s">
        <v>5</v>
      </c>
      <c r="E77" t="s">
        <v>182</v>
      </c>
      <c r="F77" s="1">
        <f>VLOOKUP(A:A,MASTER!A:F,6,0)</f>
        <v>18891602.264381222</v>
      </c>
      <c r="G77" s="1">
        <f>VLOOKUP(A:A,MASTER!A:K,11,0)</f>
        <v>19211296.435092594</v>
      </c>
      <c r="H77" s="12">
        <f t="shared" si="5"/>
        <v>1.6922554595283579E-2</v>
      </c>
      <c r="I77" s="2">
        <f>VLOOKUP(A:A,MASTER!A:E,5,0)</f>
        <v>2118</v>
      </c>
      <c r="J77" s="2">
        <f>VLOOKUP(A:A,MASTER!A:J,10,0)</f>
        <v>692</v>
      </c>
      <c r="K77" s="12">
        <f t="shared" si="6"/>
        <v>-0.67327667610953723</v>
      </c>
      <c r="L77" s="2">
        <f>VLOOKUP(A:A,MASTER!A:D,4,0)</f>
        <v>10</v>
      </c>
      <c r="M77" s="2">
        <f>VLOOKUP(A:A,MASTER!A:I,9,0)</f>
        <v>9</v>
      </c>
      <c r="N77" s="12">
        <f t="shared" si="7"/>
        <v>-9.9999999999999978E-2</v>
      </c>
      <c r="O77" s="1">
        <f>VLOOKUP(A:A,MASTER!A:C,3,0)</f>
        <v>2</v>
      </c>
      <c r="P77" s="1">
        <f>VLOOKUP(A:A,MASTER!A:H,8,0)</f>
        <v>3</v>
      </c>
      <c r="Q77" s="12">
        <f t="shared" si="8"/>
        <v>0.5</v>
      </c>
      <c r="R77" s="1">
        <f>VLOOKUP(A:A,MASTER!A:B,2,0)</f>
        <v>772</v>
      </c>
      <c r="S77">
        <f>VLOOKUP(A:A,MASTER!A:G,7,0)</f>
        <v>776</v>
      </c>
      <c r="T77" s="12">
        <f t="shared" si="9"/>
        <v>5.1813471502590858E-3</v>
      </c>
      <c r="U77">
        <v>2</v>
      </c>
    </row>
    <row r="78" spans="1:21" x14ac:dyDescent="0.35">
      <c r="A78" t="s">
        <v>76</v>
      </c>
      <c r="B78" t="s">
        <v>77</v>
      </c>
      <c r="C78" t="s">
        <v>22</v>
      </c>
      <c r="D78" t="s">
        <v>23</v>
      </c>
      <c r="E78" t="s">
        <v>182</v>
      </c>
      <c r="F78" s="1">
        <f>VLOOKUP(A:A,MASTER!A:F,6,0)</f>
        <v>15118369.682815623</v>
      </c>
      <c r="G78" s="1">
        <f>VLOOKUP(A:A,MASTER!A:K,11,0)</f>
        <v>15852572.06871303</v>
      </c>
      <c r="H78" s="12">
        <f t="shared" si="5"/>
        <v>4.8563595235532775E-2</v>
      </c>
      <c r="I78" s="2">
        <f>VLOOKUP(A:A,MASTER!A:E,5,0)</f>
        <v>855</v>
      </c>
      <c r="J78" s="2">
        <f>VLOOKUP(A:A,MASTER!A:J,10,0)</f>
        <v>952</v>
      </c>
      <c r="K78" s="12">
        <f t="shared" si="6"/>
        <v>0.1134502923976608</v>
      </c>
      <c r="L78" s="2">
        <f>VLOOKUP(A:A,MASTER!A:D,4,0)</f>
        <v>2</v>
      </c>
      <c r="M78" s="2">
        <f>VLOOKUP(A:A,MASTER!A:I,9,0)</f>
        <v>2</v>
      </c>
      <c r="N78" s="12">
        <f t="shared" si="7"/>
        <v>0</v>
      </c>
      <c r="O78" s="1">
        <f>VLOOKUP(A:A,MASTER!A:C,3,0)</f>
        <v>1</v>
      </c>
      <c r="P78" s="1">
        <f>VLOOKUP(A:A,MASTER!A:H,8,0)</f>
        <v>2</v>
      </c>
      <c r="Q78" s="12">
        <f t="shared" si="8"/>
        <v>1</v>
      </c>
      <c r="R78" s="1">
        <f>VLOOKUP(A:A,MASTER!A:B,2,0)</f>
        <v>960</v>
      </c>
      <c r="S78">
        <f>VLOOKUP(A:A,MASTER!A:G,7,0)</f>
        <v>952</v>
      </c>
      <c r="T78" s="12">
        <f t="shared" si="9"/>
        <v>-8.3333333333333037E-3</v>
      </c>
      <c r="U78">
        <v>3</v>
      </c>
    </row>
    <row r="79" spans="1:21" x14ac:dyDescent="0.35">
      <c r="A79" t="s">
        <v>65</v>
      </c>
      <c r="B79" t="s">
        <v>66</v>
      </c>
      <c r="C79" t="s">
        <v>22</v>
      </c>
      <c r="D79" t="s">
        <v>23</v>
      </c>
      <c r="E79" t="s">
        <v>182</v>
      </c>
      <c r="F79" s="1">
        <f>VLOOKUP(A:A,MASTER!A:F,6,0)</f>
        <v>14524187.856017128</v>
      </c>
      <c r="G79" s="1">
        <f>VLOOKUP(A:A,MASTER!A:K,11,0)</f>
        <v>18906157.439068951</v>
      </c>
      <c r="H79" s="12">
        <f t="shared" si="5"/>
        <v>0.30170152207418921</v>
      </c>
      <c r="I79" s="2">
        <f>VLOOKUP(A:A,MASTER!A:E,5,0)</f>
        <v>842</v>
      </c>
      <c r="J79" s="2">
        <f>VLOOKUP(A:A,MASTER!A:J,10,0)</f>
        <v>849</v>
      </c>
      <c r="K79" s="12">
        <f t="shared" si="6"/>
        <v>8.3135391923989665E-3</v>
      </c>
      <c r="L79" s="2">
        <f>VLOOKUP(A:A,MASTER!A:D,4,0)</f>
        <v>5</v>
      </c>
      <c r="M79" s="2">
        <f>VLOOKUP(A:A,MASTER!A:I,9,0)</f>
        <v>4</v>
      </c>
      <c r="N79" s="12">
        <f t="shared" si="7"/>
        <v>-0.19999999999999996</v>
      </c>
      <c r="O79" s="1">
        <f>VLOOKUP(A:A,MASTER!A:C,3,0)</f>
        <v>2</v>
      </c>
      <c r="P79" s="1">
        <f>VLOOKUP(A:A,MASTER!A:H,8,0)</f>
        <v>1</v>
      </c>
      <c r="Q79" s="12">
        <f t="shared" si="8"/>
        <v>-0.5</v>
      </c>
      <c r="R79" s="1">
        <f>VLOOKUP(A:A,MASTER!A:B,2,0)</f>
        <v>996</v>
      </c>
      <c r="S79">
        <f>VLOOKUP(A:A,MASTER!A:G,7,0)</f>
        <v>968</v>
      </c>
      <c r="T79" s="12">
        <f t="shared" si="9"/>
        <v>-2.8112449799196804E-2</v>
      </c>
      <c r="U79">
        <v>3</v>
      </c>
    </row>
    <row r="80" spans="1:21" x14ac:dyDescent="0.35">
      <c r="A80" t="s">
        <v>89</v>
      </c>
      <c r="B80" t="s">
        <v>90</v>
      </c>
      <c r="C80" t="s">
        <v>4</v>
      </c>
      <c r="D80" t="s">
        <v>26</v>
      </c>
      <c r="E80" t="s">
        <v>182</v>
      </c>
      <c r="F80" s="1">
        <f>VLOOKUP(A:A,MASTER!A:F,6,0)</f>
        <v>19671552.708550803</v>
      </c>
      <c r="G80" s="1">
        <f>VLOOKUP(A:A,MASTER!A:K,11,0)</f>
        <v>22132214.210737165</v>
      </c>
      <c r="H80" s="12">
        <f t="shared" si="5"/>
        <v>0.12508730442598792</v>
      </c>
      <c r="I80" s="2">
        <f>VLOOKUP(A:A,MASTER!A:E,5,0)</f>
        <v>408</v>
      </c>
      <c r="J80" s="2">
        <f>VLOOKUP(A:A,MASTER!A:J,10,0)</f>
        <v>759</v>
      </c>
      <c r="K80" s="12">
        <f t="shared" si="6"/>
        <v>0.86029411764705888</v>
      </c>
      <c r="L80" s="2">
        <f>VLOOKUP(A:A,MASTER!A:D,4,0)</f>
        <v>6</v>
      </c>
      <c r="M80" s="2">
        <f>VLOOKUP(A:A,MASTER!A:I,9,0)</f>
        <v>7</v>
      </c>
      <c r="N80" s="12">
        <f t="shared" si="7"/>
        <v>0.16666666666666674</v>
      </c>
      <c r="O80" s="1">
        <f>VLOOKUP(A:A,MASTER!A:C,3,0)</f>
        <v>2</v>
      </c>
      <c r="P80" s="1">
        <f>VLOOKUP(A:A,MASTER!A:H,8,0)</f>
        <v>2</v>
      </c>
      <c r="Q80" s="12">
        <f t="shared" si="8"/>
        <v>0</v>
      </c>
      <c r="R80" s="1">
        <f>VLOOKUP(A:A,MASTER!A:B,2,0)</f>
        <v>757</v>
      </c>
      <c r="S80">
        <f>VLOOKUP(A:A,MASTER!A:G,7,0)</f>
        <v>765</v>
      </c>
      <c r="T80" s="12">
        <f t="shared" si="9"/>
        <v>1.0568031704095038E-2</v>
      </c>
      <c r="U80">
        <v>3</v>
      </c>
    </row>
    <row r="81" spans="1:21" x14ac:dyDescent="0.35">
      <c r="A81" t="s">
        <v>147</v>
      </c>
      <c r="B81" t="s">
        <v>148</v>
      </c>
      <c r="C81" t="s">
        <v>22</v>
      </c>
      <c r="D81" t="s">
        <v>69</v>
      </c>
      <c r="E81" t="s">
        <v>180</v>
      </c>
      <c r="F81" s="1">
        <f>VLOOKUP(A:A,MASTER!A:F,6,0)</f>
        <v>9375082.9609405603</v>
      </c>
      <c r="G81" s="1">
        <f>VLOOKUP(A:A,MASTER!A:K,11,0)</f>
        <v>8934225.0752158221</v>
      </c>
      <c r="H81" s="12">
        <f t="shared" si="5"/>
        <v>-4.7024425016982341E-2</v>
      </c>
      <c r="I81" s="2">
        <f>VLOOKUP(A:A,MASTER!A:E,5,0)</f>
        <v>540</v>
      </c>
      <c r="J81" s="2">
        <f>VLOOKUP(A:A,MASTER!A:J,10,0)</f>
        <v>493</v>
      </c>
      <c r="K81" s="12">
        <f t="shared" si="6"/>
        <v>-8.7037037037037024E-2</v>
      </c>
      <c r="L81" s="2">
        <f>VLOOKUP(A:A,MASTER!A:D,4,0)</f>
        <v>1</v>
      </c>
      <c r="M81" s="2">
        <f>VLOOKUP(A:A,MASTER!A:I,9,0)</f>
        <v>1</v>
      </c>
      <c r="N81" s="12">
        <f t="shared" si="7"/>
        <v>0</v>
      </c>
      <c r="O81" s="1">
        <f>VLOOKUP(A:A,MASTER!A:C,3,0)</f>
        <v>1</v>
      </c>
      <c r="P81" s="1">
        <f>VLOOKUP(A:A,MASTER!A:H,8,0)</f>
        <v>4</v>
      </c>
      <c r="Q81" s="12">
        <f t="shared" si="8"/>
        <v>3</v>
      </c>
      <c r="R81" s="1">
        <f>VLOOKUP(A:A,MASTER!A:B,2,0)</f>
        <v>569</v>
      </c>
      <c r="S81">
        <f>VLOOKUP(A:A,MASTER!A:G,7,0)</f>
        <v>546</v>
      </c>
      <c r="T81" s="12">
        <f t="shared" si="9"/>
        <v>-4.0421792618629215E-2</v>
      </c>
      <c r="U81">
        <v>0</v>
      </c>
    </row>
    <row r="82" spans="1:21" x14ac:dyDescent="0.35">
      <c r="A82" t="s">
        <v>164</v>
      </c>
      <c r="B82" t="s">
        <v>165</v>
      </c>
      <c r="C82" t="s">
        <v>4</v>
      </c>
      <c r="D82" t="s">
        <v>151</v>
      </c>
      <c r="E82" t="s">
        <v>182</v>
      </c>
      <c r="F82" s="1">
        <f>VLOOKUP(A:A,MASTER!A:F,6,0)</f>
        <v>38701029.284727588</v>
      </c>
      <c r="G82" s="1">
        <f>VLOOKUP(A:A,MASTER!A:K,11,0)</f>
        <v>46989513.872192614</v>
      </c>
      <c r="H82" s="12">
        <f t="shared" si="5"/>
        <v>0.21416703226381295</v>
      </c>
      <c r="I82" s="2">
        <f>VLOOKUP(A:A,MASTER!A:E,5,0)</f>
        <v>1316</v>
      </c>
      <c r="J82" s="2">
        <f>VLOOKUP(A:A,MASTER!A:J,10,0)</f>
        <v>1372</v>
      </c>
      <c r="K82" s="12">
        <f t="shared" si="6"/>
        <v>4.2553191489361764E-2</v>
      </c>
      <c r="L82" s="2">
        <f>VLOOKUP(A:A,MASTER!A:D,4,0)</f>
        <v>10</v>
      </c>
      <c r="M82" s="2">
        <f>VLOOKUP(A:A,MASTER!A:I,9,0)</f>
        <v>9</v>
      </c>
      <c r="N82" s="12">
        <f t="shared" si="7"/>
        <v>-9.9999999999999978E-2</v>
      </c>
      <c r="O82" s="1">
        <f>VLOOKUP(A:A,MASTER!A:C,3,0)</f>
        <v>0</v>
      </c>
      <c r="P82" s="1">
        <f>VLOOKUP(A:A,MASTER!A:H,8,0)</f>
        <v>2</v>
      </c>
      <c r="Q82" s="12">
        <f t="shared" si="8"/>
        <v>0</v>
      </c>
      <c r="R82" s="1">
        <f>VLOOKUP(A:A,MASTER!A:B,2,0)</f>
        <v>1762</v>
      </c>
      <c r="S82">
        <f>VLOOKUP(A:A,MASTER!A:G,7,0)</f>
        <v>1783</v>
      </c>
      <c r="T82" s="12">
        <f t="shared" si="9"/>
        <v>1.191827468785478E-2</v>
      </c>
      <c r="U82">
        <v>2</v>
      </c>
    </row>
    <row r="83" spans="1:21" x14ac:dyDescent="0.35">
      <c r="A83" t="s">
        <v>91</v>
      </c>
      <c r="B83" t="s">
        <v>92</v>
      </c>
      <c r="C83" t="s">
        <v>4</v>
      </c>
      <c r="D83" t="s">
        <v>26</v>
      </c>
      <c r="E83" t="s">
        <v>180</v>
      </c>
      <c r="F83" s="1">
        <f>VLOOKUP(A:A,MASTER!A:F,6,0)</f>
        <v>8622190.9655356202</v>
      </c>
      <c r="G83" s="1">
        <f>VLOOKUP(A:A,MASTER!A:K,11,0)</f>
        <v>9986112.4448090214</v>
      </c>
      <c r="H83" s="12">
        <f t="shared" si="5"/>
        <v>0.15818734295322723</v>
      </c>
      <c r="I83" s="2">
        <f>VLOOKUP(A:A,MASTER!A:E,5,0)</f>
        <v>734</v>
      </c>
      <c r="J83" s="2">
        <f>VLOOKUP(A:A,MASTER!A:J,10,0)</f>
        <v>899</v>
      </c>
      <c r="K83" s="12">
        <f t="shared" si="6"/>
        <v>0.22479564032697552</v>
      </c>
      <c r="L83" s="2">
        <f>VLOOKUP(A:A,MASTER!A:D,4,0)</f>
        <v>3</v>
      </c>
      <c r="M83" s="2">
        <f>VLOOKUP(A:A,MASTER!A:I,9,0)</f>
        <v>3</v>
      </c>
      <c r="N83" s="12">
        <f t="shared" si="7"/>
        <v>0</v>
      </c>
      <c r="O83" s="1">
        <f>VLOOKUP(A:A,MASTER!A:C,3,0)</f>
        <v>0</v>
      </c>
      <c r="P83" s="1">
        <f>VLOOKUP(A:A,MASTER!A:H,8,0)</f>
        <v>2</v>
      </c>
      <c r="Q83" s="12">
        <f t="shared" si="8"/>
        <v>0</v>
      </c>
      <c r="R83" s="1">
        <f>VLOOKUP(A:A,MASTER!A:B,2,0)</f>
        <v>564</v>
      </c>
      <c r="S83">
        <f>VLOOKUP(A:A,MASTER!A:G,7,0)</f>
        <v>628</v>
      </c>
      <c r="T83" s="12">
        <f t="shared" si="9"/>
        <v>0.11347517730496448</v>
      </c>
      <c r="U83">
        <v>2</v>
      </c>
    </row>
    <row r="84" spans="1:21" x14ac:dyDescent="0.35">
      <c r="A84" t="s">
        <v>97</v>
      </c>
      <c r="B84" t="s">
        <v>98</v>
      </c>
      <c r="C84" t="s">
        <v>4</v>
      </c>
      <c r="D84" t="s">
        <v>26</v>
      </c>
      <c r="E84" t="s">
        <v>182</v>
      </c>
      <c r="F84" s="1">
        <f>VLOOKUP(A:A,MASTER!A:F,6,0)</f>
        <v>17495104.84190416</v>
      </c>
      <c r="G84" s="1">
        <f>VLOOKUP(A:A,MASTER!A:K,11,0)</f>
        <v>19009001.995999392</v>
      </c>
      <c r="H84" s="12">
        <f t="shared" si="5"/>
        <v>8.6532613995496277E-2</v>
      </c>
      <c r="I84" s="2">
        <f>VLOOKUP(A:A,MASTER!A:E,5,0)</f>
        <v>408</v>
      </c>
      <c r="J84" s="2">
        <f>VLOOKUP(A:A,MASTER!A:J,10,0)</f>
        <v>979</v>
      </c>
      <c r="K84" s="12">
        <f t="shared" si="6"/>
        <v>1.3995098039215685</v>
      </c>
      <c r="L84" s="2">
        <f>VLOOKUP(A:A,MASTER!A:D,4,0)</f>
        <v>7</v>
      </c>
      <c r="M84" s="2">
        <f>VLOOKUP(A:A,MASTER!A:I,9,0)</f>
        <v>8</v>
      </c>
      <c r="N84" s="12">
        <f t="shared" si="7"/>
        <v>0.14285714285714279</v>
      </c>
      <c r="O84" s="1">
        <f>VLOOKUP(A:A,MASTER!A:C,3,0)</f>
        <v>4</v>
      </c>
      <c r="P84" s="1">
        <f>VLOOKUP(A:A,MASTER!A:H,8,0)</f>
        <v>5</v>
      </c>
      <c r="Q84" s="12">
        <f t="shared" si="8"/>
        <v>0.25</v>
      </c>
      <c r="R84" s="1">
        <f>VLOOKUP(A:A,MASTER!A:B,2,0)</f>
        <v>644</v>
      </c>
      <c r="S84">
        <f>VLOOKUP(A:A,MASTER!A:G,7,0)</f>
        <v>665</v>
      </c>
      <c r="T84" s="12">
        <f t="shared" si="9"/>
        <v>3.2608695652173836E-2</v>
      </c>
      <c r="U84">
        <v>7</v>
      </c>
    </row>
    <row r="85" spans="1:21" x14ac:dyDescent="0.35">
      <c r="A85" t="s">
        <v>78</v>
      </c>
      <c r="B85" t="s">
        <v>177</v>
      </c>
      <c r="C85" t="s">
        <v>22</v>
      </c>
      <c r="D85" t="s">
        <v>23</v>
      </c>
      <c r="E85" t="s">
        <v>180</v>
      </c>
      <c r="F85" s="1">
        <f>VLOOKUP(A:A,MASTER!A:F,6,0)</f>
        <v>4317447.3459969955</v>
      </c>
      <c r="G85" s="1">
        <f>VLOOKUP(A:A,MASTER!A:K,11,0)</f>
        <v>4177363.4227665081</v>
      </c>
      <c r="H85" s="12">
        <f t="shared" si="5"/>
        <v>-3.2446006170838149E-2</v>
      </c>
      <c r="I85" s="2">
        <f>VLOOKUP(A:A,MASTER!A:E,5,0)</f>
        <v>380</v>
      </c>
      <c r="J85" s="2">
        <f>VLOOKUP(A:A,MASTER!A:J,10,0)</f>
        <v>33</v>
      </c>
      <c r="K85" s="12">
        <f t="shared" si="6"/>
        <v>-0.91315789473684206</v>
      </c>
      <c r="L85" s="2">
        <f>VLOOKUP(A:A,MASTER!A:D,4,0)</f>
        <v>1</v>
      </c>
      <c r="M85" s="2">
        <f>VLOOKUP(A:A,MASTER!A:I,9,0)</f>
        <v>1</v>
      </c>
      <c r="N85" s="12">
        <f t="shared" si="7"/>
        <v>0</v>
      </c>
      <c r="O85" s="1">
        <f>VLOOKUP(A:A,MASTER!A:C,3,0)</f>
        <v>2</v>
      </c>
      <c r="P85" s="1">
        <f>VLOOKUP(A:A,MASTER!A:H,8,0)</f>
        <v>2</v>
      </c>
      <c r="Q85" s="12">
        <f t="shared" si="8"/>
        <v>0</v>
      </c>
      <c r="R85" s="1">
        <f>VLOOKUP(A:A,MASTER!A:B,2,0)</f>
        <v>365</v>
      </c>
      <c r="S85">
        <f>VLOOKUP(A:A,MASTER!A:G,7,0)</f>
        <v>379</v>
      </c>
      <c r="T85" s="12">
        <f t="shared" si="9"/>
        <v>3.8356164383561708E-2</v>
      </c>
      <c r="U85">
        <v>2</v>
      </c>
    </row>
  </sheetData>
  <conditionalFormatting sqref="U2:U85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91"/>
  <sheetViews>
    <sheetView tabSelected="1" workbookViewId="0">
      <pane xSplit="1" ySplit="5" topLeftCell="B78" activePane="bottomRight" state="frozen"/>
      <selection pane="topRight" activeCell="B1" sqref="B1"/>
      <selection pane="bottomLeft" activeCell="A6" sqref="A6"/>
      <selection pane="bottomRight" activeCell="A5" sqref="A5:K91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84798</v>
      </c>
      <c r="C3" s="11">
        <f t="shared" si="0"/>
        <v>1001</v>
      </c>
      <c r="D3" s="11">
        <f t="shared" si="0"/>
        <v>319</v>
      </c>
      <c r="E3" s="11">
        <f t="shared" si="0"/>
        <v>71269</v>
      </c>
      <c r="F3" s="11">
        <f t="shared" si="0"/>
        <v>1792079533.2534416</v>
      </c>
      <c r="G3" s="11">
        <f t="shared" si="0"/>
        <v>84642</v>
      </c>
      <c r="H3" s="11">
        <f t="shared" si="0"/>
        <v>1296</v>
      </c>
      <c r="I3" s="11">
        <f t="shared" si="0"/>
        <v>315</v>
      </c>
      <c r="J3" s="11">
        <f t="shared" si="0"/>
        <v>70910</v>
      </c>
      <c r="K3" s="11">
        <f t="shared" si="0"/>
        <v>1868039006.9845848</v>
      </c>
    </row>
    <row r="4" spans="1:11" x14ac:dyDescent="0.35">
      <c r="A4" s="7"/>
      <c r="B4" s="7" t="s">
        <v>194</v>
      </c>
      <c r="C4" s="7"/>
      <c r="D4" s="7"/>
      <c r="E4" s="7"/>
      <c r="F4" s="7"/>
      <c r="G4" s="7" t="s">
        <v>195</v>
      </c>
      <c r="H4" s="7"/>
      <c r="I4" s="7"/>
      <c r="J4" s="7"/>
      <c r="K4" s="7"/>
    </row>
    <row r="5" spans="1:11" x14ac:dyDescent="0.35">
      <c r="A5" s="8" t="s">
        <v>196</v>
      </c>
      <c r="B5" s="8" t="s">
        <v>197</v>
      </c>
      <c r="C5" s="8" t="s">
        <v>204</v>
      </c>
      <c r="D5" s="8" t="s">
        <v>198</v>
      </c>
      <c r="E5" s="8" t="s">
        <v>199</v>
      </c>
      <c r="F5" s="8" t="s">
        <v>200</v>
      </c>
      <c r="G5" s="8" t="s">
        <v>197</v>
      </c>
      <c r="H5" s="8" t="s">
        <v>204</v>
      </c>
      <c r="I5" s="8" t="s">
        <v>198</v>
      </c>
      <c r="J5" s="8" t="s">
        <v>199</v>
      </c>
      <c r="K5" s="8" t="s">
        <v>200</v>
      </c>
    </row>
    <row r="6" spans="1:11" x14ac:dyDescent="0.35">
      <c r="A6" s="9" t="s">
        <v>117</v>
      </c>
      <c r="B6" s="10">
        <v>420</v>
      </c>
      <c r="C6" s="10">
        <v>0</v>
      </c>
      <c r="D6" s="10">
        <v>2</v>
      </c>
      <c r="E6" s="10">
        <v>351</v>
      </c>
      <c r="F6" s="10">
        <v>8011855.9913176866</v>
      </c>
      <c r="G6" s="10">
        <v>432</v>
      </c>
      <c r="H6" s="10">
        <v>1</v>
      </c>
      <c r="I6" s="10">
        <v>2</v>
      </c>
      <c r="J6" s="10">
        <v>358</v>
      </c>
      <c r="K6" s="10">
        <v>8539462.2923211604</v>
      </c>
    </row>
    <row r="7" spans="1:11" x14ac:dyDescent="0.35">
      <c r="A7" s="9" t="s">
        <v>127</v>
      </c>
      <c r="B7" s="10">
        <v>654</v>
      </c>
      <c r="C7" s="10">
        <v>3</v>
      </c>
      <c r="D7" s="10">
        <v>2</v>
      </c>
      <c r="E7" s="10">
        <v>493</v>
      </c>
      <c r="F7" s="10">
        <v>9589962.4832898322</v>
      </c>
      <c r="G7" s="10">
        <v>559</v>
      </c>
      <c r="H7" s="10">
        <v>5</v>
      </c>
      <c r="I7" s="10">
        <v>3</v>
      </c>
      <c r="J7" s="10">
        <v>634</v>
      </c>
      <c r="K7" s="10">
        <v>8996481.4656081535</v>
      </c>
    </row>
    <row r="8" spans="1:11" x14ac:dyDescent="0.35">
      <c r="A8" s="9" t="s">
        <v>119</v>
      </c>
      <c r="B8" s="10">
        <v>741</v>
      </c>
      <c r="C8" s="10">
        <v>6</v>
      </c>
      <c r="D8" s="10">
        <v>1</v>
      </c>
      <c r="E8" s="10">
        <v>724</v>
      </c>
      <c r="F8" s="10">
        <v>11693170.217475448</v>
      </c>
      <c r="G8" s="10">
        <v>767</v>
      </c>
      <c r="H8" s="10">
        <v>4</v>
      </c>
      <c r="I8" s="10">
        <v>1</v>
      </c>
      <c r="J8" s="10">
        <v>350</v>
      </c>
      <c r="K8" s="10">
        <v>11439196.74842638</v>
      </c>
    </row>
    <row r="9" spans="1:11" x14ac:dyDescent="0.35">
      <c r="A9" s="9" t="s">
        <v>121</v>
      </c>
      <c r="B9" s="10">
        <v>1208</v>
      </c>
      <c r="C9" s="10">
        <v>4</v>
      </c>
      <c r="D9" s="10">
        <v>4</v>
      </c>
      <c r="E9" s="10">
        <v>2035</v>
      </c>
      <c r="F9" s="10">
        <v>20529286.348929532</v>
      </c>
      <c r="G9" s="10">
        <v>1228</v>
      </c>
      <c r="H9" s="10">
        <v>4</v>
      </c>
      <c r="I9" s="10">
        <v>2</v>
      </c>
      <c r="J9" s="10">
        <v>1007</v>
      </c>
      <c r="K9" s="10">
        <v>21858809.479129504</v>
      </c>
    </row>
    <row r="10" spans="1:11" x14ac:dyDescent="0.35">
      <c r="A10" s="9" t="s">
        <v>123</v>
      </c>
      <c r="B10" s="10">
        <v>402</v>
      </c>
      <c r="C10" s="10">
        <v>1</v>
      </c>
      <c r="D10" s="10">
        <v>1</v>
      </c>
      <c r="E10" s="10">
        <v>395</v>
      </c>
      <c r="F10" s="10">
        <v>9136539.7726296578</v>
      </c>
      <c r="G10" s="10">
        <v>392</v>
      </c>
      <c r="H10" s="10">
        <v>3</v>
      </c>
      <c r="I10" s="10">
        <v>1</v>
      </c>
      <c r="J10" s="10">
        <v>417</v>
      </c>
      <c r="K10" s="10">
        <v>9958782.7049773205</v>
      </c>
    </row>
    <row r="11" spans="1:11" x14ac:dyDescent="0.35">
      <c r="A11" s="9" t="s">
        <v>125</v>
      </c>
      <c r="B11" s="10">
        <v>383</v>
      </c>
      <c r="C11" s="10">
        <v>3</v>
      </c>
      <c r="D11" s="10">
        <v>2</v>
      </c>
      <c r="E11" s="10">
        <v>267</v>
      </c>
      <c r="F11" s="10">
        <v>7743516.6435261397</v>
      </c>
      <c r="G11" s="10">
        <v>379</v>
      </c>
      <c r="H11" s="10">
        <v>1</v>
      </c>
      <c r="I11" s="10">
        <v>2</v>
      </c>
      <c r="J11" s="10">
        <v>271</v>
      </c>
      <c r="K11" s="10">
        <v>6081677.9457779359</v>
      </c>
    </row>
    <row r="12" spans="1:11" x14ac:dyDescent="0.35">
      <c r="A12" s="9" t="s">
        <v>131</v>
      </c>
      <c r="B12" s="10">
        <v>595</v>
      </c>
      <c r="C12" s="10">
        <v>1</v>
      </c>
      <c r="D12" s="10">
        <v>3</v>
      </c>
      <c r="E12" s="10">
        <v>496</v>
      </c>
      <c r="F12" s="10">
        <v>9125846.8320685625</v>
      </c>
      <c r="G12" s="10">
        <v>632</v>
      </c>
      <c r="H12" s="10">
        <v>4</v>
      </c>
      <c r="I12" s="10">
        <v>0</v>
      </c>
      <c r="J12" s="10">
        <v>505</v>
      </c>
      <c r="K12" s="10">
        <v>9528640.5381818991</v>
      </c>
    </row>
    <row r="13" spans="1:11" x14ac:dyDescent="0.35">
      <c r="A13" s="9" t="s">
        <v>133</v>
      </c>
      <c r="B13" s="10">
        <v>168</v>
      </c>
      <c r="C13" s="10">
        <v>0</v>
      </c>
      <c r="D13" s="10">
        <v>1</v>
      </c>
      <c r="E13" s="10">
        <v>134</v>
      </c>
      <c r="F13" s="10">
        <v>4059495.7912112302</v>
      </c>
      <c r="G13" s="10">
        <v>178</v>
      </c>
      <c r="H13" s="10">
        <v>0</v>
      </c>
      <c r="I13" s="10">
        <v>1</v>
      </c>
      <c r="J13" s="10">
        <v>145</v>
      </c>
      <c r="K13" s="10">
        <v>4278470.8679645592</v>
      </c>
    </row>
    <row r="14" spans="1:11" x14ac:dyDescent="0.35">
      <c r="A14" s="9" t="s">
        <v>141</v>
      </c>
      <c r="B14" s="10">
        <v>187</v>
      </c>
      <c r="C14" s="10">
        <v>1</v>
      </c>
      <c r="D14" s="10">
        <v>1</v>
      </c>
      <c r="E14" s="10">
        <v>154</v>
      </c>
      <c r="F14" s="10">
        <v>832225.483727457</v>
      </c>
      <c r="G14" s="10">
        <v>208</v>
      </c>
      <c r="H14" s="10">
        <v>0</v>
      </c>
      <c r="I14" s="10">
        <v>1</v>
      </c>
      <c r="J14" s="10">
        <v>242</v>
      </c>
      <c r="K14" s="10">
        <v>4260676.8748711916</v>
      </c>
    </row>
    <row r="15" spans="1:11" x14ac:dyDescent="0.35">
      <c r="A15" s="9" t="s">
        <v>135</v>
      </c>
      <c r="B15" s="10">
        <v>368</v>
      </c>
      <c r="C15" s="10">
        <v>1</v>
      </c>
      <c r="D15" s="10">
        <v>1</v>
      </c>
      <c r="E15" s="10">
        <v>360</v>
      </c>
      <c r="F15" s="10">
        <v>8440011.6415319797</v>
      </c>
      <c r="G15" s="10">
        <v>359</v>
      </c>
      <c r="H15" s="10">
        <v>4</v>
      </c>
      <c r="I15" s="10">
        <v>1</v>
      </c>
      <c r="J15" s="10">
        <v>363</v>
      </c>
      <c r="K15" s="10">
        <v>7427057.5940592606</v>
      </c>
    </row>
    <row r="16" spans="1:11" x14ac:dyDescent="0.35">
      <c r="A16" s="9" t="s">
        <v>143</v>
      </c>
      <c r="B16" s="10">
        <v>209</v>
      </c>
      <c r="C16" s="10">
        <v>0</v>
      </c>
      <c r="D16" s="10">
        <v>2</v>
      </c>
      <c r="E16" s="10">
        <v>263</v>
      </c>
      <c r="F16" s="10">
        <v>3926643.4736452131</v>
      </c>
      <c r="G16" s="10">
        <v>236</v>
      </c>
      <c r="H16" s="10">
        <v>0</v>
      </c>
      <c r="I16" s="10">
        <v>2</v>
      </c>
      <c r="J16" s="10">
        <v>215</v>
      </c>
      <c r="K16" s="10">
        <v>3647125.4913574592</v>
      </c>
    </row>
    <row r="17" spans="1:11" x14ac:dyDescent="0.35">
      <c r="A17" s="9" t="s">
        <v>145</v>
      </c>
      <c r="B17" s="10">
        <v>244</v>
      </c>
      <c r="C17" s="10">
        <v>1</v>
      </c>
      <c r="D17" s="10">
        <v>2</v>
      </c>
      <c r="E17" s="10">
        <v>232</v>
      </c>
      <c r="F17" s="10">
        <v>4329889.7318454506</v>
      </c>
      <c r="G17" s="10">
        <v>242</v>
      </c>
      <c r="H17" s="10">
        <v>0</v>
      </c>
      <c r="I17" s="10">
        <v>0</v>
      </c>
      <c r="J17" s="10">
        <v>220</v>
      </c>
      <c r="K17" s="10">
        <v>4468512.0865646908</v>
      </c>
    </row>
    <row r="18" spans="1:11" x14ac:dyDescent="0.35">
      <c r="A18" s="9" t="s">
        <v>20</v>
      </c>
      <c r="B18" s="10">
        <v>1433</v>
      </c>
      <c r="C18" s="10">
        <v>3</v>
      </c>
      <c r="D18" s="10">
        <v>3</v>
      </c>
      <c r="E18" s="10">
        <v>1327</v>
      </c>
      <c r="F18" s="10">
        <v>15542536.569016691</v>
      </c>
      <c r="G18" s="10">
        <v>1404</v>
      </c>
      <c r="H18" s="10">
        <v>4</v>
      </c>
      <c r="I18" s="10">
        <v>5</v>
      </c>
      <c r="J18" s="10">
        <v>1269</v>
      </c>
      <c r="K18" s="10">
        <v>24968411.489844091</v>
      </c>
    </row>
    <row r="19" spans="1:11" x14ac:dyDescent="0.35">
      <c r="A19" s="9" t="s">
        <v>45</v>
      </c>
      <c r="B19" s="10">
        <v>1235</v>
      </c>
      <c r="C19" s="10">
        <v>1</v>
      </c>
      <c r="D19" s="10">
        <v>3</v>
      </c>
      <c r="E19" s="10">
        <v>907</v>
      </c>
      <c r="F19" s="10">
        <v>29238120.41858248</v>
      </c>
      <c r="G19" s="10">
        <v>1253</v>
      </c>
      <c r="H19" s="10">
        <v>0</v>
      </c>
      <c r="I19" s="10">
        <v>2</v>
      </c>
      <c r="J19" s="10">
        <v>889</v>
      </c>
      <c r="K19" s="10">
        <v>35824755.92923595</v>
      </c>
    </row>
    <row r="20" spans="1:11" x14ac:dyDescent="0.35">
      <c r="A20" s="9" t="s">
        <v>47</v>
      </c>
      <c r="B20" s="10">
        <v>1024</v>
      </c>
      <c r="C20" s="10">
        <v>2</v>
      </c>
      <c r="D20" s="10">
        <v>5</v>
      </c>
      <c r="E20" s="10">
        <v>922</v>
      </c>
      <c r="F20" s="10">
        <v>17096402.744824786</v>
      </c>
      <c r="G20" s="10">
        <v>1018</v>
      </c>
      <c r="H20" s="10">
        <v>4</v>
      </c>
      <c r="I20" s="10">
        <v>5</v>
      </c>
      <c r="J20" s="10">
        <v>907</v>
      </c>
      <c r="K20" s="10">
        <v>17290212.931036513</v>
      </c>
    </row>
    <row r="21" spans="1:11" x14ac:dyDescent="0.35">
      <c r="A21" s="9" t="s">
        <v>49</v>
      </c>
      <c r="B21" s="10">
        <v>903</v>
      </c>
      <c r="C21" s="10">
        <v>3</v>
      </c>
      <c r="D21" s="10">
        <v>3</v>
      </c>
      <c r="E21" s="10">
        <v>681</v>
      </c>
      <c r="F21" s="10">
        <v>12161015.921806771</v>
      </c>
      <c r="G21" s="10">
        <v>906</v>
      </c>
      <c r="H21" s="10">
        <v>0</v>
      </c>
      <c r="I21" s="10">
        <v>4</v>
      </c>
      <c r="J21" s="10">
        <v>636</v>
      </c>
      <c r="K21" s="10">
        <v>16203096.619572133</v>
      </c>
    </row>
    <row r="22" spans="1:11" x14ac:dyDescent="0.35">
      <c r="A22" s="9" t="s">
        <v>51</v>
      </c>
      <c r="B22" s="10">
        <v>2872</v>
      </c>
      <c r="C22" s="10">
        <v>173</v>
      </c>
      <c r="D22" s="10">
        <v>10</v>
      </c>
      <c r="E22" s="10">
        <v>2091</v>
      </c>
      <c r="F22" s="10">
        <v>63455337.242055319</v>
      </c>
      <c r="G22" s="10">
        <v>2799</v>
      </c>
      <c r="H22" s="10">
        <v>104</v>
      </c>
      <c r="I22" s="10">
        <v>12</v>
      </c>
      <c r="J22" s="10">
        <v>2265</v>
      </c>
      <c r="K22" s="10">
        <v>58431495.578616232</v>
      </c>
    </row>
    <row r="23" spans="1:11" x14ac:dyDescent="0.35">
      <c r="A23" s="9" t="s">
        <v>53</v>
      </c>
      <c r="B23" s="10">
        <v>1367</v>
      </c>
      <c r="C23" s="10">
        <v>3</v>
      </c>
      <c r="D23" s="10">
        <v>1</v>
      </c>
      <c r="E23" s="10">
        <v>1143</v>
      </c>
      <c r="F23" s="10">
        <v>13715739.655666236</v>
      </c>
      <c r="G23" s="10">
        <v>1368</v>
      </c>
      <c r="H23" s="10">
        <v>5</v>
      </c>
      <c r="I23" s="10">
        <v>2</v>
      </c>
      <c r="J23" s="10">
        <v>1218</v>
      </c>
      <c r="K23" s="10">
        <v>30857225.122215234</v>
      </c>
    </row>
    <row r="24" spans="1:11" x14ac:dyDescent="0.35">
      <c r="A24" s="9" t="s">
        <v>55</v>
      </c>
      <c r="B24" s="10">
        <v>2972</v>
      </c>
      <c r="C24" s="10">
        <v>15</v>
      </c>
      <c r="D24" s="10">
        <v>10</v>
      </c>
      <c r="E24" s="10">
        <v>2209</v>
      </c>
      <c r="F24" s="10">
        <v>62455214.851508647</v>
      </c>
      <c r="G24" s="10">
        <v>2777</v>
      </c>
      <c r="H24" s="10">
        <v>5</v>
      </c>
      <c r="I24" s="10">
        <v>10</v>
      </c>
      <c r="J24" s="10">
        <v>2092</v>
      </c>
      <c r="K24" s="10">
        <v>53170556.161955953</v>
      </c>
    </row>
    <row r="25" spans="1:11" x14ac:dyDescent="0.35">
      <c r="A25" s="9" t="s">
        <v>67</v>
      </c>
      <c r="B25" s="10">
        <v>541</v>
      </c>
      <c r="C25" s="10">
        <v>4</v>
      </c>
      <c r="D25" s="10">
        <v>1</v>
      </c>
      <c r="E25" s="10">
        <v>468</v>
      </c>
      <c r="F25" s="10">
        <v>9647857.3613462802</v>
      </c>
      <c r="G25" s="10">
        <v>527</v>
      </c>
      <c r="H25" s="10">
        <v>2</v>
      </c>
      <c r="I25" s="10">
        <v>1</v>
      </c>
      <c r="J25" s="10">
        <v>464</v>
      </c>
      <c r="K25" s="10">
        <v>8653275.5065172911</v>
      </c>
    </row>
    <row r="26" spans="1:11" x14ac:dyDescent="0.35">
      <c r="A26" s="9" t="s">
        <v>74</v>
      </c>
      <c r="B26" s="10">
        <v>1749</v>
      </c>
      <c r="C26" s="10">
        <v>13</v>
      </c>
      <c r="D26" s="10">
        <v>2</v>
      </c>
      <c r="E26" s="10">
        <v>1348</v>
      </c>
      <c r="F26" s="10">
        <v>25727162.271941304</v>
      </c>
      <c r="G26" s="10">
        <v>1740</v>
      </c>
      <c r="H26" s="10">
        <v>14</v>
      </c>
      <c r="I26" s="10">
        <v>1</v>
      </c>
      <c r="J26" s="10">
        <v>1473</v>
      </c>
      <c r="K26" s="10">
        <v>23472141.842081539</v>
      </c>
    </row>
    <row r="27" spans="1:11" x14ac:dyDescent="0.35">
      <c r="A27" s="9" t="s">
        <v>70</v>
      </c>
      <c r="B27" s="10">
        <v>877</v>
      </c>
      <c r="C27" s="10">
        <v>8</v>
      </c>
      <c r="D27" s="10">
        <v>1</v>
      </c>
      <c r="E27" s="10">
        <v>765</v>
      </c>
      <c r="F27" s="10">
        <v>10259830.90651048</v>
      </c>
      <c r="G27" s="10">
        <v>833</v>
      </c>
      <c r="H27" s="10">
        <v>4</v>
      </c>
      <c r="I27" s="10">
        <v>0</v>
      </c>
      <c r="J27" s="10">
        <v>822</v>
      </c>
      <c r="K27" s="10">
        <v>9877911.5601799227</v>
      </c>
    </row>
    <row r="28" spans="1:11" x14ac:dyDescent="0.35">
      <c r="A28" s="9" t="s">
        <v>72</v>
      </c>
      <c r="B28" s="10">
        <v>890</v>
      </c>
      <c r="C28" s="10">
        <v>5</v>
      </c>
      <c r="D28" s="10">
        <v>1</v>
      </c>
      <c r="E28" s="10">
        <v>807</v>
      </c>
      <c r="F28" s="10">
        <v>13074169.534061378</v>
      </c>
      <c r="G28" s="10">
        <v>874</v>
      </c>
      <c r="H28" s="10">
        <v>1</v>
      </c>
      <c r="I28" s="10">
        <v>0</v>
      </c>
      <c r="J28" s="10">
        <v>729</v>
      </c>
      <c r="K28" s="10">
        <v>12367446.731246172</v>
      </c>
    </row>
    <row r="29" spans="1:11" x14ac:dyDescent="0.35">
      <c r="A29" s="9" t="s">
        <v>79</v>
      </c>
      <c r="B29" s="10">
        <v>231</v>
      </c>
      <c r="C29" s="10">
        <v>1</v>
      </c>
      <c r="D29" s="10">
        <v>2</v>
      </c>
      <c r="E29" s="10">
        <v>171</v>
      </c>
      <c r="F29" s="10">
        <v>2752351.900354438</v>
      </c>
      <c r="G29" s="10">
        <v>218</v>
      </c>
      <c r="H29" s="10">
        <v>1</v>
      </c>
      <c r="I29" s="10">
        <v>0</v>
      </c>
      <c r="J29" s="10">
        <v>219</v>
      </c>
      <c r="K29" s="10">
        <v>3125322.1816324871</v>
      </c>
    </row>
    <row r="30" spans="1:11" x14ac:dyDescent="0.35">
      <c r="A30" s="9" t="s">
        <v>109</v>
      </c>
      <c r="B30" s="10">
        <v>1663</v>
      </c>
      <c r="C30" s="10">
        <v>9</v>
      </c>
      <c r="D30" s="10">
        <v>6</v>
      </c>
      <c r="E30" s="10">
        <v>1293</v>
      </c>
      <c r="F30" s="10">
        <v>24358751.544144496</v>
      </c>
      <c r="G30" s="10">
        <v>1646</v>
      </c>
      <c r="H30" s="10">
        <v>2</v>
      </c>
      <c r="I30" s="10">
        <v>5</v>
      </c>
      <c r="J30" s="10">
        <v>1545</v>
      </c>
      <c r="K30" s="10">
        <v>24602514.895429038</v>
      </c>
    </row>
    <row r="31" spans="1:11" x14ac:dyDescent="0.35">
      <c r="A31" s="9" t="s">
        <v>111</v>
      </c>
      <c r="B31" s="10">
        <v>871</v>
      </c>
      <c r="C31" s="10">
        <v>1</v>
      </c>
      <c r="D31" s="10">
        <v>1</v>
      </c>
      <c r="E31" s="10">
        <v>629</v>
      </c>
      <c r="F31" s="10">
        <v>19811258.757022385</v>
      </c>
      <c r="G31" s="10">
        <v>898</v>
      </c>
      <c r="H31" s="10">
        <v>3</v>
      </c>
      <c r="I31" s="10">
        <v>1</v>
      </c>
      <c r="J31" s="10">
        <v>630</v>
      </c>
      <c r="K31" s="10">
        <v>22132677.989444103</v>
      </c>
    </row>
    <row r="32" spans="1:11" x14ac:dyDescent="0.35">
      <c r="A32" s="9" t="s">
        <v>113</v>
      </c>
      <c r="B32" s="10">
        <v>1060</v>
      </c>
      <c r="C32" s="10">
        <v>2</v>
      </c>
      <c r="D32" s="10">
        <v>2</v>
      </c>
      <c r="E32" s="10">
        <v>824</v>
      </c>
      <c r="F32" s="10">
        <v>19404275.471009124</v>
      </c>
      <c r="G32" s="10">
        <v>1016</v>
      </c>
      <c r="H32" s="10">
        <v>1</v>
      </c>
      <c r="I32" s="10">
        <v>2</v>
      </c>
      <c r="J32" s="10">
        <v>854</v>
      </c>
      <c r="K32" s="10">
        <v>21393659.220353145</v>
      </c>
    </row>
    <row r="33" spans="1:11" x14ac:dyDescent="0.35">
      <c r="A33" s="9" t="s">
        <v>115</v>
      </c>
      <c r="B33" s="10">
        <v>1115</v>
      </c>
      <c r="C33" s="10">
        <v>2</v>
      </c>
      <c r="D33" s="10">
        <v>2</v>
      </c>
      <c r="E33" s="10">
        <v>816</v>
      </c>
      <c r="F33" s="10">
        <v>26404188.141816933</v>
      </c>
      <c r="G33" s="10">
        <v>1149</v>
      </c>
      <c r="H33" s="10">
        <v>2</v>
      </c>
      <c r="I33" s="10">
        <v>3</v>
      </c>
      <c r="J33" s="10">
        <v>838</v>
      </c>
      <c r="K33" s="10">
        <v>27596352.646259207</v>
      </c>
    </row>
    <row r="34" spans="1:11" x14ac:dyDescent="0.35">
      <c r="A34" s="9" t="s">
        <v>16</v>
      </c>
      <c r="B34" s="10">
        <v>1455</v>
      </c>
      <c r="C34" s="10">
        <v>4</v>
      </c>
      <c r="D34" s="10">
        <v>5</v>
      </c>
      <c r="E34" s="10">
        <v>1207</v>
      </c>
      <c r="F34" s="10">
        <v>37505222.301559903</v>
      </c>
      <c r="G34" s="10">
        <v>1447</v>
      </c>
      <c r="H34" s="10">
        <v>3</v>
      </c>
      <c r="I34" s="10">
        <v>2</v>
      </c>
      <c r="J34" s="10">
        <v>1113</v>
      </c>
      <c r="K34" s="10">
        <v>38482011.267993741</v>
      </c>
    </row>
    <row r="35" spans="1:11" x14ac:dyDescent="0.35">
      <c r="A35" s="9" t="s">
        <v>18</v>
      </c>
      <c r="B35" s="10">
        <v>682</v>
      </c>
      <c r="C35" s="10">
        <v>0</v>
      </c>
      <c r="D35" s="10">
        <v>5</v>
      </c>
      <c r="E35" s="10">
        <v>581</v>
      </c>
      <c r="F35" s="10">
        <v>15398605.461348807</v>
      </c>
      <c r="G35" s="10">
        <v>685</v>
      </c>
      <c r="H35" s="10">
        <v>3</v>
      </c>
      <c r="I35" s="10">
        <v>5</v>
      </c>
      <c r="J35" s="10">
        <v>794</v>
      </c>
      <c r="K35" s="10">
        <v>15371358.076542115</v>
      </c>
    </row>
    <row r="36" spans="1:11" x14ac:dyDescent="0.35">
      <c r="A36" s="9" t="s">
        <v>43</v>
      </c>
      <c r="B36" s="10">
        <v>1941</v>
      </c>
      <c r="C36" s="10">
        <v>6</v>
      </c>
      <c r="D36" s="10">
        <v>11</v>
      </c>
      <c r="E36" s="10">
        <v>892</v>
      </c>
      <c r="F36" s="10">
        <v>46536061.009953454</v>
      </c>
      <c r="G36" s="10">
        <v>1857</v>
      </c>
      <c r="H36" s="10">
        <v>2</v>
      </c>
      <c r="I36" s="10">
        <v>6</v>
      </c>
      <c r="J36" s="10">
        <v>1680</v>
      </c>
      <c r="K36" s="10">
        <v>29407824.984452795</v>
      </c>
    </row>
    <row r="37" spans="1:11" x14ac:dyDescent="0.35">
      <c r="A37" s="9" t="s">
        <v>152</v>
      </c>
      <c r="B37" s="10">
        <v>844</v>
      </c>
      <c r="C37" s="10">
        <v>1</v>
      </c>
      <c r="D37" s="10">
        <v>2</v>
      </c>
      <c r="E37" s="10">
        <v>774</v>
      </c>
      <c r="F37" s="10">
        <v>15552674.040534776</v>
      </c>
      <c r="G37" s="10">
        <v>853</v>
      </c>
      <c r="H37" s="10">
        <v>2</v>
      </c>
      <c r="I37" s="10">
        <v>3</v>
      </c>
      <c r="J37" s="10">
        <v>660</v>
      </c>
      <c r="K37" s="10">
        <v>16019371.822294367</v>
      </c>
    </row>
    <row r="38" spans="1:11" x14ac:dyDescent="0.35">
      <c r="A38" s="9" t="s">
        <v>149</v>
      </c>
      <c r="B38" s="10">
        <v>745</v>
      </c>
      <c r="C38" s="10">
        <v>1</v>
      </c>
      <c r="D38" s="10">
        <v>1</v>
      </c>
      <c r="E38" s="10">
        <v>538</v>
      </c>
      <c r="F38" s="10">
        <v>14986852.341861239</v>
      </c>
      <c r="G38" s="10">
        <v>725</v>
      </c>
      <c r="H38" s="10">
        <v>1</v>
      </c>
      <c r="I38" s="10">
        <v>1</v>
      </c>
      <c r="J38" s="10">
        <v>598</v>
      </c>
      <c r="K38" s="10">
        <v>14185152.208508916</v>
      </c>
    </row>
    <row r="39" spans="1:11" x14ac:dyDescent="0.35">
      <c r="A39" s="9" t="s">
        <v>154</v>
      </c>
      <c r="B39" s="10">
        <v>1165</v>
      </c>
      <c r="C39" s="10">
        <v>12</v>
      </c>
      <c r="D39" s="10">
        <v>1</v>
      </c>
      <c r="E39" s="10">
        <v>822</v>
      </c>
      <c r="F39" s="10">
        <v>22114246.499472193</v>
      </c>
      <c r="G39" s="10">
        <v>1197</v>
      </c>
      <c r="H39" s="10">
        <v>5</v>
      </c>
      <c r="I39" s="10">
        <v>2</v>
      </c>
      <c r="J39" s="10">
        <v>911</v>
      </c>
      <c r="K39" s="10">
        <v>25110758.092792481</v>
      </c>
    </row>
    <row r="40" spans="1:11" x14ac:dyDescent="0.35">
      <c r="A40" s="9" t="s">
        <v>2</v>
      </c>
      <c r="B40" s="10">
        <v>1331</v>
      </c>
      <c r="C40" s="10">
        <v>120</v>
      </c>
      <c r="D40" s="10">
        <v>1</v>
      </c>
      <c r="E40" s="10">
        <v>796</v>
      </c>
      <c r="F40" s="10">
        <v>20741126.062683959</v>
      </c>
      <c r="G40" s="10">
        <v>1433</v>
      </c>
      <c r="H40" s="10">
        <v>318</v>
      </c>
      <c r="I40" s="10">
        <v>1</v>
      </c>
      <c r="J40" s="10">
        <v>837</v>
      </c>
      <c r="K40" s="10">
        <v>22932356.491074044</v>
      </c>
    </row>
    <row r="41" spans="1:11" x14ac:dyDescent="0.35">
      <c r="A41" s="9" t="s">
        <v>156</v>
      </c>
      <c r="B41" s="10">
        <v>2397</v>
      </c>
      <c r="C41" s="10">
        <v>69</v>
      </c>
      <c r="D41" s="10">
        <v>5</v>
      </c>
      <c r="E41" s="10">
        <v>1529</v>
      </c>
      <c r="F41" s="10">
        <v>38453663.605802923</v>
      </c>
      <c r="G41" s="10">
        <v>2266</v>
      </c>
      <c r="H41" s="10">
        <v>237</v>
      </c>
      <c r="I41" s="10">
        <v>5</v>
      </c>
      <c r="J41" s="10">
        <v>1557</v>
      </c>
      <c r="K41" s="10">
        <v>38312378.880640082</v>
      </c>
    </row>
    <row r="42" spans="1:11" x14ac:dyDescent="0.35">
      <c r="A42" s="9" t="s">
        <v>14</v>
      </c>
      <c r="B42" s="10">
        <v>618</v>
      </c>
      <c r="C42" s="10">
        <v>1</v>
      </c>
      <c r="D42" s="10">
        <v>6</v>
      </c>
      <c r="E42" s="10">
        <v>570</v>
      </c>
      <c r="F42" s="10">
        <v>13607803.394892052</v>
      </c>
      <c r="G42" s="10">
        <v>592</v>
      </c>
      <c r="H42" s="10">
        <v>4</v>
      </c>
      <c r="I42" s="10">
        <v>7</v>
      </c>
      <c r="J42" s="10">
        <v>445</v>
      </c>
      <c r="K42" s="10">
        <v>14083966.5119655</v>
      </c>
    </row>
    <row r="43" spans="1:11" x14ac:dyDescent="0.35">
      <c r="A43" s="9" t="s">
        <v>8</v>
      </c>
      <c r="B43" s="10">
        <v>2057</v>
      </c>
      <c r="C43" s="10">
        <v>2</v>
      </c>
      <c r="D43" s="10">
        <v>6</v>
      </c>
      <c r="E43" s="10">
        <v>1914</v>
      </c>
      <c r="F43" s="10">
        <v>45449281.559613265</v>
      </c>
      <c r="G43" s="10">
        <v>2031</v>
      </c>
      <c r="H43" s="10">
        <v>4</v>
      </c>
      <c r="I43" s="10">
        <v>5</v>
      </c>
      <c r="J43" s="10">
        <v>1817</v>
      </c>
      <c r="K43" s="10">
        <v>43927118.587503135</v>
      </c>
    </row>
    <row r="44" spans="1:11" x14ac:dyDescent="0.35">
      <c r="A44" s="9" t="s">
        <v>39</v>
      </c>
      <c r="B44" s="10">
        <v>900</v>
      </c>
      <c r="C44" s="10">
        <v>3</v>
      </c>
      <c r="D44" s="10">
        <v>2</v>
      </c>
      <c r="E44" s="10">
        <v>1422</v>
      </c>
      <c r="F44" s="10">
        <v>29655636.505533084</v>
      </c>
      <c r="G44" s="10">
        <v>930</v>
      </c>
      <c r="H44" s="10">
        <v>5</v>
      </c>
      <c r="I44" s="10">
        <v>4</v>
      </c>
      <c r="J44" s="10">
        <v>846</v>
      </c>
      <c r="K44" s="10">
        <v>33967834.959300019</v>
      </c>
    </row>
    <row r="45" spans="1:11" x14ac:dyDescent="0.35">
      <c r="A45" s="9" t="s">
        <v>6</v>
      </c>
      <c r="B45" s="10">
        <v>1081</v>
      </c>
      <c r="C45" s="10">
        <v>0</v>
      </c>
      <c r="D45" s="10">
        <v>3</v>
      </c>
      <c r="E45" s="10">
        <v>908</v>
      </c>
      <c r="F45" s="10">
        <v>16068125.974080767</v>
      </c>
      <c r="G45" s="10">
        <v>1064</v>
      </c>
      <c r="H45" s="10">
        <v>6</v>
      </c>
      <c r="I45" s="10">
        <v>3</v>
      </c>
      <c r="J45" s="10">
        <v>970</v>
      </c>
      <c r="K45" s="10">
        <v>24052081.674599729</v>
      </c>
    </row>
    <row r="46" spans="1:11" x14ac:dyDescent="0.35">
      <c r="A46" s="9" t="s">
        <v>41</v>
      </c>
      <c r="B46" s="10">
        <v>831</v>
      </c>
      <c r="C46" s="10">
        <v>3</v>
      </c>
      <c r="D46" s="10">
        <v>4</v>
      </c>
      <c r="E46" s="10">
        <v>627</v>
      </c>
      <c r="F46" s="10">
        <v>23518097.944919869</v>
      </c>
      <c r="G46" s="10">
        <v>837</v>
      </c>
      <c r="H46" s="10">
        <v>2</v>
      </c>
      <c r="I46" s="10">
        <v>4</v>
      </c>
      <c r="J46" s="10">
        <v>597</v>
      </c>
      <c r="K46" s="10">
        <v>24303801.668385867</v>
      </c>
    </row>
    <row r="47" spans="1:11" x14ac:dyDescent="0.35">
      <c r="A47" s="9" t="s">
        <v>158</v>
      </c>
      <c r="B47" s="10">
        <v>706</v>
      </c>
      <c r="C47" s="10">
        <v>2</v>
      </c>
      <c r="D47" s="10">
        <v>10</v>
      </c>
      <c r="E47" s="10">
        <v>553</v>
      </c>
      <c r="F47" s="10">
        <v>15130453.175075745</v>
      </c>
      <c r="G47" s="10">
        <v>717</v>
      </c>
      <c r="H47" s="10">
        <v>0</v>
      </c>
      <c r="I47" s="10">
        <v>9</v>
      </c>
      <c r="J47" s="10">
        <v>584</v>
      </c>
      <c r="K47" s="10">
        <v>14609642.865583366</v>
      </c>
    </row>
    <row r="48" spans="1:11" x14ac:dyDescent="0.35">
      <c r="A48" s="9" t="s">
        <v>160</v>
      </c>
      <c r="B48" s="10">
        <v>686</v>
      </c>
      <c r="C48" s="10">
        <v>0</v>
      </c>
      <c r="D48" s="10">
        <v>2</v>
      </c>
      <c r="E48" s="10">
        <v>719</v>
      </c>
      <c r="F48" s="10">
        <v>13321177.692165183</v>
      </c>
      <c r="G48" s="10">
        <v>704</v>
      </c>
      <c r="H48" s="10">
        <v>0</v>
      </c>
      <c r="I48" s="10">
        <v>1</v>
      </c>
      <c r="J48" s="10">
        <v>778</v>
      </c>
      <c r="K48" s="10">
        <v>13640714.055751091</v>
      </c>
    </row>
    <row r="49" spans="1:11" x14ac:dyDescent="0.35">
      <c r="A49" s="9" t="s">
        <v>83</v>
      </c>
      <c r="B49" s="10">
        <v>1240</v>
      </c>
      <c r="C49" s="10">
        <v>0</v>
      </c>
      <c r="D49" s="10">
        <v>5</v>
      </c>
      <c r="E49" s="10">
        <v>2756</v>
      </c>
      <c r="F49" s="10">
        <v>40575137.286203943</v>
      </c>
      <c r="G49" s="10">
        <v>1286</v>
      </c>
      <c r="H49" s="10">
        <v>3</v>
      </c>
      <c r="I49" s="10">
        <v>6</v>
      </c>
      <c r="J49" s="10">
        <v>1136</v>
      </c>
      <c r="K49" s="10">
        <v>45745588.58812362</v>
      </c>
    </row>
    <row r="50" spans="1:11" x14ac:dyDescent="0.35">
      <c r="A50" s="9" t="s">
        <v>201</v>
      </c>
      <c r="B50" s="10">
        <v>438</v>
      </c>
      <c r="C50" s="10">
        <v>0</v>
      </c>
      <c r="D50" s="10">
        <v>1</v>
      </c>
      <c r="E50" s="10">
        <v>797</v>
      </c>
      <c r="F50" s="10">
        <v>6645353.4058702402</v>
      </c>
      <c r="G50" s="10">
        <v>449</v>
      </c>
      <c r="H50" s="10">
        <v>1</v>
      </c>
      <c r="I50" s="10">
        <v>1</v>
      </c>
      <c r="J50" s="10">
        <v>448</v>
      </c>
      <c r="K50" s="10">
        <v>6951924.3284576992</v>
      </c>
    </row>
    <row r="51" spans="1:11" x14ac:dyDescent="0.35">
      <c r="A51" s="9" t="s">
        <v>31</v>
      </c>
      <c r="B51" s="10">
        <v>908</v>
      </c>
      <c r="C51" s="10">
        <v>2</v>
      </c>
      <c r="D51" s="10">
        <v>7</v>
      </c>
      <c r="E51" s="10">
        <v>1570</v>
      </c>
      <c r="F51" s="10">
        <v>19563741.756338328</v>
      </c>
      <c r="G51" s="10">
        <v>877</v>
      </c>
      <c r="H51" s="10">
        <v>1</v>
      </c>
      <c r="I51" s="10">
        <v>5</v>
      </c>
      <c r="J51" s="10">
        <v>900</v>
      </c>
      <c r="K51" s="10">
        <v>19453326.637208953</v>
      </c>
    </row>
    <row r="52" spans="1:11" x14ac:dyDescent="0.35">
      <c r="A52" s="9" t="s">
        <v>33</v>
      </c>
      <c r="B52" s="10">
        <v>1345</v>
      </c>
      <c r="C52" s="10">
        <v>3</v>
      </c>
      <c r="D52" s="10">
        <v>12</v>
      </c>
      <c r="E52" s="10">
        <v>465</v>
      </c>
      <c r="F52" s="10">
        <v>34200115.304982483</v>
      </c>
      <c r="G52" s="10">
        <v>1413</v>
      </c>
      <c r="H52" s="10">
        <v>1</v>
      </c>
      <c r="I52" s="10">
        <v>11</v>
      </c>
      <c r="J52" s="10">
        <v>972</v>
      </c>
      <c r="K52" s="10">
        <v>35513529.941505633</v>
      </c>
    </row>
    <row r="53" spans="1:11" x14ac:dyDescent="0.35">
      <c r="A53" s="9" t="s">
        <v>85</v>
      </c>
      <c r="B53" s="10">
        <v>483</v>
      </c>
      <c r="C53" s="10">
        <v>1</v>
      </c>
      <c r="D53" s="10">
        <v>6</v>
      </c>
      <c r="E53" s="10">
        <v>233</v>
      </c>
      <c r="F53" s="10">
        <v>17692903.869914349</v>
      </c>
      <c r="G53" s="10">
        <v>492</v>
      </c>
      <c r="H53" s="10">
        <v>3</v>
      </c>
      <c r="I53" s="10">
        <v>6</v>
      </c>
      <c r="J53" s="10">
        <v>506</v>
      </c>
      <c r="K53" s="10">
        <v>16698819.456651105</v>
      </c>
    </row>
    <row r="54" spans="1:11" x14ac:dyDescent="0.35">
      <c r="A54" s="9" t="s">
        <v>81</v>
      </c>
      <c r="B54" s="10">
        <v>457</v>
      </c>
      <c r="C54" s="10">
        <v>0</v>
      </c>
      <c r="D54" s="10">
        <v>4</v>
      </c>
      <c r="E54" s="10">
        <v>211</v>
      </c>
      <c r="F54" s="10">
        <v>12885929.269668665</v>
      </c>
      <c r="G54" s="10">
        <v>459</v>
      </c>
      <c r="H54" s="10">
        <v>2</v>
      </c>
      <c r="I54" s="10">
        <v>3</v>
      </c>
      <c r="J54" s="10">
        <v>417</v>
      </c>
      <c r="K54" s="10">
        <v>14295788.226282325</v>
      </c>
    </row>
    <row r="55" spans="1:11" x14ac:dyDescent="0.35">
      <c r="A55" s="9" t="s">
        <v>87</v>
      </c>
      <c r="B55" s="10">
        <v>430</v>
      </c>
      <c r="C55" s="10">
        <v>1</v>
      </c>
      <c r="D55" s="10">
        <v>4</v>
      </c>
      <c r="E55" s="10">
        <v>220</v>
      </c>
      <c r="F55" s="10">
        <v>11147708.240657611</v>
      </c>
      <c r="G55" s="10">
        <v>396</v>
      </c>
      <c r="H55" s="10">
        <v>0</v>
      </c>
      <c r="I55" s="10">
        <v>2</v>
      </c>
      <c r="J55" s="10">
        <v>38</v>
      </c>
      <c r="K55" s="10">
        <v>5589046.8414643016</v>
      </c>
    </row>
    <row r="56" spans="1:11" x14ac:dyDescent="0.35">
      <c r="A56" s="9" t="s">
        <v>166</v>
      </c>
      <c r="B56" s="10">
        <v>1103</v>
      </c>
      <c r="C56" s="10">
        <v>4</v>
      </c>
      <c r="D56" s="10">
        <v>0</v>
      </c>
      <c r="E56" s="10">
        <v>661</v>
      </c>
      <c r="F56" s="10">
        <v>26191668.071031023</v>
      </c>
      <c r="G56" s="10">
        <v>1099</v>
      </c>
      <c r="H56" s="10">
        <v>2</v>
      </c>
      <c r="I56" s="10">
        <v>0</v>
      </c>
      <c r="J56" s="10">
        <v>889</v>
      </c>
      <c r="K56" s="10">
        <v>28462888.360719599</v>
      </c>
    </row>
    <row r="57" spans="1:11" x14ac:dyDescent="0.35">
      <c r="A57" s="9" t="s">
        <v>93</v>
      </c>
      <c r="B57" s="10">
        <v>998</v>
      </c>
      <c r="C57" s="10">
        <v>5</v>
      </c>
      <c r="D57" s="10">
        <v>1</v>
      </c>
      <c r="E57" s="10">
        <v>715</v>
      </c>
      <c r="F57" s="10">
        <v>25274443.649353232</v>
      </c>
      <c r="G57" s="10">
        <v>927</v>
      </c>
      <c r="H57" s="10">
        <v>5</v>
      </c>
      <c r="I57" s="10">
        <v>2</v>
      </c>
      <c r="J57" s="10">
        <v>797</v>
      </c>
      <c r="K57" s="10">
        <v>28675298.836824629</v>
      </c>
    </row>
    <row r="58" spans="1:11" x14ac:dyDescent="0.35">
      <c r="A58" s="9" t="s">
        <v>95</v>
      </c>
      <c r="B58" s="10">
        <v>2065</v>
      </c>
      <c r="C58" s="10">
        <v>6</v>
      </c>
      <c r="D58" s="10">
        <v>8</v>
      </c>
      <c r="E58" s="10">
        <v>1226</v>
      </c>
      <c r="F58" s="10">
        <v>49677371.10828805</v>
      </c>
      <c r="G58" s="10">
        <v>2100</v>
      </c>
      <c r="H58" s="10">
        <v>12</v>
      </c>
      <c r="I58" s="10">
        <v>9</v>
      </c>
      <c r="J58" s="10">
        <v>1642</v>
      </c>
      <c r="K58" s="10">
        <v>52582289.558401659</v>
      </c>
    </row>
    <row r="59" spans="1:11" x14ac:dyDescent="0.35">
      <c r="A59" s="9" t="s">
        <v>174</v>
      </c>
      <c r="B59" s="10">
        <v>683</v>
      </c>
      <c r="C59" s="10">
        <v>4</v>
      </c>
      <c r="D59" s="10">
        <v>0</v>
      </c>
      <c r="E59" s="10">
        <v>453</v>
      </c>
      <c r="F59" s="10">
        <v>11997117.736853795</v>
      </c>
      <c r="G59" s="10">
        <v>657</v>
      </c>
      <c r="H59" s="10">
        <v>2</v>
      </c>
      <c r="I59" s="10">
        <v>0</v>
      </c>
      <c r="J59" s="10">
        <v>675</v>
      </c>
      <c r="K59" s="10">
        <v>13982560.869168984</v>
      </c>
    </row>
    <row r="60" spans="1:11" x14ac:dyDescent="0.35">
      <c r="A60" s="9" t="s">
        <v>99</v>
      </c>
      <c r="B60" s="10">
        <v>868</v>
      </c>
      <c r="C60" s="10">
        <v>5</v>
      </c>
      <c r="D60" s="10">
        <v>5</v>
      </c>
      <c r="E60" s="10">
        <v>510</v>
      </c>
      <c r="F60" s="10">
        <v>21280371.70766744</v>
      </c>
      <c r="G60" s="10">
        <v>911</v>
      </c>
      <c r="H60" s="10">
        <v>6</v>
      </c>
      <c r="I60" s="10">
        <v>6</v>
      </c>
      <c r="J60" s="10">
        <v>827</v>
      </c>
      <c r="K60" s="10">
        <v>24407846.306572575</v>
      </c>
    </row>
    <row r="61" spans="1:11" x14ac:dyDescent="0.35">
      <c r="A61" s="9" t="s">
        <v>172</v>
      </c>
      <c r="B61" s="10">
        <v>749</v>
      </c>
      <c r="C61" s="10">
        <v>3</v>
      </c>
      <c r="D61" s="10">
        <v>1</v>
      </c>
      <c r="E61" s="10">
        <v>516</v>
      </c>
      <c r="F61" s="10">
        <v>13008470.054326516</v>
      </c>
      <c r="G61" s="10">
        <v>673</v>
      </c>
      <c r="H61" s="10">
        <v>0</v>
      </c>
      <c r="I61" s="10">
        <v>0</v>
      </c>
      <c r="J61" s="10">
        <v>57</v>
      </c>
      <c r="K61" s="10">
        <v>12702688.915399697</v>
      </c>
    </row>
    <row r="62" spans="1:11" x14ac:dyDescent="0.35">
      <c r="A62" s="9" t="s">
        <v>168</v>
      </c>
      <c r="B62" s="10">
        <v>1107</v>
      </c>
      <c r="C62" s="10">
        <v>5</v>
      </c>
      <c r="D62" s="10">
        <v>0</v>
      </c>
      <c r="E62" s="10">
        <v>807</v>
      </c>
      <c r="F62" s="10">
        <v>27692985.716273904</v>
      </c>
      <c r="G62" s="10">
        <v>1105</v>
      </c>
      <c r="H62" s="10">
        <v>5</v>
      </c>
      <c r="I62" s="10">
        <v>1</v>
      </c>
      <c r="J62" s="10">
        <v>1279</v>
      </c>
      <c r="K62" s="10">
        <v>30502819.256533097</v>
      </c>
    </row>
    <row r="63" spans="1:11" x14ac:dyDescent="0.35">
      <c r="A63" s="9" t="s">
        <v>101</v>
      </c>
      <c r="B63" s="10">
        <v>1436</v>
      </c>
      <c r="C63" s="10">
        <v>4</v>
      </c>
      <c r="D63" s="10">
        <v>4</v>
      </c>
      <c r="E63" s="10">
        <v>1441</v>
      </c>
      <c r="F63" s="10">
        <v>33951195.810102426</v>
      </c>
      <c r="G63" s="10">
        <v>1598</v>
      </c>
      <c r="H63" s="10">
        <v>7</v>
      </c>
      <c r="I63" s="10">
        <v>5</v>
      </c>
      <c r="J63" s="10">
        <v>1494</v>
      </c>
      <c r="K63" s="10">
        <v>41763405.554746158</v>
      </c>
    </row>
    <row r="64" spans="1:11" x14ac:dyDescent="0.35">
      <c r="A64" s="9" t="s">
        <v>103</v>
      </c>
      <c r="B64" s="10">
        <v>774</v>
      </c>
      <c r="C64" s="10">
        <v>1</v>
      </c>
      <c r="D64" s="10">
        <v>4</v>
      </c>
      <c r="E64" s="10">
        <v>648</v>
      </c>
      <c r="F64" s="10">
        <v>18629448.795252305</v>
      </c>
      <c r="G64" s="10">
        <v>805</v>
      </c>
      <c r="H64" s="10">
        <v>4</v>
      </c>
      <c r="I64" s="10">
        <v>5</v>
      </c>
      <c r="J64" s="10">
        <v>790</v>
      </c>
      <c r="K64" s="10">
        <v>16761125.185675364</v>
      </c>
    </row>
    <row r="65" spans="1:11" x14ac:dyDescent="0.35">
      <c r="A65" s="9" t="s">
        <v>105</v>
      </c>
      <c r="B65" s="10">
        <v>651</v>
      </c>
      <c r="C65" s="10">
        <v>7</v>
      </c>
      <c r="D65" s="10">
        <v>5</v>
      </c>
      <c r="E65" s="10">
        <v>450</v>
      </c>
      <c r="F65" s="10">
        <v>20847380.402954869</v>
      </c>
      <c r="G65" s="10">
        <v>643</v>
      </c>
      <c r="H65" s="10">
        <v>3</v>
      </c>
      <c r="I65" s="10">
        <v>7</v>
      </c>
      <c r="J65" s="10">
        <v>464</v>
      </c>
      <c r="K65" s="10">
        <v>22020764.973671433</v>
      </c>
    </row>
    <row r="66" spans="1:11" x14ac:dyDescent="0.35">
      <c r="A66" s="9" t="s">
        <v>24</v>
      </c>
      <c r="B66" s="10">
        <v>1983</v>
      </c>
      <c r="C66" s="10">
        <v>9</v>
      </c>
      <c r="D66" s="10">
        <v>10</v>
      </c>
      <c r="E66" s="10">
        <v>1641</v>
      </c>
      <c r="F66" s="10">
        <v>67327568.067904234</v>
      </c>
      <c r="G66" s="10">
        <v>1971</v>
      </c>
      <c r="H66" s="10">
        <v>13</v>
      </c>
      <c r="I66" s="10">
        <v>13</v>
      </c>
      <c r="J66" s="10">
        <v>1829</v>
      </c>
      <c r="K66" s="10">
        <v>70670658.044179976</v>
      </c>
    </row>
    <row r="67" spans="1:11" x14ac:dyDescent="0.35">
      <c r="A67" s="9" t="s">
        <v>27</v>
      </c>
      <c r="B67" s="10">
        <v>1583</v>
      </c>
      <c r="C67" s="10">
        <v>13</v>
      </c>
      <c r="D67" s="10">
        <v>6</v>
      </c>
      <c r="E67" s="10">
        <v>1265</v>
      </c>
      <c r="F67" s="10">
        <v>49430448.945431069</v>
      </c>
      <c r="G67" s="10">
        <v>1603</v>
      </c>
      <c r="H67" s="10">
        <v>12</v>
      </c>
      <c r="I67" s="10">
        <v>6</v>
      </c>
      <c r="J67" s="10">
        <v>1201</v>
      </c>
      <c r="K67" s="10">
        <v>50220349.921165459</v>
      </c>
    </row>
    <row r="68" spans="1:11" x14ac:dyDescent="0.35">
      <c r="A68" s="9" t="s">
        <v>29</v>
      </c>
      <c r="B68" s="10">
        <v>884</v>
      </c>
      <c r="C68" s="10">
        <v>4</v>
      </c>
      <c r="D68" s="10">
        <v>1</v>
      </c>
      <c r="E68" s="10">
        <v>734</v>
      </c>
      <c r="F68" s="10">
        <v>32493119.305810899</v>
      </c>
      <c r="G68" s="10">
        <v>892</v>
      </c>
      <c r="H68" s="10">
        <v>1</v>
      </c>
      <c r="I68" s="10">
        <v>1</v>
      </c>
      <c r="J68" s="10">
        <v>699</v>
      </c>
      <c r="K68" s="10">
        <v>34013930.676028676</v>
      </c>
    </row>
    <row r="69" spans="1:11" x14ac:dyDescent="0.35">
      <c r="A69" s="9" t="s">
        <v>57</v>
      </c>
      <c r="B69" s="10">
        <v>2317</v>
      </c>
      <c r="C69" s="10">
        <v>369</v>
      </c>
      <c r="D69" s="10">
        <v>12</v>
      </c>
      <c r="E69" s="10">
        <v>1308</v>
      </c>
      <c r="F69" s="10">
        <v>49546807.447998308</v>
      </c>
      <c r="G69" s="10">
        <v>2329</v>
      </c>
      <c r="H69" s="10">
        <v>372</v>
      </c>
      <c r="I69" s="10">
        <v>13</v>
      </c>
      <c r="J69" s="10">
        <v>1302</v>
      </c>
      <c r="K69" s="10">
        <v>45338783.339071438</v>
      </c>
    </row>
    <row r="70" spans="1:11" x14ac:dyDescent="0.35">
      <c r="A70" s="9" t="s">
        <v>137</v>
      </c>
      <c r="B70" s="10">
        <v>247</v>
      </c>
      <c r="C70" s="10">
        <v>0</v>
      </c>
      <c r="D70" s="10">
        <v>1</v>
      </c>
      <c r="E70" s="10">
        <v>250</v>
      </c>
      <c r="F70" s="10">
        <v>1348505.727031731</v>
      </c>
      <c r="G70" s="10">
        <v>242</v>
      </c>
      <c r="H70" s="10">
        <v>2</v>
      </c>
      <c r="I70" s="10">
        <v>0</v>
      </c>
      <c r="J70" s="10">
        <v>281</v>
      </c>
      <c r="K70" s="10">
        <v>3682667.934082624</v>
      </c>
    </row>
    <row r="71" spans="1:11" x14ac:dyDescent="0.35">
      <c r="A71" s="9" t="s">
        <v>10</v>
      </c>
      <c r="B71" s="10">
        <v>1669</v>
      </c>
      <c r="C71" s="10">
        <v>7</v>
      </c>
      <c r="D71" s="10">
        <v>6</v>
      </c>
      <c r="E71" s="10">
        <v>1480</v>
      </c>
      <c r="F71" s="10">
        <v>35127326.366053008</v>
      </c>
      <c r="G71" s="10">
        <v>1608</v>
      </c>
      <c r="H71" s="10">
        <v>14</v>
      </c>
      <c r="I71" s="10">
        <v>8</v>
      </c>
      <c r="J71" s="10">
        <v>1576</v>
      </c>
      <c r="K71" s="10">
        <v>34445460.314459853</v>
      </c>
    </row>
    <row r="72" spans="1:11" x14ac:dyDescent="0.35">
      <c r="A72" s="9" t="s">
        <v>12</v>
      </c>
      <c r="B72" s="10">
        <v>736</v>
      </c>
      <c r="C72" s="10">
        <v>1</v>
      </c>
      <c r="D72" s="10">
        <v>3</v>
      </c>
      <c r="E72" s="10">
        <v>638</v>
      </c>
      <c r="F72" s="10">
        <v>16812574.105930068</v>
      </c>
      <c r="G72" s="10">
        <v>794</v>
      </c>
      <c r="H72" s="10">
        <v>2</v>
      </c>
      <c r="I72" s="10">
        <v>4</v>
      </c>
      <c r="J72" s="10">
        <v>598</v>
      </c>
      <c r="K72" s="10">
        <v>15667692.503356764</v>
      </c>
    </row>
    <row r="73" spans="1:11" x14ac:dyDescent="0.35">
      <c r="A73" s="9" t="s">
        <v>162</v>
      </c>
      <c r="B73" s="10">
        <v>1367</v>
      </c>
      <c r="C73" s="10">
        <v>19</v>
      </c>
      <c r="D73" s="10">
        <v>4</v>
      </c>
      <c r="E73" s="10">
        <v>842</v>
      </c>
      <c r="F73" s="10">
        <v>23873577.731227577</v>
      </c>
      <c r="G73" s="10">
        <v>1464</v>
      </c>
      <c r="H73" s="10">
        <v>1</v>
      </c>
      <c r="I73" s="10">
        <v>5</v>
      </c>
      <c r="J73" s="10">
        <v>959</v>
      </c>
      <c r="K73" s="10">
        <v>25445366.118607964</v>
      </c>
    </row>
    <row r="74" spans="1:11" x14ac:dyDescent="0.35">
      <c r="A74" s="9" t="s">
        <v>63</v>
      </c>
      <c r="B74" s="10">
        <v>1283</v>
      </c>
      <c r="C74" s="10">
        <v>2</v>
      </c>
      <c r="D74" s="10">
        <v>5</v>
      </c>
      <c r="E74" s="10">
        <v>982</v>
      </c>
      <c r="F74" s="10">
        <v>14656833.663769012</v>
      </c>
      <c r="G74" s="10">
        <v>1320</v>
      </c>
      <c r="H74" s="10">
        <v>2</v>
      </c>
      <c r="I74" s="10">
        <v>4</v>
      </c>
      <c r="J74" s="10">
        <v>1241</v>
      </c>
      <c r="K74" s="10">
        <v>20167933.173738983</v>
      </c>
    </row>
    <row r="75" spans="1:11" x14ac:dyDescent="0.35">
      <c r="A75" s="9" t="s">
        <v>59</v>
      </c>
      <c r="B75" s="10">
        <v>1745</v>
      </c>
      <c r="C75" s="10">
        <v>8</v>
      </c>
      <c r="D75" s="10">
        <v>4</v>
      </c>
      <c r="E75" s="10">
        <v>1213</v>
      </c>
      <c r="F75" s="10">
        <v>43203204.558727421</v>
      </c>
      <c r="G75" s="10">
        <v>1778</v>
      </c>
      <c r="H75" s="10">
        <v>9</v>
      </c>
      <c r="I75" s="10">
        <v>7</v>
      </c>
      <c r="J75" s="10">
        <v>1271</v>
      </c>
      <c r="K75" s="10">
        <v>45274446.644820362</v>
      </c>
    </row>
    <row r="76" spans="1:11" x14ac:dyDescent="0.35">
      <c r="A76" s="9" t="s">
        <v>139</v>
      </c>
      <c r="B76" s="10">
        <v>515</v>
      </c>
      <c r="C76" s="10">
        <v>2</v>
      </c>
      <c r="D76" s="10">
        <v>1</v>
      </c>
      <c r="E76" s="10">
        <v>629</v>
      </c>
      <c r="F76" s="10">
        <v>8716800.0374078844</v>
      </c>
      <c r="G76" s="10">
        <v>489</v>
      </c>
      <c r="H76" s="10">
        <v>4</v>
      </c>
      <c r="I76" s="10">
        <v>1</v>
      </c>
      <c r="J76" s="10">
        <v>421</v>
      </c>
      <c r="K76" s="10">
        <v>8336159.5331871547</v>
      </c>
    </row>
    <row r="77" spans="1:11" x14ac:dyDescent="0.35">
      <c r="A77" s="9" t="s">
        <v>170</v>
      </c>
      <c r="B77" s="10">
        <v>882</v>
      </c>
      <c r="C77" s="10">
        <v>3</v>
      </c>
      <c r="D77" s="10">
        <v>1</v>
      </c>
      <c r="E77" s="10">
        <v>669</v>
      </c>
      <c r="F77" s="10">
        <v>13419610.797755742</v>
      </c>
      <c r="G77" s="10">
        <v>896</v>
      </c>
      <c r="H77" s="10">
        <v>1</v>
      </c>
      <c r="I77" s="10">
        <v>0</v>
      </c>
      <c r="J77" s="10">
        <v>897</v>
      </c>
      <c r="K77" s="10">
        <v>16320737.705918368</v>
      </c>
    </row>
    <row r="78" spans="1:11" x14ac:dyDescent="0.35">
      <c r="A78" s="9" t="s">
        <v>61</v>
      </c>
      <c r="B78" s="10">
        <v>652</v>
      </c>
      <c r="C78" s="10">
        <v>0</v>
      </c>
      <c r="D78" s="10">
        <v>3</v>
      </c>
      <c r="E78" s="10">
        <v>485</v>
      </c>
      <c r="F78" s="10">
        <v>13406864.351865375</v>
      </c>
      <c r="G78" s="10">
        <v>635</v>
      </c>
      <c r="H78" s="10">
        <v>2</v>
      </c>
      <c r="I78" s="10">
        <v>3</v>
      </c>
      <c r="J78" s="10">
        <v>488</v>
      </c>
      <c r="K78" s="10">
        <v>14939900.890034296</v>
      </c>
    </row>
    <row r="79" spans="1:11" x14ac:dyDescent="0.35">
      <c r="A79" s="9" t="s">
        <v>129</v>
      </c>
      <c r="B79" s="10">
        <v>601</v>
      </c>
      <c r="C79" s="10">
        <v>5</v>
      </c>
      <c r="D79" s="10">
        <v>1</v>
      </c>
      <c r="E79" s="10">
        <v>710</v>
      </c>
      <c r="F79" s="10">
        <v>11044050.643039128</v>
      </c>
      <c r="G79" s="10">
        <v>605</v>
      </c>
      <c r="H79" s="10">
        <v>4</v>
      </c>
      <c r="I79" s="10">
        <v>1</v>
      </c>
      <c r="J79" s="10">
        <v>1030</v>
      </c>
      <c r="K79" s="10">
        <v>9544700.5587438848</v>
      </c>
    </row>
    <row r="80" spans="1:11" x14ac:dyDescent="0.35">
      <c r="A80" s="9" t="s">
        <v>35</v>
      </c>
      <c r="B80" s="10">
        <v>447</v>
      </c>
      <c r="C80" s="10">
        <v>0</v>
      </c>
      <c r="D80" s="10">
        <v>7</v>
      </c>
      <c r="E80" s="10">
        <v>251</v>
      </c>
      <c r="F80" s="10">
        <v>11871515.03801666</v>
      </c>
      <c r="G80" s="10">
        <v>440</v>
      </c>
      <c r="H80" s="10">
        <v>2</v>
      </c>
      <c r="I80" s="10">
        <v>7</v>
      </c>
      <c r="J80" s="10">
        <v>464</v>
      </c>
      <c r="K80" s="10">
        <v>10204824.002210468</v>
      </c>
    </row>
    <row r="81" spans="1:11" x14ac:dyDescent="0.35">
      <c r="A81" s="9" t="s">
        <v>107</v>
      </c>
      <c r="B81" s="10">
        <v>942</v>
      </c>
      <c r="C81" s="10">
        <v>4</v>
      </c>
      <c r="D81" s="10">
        <v>3</v>
      </c>
      <c r="E81" s="10">
        <v>735</v>
      </c>
      <c r="F81" s="10">
        <v>31261131.096501935</v>
      </c>
      <c r="G81" s="10">
        <v>848</v>
      </c>
      <c r="H81" s="10">
        <v>5</v>
      </c>
      <c r="I81" s="10">
        <v>2</v>
      </c>
      <c r="J81" s="10">
        <v>530</v>
      </c>
      <c r="K81" s="10">
        <v>23598904.180730466</v>
      </c>
    </row>
    <row r="82" spans="1:11" x14ac:dyDescent="0.35">
      <c r="A82" s="9" t="s">
        <v>37</v>
      </c>
      <c r="B82" s="10">
        <v>772</v>
      </c>
      <c r="C82" s="10">
        <v>2</v>
      </c>
      <c r="D82" s="10">
        <v>10</v>
      </c>
      <c r="E82" s="10">
        <v>2118</v>
      </c>
      <c r="F82" s="10">
        <v>18891602.264381222</v>
      </c>
      <c r="G82" s="10">
        <v>776</v>
      </c>
      <c r="H82" s="10">
        <v>3</v>
      </c>
      <c r="I82" s="10">
        <v>9</v>
      </c>
      <c r="J82" s="10">
        <v>692</v>
      </c>
      <c r="K82" s="10">
        <v>19211296.435092594</v>
      </c>
    </row>
    <row r="83" spans="1:11" x14ac:dyDescent="0.35">
      <c r="A83" s="9" t="s">
        <v>76</v>
      </c>
      <c r="B83" s="10">
        <v>960</v>
      </c>
      <c r="C83" s="10">
        <v>1</v>
      </c>
      <c r="D83" s="10">
        <v>2</v>
      </c>
      <c r="E83" s="10">
        <v>855</v>
      </c>
      <c r="F83" s="10">
        <v>15118369.682815623</v>
      </c>
      <c r="G83" s="10">
        <v>952</v>
      </c>
      <c r="H83" s="10">
        <v>2</v>
      </c>
      <c r="I83" s="10">
        <v>2</v>
      </c>
      <c r="J83" s="10">
        <v>952</v>
      </c>
      <c r="K83" s="10">
        <v>15852572.06871303</v>
      </c>
    </row>
    <row r="84" spans="1:11" x14ac:dyDescent="0.35">
      <c r="A84" s="9" t="s">
        <v>65</v>
      </c>
      <c r="B84" s="10">
        <v>996</v>
      </c>
      <c r="C84" s="10">
        <v>2</v>
      </c>
      <c r="D84" s="10">
        <v>5</v>
      </c>
      <c r="E84" s="10">
        <v>842</v>
      </c>
      <c r="F84" s="10">
        <v>14524187.856017128</v>
      </c>
      <c r="G84" s="10">
        <v>968</v>
      </c>
      <c r="H84" s="10">
        <v>1</v>
      </c>
      <c r="I84" s="10">
        <v>4</v>
      </c>
      <c r="J84" s="10">
        <v>849</v>
      </c>
      <c r="K84" s="10">
        <v>18906157.439068951</v>
      </c>
    </row>
    <row r="85" spans="1:11" x14ac:dyDescent="0.35">
      <c r="A85" s="9" t="s">
        <v>89</v>
      </c>
      <c r="B85" s="10">
        <v>757</v>
      </c>
      <c r="C85" s="10">
        <v>2</v>
      </c>
      <c r="D85" s="10">
        <v>6</v>
      </c>
      <c r="E85" s="10">
        <v>408</v>
      </c>
      <c r="F85" s="10">
        <v>19671552.708550803</v>
      </c>
      <c r="G85" s="10">
        <v>765</v>
      </c>
      <c r="H85" s="10">
        <v>2</v>
      </c>
      <c r="I85" s="10">
        <v>7</v>
      </c>
      <c r="J85" s="10">
        <v>759</v>
      </c>
      <c r="K85" s="10">
        <v>22132214.210737165</v>
      </c>
    </row>
    <row r="86" spans="1:11" x14ac:dyDescent="0.35">
      <c r="A86" s="9" t="s">
        <v>147</v>
      </c>
      <c r="B86" s="10">
        <v>569</v>
      </c>
      <c r="C86" s="10">
        <v>1</v>
      </c>
      <c r="D86" s="10">
        <v>1</v>
      </c>
      <c r="E86" s="10">
        <v>540</v>
      </c>
      <c r="F86" s="10">
        <v>9375082.9609405603</v>
      </c>
      <c r="G86" s="10">
        <v>546</v>
      </c>
      <c r="H86" s="10">
        <v>4</v>
      </c>
      <c r="I86" s="10">
        <v>1</v>
      </c>
      <c r="J86" s="10">
        <v>493</v>
      </c>
      <c r="K86" s="10">
        <v>8934225.0752158221</v>
      </c>
    </row>
    <row r="87" spans="1:11" x14ac:dyDescent="0.35">
      <c r="A87" s="9" t="s">
        <v>164</v>
      </c>
      <c r="B87" s="10">
        <v>1762</v>
      </c>
      <c r="C87" s="10">
        <v>0</v>
      </c>
      <c r="D87" s="10">
        <v>10</v>
      </c>
      <c r="E87" s="10">
        <v>1316</v>
      </c>
      <c r="F87" s="10">
        <v>38701029.284727588</v>
      </c>
      <c r="G87" s="10">
        <v>1783</v>
      </c>
      <c r="H87" s="10">
        <v>2</v>
      </c>
      <c r="I87" s="10">
        <v>9</v>
      </c>
      <c r="J87" s="10">
        <v>1372</v>
      </c>
      <c r="K87" s="10">
        <v>46989513.872192614</v>
      </c>
    </row>
    <row r="88" spans="1:11" x14ac:dyDescent="0.35">
      <c r="A88" s="9" t="s">
        <v>91</v>
      </c>
      <c r="B88" s="10">
        <v>564</v>
      </c>
      <c r="C88" s="10">
        <v>0</v>
      </c>
      <c r="D88" s="10">
        <v>3</v>
      </c>
      <c r="E88" s="10">
        <v>734</v>
      </c>
      <c r="F88" s="10">
        <v>8622190.9655356202</v>
      </c>
      <c r="G88" s="10">
        <v>628</v>
      </c>
      <c r="H88" s="10">
        <v>2</v>
      </c>
      <c r="I88" s="10">
        <v>3</v>
      </c>
      <c r="J88" s="10">
        <v>899</v>
      </c>
      <c r="K88" s="10">
        <v>9986112.4448090214</v>
      </c>
    </row>
    <row r="89" spans="1:11" x14ac:dyDescent="0.35">
      <c r="A89" s="9" t="s">
        <v>97</v>
      </c>
      <c r="B89" s="10">
        <v>644</v>
      </c>
      <c r="C89" s="10">
        <v>4</v>
      </c>
      <c r="D89" s="10">
        <v>7</v>
      </c>
      <c r="E89" s="10">
        <v>408</v>
      </c>
      <c r="F89" s="10">
        <v>17495104.84190416</v>
      </c>
      <c r="G89" s="10">
        <v>665</v>
      </c>
      <c r="H89" s="10">
        <v>5</v>
      </c>
      <c r="I89" s="10">
        <v>8</v>
      </c>
      <c r="J89" s="10">
        <v>979</v>
      </c>
      <c r="K89" s="10">
        <v>19009001.995999392</v>
      </c>
    </row>
    <row r="90" spans="1:11" x14ac:dyDescent="0.35">
      <c r="A90" s="9" t="s">
        <v>78</v>
      </c>
      <c r="B90" s="10">
        <v>365</v>
      </c>
      <c r="C90" s="10">
        <v>2</v>
      </c>
      <c r="D90" s="10">
        <v>1</v>
      </c>
      <c r="E90" s="10">
        <v>380</v>
      </c>
      <c r="F90" s="10">
        <v>4317447.3459969955</v>
      </c>
      <c r="G90" s="10">
        <v>379</v>
      </c>
      <c r="H90" s="10">
        <v>2</v>
      </c>
      <c r="I90" s="10">
        <v>1</v>
      </c>
      <c r="J90" s="10">
        <v>33</v>
      </c>
      <c r="K90" s="10">
        <v>4177363.4227665081</v>
      </c>
    </row>
    <row r="91" spans="1:11" x14ac:dyDescent="0.35">
      <c r="A91" s="14" t="s">
        <v>203</v>
      </c>
      <c r="B91" s="13">
        <v>84798</v>
      </c>
      <c r="C91" s="13">
        <v>1001</v>
      </c>
      <c r="D91" s="13">
        <v>319</v>
      </c>
      <c r="E91" s="13">
        <v>71269</v>
      </c>
      <c r="F91" s="13">
        <v>1792079533.2534416</v>
      </c>
      <c r="G91" s="13">
        <v>84642</v>
      </c>
      <c r="H91" s="13">
        <v>1296</v>
      </c>
      <c r="I91" s="13">
        <v>315</v>
      </c>
      <c r="J91" s="13">
        <v>70910</v>
      </c>
      <c r="K91" s="13">
        <v>1868039006.9845848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2026-09-14T10:42:57Z</dcterms:modified>
</cp:coreProperties>
</file>