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N6" i="3" s="1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N10" i="3" s="1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N14" i="3" s="1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N17" i="3" s="1"/>
  <c r="O17" i="3"/>
  <c r="P17" i="3"/>
  <c r="S17" i="3"/>
  <c r="T17" i="3" s="1"/>
  <c r="F18" i="3"/>
  <c r="G18" i="3"/>
  <c r="I18" i="3"/>
  <c r="J18" i="3"/>
  <c r="L18" i="3"/>
  <c r="M18" i="3"/>
  <c r="N18" i="3" s="1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N21" i="3" s="1"/>
  <c r="O21" i="3"/>
  <c r="P21" i="3"/>
  <c r="S21" i="3"/>
  <c r="T21" i="3" s="1"/>
  <c r="F22" i="3"/>
  <c r="G22" i="3"/>
  <c r="I22" i="3"/>
  <c r="J22" i="3"/>
  <c r="L22" i="3"/>
  <c r="M22" i="3"/>
  <c r="N22" i="3" s="1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N25" i="3" s="1"/>
  <c r="O25" i="3"/>
  <c r="P25" i="3"/>
  <c r="S25" i="3"/>
  <c r="T25" i="3" s="1"/>
  <c r="F26" i="3"/>
  <c r="G26" i="3"/>
  <c r="I26" i="3"/>
  <c r="J26" i="3"/>
  <c r="L26" i="3"/>
  <c r="M26" i="3"/>
  <c r="N26" i="3" s="1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H28" i="3" s="1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N29" i="3" s="1"/>
  <c r="O29" i="3"/>
  <c r="P29" i="3"/>
  <c r="S29" i="3"/>
  <c r="T29" i="3" s="1"/>
  <c r="F30" i="3"/>
  <c r="G30" i="3"/>
  <c r="I30" i="3"/>
  <c r="J30" i="3"/>
  <c r="L30" i="3"/>
  <c r="M30" i="3"/>
  <c r="N30" i="3" s="1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N33" i="3" s="1"/>
  <c r="O33" i="3"/>
  <c r="P33" i="3"/>
  <c r="S33" i="3"/>
  <c r="T33" i="3" s="1"/>
  <c r="F34" i="3"/>
  <c r="G34" i="3"/>
  <c r="I34" i="3"/>
  <c r="J34" i="3"/>
  <c r="L34" i="3"/>
  <c r="M34" i="3"/>
  <c r="N34" i="3" s="1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N37" i="3" s="1"/>
  <c r="O37" i="3"/>
  <c r="P37" i="3"/>
  <c r="S37" i="3"/>
  <c r="T37" i="3" s="1"/>
  <c r="F38" i="3"/>
  <c r="G38" i="3"/>
  <c r="I38" i="3"/>
  <c r="J38" i="3"/>
  <c r="L38" i="3"/>
  <c r="M38" i="3"/>
  <c r="N38" i="3" s="1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N41" i="3" s="1"/>
  <c r="O41" i="3"/>
  <c r="P41" i="3"/>
  <c r="S41" i="3"/>
  <c r="T41" i="3" s="1"/>
  <c r="F42" i="3"/>
  <c r="G42" i="3"/>
  <c r="I42" i="3"/>
  <c r="J42" i="3"/>
  <c r="L42" i="3"/>
  <c r="M42" i="3"/>
  <c r="N42" i="3" s="1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N45" i="3" s="1"/>
  <c r="O45" i="3"/>
  <c r="P45" i="3"/>
  <c r="S45" i="3"/>
  <c r="T45" i="3" s="1"/>
  <c r="F46" i="3"/>
  <c r="G46" i="3"/>
  <c r="I46" i="3"/>
  <c r="J46" i="3"/>
  <c r="L46" i="3"/>
  <c r="M46" i="3"/>
  <c r="N46" i="3" s="1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N49" i="3" s="1"/>
  <c r="O49" i="3"/>
  <c r="P49" i="3"/>
  <c r="S49" i="3"/>
  <c r="T49" i="3" s="1"/>
  <c r="F50" i="3"/>
  <c r="G50" i="3"/>
  <c r="I50" i="3"/>
  <c r="J50" i="3"/>
  <c r="L50" i="3"/>
  <c r="M50" i="3"/>
  <c r="N50" i="3" s="1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N53" i="3" s="1"/>
  <c r="O53" i="3"/>
  <c r="P53" i="3"/>
  <c r="S53" i="3"/>
  <c r="T53" i="3" s="1"/>
  <c r="F54" i="3"/>
  <c r="G54" i="3"/>
  <c r="I54" i="3"/>
  <c r="J54" i="3"/>
  <c r="L54" i="3"/>
  <c r="M54" i="3"/>
  <c r="N54" i="3" s="1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N57" i="3" s="1"/>
  <c r="O57" i="3"/>
  <c r="P57" i="3"/>
  <c r="S57" i="3"/>
  <c r="T57" i="3" s="1"/>
  <c r="F58" i="3"/>
  <c r="G58" i="3"/>
  <c r="I58" i="3"/>
  <c r="J58" i="3"/>
  <c r="L58" i="3"/>
  <c r="M58" i="3"/>
  <c r="N58" i="3" s="1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N61" i="3" s="1"/>
  <c r="O61" i="3"/>
  <c r="P61" i="3"/>
  <c r="S61" i="3"/>
  <c r="T61" i="3" s="1"/>
  <c r="F62" i="3"/>
  <c r="G62" i="3"/>
  <c r="I62" i="3"/>
  <c r="J62" i="3"/>
  <c r="L62" i="3"/>
  <c r="M62" i="3"/>
  <c r="N62" i="3" s="1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N65" i="3" s="1"/>
  <c r="O65" i="3"/>
  <c r="P65" i="3"/>
  <c r="S65" i="3"/>
  <c r="T65" i="3" s="1"/>
  <c r="F66" i="3"/>
  <c r="G66" i="3"/>
  <c r="I66" i="3"/>
  <c r="J66" i="3"/>
  <c r="L66" i="3"/>
  <c r="M66" i="3"/>
  <c r="N66" i="3" s="1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N69" i="3" s="1"/>
  <c r="O69" i="3"/>
  <c r="P69" i="3"/>
  <c r="S69" i="3"/>
  <c r="T69" i="3" s="1"/>
  <c r="F70" i="3"/>
  <c r="G70" i="3"/>
  <c r="I70" i="3"/>
  <c r="J70" i="3"/>
  <c r="L70" i="3"/>
  <c r="M70" i="3"/>
  <c r="N70" i="3" s="1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N73" i="3" s="1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N77" i="3" s="1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N81" i="3" s="1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N85" i="3" s="1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N13" i="3" l="1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<sst xmlns="http://schemas.openxmlformats.org/spreadsheetml/2006/main" count="539" uniqueCount="204">
  <si>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</si>
  <si>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</si>
  <si>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</si>
  <si>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</si>
  <si>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</si>
  <si>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</si>
  <si>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</si>
  <si>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</si>
  <si>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</si>
  <si>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</si>
  <si>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</si>
  <si>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</si>
  <si>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</si>
  <si>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</si>
  <si>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</si>
  <si>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</si>
  <si>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</si>
  <si>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</si>
  <si>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</si>
  <si>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</si>
  <si>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</si>
  <si>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</si>
  <si>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</si>
  <si>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</si>
  <si>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</si>
  <si>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</si>
  <si>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</si>
  <si>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</si>
  <si>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</si>
  <si>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</si>
  <si>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</si>
  <si>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</si>
  <si>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</si>
  <si>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</si>
  <si>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</si>
  <si>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</si>
  <si>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</si>
  <si>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</si>
  <si>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</si>
  <si>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</si>
  <si>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</si>
  <si>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</si>
  <si>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</si>
  <si>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</si>
  <si>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</si>
  <si>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</si>
  <si>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</si>
  <si>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</si>
  <si>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</si>
  <si>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</si>
  <si>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</si>
  <si>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</si>
  <si>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</si>
  <si>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</si>
  <si>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</si>
  <si>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</si>
  <si>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</si>
  <si>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</si>
  <si>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</si>
  <si>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</si>
  <si>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</si>
  <si>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</si>
  <si>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</si>
  <si>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</si>
  <si>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</si>
  <si>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</si>
  <si>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</si>
  <si>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</si>
  <si>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</si>
  <si>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</si>
  <si>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</si>
  <si>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</si>
  <si>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</si>
  <si>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</si>
  <si>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</si>
  <si>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</si>
  <si>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</si>
  <si>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</si>
  <si>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</si>
  <si>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</si>
  <si>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</si>
  <si>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</si>
  <si>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</si>
  <si>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</si>
  <si>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</si>
  <si>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</si>
  <si>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</si>
  <si>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</si>
  <si>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</si>
  <si>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</si>
  <si>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</si>
  <si>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</si>
  <si>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</si>
  <si>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</si>
  <si>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</si>
  <si>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</si>
  <si>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</si>
  <si>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</si>
  <si>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</si>
  <si>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</si>
  <si>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</si>
  <si>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</si>
  <si>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</si>
  <si>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</si>
  <si>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</si>
  <si>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</si>
  <si>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</si>
  <si>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</si>
  <si>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</si>
  <si>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</si>
  <si>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</si>
  <si>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</si>
  <si>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</si>
  <si>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</si>
  <si>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</si>
  <si>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</si>
  <si>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</si>
  <si>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</si>
  <si>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</si>
  <si>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</si>
  <si>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</si>
  <si>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</si>
  <si>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</si>
  <si>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</si>
  <si>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</si>
  <si>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</si>
  <si>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</si>
  <si>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</si>
  <si>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</si>
  <si>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</si>
  <si>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</si>
  <si>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</si>
  <si>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</si>
  <si>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</si>
  <si>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</si>
  <si>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</si>
  <si>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</si>
  <si>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</si>
  <si>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</si>
  <si>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</si>
  <si>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</si>
  <si>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</si>
  <si>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</si>
  <si>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</si>
  <si>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</si>
  <si>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</si>
  <si>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</si>
  <si>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</si>
  <si>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</si>
  <si>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</si>
  <si>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</si>
  <si>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</si>
  <si>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</si>
  <si>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</si>
  <si>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</si>
  <si>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</si>
  <si>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</si>
  <si>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</si>
  <si>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</si>
  <si>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</si>
  <si>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</si>
  <si>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</si>
  <si>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</si>
  <si>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</si>
  <si>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</si>
  <si>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</si>
  <si>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</si>
  <si>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</si>
  <si>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</si>
  <si>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</si>
  <si>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</si>
  <si>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</si>
  <si>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</si>
  <si>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</si>
  <si>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</si>
  <si>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</si>
  <si>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</si>
  <si>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</si>
  <si>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</si>
  <si>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</si>
  <si>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</si>
  <si>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</si>
  <si>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</si>
  <si>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</si>
  <si>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</si>
  <si>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</si>
  <si>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</si>
  <si>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</si>
  <si>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</si>
  <si>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</si>
  <si>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</si>
  <si>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</si>
  <si>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</si>
  <si>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</si>
  <si>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</si>
  <si>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</si>
  <si>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</si>
  <si>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</si>
  <si>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RGU GA TRADE</t>
  </si>
  <si>
    <t>Sum of FWA VLR</t>
  </si>
  <si>
    <t>Sum of VLR SUBS</t>
  </si>
  <si>
    <t>Sum of PREPAID REVENUE NETT</t>
  </si>
  <si>
    <t>20BEK0049</t>
  </si>
  <si>
    <t>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</si>
</sst>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workbookViewId="0">
      <pane xSplit="1" ySplit="1" topLeftCell="B68" activePane="bottomRight" state="frozen"/>
      <selection pane="topRight" activeCell="C1" sqref="C1"/>
      <selection pane="bottomLeft" activeCell="A2" sqref="A2"/>
      <selection pane="bottomRight" sqref="A1:C85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203</v>
      </c>
      <c r="I1" s="3" t="s">
        <v>188</v>
      </c>
      <c r="J1" s="3" t="s">
        <v>187</v>
      </c>
      <c r="K1" s="5" t="s">
        <v>203</v>
      </c>
      <c r="L1" s="3" t="s">
        <v>189</v>
      </c>
      <c r="M1" s="3" t="s">
        <v>184</v>
      </c>
      <c r="N1" s="5" t="s">
        <v>203</v>
      </c>
      <c r="O1" s="5" t="s">
        <v>190</v>
      </c>
      <c r="P1" s="5" t="s">
        <v>191</v>
      </c>
      <c r="Q1" s="5" t="s">
        <v>203</v>
      </c>
      <c r="R1" s="5" t="s">
        <v>193</v>
      </c>
      <c r="S1" s="5" t="s">
        <v>192</v>
      </c>
      <c r="T1" s="5" t="s">
        <v>203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11813210.545567276</v>
      </c>
      <c r="G2" s="1">
        <f>VLOOKUP(A:A,MASTER!A:K,11,0)</f>
        <v>11602296.38923113</v>
      </c>
      <c r="H2" s="12">
        <f>IFERROR(G2/F2-1,0)</f>
        <v>-1.7854092714472802E-2</v>
      </c>
      <c r="I2" s="2">
        <f>VLOOKUP(A:A,MASTER!A:E,5,0)</f>
        <v>324</v>
      </c>
      <c r="J2" s="2">
        <f>VLOOKUP(A:A,MASTER!A:J,10,0)</f>
        <v>428</v>
      </c>
      <c r="K2" s="12">
        <f>IFERROR(J2/I2-1,0)</f>
        <v>0.32098765432098775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3</v>
      </c>
      <c r="P2" s="1">
        <f>VLOOKUP(A:A,MASTER!A:H,8,0)</f>
        <v>0</v>
      </c>
      <c r="Q2" s="12">
        <f>IFERROR(P2/O2-1,0)</f>
        <v>-1</v>
      </c>
      <c r="R2" s="1">
        <f>VLOOKUP(A:A,MASTER!A:B,2,0)</f>
        <v>416</v>
      </c>
      <c r="S2">
        <f>VLOOKUP(A:A,MASTER!A:G,7,0)</f>
        <v>415</v>
      </c>
      <c r="T2" s="12">
        <f>IFERROR(S2/R2-1,0)</f>
        <v>-2.4038461538461453E-3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14558309.604847057</v>
      </c>
      <c r="G3" s="1">
        <f>VLOOKUP(A:A,MASTER!A:K,11,0)</f>
        <v>13595181.152484637</v>
      </c>
      <c r="H3" s="12">
        <f t="shared" ref="H3:H66" si="0">IFERROR(G3/F3-1,0)</f>
        <v>-6.6156612855777897E-2</v>
      </c>
      <c r="I3" s="2">
        <f>VLOOKUP(A:A,MASTER!A:E,5,0)</f>
        <v>454</v>
      </c>
      <c r="J3" s="2">
        <f>VLOOKUP(A:A,MASTER!A:J,10,0)</f>
        <v>519</v>
      </c>
      <c r="K3" s="12">
        <f t="shared" ref="K3:K66" si="1">IFERROR(J3/I3-1,0)</f>
        <v>0.14317180616740077</v>
      </c>
      <c r="L3" s="2">
        <f>VLOOKUP(A:A,MASTER!A:D,4,0)</f>
        <v>1</v>
      </c>
      <c r="M3" s="2">
        <f>VLOOKUP(A:A,MASTER!A:I,9,0)</f>
        <v>3</v>
      </c>
      <c r="N3" s="12">
        <f t="shared" ref="N3:N66" si="2">IFERROR(M3/L3-1,0)</f>
        <v>2</v>
      </c>
      <c r="O3" s="1">
        <f>VLOOKUP(A:A,MASTER!A:C,3,0)</f>
        <v>2</v>
      </c>
      <c r="P3" s="1">
        <f>VLOOKUP(A:A,MASTER!A:H,8,0)</f>
        <v>5</v>
      </c>
      <c r="Q3" s="12">
        <f t="shared" ref="Q3:Q66" si="3">IFERROR(P3/O3-1,0)</f>
        <v>1.5</v>
      </c>
      <c r="R3" s="1">
        <f>VLOOKUP(A:A,MASTER!A:B,2,0)</f>
        <v>678</v>
      </c>
      <c r="S3">
        <f>VLOOKUP(A:A,MASTER!A:G,7,0)</f>
        <v>639</v>
      </c>
      <c r="T3" s="12">
        <f t="shared" ref="T3:T66" si="4">IFERROR(S3/R3-1,0)</f>
        <v>-5.7522123893805288E-2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15765702.050982265</v>
      </c>
      <c r="G4" s="1">
        <f>VLOOKUP(A:A,MASTER!A:K,11,0)</f>
        <v>18573202.176985394</v>
      </c>
      <c r="H4" s="12">
        <f t="shared" si="0"/>
        <v>0.17807644194495054</v>
      </c>
      <c r="I4" s="2">
        <f>VLOOKUP(A:A,MASTER!A:E,5,0)</f>
        <v>852</v>
      </c>
      <c r="J4" s="2">
        <f>VLOOKUP(A:A,MASTER!A:J,10,0)</f>
        <v>790</v>
      </c>
      <c r="K4" s="12">
        <f t="shared" si="1"/>
        <v>-7.2769953051643244E-2</v>
      </c>
      <c r="L4" s="2">
        <f>VLOOKUP(A:A,MASTER!A:D,4,0)</f>
        <v>2</v>
      </c>
      <c r="M4" s="2">
        <f>VLOOKUP(A:A,MASTER!A:I,9,0)</f>
        <v>1</v>
      </c>
      <c r="N4" s="12">
        <f t="shared" si="2"/>
        <v>-0.5</v>
      </c>
      <c r="O4" s="1">
        <f>VLOOKUP(A:A,MASTER!A:C,3,0)</f>
        <v>7</v>
      </c>
      <c r="P4" s="1">
        <f>VLOOKUP(A:A,MASTER!A:H,8,0)</f>
        <v>7</v>
      </c>
      <c r="Q4" s="12">
        <f t="shared" si="3"/>
        <v>0</v>
      </c>
      <c r="R4" s="1">
        <f>VLOOKUP(A:A,MASTER!A:B,2,0)</f>
        <v>684</v>
      </c>
      <c r="S4">
        <f>VLOOKUP(A:A,MASTER!A:G,7,0)</f>
        <v>764</v>
      </c>
      <c r="T4" s="12">
        <f t="shared" si="4"/>
        <v>0.11695906432748537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28310468.960497696</v>
      </c>
      <c r="G5" s="1">
        <f>VLOOKUP(A:A,MASTER!A:K,11,0)</f>
        <v>29309668.523300178</v>
      </c>
      <c r="H5" s="12">
        <f t="shared" si="0"/>
        <v>3.5294348680577903E-2</v>
      </c>
      <c r="I5" s="2">
        <f>VLOOKUP(A:A,MASTER!A:E,5,0)</f>
        <v>1378</v>
      </c>
      <c r="J5" s="2">
        <f>VLOOKUP(A:A,MASTER!A:J,10,0)</f>
        <v>1107</v>
      </c>
      <c r="K5" s="12">
        <f t="shared" si="1"/>
        <v>-0.19666182873730043</v>
      </c>
      <c r="L5" s="2">
        <f>VLOOKUP(A:A,MASTER!A:D,4,0)</f>
        <v>3</v>
      </c>
      <c r="M5" s="2">
        <f>VLOOKUP(A:A,MASTER!A:I,9,0)</f>
        <v>4</v>
      </c>
      <c r="N5" s="12">
        <f t="shared" si="2"/>
        <v>0.33333333333333326</v>
      </c>
      <c r="O5" s="1">
        <f>VLOOKUP(A:A,MASTER!A:C,3,0)</f>
        <v>6</v>
      </c>
      <c r="P5" s="1">
        <f>VLOOKUP(A:A,MASTER!A:H,8,0)</f>
        <v>7</v>
      </c>
      <c r="Q5" s="12">
        <f t="shared" si="3"/>
        <v>0.16666666666666674</v>
      </c>
      <c r="R5" s="1">
        <f>VLOOKUP(A:A,MASTER!A:B,2,0)</f>
        <v>1182</v>
      </c>
      <c r="S5">
        <f>VLOOKUP(A:A,MASTER!A:G,7,0)</f>
        <v>1204</v>
      </c>
      <c r="T5" s="12">
        <f t="shared" si="4"/>
        <v>1.8612521150592309E-2</v>
      </c>
      <c r="U5">
        <v>3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11757304.216271428</v>
      </c>
      <c r="G6" s="1">
        <f>VLOOKUP(A:A,MASTER!A:K,11,0)</f>
        <v>13279203.146268772</v>
      </c>
      <c r="H6" s="12">
        <f t="shared" si="0"/>
        <v>0.12944284693179275</v>
      </c>
      <c r="I6" s="2">
        <f>VLOOKUP(A:A,MASTER!A:E,5,0)</f>
        <v>395</v>
      </c>
      <c r="J6" s="2">
        <f>VLOOKUP(A:A,MASTER!A:J,10,0)</f>
        <v>365</v>
      </c>
      <c r="K6" s="12">
        <f t="shared" si="1"/>
        <v>-7.5949367088607556E-2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1</v>
      </c>
      <c r="P6" s="1">
        <f>VLOOKUP(A:A,MASTER!A:H,8,0)</f>
        <v>1</v>
      </c>
      <c r="Q6" s="12">
        <f t="shared" si="3"/>
        <v>0</v>
      </c>
      <c r="R6" s="1">
        <f>VLOOKUP(A:A,MASTER!A:B,2,0)</f>
        <v>413</v>
      </c>
      <c r="S6">
        <f>VLOOKUP(A:A,MASTER!A:G,7,0)</f>
        <v>408</v>
      </c>
      <c r="T6" s="12">
        <f t="shared" si="4"/>
        <v>-1.2106537530266359E-2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10339799.678089332</v>
      </c>
      <c r="G7" s="1">
        <f>VLOOKUP(A:A,MASTER!A:K,11,0)</f>
        <v>10850637.181308759</v>
      </c>
      <c r="H7" s="12">
        <f t="shared" si="0"/>
        <v>4.9404970997835029E-2</v>
      </c>
      <c r="I7" s="2">
        <f>VLOOKUP(A:A,MASTER!A:E,5,0)</f>
        <v>353</v>
      </c>
      <c r="J7" s="2">
        <f>VLOOKUP(A:A,MASTER!A:J,10,0)</f>
        <v>288</v>
      </c>
      <c r="K7" s="12">
        <f t="shared" si="1"/>
        <v>-0.18413597733711051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3</v>
      </c>
      <c r="P7" s="1">
        <f>VLOOKUP(A:A,MASTER!A:H,8,0)</f>
        <v>3</v>
      </c>
      <c r="Q7" s="12">
        <f t="shared" si="3"/>
        <v>0</v>
      </c>
      <c r="R7" s="1">
        <f>VLOOKUP(A:A,MASTER!A:B,2,0)</f>
        <v>374</v>
      </c>
      <c r="S7">
        <f>VLOOKUP(A:A,MASTER!A:G,7,0)</f>
        <v>386</v>
      </c>
      <c r="T7" s="12">
        <f t="shared" si="4"/>
        <v>3.2085561497326109E-2</v>
      </c>
      <c r="U7">
        <v>2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11840920.056150315</v>
      </c>
      <c r="G8" s="1">
        <f>VLOOKUP(A:A,MASTER!A:K,11,0)</f>
        <v>13055381.858272109</v>
      </c>
      <c r="H8" s="12">
        <f t="shared" si="0"/>
        <v>0.10256481729145595</v>
      </c>
      <c r="I8" s="2">
        <f>VLOOKUP(A:A,MASTER!A:E,5,0)</f>
        <v>468</v>
      </c>
      <c r="J8" s="2">
        <f>VLOOKUP(A:A,MASTER!A:J,10,0)</f>
        <v>525</v>
      </c>
      <c r="K8" s="12">
        <f t="shared" si="1"/>
        <v>0.12179487179487181</v>
      </c>
      <c r="L8" s="2">
        <f>VLOOKUP(A:A,MASTER!A:D,4,0)</f>
        <v>1</v>
      </c>
      <c r="M8" s="2">
        <f>VLOOKUP(A:A,MASTER!A:I,9,0)</f>
        <v>2</v>
      </c>
      <c r="N8" s="12">
        <f t="shared" si="2"/>
        <v>1</v>
      </c>
      <c r="O8" s="1">
        <f>VLOOKUP(A:A,MASTER!A:C,3,0)</f>
        <v>1</v>
      </c>
      <c r="P8" s="1">
        <f>VLOOKUP(A:A,MASTER!A:H,8,0)</f>
        <v>2</v>
      </c>
      <c r="Q8" s="12">
        <f t="shared" si="3"/>
        <v>1</v>
      </c>
      <c r="R8" s="1">
        <f>VLOOKUP(A:A,MASTER!A:B,2,0)</f>
        <v>597</v>
      </c>
      <c r="S8">
        <f>VLOOKUP(A:A,MASTER!A:G,7,0)</f>
        <v>595</v>
      </c>
      <c r="T8" s="12">
        <f t="shared" si="4"/>
        <v>-3.3500837520937798E-3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5538273.8270198824</v>
      </c>
      <c r="G9" s="1">
        <f>VLOOKUP(A:A,MASTER!A:K,11,0)</f>
        <v>5740248.3143004626</v>
      </c>
      <c r="H9" s="12">
        <f t="shared" si="0"/>
        <v>3.6468851773849842E-2</v>
      </c>
      <c r="I9" s="2">
        <f>VLOOKUP(A:A,MASTER!A:E,5,0)</f>
        <v>146</v>
      </c>
      <c r="J9" s="2">
        <f>VLOOKUP(A:A,MASTER!A:J,10,0)</f>
        <v>136</v>
      </c>
      <c r="K9" s="12">
        <f t="shared" si="1"/>
        <v>-6.8493150684931559E-2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0</v>
      </c>
      <c r="P9" s="1">
        <f>VLOOKUP(A:A,MASTER!A:H,8,0)</f>
        <v>0</v>
      </c>
      <c r="Q9" s="12">
        <f t="shared" si="3"/>
        <v>0</v>
      </c>
      <c r="R9" s="1">
        <f>VLOOKUP(A:A,MASTER!A:B,2,0)</f>
        <v>171</v>
      </c>
      <c r="S9">
        <f>VLOOKUP(A:A,MASTER!A:G,7,0)</f>
        <v>170</v>
      </c>
      <c r="T9" s="12">
        <f t="shared" si="4"/>
        <v>-5.8479532163743242E-3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5377723.235344599</v>
      </c>
      <c r="G10" s="1">
        <f>VLOOKUP(A:A,MASTER!A:K,11,0)</f>
        <v>2513527.1167136971</v>
      </c>
      <c r="H10" s="12">
        <f t="shared" si="0"/>
        <v>-0.53260385357993734</v>
      </c>
      <c r="I10" s="2">
        <f>VLOOKUP(A:A,MASTER!A:E,5,0)</f>
        <v>157</v>
      </c>
      <c r="J10" s="2">
        <f>VLOOKUP(A:A,MASTER!A:J,10,0)</f>
        <v>172</v>
      </c>
      <c r="K10" s="12">
        <f t="shared" si="1"/>
        <v>9.5541401273885329E-2</v>
      </c>
      <c r="L10" s="2">
        <f>VLOOKUP(A:A,MASTER!A:D,4,0)</f>
        <v>0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1</v>
      </c>
      <c r="Q10" s="12">
        <f t="shared" si="3"/>
        <v>0</v>
      </c>
      <c r="R10" s="1">
        <f>VLOOKUP(A:A,MASTER!A:B,2,0)</f>
        <v>198</v>
      </c>
      <c r="S10">
        <f>VLOOKUP(A:A,MASTER!A:G,7,0)</f>
        <v>186</v>
      </c>
      <c r="T10" s="12">
        <f t="shared" si="4"/>
        <v>-6.0606060606060552E-2</v>
      </c>
      <c r="U10">
        <v>1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8449767.6351467129</v>
      </c>
      <c r="G11" s="1">
        <f>VLOOKUP(A:A,MASTER!A:K,11,0)</f>
        <v>11274051.916730504</v>
      </c>
      <c r="H11" s="12">
        <f t="shared" si="0"/>
        <v>0.33424401753205779</v>
      </c>
      <c r="I11" s="2">
        <f>VLOOKUP(A:A,MASTER!A:E,5,0)</f>
        <v>357</v>
      </c>
      <c r="J11" s="2">
        <f>VLOOKUP(A:A,MASTER!A:J,10,0)</f>
        <v>360</v>
      </c>
      <c r="K11" s="12">
        <f t="shared" si="1"/>
        <v>8.4033613445377853E-3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0</v>
      </c>
      <c r="P11" s="1">
        <f>VLOOKUP(A:A,MASTER!A:H,8,0)</f>
        <v>2</v>
      </c>
      <c r="Q11" s="12">
        <f t="shared" si="3"/>
        <v>0</v>
      </c>
      <c r="R11" s="1">
        <f>VLOOKUP(A:A,MASTER!A:B,2,0)</f>
        <v>342</v>
      </c>
      <c r="S11">
        <f>VLOOKUP(A:A,MASTER!A:G,7,0)</f>
        <v>381</v>
      </c>
      <c r="T11" s="12">
        <f t="shared" si="4"/>
        <v>0.11403508771929816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4041060.1390938722</v>
      </c>
      <c r="G12" s="1">
        <f>VLOOKUP(A:A,MASTER!A:K,11,0)</f>
        <v>5806029.4254871206</v>
      </c>
      <c r="H12" s="12">
        <f t="shared" si="0"/>
        <v>0.43675897552690413</v>
      </c>
      <c r="I12" s="2">
        <f>VLOOKUP(A:A,MASTER!A:E,5,0)</f>
        <v>228</v>
      </c>
      <c r="J12" s="2">
        <f>VLOOKUP(A:A,MASTER!A:J,10,0)</f>
        <v>267</v>
      </c>
      <c r="K12" s="12">
        <f t="shared" si="1"/>
        <v>0.17105263157894735</v>
      </c>
      <c r="L12" s="2">
        <f>VLOOKUP(A:A,MASTER!A:D,4,0)</f>
        <v>1</v>
      </c>
      <c r="M12" s="2">
        <f>VLOOKUP(A:A,MASTER!A:I,9,0)</f>
        <v>2</v>
      </c>
      <c r="N12" s="12">
        <f t="shared" si="2"/>
        <v>1</v>
      </c>
      <c r="O12" s="1">
        <f>VLOOKUP(A:A,MASTER!A:C,3,0)</f>
        <v>0</v>
      </c>
      <c r="P12" s="1">
        <f>VLOOKUP(A:A,MASTER!A:H,8,0)</f>
        <v>0</v>
      </c>
      <c r="Q12" s="12">
        <f t="shared" si="3"/>
        <v>0</v>
      </c>
      <c r="R12" s="1">
        <f>VLOOKUP(A:A,MASTER!A:B,2,0)</f>
        <v>210</v>
      </c>
      <c r="S12">
        <f>VLOOKUP(A:A,MASTER!A:G,7,0)</f>
        <v>220</v>
      </c>
      <c r="T12" s="12">
        <f t="shared" si="4"/>
        <v>4.7619047619047672E-2</v>
      </c>
      <c r="U12">
        <v>3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5431815.5109380577</v>
      </c>
      <c r="G13" s="1">
        <f>VLOOKUP(A:A,MASTER!A:K,11,0)</f>
        <v>6161717.6329658534</v>
      </c>
      <c r="H13" s="12">
        <f t="shared" si="0"/>
        <v>0.13437535213741891</v>
      </c>
      <c r="I13" s="2">
        <f>VLOOKUP(A:A,MASTER!A:E,5,0)</f>
        <v>219</v>
      </c>
      <c r="J13" s="2">
        <f>VLOOKUP(A:A,MASTER!A:J,10,0)</f>
        <v>229</v>
      </c>
      <c r="K13" s="12">
        <f t="shared" si="1"/>
        <v>4.5662100456621113E-2</v>
      </c>
      <c r="L13" s="2">
        <f>VLOOKUP(A:A,MASTER!A:D,4,0)</f>
        <v>1</v>
      </c>
      <c r="M13" s="2">
        <f>VLOOKUP(A:A,MASTER!A:I,9,0)</f>
        <v>2</v>
      </c>
      <c r="N13" s="12">
        <f t="shared" si="2"/>
        <v>1</v>
      </c>
      <c r="O13" s="1">
        <f>VLOOKUP(A:A,MASTER!A:C,3,0)</f>
        <v>7</v>
      </c>
      <c r="P13" s="1">
        <f>VLOOKUP(A:A,MASTER!A:H,8,0)</f>
        <v>1</v>
      </c>
      <c r="Q13" s="12">
        <f t="shared" si="3"/>
        <v>-0.85714285714285721</v>
      </c>
      <c r="R13" s="1">
        <f>VLOOKUP(A:A,MASTER!A:B,2,0)</f>
        <v>254</v>
      </c>
      <c r="S13">
        <f>VLOOKUP(A:A,MASTER!A:G,7,0)</f>
        <v>241</v>
      </c>
      <c r="T13" s="12">
        <f t="shared" si="4"/>
        <v>-5.1181102362204745E-2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10793808.574127875</v>
      </c>
      <c r="G14" s="1">
        <f>VLOOKUP(A:A,MASTER!A:K,11,0)</f>
        <v>25119200.515578978</v>
      </c>
      <c r="H14" s="12">
        <f t="shared" si="0"/>
        <v>1.3271860292008721</v>
      </c>
      <c r="I14" s="2">
        <f>VLOOKUP(A:A,MASTER!A:E,5,0)</f>
        <v>1258</v>
      </c>
      <c r="J14" s="2">
        <f>VLOOKUP(A:A,MASTER!A:J,10,0)</f>
        <v>1101</v>
      </c>
      <c r="K14" s="12">
        <f t="shared" si="1"/>
        <v>-0.12480127186009538</v>
      </c>
      <c r="L14" s="2">
        <f>VLOOKUP(A:A,MASTER!A:D,4,0)</f>
        <v>2</v>
      </c>
      <c r="M14" s="2">
        <f>VLOOKUP(A:A,MASTER!A:I,9,0)</f>
        <v>3</v>
      </c>
      <c r="N14" s="12">
        <f t="shared" si="2"/>
        <v>0.5</v>
      </c>
      <c r="O14" s="1">
        <f>VLOOKUP(A:A,MASTER!A:C,3,0)</f>
        <v>0</v>
      </c>
      <c r="P14" s="1">
        <f>VLOOKUP(A:A,MASTER!A:H,8,0)</f>
        <v>4</v>
      </c>
      <c r="Q14" s="12">
        <f t="shared" si="3"/>
        <v>0</v>
      </c>
      <c r="R14" s="1">
        <f>VLOOKUP(A:A,MASTER!A:B,2,0)</f>
        <v>1427</v>
      </c>
      <c r="S14">
        <f>VLOOKUP(A:A,MASTER!A:G,7,0)</f>
        <v>1428</v>
      </c>
      <c r="T14" s="12">
        <f t="shared" si="4"/>
        <v>7.0077084793274125E-4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36194509.831490748</v>
      </c>
      <c r="G15" s="1">
        <f>VLOOKUP(A:A,MASTER!A:K,11,0)</f>
        <v>43111493.808943726</v>
      </c>
      <c r="H15" s="12">
        <f t="shared" si="0"/>
        <v>0.19110588897752967</v>
      </c>
      <c r="I15" s="2">
        <f>VLOOKUP(A:A,MASTER!A:E,5,0)</f>
        <v>258</v>
      </c>
      <c r="J15" s="2">
        <f>VLOOKUP(A:A,MASTER!A:J,10,0)</f>
        <v>895</v>
      </c>
      <c r="K15" s="12">
        <f t="shared" si="1"/>
        <v>2.4689922480620154</v>
      </c>
      <c r="L15" s="2">
        <f>VLOOKUP(A:A,MASTER!A:D,4,0)</f>
        <v>2</v>
      </c>
      <c r="M15" s="2">
        <f>VLOOKUP(A:A,MASTER!A:I,9,0)</f>
        <v>3</v>
      </c>
      <c r="N15" s="12">
        <f t="shared" si="2"/>
        <v>0.5</v>
      </c>
      <c r="O15" s="1">
        <f>VLOOKUP(A:A,MASTER!A:C,3,0)</f>
        <v>0</v>
      </c>
      <c r="P15" s="1">
        <f>VLOOKUP(A:A,MASTER!A:H,8,0)</f>
        <v>2</v>
      </c>
      <c r="Q15" s="12">
        <f t="shared" si="3"/>
        <v>0</v>
      </c>
      <c r="R15" s="1">
        <f>VLOOKUP(A:A,MASTER!A:B,2,0)</f>
        <v>1278</v>
      </c>
      <c r="S15">
        <f>VLOOKUP(A:A,MASTER!A:G,7,0)</f>
        <v>1235</v>
      </c>
      <c r="T15" s="12">
        <f t="shared" si="4"/>
        <v>-3.3646322378716786E-2</v>
      </c>
      <c r="U15">
        <v>4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23300861.495705463</v>
      </c>
      <c r="G16" s="1">
        <f>VLOOKUP(A:A,MASTER!A:K,11,0)</f>
        <v>23318745.82605692</v>
      </c>
      <c r="H16" s="12">
        <f t="shared" si="0"/>
        <v>7.6753944718976896E-4</v>
      </c>
      <c r="I16" s="2">
        <f>VLOOKUP(A:A,MASTER!A:E,5,0)</f>
        <v>896</v>
      </c>
      <c r="J16" s="2">
        <f>VLOOKUP(A:A,MASTER!A:J,10,0)</f>
        <v>894</v>
      </c>
      <c r="K16" s="12">
        <f t="shared" si="1"/>
        <v>-2.2321428571429047E-3</v>
      </c>
      <c r="L16" s="2">
        <f>VLOOKUP(A:A,MASTER!A:D,4,0)</f>
        <v>4</v>
      </c>
      <c r="M16" s="2">
        <f>VLOOKUP(A:A,MASTER!A:I,9,0)</f>
        <v>5</v>
      </c>
      <c r="N16" s="12">
        <f t="shared" si="2"/>
        <v>0.25</v>
      </c>
      <c r="O16" s="1">
        <f>VLOOKUP(A:A,MASTER!A:C,3,0)</f>
        <v>3</v>
      </c>
      <c r="P16" s="1">
        <f>VLOOKUP(A:A,MASTER!A:H,8,0)</f>
        <v>4</v>
      </c>
      <c r="Q16" s="12">
        <f t="shared" si="3"/>
        <v>0.33333333333333326</v>
      </c>
      <c r="R16" s="1">
        <f>VLOOKUP(A:A,MASTER!A:B,2,0)</f>
        <v>1022</v>
      </c>
      <c r="S16">
        <f>VLOOKUP(A:A,MASTER!A:G,7,0)</f>
        <v>1028</v>
      </c>
      <c r="T16" s="12">
        <f t="shared" si="4"/>
        <v>5.8708414872798986E-3</v>
      </c>
      <c r="U16">
        <v>4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22855372.760754973</v>
      </c>
      <c r="G17" s="1">
        <f>VLOOKUP(A:A,MASTER!A:K,11,0)</f>
        <v>18884057.695519928</v>
      </c>
      <c r="H17" s="12">
        <f t="shared" si="0"/>
        <v>-0.17375849025985701</v>
      </c>
      <c r="I17" s="2">
        <f>VLOOKUP(A:A,MASTER!A:E,5,0)</f>
        <v>665</v>
      </c>
      <c r="J17" s="2">
        <f>VLOOKUP(A:A,MASTER!A:J,10,0)</f>
        <v>696</v>
      </c>
      <c r="K17" s="12">
        <f t="shared" si="1"/>
        <v>4.6616541353383445E-2</v>
      </c>
      <c r="L17" s="2">
        <f>VLOOKUP(A:A,MASTER!A:D,4,0)</f>
        <v>3</v>
      </c>
      <c r="M17" s="2">
        <f>VLOOKUP(A:A,MASTER!A:I,9,0)</f>
        <v>3</v>
      </c>
      <c r="N17" s="12">
        <f t="shared" si="2"/>
        <v>0</v>
      </c>
      <c r="O17" s="1">
        <f>VLOOKUP(A:A,MASTER!A:C,3,0)</f>
        <v>1</v>
      </c>
      <c r="P17" s="1">
        <f>VLOOKUP(A:A,MASTER!A:H,8,0)</f>
        <v>4</v>
      </c>
      <c r="Q17" s="12">
        <f t="shared" si="3"/>
        <v>3</v>
      </c>
      <c r="R17" s="1">
        <f>VLOOKUP(A:A,MASTER!A:B,2,0)</f>
        <v>964</v>
      </c>
      <c r="S17">
        <f>VLOOKUP(A:A,MASTER!A:G,7,0)</f>
        <v>916</v>
      </c>
      <c r="T17" s="12">
        <f t="shared" si="4"/>
        <v>-4.9792531120331995E-2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79706464.844519541</v>
      </c>
      <c r="G18" s="1">
        <f>VLOOKUP(A:A,MASTER!A:K,11,0)</f>
        <v>86512250.853451744</v>
      </c>
      <c r="H18" s="12">
        <f t="shared" si="0"/>
        <v>8.5385621131334855E-2</v>
      </c>
      <c r="I18" s="2">
        <f>VLOOKUP(A:A,MASTER!A:E,5,0)</f>
        <v>2875</v>
      </c>
      <c r="J18" s="2">
        <f>VLOOKUP(A:A,MASTER!A:J,10,0)</f>
        <v>2092</v>
      </c>
      <c r="K18" s="12">
        <f t="shared" si="1"/>
        <v>-0.27234782608695651</v>
      </c>
      <c r="L18" s="2">
        <f>VLOOKUP(A:A,MASTER!A:D,4,0)</f>
        <v>10</v>
      </c>
      <c r="M18" s="2">
        <f>VLOOKUP(A:A,MASTER!A:I,9,0)</f>
        <v>10</v>
      </c>
      <c r="N18" s="12">
        <f t="shared" si="2"/>
        <v>0</v>
      </c>
      <c r="O18" s="1">
        <f>VLOOKUP(A:A,MASTER!A:C,3,0)</f>
        <v>624</v>
      </c>
      <c r="P18" s="1">
        <f>VLOOKUP(A:A,MASTER!A:H,8,0)</f>
        <v>181</v>
      </c>
      <c r="Q18" s="12">
        <f t="shared" si="3"/>
        <v>-0.70993589743589736</v>
      </c>
      <c r="R18" s="1">
        <f>VLOOKUP(A:A,MASTER!A:B,2,0)</f>
        <v>3231</v>
      </c>
      <c r="S18">
        <f>VLOOKUP(A:A,MASTER!A:G,7,0)</f>
        <v>2813</v>
      </c>
      <c r="T18" s="12">
        <f t="shared" si="4"/>
        <v>-0.12937171154441351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43461261.025939107</v>
      </c>
      <c r="G19" s="1">
        <f>VLOOKUP(A:A,MASTER!A:K,11,0)</f>
        <v>25993637.843131464</v>
      </c>
      <c r="H19" s="12">
        <f t="shared" si="0"/>
        <v>-0.40191247953855713</v>
      </c>
      <c r="I19" s="2">
        <f>VLOOKUP(A:A,MASTER!A:E,5,0)</f>
        <v>1188</v>
      </c>
      <c r="J19" s="2">
        <f>VLOOKUP(A:A,MASTER!A:J,10,0)</f>
        <v>1167</v>
      </c>
      <c r="K19" s="12">
        <f t="shared" si="1"/>
        <v>-1.7676767676767624E-2</v>
      </c>
      <c r="L19" s="2">
        <f>VLOOKUP(A:A,MASTER!A:D,4,0)</f>
        <v>2</v>
      </c>
      <c r="M19" s="2">
        <f>VLOOKUP(A:A,MASTER!A:I,9,0)</f>
        <v>1</v>
      </c>
      <c r="N19" s="12">
        <f t="shared" si="2"/>
        <v>-0.5</v>
      </c>
      <c r="O19" s="1">
        <f>VLOOKUP(A:A,MASTER!A:C,3,0)</f>
        <v>0</v>
      </c>
      <c r="P19" s="1">
        <f>VLOOKUP(A:A,MASTER!A:H,8,0)</f>
        <v>6</v>
      </c>
      <c r="Q19" s="12">
        <f t="shared" si="3"/>
        <v>0</v>
      </c>
      <c r="R19" s="1">
        <f>VLOOKUP(A:A,MASTER!A:B,2,0)</f>
        <v>1443</v>
      </c>
      <c r="S19">
        <f>VLOOKUP(A:A,MASTER!A:G,7,0)</f>
        <v>1381</v>
      </c>
      <c r="T19" s="12">
        <f t="shared" si="4"/>
        <v>-4.2966042966043005E-2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87326341.867069647</v>
      </c>
      <c r="G20" s="1">
        <f>VLOOKUP(A:A,MASTER!A:K,11,0)</f>
        <v>87531836.582215488</v>
      </c>
      <c r="H20" s="12">
        <f t="shared" si="0"/>
        <v>2.3531813053458972E-3</v>
      </c>
      <c r="I20" s="2">
        <f>VLOOKUP(A:A,MASTER!A:E,5,0)</f>
        <v>2522</v>
      </c>
      <c r="J20" s="2">
        <f>VLOOKUP(A:A,MASTER!A:J,10,0)</f>
        <v>2002</v>
      </c>
      <c r="K20" s="12">
        <f t="shared" si="1"/>
        <v>-0.20618556701030932</v>
      </c>
      <c r="L20" s="2">
        <f>VLOOKUP(A:A,MASTER!A:D,4,0)</f>
        <v>11</v>
      </c>
      <c r="M20" s="2">
        <f>VLOOKUP(A:A,MASTER!A:I,9,0)</f>
        <v>10</v>
      </c>
      <c r="N20" s="12">
        <f t="shared" si="2"/>
        <v>-9.0909090909090939E-2</v>
      </c>
      <c r="O20" s="1">
        <f>VLOOKUP(A:A,MASTER!A:C,3,0)</f>
        <v>15</v>
      </c>
      <c r="P20" s="1">
        <f>VLOOKUP(A:A,MASTER!A:H,8,0)</f>
        <v>18</v>
      </c>
      <c r="Q20" s="12">
        <f t="shared" si="3"/>
        <v>0.19999999999999996</v>
      </c>
      <c r="R20" s="1">
        <f>VLOOKUP(A:A,MASTER!A:B,2,0)</f>
        <v>3008</v>
      </c>
      <c r="S20">
        <f>VLOOKUP(A:A,MASTER!A:G,7,0)</f>
        <v>2936</v>
      </c>
      <c r="T20" s="12">
        <f t="shared" si="4"/>
        <v>-2.393617021276595E-2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12335831.009248348</v>
      </c>
      <c r="G21" s="1">
        <f>VLOOKUP(A:A,MASTER!A:K,11,0)</f>
        <v>13179743.144659448</v>
      </c>
      <c r="H21" s="12">
        <f t="shared" si="0"/>
        <v>6.8411453981366055E-2</v>
      </c>
      <c r="I21" s="2">
        <f>VLOOKUP(A:A,MASTER!A:E,5,0)</f>
        <v>459</v>
      </c>
      <c r="J21" s="2">
        <f>VLOOKUP(A:A,MASTER!A:J,10,0)</f>
        <v>482</v>
      </c>
      <c r="K21" s="12">
        <f t="shared" si="1"/>
        <v>5.0108932461873534E-2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6</v>
      </c>
      <c r="P21" s="1">
        <f>VLOOKUP(A:A,MASTER!A:H,8,0)</f>
        <v>5</v>
      </c>
      <c r="Q21" s="12">
        <f t="shared" si="3"/>
        <v>-0.16666666666666663</v>
      </c>
      <c r="R21" s="1">
        <f>VLOOKUP(A:A,MASTER!A:B,2,0)</f>
        <v>553</v>
      </c>
      <c r="S21">
        <f>VLOOKUP(A:A,MASTER!A:G,7,0)</f>
        <v>533</v>
      </c>
      <c r="T21" s="12">
        <f t="shared" si="4"/>
        <v>-3.6166365280289381E-2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34331182.277683817</v>
      </c>
      <c r="G22" s="1">
        <f>VLOOKUP(A:A,MASTER!A:K,11,0)</f>
        <v>36181572.167494185</v>
      </c>
      <c r="H22" s="12">
        <f t="shared" si="0"/>
        <v>5.3898227997035031E-2</v>
      </c>
      <c r="I22" s="2">
        <f>VLOOKUP(A:A,MASTER!A:E,5,0)</f>
        <v>1319</v>
      </c>
      <c r="J22" s="2">
        <f>VLOOKUP(A:A,MASTER!A:J,10,0)</f>
        <v>1381</v>
      </c>
      <c r="K22" s="12">
        <f t="shared" si="1"/>
        <v>4.7005307050796086E-2</v>
      </c>
      <c r="L22" s="2">
        <f>VLOOKUP(A:A,MASTER!A:D,4,0)</f>
        <v>2</v>
      </c>
      <c r="M22" s="2">
        <f>VLOOKUP(A:A,MASTER!A:I,9,0)</f>
        <v>1</v>
      </c>
      <c r="N22" s="12">
        <f t="shared" si="2"/>
        <v>-0.5</v>
      </c>
      <c r="O22" s="1">
        <f>VLOOKUP(A:A,MASTER!A:C,3,0)</f>
        <v>12</v>
      </c>
      <c r="P22" s="1">
        <f>VLOOKUP(A:A,MASTER!A:H,8,0)</f>
        <v>17</v>
      </c>
      <c r="Q22" s="12">
        <f t="shared" si="3"/>
        <v>0.41666666666666674</v>
      </c>
      <c r="R22" s="1">
        <f>VLOOKUP(A:A,MASTER!A:B,2,0)</f>
        <v>1709</v>
      </c>
      <c r="S22">
        <f>VLOOKUP(A:A,MASTER!A:G,7,0)</f>
        <v>1698</v>
      </c>
      <c r="T22" s="12">
        <f t="shared" si="4"/>
        <v>-6.4365125804564105E-3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15055659.969758572</v>
      </c>
      <c r="G23" s="1">
        <f>VLOOKUP(A:A,MASTER!A:K,11,0)</f>
        <v>15017516.666063774</v>
      </c>
      <c r="H23" s="12">
        <f t="shared" si="0"/>
        <v>-2.5334859960581824E-3</v>
      </c>
      <c r="I23" s="2">
        <f>VLOOKUP(A:A,MASTER!A:E,5,0)</f>
        <v>800</v>
      </c>
      <c r="J23" s="2">
        <f>VLOOKUP(A:A,MASTER!A:J,10,0)</f>
        <v>867</v>
      </c>
      <c r="K23" s="12">
        <f t="shared" si="1"/>
        <v>8.3749999999999991E-2</v>
      </c>
      <c r="L23" s="2">
        <f>VLOOKUP(A:A,MASTER!A:D,4,0)</f>
        <v>1</v>
      </c>
      <c r="M23" s="2">
        <f>VLOOKUP(A:A,MASTER!A:I,9,0)</f>
        <v>1</v>
      </c>
      <c r="N23" s="12">
        <f t="shared" si="2"/>
        <v>0</v>
      </c>
      <c r="O23" s="1">
        <f>VLOOKUP(A:A,MASTER!A:C,3,0)</f>
        <v>10</v>
      </c>
      <c r="P23" s="1">
        <f>VLOOKUP(A:A,MASTER!A:H,8,0)</f>
        <v>10</v>
      </c>
      <c r="Q23" s="12">
        <f t="shared" si="3"/>
        <v>0</v>
      </c>
      <c r="R23" s="1">
        <f>VLOOKUP(A:A,MASTER!A:B,2,0)</f>
        <v>861</v>
      </c>
      <c r="S23">
        <f>VLOOKUP(A:A,MASTER!A:G,7,0)</f>
        <v>876</v>
      </c>
      <c r="T23" s="12">
        <f t="shared" si="4"/>
        <v>1.7421602787456525E-2</v>
      </c>
      <c r="U23">
        <v>1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16806306.479511511</v>
      </c>
      <c r="G24" s="1">
        <f>VLOOKUP(A:A,MASTER!A:K,11,0)</f>
        <v>18339133.799450003</v>
      </c>
      <c r="H24" s="12">
        <f t="shared" si="0"/>
        <v>9.1205484191732022E-2</v>
      </c>
      <c r="I24" s="2">
        <f>VLOOKUP(A:A,MASTER!A:E,5,0)</f>
        <v>656</v>
      </c>
      <c r="J24" s="2">
        <f>VLOOKUP(A:A,MASTER!A:J,10,0)</f>
        <v>759</v>
      </c>
      <c r="K24" s="12">
        <f t="shared" si="1"/>
        <v>0.15701219512195119</v>
      </c>
      <c r="L24" s="2">
        <f>VLOOKUP(A:A,MASTER!A:D,4,0)</f>
        <v>1</v>
      </c>
      <c r="M24" s="2">
        <f>VLOOKUP(A:A,MASTER!A:I,9,0)</f>
        <v>1</v>
      </c>
      <c r="N24" s="12">
        <f t="shared" si="2"/>
        <v>0</v>
      </c>
      <c r="O24" s="1">
        <f>VLOOKUP(A:A,MASTER!A:C,3,0)</f>
        <v>2</v>
      </c>
      <c r="P24" s="1">
        <f>VLOOKUP(A:A,MASTER!A:H,8,0)</f>
        <v>5</v>
      </c>
      <c r="Q24" s="12">
        <f t="shared" si="3"/>
        <v>1.5</v>
      </c>
      <c r="R24" s="1">
        <f>VLOOKUP(A:A,MASTER!A:B,2,0)</f>
        <v>893</v>
      </c>
      <c r="S24">
        <f>VLOOKUP(A:A,MASTER!A:G,7,0)</f>
        <v>875</v>
      </c>
      <c r="T24" s="12">
        <f t="shared" si="4"/>
        <v>-2.015677491601342E-2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4978274.1542370617</v>
      </c>
      <c r="G25" s="1">
        <f>VLOOKUP(A:A,MASTER!A:K,11,0)</f>
        <v>4145553.8044927949</v>
      </c>
      <c r="H25" s="12">
        <f t="shared" si="0"/>
        <v>-0.16727089026134279</v>
      </c>
      <c r="I25" s="2">
        <f>VLOOKUP(A:A,MASTER!A:E,5,0)</f>
        <v>186</v>
      </c>
      <c r="J25" s="2">
        <f>VLOOKUP(A:A,MASTER!A:J,10,0)</f>
        <v>192</v>
      </c>
      <c r="K25" s="12">
        <f t="shared" si="1"/>
        <v>3.2258064516129004E-2</v>
      </c>
      <c r="L25" s="2">
        <f>VLOOKUP(A:A,MASTER!A:D,4,0)</f>
        <v>0</v>
      </c>
      <c r="M25" s="2">
        <f>VLOOKUP(A:A,MASTER!A:I,9,0)</f>
        <v>2</v>
      </c>
      <c r="N25" s="12">
        <f t="shared" si="2"/>
        <v>0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229</v>
      </c>
      <c r="S25">
        <f>VLOOKUP(A:A,MASTER!A:G,7,0)</f>
        <v>228</v>
      </c>
      <c r="T25" s="12">
        <f t="shared" si="4"/>
        <v>-4.366812227074246E-3</v>
      </c>
      <c r="U25">
        <v>1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38180141.640637457</v>
      </c>
      <c r="G26" s="1">
        <f>VLOOKUP(A:A,MASTER!A:K,11,0)</f>
        <v>34673357.838432036</v>
      </c>
      <c r="H26" s="12">
        <f t="shared" si="0"/>
        <v>-9.184837068474716E-2</v>
      </c>
      <c r="I26" s="2">
        <f>VLOOKUP(A:A,MASTER!A:E,5,0)</f>
        <v>1327</v>
      </c>
      <c r="J26" s="2">
        <f>VLOOKUP(A:A,MASTER!A:J,10,0)</f>
        <v>1384</v>
      </c>
      <c r="K26" s="12">
        <f t="shared" si="1"/>
        <v>4.2954031650339175E-2</v>
      </c>
      <c r="L26" s="2">
        <f>VLOOKUP(A:A,MASTER!A:D,4,0)</f>
        <v>5</v>
      </c>
      <c r="M26" s="2">
        <f>VLOOKUP(A:A,MASTER!A:I,9,0)</f>
        <v>5</v>
      </c>
      <c r="N26" s="12">
        <f t="shared" si="2"/>
        <v>0</v>
      </c>
      <c r="O26" s="1">
        <f>VLOOKUP(A:A,MASTER!A:C,3,0)</f>
        <v>2</v>
      </c>
      <c r="P26" s="1">
        <f>VLOOKUP(A:A,MASTER!A:H,8,0)</f>
        <v>10</v>
      </c>
      <c r="Q26" s="12">
        <f t="shared" si="3"/>
        <v>4</v>
      </c>
      <c r="R26" s="1">
        <f>VLOOKUP(A:A,MASTER!A:B,2,0)</f>
        <v>1657</v>
      </c>
      <c r="S26">
        <f>VLOOKUP(A:A,MASTER!A:G,7,0)</f>
        <v>1653</v>
      </c>
      <c r="T26" s="12">
        <f t="shared" si="4"/>
        <v>-2.4140012070006378E-3</v>
      </c>
      <c r="U26">
        <v>1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26798065.721356105</v>
      </c>
      <c r="G27" s="1">
        <f>VLOOKUP(A:A,MASTER!A:K,11,0)</f>
        <v>28932948.270447984</v>
      </c>
      <c r="H27" s="12">
        <f t="shared" si="0"/>
        <v>7.9665546434962708E-2</v>
      </c>
      <c r="I27" s="2">
        <f>VLOOKUP(A:A,MASTER!A:E,5,0)</f>
        <v>620</v>
      </c>
      <c r="J27" s="2">
        <f>VLOOKUP(A:A,MASTER!A:J,10,0)</f>
        <v>695</v>
      </c>
      <c r="K27" s="12">
        <f t="shared" si="1"/>
        <v>0.12096774193548376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5</v>
      </c>
      <c r="P27" s="1">
        <f>VLOOKUP(A:A,MASTER!A:H,8,0)</f>
        <v>3</v>
      </c>
      <c r="Q27" s="12">
        <f t="shared" si="3"/>
        <v>-0.4</v>
      </c>
      <c r="R27" s="1">
        <f>VLOOKUP(A:A,MASTER!A:B,2,0)</f>
        <v>858</v>
      </c>
      <c r="S27">
        <f>VLOOKUP(A:A,MASTER!A:G,7,0)</f>
        <v>876</v>
      </c>
      <c r="T27" s="12">
        <f t="shared" si="4"/>
        <v>2.0979020979021046E-2</v>
      </c>
      <c r="U27">
        <v>1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28967105.315619867</v>
      </c>
      <c r="G28" s="1">
        <f>VLOOKUP(A:A,MASTER!A:K,11,0)</f>
        <v>27314154.578593209</v>
      </c>
      <c r="H28" s="12">
        <f t="shared" si="0"/>
        <v>-5.7063027838523461E-2</v>
      </c>
      <c r="I28" s="2">
        <f>VLOOKUP(A:A,MASTER!A:E,5,0)</f>
        <v>757</v>
      </c>
      <c r="J28" s="2">
        <f>VLOOKUP(A:A,MASTER!A:J,10,0)</f>
        <v>623</v>
      </c>
      <c r="K28" s="12">
        <f t="shared" si="1"/>
        <v>-0.1770145310435931</v>
      </c>
      <c r="L28" s="2">
        <f>VLOOKUP(A:A,MASTER!A:D,4,0)</f>
        <v>1</v>
      </c>
      <c r="M28" s="2">
        <f>VLOOKUP(A:A,MASTER!A:I,9,0)</f>
        <v>1</v>
      </c>
      <c r="N28" s="12">
        <f t="shared" si="2"/>
        <v>0</v>
      </c>
      <c r="O28" s="1">
        <f>VLOOKUP(A:A,MASTER!A:C,3,0)</f>
        <v>2</v>
      </c>
      <c r="P28" s="1">
        <f>VLOOKUP(A:A,MASTER!A:H,8,0)</f>
        <v>2</v>
      </c>
      <c r="Q28" s="12">
        <f t="shared" si="3"/>
        <v>0</v>
      </c>
      <c r="R28" s="1">
        <f>VLOOKUP(A:A,MASTER!A:B,2,0)</f>
        <v>1127</v>
      </c>
      <c r="S28">
        <f>VLOOKUP(A:A,MASTER!A:G,7,0)</f>
        <v>1044</v>
      </c>
      <c r="T28" s="12">
        <f t="shared" si="4"/>
        <v>-7.3646850044365553E-2</v>
      </c>
      <c r="U28">
        <v>1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37440462.056698211</v>
      </c>
      <c r="G29" s="1">
        <f>VLOOKUP(A:A,MASTER!A:K,11,0)</f>
        <v>38738095.034786858</v>
      </c>
      <c r="H29" s="12">
        <f t="shared" si="0"/>
        <v>3.4658572752749972E-2</v>
      </c>
      <c r="I29" s="2">
        <f>VLOOKUP(A:A,MASTER!A:E,5,0)</f>
        <v>891</v>
      </c>
      <c r="J29" s="2">
        <f>VLOOKUP(A:A,MASTER!A:J,10,0)</f>
        <v>1017</v>
      </c>
      <c r="K29" s="12">
        <f t="shared" si="1"/>
        <v>0.14141414141414144</v>
      </c>
      <c r="L29" s="2">
        <f>VLOOKUP(A:A,MASTER!A:D,4,0)</f>
        <v>2</v>
      </c>
      <c r="M29" s="2">
        <f>VLOOKUP(A:A,MASTER!A:I,9,0)</f>
        <v>2</v>
      </c>
      <c r="N29" s="12">
        <f t="shared" si="2"/>
        <v>0</v>
      </c>
      <c r="O29" s="1">
        <f>VLOOKUP(A:A,MASTER!A:C,3,0)</f>
        <v>1</v>
      </c>
      <c r="P29" s="1">
        <f>VLOOKUP(A:A,MASTER!A:H,8,0)</f>
        <v>3</v>
      </c>
      <c r="Q29" s="12">
        <f t="shared" si="3"/>
        <v>2</v>
      </c>
      <c r="R29" s="1">
        <f>VLOOKUP(A:A,MASTER!A:B,2,0)</f>
        <v>1127</v>
      </c>
      <c r="S29">
        <f>VLOOKUP(A:A,MASTER!A:G,7,0)</f>
        <v>1120</v>
      </c>
      <c r="T29" s="12">
        <f t="shared" si="4"/>
        <v>-6.2111801242236142E-3</v>
      </c>
      <c r="U29">
        <v>1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54625541.40816319</v>
      </c>
      <c r="G30" s="1">
        <f>VLOOKUP(A:A,MASTER!A:K,11,0)</f>
        <v>49689744.933685243</v>
      </c>
      <c r="H30" s="12">
        <f t="shared" si="0"/>
        <v>-9.0356934636081188E-2</v>
      </c>
      <c r="I30" s="2">
        <f>VLOOKUP(A:A,MASTER!A:E,5,0)</f>
        <v>1170</v>
      </c>
      <c r="J30" s="2">
        <f>VLOOKUP(A:A,MASTER!A:J,10,0)</f>
        <v>1153</v>
      </c>
      <c r="K30" s="12">
        <f t="shared" si="1"/>
        <v>-1.4529914529914478E-2</v>
      </c>
      <c r="L30" s="2">
        <f>VLOOKUP(A:A,MASTER!A:D,4,0)</f>
        <v>5</v>
      </c>
      <c r="M30" s="2">
        <f>VLOOKUP(A:A,MASTER!A:I,9,0)</f>
        <v>4</v>
      </c>
      <c r="N30" s="12">
        <f t="shared" si="2"/>
        <v>-0.19999999999999996</v>
      </c>
      <c r="O30" s="1">
        <f>VLOOKUP(A:A,MASTER!A:C,3,0)</f>
        <v>1</v>
      </c>
      <c r="P30" s="1">
        <f>VLOOKUP(A:A,MASTER!A:H,8,0)</f>
        <v>4</v>
      </c>
      <c r="Q30" s="12">
        <f t="shared" si="3"/>
        <v>3</v>
      </c>
      <c r="R30" s="1">
        <f>VLOOKUP(A:A,MASTER!A:B,2,0)</f>
        <v>1500</v>
      </c>
      <c r="S30">
        <f>VLOOKUP(A:A,MASTER!A:G,7,0)</f>
        <v>1445</v>
      </c>
      <c r="T30" s="12">
        <f t="shared" si="4"/>
        <v>-3.6666666666666625E-2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20563796.033259295</v>
      </c>
      <c r="G31" s="1">
        <f>VLOOKUP(A:A,MASTER!A:K,11,0)</f>
        <v>22475660.079455785</v>
      </c>
      <c r="H31" s="12">
        <f t="shared" si="0"/>
        <v>9.2972330745952458E-2</v>
      </c>
      <c r="I31" s="2">
        <f>VLOOKUP(A:A,MASTER!A:E,5,0)</f>
        <v>546</v>
      </c>
      <c r="J31" s="2">
        <f>VLOOKUP(A:A,MASTER!A:J,10,0)</f>
        <v>657</v>
      </c>
      <c r="K31" s="12">
        <f t="shared" si="1"/>
        <v>0.20329670329670324</v>
      </c>
      <c r="L31" s="2">
        <f>VLOOKUP(A:A,MASTER!A:D,4,0)</f>
        <v>3</v>
      </c>
      <c r="M31" s="2">
        <f>VLOOKUP(A:A,MASTER!A:I,9,0)</f>
        <v>5</v>
      </c>
      <c r="N31" s="12">
        <f t="shared" si="2"/>
        <v>0.66666666666666674</v>
      </c>
      <c r="O31" s="1">
        <f>VLOOKUP(A:A,MASTER!A:C,3,0)</f>
        <v>2</v>
      </c>
      <c r="P31" s="1">
        <f>VLOOKUP(A:A,MASTER!A:H,8,0)</f>
        <v>1</v>
      </c>
      <c r="Q31" s="12">
        <f t="shared" si="3"/>
        <v>-0.5</v>
      </c>
      <c r="R31" s="1">
        <f>VLOOKUP(A:A,MASTER!A:B,2,0)</f>
        <v>692</v>
      </c>
      <c r="S31">
        <f>VLOOKUP(A:A,MASTER!A:G,7,0)</f>
        <v>698</v>
      </c>
      <c r="T31" s="12">
        <f t="shared" si="4"/>
        <v>8.6705202312138407E-3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64619883.099481747</v>
      </c>
      <c r="G32" s="1">
        <f>VLOOKUP(A:A,MASTER!A:K,11,0)</f>
        <v>54641880.595996283</v>
      </c>
      <c r="H32" s="12">
        <f t="shared" si="0"/>
        <v>-0.15441071733485523</v>
      </c>
      <c r="I32" s="2">
        <f>VLOOKUP(A:A,MASTER!A:E,5,0)</f>
        <v>1942</v>
      </c>
      <c r="J32" s="2">
        <f>VLOOKUP(A:A,MASTER!A:J,10,0)</f>
        <v>1597</v>
      </c>
      <c r="K32" s="12">
        <f t="shared" si="1"/>
        <v>-0.17765190525231722</v>
      </c>
      <c r="L32" s="2">
        <f>VLOOKUP(A:A,MASTER!A:D,4,0)</f>
        <v>11</v>
      </c>
      <c r="M32" s="2">
        <f>VLOOKUP(A:A,MASTER!A:I,9,0)</f>
        <v>9</v>
      </c>
      <c r="N32" s="12">
        <f t="shared" si="2"/>
        <v>-0.18181818181818177</v>
      </c>
      <c r="O32" s="1">
        <f>VLOOKUP(A:A,MASTER!A:C,3,0)</f>
        <v>14</v>
      </c>
      <c r="P32" s="1">
        <f>VLOOKUP(A:A,MASTER!A:H,8,0)</f>
        <v>9</v>
      </c>
      <c r="Q32" s="12">
        <f t="shared" si="3"/>
        <v>-0.3571428571428571</v>
      </c>
      <c r="R32" s="1">
        <f>VLOOKUP(A:A,MASTER!A:B,2,0)</f>
        <v>1970</v>
      </c>
      <c r="S32">
        <f>VLOOKUP(A:A,MASTER!A:G,7,0)</f>
        <v>1923</v>
      </c>
      <c r="T32" s="12">
        <f t="shared" si="4"/>
        <v>-2.385786802030454E-2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22177650.670513704</v>
      </c>
      <c r="G33" s="1">
        <f>VLOOKUP(A:A,MASTER!A:K,11,0)</f>
        <v>22648991.031854369</v>
      </c>
      <c r="H33" s="12">
        <f t="shared" si="0"/>
        <v>2.1252943710910577E-2</v>
      </c>
      <c r="I33" s="2">
        <f>VLOOKUP(A:A,MASTER!A:E,5,0)</f>
        <v>676</v>
      </c>
      <c r="J33" s="2">
        <f>VLOOKUP(A:A,MASTER!A:J,10,0)</f>
        <v>699</v>
      </c>
      <c r="K33" s="12">
        <f t="shared" si="1"/>
        <v>3.4023668639053151E-2</v>
      </c>
      <c r="L33" s="2">
        <f>VLOOKUP(A:A,MASTER!A:D,4,0)</f>
        <v>2</v>
      </c>
      <c r="M33" s="2">
        <f>VLOOKUP(A:A,MASTER!A:I,9,0)</f>
        <v>2</v>
      </c>
      <c r="N33" s="12">
        <f t="shared" si="2"/>
        <v>0</v>
      </c>
      <c r="O33" s="1">
        <f>VLOOKUP(A:A,MASTER!A:C,3,0)</f>
        <v>2</v>
      </c>
      <c r="P33" s="1">
        <f>VLOOKUP(A:A,MASTER!A:H,8,0)</f>
        <v>3</v>
      </c>
      <c r="Q33" s="12">
        <f t="shared" si="3"/>
        <v>0.5</v>
      </c>
      <c r="R33" s="1">
        <f>VLOOKUP(A:A,MASTER!A:B,2,0)</f>
        <v>846</v>
      </c>
      <c r="S33">
        <f>VLOOKUP(A:A,MASTER!A:G,7,0)</f>
        <v>857</v>
      </c>
      <c r="T33" s="12">
        <f t="shared" si="4"/>
        <v>1.3002364066193817E-2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18494684.231714644</v>
      </c>
      <c r="G34" s="1">
        <f>VLOOKUP(A:A,MASTER!A:K,11,0)</f>
        <v>20507947.028976176</v>
      </c>
      <c r="H34" s="12">
        <f t="shared" si="0"/>
        <v>0.10885629470814062</v>
      </c>
      <c r="I34" s="2">
        <f>VLOOKUP(A:A,MASTER!A:E,5,0)</f>
        <v>550</v>
      </c>
      <c r="J34" s="2">
        <f>VLOOKUP(A:A,MASTER!A:J,10,0)</f>
        <v>560</v>
      </c>
      <c r="K34" s="12">
        <f t="shared" si="1"/>
        <v>1.8181818181818077E-2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2</v>
      </c>
      <c r="P34" s="1">
        <f>VLOOKUP(A:A,MASTER!A:H,8,0)</f>
        <v>3</v>
      </c>
      <c r="Q34" s="12">
        <f t="shared" si="3"/>
        <v>0.5</v>
      </c>
      <c r="R34" s="1">
        <f>VLOOKUP(A:A,MASTER!A:B,2,0)</f>
        <v>695</v>
      </c>
      <c r="S34">
        <f>VLOOKUP(A:A,MASTER!A:G,7,0)</f>
        <v>748</v>
      </c>
      <c r="T34" s="12">
        <f t="shared" si="4"/>
        <v>7.6258992805755321E-2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32415149.402387757</v>
      </c>
      <c r="G35" s="1">
        <f>VLOOKUP(A:A,MASTER!A:K,11,0)</f>
        <v>31697377.625365242</v>
      </c>
      <c r="H35" s="12">
        <f t="shared" si="0"/>
        <v>-2.2143096368688719E-2</v>
      </c>
      <c r="I35" s="2">
        <f>VLOOKUP(A:A,MASTER!A:E,5,0)</f>
        <v>879</v>
      </c>
      <c r="J35" s="2">
        <f>VLOOKUP(A:A,MASTER!A:J,10,0)</f>
        <v>849</v>
      </c>
      <c r="K35" s="12">
        <f t="shared" si="1"/>
        <v>-3.4129692832764458E-2</v>
      </c>
      <c r="L35" s="2">
        <f>VLOOKUP(A:A,MASTER!A:D,4,0)</f>
        <v>2</v>
      </c>
      <c r="M35" s="2">
        <f>VLOOKUP(A:A,MASTER!A:I,9,0)</f>
        <v>1</v>
      </c>
      <c r="N35" s="12">
        <f t="shared" si="2"/>
        <v>-0.5</v>
      </c>
      <c r="O35" s="1">
        <f>VLOOKUP(A:A,MASTER!A:C,3,0)</f>
        <v>12</v>
      </c>
      <c r="P35" s="1">
        <f>VLOOKUP(A:A,MASTER!A:H,8,0)</f>
        <v>17</v>
      </c>
      <c r="Q35" s="12">
        <f t="shared" si="3"/>
        <v>0.41666666666666674</v>
      </c>
      <c r="R35" s="1">
        <f>VLOOKUP(A:A,MASTER!A:B,2,0)</f>
        <v>1112</v>
      </c>
      <c r="S35">
        <f>VLOOKUP(A:A,MASTER!A:G,7,0)</f>
        <v>1162</v>
      </c>
      <c r="T35" s="12">
        <f t="shared" si="4"/>
        <v>4.496402877697836E-2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31422622.587050565</v>
      </c>
      <c r="G36" s="1">
        <f>VLOOKUP(A:A,MASTER!A:K,11,0)</f>
        <v>29999625.405255064</v>
      </c>
      <c r="H36" s="12">
        <f t="shared" si="0"/>
        <v>-4.5285754804626821E-2</v>
      </c>
      <c r="I36" s="2">
        <f>VLOOKUP(A:A,MASTER!A:E,5,0)</f>
        <v>749</v>
      </c>
      <c r="J36" s="2">
        <f>VLOOKUP(A:A,MASTER!A:J,10,0)</f>
        <v>880</v>
      </c>
      <c r="K36" s="12">
        <f t="shared" si="1"/>
        <v>0.17489986648865163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41</v>
      </c>
      <c r="P36" s="1">
        <f>VLOOKUP(A:A,MASTER!A:H,8,0)</f>
        <v>121</v>
      </c>
      <c r="Q36" s="12">
        <f t="shared" si="3"/>
        <v>1.9512195121951219</v>
      </c>
      <c r="R36" s="1">
        <f>VLOOKUP(A:A,MASTER!A:B,2,0)</f>
        <v>1098</v>
      </c>
      <c r="S36">
        <f>VLOOKUP(A:A,MASTER!A:G,7,0)</f>
        <v>1271</v>
      </c>
      <c r="T36" s="12">
        <f t="shared" si="4"/>
        <v>0.15755919854280509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49380423.194518387</v>
      </c>
      <c r="G37" s="1">
        <f>VLOOKUP(A:A,MASTER!A:K,11,0)</f>
        <v>54072727.66768647</v>
      </c>
      <c r="H37" s="12">
        <f t="shared" si="0"/>
        <v>9.5023577555912286E-2</v>
      </c>
      <c r="I37" s="2">
        <f>VLOOKUP(A:A,MASTER!A:E,5,0)</f>
        <v>1328</v>
      </c>
      <c r="J37" s="2">
        <f>VLOOKUP(A:A,MASTER!A:J,10,0)</f>
        <v>1420</v>
      </c>
      <c r="K37" s="12">
        <f t="shared" si="1"/>
        <v>6.9277108433734913E-2</v>
      </c>
      <c r="L37" s="2">
        <f>VLOOKUP(A:A,MASTER!A:D,4,0)</f>
        <v>4</v>
      </c>
      <c r="M37" s="2">
        <f>VLOOKUP(A:A,MASTER!A:I,9,0)</f>
        <v>5</v>
      </c>
      <c r="N37" s="12">
        <f t="shared" si="2"/>
        <v>0.25</v>
      </c>
      <c r="O37" s="1">
        <f>VLOOKUP(A:A,MASTER!A:C,3,0)</f>
        <v>55</v>
      </c>
      <c r="P37" s="1">
        <f>VLOOKUP(A:A,MASTER!A:H,8,0)</f>
        <v>70</v>
      </c>
      <c r="Q37" s="12">
        <f t="shared" si="3"/>
        <v>0.27272727272727271</v>
      </c>
      <c r="R37" s="1">
        <f>VLOOKUP(A:A,MASTER!A:B,2,0)</f>
        <v>1778</v>
      </c>
      <c r="S37">
        <f>VLOOKUP(A:A,MASTER!A:G,7,0)</f>
        <v>2274</v>
      </c>
      <c r="T37" s="12">
        <f t="shared" si="4"/>
        <v>0.27896512935883022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17501175.169462778</v>
      </c>
      <c r="G38" s="1">
        <f>VLOOKUP(A:A,MASTER!A:K,11,0)</f>
        <v>19553902.07009979</v>
      </c>
      <c r="H38" s="12">
        <f t="shared" si="0"/>
        <v>0.11729080366093059</v>
      </c>
      <c r="I38" s="2">
        <f>VLOOKUP(A:A,MASTER!A:E,5,0)</f>
        <v>13</v>
      </c>
      <c r="J38" s="2">
        <f>VLOOKUP(A:A,MASTER!A:J,10,0)</f>
        <v>480</v>
      </c>
      <c r="K38" s="12">
        <f t="shared" si="1"/>
        <v>35.92307692307692</v>
      </c>
      <c r="L38" s="2">
        <f>VLOOKUP(A:A,MASTER!A:D,4,0)</f>
        <v>5</v>
      </c>
      <c r="M38" s="2">
        <f>VLOOKUP(A:A,MASTER!A:I,9,0)</f>
        <v>6</v>
      </c>
      <c r="N38" s="12">
        <f t="shared" si="2"/>
        <v>0.19999999999999996</v>
      </c>
      <c r="O38" s="1">
        <f>VLOOKUP(A:A,MASTER!A:C,3,0)</f>
        <v>2</v>
      </c>
      <c r="P38" s="1">
        <f>VLOOKUP(A:A,MASTER!A:H,8,0)</f>
        <v>1</v>
      </c>
      <c r="Q38" s="12">
        <f t="shared" si="3"/>
        <v>-0.5</v>
      </c>
      <c r="R38" s="1">
        <f>VLOOKUP(A:A,MASTER!A:B,2,0)</f>
        <v>617</v>
      </c>
      <c r="S38">
        <f>VLOOKUP(A:A,MASTER!A:G,7,0)</f>
        <v>621</v>
      </c>
      <c r="T38" s="12">
        <f t="shared" si="4"/>
        <v>6.482982171799101E-3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58094258.463035837</v>
      </c>
      <c r="G39" s="1">
        <f>VLOOKUP(A:A,MASTER!A:K,11,0)</f>
        <v>62788078.791813053</v>
      </c>
      <c r="H39" s="12">
        <f t="shared" si="0"/>
        <v>8.07966303892802E-2</v>
      </c>
      <c r="I39" s="2">
        <f>VLOOKUP(A:A,MASTER!A:E,5,0)</f>
        <v>1885</v>
      </c>
      <c r="J39" s="2">
        <f>VLOOKUP(A:A,MASTER!A:J,10,0)</f>
        <v>1899</v>
      </c>
      <c r="K39" s="12">
        <f t="shared" si="1"/>
        <v>7.4270557029176842E-3</v>
      </c>
      <c r="L39" s="2">
        <f>VLOOKUP(A:A,MASTER!A:D,4,0)</f>
        <v>5</v>
      </c>
      <c r="M39" s="2">
        <f>VLOOKUP(A:A,MASTER!A:I,9,0)</f>
        <v>6</v>
      </c>
      <c r="N39" s="12">
        <f t="shared" si="2"/>
        <v>0.19999999999999996</v>
      </c>
      <c r="O39" s="1">
        <f>VLOOKUP(A:A,MASTER!A:C,3,0)</f>
        <v>5</v>
      </c>
      <c r="P39" s="1">
        <f>VLOOKUP(A:A,MASTER!A:H,8,0)</f>
        <v>4</v>
      </c>
      <c r="Q39" s="12">
        <f t="shared" si="3"/>
        <v>-0.19999999999999996</v>
      </c>
      <c r="R39" s="1">
        <f>VLOOKUP(A:A,MASTER!A:B,2,0)</f>
        <v>2026</v>
      </c>
      <c r="S39">
        <f>VLOOKUP(A:A,MASTER!A:G,7,0)</f>
        <v>2052</v>
      </c>
      <c r="T39" s="12">
        <f t="shared" si="4"/>
        <v>1.2833168805528095E-2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40259525.860920064</v>
      </c>
      <c r="G40" s="1">
        <f>VLOOKUP(A:A,MASTER!A:K,11,0)</f>
        <v>43702130.166758053</v>
      </c>
      <c r="H40" s="12">
        <f t="shared" si="0"/>
        <v>8.5510304262667036E-2</v>
      </c>
      <c r="I40" s="2">
        <f>VLOOKUP(A:A,MASTER!A:E,5,0)</f>
        <v>823</v>
      </c>
      <c r="J40" s="2">
        <f>VLOOKUP(A:A,MASTER!A:J,10,0)</f>
        <v>849</v>
      </c>
      <c r="K40" s="12">
        <f t="shared" si="1"/>
        <v>3.1591737545564991E-2</v>
      </c>
      <c r="L40" s="2">
        <f>VLOOKUP(A:A,MASTER!A:D,4,0)</f>
        <v>4</v>
      </c>
      <c r="M40" s="2">
        <f>VLOOKUP(A:A,MASTER!A:I,9,0)</f>
        <v>4</v>
      </c>
      <c r="N40" s="12">
        <f t="shared" si="2"/>
        <v>0</v>
      </c>
      <c r="O40" s="1">
        <f>VLOOKUP(A:A,MASTER!A:C,3,0)</f>
        <v>6</v>
      </c>
      <c r="P40" s="1">
        <f>VLOOKUP(A:A,MASTER!A:H,8,0)</f>
        <v>3</v>
      </c>
      <c r="Q40" s="12">
        <f t="shared" si="3"/>
        <v>-0.5</v>
      </c>
      <c r="R40" s="1">
        <f>VLOOKUP(A:A,MASTER!A:B,2,0)</f>
        <v>876</v>
      </c>
      <c r="S40">
        <f>VLOOKUP(A:A,MASTER!A:G,7,0)</f>
        <v>898</v>
      </c>
      <c r="T40" s="12">
        <f t="shared" si="4"/>
        <v>2.5114155251141579E-2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33706233.502371065</v>
      </c>
      <c r="G41" s="1">
        <f>VLOOKUP(A:A,MASTER!A:K,11,0)</f>
        <v>25153289.147385843</v>
      </c>
      <c r="H41" s="12">
        <f t="shared" si="0"/>
        <v>-0.25374963222703495</v>
      </c>
      <c r="I41" s="2">
        <f>VLOOKUP(A:A,MASTER!A:E,5,0)</f>
        <v>932</v>
      </c>
      <c r="J41" s="2">
        <f>VLOOKUP(A:A,MASTER!A:J,10,0)</f>
        <v>1095</v>
      </c>
      <c r="K41" s="12">
        <f t="shared" si="1"/>
        <v>0.17489270386266087</v>
      </c>
      <c r="L41" s="2">
        <f>VLOOKUP(A:A,MASTER!A:D,4,0)</f>
        <v>3</v>
      </c>
      <c r="M41" s="2">
        <f>VLOOKUP(A:A,MASTER!A:I,9,0)</f>
        <v>3</v>
      </c>
      <c r="N41" s="12">
        <f t="shared" si="2"/>
        <v>0</v>
      </c>
      <c r="O41" s="1">
        <f>VLOOKUP(A:A,MASTER!A:C,3,0)</f>
        <v>3</v>
      </c>
      <c r="P41" s="1">
        <f>VLOOKUP(A:A,MASTER!A:H,8,0)</f>
        <v>5</v>
      </c>
      <c r="Q41" s="12">
        <f t="shared" si="3"/>
        <v>0.66666666666666674</v>
      </c>
      <c r="R41" s="1">
        <f>VLOOKUP(A:A,MASTER!A:B,2,0)</f>
        <v>1123</v>
      </c>
      <c r="S41">
        <f>VLOOKUP(A:A,MASTER!A:G,7,0)</f>
        <v>1097</v>
      </c>
      <c r="T41" s="12">
        <f t="shared" si="4"/>
        <v>-2.315227070347281E-2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32761795.611114733</v>
      </c>
      <c r="G42" s="1">
        <f>VLOOKUP(A:A,MASTER!A:K,11,0)</f>
        <v>32727427.435014695</v>
      </c>
      <c r="H42" s="12">
        <f t="shared" si="0"/>
        <v>-1.049032125955196E-3</v>
      </c>
      <c r="I42" s="2">
        <f>VLOOKUP(A:A,MASTER!A:E,5,0)</f>
        <v>623</v>
      </c>
      <c r="J42" s="2">
        <f>VLOOKUP(A:A,MASTER!A:J,10,0)</f>
        <v>573</v>
      </c>
      <c r="K42" s="12">
        <f t="shared" si="1"/>
        <v>-8.0256821829855496E-2</v>
      </c>
      <c r="L42" s="2">
        <f>VLOOKUP(A:A,MASTER!A:D,4,0)</f>
        <v>5</v>
      </c>
      <c r="M42" s="2">
        <f>VLOOKUP(A:A,MASTER!A:I,9,0)</f>
        <v>4</v>
      </c>
      <c r="N42" s="12">
        <f t="shared" si="2"/>
        <v>-0.19999999999999996</v>
      </c>
      <c r="O42" s="1">
        <f>VLOOKUP(A:A,MASTER!A:C,3,0)</f>
        <v>0</v>
      </c>
      <c r="P42" s="1">
        <f>VLOOKUP(A:A,MASTER!A:H,8,0)</f>
        <v>5</v>
      </c>
      <c r="Q42" s="12">
        <f t="shared" si="3"/>
        <v>0</v>
      </c>
      <c r="R42" s="1">
        <f>VLOOKUP(A:A,MASTER!A:B,2,0)</f>
        <v>865</v>
      </c>
      <c r="S42">
        <f>VLOOKUP(A:A,MASTER!A:G,7,0)</f>
        <v>830</v>
      </c>
      <c r="T42" s="12">
        <f t="shared" si="4"/>
        <v>-4.0462427745664775E-2</v>
      </c>
      <c r="U42">
        <v>2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20342697.235315848</v>
      </c>
      <c r="G43" s="1">
        <f>VLOOKUP(A:A,MASTER!A:K,11,0)</f>
        <v>21247499.714460559</v>
      </c>
      <c r="H43" s="12">
        <f t="shared" si="0"/>
        <v>4.4477999582765992E-2</v>
      </c>
      <c r="I43" s="2">
        <f>VLOOKUP(A:A,MASTER!A:E,5,0)</f>
        <v>607</v>
      </c>
      <c r="J43" s="2">
        <f>VLOOKUP(A:A,MASTER!A:J,10,0)</f>
        <v>671</v>
      </c>
      <c r="K43" s="12">
        <f t="shared" si="1"/>
        <v>0.10543657331136735</v>
      </c>
      <c r="L43" s="2">
        <f>VLOOKUP(A:A,MASTER!A:D,4,0)</f>
        <v>10</v>
      </c>
      <c r="M43" s="2">
        <f>VLOOKUP(A:A,MASTER!A:I,9,0)</f>
        <v>11</v>
      </c>
      <c r="N43" s="12">
        <f t="shared" si="2"/>
        <v>0.10000000000000009</v>
      </c>
      <c r="O43" s="1">
        <f>VLOOKUP(A:A,MASTER!A:C,3,0)</f>
        <v>3</v>
      </c>
      <c r="P43" s="1">
        <f>VLOOKUP(A:A,MASTER!A:H,8,0)</f>
        <v>3</v>
      </c>
      <c r="Q43" s="12">
        <f t="shared" si="3"/>
        <v>0</v>
      </c>
      <c r="R43" s="1">
        <f>VLOOKUP(A:A,MASTER!A:B,2,0)</f>
        <v>664</v>
      </c>
      <c r="S43">
        <f>VLOOKUP(A:A,MASTER!A:G,7,0)</f>
        <v>701</v>
      </c>
      <c r="T43" s="12">
        <f t="shared" si="4"/>
        <v>5.5722891566265087E-2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19467108.785032246</v>
      </c>
      <c r="G44" s="1">
        <f>VLOOKUP(A:A,MASTER!A:K,11,0)</f>
        <v>18175582.361618567</v>
      </c>
      <c r="H44" s="12">
        <f t="shared" si="0"/>
        <v>-6.6344028672953193E-2</v>
      </c>
      <c r="I44" s="2">
        <f>VLOOKUP(A:A,MASTER!A:E,5,0)</f>
        <v>691</v>
      </c>
      <c r="J44" s="2">
        <f>VLOOKUP(A:A,MASTER!A:J,10,0)</f>
        <v>732</v>
      </c>
      <c r="K44" s="12">
        <f t="shared" si="1"/>
        <v>5.9334298118668638E-2</v>
      </c>
      <c r="L44" s="2">
        <f>VLOOKUP(A:A,MASTER!A:D,4,0)</f>
        <v>1</v>
      </c>
      <c r="M44" s="2">
        <f>VLOOKUP(A:A,MASTER!A:I,9,0)</f>
        <v>1</v>
      </c>
      <c r="N44" s="12">
        <f t="shared" si="2"/>
        <v>0</v>
      </c>
      <c r="O44" s="1">
        <f>VLOOKUP(A:A,MASTER!A:C,3,0)</f>
        <v>1</v>
      </c>
      <c r="P44" s="1">
        <f>VLOOKUP(A:A,MASTER!A:H,8,0)</f>
        <v>0</v>
      </c>
      <c r="Q44" s="12">
        <f t="shared" si="3"/>
        <v>-1</v>
      </c>
      <c r="R44" s="1">
        <f>VLOOKUP(A:A,MASTER!A:B,2,0)</f>
        <v>702</v>
      </c>
      <c r="S44">
        <f>VLOOKUP(A:A,MASTER!A:G,7,0)</f>
        <v>690</v>
      </c>
      <c r="T44" s="12">
        <f t="shared" si="4"/>
        <v>-1.7094017094017144E-2</v>
      </c>
      <c r="U44">
        <v>3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62477023.740561083</v>
      </c>
      <c r="G45" s="1">
        <f>VLOOKUP(A:A,MASTER!A:K,11,0)</f>
        <v>58038275.749017172</v>
      </c>
      <c r="H45" s="12">
        <f t="shared" si="0"/>
        <v>-7.1046085837507711E-2</v>
      </c>
      <c r="I45" s="2">
        <f>VLOOKUP(A:A,MASTER!A:E,5,0)</f>
        <v>1103</v>
      </c>
      <c r="J45" s="2">
        <f>VLOOKUP(A:A,MASTER!A:J,10,0)</f>
        <v>1454</v>
      </c>
      <c r="K45" s="12">
        <f t="shared" si="1"/>
        <v>0.31822302810516767</v>
      </c>
      <c r="L45" s="2">
        <f>VLOOKUP(A:A,MASTER!A:D,4,0)</f>
        <v>6</v>
      </c>
      <c r="M45" s="2">
        <f>VLOOKUP(A:A,MASTER!A:I,9,0)</f>
        <v>5</v>
      </c>
      <c r="N45" s="12">
        <f t="shared" si="2"/>
        <v>-0.16666666666666663</v>
      </c>
      <c r="O45" s="1">
        <f>VLOOKUP(A:A,MASTER!A:C,3,0)</f>
        <v>10</v>
      </c>
      <c r="P45" s="1">
        <f>VLOOKUP(A:A,MASTER!A:H,8,0)</f>
        <v>2</v>
      </c>
      <c r="Q45" s="12">
        <f t="shared" si="3"/>
        <v>-0.8</v>
      </c>
      <c r="R45" s="1">
        <f>VLOOKUP(A:A,MASTER!A:B,2,0)</f>
        <v>1283</v>
      </c>
      <c r="S45">
        <f>VLOOKUP(A:A,MASTER!A:G,7,0)</f>
        <v>1238</v>
      </c>
      <c r="T45" s="12">
        <f t="shared" si="4"/>
        <v>-3.5074045206547111E-2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28184934.114670154</v>
      </c>
      <c r="G46" s="1">
        <f>VLOOKUP(A:A,MASTER!A:K,11,0)</f>
        <v>27492791.124575771</v>
      </c>
      <c r="H46" s="12">
        <f t="shared" si="0"/>
        <v>-2.4557197376385731E-2</v>
      </c>
      <c r="I46" s="2">
        <f>VLOOKUP(A:A,MASTER!A:E,5,0)</f>
        <v>948</v>
      </c>
      <c r="J46" s="2">
        <f>VLOOKUP(A:A,MASTER!A:J,10,0)</f>
        <v>939</v>
      </c>
      <c r="K46" s="12">
        <f t="shared" si="1"/>
        <v>-9.493670886076E-3</v>
      </c>
      <c r="L46" s="2">
        <f>VLOOKUP(A:A,MASTER!A:D,4,0)</f>
        <v>5</v>
      </c>
      <c r="M46" s="2">
        <f>VLOOKUP(A:A,MASTER!A:I,9,0)</f>
        <v>7</v>
      </c>
      <c r="N46" s="12">
        <f t="shared" si="2"/>
        <v>0.39999999999999991</v>
      </c>
      <c r="O46" s="1">
        <f>VLOOKUP(A:A,MASTER!A:C,3,0)</f>
        <v>2</v>
      </c>
      <c r="P46" s="1">
        <f>VLOOKUP(A:A,MASTER!A:H,8,0)</f>
        <v>3</v>
      </c>
      <c r="Q46" s="12">
        <f t="shared" si="3"/>
        <v>0.5</v>
      </c>
      <c r="R46" s="1">
        <f>VLOOKUP(A:A,MASTER!A:B,2,0)</f>
        <v>877</v>
      </c>
      <c r="S46">
        <f>VLOOKUP(A:A,MASTER!A:G,7,0)</f>
        <v>910</v>
      </c>
      <c r="T46" s="12">
        <f t="shared" si="4"/>
        <v>3.7628278221208733E-2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41289989.144723333</v>
      </c>
      <c r="G47" s="1">
        <f>VLOOKUP(A:A,MASTER!A:K,11,0)</f>
        <v>47993219.130776621</v>
      </c>
      <c r="H47" s="12">
        <f t="shared" si="0"/>
        <v>0.16234516222705109</v>
      </c>
      <c r="I47" s="2">
        <f>VLOOKUP(A:A,MASTER!A:E,5,0)</f>
        <v>1003</v>
      </c>
      <c r="J47" s="2">
        <f>VLOOKUP(A:A,MASTER!A:J,10,0)</f>
        <v>951</v>
      </c>
      <c r="K47" s="12">
        <f t="shared" si="1"/>
        <v>-5.1844466600199368E-2</v>
      </c>
      <c r="L47" s="2">
        <f>VLOOKUP(A:A,MASTER!A:D,4,0)</f>
        <v>12</v>
      </c>
      <c r="M47" s="2">
        <f>VLOOKUP(A:A,MASTER!A:I,9,0)</f>
        <v>12</v>
      </c>
      <c r="N47" s="12">
        <f t="shared" si="2"/>
        <v>0</v>
      </c>
      <c r="O47" s="1">
        <f>VLOOKUP(A:A,MASTER!A:C,3,0)</f>
        <v>13</v>
      </c>
      <c r="P47" s="1">
        <f>VLOOKUP(A:A,MASTER!A:H,8,0)</f>
        <v>5</v>
      </c>
      <c r="Q47" s="12">
        <f t="shared" si="3"/>
        <v>-0.61538461538461542</v>
      </c>
      <c r="R47" s="1">
        <f>VLOOKUP(A:A,MASTER!A:B,2,0)</f>
        <v>1306</v>
      </c>
      <c r="S47">
        <f>VLOOKUP(A:A,MASTER!A:G,7,0)</f>
        <v>1345</v>
      </c>
      <c r="T47" s="12">
        <f t="shared" si="4"/>
        <v>2.9862174578866751E-2</v>
      </c>
      <c r="U47">
        <v>6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21359608.09983848</v>
      </c>
      <c r="G48" s="1">
        <f>VLOOKUP(A:A,MASTER!A:K,11,0)</f>
        <v>24793926.215664741</v>
      </c>
      <c r="H48" s="12">
        <f t="shared" si="0"/>
        <v>0.1607856333212514</v>
      </c>
      <c r="I48" s="2">
        <f>VLOOKUP(A:A,MASTER!A:E,5,0)</f>
        <v>356</v>
      </c>
      <c r="J48" s="2">
        <f>VLOOKUP(A:A,MASTER!A:J,10,0)</f>
        <v>370</v>
      </c>
      <c r="K48" s="12">
        <f t="shared" si="1"/>
        <v>3.9325842696629199E-2</v>
      </c>
      <c r="L48" s="2">
        <f>VLOOKUP(A:A,MASTER!A:D,4,0)</f>
        <v>5</v>
      </c>
      <c r="M48" s="2">
        <f>VLOOKUP(A:A,MASTER!A:I,9,0)</f>
        <v>6</v>
      </c>
      <c r="N48" s="12">
        <f t="shared" si="2"/>
        <v>0.19999999999999996</v>
      </c>
      <c r="O48" s="1">
        <f>VLOOKUP(A:A,MASTER!A:C,3,0)</f>
        <v>7</v>
      </c>
      <c r="P48" s="1">
        <f>VLOOKUP(A:A,MASTER!A:H,8,0)</f>
        <v>1</v>
      </c>
      <c r="Q48" s="12">
        <f t="shared" si="3"/>
        <v>-0.85714285714285721</v>
      </c>
      <c r="R48" s="1">
        <f>VLOOKUP(A:A,MASTER!A:B,2,0)</f>
        <v>479</v>
      </c>
      <c r="S48">
        <f>VLOOKUP(A:A,MASTER!A:G,7,0)</f>
        <v>485</v>
      </c>
      <c r="T48" s="12">
        <f t="shared" si="4"/>
        <v>1.2526096033402823E-2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21478198.433565818</v>
      </c>
      <c r="G49" s="1">
        <f>VLOOKUP(A:A,MASTER!A:K,11,0)</f>
        <v>18005875.489039745</v>
      </c>
      <c r="H49" s="12">
        <f t="shared" si="0"/>
        <v>-0.1616673276981917</v>
      </c>
      <c r="I49" s="2">
        <f>VLOOKUP(A:A,MASTER!A:E,5,0)</f>
        <v>2191</v>
      </c>
      <c r="J49" s="2">
        <f>VLOOKUP(A:A,MASTER!A:J,10,0)</f>
        <v>314</v>
      </c>
      <c r="K49" s="12">
        <f t="shared" si="1"/>
        <v>-0.85668644454586951</v>
      </c>
      <c r="L49" s="2">
        <f>VLOOKUP(A:A,MASTER!A:D,4,0)</f>
        <v>7</v>
      </c>
      <c r="M49" s="2">
        <f>VLOOKUP(A:A,MASTER!A:I,9,0)</f>
        <v>4</v>
      </c>
      <c r="N49" s="12">
        <f t="shared" si="2"/>
        <v>-0.4285714285714286</v>
      </c>
      <c r="O49" s="1">
        <f>VLOOKUP(A:A,MASTER!A:C,3,0)</f>
        <v>1</v>
      </c>
      <c r="P49" s="1">
        <f>VLOOKUP(A:A,MASTER!A:H,8,0)</f>
        <v>0</v>
      </c>
      <c r="Q49" s="12">
        <f t="shared" si="3"/>
        <v>-1</v>
      </c>
      <c r="R49" s="1">
        <f>VLOOKUP(A:A,MASTER!A:B,2,0)</f>
        <v>444</v>
      </c>
      <c r="S49">
        <f>VLOOKUP(A:A,MASTER!A:G,7,0)</f>
        <v>456</v>
      </c>
      <c r="T49" s="12">
        <f t="shared" si="4"/>
        <v>2.7027027027026973E-2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17676503.12317507</v>
      </c>
      <c r="G50" s="1">
        <f>VLOOKUP(A:A,MASTER!A:K,11,0)</f>
        <v>15802232.271788953</v>
      </c>
      <c r="H50" s="12">
        <f t="shared" si="0"/>
        <v>-0.10603176648263779</v>
      </c>
      <c r="I50" s="2">
        <f>VLOOKUP(A:A,MASTER!A:E,5,0)</f>
        <v>351</v>
      </c>
      <c r="J50" s="2">
        <f>VLOOKUP(A:A,MASTER!A:J,10,0)</f>
        <v>335</v>
      </c>
      <c r="K50" s="12">
        <f t="shared" si="1"/>
        <v>-4.5584045584045607E-2</v>
      </c>
      <c r="L50" s="2">
        <f>VLOOKUP(A:A,MASTER!A:D,4,0)</f>
        <v>2</v>
      </c>
      <c r="M50" s="2">
        <f>VLOOKUP(A:A,MASTER!A:I,9,0)</f>
        <v>4</v>
      </c>
      <c r="N50" s="12">
        <f t="shared" si="2"/>
        <v>1</v>
      </c>
      <c r="O50" s="1">
        <f>VLOOKUP(A:A,MASTER!A:C,3,0)</f>
        <v>11</v>
      </c>
      <c r="P50" s="1">
        <f>VLOOKUP(A:A,MASTER!A:H,8,0)</f>
        <v>2</v>
      </c>
      <c r="Q50" s="12">
        <f t="shared" si="3"/>
        <v>-0.81818181818181812</v>
      </c>
      <c r="R50" s="1">
        <f>VLOOKUP(A:A,MASTER!A:B,2,0)</f>
        <v>428</v>
      </c>
      <c r="S50">
        <f>VLOOKUP(A:A,MASTER!A:G,7,0)</f>
        <v>422</v>
      </c>
      <c r="T50" s="12">
        <f t="shared" si="4"/>
        <v>-1.4018691588784993E-2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38319010.734158374</v>
      </c>
      <c r="G51" s="1">
        <f>VLOOKUP(A:A,MASTER!A:K,11,0)</f>
        <v>37135022.236871041</v>
      </c>
      <c r="H51" s="12">
        <f t="shared" si="0"/>
        <v>-3.0898201039201156E-2</v>
      </c>
      <c r="I51" s="2">
        <f>VLOOKUP(A:A,MASTER!A:E,5,0)</f>
        <v>997</v>
      </c>
      <c r="J51" s="2">
        <f>VLOOKUP(A:A,MASTER!A:J,10,0)</f>
        <v>921</v>
      </c>
      <c r="K51" s="12">
        <f t="shared" si="1"/>
        <v>-7.6228686058174566E-2</v>
      </c>
      <c r="L51" s="2">
        <f>VLOOKUP(A:A,MASTER!A:D,4,0)</f>
        <v>1</v>
      </c>
      <c r="M51" s="2">
        <f>VLOOKUP(A:A,MASTER!A:I,9,0)</f>
        <v>1</v>
      </c>
      <c r="N51" s="12">
        <f t="shared" si="2"/>
        <v>0</v>
      </c>
      <c r="O51" s="1">
        <f>VLOOKUP(A:A,MASTER!A:C,3,0)</f>
        <v>4</v>
      </c>
      <c r="P51" s="1">
        <f>VLOOKUP(A:A,MASTER!A:H,8,0)</f>
        <v>5</v>
      </c>
      <c r="Q51" s="12">
        <f t="shared" si="3"/>
        <v>0.25</v>
      </c>
      <c r="R51" s="1">
        <f>VLOOKUP(A:A,MASTER!A:B,2,0)</f>
        <v>1126</v>
      </c>
      <c r="S51">
        <f>VLOOKUP(A:A,MASTER!A:G,7,0)</f>
        <v>1104</v>
      </c>
      <c r="T51" s="12">
        <f t="shared" si="4"/>
        <v>-1.9538188277087087E-2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40505878.641760208</v>
      </c>
      <c r="G52" s="1">
        <f>VLOOKUP(A:A,MASTER!A:K,11,0)</f>
        <v>38633184.860168822</v>
      </c>
      <c r="H52" s="12">
        <f t="shared" si="0"/>
        <v>-4.623264188770615E-2</v>
      </c>
      <c r="I52" s="2">
        <f>VLOOKUP(A:A,MASTER!A:E,5,0)</f>
        <v>867</v>
      </c>
      <c r="J52" s="2">
        <f>VLOOKUP(A:A,MASTER!A:J,10,0)</f>
        <v>926</v>
      </c>
      <c r="K52" s="12">
        <f t="shared" si="1"/>
        <v>6.8050749711649372E-2</v>
      </c>
      <c r="L52" s="2">
        <f>VLOOKUP(A:A,MASTER!A:D,4,0)</f>
        <v>3</v>
      </c>
      <c r="M52" s="2">
        <f>VLOOKUP(A:A,MASTER!A:I,9,0)</f>
        <v>1</v>
      </c>
      <c r="N52" s="12">
        <f t="shared" si="2"/>
        <v>-0.66666666666666674</v>
      </c>
      <c r="O52" s="1">
        <f>VLOOKUP(A:A,MASTER!A:C,3,0)</f>
        <v>10</v>
      </c>
      <c r="P52" s="1">
        <f>VLOOKUP(A:A,MASTER!A:H,8,0)</f>
        <v>7</v>
      </c>
      <c r="Q52" s="12">
        <f t="shared" si="3"/>
        <v>-0.30000000000000004</v>
      </c>
      <c r="R52" s="1">
        <f>VLOOKUP(A:A,MASTER!A:B,2,0)</f>
        <v>967</v>
      </c>
      <c r="S52">
        <f>VLOOKUP(A:A,MASTER!A:G,7,0)</f>
        <v>1009</v>
      </c>
      <c r="T52" s="12">
        <f t="shared" si="4"/>
        <v>4.3433298862461278E-2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56342722.856981687</v>
      </c>
      <c r="G53" s="1">
        <f>VLOOKUP(A:A,MASTER!A:K,11,0)</f>
        <v>69474698.048531413</v>
      </c>
      <c r="H53" s="12">
        <f t="shared" si="0"/>
        <v>0.23307313749964575</v>
      </c>
      <c r="I53" s="2">
        <f>VLOOKUP(A:A,MASTER!A:E,5,0)</f>
        <v>1656</v>
      </c>
      <c r="J53" s="2">
        <f>VLOOKUP(A:A,MASTER!A:J,10,0)</f>
        <v>1773</v>
      </c>
      <c r="K53" s="12">
        <f t="shared" si="1"/>
        <v>7.0652173913043459E-2</v>
      </c>
      <c r="L53" s="2">
        <f>VLOOKUP(A:A,MASTER!A:D,4,0)</f>
        <v>7</v>
      </c>
      <c r="M53" s="2">
        <f>VLOOKUP(A:A,MASTER!A:I,9,0)</f>
        <v>8</v>
      </c>
      <c r="N53" s="12">
        <f t="shared" si="2"/>
        <v>0.14285714285714279</v>
      </c>
      <c r="O53" s="1">
        <f>VLOOKUP(A:A,MASTER!A:C,3,0)</f>
        <v>36</v>
      </c>
      <c r="P53" s="1">
        <f>VLOOKUP(A:A,MASTER!A:H,8,0)</f>
        <v>9</v>
      </c>
      <c r="Q53" s="12">
        <f t="shared" si="3"/>
        <v>-0.75</v>
      </c>
      <c r="R53" s="1">
        <f>VLOOKUP(A:A,MASTER!A:B,2,0)</f>
        <v>2161</v>
      </c>
      <c r="S53">
        <f>VLOOKUP(A:A,MASTER!A:G,7,0)</f>
        <v>2036</v>
      </c>
      <c r="T53" s="12">
        <f t="shared" si="4"/>
        <v>-5.7843590930124922E-2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18581528.074724223</v>
      </c>
      <c r="G54" s="1">
        <f>VLOOKUP(A:A,MASTER!A:K,11,0)</f>
        <v>17379391.950311348</v>
      </c>
      <c r="H54" s="12">
        <f t="shared" si="0"/>
        <v>-6.4695224180625788E-2</v>
      </c>
      <c r="I54" s="2">
        <f>VLOOKUP(A:A,MASTER!A:E,5,0)</f>
        <v>528</v>
      </c>
      <c r="J54" s="2">
        <f>VLOOKUP(A:A,MASTER!A:J,10,0)</f>
        <v>498</v>
      </c>
      <c r="K54" s="12">
        <f t="shared" si="1"/>
        <v>-5.6818181818181768E-2</v>
      </c>
      <c r="L54" s="2">
        <f>VLOOKUP(A:A,MASTER!A:D,4,0)</f>
        <v>0</v>
      </c>
      <c r="M54" s="2">
        <f>VLOOKUP(A:A,MASTER!A:I,9,0)</f>
        <v>0</v>
      </c>
      <c r="N54" s="12">
        <f t="shared" si="2"/>
        <v>0</v>
      </c>
      <c r="O54" s="1">
        <f>VLOOKUP(A:A,MASTER!A:C,3,0)</f>
        <v>3</v>
      </c>
      <c r="P54" s="1">
        <f>VLOOKUP(A:A,MASTER!A:H,8,0)</f>
        <v>4</v>
      </c>
      <c r="Q54" s="12">
        <f t="shared" si="3"/>
        <v>0.33333333333333326</v>
      </c>
      <c r="R54" s="1">
        <f>VLOOKUP(A:A,MASTER!A:B,2,0)</f>
        <v>686</v>
      </c>
      <c r="S54">
        <f>VLOOKUP(A:A,MASTER!A:G,7,0)</f>
        <v>692</v>
      </c>
      <c r="T54" s="12">
        <f t="shared" si="4"/>
        <v>8.7463556851312685E-3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28675817.814602911</v>
      </c>
      <c r="G55" s="1">
        <f>VLOOKUP(A:A,MASTER!A:K,11,0)</f>
        <v>30317184.127649944</v>
      </c>
      <c r="H55" s="12">
        <f t="shared" si="0"/>
        <v>5.7238692324624196E-2</v>
      </c>
      <c r="I55" s="2">
        <f>VLOOKUP(A:A,MASTER!A:E,5,0)</f>
        <v>794</v>
      </c>
      <c r="J55" s="2">
        <f>VLOOKUP(A:A,MASTER!A:J,10,0)</f>
        <v>790</v>
      </c>
      <c r="K55" s="12">
        <f t="shared" si="1"/>
        <v>-5.0377833753149082E-3</v>
      </c>
      <c r="L55" s="2">
        <f>VLOOKUP(A:A,MASTER!A:D,4,0)</f>
        <v>5</v>
      </c>
      <c r="M55" s="2">
        <f>VLOOKUP(A:A,MASTER!A:I,9,0)</f>
        <v>5</v>
      </c>
      <c r="N55" s="12">
        <f t="shared" si="2"/>
        <v>0</v>
      </c>
      <c r="O55" s="1">
        <f>VLOOKUP(A:A,MASTER!A:C,3,0)</f>
        <v>6</v>
      </c>
      <c r="P55" s="1">
        <f>VLOOKUP(A:A,MASTER!A:H,8,0)</f>
        <v>6</v>
      </c>
      <c r="Q55" s="12">
        <f t="shared" si="3"/>
        <v>0</v>
      </c>
      <c r="R55" s="1">
        <f>VLOOKUP(A:A,MASTER!A:B,2,0)</f>
        <v>885</v>
      </c>
      <c r="S55">
        <f>VLOOKUP(A:A,MASTER!A:G,7,0)</f>
        <v>862</v>
      </c>
      <c r="T55" s="12">
        <f t="shared" si="4"/>
        <v>-2.5988700564971712E-2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22481594.447822541</v>
      </c>
      <c r="G56" s="1">
        <f>VLOOKUP(A:A,MASTER!A:K,11,0)</f>
        <v>19189044.107355248</v>
      </c>
      <c r="H56" s="12">
        <f t="shared" si="0"/>
        <v>-0.14645537477819748</v>
      </c>
      <c r="I56" s="2">
        <f>VLOOKUP(A:A,MASTER!A:E,5,0)</f>
        <v>624</v>
      </c>
      <c r="J56" s="2">
        <f>VLOOKUP(A:A,MASTER!A:J,10,0)</f>
        <v>658</v>
      </c>
      <c r="K56" s="12">
        <f t="shared" si="1"/>
        <v>5.4487179487179516E-2</v>
      </c>
      <c r="L56" s="2">
        <f>VLOOKUP(A:A,MASTER!A:D,4,0)</f>
        <v>1</v>
      </c>
      <c r="M56" s="2">
        <f>VLOOKUP(A:A,MASTER!A:I,9,0)</f>
        <v>1</v>
      </c>
      <c r="N56" s="12">
        <f t="shared" si="2"/>
        <v>0</v>
      </c>
      <c r="O56" s="1">
        <f>VLOOKUP(A:A,MASTER!A:C,3,0)</f>
        <v>3</v>
      </c>
      <c r="P56" s="1">
        <f>VLOOKUP(A:A,MASTER!A:H,8,0)</f>
        <v>4</v>
      </c>
      <c r="Q56" s="12">
        <f t="shared" si="3"/>
        <v>0.33333333333333326</v>
      </c>
      <c r="R56" s="1">
        <f>VLOOKUP(A:A,MASTER!A:B,2,0)</f>
        <v>789</v>
      </c>
      <c r="S56">
        <f>VLOOKUP(A:A,MASTER!A:G,7,0)</f>
        <v>746</v>
      </c>
      <c r="T56" s="12">
        <f t="shared" si="4"/>
        <v>-5.4499366286438478E-2</v>
      </c>
      <c r="U56">
        <v>3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38270861.122598462</v>
      </c>
      <c r="G57" s="1">
        <f>VLOOKUP(A:A,MASTER!A:K,11,0)</f>
        <v>38656329.906607106</v>
      </c>
      <c r="H57" s="12">
        <f t="shared" si="0"/>
        <v>1.0072122045381215E-2</v>
      </c>
      <c r="I57" s="2">
        <f>VLOOKUP(A:A,MASTER!A:E,5,0)</f>
        <v>1106</v>
      </c>
      <c r="J57" s="2">
        <f>VLOOKUP(A:A,MASTER!A:J,10,0)</f>
        <v>938</v>
      </c>
      <c r="K57" s="12">
        <f t="shared" si="1"/>
        <v>-0.15189873417721522</v>
      </c>
      <c r="L57" s="2">
        <f>VLOOKUP(A:A,MASTER!A:D,4,0)</f>
        <v>1</v>
      </c>
      <c r="M57" s="2">
        <f>VLOOKUP(A:A,MASTER!A:I,9,0)</f>
        <v>0</v>
      </c>
      <c r="N57" s="12">
        <f t="shared" si="2"/>
        <v>-1</v>
      </c>
      <c r="O57" s="1">
        <f>VLOOKUP(A:A,MASTER!A:C,3,0)</f>
        <v>8</v>
      </c>
      <c r="P57" s="1">
        <f>VLOOKUP(A:A,MASTER!A:H,8,0)</f>
        <v>7</v>
      </c>
      <c r="Q57" s="12">
        <f t="shared" si="3"/>
        <v>-0.125</v>
      </c>
      <c r="R57" s="1">
        <f>VLOOKUP(A:A,MASTER!A:B,2,0)</f>
        <v>1097</v>
      </c>
      <c r="S57">
        <f>VLOOKUP(A:A,MASTER!A:G,7,0)</f>
        <v>1110</v>
      </c>
      <c r="T57" s="12">
        <f t="shared" si="4"/>
        <v>1.185050136736554E-2</v>
      </c>
      <c r="U57">
        <v>3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49094951.780632906</v>
      </c>
      <c r="G58" s="1">
        <f>VLOOKUP(A:A,MASTER!A:K,11,0)</f>
        <v>47134937.423156217</v>
      </c>
      <c r="H58" s="12">
        <f t="shared" si="0"/>
        <v>-3.9922930696305925E-2</v>
      </c>
      <c r="I58" s="2">
        <f>VLOOKUP(A:A,MASTER!A:E,5,0)</f>
        <v>1410</v>
      </c>
      <c r="J58" s="2">
        <f>VLOOKUP(A:A,MASTER!A:J,10,0)</f>
        <v>1041</v>
      </c>
      <c r="K58" s="12">
        <f t="shared" si="1"/>
        <v>-0.26170212765957446</v>
      </c>
      <c r="L58" s="2">
        <f>VLOOKUP(A:A,MASTER!A:D,4,0)</f>
        <v>4</v>
      </c>
      <c r="M58" s="2">
        <f>VLOOKUP(A:A,MASTER!A:I,9,0)</f>
        <v>4</v>
      </c>
      <c r="N58" s="12">
        <f t="shared" si="2"/>
        <v>0</v>
      </c>
      <c r="O58" s="1">
        <f>VLOOKUP(A:A,MASTER!A:C,3,0)</f>
        <v>10</v>
      </c>
      <c r="P58" s="1">
        <f>VLOOKUP(A:A,MASTER!A:H,8,0)</f>
        <v>8</v>
      </c>
      <c r="Q58" s="12">
        <f t="shared" si="3"/>
        <v>-0.19999999999999996</v>
      </c>
      <c r="R58" s="1">
        <f>VLOOKUP(A:A,MASTER!A:B,2,0)</f>
        <v>1361</v>
      </c>
      <c r="S58">
        <f>VLOOKUP(A:A,MASTER!A:G,7,0)</f>
        <v>1497</v>
      </c>
      <c r="T58" s="12">
        <f t="shared" si="4"/>
        <v>9.992652461425422E-2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24841033.532271557</v>
      </c>
      <c r="G59" s="1">
        <f>VLOOKUP(A:A,MASTER!A:K,11,0)</f>
        <v>26286574.062764719</v>
      </c>
      <c r="H59" s="12">
        <f t="shared" si="0"/>
        <v>5.819164201099869E-2</v>
      </c>
      <c r="I59" s="2">
        <f>VLOOKUP(A:A,MASTER!A:E,5,0)</f>
        <v>678</v>
      </c>
      <c r="J59" s="2">
        <f>VLOOKUP(A:A,MASTER!A:J,10,0)</f>
        <v>754</v>
      </c>
      <c r="K59" s="12">
        <f t="shared" si="1"/>
        <v>0.11209439528023601</v>
      </c>
      <c r="L59" s="2">
        <f>VLOOKUP(A:A,MASTER!A:D,4,0)</f>
        <v>5</v>
      </c>
      <c r="M59" s="2">
        <f>VLOOKUP(A:A,MASTER!A:I,9,0)</f>
        <v>4</v>
      </c>
      <c r="N59" s="12">
        <f t="shared" si="2"/>
        <v>-0.19999999999999996</v>
      </c>
      <c r="O59" s="1">
        <f>VLOOKUP(A:A,MASTER!A:C,3,0)</f>
        <v>4</v>
      </c>
      <c r="P59" s="1">
        <f>VLOOKUP(A:A,MASTER!A:H,8,0)</f>
        <v>2</v>
      </c>
      <c r="Q59" s="12">
        <f t="shared" si="3"/>
        <v>-0.5</v>
      </c>
      <c r="R59" s="1">
        <f>VLOOKUP(A:A,MASTER!A:B,2,0)</f>
        <v>768</v>
      </c>
      <c r="S59">
        <f>VLOOKUP(A:A,MASTER!A:G,7,0)</f>
        <v>764</v>
      </c>
      <c r="T59" s="12">
        <f t="shared" si="4"/>
        <v>-5.2083333333333703E-3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29096685.519441087</v>
      </c>
      <c r="G60" s="1">
        <f>VLOOKUP(A:A,MASTER!A:K,11,0)</f>
        <v>29372784.881242465</v>
      </c>
      <c r="H60" s="12">
        <f t="shared" si="0"/>
        <v>9.4890313749620425E-3</v>
      </c>
      <c r="I60" s="2">
        <f>VLOOKUP(A:A,MASTER!A:E,5,0)</f>
        <v>448</v>
      </c>
      <c r="J60" s="2">
        <f>VLOOKUP(A:A,MASTER!A:J,10,0)</f>
        <v>470</v>
      </c>
      <c r="K60" s="12">
        <f t="shared" si="1"/>
        <v>4.9107142857142794E-2</v>
      </c>
      <c r="L60" s="2">
        <f>VLOOKUP(A:A,MASTER!A:D,4,0)</f>
        <v>5</v>
      </c>
      <c r="M60" s="2">
        <f>VLOOKUP(A:A,MASTER!A:I,9,0)</f>
        <v>5</v>
      </c>
      <c r="N60" s="12">
        <f t="shared" si="2"/>
        <v>0</v>
      </c>
      <c r="O60" s="1">
        <f>VLOOKUP(A:A,MASTER!A:C,3,0)</f>
        <v>5</v>
      </c>
      <c r="P60" s="1">
        <f>VLOOKUP(A:A,MASTER!A:H,8,0)</f>
        <v>9</v>
      </c>
      <c r="Q60" s="12">
        <f t="shared" si="3"/>
        <v>0.8</v>
      </c>
      <c r="R60" s="1">
        <f>VLOOKUP(A:A,MASTER!A:B,2,0)</f>
        <v>688</v>
      </c>
      <c r="S60">
        <f>VLOOKUP(A:A,MASTER!A:G,7,0)</f>
        <v>636</v>
      </c>
      <c r="T60" s="12">
        <f t="shared" si="4"/>
        <v>-7.5581395348837233E-2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75334047.475907341</v>
      </c>
      <c r="G61" s="1">
        <f>VLOOKUP(A:A,MASTER!A:K,11,0)</f>
        <v>94609229.45671463</v>
      </c>
      <c r="H61" s="12">
        <f t="shared" si="0"/>
        <v>0.25586282201247323</v>
      </c>
      <c r="I61" s="2">
        <f>VLOOKUP(A:A,MASTER!A:E,5,0)</f>
        <v>1676</v>
      </c>
      <c r="J61" s="2">
        <f>VLOOKUP(A:A,MASTER!A:J,10,0)</f>
        <v>1567</v>
      </c>
      <c r="K61" s="12">
        <f t="shared" si="1"/>
        <v>-6.5035799522673021E-2</v>
      </c>
      <c r="L61" s="2">
        <f>VLOOKUP(A:A,MASTER!A:D,4,0)</f>
        <v>9</v>
      </c>
      <c r="M61" s="2">
        <f>VLOOKUP(A:A,MASTER!A:I,9,0)</f>
        <v>11</v>
      </c>
      <c r="N61" s="12">
        <f t="shared" si="2"/>
        <v>0.22222222222222232</v>
      </c>
      <c r="O61" s="1">
        <f>VLOOKUP(A:A,MASTER!A:C,3,0)</f>
        <v>14</v>
      </c>
      <c r="P61" s="1">
        <f>VLOOKUP(A:A,MASTER!A:H,8,0)</f>
        <v>14</v>
      </c>
      <c r="Q61" s="12">
        <f t="shared" si="3"/>
        <v>0</v>
      </c>
      <c r="R61" s="1">
        <f>VLOOKUP(A:A,MASTER!A:B,2,0)</f>
        <v>2035</v>
      </c>
      <c r="S61">
        <f>VLOOKUP(A:A,MASTER!A:G,7,0)</f>
        <v>1990</v>
      </c>
      <c r="T61" s="12">
        <f t="shared" si="4"/>
        <v>-2.2113022113022129E-2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70479993.177585602</v>
      </c>
      <c r="G62" s="1">
        <f>VLOOKUP(A:A,MASTER!A:K,11,0)</f>
        <v>70751538.977041662</v>
      </c>
      <c r="H62" s="12">
        <f t="shared" si="0"/>
        <v>3.8528068351519895E-3</v>
      </c>
      <c r="I62" s="2">
        <f>VLOOKUP(A:A,MASTER!A:E,5,0)</f>
        <v>1193</v>
      </c>
      <c r="J62" s="2">
        <f>VLOOKUP(A:A,MASTER!A:J,10,0)</f>
        <v>1356</v>
      </c>
      <c r="K62" s="12">
        <f t="shared" si="1"/>
        <v>0.13663034367141669</v>
      </c>
      <c r="L62" s="2">
        <f>VLOOKUP(A:A,MASTER!A:D,4,0)</f>
        <v>8</v>
      </c>
      <c r="M62" s="2">
        <f>VLOOKUP(A:A,MASTER!A:I,9,0)</f>
        <v>6</v>
      </c>
      <c r="N62" s="12">
        <f t="shared" si="2"/>
        <v>-0.25</v>
      </c>
      <c r="O62" s="1">
        <f>VLOOKUP(A:A,MASTER!A:C,3,0)</f>
        <v>19</v>
      </c>
      <c r="P62" s="1">
        <f>VLOOKUP(A:A,MASTER!A:H,8,0)</f>
        <v>16</v>
      </c>
      <c r="Q62" s="12">
        <f t="shared" si="3"/>
        <v>-0.15789473684210531</v>
      </c>
      <c r="R62" s="1">
        <f>VLOOKUP(A:A,MASTER!A:B,2,0)</f>
        <v>1602</v>
      </c>
      <c r="S62">
        <f>VLOOKUP(A:A,MASTER!A:G,7,0)</f>
        <v>1599</v>
      </c>
      <c r="T62" s="12">
        <f t="shared" si="4"/>
        <v>-1.8726591760299671E-3</v>
      </c>
      <c r="U62">
        <v>8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43706336.685455166</v>
      </c>
      <c r="G63" s="1">
        <f>VLOOKUP(A:A,MASTER!A:K,11,0)</f>
        <v>45651879.400535792</v>
      </c>
      <c r="H63" s="12">
        <f t="shared" si="0"/>
        <v>4.4513973547640528E-2</v>
      </c>
      <c r="I63" s="2">
        <f>VLOOKUP(A:A,MASTER!A:E,5,0)</f>
        <v>656</v>
      </c>
      <c r="J63" s="2">
        <f>VLOOKUP(A:A,MASTER!A:J,10,0)</f>
        <v>654</v>
      </c>
      <c r="K63" s="12">
        <f t="shared" si="1"/>
        <v>-3.0487804878048808E-3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2</v>
      </c>
      <c r="P63" s="1">
        <f>VLOOKUP(A:A,MASTER!A:H,8,0)</f>
        <v>7</v>
      </c>
      <c r="Q63" s="12">
        <f t="shared" si="3"/>
        <v>2.5</v>
      </c>
      <c r="R63" s="1">
        <f>VLOOKUP(A:A,MASTER!A:B,2,0)</f>
        <v>860</v>
      </c>
      <c r="S63">
        <f>VLOOKUP(A:A,MASTER!A:G,7,0)</f>
        <v>894</v>
      </c>
      <c r="T63" s="12">
        <f t="shared" si="4"/>
        <v>3.953488372093017E-2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64357523.01838614</v>
      </c>
      <c r="G64" s="1">
        <f>VLOOKUP(A:A,MASTER!A:K,11,0)</f>
        <v>67636200.907637477</v>
      </c>
      <c r="H64" s="12">
        <f t="shared" si="0"/>
        <v>5.0944749509931553E-2</v>
      </c>
      <c r="I64" s="2">
        <f>VLOOKUP(A:A,MASTER!A:E,5,0)</f>
        <v>1463</v>
      </c>
      <c r="J64" s="2">
        <f>VLOOKUP(A:A,MASTER!A:J,10,0)</f>
        <v>1245</v>
      </c>
      <c r="K64" s="12">
        <f t="shared" si="1"/>
        <v>-0.14900888585099115</v>
      </c>
      <c r="L64" s="2">
        <f>VLOOKUP(A:A,MASTER!A:D,4,0)</f>
        <v>13</v>
      </c>
      <c r="M64" s="2">
        <f>VLOOKUP(A:A,MASTER!A:I,9,0)</f>
        <v>12</v>
      </c>
      <c r="N64" s="12">
        <f t="shared" si="2"/>
        <v>-7.6923076923076872E-2</v>
      </c>
      <c r="O64" s="1">
        <f>VLOOKUP(A:A,MASTER!A:C,3,0)</f>
        <v>244</v>
      </c>
      <c r="P64" s="1">
        <f>VLOOKUP(A:A,MASTER!A:H,8,0)</f>
        <v>377</v>
      </c>
      <c r="Q64" s="12">
        <f t="shared" si="3"/>
        <v>0.54508196721311486</v>
      </c>
      <c r="R64" s="1">
        <f>VLOOKUP(A:A,MASTER!A:B,2,0)</f>
        <v>2008</v>
      </c>
      <c r="S64">
        <f>VLOOKUP(A:A,MASTER!A:G,7,0)</f>
        <v>2204</v>
      </c>
      <c r="T64" s="12">
        <f t="shared" si="4"/>
        <v>9.7609561752987961E-2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4831983.2646832503</v>
      </c>
      <c r="G65" s="1">
        <f>VLOOKUP(A:A,MASTER!A:K,11,0)</f>
        <v>2632017.6643952979</v>
      </c>
      <c r="H65" s="12">
        <f t="shared" si="0"/>
        <v>-0.45529247097509684</v>
      </c>
      <c r="I65" s="2">
        <f>VLOOKUP(A:A,MASTER!A:E,5,0)</f>
        <v>255</v>
      </c>
      <c r="J65" s="2">
        <f>VLOOKUP(A:A,MASTER!A:J,10,0)</f>
        <v>246</v>
      </c>
      <c r="K65" s="12">
        <f t="shared" si="1"/>
        <v>-3.5294117647058809E-2</v>
      </c>
      <c r="L65" s="2">
        <f>VLOOKUP(A:A,MASTER!A:D,4,0)</f>
        <v>1</v>
      </c>
      <c r="M65" s="2">
        <f>VLOOKUP(A:A,MASTER!A:I,9,0)</f>
        <v>1</v>
      </c>
      <c r="N65" s="12">
        <f t="shared" si="2"/>
        <v>0</v>
      </c>
      <c r="O65" s="1">
        <f>VLOOKUP(A:A,MASTER!A:C,3,0)</f>
        <v>2</v>
      </c>
      <c r="P65" s="1">
        <f>VLOOKUP(A:A,MASTER!A:H,8,0)</f>
        <v>0</v>
      </c>
      <c r="Q65" s="12">
        <f t="shared" si="3"/>
        <v>-1</v>
      </c>
      <c r="R65" s="1">
        <f>VLOOKUP(A:A,MASTER!A:B,2,0)</f>
        <v>267</v>
      </c>
      <c r="S65">
        <f>VLOOKUP(A:A,MASTER!A:G,7,0)</f>
        <v>252</v>
      </c>
      <c r="T65" s="12">
        <f t="shared" si="4"/>
        <v>-5.6179775280898903E-2</v>
      </c>
      <c r="U65">
        <v>3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50773613.3984451</v>
      </c>
      <c r="G66" s="1">
        <f>VLOOKUP(A:A,MASTER!A:K,11,0)</f>
        <v>48982194.351211667</v>
      </c>
      <c r="H66" s="12">
        <f t="shared" si="0"/>
        <v>-3.5282480944881733E-2</v>
      </c>
      <c r="I66" s="2">
        <f>VLOOKUP(A:A,MASTER!A:E,5,0)</f>
        <v>1517</v>
      </c>
      <c r="J66" s="2">
        <f>VLOOKUP(A:A,MASTER!A:J,10,0)</f>
        <v>1571</v>
      </c>
      <c r="K66" s="12">
        <f t="shared" si="1"/>
        <v>3.5596572181938013E-2</v>
      </c>
      <c r="L66" s="2">
        <f>VLOOKUP(A:A,MASTER!A:D,4,0)</f>
        <v>7</v>
      </c>
      <c r="M66" s="2">
        <f>VLOOKUP(A:A,MASTER!A:I,9,0)</f>
        <v>6</v>
      </c>
      <c r="N66" s="12">
        <f t="shared" si="2"/>
        <v>-0.1428571428571429</v>
      </c>
      <c r="O66" s="1">
        <f>VLOOKUP(A:A,MASTER!A:C,3,0)</f>
        <v>6</v>
      </c>
      <c r="P66" s="1">
        <f>VLOOKUP(A:A,MASTER!A:H,8,0)</f>
        <v>9</v>
      </c>
      <c r="Q66" s="12">
        <f t="shared" si="3"/>
        <v>0.5</v>
      </c>
      <c r="R66" s="1">
        <f>VLOOKUP(A:A,MASTER!A:B,2,0)</f>
        <v>1781</v>
      </c>
      <c r="S66">
        <f>VLOOKUP(A:A,MASTER!A:G,7,0)</f>
        <v>1663</v>
      </c>
      <c r="T66" s="12">
        <f t="shared" si="4"/>
        <v>-6.6254912970241442E-2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20933770.783716775</v>
      </c>
      <c r="G67" s="1">
        <f>VLOOKUP(A:A,MASTER!A:K,11,0)</f>
        <v>23094311.445282642</v>
      </c>
      <c r="H67" s="12">
        <f t="shared" ref="H67:H85" si="5">IFERROR(G67/F67-1,0)</f>
        <v>0.10320838437986679</v>
      </c>
      <c r="I67" s="2">
        <f>VLOOKUP(A:A,MASTER!A:E,5,0)</f>
        <v>571</v>
      </c>
      <c r="J67" s="2">
        <f>VLOOKUP(A:A,MASTER!A:J,10,0)</f>
        <v>614</v>
      </c>
      <c r="K67" s="12">
        <f t="shared" ref="K67:K85" si="6">IFERROR(J67/I67-1,0)</f>
        <v>7.5306479859895026E-2</v>
      </c>
      <c r="L67" s="2">
        <f>VLOOKUP(A:A,MASTER!A:D,4,0)</f>
        <v>2</v>
      </c>
      <c r="M67" s="2">
        <f>VLOOKUP(A:A,MASTER!A:I,9,0)</f>
        <v>3</v>
      </c>
      <c r="N67" s="12">
        <f t="shared" ref="N67:N85" si="7">IFERROR(M67/L67-1,0)</f>
        <v>0.5</v>
      </c>
      <c r="O67" s="1">
        <f>VLOOKUP(A:A,MASTER!A:C,3,0)</f>
        <v>2</v>
      </c>
      <c r="P67" s="1">
        <f>VLOOKUP(A:A,MASTER!A:H,8,0)</f>
        <v>3</v>
      </c>
      <c r="Q67" s="12">
        <f t="shared" ref="Q67:Q85" si="8">IFERROR(P67/O67-1,0)</f>
        <v>0.5</v>
      </c>
      <c r="R67" s="1">
        <f>VLOOKUP(A:A,MASTER!A:B,2,0)</f>
        <v>664</v>
      </c>
      <c r="S67">
        <f>VLOOKUP(A:A,MASTER!A:G,7,0)</f>
        <v>739</v>
      </c>
      <c r="T67" s="12">
        <f t="shared" ref="T67:T85" si="9">IFERROR(S67/R67-1,0)</f>
        <v>0.11295180722891573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34166560.655513391</v>
      </c>
      <c r="G68" s="1">
        <f>VLOOKUP(A:A,MASTER!A:K,11,0)</f>
        <v>34962922.177493237</v>
      </c>
      <c r="H68" s="12">
        <f t="shared" si="5"/>
        <v>2.3308214426649876E-2</v>
      </c>
      <c r="I68" s="2">
        <f>VLOOKUP(A:A,MASTER!A:E,5,0)</f>
        <v>1189</v>
      </c>
      <c r="J68" s="2">
        <f>VLOOKUP(A:A,MASTER!A:J,10,0)</f>
        <v>982</v>
      </c>
      <c r="K68" s="12">
        <f t="shared" si="6"/>
        <v>-0.17409587888982336</v>
      </c>
      <c r="L68" s="2">
        <f>VLOOKUP(A:A,MASTER!A:D,4,0)</f>
        <v>5</v>
      </c>
      <c r="M68" s="2">
        <f>VLOOKUP(A:A,MASTER!A:I,9,0)</f>
        <v>4</v>
      </c>
      <c r="N68" s="12">
        <f t="shared" si="7"/>
        <v>-0.19999999999999996</v>
      </c>
      <c r="O68" s="1">
        <f>VLOOKUP(A:A,MASTER!A:C,3,0)</f>
        <v>45</v>
      </c>
      <c r="P68" s="1">
        <f>VLOOKUP(A:A,MASTER!A:H,8,0)</f>
        <v>23</v>
      </c>
      <c r="Q68" s="12">
        <f t="shared" si="8"/>
        <v>-0.48888888888888893</v>
      </c>
      <c r="R68" s="1">
        <f>VLOOKUP(A:A,MASTER!A:B,2,0)</f>
        <v>1325</v>
      </c>
      <c r="S68">
        <f>VLOOKUP(A:A,MASTER!A:G,7,0)</f>
        <v>1391</v>
      </c>
      <c r="T68" s="12">
        <f t="shared" si="9"/>
        <v>4.9811320754717059E-2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17151283.369032022</v>
      </c>
      <c r="G69" s="1">
        <f>VLOOKUP(A:A,MASTER!A:K,11,0)</f>
        <v>22198382.348371297</v>
      </c>
      <c r="H69" s="12">
        <f t="shared" si="5"/>
        <v>0.29426946489918104</v>
      </c>
      <c r="I69" s="2">
        <f>VLOOKUP(A:A,MASTER!A:E,5,0)</f>
        <v>853</v>
      </c>
      <c r="J69" s="2">
        <f>VLOOKUP(A:A,MASTER!A:J,10,0)</f>
        <v>1208</v>
      </c>
      <c r="K69" s="12">
        <f t="shared" si="6"/>
        <v>0.41617819460726846</v>
      </c>
      <c r="L69" s="2">
        <f>VLOOKUP(A:A,MASTER!A:D,4,0)</f>
        <v>5</v>
      </c>
      <c r="M69" s="2">
        <f>VLOOKUP(A:A,MASTER!A:I,9,0)</f>
        <v>5</v>
      </c>
      <c r="N69" s="12">
        <f t="shared" si="7"/>
        <v>0</v>
      </c>
      <c r="O69" s="1">
        <f>VLOOKUP(A:A,MASTER!A:C,3,0)</f>
        <v>7</v>
      </c>
      <c r="P69" s="1">
        <f>VLOOKUP(A:A,MASTER!A:H,8,0)</f>
        <v>6</v>
      </c>
      <c r="Q69" s="12">
        <f t="shared" si="8"/>
        <v>-0.1428571428571429</v>
      </c>
      <c r="R69" s="1">
        <f>VLOOKUP(A:A,MASTER!A:B,2,0)</f>
        <v>1356</v>
      </c>
      <c r="S69">
        <f>VLOOKUP(A:A,MASTER!A:G,7,0)</f>
        <v>1253</v>
      </c>
      <c r="T69" s="12">
        <f t="shared" si="9"/>
        <v>-7.5958702064896744E-2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60080748.523181163</v>
      </c>
      <c r="G70" s="1">
        <f>VLOOKUP(A:A,MASTER!A:K,11,0)</f>
        <v>61224476.983174697</v>
      </c>
      <c r="H70" s="12">
        <f t="shared" si="5"/>
        <v>1.9036521483287494E-2</v>
      </c>
      <c r="I70" s="2">
        <f>VLOOKUP(A:A,MASTER!A:E,5,0)</f>
        <v>1210</v>
      </c>
      <c r="J70" s="2">
        <f>VLOOKUP(A:A,MASTER!A:J,10,0)</f>
        <v>1241</v>
      </c>
      <c r="K70" s="12">
        <f t="shared" si="6"/>
        <v>2.5619834710743694E-2</v>
      </c>
      <c r="L70" s="2">
        <f>VLOOKUP(A:A,MASTER!A:D,4,0)</f>
        <v>5</v>
      </c>
      <c r="M70" s="2">
        <f>VLOOKUP(A:A,MASTER!A:I,9,0)</f>
        <v>5</v>
      </c>
      <c r="N70" s="12">
        <f t="shared" si="7"/>
        <v>0</v>
      </c>
      <c r="O70" s="1">
        <f>VLOOKUP(A:A,MASTER!A:C,3,0)</f>
        <v>7</v>
      </c>
      <c r="P70" s="1">
        <f>VLOOKUP(A:A,MASTER!A:H,8,0)</f>
        <v>13</v>
      </c>
      <c r="Q70" s="12">
        <f t="shared" si="8"/>
        <v>0.85714285714285721</v>
      </c>
      <c r="R70" s="1">
        <f>VLOOKUP(A:A,MASTER!A:B,2,0)</f>
        <v>1751</v>
      </c>
      <c r="S70">
        <f>VLOOKUP(A:A,MASTER!A:G,7,0)</f>
        <v>1758</v>
      </c>
      <c r="T70" s="12">
        <f t="shared" si="9"/>
        <v>3.9977155910908557E-3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13156020.104537236</v>
      </c>
      <c r="G71" s="1">
        <f>VLOOKUP(A:A,MASTER!A:K,11,0)</f>
        <v>12385983.388492895</v>
      </c>
      <c r="H71" s="12">
        <f t="shared" si="5"/>
        <v>-5.8531129469676868E-2</v>
      </c>
      <c r="I71" s="2">
        <f>VLOOKUP(A:A,MASTER!A:E,5,0)</f>
        <v>494</v>
      </c>
      <c r="J71" s="2">
        <f>VLOOKUP(A:A,MASTER!A:J,10,0)</f>
        <v>440</v>
      </c>
      <c r="K71" s="12">
        <f t="shared" si="6"/>
        <v>-0.10931174089068829</v>
      </c>
      <c r="L71" s="2">
        <f>VLOOKUP(A:A,MASTER!A:D,4,0)</f>
        <v>2</v>
      </c>
      <c r="M71" s="2">
        <f>VLOOKUP(A:A,MASTER!A:I,9,0)</f>
        <v>1</v>
      </c>
      <c r="N71" s="12">
        <f t="shared" si="7"/>
        <v>-0.5</v>
      </c>
      <c r="O71" s="1">
        <f>VLOOKUP(A:A,MASTER!A:C,3,0)</f>
        <v>2</v>
      </c>
      <c r="P71" s="1">
        <f>VLOOKUP(A:A,MASTER!A:H,8,0)</f>
        <v>2</v>
      </c>
      <c r="Q71" s="12">
        <f t="shared" si="8"/>
        <v>0</v>
      </c>
      <c r="R71" s="1">
        <f>VLOOKUP(A:A,MASTER!A:B,2,0)</f>
        <v>496</v>
      </c>
      <c r="S71">
        <f>VLOOKUP(A:A,MASTER!A:G,7,0)</f>
        <v>507</v>
      </c>
      <c r="T71" s="12">
        <f t="shared" si="9"/>
        <v>2.2177419354838745E-2</v>
      </c>
      <c r="U71">
        <v>2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19982061.397274464</v>
      </c>
      <c r="G72" s="1">
        <f>VLOOKUP(A:A,MASTER!A:K,11,0)</f>
        <v>19938681.662497777</v>
      </c>
      <c r="H72" s="12">
        <f t="shared" si="5"/>
        <v>-2.1709339148864304E-3</v>
      </c>
      <c r="I72" s="2">
        <f>VLOOKUP(A:A,MASTER!A:E,5,0)</f>
        <v>834</v>
      </c>
      <c r="J72" s="2">
        <f>VLOOKUP(A:A,MASTER!A:J,10,0)</f>
        <v>791</v>
      </c>
      <c r="K72" s="12">
        <f t="shared" si="6"/>
        <v>-5.1558752997601931E-2</v>
      </c>
      <c r="L72" s="2">
        <f>VLOOKUP(A:A,MASTER!A:D,4,0)</f>
        <v>1</v>
      </c>
      <c r="M72" s="2">
        <f>VLOOKUP(A:A,MASTER!A:I,9,0)</f>
        <v>1</v>
      </c>
      <c r="N72" s="12">
        <f t="shared" si="7"/>
        <v>0</v>
      </c>
      <c r="O72" s="1">
        <f>VLOOKUP(A:A,MASTER!A:C,3,0)</f>
        <v>4</v>
      </c>
      <c r="P72" s="1">
        <f>VLOOKUP(A:A,MASTER!A:H,8,0)</f>
        <v>2</v>
      </c>
      <c r="Q72" s="12">
        <f t="shared" si="8"/>
        <v>-0.5</v>
      </c>
      <c r="R72" s="1">
        <f>VLOOKUP(A:A,MASTER!A:B,2,0)</f>
        <v>891</v>
      </c>
      <c r="S72">
        <f>VLOOKUP(A:A,MASTER!A:G,7,0)</f>
        <v>879</v>
      </c>
      <c r="T72" s="12">
        <f t="shared" si="9"/>
        <v>-1.3468013468013518E-2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14294811.694408428</v>
      </c>
      <c r="G73" s="1">
        <f>VLOOKUP(A:A,MASTER!A:K,11,0)</f>
        <v>19626666.190058872</v>
      </c>
      <c r="H73" s="12">
        <f t="shared" si="5"/>
        <v>0.37299228626677583</v>
      </c>
      <c r="I73" s="2">
        <f>VLOOKUP(A:A,MASTER!A:E,5,0)</f>
        <v>633</v>
      </c>
      <c r="J73" s="2">
        <f>VLOOKUP(A:A,MASTER!A:J,10,0)</f>
        <v>487</v>
      </c>
      <c r="K73" s="12">
        <f t="shared" si="6"/>
        <v>-0.23064770932069512</v>
      </c>
      <c r="L73" s="2">
        <f>VLOOKUP(A:A,MASTER!A:D,4,0)</f>
        <v>4</v>
      </c>
      <c r="M73" s="2">
        <f>VLOOKUP(A:A,MASTER!A:I,9,0)</f>
        <v>3</v>
      </c>
      <c r="N73" s="12">
        <f t="shared" si="7"/>
        <v>-0.25</v>
      </c>
      <c r="O73" s="1">
        <f>VLOOKUP(A:A,MASTER!A:C,3,0)</f>
        <v>2</v>
      </c>
      <c r="P73" s="1">
        <f>VLOOKUP(A:A,MASTER!A:H,8,0)</f>
        <v>1</v>
      </c>
      <c r="Q73" s="12">
        <f t="shared" si="8"/>
        <v>-0.5</v>
      </c>
      <c r="R73" s="1">
        <f>VLOOKUP(A:A,MASTER!A:B,2,0)</f>
        <v>670</v>
      </c>
      <c r="S73">
        <f>VLOOKUP(A:A,MASTER!A:G,7,0)</f>
        <v>645</v>
      </c>
      <c r="T73" s="12">
        <f t="shared" si="9"/>
        <v>-3.7313432835820892E-2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13802610.510686357</v>
      </c>
      <c r="G74" s="1">
        <f>VLOOKUP(A:A,MASTER!A:K,11,0)</f>
        <v>14965299.75582342</v>
      </c>
      <c r="H74" s="12">
        <f t="shared" si="5"/>
        <v>8.4236908970000801E-2</v>
      </c>
      <c r="I74" s="2">
        <f>VLOOKUP(A:A,MASTER!A:E,5,0)</f>
        <v>352</v>
      </c>
      <c r="J74" s="2">
        <f>VLOOKUP(A:A,MASTER!A:J,10,0)</f>
        <v>596</v>
      </c>
      <c r="K74" s="12">
        <f t="shared" si="6"/>
        <v>0.69318181818181812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5</v>
      </c>
      <c r="P74" s="1">
        <f>VLOOKUP(A:A,MASTER!A:H,8,0)</f>
        <v>6</v>
      </c>
      <c r="Q74" s="12">
        <f t="shared" si="8"/>
        <v>0.19999999999999996</v>
      </c>
      <c r="R74" s="1">
        <f>VLOOKUP(A:A,MASTER!A:B,2,0)</f>
        <v>608</v>
      </c>
      <c r="S74">
        <f>VLOOKUP(A:A,MASTER!A:G,7,0)</f>
        <v>616</v>
      </c>
      <c r="T74" s="12">
        <f t="shared" si="9"/>
        <v>1.3157894736842035E-2</v>
      </c>
      <c r="U74">
        <v>2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15323299.284381747</v>
      </c>
      <c r="G75" s="1">
        <f>VLOOKUP(A:A,MASTER!A:K,11,0)</f>
        <v>16528959.138679625</v>
      </c>
      <c r="H75" s="12">
        <f t="shared" si="5"/>
        <v>7.8681479224695705E-2</v>
      </c>
      <c r="I75" s="2">
        <f>VLOOKUP(A:A,MASTER!A:E,5,0)</f>
        <v>427</v>
      </c>
      <c r="J75" s="2">
        <f>VLOOKUP(A:A,MASTER!A:J,10,0)</f>
        <v>471</v>
      </c>
      <c r="K75" s="12">
        <f t="shared" si="6"/>
        <v>0.10304449648711933</v>
      </c>
      <c r="L75" s="2">
        <f>VLOOKUP(A:A,MASTER!A:D,4,0)</f>
        <v>6</v>
      </c>
      <c r="M75" s="2">
        <f>VLOOKUP(A:A,MASTER!A:I,9,0)</f>
        <v>7</v>
      </c>
      <c r="N75" s="12">
        <f t="shared" si="7"/>
        <v>0.16666666666666674</v>
      </c>
      <c r="O75" s="1">
        <f>VLOOKUP(A:A,MASTER!A:C,3,0)</f>
        <v>5</v>
      </c>
      <c r="P75" s="1">
        <f>VLOOKUP(A:A,MASTER!A:H,8,0)</f>
        <v>1</v>
      </c>
      <c r="Q75" s="12">
        <f t="shared" si="8"/>
        <v>-0.8</v>
      </c>
      <c r="R75" s="1">
        <f>VLOOKUP(A:A,MASTER!A:B,2,0)</f>
        <v>433</v>
      </c>
      <c r="S75">
        <f>VLOOKUP(A:A,MASTER!A:G,7,0)</f>
        <v>442</v>
      </c>
      <c r="T75" s="12">
        <f t="shared" si="9"/>
        <v>2.0785219399538146E-2</v>
      </c>
      <c r="U75">
        <v>1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44142138.429326862</v>
      </c>
      <c r="G76" s="1">
        <f>VLOOKUP(A:A,MASTER!A:K,11,0)</f>
        <v>43962551.141078793</v>
      </c>
      <c r="H76" s="12">
        <f t="shared" si="5"/>
        <v>-4.0683866853346018E-3</v>
      </c>
      <c r="I76" s="2">
        <f>VLOOKUP(A:A,MASTER!A:E,5,0)</f>
        <v>736</v>
      </c>
      <c r="J76" s="2">
        <f>VLOOKUP(A:A,MASTER!A:J,10,0)</f>
        <v>911</v>
      </c>
      <c r="K76" s="12">
        <f t="shared" si="6"/>
        <v>0.23777173913043481</v>
      </c>
      <c r="L76" s="2">
        <f>VLOOKUP(A:A,MASTER!A:D,4,0)</f>
        <v>3</v>
      </c>
      <c r="M76" s="2">
        <f>VLOOKUP(A:A,MASTER!A:I,9,0)</f>
        <v>3</v>
      </c>
      <c r="N76" s="12">
        <f t="shared" si="7"/>
        <v>0</v>
      </c>
      <c r="O76" s="1">
        <f>VLOOKUP(A:A,MASTER!A:C,3,0)</f>
        <v>9</v>
      </c>
      <c r="P76" s="1">
        <f>VLOOKUP(A:A,MASTER!A:H,8,0)</f>
        <v>6</v>
      </c>
      <c r="Q76" s="12">
        <f t="shared" si="8"/>
        <v>-0.33333333333333337</v>
      </c>
      <c r="R76" s="1">
        <f>VLOOKUP(A:A,MASTER!A:B,2,0)</f>
        <v>959</v>
      </c>
      <c r="S76">
        <f>VLOOKUP(A:A,MASTER!A:G,7,0)</f>
        <v>919</v>
      </c>
      <c r="T76" s="12">
        <f t="shared" si="9"/>
        <v>-4.1710114702815382E-2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26320088.840679597</v>
      </c>
      <c r="G77" s="1">
        <f>VLOOKUP(A:A,MASTER!A:K,11,0)</f>
        <v>25795596.968580019</v>
      </c>
      <c r="H77" s="12">
        <f t="shared" si="5"/>
        <v>-1.9927435476165156E-2</v>
      </c>
      <c r="I77" s="2">
        <f>VLOOKUP(A:A,MASTER!A:E,5,0)</f>
        <v>748</v>
      </c>
      <c r="J77" s="2">
        <f>VLOOKUP(A:A,MASTER!A:J,10,0)</f>
        <v>694</v>
      </c>
      <c r="K77" s="12">
        <f t="shared" si="6"/>
        <v>-7.2192513368983913E-2</v>
      </c>
      <c r="L77" s="2">
        <f>VLOOKUP(A:A,MASTER!A:D,4,0)</f>
        <v>9</v>
      </c>
      <c r="M77" s="2">
        <f>VLOOKUP(A:A,MASTER!A:I,9,0)</f>
        <v>10</v>
      </c>
      <c r="N77" s="12">
        <f t="shared" si="7"/>
        <v>0.11111111111111116</v>
      </c>
      <c r="O77" s="1">
        <f>VLOOKUP(A:A,MASTER!A:C,3,0)</f>
        <v>3</v>
      </c>
      <c r="P77" s="1">
        <f>VLOOKUP(A:A,MASTER!A:H,8,0)</f>
        <v>2</v>
      </c>
      <c r="Q77" s="12">
        <f t="shared" si="8"/>
        <v>-0.33333333333333337</v>
      </c>
      <c r="R77" s="1">
        <f>VLOOKUP(A:A,MASTER!A:B,2,0)</f>
        <v>784</v>
      </c>
      <c r="S77">
        <f>VLOOKUP(A:A,MASTER!A:G,7,0)</f>
        <v>772</v>
      </c>
      <c r="T77" s="12">
        <f t="shared" si="9"/>
        <v>-1.5306122448979553E-2</v>
      </c>
      <c r="U77">
        <v>3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21296375.880635846</v>
      </c>
      <c r="G78" s="1">
        <f>VLOOKUP(A:A,MASTER!A:K,11,0)</f>
        <v>21424759.907585599</v>
      </c>
      <c r="H78" s="12">
        <f t="shared" si="5"/>
        <v>6.0284448241021416E-3</v>
      </c>
      <c r="I78" s="2">
        <f>VLOOKUP(A:A,MASTER!A:E,5,0)</f>
        <v>931</v>
      </c>
      <c r="J78" s="2">
        <f>VLOOKUP(A:A,MASTER!A:J,10,0)</f>
        <v>969</v>
      </c>
      <c r="K78" s="12">
        <f t="shared" si="6"/>
        <v>4.081632653061229E-2</v>
      </c>
      <c r="L78" s="2">
        <f>VLOOKUP(A:A,MASTER!A:D,4,0)</f>
        <v>2</v>
      </c>
      <c r="M78" s="2">
        <f>VLOOKUP(A:A,MASTER!A:I,9,0)</f>
        <v>2</v>
      </c>
      <c r="N78" s="12">
        <f t="shared" si="7"/>
        <v>0</v>
      </c>
      <c r="O78" s="1">
        <f>VLOOKUP(A:A,MASTER!A:C,3,0)</f>
        <v>0</v>
      </c>
      <c r="P78" s="1">
        <f>VLOOKUP(A:A,MASTER!A:H,8,0)</f>
        <v>3</v>
      </c>
      <c r="Q78" s="12">
        <f t="shared" si="8"/>
        <v>0</v>
      </c>
      <c r="R78" s="1">
        <f>VLOOKUP(A:A,MASTER!A:B,2,0)</f>
        <v>949</v>
      </c>
      <c r="S78">
        <f>VLOOKUP(A:A,MASTER!A:G,7,0)</f>
        <v>961</v>
      </c>
      <c r="T78" s="12">
        <f t="shared" si="9"/>
        <v>1.2644889357218192E-2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24350171.013393518</v>
      </c>
      <c r="G79" s="1">
        <f>VLOOKUP(A:A,MASTER!A:K,11,0)</f>
        <v>22204966.601389252</v>
      </c>
      <c r="H79" s="12">
        <f t="shared" si="5"/>
        <v>-8.8098125094247637E-2</v>
      </c>
      <c r="I79" s="2">
        <f>VLOOKUP(A:A,MASTER!A:E,5,0)</f>
        <v>802</v>
      </c>
      <c r="J79" s="2">
        <f>VLOOKUP(A:A,MASTER!A:J,10,0)</f>
        <v>866</v>
      </c>
      <c r="K79" s="12">
        <f t="shared" si="6"/>
        <v>7.9800498753117122E-2</v>
      </c>
      <c r="L79" s="2">
        <f>VLOOKUP(A:A,MASTER!A:D,4,0)</f>
        <v>4</v>
      </c>
      <c r="M79" s="2">
        <f>VLOOKUP(A:A,MASTER!A:I,9,0)</f>
        <v>5</v>
      </c>
      <c r="N79" s="12">
        <f t="shared" si="7"/>
        <v>0.25</v>
      </c>
      <c r="O79" s="1">
        <f>VLOOKUP(A:A,MASTER!A:C,3,0)</f>
        <v>6</v>
      </c>
      <c r="P79" s="1">
        <f>VLOOKUP(A:A,MASTER!A:H,8,0)</f>
        <v>2</v>
      </c>
      <c r="Q79" s="12">
        <f t="shared" si="8"/>
        <v>-0.66666666666666674</v>
      </c>
      <c r="R79" s="1">
        <f>VLOOKUP(A:A,MASTER!A:B,2,0)</f>
        <v>1018</v>
      </c>
      <c r="S79">
        <f>VLOOKUP(A:A,MASTER!A:G,7,0)</f>
        <v>996</v>
      </c>
      <c r="T79" s="12">
        <f t="shared" si="9"/>
        <v>-2.16110019646365E-2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26106286.217771295</v>
      </c>
      <c r="G80" s="1">
        <f>VLOOKUP(A:A,MASTER!A:K,11,0)</f>
        <v>28443447.509641979</v>
      </c>
      <c r="H80" s="12">
        <f t="shared" si="5"/>
        <v>8.9524847478294811E-2</v>
      </c>
      <c r="I80" s="2">
        <f>VLOOKUP(A:A,MASTER!A:E,5,0)</f>
        <v>720</v>
      </c>
      <c r="J80" s="2">
        <f>VLOOKUP(A:A,MASTER!A:J,10,0)</f>
        <v>743</v>
      </c>
      <c r="K80" s="12">
        <f t="shared" si="6"/>
        <v>3.1944444444444553E-2</v>
      </c>
      <c r="L80" s="2">
        <f>VLOOKUP(A:A,MASTER!A:D,4,0)</f>
        <v>5</v>
      </c>
      <c r="M80" s="2">
        <f>VLOOKUP(A:A,MASTER!A:I,9,0)</f>
        <v>6</v>
      </c>
      <c r="N80" s="12">
        <f t="shared" si="7"/>
        <v>0.19999999999999996</v>
      </c>
      <c r="O80" s="1">
        <f>VLOOKUP(A:A,MASTER!A:C,3,0)</f>
        <v>5</v>
      </c>
      <c r="P80" s="1">
        <f>VLOOKUP(A:A,MASTER!A:H,8,0)</f>
        <v>2</v>
      </c>
      <c r="Q80" s="12">
        <f t="shared" si="8"/>
        <v>-0.6</v>
      </c>
      <c r="R80" s="1">
        <f>VLOOKUP(A:A,MASTER!A:B,2,0)</f>
        <v>752</v>
      </c>
      <c r="S80">
        <f>VLOOKUP(A:A,MASTER!A:G,7,0)</f>
        <v>759</v>
      </c>
      <c r="T80" s="12">
        <f t="shared" si="9"/>
        <v>9.3085106382979621E-3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11647431.128983499</v>
      </c>
      <c r="G81" s="1">
        <f>VLOOKUP(A:A,MASTER!A:K,11,0)</f>
        <v>13047181.392881865</v>
      </c>
      <c r="H81" s="12">
        <f t="shared" si="5"/>
        <v>0.1201767366896227</v>
      </c>
      <c r="I81" s="2">
        <f>VLOOKUP(A:A,MASTER!A:E,5,0)</f>
        <v>691</v>
      </c>
      <c r="J81" s="2">
        <f>VLOOKUP(A:A,MASTER!A:J,10,0)</f>
        <v>522</v>
      </c>
      <c r="K81" s="12">
        <f t="shared" si="6"/>
        <v>-0.24457308248914611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2</v>
      </c>
      <c r="P81" s="1">
        <f>VLOOKUP(A:A,MASTER!A:H,8,0)</f>
        <v>2</v>
      </c>
      <c r="Q81" s="12">
        <f t="shared" si="8"/>
        <v>0</v>
      </c>
      <c r="R81" s="1">
        <f>VLOOKUP(A:A,MASTER!A:B,2,0)</f>
        <v>572</v>
      </c>
      <c r="S81">
        <f>VLOOKUP(A:A,MASTER!A:G,7,0)</f>
        <v>565</v>
      </c>
      <c r="T81" s="12">
        <f t="shared" si="9"/>
        <v>-1.2237762237762184E-2</v>
      </c>
      <c r="U81">
        <v>1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50025277.975978665</v>
      </c>
      <c r="G82" s="1">
        <f>VLOOKUP(A:A,MASTER!A:K,11,0)</f>
        <v>54503798.017063886</v>
      </c>
      <c r="H82" s="12">
        <f t="shared" si="5"/>
        <v>8.9525140534665981E-2</v>
      </c>
      <c r="I82" s="2">
        <f>VLOOKUP(A:A,MASTER!A:E,5,0)</f>
        <v>1261</v>
      </c>
      <c r="J82" s="2">
        <f>VLOOKUP(A:A,MASTER!A:J,10,0)</f>
        <v>1312</v>
      </c>
      <c r="K82" s="12">
        <f t="shared" si="6"/>
        <v>4.0444091990483821E-2</v>
      </c>
      <c r="L82" s="2">
        <f>VLOOKUP(A:A,MASTER!A:D,4,0)</f>
        <v>10</v>
      </c>
      <c r="M82" s="2">
        <f>VLOOKUP(A:A,MASTER!A:I,9,0)</f>
        <v>10</v>
      </c>
      <c r="N82" s="12">
        <f t="shared" si="7"/>
        <v>0</v>
      </c>
      <c r="O82" s="1">
        <f>VLOOKUP(A:A,MASTER!A:C,3,0)</f>
        <v>9</v>
      </c>
      <c r="P82" s="1">
        <f>VLOOKUP(A:A,MASTER!A:H,8,0)</f>
        <v>6</v>
      </c>
      <c r="Q82" s="12">
        <f t="shared" si="8"/>
        <v>-0.33333333333333337</v>
      </c>
      <c r="R82" s="1">
        <f>VLOOKUP(A:A,MASTER!A:B,2,0)</f>
        <v>1704</v>
      </c>
      <c r="S82">
        <f>VLOOKUP(A:A,MASTER!A:G,7,0)</f>
        <v>1764</v>
      </c>
      <c r="T82" s="12">
        <f t="shared" si="9"/>
        <v>3.5211267605633756E-2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13491062.530736148</v>
      </c>
      <c r="G83" s="1">
        <f>VLOOKUP(A:A,MASTER!A:K,11,0)</f>
        <v>12625436.34218335</v>
      </c>
      <c r="H83" s="12">
        <f t="shared" si="5"/>
        <v>-6.4162936505607115E-2</v>
      </c>
      <c r="I83" s="2">
        <f>VLOOKUP(A:A,MASTER!A:E,5,0)</f>
        <v>641</v>
      </c>
      <c r="J83" s="2">
        <f>VLOOKUP(A:A,MASTER!A:J,10,0)</f>
        <v>671</v>
      </c>
      <c r="K83" s="12">
        <f t="shared" si="6"/>
        <v>4.6801872074883066E-2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5</v>
      </c>
      <c r="P83" s="1">
        <f>VLOOKUP(A:A,MASTER!A:H,8,0)</f>
        <v>0</v>
      </c>
      <c r="Q83" s="12">
        <f t="shared" si="8"/>
        <v>-1</v>
      </c>
      <c r="R83" s="1">
        <f>VLOOKUP(A:A,MASTER!A:B,2,0)</f>
        <v>620</v>
      </c>
      <c r="S83">
        <f>VLOOKUP(A:A,MASTER!A:G,7,0)</f>
        <v>578</v>
      </c>
      <c r="T83" s="12">
        <f t="shared" si="9"/>
        <v>-6.7741935483870974E-2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23429486.45540712</v>
      </c>
      <c r="G84" s="1">
        <f>VLOOKUP(A:A,MASTER!A:K,11,0)</f>
        <v>24509877.584273003</v>
      </c>
      <c r="H84" s="12">
        <f t="shared" si="5"/>
        <v>4.6112454531266334E-2</v>
      </c>
      <c r="I84" s="2">
        <f>VLOOKUP(A:A,MASTER!A:E,5,0)</f>
        <v>520</v>
      </c>
      <c r="J84" s="2">
        <f>VLOOKUP(A:A,MASTER!A:J,10,0)</f>
        <v>641</v>
      </c>
      <c r="K84" s="12">
        <f t="shared" si="6"/>
        <v>0.23269230769230775</v>
      </c>
      <c r="L84" s="2">
        <f>VLOOKUP(A:A,MASTER!A:D,4,0)</f>
        <v>6</v>
      </c>
      <c r="M84" s="2">
        <f>VLOOKUP(A:A,MASTER!A:I,9,0)</f>
        <v>7</v>
      </c>
      <c r="N84" s="12">
        <f t="shared" si="7"/>
        <v>0.16666666666666674</v>
      </c>
      <c r="O84" s="1">
        <f>VLOOKUP(A:A,MASTER!A:C,3,0)</f>
        <v>12</v>
      </c>
      <c r="P84" s="1">
        <f>VLOOKUP(A:A,MASTER!A:H,8,0)</f>
        <v>4</v>
      </c>
      <c r="Q84" s="12">
        <f t="shared" si="8"/>
        <v>-0.66666666666666674</v>
      </c>
      <c r="R84" s="1">
        <f>VLOOKUP(A:A,MASTER!A:B,2,0)</f>
        <v>604</v>
      </c>
      <c r="S84">
        <f>VLOOKUP(A:A,MASTER!A:G,7,0)</f>
        <v>631</v>
      </c>
      <c r="T84" s="12">
        <f t="shared" si="9"/>
        <v>4.4701986754966949E-2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6461103.0332732033</v>
      </c>
      <c r="G85" s="1">
        <f>VLOOKUP(A:A,MASTER!A:K,11,0)</f>
        <v>5909417.688019501</v>
      </c>
      <c r="H85" s="12">
        <f t="shared" si="5"/>
        <v>-8.5385628802489122E-2</v>
      </c>
      <c r="I85" s="2">
        <f>VLOOKUP(A:A,MASTER!A:E,5,0)</f>
        <v>305</v>
      </c>
      <c r="J85" s="2">
        <f>VLOOKUP(A:A,MASTER!A:J,10,0)</f>
        <v>380</v>
      </c>
      <c r="K85" s="12">
        <f t="shared" si="6"/>
        <v>0.24590163934426235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2</v>
      </c>
      <c r="P85" s="1">
        <f>VLOOKUP(A:A,MASTER!A:H,8,0)</f>
        <v>2</v>
      </c>
      <c r="Q85" s="12">
        <f t="shared" si="8"/>
        <v>0</v>
      </c>
      <c r="R85" s="1">
        <f>VLOOKUP(A:A,MASTER!A:B,2,0)</f>
        <v>358</v>
      </c>
      <c r="S85">
        <f>VLOOKUP(A:A,MASTER!A:G,7,0)</f>
        <v>358</v>
      </c>
      <c r="T85" s="12">
        <f t="shared" si="9"/>
        <v>0</v>
      </c>
      <c r="U8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0"/>
  <sheetViews>
    <sheetView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6" sqref="G6:K90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84319</v>
      </c>
      <c r="C3" s="11">
        <f t="shared" si="0"/>
        <v>1419</v>
      </c>
      <c r="D3" s="11">
        <f t="shared" si="0"/>
        <v>311</v>
      </c>
      <c r="E3" s="11">
        <f t="shared" si="0"/>
        <v>71611</v>
      </c>
      <c r="F3" s="11">
        <f t="shared" si="0"/>
        <v>2483285634.6846657</v>
      </c>
      <c r="G3" s="11">
        <f t="shared" si="0"/>
        <v>84407</v>
      </c>
      <c r="H3" s="11">
        <f t="shared" si="0"/>
        <v>1137</v>
      </c>
      <c r="I3" s="11">
        <f t="shared" si="0"/>
        <v>318</v>
      </c>
      <c r="J3" s="11">
        <f t="shared" si="0"/>
        <v>70297</v>
      </c>
      <c r="K3" s="11">
        <f t="shared" si="0"/>
        <v>2540522841.3581352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198</v>
      </c>
      <c r="D5" s="8" t="s">
        <v>199</v>
      </c>
      <c r="E5" s="8" t="s">
        <v>200</v>
      </c>
      <c r="F5" s="8" t="s">
        <v>201</v>
      </c>
      <c r="G5" s="8" t="s">
        <v>197</v>
      </c>
      <c r="H5" s="8" t="s">
        <v>198</v>
      </c>
      <c r="I5" s="8" t="s">
        <v>199</v>
      </c>
      <c r="J5" s="8" t="s">
        <v>200</v>
      </c>
      <c r="K5" s="8" t="s">
        <v>201</v>
      </c>
    </row>
    <row r="6" spans="1:11" x14ac:dyDescent="0.35">
      <c r="A6" s="9" t="s">
        <v>117</v>
      </c>
      <c r="B6" s="10">
        <v>416</v>
      </c>
      <c r="C6" s="10">
        <v>3</v>
      </c>
      <c r="D6" s="10">
        <v>2</v>
      </c>
      <c r="E6" s="10">
        <v>324</v>
      </c>
      <c r="F6" s="10">
        <v>11813210.545567276</v>
      </c>
      <c r="G6" s="10">
        <v>415</v>
      </c>
      <c r="H6" s="10">
        <v>0</v>
      </c>
      <c r="I6" s="10">
        <v>2</v>
      </c>
      <c r="J6" s="10">
        <v>428</v>
      </c>
      <c r="K6" s="10">
        <v>11602296.38923113</v>
      </c>
    </row>
    <row r="7" spans="1:11" x14ac:dyDescent="0.35">
      <c r="A7" s="9" t="s">
        <v>127</v>
      </c>
      <c r="B7" s="10">
        <v>678</v>
      </c>
      <c r="C7" s="10">
        <v>2</v>
      </c>
      <c r="D7" s="10">
        <v>1</v>
      </c>
      <c r="E7" s="10">
        <v>454</v>
      </c>
      <c r="F7" s="10">
        <v>14558309.604847057</v>
      </c>
      <c r="G7" s="10">
        <v>639</v>
      </c>
      <c r="H7" s="10">
        <v>5</v>
      </c>
      <c r="I7" s="10">
        <v>3</v>
      </c>
      <c r="J7" s="10">
        <v>519</v>
      </c>
      <c r="K7" s="10">
        <v>13595181.152484637</v>
      </c>
    </row>
    <row r="8" spans="1:11" x14ac:dyDescent="0.35">
      <c r="A8" s="9" t="s">
        <v>119</v>
      </c>
      <c r="B8" s="10">
        <v>684</v>
      </c>
      <c r="C8" s="10">
        <v>7</v>
      </c>
      <c r="D8" s="10">
        <v>2</v>
      </c>
      <c r="E8" s="10">
        <v>852</v>
      </c>
      <c r="F8" s="10">
        <v>15765702.050982265</v>
      </c>
      <c r="G8" s="10">
        <v>764</v>
      </c>
      <c r="H8" s="10">
        <v>7</v>
      </c>
      <c r="I8" s="10">
        <v>1</v>
      </c>
      <c r="J8" s="10">
        <v>790</v>
      </c>
      <c r="K8" s="10">
        <v>18573202.176985394</v>
      </c>
    </row>
    <row r="9" spans="1:11" x14ac:dyDescent="0.35">
      <c r="A9" s="9" t="s">
        <v>121</v>
      </c>
      <c r="B9" s="10">
        <v>1182</v>
      </c>
      <c r="C9" s="10">
        <v>6</v>
      </c>
      <c r="D9" s="10">
        <v>3</v>
      </c>
      <c r="E9" s="10">
        <v>1378</v>
      </c>
      <c r="F9" s="10">
        <v>28310468.960497696</v>
      </c>
      <c r="G9" s="10">
        <v>1204</v>
      </c>
      <c r="H9" s="10">
        <v>7</v>
      </c>
      <c r="I9" s="10">
        <v>4</v>
      </c>
      <c r="J9" s="10">
        <v>1107</v>
      </c>
      <c r="K9" s="10">
        <v>29309668.523300178</v>
      </c>
    </row>
    <row r="10" spans="1:11" x14ac:dyDescent="0.35">
      <c r="A10" s="9" t="s">
        <v>123</v>
      </c>
      <c r="B10" s="10">
        <v>413</v>
      </c>
      <c r="C10" s="10">
        <v>1</v>
      </c>
      <c r="D10" s="10">
        <v>1</v>
      </c>
      <c r="E10" s="10">
        <v>395</v>
      </c>
      <c r="F10" s="10">
        <v>11757304.216271428</v>
      </c>
      <c r="G10" s="10">
        <v>408</v>
      </c>
      <c r="H10" s="10">
        <v>1</v>
      </c>
      <c r="I10" s="10">
        <v>1</v>
      </c>
      <c r="J10" s="10">
        <v>365</v>
      </c>
      <c r="K10" s="10">
        <v>13279203.146268772</v>
      </c>
    </row>
    <row r="11" spans="1:11" x14ac:dyDescent="0.35">
      <c r="A11" s="9" t="s">
        <v>125</v>
      </c>
      <c r="B11" s="10">
        <v>374</v>
      </c>
      <c r="C11" s="10">
        <v>3</v>
      </c>
      <c r="D11" s="10">
        <v>2</v>
      </c>
      <c r="E11" s="10">
        <v>353</v>
      </c>
      <c r="F11" s="10">
        <v>10339799.678089332</v>
      </c>
      <c r="G11" s="10">
        <v>386</v>
      </c>
      <c r="H11" s="10">
        <v>3</v>
      </c>
      <c r="I11" s="10">
        <v>2</v>
      </c>
      <c r="J11" s="10">
        <v>288</v>
      </c>
      <c r="K11" s="10">
        <v>10850637.181308759</v>
      </c>
    </row>
    <row r="12" spans="1:11" x14ac:dyDescent="0.35">
      <c r="A12" s="9" t="s">
        <v>131</v>
      </c>
      <c r="B12" s="10">
        <v>597</v>
      </c>
      <c r="C12" s="10">
        <v>1</v>
      </c>
      <c r="D12" s="10">
        <v>1</v>
      </c>
      <c r="E12" s="10">
        <v>468</v>
      </c>
      <c r="F12" s="10">
        <v>11840920.056150315</v>
      </c>
      <c r="G12" s="10">
        <v>595</v>
      </c>
      <c r="H12" s="10">
        <v>2</v>
      </c>
      <c r="I12" s="10">
        <v>2</v>
      </c>
      <c r="J12" s="10">
        <v>525</v>
      </c>
      <c r="K12" s="10">
        <v>13055381.858272109</v>
      </c>
    </row>
    <row r="13" spans="1:11" x14ac:dyDescent="0.35">
      <c r="A13" s="9" t="s">
        <v>133</v>
      </c>
      <c r="B13" s="10">
        <v>171</v>
      </c>
      <c r="C13" s="10">
        <v>0</v>
      </c>
      <c r="D13" s="10">
        <v>1</v>
      </c>
      <c r="E13" s="10">
        <v>146</v>
      </c>
      <c r="F13" s="10">
        <v>5538273.8270198824</v>
      </c>
      <c r="G13" s="10">
        <v>170</v>
      </c>
      <c r="H13" s="10">
        <v>0</v>
      </c>
      <c r="I13" s="10">
        <v>1</v>
      </c>
      <c r="J13" s="10">
        <v>136</v>
      </c>
      <c r="K13" s="10">
        <v>5740248.3143004626</v>
      </c>
    </row>
    <row r="14" spans="1:11" x14ac:dyDescent="0.35">
      <c r="A14" s="9" t="s">
        <v>141</v>
      </c>
      <c r="B14" s="10">
        <v>198</v>
      </c>
      <c r="C14" s="10">
        <v>1</v>
      </c>
      <c r="D14" s="10">
        <v>0</v>
      </c>
      <c r="E14" s="10">
        <v>157</v>
      </c>
      <c r="F14" s="10">
        <v>5377723.235344599</v>
      </c>
      <c r="G14" s="10">
        <v>186</v>
      </c>
      <c r="H14" s="10">
        <v>1</v>
      </c>
      <c r="I14" s="10">
        <v>1</v>
      </c>
      <c r="J14" s="10">
        <v>172</v>
      </c>
      <c r="K14" s="10">
        <v>2513527.1167136971</v>
      </c>
    </row>
    <row r="15" spans="1:11" x14ac:dyDescent="0.35">
      <c r="A15" s="9" t="s">
        <v>135</v>
      </c>
      <c r="B15" s="10">
        <v>342</v>
      </c>
      <c r="C15" s="10">
        <v>0</v>
      </c>
      <c r="D15" s="10">
        <v>1</v>
      </c>
      <c r="E15" s="10">
        <v>357</v>
      </c>
      <c r="F15" s="10">
        <v>8449767.6351467129</v>
      </c>
      <c r="G15" s="10">
        <v>381</v>
      </c>
      <c r="H15" s="10">
        <v>2</v>
      </c>
      <c r="I15" s="10">
        <v>1</v>
      </c>
      <c r="J15" s="10">
        <v>360</v>
      </c>
      <c r="K15" s="10">
        <v>11274051.916730504</v>
      </c>
    </row>
    <row r="16" spans="1:11" x14ac:dyDescent="0.35">
      <c r="A16" s="9" t="s">
        <v>143</v>
      </c>
      <c r="B16" s="10">
        <v>210</v>
      </c>
      <c r="C16" s="10">
        <v>0</v>
      </c>
      <c r="D16" s="10">
        <v>1</v>
      </c>
      <c r="E16" s="10">
        <v>228</v>
      </c>
      <c r="F16" s="10">
        <v>4041060.1390938722</v>
      </c>
      <c r="G16" s="10">
        <v>220</v>
      </c>
      <c r="H16" s="10">
        <v>0</v>
      </c>
      <c r="I16" s="10">
        <v>2</v>
      </c>
      <c r="J16" s="10">
        <v>267</v>
      </c>
      <c r="K16" s="10">
        <v>5806029.4254871206</v>
      </c>
    </row>
    <row r="17" spans="1:11" x14ac:dyDescent="0.35">
      <c r="A17" s="9" t="s">
        <v>145</v>
      </c>
      <c r="B17" s="10">
        <v>254</v>
      </c>
      <c r="C17" s="10">
        <v>7</v>
      </c>
      <c r="D17" s="10">
        <v>1</v>
      </c>
      <c r="E17" s="10">
        <v>219</v>
      </c>
      <c r="F17" s="10">
        <v>5431815.5109380577</v>
      </c>
      <c r="G17" s="10">
        <v>241</v>
      </c>
      <c r="H17" s="10">
        <v>1</v>
      </c>
      <c r="I17" s="10">
        <v>2</v>
      </c>
      <c r="J17" s="10">
        <v>229</v>
      </c>
      <c r="K17" s="10">
        <v>6161717.6329658534</v>
      </c>
    </row>
    <row r="18" spans="1:11" x14ac:dyDescent="0.35">
      <c r="A18" s="9" t="s">
        <v>20</v>
      </c>
      <c r="B18" s="10">
        <v>1427</v>
      </c>
      <c r="C18" s="10">
        <v>0</v>
      </c>
      <c r="D18" s="10">
        <v>2</v>
      </c>
      <c r="E18" s="10">
        <v>1258</v>
      </c>
      <c r="F18" s="10">
        <v>10793808.574127875</v>
      </c>
      <c r="G18" s="10">
        <v>1428</v>
      </c>
      <c r="H18" s="10">
        <v>4</v>
      </c>
      <c r="I18" s="10">
        <v>3</v>
      </c>
      <c r="J18" s="10">
        <v>1101</v>
      </c>
      <c r="K18" s="10">
        <v>25119200.515578978</v>
      </c>
    </row>
    <row r="19" spans="1:11" x14ac:dyDescent="0.35">
      <c r="A19" s="9" t="s">
        <v>45</v>
      </c>
      <c r="B19" s="10">
        <v>1278</v>
      </c>
      <c r="C19" s="10">
        <v>0</v>
      </c>
      <c r="D19" s="10">
        <v>2</v>
      </c>
      <c r="E19" s="10">
        <v>258</v>
      </c>
      <c r="F19" s="10">
        <v>36194509.831490748</v>
      </c>
      <c r="G19" s="10">
        <v>1235</v>
      </c>
      <c r="H19" s="10">
        <v>2</v>
      </c>
      <c r="I19" s="10">
        <v>3</v>
      </c>
      <c r="J19" s="10">
        <v>895</v>
      </c>
      <c r="K19" s="10">
        <v>43111493.808943726</v>
      </c>
    </row>
    <row r="20" spans="1:11" x14ac:dyDescent="0.35">
      <c r="A20" s="9" t="s">
        <v>47</v>
      </c>
      <c r="B20" s="10">
        <v>1022</v>
      </c>
      <c r="C20" s="10">
        <v>3</v>
      </c>
      <c r="D20" s="10">
        <v>4</v>
      </c>
      <c r="E20" s="10">
        <v>896</v>
      </c>
      <c r="F20" s="10">
        <v>23300861.495705463</v>
      </c>
      <c r="G20" s="10">
        <v>1028</v>
      </c>
      <c r="H20" s="10">
        <v>4</v>
      </c>
      <c r="I20" s="10">
        <v>5</v>
      </c>
      <c r="J20" s="10">
        <v>894</v>
      </c>
      <c r="K20" s="10">
        <v>23318745.82605692</v>
      </c>
    </row>
    <row r="21" spans="1:11" x14ac:dyDescent="0.35">
      <c r="A21" s="9" t="s">
        <v>49</v>
      </c>
      <c r="B21" s="10">
        <v>964</v>
      </c>
      <c r="C21" s="10">
        <v>1</v>
      </c>
      <c r="D21" s="10">
        <v>3</v>
      </c>
      <c r="E21" s="10">
        <v>665</v>
      </c>
      <c r="F21" s="10">
        <v>22855372.760754973</v>
      </c>
      <c r="G21" s="10">
        <v>916</v>
      </c>
      <c r="H21" s="10">
        <v>4</v>
      </c>
      <c r="I21" s="10">
        <v>3</v>
      </c>
      <c r="J21" s="10">
        <v>696</v>
      </c>
      <c r="K21" s="10">
        <v>18884057.695519928</v>
      </c>
    </row>
    <row r="22" spans="1:11" x14ac:dyDescent="0.35">
      <c r="A22" s="9" t="s">
        <v>51</v>
      </c>
      <c r="B22" s="10">
        <v>3231</v>
      </c>
      <c r="C22" s="10">
        <v>624</v>
      </c>
      <c r="D22" s="10">
        <v>10</v>
      </c>
      <c r="E22" s="10">
        <v>2875</v>
      </c>
      <c r="F22" s="10">
        <v>79706464.844519541</v>
      </c>
      <c r="G22" s="10">
        <v>2813</v>
      </c>
      <c r="H22" s="10">
        <v>181</v>
      </c>
      <c r="I22" s="10">
        <v>10</v>
      </c>
      <c r="J22" s="10">
        <v>2092</v>
      </c>
      <c r="K22" s="10">
        <v>86512250.853451744</v>
      </c>
    </row>
    <row r="23" spans="1:11" x14ac:dyDescent="0.35">
      <c r="A23" s="9" t="s">
        <v>53</v>
      </c>
      <c r="B23" s="10">
        <v>1443</v>
      </c>
      <c r="C23" s="10">
        <v>0</v>
      </c>
      <c r="D23" s="10">
        <v>2</v>
      </c>
      <c r="E23" s="10">
        <v>1188</v>
      </c>
      <c r="F23" s="10">
        <v>43461261.025939107</v>
      </c>
      <c r="G23" s="10">
        <v>1381</v>
      </c>
      <c r="H23" s="10">
        <v>6</v>
      </c>
      <c r="I23" s="10">
        <v>1</v>
      </c>
      <c r="J23" s="10">
        <v>1167</v>
      </c>
      <c r="K23" s="10">
        <v>25993637.843131464</v>
      </c>
    </row>
    <row r="24" spans="1:11" x14ac:dyDescent="0.35">
      <c r="A24" s="9" t="s">
        <v>55</v>
      </c>
      <c r="B24" s="10">
        <v>3008</v>
      </c>
      <c r="C24" s="10">
        <v>15</v>
      </c>
      <c r="D24" s="10">
        <v>11</v>
      </c>
      <c r="E24" s="10">
        <v>2522</v>
      </c>
      <c r="F24" s="10">
        <v>87326341.867069647</v>
      </c>
      <c r="G24" s="10">
        <v>2936</v>
      </c>
      <c r="H24" s="10">
        <v>18</v>
      </c>
      <c r="I24" s="10">
        <v>10</v>
      </c>
      <c r="J24" s="10">
        <v>2002</v>
      </c>
      <c r="K24" s="10">
        <v>87531836.582215488</v>
      </c>
    </row>
    <row r="25" spans="1:11" x14ac:dyDescent="0.35">
      <c r="A25" s="9" t="s">
        <v>67</v>
      </c>
      <c r="B25" s="10">
        <v>553</v>
      </c>
      <c r="C25" s="10">
        <v>6</v>
      </c>
      <c r="D25" s="10">
        <v>1</v>
      </c>
      <c r="E25" s="10">
        <v>459</v>
      </c>
      <c r="F25" s="10">
        <v>12335831.009248348</v>
      </c>
      <c r="G25" s="10">
        <v>533</v>
      </c>
      <c r="H25" s="10">
        <v>5</v>
      </c>
      <c r="I25" s="10">
        <v>1</v>
      </c>
      <c r="J25" s="10">
        <v>482</v>
      </c>
      <c r="K25" s="10">
        <v>13179743.144659448</v>
      </c>
    </row>
    <row r="26" spans="1:11" x14ac:dyDescent="0.35">
      <c r="A26" s="9" t="s">
        <v>74</v>
      </c>
      <c r="B26" s="10">
        <v>1709</v>
      </c>
      <c r="C26" s="10">
        <v>12</v>
      </c>
      <c r="D26" s="10">
        <v>2</v>
      </c>
      <c r="E26" s="10">
        <v>1319</v>
      </c>
      <c r="F26" s="10">
        <v>34331182.277683817</v>
      </c>
      <c r="G26" s="10">
        <v>1698</v>
      </c>
      <c r="H26" s="10">
        <v>17</v>
      </c>
      <c r="I26" s="10">
        <v>1</v>
      </c>
      <c r="J26" s="10">
        <v>1381</v>
      </c>
      <c r="K26" s="10">
        <v>36181572.167494185</v>
      </c>
    </row>
    <row r="27" spans="1:11" x14ac:dyDescent="0.35">
      <c r="A27" s="9" t="s">
        <v>70</v>
      </c>
      <c r="B27" s="10">
        <v>861</v>
      </c>
      <c r="C27" s="10">
        <v>10</v>
      </c>
      <c r="D27" s="10">
        <v>1</v>
      </c>
      <c r="E27" s="10">
        <v>800</v>
      </c>
      <c r="F27" s="10">
        <v>15055659.969758572</v>
      </c>
      <c r="G27" s="10">
        <v>876</v>
      </c>
      <c r="H27" s="10">
        <v>10</v>
      </c>
      <c r="I27" s="10">
        <v>1</v>
      </c>
      <c r="J27" s="10">
        <v>867</v>
      </c>
      <c r="K27" s="10">
        <v>15017516.666063774</v>
      </c>
    </row>
    <row r="28" spans="1:11" x14ac:dyDescent="0.35">
      <c r="A28" s="9" t="s">
        <v>72</v>
      </c>
      <c r="B28" s="10">
        <v>893</v>
      </c>
      <c r="C28" s="10">
        <v>2</v>
      </c>
      <c r="D28" s="10">
        <v>1</v>
      </c>
      <c r="E28" s="10">
        <v>656</v>
      </c>
      <c r="F28" s="10">
        <v>16806306.479511511</v>
      </c>
      <c r="G28" s="10">
        <v>875</v>
      </c>
      <c r="H28" s="10">
        <v>5</v>
      </c>
      <c r="I28" s="10">
        <v>1</v>
      </c>
      <c r="J28" s="10">
        <v>759</v>
      </c>
      <c r="K28" s="10">
        <v>18339133.799450003</v>
      </c>
    </row>
    <row r="29" spans="1:11" x14ac:dyDescent="0.35">
      <c r="A29" s="9" t="s">
        <v>79</v>
      </c>
      <c r="B29" s="10">
        <v>229</v>
      </c>
      <c r="C29" s="10">
        <v>1</v>
      </c>
      <c r="D29" s="10">
        <v>0</v>
      </c>
      <c r="E29" s="10">
        <v>186</v>
      </c>
      <c r="F29" s="10">
        <v>4978274.1542370617</v>
      </c>
      <c r="G29" s="10">
        <v>228</v>
      </c>
      <c r="H29" s="10">
        <v>1</v>
      </c>
      <c r="I29" s="10">
        <v>2</v>
      </c>
      <c r="J29" s="10">
        <v>192</v>
      </c>
      <c r="K29" s="10">
        <v>4145553.8044927949</v>
      </c>
    </row>
    <row r="30" spans="1:11" x14ac:dyDescent="0.35">
      <c r="A30" s="9" t="s">
        <v>109</v>
      </c>
      <c r="B30" s="10">
        <v>1657</v>
      </c>
      <c r="C30" s="10">
        <v>2</v>
      </c>
      <c r="D30" s="10">
        <v>5</v>
      </c>
      <c r="E30" s="10">
        <v>1327</v>
      </c>
      <c r="F30" s="10">
        <v>38180141.640637457</v>
      </c>
      <c r="G30" s="10">
        <v>1653</v>
      </c>
      <c r="H30" s="10">
        <v>10</v>
      </c>
      <c r="I30" s="10">
        <v>5</v>
      </c>
      <c r="J30" s="10">
        <v>1384</v>
      </c>
      <c r="K30" s="10">
        <v>34673357.838432036</v>
      </c>
    </row>
    <row r="31" spans="1:11" x14ac:dyDescent="0.35">
      <c r="A31" s="9" t="s">
        <v>111</v>
      </c>
      <c r="B31" s="10">
        <v>858</v>
      </c>
      <c r="C31" s="10">
        <v>5</v>
      </c>
      <c r="D31" s="10">
        <v>1</v>
      </c>
      <c r="E31" s="10">
        <v>620</v>
      </c>
      <c r="F31" s="10">
        <v>26798065.721356105</v>
      </c>
      <c r="G31" s="10">
        <v>876</v>
      </c>
      <c r="H31" s="10">
        <v>3</v>
      </c>
      <c r="I31" s="10">
        <v>1</v>
      </c>
      <c r="J31" s="10">
        <v>695</v>
      </c>
      <c r="K31" s="10">
        <v>28932948.270447984</v>
      </c>
    </row>
    <row r="32" spans="1:11" x14ac:dyDescent="0.35">
      <c r="A32" s="9" t="s">
        <v>113</v>
      </c>
      <c r="B32" s="10">
        <v>1127</v>
      </c>
      <c r="C32" s="10">
        <v>2</v>
      </c>
      <c r="D32" s="10">
        <v>1</v>
      </c>
      <c r="E32" s="10">
        <v>757</v>
      </c>
      <c r="F32" s="10">
        <v>28967105.315619867</v>
      </c>
      <c r="G32" s="10">
        <v>1044</v>
      </c>
      <c r="H32" s="10">
        <v>2</v>
      </c>
      <c r="I32" s="10">
        <v>1</v>
      </c>
      <c r="J32" s="10">
        <v>623</v>
      </c>
      <c r="K32" s="10">
        <v>27314154.578593209</v>
      </c>
    </row>
    <row r="33" spans="1:11" x14ac:dyDescent="0.35">
      <c r="A33" s="9" t="s">
        <v>115</v>
      </c>
      <c r="B33" s="10">
        <v>1127</v>
      </c>
      <c r="C33" s="10">
        <v>1</v>
      </c>
      <c r="D33" s="10">
        <v>2</v>
      </c>
      <c r="E33" s="10">
        <v>891</v>
      </c>
      <c r="F33" s="10">
        <v>37440462.056698211</v>
      </c>
      <c r="G33" s="10">
        <v>1120</v>
      </c>
      <c r="H33" s="10">
        <v>3</v>
      </c>
      <c r="I33" s="10">
        <v>2</v>
      </c>
      <c r="J33" s="10">
        <v>1017</v>
      </c>
      <c r="K33" s="10">
        <v>38738095.034786858</v>
      </c>
    </row>
    <row r="34" spans="1:11" x14ac:dyDescent="0.35">
      <c r="A34" s="9" t="s">
        <v>16</v>
      </c>
      <c r="B34" s="10">
        <v>1500</v>
      </c>
      <c r="C34" s="10">
        <v>1</v>
      </c>
      <c r="D34" s="10">
        <v>5</v>
      </c>
      <c r="E34" s="10">
        <v>1170</v>
      </c>
      <c r="F34" s="10">
        <v>54625541.40816319</v>
      </c>
      <c r="G34" s="10">
        <v>1445</v>
      </c>
      <c r="H34" s="10">
        <v>4</v>
      </c>
      <c r="I34" s="10">
        <v>4</v>
      </c>
      <c r="J34" s="10">
        <v>1153</v>
      </c>
      <c r="K34" s="10">
        <v>49689744.933685243</v>
      </c>
    </row>
    <row r="35" spans="1:11" x14ac:dyDescent="0.35">
      <c r="A35" s="9" t="s">
        <v>18</v>
      </c>
      <c r="B35" s="10">
        <v>692</v>
      </c>
      <c r="C35" s="10">
        <v>2</v>
      </c>
      <c r="D35" s="10">
        <v>3</v>
      </c>
      <c r="E35" s="10">
        <v>546</v>
      </c>
      <c r="F35" s="10">
        <v>20563796.033259295</v>
      </c>
      <c r="G35" s="10">
        <v>698</v>
      </c>
      <c r="H35" s="10">
        <v>1</v>
      </c>
      <c r="I35" s="10">
        <v>5</v>
      </c>
      <c r="J35" s="10">
        <v>657</v>
      </c>
      <c r="K35" s="10">
        <v>22475660.079455785</v>
      </c>
    </row>
    <row r="36" spans="1:11" x14ac:dyDescent="0.35">
      <c r="A36" s="9" t="s">
        <v>43</v>
      </c>
      <c r="B36" s="10">
        <v>1970</v>
      </c>
      <c r="C36" s="10">
        <v>14</v>
      </c>
      <c r="D36" s="10">
        <v>11</v>
      </c>
      <c r="E36" s="10">
        <v>1942</v>
      </c>
      <c r="F36" s="10">
        <v>64619883.099481747</v>
      </c>
      <c r="G36" s="10">
        <v>1923</v>
      </c>
      <c r="H36" s="10">
        <v>9</v>
      </c>
      <c r="I36" s="10">
        <v>9</v>
      </c>
      <c r="J36" s="10">
        <v>1597</v>
      </c>
      <c r="K36" s="10">
        <v>54641880.595996283</v>
      </c>
    </row>
    <row r="37" spans="1:11" x14ac:dyDescent="0.35">
      <c r="A37" s="9" t="s">
        <v>152</v>
      </c>
      <c r="B37" s="10">
        <v>846</v>
      </c>
      <c r="C37" s="10">
        <v>2</v>
      </c>
      <c r="D37" s="10">
        <v>2</v>
      </c>
      <c r="E37" s="10">
        <v>676</v>
      </c>
      <c r="F37" s="10">
        <v>22177650.670513704</v>
      </c>
      <c r="G37" s="10">
        <v>857</v>
      </c>
      <c r="H37" s="10">
        <v>3</v>
      </c>
      <c r="I37" s="10">
        <v>2</v>
      </c>
      <c r="J37" s="10">
        <v>699</v>
      </c>
      <c r="K37" s="10">
        <v>22648991.031854369</v>
      </c>
    </row>
    <row r="38" spans="1:11" x14ac:dyDescent="0.35">
      <c r="A38" s="9" t="s">
        <v>149</v>
      </c>
      <c r="B38" s="10">
        <v>695</v>
      </c>
      <c r="C38" s="10">
        <v>2</v>
      </c>
      <c r="D38" s="10">
        <v>1</v>
      </c>
      <c r="E38" s="10">
        <v>550</v>
      </c>
      <c r="F38" s="10">
        <v>18494684.231714644</v>
      </c>
      <c r="G38" s="10">
        <v>748</v>
      </c>
      <c r="H38" s="10">
        <v>3</v>
      </c>
      <c r="I38" s="10">
        <v>1</v>
      </c>
      <c r="J38" s="10">
        <v>560</v>
      </c>
      <c r="K38" s="10">
        <v>20507947.028976176</v>
      </c>
    </row>
    <row r="39" spans="1:11" x14ac:dyDescent="0.35">
      <c r="A39" s="9" t="s">
        <v>154</v>
      </c>
      <c r="B39" s="10">
        <v>1112</v>
      </c>
      <c r="C39" s="10">
        <v>12</v>
      </c>
      <c r="D39" s="10">
        <v>2</v>
      </c>
      <c r="E39" s="10">
        <v>879</v>
      </c>
      <c r="F39" s="10">
        <v>32415149.402387757</v>
      </c>
      <c r="G39" s="10">
        <v>1162</v>
      </c>
      <c r="H39" s="10">
        <v>17</v>
      </c>
      <c r="I39" s="10">
        <v>1</v>
      </c>
      <c r="J39" s="10">
        <v>849</v>
      </c>
      <c r="K39" s="10">
        <v>31697377.625365242</v>
      </c>
    </row>
    <row r="40" spans="1:11" x14ac:dyDescent="0.35">
      <c r="A40" s="9" t="s">
        <v>2</v>
      </c>
      <c r="B40" s="10">
        <v>1098</v>
      </c>
      <c r="C40" s="10">
        <v>41</v>
      </c>
      <c r="D40" s="10">
        <v>1</v>
      </c>
      <c r="E40" s="10">
        <v>749</v>
      </c>
      <c r="F40" s="10">
        <v>31422622.587050565</v>
      </c>
      <c r="G40" s="10">
        <v>1271</v>
      </c>
      <c r="H40" s="10">
        <v>121</v>
      </c>
      <c r="I40" s="10">
        <v>1</v>
      </c>
      <c r="J40" s="10">
        <v>880</v>
      </c>
      <c r="K40" s="10">
        <v>29999625.405255064</v>
      </c>
    </row>
    <row r="41" spans="1:11" x14ac:dyDescent="0.35">
      <c r="A41" s="9" t="s">
        <v>156</v>
      </c>
      <c r="B41" s="10">
        <v>1778</v>
      </c>
      <c r="C41" s="10">
        <v>55</v>
      </c>
      <c r="D41" s="10">
        <v>4</v>
      </c>
      <c r="E41" s="10">
        <v>1328</v>
      </c>
      <c r="F41" s="10">
        <v>49380423.194518387</v>
      </c>
      <c r="G41" s="10">
        <v>2274</v>
      </c>
      <c r="H41" s="10">
        <v>70</v>
      </c>
      <c r="I41" s="10">
        <v>5</v>
      </c>
      <c r="J41" s="10">
        <v>1420</v>
      </c>
      <c r="K41" s="10">
        <v>54072727.66768647</v>
      </c>
    </row>
    <row r="42" spans="1:11" x14ac:dyDescent="0.35">
      <c r="A42" s="9" t="s">
        <v>14</v>
      </c>
      <c r="B42" s="10">
        <v>617</v>
      </c>
      <c r="C42" s="10">
        <v>2</v>
      </c>
      <c r="D42" s="10">
        <v>5</v>
      </c>
      <c r="E42" s="10">
        <v>13</v>
      </c>
      <c r="F42" s="10">
        <v>17501175.169462778</v>
      </c>
      <c r="G42" s="10">
        <v>621</v>
      </c>
      <c r="H42" s="10">
        <v>1</v>
      </c>
      <c r="I42" s="10">
        <v>6</v>
      </c>
      <c r="J42" s="10">
        <v>480</v>
      </c>
      <c r="K42" s="10">
        <v>19553902.07009979</v>
      </c>
    </row>
    <row r="43" spans="1:11" x14ac:dyDescent="0.35">
      <c r="A43" s="9" t="s">
        <v>8</v>
      </c>
      <c r="B43" s="10">
        <v>2026</v>
      </c>
      <c r="C43" s="10">
        <v>5</v>
      </c>
      <c r="D43" s="10">
        <v>5</v>
      </c>
      <c r="E43" s="10">
        <v>1885</v>
      </c>
      <c r="F43" s="10">
        <v>58094258.463035837</v>
      </c>
      <c r="G43" s="10">
        <v>2052</v>
      </c>
      <c r="H43" s="10">
        <v>4</v>
      </c>
      <c r="I43" s="10">
        <v>6</v>
      </c>
      <c r="J43" s="10">
        <v>1899</v>
      </c>
      <c r="K43" s="10">
        <v>62788078.791813053</v>
      </c>
    </row>
    <row r="44" spans="1:11" x14ac:dyDescent="0.35">
      <c r="A44" s="9" t="s">
        <v>39</v>
      </c>
      <c r="B44" s="10">
        <v>876</v>
      </c>
      <c r="C44" s="10">
        <v>6</v>
      </c>
      <c r="D44" s="10">
        <v>4</v>
      </c>
      <c r="E44" s="10">
        <v>823</v>
      </c>
      <c r="F44" s="10">
        <v>40259525.860920064</v>
      </c>
      <c r="G44" s="10">
        <v>898</v>
      </c>
      <c r="H44" s="10">
        <v>3</v>
      </c>
      <c r="I44" s="10">
        <v>4</v>
      </c>
      <c r="J44" s="10">
        <v>849</v>
      </c>
      <c r="K44" s="10">
        <v>43702130.166758053</v>
      </c>
    </row>
    <row r="45" spans="1:11" x14ac:dyDescent="0.35">
      <c r="A45" s="9" t="s">
        <v>6</v>
      </c>
      <c r="B45" s="10">
        <v>1123</v>
      </c>
      <c r="C45" s="10">
        <v>3</v>
      </c>
      <c r="D45" s="10">
        <v>3</v>
      </c>
      <c r="E45" s="10">
        <v>932</v>
      </c>
      <c r="F45" s="10">
        <v>33706233.502371065</v>
      </c>
      <c r="G45" s="10">
        <v>1097</v>
      </c>
      <c r="H45" s="10">
        <v>5</v>
      </c>
      <c r="I45" s="10">
        <v>3</v>
      </c>
      <c r="J45" s="10">
        <v>1095</v>
      </c>
      <c r="K45" s="10">
        <v>25153289.147385843</v>
      </c>
    </row>
    <row r="46" spans="1:11" x14ac:dyDescent="0.35">
      <c r="A46" s="9" t="s">
        <v>41</v>
      </c>
      <c r="B46" s="10">
        <v>865</v>
      </c>
      <c r="C46" s="10">
        <v>0</v>
      </c>
      <c r="D46" s="10">
        <v>5</v>
      </c>
      <c r="E46" s="10">
        <v>623</v>
      </c>
      <c r="F46" s="10">
        <v>32761795.611114733</v>
      </c>
      <c r="G46" s="10">
        <v>830</v>
      </c>
      <c r="H46" s="10">
        <v>5</v>
      </c>
      <c r="I46" s="10">
        <v>4</v>
      </c>
      <c r="J46" s="10">
        <v>573</v>
      </c>
      <c r="K46" s="10">
        <v>32727427.435014695</v>
      </c>
    </row>
    <row r="47" spans="1:11" x14ac:dyDescent="0.35">
      <c r="A47" s="9" t="s">
        <v>158</v>
      </c>
      <c r="B47" s="10">
        <v>664</v>
      </c>
      <c r="C47" s="10">
        <v>3</v>
      </c>
      <c r="D47" s="10">
        <v>10</v>
      </c>
      <c r="E47" s="10">
        <v>607</v>
      </c>
      <c r="F47" s="10">
        <v>20342697.235315848</v>
      </c>
      <c r="G47" s="10">
        <v>701</v>
      </c>
      <c r="H47" s="10">
        <v>3</v>
      </c>
      <c r="I47" s="10">
        <v>11</v>
      </c>
      <c r="J47" s="10">
        <v>671</v>
      </c>
      <c r="K47" s="10">
        <v>21247499.714460559</v>
      </c>
    </row>
    <row r="48" spans="1:11" x14ac:dyDescent="0.35">
      <c r="A48" s="9" t="s">
        <v>160</v>
      </c>
      <c r="B48" s="10">
        <v>702</v>
      </c>
      <c r="C48" s="10">
        <v>1</v>
      </c>
      <c r="D48" s="10">
        <v>1</v>
      </c>
      <c r="E48" s="10">
        <v>691</v>
      </c>
      <c r="F48" s="10">
        <v>19467108.785032246</v>
      </c>
      <c r="G48" s="10">
        <v>690</v>
      </c>
      <c r="H48" s="10">
        <v>0</v>
      </c>
      <c r="I48" s="10">
        <v>1</v>
      </c>
      <c r="J48" s="10">
        <v>732</v>
      </c>
      <c r="K48" s="10">
        <v>18175582.361618567</v>
      </c>
    </row>
    <row r="49" spans="1:11" x14ac:dyDescent="0.35">
      <c r="A49" s="9" t="s">
        <v>83</v>
      </c>
      <c r="B49" s="10">
        <v>1283</v>
      </c>
      <c r="C49" s="10">
        <v>10</v>
      </c>
      <c r="D49" s="10">
        <v>6</v>
      </c>
      <c r="E49" s="10">
        <v>1103</v>
      </c>
      <c r="F49" s="10">
        <v>62477023.740561083</v>
      </c>
      <c r="G49" s="10">
        <v>1238</v>
      </c>
      <c r="H49" s="10">
        <v>2</v>
      </c>
      <c r="I49" s="10">
        <v>5</v>
      </c>
      <c r="J49" s="10">
        <v>1454</v>
      </c>
      <c r="K49" s="10">
        <v>58038275.749017172</v>
      </c>
    </row>
    <row r="50" spans="1:11" x14ac:dyDescent="0.35">
      <c r="A50" s="9" t="s">
        <v>202</v>
      </c>
      <c r="B50" s="10">
        <v>437</v>
      </c>
      <c r="C50" s="10">
        <v>3</v>
      </c>
      <c r="D50" s="10">
        <v>2</v>
      </c>
      <c r="E50" s="10">
        <v>451</v>
      </c>
      <c r="F50" s="10">
        <v>11376658.915109288</v>
      </c>
      <c r="G50" s="10">
        <v>444</v>
      </c>
      <c r="H50" s="10">
        <v>1</v>
      </c>
      <c r="I50" s="10">
        <v>1</v>
      </c>
      <c r="J50" s="10">
        <v>440</v>
      </c>
      <c r="K50" s="10">
        <v>9365285.4537124839</v>
      </c>
    </row>
    <row r="51" spans="1:11" x14ac:dyDescent="0.35">
      <c r="A51" s="9" t="s">
        <v>31</v>
      </c>
      <c r="B51" s="10">
        <v>877</v>
      </c>
      <c r="C51" s="10">
        <v>2</v>
      </c>
      <c r="D51" s="10">
        <v>5</v>
      </c>
      <c r="E51" s="10">
        <v>948</v>
      </c>
      <c r="F51" s="10">
        <v>28184934.114670154</v>
      </c>
      <c r="G51" s="10">
        <v>910</v>
      </c>
      <c r="H51" s="10">
        <v>3</v>
      </c>
      <c r="I51" s="10">
        <v>7</v>
      </c>
      <c r="J51" s="10">
        <v>939</v>
      </c>
      <c r="K51" s="10">
        <v>27492791.124575771</v>
      </c>
    </row>
    <row r="52" spans="1:11" x14ac:dyDescent="0.35">
      <c r="A52" s="9" t="s">
        <v>33</v>
      </c>
      <c r="B52" s="10">
        <v>1306</v>
      </c>
      <c r="C52" s="10">
        <v>13</v>
      </c>
      <c r="D52" s="10">
        <v>12</v>
      </c>
      <c r="E52" s="10">
        <v>1003</v>
      </c>
      <c r="F52" s="10">
        <v>41289989.144723333</v>
      </c>
      <c r="G52" s="10">
        <v>1345</v>
      </c>
      <c r="H52" s="10">
        <v>5</v>
      </c>
      <c r="I52" s="10">
        <v>12</v>
      </c>
      <c r="J52" s="10">
        <v>951</v>
      </c>
      <c r="K52" s="10">
        <v>47993219.130776621</v>
      </c>
    </row>
    <row r="53" spans="1:11" x14ac:dyDescent="0.35">
      <c r="A53" s="9" t="s">
        <v>85</v>
      </c>
      <c r="B53" s="10">
        <v>479</v>
      </c>
      <c r="C53" s="10">
        <v>7</v>
      </c>
      <c r="D53" s="10">
        <v>5</v>
      </c>
      <c r="E53" s="10">
        <v>356</v>
      </c>
      <c r="F53" s="10">
        <v>21359608.09983848</v>
      </c>
      <c r="G53" s="10">
        <v>485</v>
      </c>
      <c r="H53" s="10">
        <v>1</v>
      </c>
      <c r="I53" s="10">
        <v>6</v>
      </c>
      <c r="J53" s="10">
        <v>370</v>
      </c>
      <c r="K53" s="10">
        <v>24793926.215664741</v>
      </c>
    </row>
    <row r="54" spans="1:11" x14ac:dyDescent="0.35">
      <c r="A54" s="9" t="s">
        <v>81</v>
      </c>
      <c r="B54" s="10">
        <v>444</v>
      </c>
      <c r="C54" s="10">
        <v>1</v>
      </c>
      <c r="D54" s="10">
        <v>7</v>
      </c>
      <c r="E54" s="10">
        <v>2191</v>
      </c>
      <c r="F54" s="10">
        <v>21478198.433565818</v>
      </c>
      <c r="G54" s="10">
        <v>456</v>
      </c>
      <c r="H54" s="10">
        <v>0</v>
      </c>
      <c r="I54" s="10">
        <v>4</v>
      </c>
      <c r="J54" s="10">
        <v>314</v>
      </c>
      <c r="K54" s="10">
        <v>18005875.489039745</v>
      </c>
    </row>
    <row r="55" spans="1:11" x14ac:dyDescent="0.35">
      <c r="A55" s="9" t="s">
        <v>87</v>
      </c>
      <c r="B55" s="10">
        <v>428</v>
      </c>
      <c r="C55" s="10">
        <v>11</v>
      </c>
      <c r="D55" s="10">
        <v>2</v>
      </c>
      <c r="E55" s="10">
        <v>351</v>
      </c>
      <c r="F55" s="10">
        <v>17676503.12317507</v>
      </c>
      <c r="G55" s="10">
        <v>422</v>
      </c>
      <c r="H55" s="10">
        <v>2</v>
      </c>
      <c r="I55" s="10">
        <v>4</v>
      </c>
      <c r="J55" s="10">
        <v>335</v>
      </c>
      <c r="K55" s="10">
        <v>15802232.271788953</v>
      </c>
    </row>
    <row r="56" spans="1:11" x14ac:dyDescent="0.35">
      <c r="A56" s="9" t="s">
        <v>166</v>
      </c>
      <c r="B56" s="10">
        <v>1126</v>
      </c>
      <c r="C56" s="10">
        <v>4</v>
      </c>
      <c r="D56" s="10">
        <v>1</v>
      </c>
      <c r="E56" s="10">
        <v>997</v>
      </c>
      <c r="F56" s="10">
        <v>38319010.734158374</v>
      </c>
      <c r="G56" s="10">
        <v>1104</v>
      </c>
      <c r="H56" s="10">
        <v>5</v>
      </c>
      <c r="I56" s="10">
        <v>1</v>
      </c>
      <c r="J56" s="10">
        <v>921</v>
      </c>
      <c r="K56" s="10">
        <v>37135022.236871041</v>
      </c>
    </row>
    <row r="57" spans="1:11" x14ac:dyDescent="0.35">
      <c r="A57" s="9" t="s">
        <v>93</v>
      </c>
      <c r="B57" s="10">
        <v>967</v>
      </c>
      <c r="C57" s="10">
        <v>10</v>
      </c>
      <c r="D57" s="10">
        <v>3</v>
      </c>
      <c r="E57" s="10">
        <v>867</v>
      </c>
      <c r="F57" s="10">
        <v>40505878.641760208</v>
      </c>
      <c r="G57" s="10">
        <v>1009</v>
      </c>
      <c r="H57" s="10">
        <v>7</v>
      </c>
      <c r="I57" s="10">
        <v>1</v>
      </c>
      <c r="J57" s="10">
        <v>926</v>
      </c>
      <c r="K57" s="10">
        <v>38633184.860168822</v>
      </c>
    </row>
    <row r="58" spans="1:11" x14ac:dyDescent="0.35">
      <c r="A58" s="9" t="s">
        <v>95</v>
      </c>
      <c r="B58" s="10">
        <v>2161</v>
      </c>
      <c r="C58" s="10">
        <v>36</v>
      </c>
      <c r="D58" s="10">
        <v>7</v>
      </c>
      <c r="E58" s="10">
        <v>1656</v>
      </c>
      <c r="F58" s="10">
        <v>56342722.856981687</v>
      </c>
      <c r="G58" s="10">
        <v>2036</v>
      </c>
      <c r="H58" s="10">
        <v>9</v>
      </c>
      <c r="I58" s="10">
        <v>8</v>
      </c>
      <c r="J58" s="10">
        <v>1773</v>
      </c>
      <c r="K58" s="10">
        <v>69474698.048531413</v>
      </c>
    </row>
    <row r="59" spans="1:11" x14ac:dyDescent="0.35">
      <c r="A59" s="9" t="s">
        <v>174</v>
      </c>
      <c r="B59" s="10">
        <v>686</v>
      </c>
      <c r="C59" s="10">
        <v>3</v>
      </c>
      <c r="D59" s="10">
        <v>0</v>
      </c>
      <c r="E59" s="10">
        <v>528</v>
      </c>
      <c r="F59" s="10">
        <v>18581528.074724223</v>
      </c>
      <c r="G59" s="10">
        <v>692</v>
      </c>
      <c r="H59" s="10">
        <v>4</v>
      </c>
      <c r="I59" s="10">
        <v>0</v>
      </c>
      <c r="J59" s="10">
        <v>498</v>
      </c>
      <c r="K59" s="10">
        <v>17379391.950311348</v>
      </c>
    </row>
    <row r="60" spans="1:11" x14ac:dyDescent="0.35">
      <c r="A60" s="9" t="s">
        <v>99</v>
      </c>
      <c r="B60" s="10">
        <v>885</v>
      </c>
      <c r="C60" s="10">
        <v>6</v>
      </c>
      <c r="D60" s="10">
        <v>5</v>
      </c>
      <c r="E60" s="10">
        <v>794</v>
      </c>
      <c r="F60" s="10">
        <v>28675817.814602911</v>
      </c>
      <c r="G60" s="10">
        <v>862</v>
      </c>
      <c r="H60" s="10">
        <v>6</v>
      </c>
      <c r="I60" s="10">
        <v>5</v>
      </c>
      <c r="J60" s="10">
        <v>790</v>
      </c>
      <c r="K60" s="10">
        <v>30317184.127649944</v>
      </c>
    </row>
    <row r="61" spans="1:11" x14ac:dyDescent="0.35">
      <c r="A61" s="9" t="s">
        <v>172</v>
      </c>
      <c r="B61" s="10">
        <v>789</v>
      </c>
      <c r="C61" s="10">
        <v>3</v>
      </c>
      <c r="D61" s="10">
        <v>1</v>
      </c>
      <c r="E61" s="10">
        <v>624</v>
      </c>
      <c r="F61" s="10">
        <v>22481594.447822541</v>
      </c>
      <c r="G61" s="10">
        <v>746</v>
      </c>
      <c r="H61" s="10">
        <v>4</v>
      </c>
      <c r="I61" s="10">
        <v>1</v>
      </c>
      <c r="J61" s="10">
        <v>658</v>
      </c>
      <c r="K61" s="10">
        <v>19189044.107355248</v>
      </c>
    </row>
    <row r="62" spans="1:11" x14ac:dyDescent="0.35">
      <c r="A62" s="9" t="s">
        <v>168</v>
      </c>
      <c r="B62" s="10">
        <v>1097</v>
      </c>
      <c r="C62" s="10">
        <v>8</v>
      </c>
      <c r="D62" s="10">
        <v>1</v>
      </c>
      <c r="E62" s="10">
        <v>1106</v>
      </c>
      <c r="F62" s="10">
        <v>38270861.122598462</v>
      </c>
      <c r="G62" s="10">
        <v>1110</v>
      </c>
      <c r="H62" s="10">
        <v>7</v>
      </c>
      <c r="I62" s="10">
        <v>0</v>
      </c>
      <c r="J62" s="10">
        <v>938</v>
      </c>
      <c r="K62" s="10">
        <v>38656329.906607106</v>
      </c>
    </row>
    <row r="63" spans="1:11" x14ac:dyDescent="0.35">
      <c r="A63" s="9" t="s">
        <v>101</v>
      </c>
      <c r="B63" s="10">
        <v>1361</v>
      </c>
      <c r="C63" s="10">
        <v>10</v>
      </c>
      <c r="D63" s="10">
        <v>4</v>
      </c>
      <c r="E63" s="10">
        <v>1410</v>
      </c>
      <c r="F63" s="10">
        <v>49094951.780632906</v>
      </c>
      <c r="G63" s="10">
        <v>1497</v>
      </c>
      <c r="H63" s="10">
        <v>8</v>
      </c>
      <c r="I63" s="10">
        <v>4</v>
      </c>
      <c r="J63" s="10">
        <v>1041</v>
      </c>
      <c r="K63" s="10">
        <v>47134937.423156217</v>
      </c>
    </row>
    <row r="64" spans="1:11" x14ac:dyDescent="0.35">
      <c r="A64" s="9" t="s">
        <v>103</v>
      </c>
      <c r="B64" s="10">
        <v>768</v>
      </c>
      <c r="C64" s="10">
        <v>4</v>
      </c>
      <c r="D64" s="10">
        <v>5</v>
      </c>
      <c r="E64" s="10">
        <v>678</v>
      </c>
      <c r="F64" s="10">
        <v>24841033.532271557</v>
      </c>
      <c r="G64" s="10">
        <v>764</v>
      </c>
      <c r="H64" s="10">
        <v>2</v>
      </c>
      <c r="I64" s="10">
        <v>4</v>
      </c>
      <c r="J64" s="10">
        <v>754</v>
      </c>
      <c r="K64" s="10">
        <v>26286574.062764719</v>
      </c>
    </row>
    <row r="65" spans="1:11" x14ac:dyDescent="0.35">
      <c r="A65" s="9" t="s">
        <v>105</v>
      </c>
      <c r="B65" s="10">
        <v>688</v>
      </c>
      <c r="C65" s="10">
        <v>5</v>
      </c>
      <c r="D65" s="10">
        <v>5</v>
      </c>
      <c r="E65" s="10">
        <v>448</v>
      </c>
      <c r="F65" s="10">
        <v>29096685.519441087</v>
      </c>
      <c r="G65" s="10">
        <v>636</v>
      </c>
      <c r="H65" s="10">
        <v>9</v>
      </c>
      <c r="I65" s="10">
        <v>5</v>
      </c>
      <c r="J65" s="10">
        <v>470</v>
      </c>
      <c r="K65" s="10">
        <v>29372784.881242465</v>
      </c>
    </row>
    <row r="66" spans="1:11" x14ac:dyDescent="0.35">
      <c r="A66" s="9" t="s">
        <v>24</v>
      </c>
      <c r="B66" s="10">
        <v>2035</v>
      </c>
      <c r="C66" s="10">
        <v>14</v>
      </c>
      <c r="D66" s="10">
        <v>9</v>
      </c>
      <c r="E66" s="10">
        <v>1676</v>
      </c>
      <c r="F66" s="10">
        <v>75334047.475907341</v>
      </c>
      <c r="G66" s="10">
        <v>1990</v>
      </c>
      <c r="H66" s="10">
        <v>14</v>
      </c>
      <c r="I66" s="10">
        <v>11</v>
      </c>
      <c r="J66" s="10">
        <v>1567</v>
      </c>
      <c r="K66" s="10">
        <v>94609229.45671463</v>
      </c>
    </row>
    <row r="67" spans="1:11" x14ac:dyDescent="0.35">
      <c r="A67" s="9" t="s">
        <v>27</v>
      </c>
      <c r="B67" s="10">
        <v>1602</v>
      </c>
      <c r="C67" s="10">
        <v>19</v>
      </c>
      <c r="D67" s="10">
        <v>8</v>
      </c>
      <c r="E67" s="10">
        <v>1193</v>
      </c>
      <c r="F67" s="10">
        <v>70479993.177585602</v>
      </c>
      <c r="G67" s="10">
        <v>1599</v>
      </c>
      <c r="H67" s="10">
        <v>16</v>
      </c>
      <c r="I67" s="10">
        <v>6</v>
      </c>
      <c r="J67" s="10">
        <v>1356</v>
      </c>
      <c r="K67" s="10">
        <v>70751538.977041662</v>
      </c>
    </row>
    <row r="68" spans="1:11" x14ac:dyDescent="0.35">
      <c r="A68" s="9" t="s">
        <v>29</v>
      </c>
      <c r="B68" s="10">
        <v>860</v>
      </c>
      <c r="C68" s="10">
        <v>2</v>
      </c>
      <c r="D68" s="10">
        <v>1</v>
      </c>
      <c r="E68" s="10">
        <v>656</v>
      </c>
      <c r="F68" s="10">
        <v>43706336.685455166</v>
      </c>
      <c r="G68" s="10">
        <v>894</v>
      </c>
      <c r="H68" s="10">
        <v>7</v>
      </c>
      <c r="I68" s="10">
        <v>1</v>
      </c>
      <c r="J68" s="10">
        <v>654</v>
      </c>
      <c r="K68" s="10">
        <v>45651879.400535792</v>
      </c>
    </row>
    <row r="69" spans="1:11" x14ac:dyDescent="0.35">
      <c r="A69" s="9" t="s">
        <v>57</v>
      </c>
      <c r="B69" s="10">
        <v>2008</v>
      </c>
      <c r="C69" s="10">
        <v>244</v>
      </c>
      <c r="D69" s="10">
        <v>13</v>
      </c>
      <c r="E69" s="10">
        <v>1463</v>
      </c>
      <c r="F69" s="10">
        <v>64357523.01838614</v>
      </c>
      <c r="G69" s="10">
        <v>2204</v>
      </c>
      <c r="H69" s="10">
        <v>377</v>
      </c>
      <c r="I69" s="10">
        <v>12</v>
      </c>
      <c r="J69" s="10">
        <v>1245</v>
      </c>
      <c r="K69" s="10">
        <v>67636200.907637477</v>
      </c>
    </row>
    <row r="70" spans="1:11" x14ac:dyDescent="0.35">
      <c r="A70" s="9" t="s">
        <v>137</v>
      </c>
      <c r="B70" s="10">
        <v>267</v>
      </c>
      <c r="C70" s="10">
        <v>2</v>
      </c>
      <c r="D70" s="10">
        <v>1</v>
      </c>
      <c r="E70" s="10">
        <v>255</v>
      </c>
      <c r="F70" s="10">
        <v>4831983.2646832503</v>
      </c>
      <c r="G70" s="10">
        <v>252</v>
      </c>
      <c r="H70" s="10">
        <v>0</v>
      </c>
      <c r="I70" s="10">
        <v>1</v>
      </c>
      <c r="J70" s="10">
        <v>246</v>
      </c>
      <c r="K70" s="10">
        <v>2632017.6643952979</v>
      </c>
    </row>
    <row r="71" spans="1:11" x14ac:dyDescent="0.35">
      <c r="A71" s="9" t="s">
        <v>10</v>
      </c>
      <c r="B71" s="10">
        <v>1781</v>
      </c>
      <c r="C71" s="10">
        <v>6</v>
      </c>
      <c r="D71" s="10">
        <v>7</v>
      </c>
      <c r="E71" s="10">
        <v>1517</v>
      </c>
      <c r="F71" s="10">
        <v>50773613.3984451</v>
      </c>
      <c r="G71" s="10">
        <v>1663</v>
      </c>
      <c r="H71" s="10">
        <v>9</v>
      </c>
      <c r="I71" s="10">
        <v>6</v>
      </c>
      <c r="J71" s="10">
        <v>1571</v>
      </c>
      <c r="K71" s="10">
        <v>48982194.351211667</v>
      </c>
    </row>
    <row r="72" spans="1:11" x14ac:dyDescent="0.35">
      <c r="A72" s="9" t="s">
        <v>12</v>
      </c>
      <c r="B72" s="10">
        <v>664</v>
      </c>
      <c r="C72" s="10">
        <v>2</v>
      </c>
      <c r="D72" s="10">
        <v>2</v>
      </c>
      <c r="E72" s="10">
        <v>571</v>
      </c>
      <c r="F72" s="10">
        <v>20933770.783716775</v>
      </c>
      <c r="G72" s="10">
        <v>739</v>
      </c>
      <c r="H72" s="10">
        <v>3</v>
      </c>
      <c r="I72" s="10">
        <v>3</v>
      </c>
      <c r="J72" s="10">
        <v>614</v>
      </c>
      <c r="K72" s="10">
        <v>23094311.445282642</v>
      </c>
    </row>
    <row r="73" spans="1:11" x14ac:dyDescent="0.35">
      <c r="A73" s="9" t="s">
        <v>162</v>
      </c>
      <c r="B73" s="10">
        <v>1325</v>
      </c>
      <c r="C73" s="10">
        <v>45</v>
      </c>
      <c r="D73" s="10">
        <v>5</v>
      </c>
      <c r="E73" s="10">
        <v>1189</v>
      </c>
      <c r="F73" s="10">
        <v>34166560.655513391</v>
      </c>
      <c r="G73" s="10">
        <v>1391</v>
      </c>
      <c r="H73" s="10">
        <v>23</v>
      </c>
      <c r="I73" s="10">
        <v>4</v>
      </c>
      <c r="J73" s="10">
        <v>982</v>
      </c>
      <c r="K73" s="10">
        <v>34962922.177493237</v>
      </c>
    </row>
    <row r="74" spans="1:11" x14ac:dyDescent="0.35">
      <c r="A74" s="9" t="s">
        <v>63</v>
      </c>
      <c r="B74" s="10">
        <v>1356</v>
      </c>
      <c r="C74" s="10">
        <v>7</v>
      </c>
      <c r="D74" s="10">
        <v>5</v>
      </c>
      <c r="E74" s="10">
        <v>853</v>
      </c>
      <c r="F74" s="10">
        <v>17151283.369032022</v>
      </c>
      <c r="G74" s="10">
        <v>1253</v>
      </c>
      <c r="H74" s="10">
        <v>6</v>
      </c>
      <c r="I74" s="10">
        <v>5</v>
      </c>
      <c r="J74" s="10">
        <v>1208</v>
      </c>
      <c r="K74" s="10">
        <v>22198382.348371297</v>
      </c>
    </row>
    <row r="75" spans="1:11" x14ac:dyDescent="0.35">
      <c r="A75" s="9" t="s">
        <v>59</v>
      </c>
      <c r="B75" s="10">
        <v>1751</v>
      </c>
      <c r="C75" s="10">
        <v>7</v>
      </c>
      <c r="D75" s="10">
        <v>5</v>
      </c>
      <c r="E75" s="10">
        <v>1210</v>
      </c>
      <c r="F75" s="10">
        <v>60080748.523181163</v>
      </c>
      <c r="G75" s="10">
        <v>1758</v>
      </c>
      <c r="H75" s="10">
        <v>13</v>
      </c>
      <c r="I75" s="10">
        <v>5</v>
      </c>
      <c r="J75" s="10">
        <v>1241</v>
      </c>
      <c r="K75" s="10">
        <v>61224476.983174697</v>
      </c>
    </row>
    <row r="76" spans="1:11" x14ac:dyDescent="0.35">
      <c r="A76" s="9" t="s">
        <v>139</v>
      </c>
      <c r="B76" s="10">
        <v>496</v>
      </c>
      <c r="C76" s="10">
        <v>2</v>
      </c>
      <c r="D76" s="10">
        <v>2</v>
      </c>
      <c r="E76" s="10">
        <v>494</v>
      </c>
      <c r="F76" s="10">
        <v>13156020.104537236</v>
      </c>
      <c r="G76" s="10">
        <v>507</v>
      </c>
      <c r="H76" s="10">
        <v>2</v>
      </c>
      <c r="I76" s="10">
        <v>1</v>
      </c>
      <c r="J76" s="10">
        <v>440</v>
      </c>
      <c r="K76" s="10">
        <v>12385983.388492895</v>
      </c>
    </row>
    <row r="77" spans="1:11" x14ac:dyDescent="0.35">
      <c r="A77" s="9" t="s">
        <v>170</v>
      </c>
      <c r="B77" s="10">
        <v>891</v>
      </c>
      <c r="C77" s="10">
        <v>4</v>
      </c>
      <c r="D77" s="10">
        <v>1</v>
      </c>
      <c r="E77" s="10">
        <v>834</v>
      </c>
      <c r="F77" s="10">
        <v>19982061.397274464</v>
      </c>
      <c r="G77" s="10">
        <v>879</v>
      </c>
      <c r="H77" s="10">
        <v>2</v>
      </c>
      <c r="I77" s="10">
        <v>1</v>
      </c>
      <c r="J77" s="10">
        <v>791</v>
      </c>
      <c r="K77" s="10">
        <v>19938681.662497777</v>
      </c>
    </row>
    <row r="78" spans="1:11" x14ac:dyDescent="0.35">
      <c r="A78" s="9" t="s">
        <v>61</v>
      </c>
      <c r="B78" s="10">
        <v>670</v>
      </c>
      <c r="C78" s="10">
        <v>2</v>
      </c>
      <c r="D78" s="10">
        <v>4</v>
      </c>
      <c r="E78" s="10">
        <v>633</v>
      </c>
      <c r="F78" s="10">
        <v>14294811.694408428</v>
      </c>
      <c r="G78" s="10">
        <v>645</v>
      </c>
      <c r="H78" s="10">
        <v>1</v>
      </c>
      <c r="I78" s="10">
        <v>3</v>
      </c>
      <c r="J78" s="10">
        <v>487</v>
      </c>
      <c r="K78" s="10">
        <v>19626666.190058872</v>
      </c>
    </row>
    <row r="79" spans="1:11" x14ac:dyDescent="0.35">
      <c r="A79" s="9" t="s">
        <v>129</v>
      </c>
      <c r="B79" s="10">
        <v>608</v>
      </c>
      <c r="C79" s="10">
        <v>5</v>
      </c>
      <c r="D79" s="10">
        <v>1</v>
      </c>
      <c r="E79" s="10">
        <v>352</v>
      </c>
      <c r="F79" s="10">
        <v>13802610.510686357</v>
      </c>
      <c r="G79" s="10">
        <v>616</v>
      </c>
      <c r="H79" s="10">
        <v>6</v>
      </c>
      <c r="I79" s="10">
        <v>1</v>
      </c>
      <c r="J79" s="10">
        <v>596</v>
      </c>
      <c r="K79" s="10">
        <v>14965299.75582342</v>
      </c>
    </row>
    <row r="80" spans="1:11" x14ac:dyDescent="0.35">
      <c r="A80" s="9" t="s">
        <v>35</v>
      </c>
      <c r="B80" s="10">
        <v>433</v>
      </c>
      <c r="C80" s="10">
        <v>5</v>
      </c>
      <c r="D80" s="10">
        <v>6</v>
      </c>
      <c r="E80" s="10">
        <v>427</v>
      </c>
      <c r="F80" s="10">
        <v>15323299.284381747</v>
      </c>
      <c r="G80" s="10">
        <v>442</v>
      </c>
      <c r="H80" s="10">
        <v>1</v>
      </c>
      <c r="I80" s="10">
        <v>7</v>
      </c>
      <c r="J80" s="10">
        <v>471</v>
      </c>
      <c r="K80" s="10">
        <v>16528959.138679625</v>
      </c>
    </row>
    <row r="81" spans="1:11" x14ac:dyDescent="0.35">
      <c r="A81" s="9" t="s">
        <v>107</v>
      </c>
      <c r="B81" s="10">
        <v>959</v>
      </c>
      <c r="C81" s="10">
        <v>9</v>
      </c>
      <c r="D81" s="10">
        <v>3</v>
      </c>
      <c r="E81" s="10">
        <v>736</v>
      </c>
      <c r="F81" s="10">
        <v>44142138.429326862</v>
      </c>
      <c r="G81" s="10">
        <v>919</v>
      </c>
      <c r="H81" s="10">
        <v>6</v>
      </c>
      <c r="I81" s="10">
        <v>3</v>
      </c>
      <c r="J81" s="10">
        <v>911</v>
      </c>
      <c r="K81" s="10">
        <v>43962551.141078793</v>
      </c>
    </row>
    <row r="82" spans="1:11" x14ac:dyDescent="0.35">
      <c r="A82" s="9" t="s">
        <v>37</v>
      </c>
      <c r="B82" s="10">
        <v>784</v>
      </c>
      <c r="C82" s="10">
        <v>3</v>
      </c>
      <c r="D82" s="10">
        <v>9</v>
      </c>
      <c r="E82" s="10">
        <v>748</v>
      </c>
      <c r="F82" s="10">
        <v>26320088.840679597</v>
      </c>
      <c r="G82" s="10">
        <v>772</v>
      </c>
      <c r="H82" s="10">
        <v>2</v>
      </c>
      <c r="I82" s="10">
        <v>10</v>
      </c>
      <c r="J82" s="10">
        <v>694</v>
      </c>
      <c r="K82" s="10">
        <v>25795596.968580019</v>
      </c>
    </row>
    <row r="83" spans="1:11" x14ac:dyDescent="0.35">
      <c r="A83" s="9" t="s">
        <v>76</v>
      </c>
      <c r="B83" s="10">
        <v>949</v>
      </c>
      <c r="C83" s="10">
        <v>0</v>
      </c>
      <c r="D83" s="10">
        <v>2</v>
      </c>
      <c r="E83" s="10">
        <v>931</v>
      </c>
      <c r="F83" s="10">
        <v>21296375.880635846</v>
      </c>
      <c r="G83" s="10">
        <v>961</v>
      </c>
      <c r="H83" s="10">
        <v>3</v>
      </c>
      <c r="I83" s="10">
        <v>2</v>
      </c>
      <c r="J83" s="10">
        <v>969</v>
      </c>
      <c r="K83" s="10">
        <v>21424759.907585599</v>
      </c>
    </row>
    <row r="84" spans="1:11" x14ac:dyDescent="0.35">
      <c r="A84" s="9" t="s">
        <v>65</v>
      </c>
      <c r="B84" s="10">
        <v>1018</v>
      </c>
      <c r="C84" s="10">
        <v>6</v>
      </c>
      <c r="D84" s="10">
        <v>4</v>
      </c>
      <c r="E84" s="10">
        <v>802</v>
      </c>
      <c r="F84" s="10">
        <v>24350171.013393518</v>
      </c>
      <c r="G84" s="10">
        <v>996</v>
      </c>
      <c r="H84" s="10">
        <v>2</v>
      </c>
      <c r="I84" s="10">
        <v>5</v>
      </c>
      <c r="J84" s="10">
        <v>866</v>
      </c>
      <c r="K84" s="10">
        <v>22204966.601389252</v>
      </c>
    </row>
    <row r="85" spans="1:11" x14ac:dyDescent="0.35">
      <c r="A85" s="9" t="s">
        <v>89</v>
      </c>
      <c r="B85" s="10">
        <v>752</v>
      </c>
      <c r="C85" s="10">
        <v>5</v>
      </c>
      <c r="D85" s="10">
        <v>5</v>
      </c>
      <c r="E85" s="10">
        <v>720</v>
      </c>
      <c r="F85" s="10">
        <v>26106286.217771295</v>
      </c>
      <c r="G85" s="10">
        <v>759</v>
      </c>
      <c r="H85" s="10">
        <v>2</v>
      </c>
      <c r="I85" s="10">
        <v>6</v>
      </c>
      <c r="J85" s="10">
        <v>743</v>
      </c>
      <c r="K85" s="10">
        <v>28443447.509641979</v>
      </c>
    </row>
    <row r="86" spans="1:11" x14ac:dyDescent="0.35">
      <c r="A86" s="9" t="s">
        <v>147</v>
      </c>
      <c r="B86" s="10">
        <v>572</v>
      </c>
      <c r="C86" s="10">
        <v>2</v>
      </c>
      <c r="D86" s="10">
        <v>1</v>
      </c>
      <c r="E86" s="10">
        <v>691</v>
      </c>
      <c r="F86" s="10">
        <v>11647431.128983499</v>
      </c>
      <c r="G86" s="10">
        <v>565</v>
      </c>
      <c r="H86" s="10">
        <v>2</v>
      </c>
      <c r="I86" s="10">
        <v>1</v>
      </c>
      <c r="J86" s="10">
        <v>522</v>
      </c>
      <c r="K86" s="10">
        <v>13047181.392881865</v>
      </c>
    </row>
    <row r="87" spans="1:11" x14ac:dyDescent="0.35">
      <c r="A87" s="9" t="s">
        <v>164</v>
      </c>
      <c r="B87" s="10">
        <v>1704</v>
      </c>
      <c r="C87" s="10">
        <v>9</v>
      </c>
      <c r="D87" s="10">
        <v>10</v>
      </c>
      <c r="E87" s="10">
        <v>1261</v>
      </c>
      <c r="F87" s="10">
        <v>50025277.975978665</v>
      </c>
      <c r="G87" s="10">
        <v>1764</v>
      </c>
      <c r="H87" s="10">
        <v>6</v>
      </c>
      <c r="I87" s="10">
        <v>10</v>
      </c>
      <c r="J87" s="10">
        <v>1312</v>
      </c>
      <c r="K87" s="10">
        <v>54503798.017063886</v>
      </c>
    </row>
    <row r="88" spans="1:11" x14ac:dyDescent="0.35">
      <c r="A88" s="9" t="s">
        <v>91</v>
      </c>
      <c r="B88" s="10">
        <v>620</v>
      </c>
      <c r="C88" s="10">
        <v>5</v>
      </c>
      <c r="D88" s="10">
        <v>3</v>
      </c>
      <c r="E88" s="10">
        <v>641</v>
      </c>
      <c r="F88" s="10">
        <v>13491062.530736148</v>
      </c>
      <c r="G88" s="10">
        <v>578</v>
      </c>
      <c r="H88" s="10">
        <v>0</v>
      </c>
      <c r="I88" s="10">
        <v>3</v>
      </c>
      <c r="J88" s="10">
        <v>671</v>
      </c>
      <c r="K88" s="10">
        <v>12625436.34218335</v>
      </c>
    </row>
    <row r="89" spans="1:11" x14ac:dyDescent="0.35">
      <c r="A89" s="9" t="s">
        <v>97</v>
      </c>
      <c r="B89" s="10">
        <v>604</v>
      </c>
      <c r="C89" s="10">
        <v>12</v>
      </c>
      <c r="D89" s="10">
        <v>6</v>
      </c>
      <c r="E89" s="10">
        <v>520</v>
      </c>
      <c r="F89" s="10">
        <v>23429486.45540712</v>
      </c>
      <c r="G89" s="10">
        <v>631</v>
      </c>
      <c r="H89" s="10">
        <v>4</v>
      </c>
      <c r="I89" s="10">
        <v>7</v>
      </c>
      <c r="J89" s="10">
        <v>641</v>
      </c>
      <c r="K89" s="10">
        <v>24509877.584273003</v>
      </c>
    </row>
    <row r="90" spans="1:11" x14ac:dyDescent="0.35">
      <c r="A90" s="9" t="s">
        <v>78</v>
      </c>
      <c r="B90" s="10">
        <v>358</v>
      </c>
      <c r="C90" s="10">
        <v>2</v>
      </c>
      <c r="D90" s="10">
        <v>1</v>
      </c>
      <c r="E90" s="10">
        <v>305</v>
      </c>
      <c r="F90" s="10">
        <v>6461103.0332732033</v>
      </c>
      <c r="G90" s="10">
        <v>358</v>
      </c>
      <c r="H90" s="10">
        <v>2</v>
      </c>
      <c r="I90" s="10">
        <v>1</v>
      </c>
      <c r="J90" s="10">
        <v>380</v>
      </c>
      <c r="K90" s="10">
        <v>5909417.688019501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2026-08-19T10:47:17Z</dcterms:modified>
</cp:coreProperties>
</file>