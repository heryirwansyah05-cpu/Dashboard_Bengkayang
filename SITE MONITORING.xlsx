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N5" i="3" s="1"/>
  <c r="O5" i="3"/>
  <c r="P5" i="3"/>
  <c r="S5" i="3"/>
  <c r="T5" i="3" s="1"/>
  <c r="F6" i="3"/>
  <c r="G6" i="3"/>
  <c r="I6" i="3"/>
  <c r="J6" i="3"/>
  <c r="K6" i="3" s="1"/>
  <c r="L6" i="3"/>
  <c r="M6" i="3"/>
  <c r="N6" i="3" s="1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N9" i="3" s="1"/>
  <c r="O9" i="3"/>
  <c r="P9" i="3"/>
  <c r="S9" i="3"/>
  <c r="T9" i="3" s="1"/>
  <c r="F10" i="3"/>
  <c r="G10" i="3"/>
  <c r="I10" i="3"/>
  <c r="J10" i="3"/>
  <c r="K10" i="3" s="1"/>
  <c r="L10" i="3"/>
  <c r="M10" i="3"/>
  <c r="N10" i="3" s="1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N13" i="3" s="1"/>
  <c r="O13" i="3"/>
  <c r="P13" i="3"/>
  <c r="S13" i="3"/>
  <c r="T13" i="3" s="1"/>
  <c r="F14" i="3"/>
  <c r="G14" i="3"/>
  <c r="I14" i="3"/>
  <c r="J14" i="3"/>
  <c r="K14" i="3" s="1"/>
  <c r="L14" i="3"/>
  <c r="M14" i="3"/>
  <c r="N14" i="3" s="1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N17" i="3" s="1"/>
  <c r="O17" i="3"/>
  <c r="P17" i="3"/>
  <c r="S17" i="3"/>
  <c r="T17" i="3" s="1"/>
  <c r="F18" i="3"/>
  <c r="G18" i="3"/>
  <c r="I18" i="3"/>
  <c r="J18" i="3"/>
  <c r="K18" i="3" s="1"/>
  <c r="L18" i="3"/>
  <c r="M18" i="3"/>
  <c r="N18" i="3" s="1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N21" i="3" s="1"/>
  <c r="O21" i="3"/>
  <c r="P21" i="3"/>
  <c r="S21" i="3"/>
  <c r="T21" i="3" s="1"/>
  <c r="F22" i="3"/>
  <c r="G22" i="3"/>
  <c r="I22" i="3"/>
  <c r="J22" i="3"/>
  <c r="K22" i="3" s="1"/>
  <c r="L22" i="3"/>
  <c r="M22" i="3"/>
  <c r="N22" i="3" s="1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N25" i="3" s="1"/>
  <c r="O25" i="3"/>
  <c r="P25" i="3"/>
  <c r="S25" i="3"/>
  <c r="T25" i="3" s="1"/>
  <c r="F26" i="3"/>
  <c r="G26" i="3"/>
  <c r="I26" i="3"/>
  <c r="J26" i="3"/>
  <c r="K26" i="3" s="1"/>
  <c r="L26" i="3"/>
  <c r="M26" i="3"/>
  <c r="N26" i="3" s="1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H28" i="3" s="1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N29" i="3" s="1"/>
  <c r="O29" i="3"/>
  <c r="P29" i="3"/>
  <c r="S29" i="3"/>
  <c r="T29" i="3" s="1"/>
  <c r="F30" i="3"/>
  <c r="G30" i="3"/>
  <c r="I30" i="3"/>
  <c r="J30" i="3"/>
  <c r="K30" i="3" s="1"/>
  <c r="L30" i="3"/>
  <c r="M30" i="3"/>
  <c r="N30" i="3" s="1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N33" i="3" s="1"/>
  <c r="O33" i="3"/>
  <c r="P33" i="3"/>
  <c r="S33" i="3"/>
  <c r="T33" i="3" s="1"/>
  <c r="F34" i="3"/>
  <c r="G34" i="3"/>
  <c r="I34" i="3"/>
  <c r="J34" i="3"/>
  <c r="K34" i="3" s="1"/>
  <c r="L34" i="3"/>
  <c r="M34" i="3"/>
  <c r="N34" i="3" s="1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N37" i="3" s="1"/>
  <c r="O37" i="3"/>
  <c r="P37" i="3"/>
  <c r="S37" i="3"/>
  <c r="T37" i="3" s="1"/>
  <c r="F38" i="3"/>
  <c r="G38" i="3"/>
  <c r="I38" i="3"/>
  <c r="J38" i="3"/>
  <c r="K38" i="3" s="1"/>
  <c r="L38" i="3"/>
  <c r="M38" i="3"/>
  <c r="N38" i="3" s="1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N41" i="3" s="1"/>
  <c r="O41" i="3"/>
  <c r="P41" i="3"/>
  <c r="S41" i="3"/>
  <c r="T41" i="3" s="1"/>
  <c r="F42" i="3"/>
  <c r="G42" i="3"/>
  <c r="I42" i="3"/>
  <c r="J42" i="3"/>
  <c r="K42" i="3" s="1"/>
  <c r="L42" i="3"/>
  <c r="M42" i="3"/>
  <c r="N42" i="3" s="1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N45" i="3" s="1"/>
  <c r="O45" i="3"/>
  <c r="P45" i="3"/>
  <c r="S45" i="3"/>
  <c r="T45" i="3" s="1"/>
  <c r="F46" i="3"/>
  <c r="G46" i="3"/>
  <c r="I46" i="3"/>
  <c r="J46" i="3"/>
  <c r="K46" i="3" s="1"/>
  <c r="L46" i="3"/>
  <c r="M46" i="3"/>
  <c r="N46" i="3" s="1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N49" i="3" s="1"/>
  <c r="O49" i="3"/>
  <c r="P49" i="3"/>
  <c r="S49" i="3"/>
  <c r="T49" i="3" s="1"/>
  <c r="F50" i="3"/>
  <c r="G50" i="3"/>
  <c r="I50" i="3"/>
  <c r="J50" i="3"/>
  <c r="K50" i="3" s="1"/>
  <c r="L50" i="3"/>
  <c r="M50" i="3"/>
  <c r="N50" i="3" s="1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N53" i="3" s="1"/>
  <c r="O53" i="3"/>
  <c r="P53" i="3"/>
  <c r="S53" i="3"/>
  <c r="T53" i="3" s="1"/>
  <c r="F54" i="3"/>
  <c r="G54" i="3"/>
  <c r="I54" i="3"/>
  <c r="J54" i="3"/>
  <c r="K54" i="3" s="1"/>
  <c r="L54" i="3"/>
  <c r="M54" i="3"/>
  <c r="N54" i="3" s="1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N57" i="3" s="1"/>
  <c r="O57" i="3"/>
  <c r="P57" i="3"/>
  <c r="Q57" i="3" s="1"/>
  <c r="S57" i="3"/>
  <c r="T57" i="3" s="1"/>
  <c r="F58" i="3"/>
  <c r="G58" i="3"/>
  <c r="I58" i="3"/>
  <c r="J58" i="3"/>
  <c r="K58" i="3" s="1"/>
  <c r="L58" i="3"/>
  <c r="M58" i="3"/>
  <c r="N58" i="3" s="1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N61" i="3" s="1"/>
  <c r="O61" i="3"/>
  <c r="P61" i="3"/>
  <c r="Q61" i="3" s="1"/>
  <c r="S61" i="3"/>
  <c r="T61" i="3" s="1"/>
  <c r="F62" i="3"/>
  <c r="G62" i="3"/>
  <c r="I62" i="3"/>
  <c r="J62" i="3"/>
  <c r="K62" i="3" s="1"/>
  <c r="L62" i="3"/>
  <c r="M62" i="3"/>
  <c r="N62" i="3" s="1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N65" i="3" s="1"/>
  <c r="O65" i="3"/>
  <c r="P65" i="3"/>
  <c r="Q65" i="3" s="1"/>
  <c r="S65" i="3"/>
  <c r="T65" i="3" s="1"/>
  <c r="F66" i="3"/>
  <c r="G66" i="3"/>
  <c r="I66" i="3"/>
  <c r="J66" i="3"/>
  <c r="K66" i="3" s="1"/>
  <c r="L66" i="3"/>
  <c r="M66" i="3"/>
  <c r="N66" i="3" s="1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N69" i="3" s="1"/>
  <c r="O69" i="3"/>
  <c r="P69" i="3"/>
  <c r="Q69" i="3" s="1"/>
  <c r="S69" i="3"/>
  <c r="T69" i="3" s="1"/>
  <c r="F70" i="3"/>
  <c r="G70" i="3"/>
  <c r="I70" i="3"/>
  <c r="J70" i="3"/>
  <c r="K70" i="3" s="1"/>
  <c r="L70" i="3"/>
  <c r="M70" i="3"/>
  <c r="N70" i="3" s="1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N73" i="3" s="1"/>
  <c r="O73" i="3"/>
  <c r="P73" i="3"/>
  <c r="Q73" i="3" s="1"/>
  <c r="S73" i="3"/>
  <c r="T73" i="3" s="1"/>
  <c r="F74" i="3"/>
  <c r="G74" i="3"/>
  <c r="I74" i="3"/>
  <c r="J74" i="3"/>
  <c r="K74" i="3" s="1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N77" i="3" s="1"/>
  <c r="O77" i="3"/>
  <c r="P77" i="3"/>
  <c r="Q77" i="3" s="1"/>
  <c r="S77" i="3"/>
  <c r="T77" i="3" s="1"/>
  <c r="F78" i="3"/>
  <c r="G78" i="3"/>
  <c r="I78" i="3"/>
  <c r="J78" i="3"/>
  <c r="K78" i="3" s="1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K82" i="3" s="1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64" i="3" l="1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<sst xmlns="http://schemas.openxmlformats.org/spreadsheetml/2006/main" count="539" uniqueCount="204">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</sst>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O36" activePane="bottomRight" state="frozen"/>
      <selection pane="topRight" activeCell="C1" sqref="C1"/>
      <selection pane="bottomLeft" activeCell="A2" sqref="A2"/>
      <selection pane="bottomRight" activeCell="W42" sqref="W42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203</v>
      </c>
      <c r="I1" s="3" t="s">
        <v>188</v>
      </c>
      <c r="J1" s="3" t="s">
        <v>187</v>
      </c>
      <c r="K1" s="5" t="s">
        <v>203</v>
      </c>
      <c r="L1" s="3" t="s">
        <v>189</v>
      </c>
      <c r="M1" s="3" t="s">
        <v>184</v>
      </c>
      <c r="N1" s="5" t="s">
        <v>203</v>
      </c>
      <c r="O1" s="5" t="s">
        <v>190</v>
      </c>
      <c r="P1" s="5" t="s">
        <v>191</v>
      </c>
      <c r="Q1" s="5" t="s">
        <v>203</v>
      </c>
      <c r="R1" s="5" t="s">
        <v>193</v>
      </c>
      <c r="S1" s="5" t="s">
        <v>192</v>
      </c>
      <c r="T1" s="5" t="s">
        <v>203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8904722.9124635179</v>
      </c>
      <c r="G2" s="1">
        <f>VLOOKUP(A:A,MASTER!A:K,11,0)</f>
        <v>8015662.5391808543</v>
      </c>
      <c r="H2" s="12">
        <f>IFERROR(G2/F2-1,0)</f>
        <v>-9.9841441673416687E-2</v>
      </c>
      <c r="I2" s="2">
        <f>VLOOKUP(A:A,MASTER!A:E,5,0)</f>
        <v>301</v>
      </c>
      <c r="J2" s="2">
        <f>VLOOKUP(A:A,MASTER!A:J,10,0)</f>
        <v>351</v>
      </c>
      <c r="K2" s="12">
        <f>IFERROR(J2/I2-1,0)</f>
        <v>0.16611295681063121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0</v>
      </c>
      <c r="Q2" s="12">
        <f>IFERROR(P2/O2-1,0)</f>
        <v>-1</v>
      </c>
      <c r="R2" s="1">
        <f>VLOOKUP(A:A,MASTER!A:B,2,0)</f>
        <v>412</v>
      </c>
      <c r="S2">
        <f>VLOOKUP(A:A,MASTER!A:G,7,0)</f>
        <v>420</v>
      </c>
      <c r="T2" s="12">
        <f>IFERROR(S2/R2-1,0)</f>
        <v>1.9417475728155331E-2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11077997.986731406</v>
      </c>
      <c r="G3" s="1">
        <f>VLOOKUP(A:A,MASTER!A:K,11,0)</f>
        <v>9594971.2209495213</v>
      </c>
      <c r="H3" s="12">
        <f t="shared" ref="H3:H66" si="0">IFERROR(G3/F3-1,0)</f>
        <v>-0.13387136985926251</v>
      </c>
      <c r="I3" s="2">
        <f>VLOOKUP(A:A,MASTER!A:E,5,0)</f>
        <v>582</v>
      </c>
      <c r="J3" s="2">
        <f>VLOOKUP(A:A,MASTER!A:J,10,0)</f>
        <v>493</v>
      </c>
      <c r="K3" s="12">
        <f t="shared" ref="K3:K66" si="1">IFERROR(J3/I3-1,0)</f>
        <v>-0.15292096219931273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1</v>
      </c>
      <c r="P3" s="1">
        <f>VLOOKUP(A:A,MASTER!A:H,8,0)</f>
        <v>3</v>
      </c>
      <c r="Q3" s="12">
        <f t="shared" ref="Q3:Q66" si="3">IFERROR(P3/O3-1,0)</f>
        <v>2</v>
      </c>
      <c r="R3" s="1">
        <f>VLOOKUP(A:A,MASTER!A:B,2,0)</f>
        <v>675</v>
      </c>
      <c r="S3">
        <f>VLOOKUP(A:A,MASTER!A:G,7,0)</f>
        <v>654</v>
      </c>
      <c r="T3" s="12">
        <f t="shared" ref="T3:T66" si="4">IFERROR(S3/R3-1,0)</f>
        <v>-3.1111111111111089E-2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10813572.180837341</v>
      </c>
      <c r="G4" s="1">
        <f>VLOOKUP(A:A,MASTER!A:K,11,0)</f>
        <v>11700900.530808456</v>
      </c>
      <c r="H4" s="12">
        <f t="shared" si="0"/>
        <v>8.2056912843615493E-2</v>
      </c>
      <c r="I4" s="2">
        <f>VLOOKUP(A:A,MASTER!A:E,5,0)</f>
        <v>655</v>
      </c>
      <c r="J4" s="2">
        <f>VLOOKUP(A:A,MASTER!A:J,10,0)</f>
        <v>724</v>
      </c>
      <c r="K4" s="12">
        <f t="shared" si="1"/>
        <v>0.10534351145038179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2</v>
      </c>
      <c r="P4" s="1">
        <f>VLOOKUP(A:A,MASTER!A:H,8,0)</f>
        <v>6</v>
      </c>
      <c r="Q4" s="12">
        <f t="shared" si="3"/>
        <v>2</v>
      </c>
      <c r="R4" s="1">
        <f>VLOOKUP(A:A,MASTER!A:B,2,0)</f>
        <v>682</v>
      </c>
      <c r="S4">
        <f>VLOOKUP(A:A,MASTER!A:G,7,0)</f>
        <v>741</v>
      </c>
      <c r="T4" s="12">
        <f t="shared" si="4"/>
        <v>8.6510263929618691E-2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20569414.54593353</v>
      </c>
      <c r="G5" s="1">
        <f>VLOOKUP(A:A,MASTER!A:K,11,0)</f>
        <v>20538626.012221169</v>
      </c>
      <c r="H5" s="12">
        <f t="shared" si="0"/>
        <v>-1.4968113770864599E-3</v>
      </c>
      <c r="I5" s="2">
        <f>VLOOKUP(A:A,MASTER!A:E,5,0)</f>
        <v>1053</v>
      </c>
      <c r="J5" s="2">
        <f>VLOOKUP(A:A,MASTER!A:J,10,0)</f>
        <v>2035</v>
      </c>
      <c r="K5" s="12">
        <f t="shared" si="1"/>
        <v>0.93257359924026595</v>
      </c>
      <c r="L5" s="2">
        <f>VLOOKUP(A:A,MASTER!A:D,4,0)</f>
        <v>3</v>
      </c>
      <c r="M5" s="2">
        <f>VLOOKUP(A:A,MASTER!A:I,9,0)</f>
        <v>4</v>
      </c>
      <c r="N5" s="12">
        <f t="shared" si="2"/>
        <v>0.33333333333333326</v>
      </c>
      <c r="O5" s="1">
        <f>VLOOKUP(A:A,MASTER!A:C,3,0)</f>
        <v>3</v>
      </c>
      <c r="P5" s="1">
        <f>VLOOKUP(A:A,MASTER!A:H,8,0)</f>
        <v>3</v>
      </c>
      <c r="Q5" s="12">
        <f t="shared" si="3"/>
        <v>0</v>
      </c>
      <c r="R5" s="1">
        <f>VLOOKUP(A:A,MASTER!A:B,2,0)</f>
        <v>1193</v>
      </c>
      <c r="S5">
        <f>VLOOKUP(A:A,MASTER!A:G,7,0)</f>
        <v>1208</v>
      </c>
      <c r="T5" s="12">
        <f t="shared" si="4"/>
        <v>1.257334450963965E-2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8172898.0041208696</v>
      </c>
      <c r="G6" s="1">
        <f>VLOOKUP(A:A,MASTER!A:K,11,0)</f>
        <v>9141121.1433764119</v>
      </c>
      <c r="H6" s="12">
        <f t="shared" si="0"/>
        <v>0.11846754220685884</v>
      </c>
      <c r="I6" s="2">
        <f>VLOOKUP(A:A,MASTER!A:E,5,0)</f>
        <v>300</v>
      </c>
      <c r="J6" s="2">
        <f>VLOOKUP(A:A,MASTER!A:J,10,0)</f>
        <v>395</v>
      </c>
      <c r="K6" s="12">
        <f t="shared" si="1"/>
        <v>0.31666666666666665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1</v>
      </c>
      <c r="Q6" s="12">
        <f t="shared" si="3"/>
        <v>0</v>
      </c>
      <c r="R6" s="1">
        <f>VLOOKUP(A:A,MASTER!A:B,2,0)</f>
        <v>405</v>
      </c>
      <c r="S6">
        <f>VLOOKUP(A:A,MASTER!A:G,7,0)</f>
        <v>402</v>
      </c>
      <c r="T6" s="12">
        <f t="shared" si="4"/>
        <v>-7.4074074074074181E-3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7758957.3293836992</v>
      </c>
      <c r="G7" s="1">
        <f>VLOOKUP(A:A,MASTER!A:K,11,0)</f>
        <v>7747219.6709535951</v>
      </c>
      <c r="H7" s="12">
        <f t="shared" si="0"/>
        <v>-1.5127881146674849E-3</v>
      </c>
      <c r="I7" s="2">
        <f>VLOOKUP(A:A,MASTER!A:E,5,0)</f>
        <v>345</v>
      </c>
      <c r="J7" s="2">
        <f>VLOOKUP(A:A,MASTER!A:J,10,0)</f>
        <v>267</v>
      </c>
      <c r="K7" s="12">
        <f t="shared" si="1"/>
        <v>-0.22608695652173916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2</v>
      </c>
      <c r="P7" s="1">
        <f>VLOOKUP(A:A,MASTER!A:H,8,0)</f>
        <v>3</v>
      </c>
      <c r="Q7" s="12">
        <f t="shared" si="3"/>
        <v>0.5</v>
      </c>
      <c r="R7" s="1">
        <f>VLOOKUP(A:A,MASTER!A:B,2,0)</f>
        <v>368</v>
      </c>
      <c r="S7">
        <f>VLOOKUP(A:A,MASTER!A:G,7,0)</f>
        <v>383</v>
      </c>
      <c r="T7" s="12">
        <f t="shared" si="4"/>
        <v>4.0760869565217295E-2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9035790.3904993646</v>
      </c>
      <c r="G8" s="1">
        <f>VLOOKUP(A:A,MASTER!A:K,11,0)</f>
        <v>9130871.8624781035</v>
      </c>
      <c r="H8" s="12">
        <f t="shared" si="0"/>
        <v>1.0522762024085086E-2</v>
      </c>
      <c r="I8" s="2">
        <f>VLOOKUP(A:A,MASTER!A:E,5,0)</f>
        <v>508</v>
      </c>
      <c r="J8" s="2">
        <f>VLOOKUP(A:A,MASTER!A:J,10,0)</f>
        <v>496</v>
      </c>
      <c r="K8" s="12">
        <f t="shared" si="1"/>
        <v>-2.3622047244094446E-2</v>
      </c>
      <c r="L8" s="2">
        <f>VLOOKUP(A:A,MASTER!A:D,4,0)</f>
        <v>1</v>
      </c>
      <c r="M8" s="2">
        <f>VLOOKUP(A:A,MASTER!A:I,9,0)</f>
        <v>3</v>
      </c>
      <c r="N8" s="12">
        <f t="shared" si="2"/>
        <v>2</v>
      </c>
      <c r="O8" s="1">
        <f>VLOOKUP(A:A,MASTER!A:C,3,0)</f>
        <v>0</v>
      </c>
      <c r="P8" s="1">
        <f>VLOOKUP(A:A,MASTER!A:H,8,0)</f>
        <v>1</v>
      </c>
      <c r="Q8" s="12">
        <f t="shared" si="3"/>
        <v>0</v>
      </c>
      <c r="R8" s="1">
        <f>VLOOKUP(A:A,MASTER!A:B,2,0)</f>
        <v>609</v>
      </c>
      <c r="S8">
        <f>VLOOKUP(A:A,MASTER!A:G,7,0)</f>
        <v>595</v>
      </c>
      <c r="T8" s="12">
        <f t="shared" si="4"/>
        <v>-2.2988505747126409E-2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4009064.5599596188</v>
      </c>
      <c r="G9" s="1">
        <f>VLOOKUP(A:A,MASTER!A:K,11,0)</f>
        <v>4061429.297431434</v>
      </c>
      <c r="H9" s="12">
        <f t="shared" si="0"/>
        <v>1.3061584987881236E-2</v>
      </c>
      <c r="I9" s="2">
        <f>VLOOKUP(A:A,MASTER!A:E,5,0)</f>
        <v>155</v>
      </c>
      <c r="J9" s="2">
        <f>VLOOKUP(A:A,MASTER!A:J,10,0)</f>
        <v>134</v>
      </c>
      <c r="K9" s="12">
        <f t="shared" si="1"/>
        <v>-0.13548387096774195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171</v>
      </c>
      <c r="S9">
        <f>VLOOKUP(A:A,MASTER!A:G,7,0)</f>
        <v>168</v>
      </c>
      <c r="T9" s="12">
        <f t="shared" si="4"/>
        <v>-1.7543859649122862E-2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4114366.4045414459</v>
      </c>
      <c r="G10" s="1">
        <f>VLOOKUP(A:A,MASTER!A:K,11,0)</f>
        <v>834088.64330936898</v>
      </c>
      <c r="H10" s="12">
        <f t="shared" si="0"/>
        <v>-0.79727409732183785</v>
      </c>
      <c r="I10" s="2">
        <f>VLOOKUP(A:A,MASTER!A:E,5,0)</f>
        <v>157</v>
      </c>
      <c r="J10" s="2">
        <f>VLOOKUP(A:A,MASTER!A:J,10,0)</f>
        <v>154</v>
      </c>
      <c r="K10" s="12">
        <f t="shared" si="1"/>
        <v>-1.9108280254777066E-2</v>
      </c>
      <c r="L10" s="2">
        <f>VLOOKUP(A:A,MASTER!A:D,4,0)</f>
        <v>0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206</v>
      </c>
      <c r="S10">
        <f>VLOOKUP(A:A,MASTER!A:G,7,0)</f>
        <v>187</v>
      </c>
      <c r="T10" s="12">
        <f t="shared" si="4"/>
        <v>-9.2233009708737823E-2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6426679.2572523681</v>
      </c>
      <c r="G11" s="1">
        <f>VLOOKUP(A:A,MASTER!A:K,11,0)</f>
        <v>8442751.4556307346</v>
      </c>
      <c r="H11" s="12">
        <f t="shared" si="0"/>
        <v>0.31370356566391155</v>
      </c>
      <c r="I11" s="2">
        <f>VLOOKUP(A:A,MASTER!A:E,5,0)</f>
        <v>320</v>
      </c>
      <c r="J11" s="2">
        <f>VLOOKUP(A:A,MASTER!A:J,10,0)</f>
        <v>360</v>
      </c>
      <c r="K11" s="12">
        <f t="shared" si="1"/>
        <v>0.125</v>
      </c>
      <c r="L11" s="2">
        <f>VLOOKUP(A:A,MASTER!A:D,4,0)</f>
        <v>0</v>
      </c>
      <c r="M11" s="2">
        <f>VLOOKUP(A:A,MASTER!A:I,9,0)</f>
        <v>1</v>
      </c>
      <c r="N11" s="12">
        <f t="shared" si="2"/>
        <v>0</v>
      </c>
      <c r="O11" s="1">
        <f>VLOOKUP(A:A,MASTER!A:C,3,0)</f>
        <v>0</v>
      </c>
      <c r="P11" s="1">
        <f>VLOOKUP(A:A,MASTER!A:H,8,0)</f>
        <v>1</v>
      </c>
      <c r="Q11" s="12">
        <f t="shared" si="3"/>
        <v>0</v>
      </c>
      <c r="R11" s="1">
        <f>VLOOKUP(A:A,MASTER!A:B,2,0)</f>
        <v>352</v>
      </c>
      <c r="S11">
        <f>VLOOKUP(A:A,MASTER!A:G,7,0)</f>
        <v>368</v>
      </c>
      <c r="T11" s="12">
        <f t="shared" si="4"/>
        <v>4.5454545454545414E-2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3076842.9337319238</v>
      </c>
      <c r="G12" s="1">
        <f>VLOOKUP(A:A,MASTER!A:K,11,0)</f>
        <v>3928722.993377714</v>
      </c>
      <c r="H12" s="12">
        <f t="shared" si="0"/>
        <v>0.27686823084353507</v>
      </c>
      <c r="I12" s="2">
        <f>VLOOKUP(A:A,MASTER!A:E,5,0)</f>
        <v>234</v>
      </c>
      <c r="J12" s="2">
        <f>VLOOKUP(A:A,MASTER!A:J,10,0)</f>
        <v>263</v>
      </c>
      <c r="K12" s="12">
        <f t="shared" si="1"/>
        <v>0.12393162393162394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204</v>
      </c>
      <c r="S12">
        <f>VLOOKUP(A:A,MASTER!A:G,7,0)</f>
        <v>209</v>
      </c>
      <c r="T12" s="12">
        <f t="shared" si="4"/>
        <v>2.450980392156854E-2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4106721.092204113</v>
      </c>
      <c r="G13" s="1">
        <f>VLOOKUP(A:A,MASTER!A:K,11,0)</f>
        <v>4332106.5259726672</v>
      </c>
      <c r="H13" s="12">
        <f t="shared" si="0"/>
        <v>5.4882089313639693E-2</v>
      </c>
      <c r="I13" s="2">
        <f>VLOOKUP(A:A,MASTER!A:E,5,0)</f>
        <v>200</v>
      </c>
      <c r="J13" s="2">
        <f>VLOOKUP(A:A,MASTER!A:J,10,0)</f>
        <v>232</v>
      </c>
      <c r="K13" s="12">
        <f t="shared" si="1"/>
        <v>0.15999999999999992</v>
      </c>
      <c r="L13" s="2">
        <f>VLOOKUP(A:A,MASTER!A:D,4,0)</f>
        <v>0</v>
      </c>
      <c r="M13" s="2">
        <f>VLOOKUP(A:A,MASTER!A:I,9,0)</f>
        <v>2</v>
      </c>
      <c r="N13" s="12">
        <f t="shared" si="2"/>
        <v>0</v>
      </c>
      <c r="O13" s="1">
        <f>VLOOKUP(A:A,MASTER!A:C,3,0)</f>
        <v>7</v>
      </c>
      <c r="P13" s="1">
        <f>VLOOKUP(A:A,MASTER!A:H,8,0)</f>
        <v>1</v>
      </c>
      <c r="Q13" s="12">
        <f t="shared" si="3"/>
        <v>-0.85714285714285721</v>
      </c>
      <c r="R13" s="1">
        <f>VLOOKUP(A:A,MASTER!A:B,2,0)</f>
        <v>254</v>
      </c>
      <c r="S13">
        <f>VLOOKUP(A:A,MASTER!A:G,7,0)</f>
        <v>244</v>
      </c>
      <c r="T13" s="12">
        <f t="shared" si="4"/>
        <v>-3.9370078740157521E-2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7512212.0363657642</v>
      </c>
      <c r="G14" s="1">
        <f>VLOOKUP(A:A,MASTER!A:K,11,0)</f>
        <v>15558073.085482126</v>
      </c>
      <c r="H14" s="12">
        <f t="shared" si="0"/>
        <v>1.0710375333080675</v>
      </c>
      <c r="I14" s="2">
        <f>VLOOKUP(A:A,MASTER!A:E,5,0)</f>
        <v>16</v>
      </c>
      <c r="J14" s="2">
        <f>VLOOKUP(A:A,MASTER!A:J,10,0)</f>
        <v>1327</v>
      </c>
      <c r="K14" s="12">
        <f t="shared" si="1"/>
        <v>81.9375</v>
      </c>
      <c r="L14" s="2">
        <f>VLOOKUP(A:A,MASTER!A:D,4,0)</f>
        <v>1</v>
      </c>
      <c r="M14" s="2">
        <f>VLOOKUP(A:A,MASTER!A:I,9,0)</f>
        <v>3</v>
      </c>
      <c r="N14" s="12">
        <f t="shared" si="2"/>
        <v>2</v>
      </c>
      <c r="O14" s="1">
        <f>VLOOKUP(A:A,MASTER!A:C,3,0)</f>
        <v>0</v>
      </c>
      <c r="P14" s="1">
        <f>VLOOKUP(A:A,MASTER!A:H,8,0)</f>
        <v>3</v>
      </c>
      <c r="Q14" s="12">
        <f t="shared" si="3"/>
        <v>0</v>
      </c>
      <c r="R14" s="1">
        <f>VLOOKUP(A:A,MASTER!A:B,2,0)</f>
        <v>1420</v>
      </c>
      <c r="S14">
        <f>VLOOKUP(A:A,MASTER!A:G,7,0)</f>
        <v>1433</v>
      </c>
      <c r="T14" s="12">
        <f t="shared" si="4"/>
        <v>9.1549295774648876E-3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30427161.100131635</v>
      </c>
      <c r="G15" s="1">
        <f>VLOOKUP(A:A,MASTER!A:K,11,0)</f>
        <v>29254917.109629303</v>
      </c>
      <c r="H15" s="12">
        <f t="shared" si="0"/>
        <v>-3.8526236037750516E-2</v>
      </c>
      <c r="I15" s="2">
        <f>VLOOKUP(A:A,MASTER!A:E,5,0)</f>
        <v>1102</v>
      </c>
      <c r="J15" s="2">
        <f>VLOOKUP(A:A,MASTER!A:J,10,0)</f>
        <v>907</v>
      </c>
      <c r="K15" s="12">
        <f t="shared" si="1"/>
        <v>-0.17695099818511795</v>
      </c>
      <c r="L15" s="2">
        <f>VLOOKUP(A:A,MASTER!A:D,4,0)</f>
        <v>2</v>
      </c>
      <c r="M15" s="2">
        <f>VLOOKUP(A:A,MASTER!A:I,9,0)</f>
        <v>3</v>
      </c>
      <c r="N15" s="12">
        <f t="shared" si="2"/>
        <v>0.5</v>
      </c>
      <c r="O15" s="1">
        <f>VLOOKUP(A:A,MASTER!A:C,3,0)</f>
        <v>0</v>
      </c>
      <c r="P15" s="1">
        <f>VLOOKUP(A:A,MASTER!A:H,8,0)</f>
        <v>1</v>
      </c>
      <c r="Q15" s="12">
        <f t="shared" si="3"/>
        <v>0</v>
      </c>
      <c r="R15" s="1">
        <f>VLOOKUP(A:A,MASTER!A:B,2,0)</f>
        <v>1293</v>
      </c>
      <c r="S15">
        <f>VLOOKUP(A:A,MASTER!A:G,7,0)</f>
        <v>1235</v>
      </c>
      <c r="T15" s="12">
        <f t="shared" si="4"/>
        <v>-4.4856921887084344E-2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16637487.25802622</v>
      </c>
      <c r="G16" s="1">
        <f>VLOOKUP(A:A,MASTER!A:K,11,0)</f>
        <v>17104080.460517026</v>
      </c>
      <c r="H16" s="12">
        <f t="shared" si="0"/>
        <v>2.8044691800783506E-2</v>
      </c>
      <c r="I16" s="2">
        <f>VLOOKUP(A:A,MASTER!A:E,5,0)</f>
        <v>930</v>
      </c>
      <c r="J16" s="2">
        <f>VLOOKUP(A:A,MASTER!A:J,10,0)</f>
        <v>922</v>
      </c>
      <c r="K16" s="12">
        <f t="shared" si="1"/>
        <v>-8.6021505376343566E-3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2</v>
      </c>
      <c r="P16" s="1">
        <f>VLOOKUP(A:A,MASTER!A:H,8,0)</f>
        <v>2</v>
      </c>
      <c r="Q16" s="12">
        <f t="shared" si="3"/>
        <v>0</v>
      </c>
      <c r="R16" s="1">
        <f>VLOOKUP(A:A,MASTER!A:B,2,0)</f>
        <v>1023</v>
      </c>
      <c r="S16">
        <f>VLOOKUP(A:A,MASTER!A:G,7,0)</f>
        <v>1024</v>
      </c>
      <c r="T16" s="12">
        <f t="shared" si="4"/>
        <v>9.7751710654936375E-4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17060687.407777634</v>
      </c>
      <c r="G17" s="1">
        <f>VLOOKUP(A:A,MASTER!A:K,11,0)</f>
        <v>12169391.271711731</v>
      </c>
      <c r="H17" s="12">
        <f t="shared" si="0"/>
        <v>-0.28669982745455236</v>
      </c>
      <c r="I17" s="2">
        <f>VLOOKUP(A:A,MASTER!A:E,5,0)</f>
        <v>641</v>
      </c>
      <c r="J17" s="2">
        <f>VLOOKUP(A:A,MASTER!A:J,10,0)</f>
        <v>681</v>
      </c>
      <c r="K17" s="12">
        <f t="shared" si="1"/>
        <v>6.240249609984394E-2</v>
      </c>
      <c r="L17" s="2">
        <f>VLOOKUP(A:A,MASTER!A:D,4,0)</f>
        <v>2</v>
      </c>
      <c r="M17" s="2">
        <f>VLOOKUP(A:A,MASTER!A:I,9,0)</f>
        <v>3</v>
      </c>
      <c r="N17" s="12">
        <f t="shared" si="2"/>
        <v>0.5</v>
      </c>
      <c r="O17" s="1">
        <f>VLOOKUP(A:A,MASTER!A:C,3,0)</f>
        <v>0</v>
      </c>
      <c r="P17" s="1">
        <f>VLOOKUP(A:A,MASTER!A:H,8,0)</f>
        <v>3</v>
      </c>
      <c r="Q17" s="12">
        <f t="shared" si="3"/>
        <v>0</v>
      </c>
      <c r="R17" s="1">
        <f>VLOOKUP(A:A,MASTER!A:B,2,0)</f>
        <v>954</v>
      </c>
      <c r="S17">
        <f>VLOOKUP(A:A,MASTER!A:G,7,0)</f>
        <v>903</v>
      </c>
      <c r="T17" s="12">
        <f t="shared" si="4"/>
        <v>-5.3459119496855334E-2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57559835.304311313</v>
      </c>
      <c r="G18" s="1">
        <f>VLOOKUP(A:A,MASTER!A:K,11,0)</f>
        <v>63483376.813367918</v>
      </c>
      <c r="H18" s="12">
        <f t="shared" si="0"/>
        <v>0.10291102255139584</v>
      </c>
      <c r="I18" s="2">
        <f>VLOOKUP(A:A,MASTER!A:E,5,0)</f>
        <v>1895</v>
      </c>
      <c r="J18" s="2">
        <f>VLOOKUP(A:A,MASTER!A:J,10,0)</f>
        <v>2091</v>
      </c>
      <c r="K18" s="12">
        <f t="shared" si="1"/>
        <v>0.10343007915567282</v>
      </c>
      <c r="L18" s="2">
        <f>VLOOKUP(A:A,MASTER!A:D,4,0)</f>
        <v>10</v>
      </c>
      <c r="M18" s="2">
        <f>VLOOKUP(A:A,MASTER!A:I,9,0)</f>
        <v>10</v>
      </c>
      <c r="N18" s="12">
        <f t="shared" si="2"/>
        <v>0</v>
      </c>
      <c r="O18" s="1">
        <f>VLOOKUP(A:A,MASTER!A:C,3,0)</f>
        <v>118</v>
      </c>
      <c r="P18" s="1">
        <f>VLOOKUP(A:A,MASTER!A:H,8,0)</f>
        <v>173</v>
      </c>
      <c r="Q18" s="12">
        <f t="shared" si="3"/>
        <v>0.46610169491525433</v>
      </c>
      <c r="R18" s="1">
        <f>VLOOKUP(A:A,MASTER!A:B,2,0)</f>
        <v>2777</v>
      </c>
      <c r="S18">
        <f>VLOOKUP(A:A,MASTER!A:G,7,0)</f>
        <v>2872</v>
      </c>
      <c r="T18" s="12">
        <f t="shared" si="4"/>
        <v>3.4209578682030894E-2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32045023.177340128</v>
      </c>
      <c r="G19" s="1">
        <f>VLOOKUP(A:A,MASTER!A:K,11,0)</f>
        <v>13732806.891209688</v>
      </c>
      <c r="H19" s="12">
        <f t="shared" si="0"/>
        <v>-0.57145273962789589</v>
      </c>
      <c r="I19" s="2">
        <f>VLOOKUP(A:A,MASTER!A:E,5,0)</f>
        <v>1171</v>
      </c>
      <c r="J19" s="2">
        <f>VLOOKUP(A:A,MASTER!A:J,10,0)</f>
        <v>1143</v>
      </c>
      <c r="K19" s="12">
        <f t="shared" si="1"/>
        <v>-2.3911187019641345E-2</v>
      </c>
      <c r="L19" s="2">
        <f>VLOOKUP(A:A,MASTER!A:D,4,0)</f>
        <v>2</v>
      </c>
      <c r="M19" s="2">
        <f>VLOOKUP(A:A,MASTER!A:I,9,0)</f>
        <v>1</v>
      </c>
      <c r="N19" s="12">
        <f t="shared" si="2"/>
        <v>-0.5</v>
      </c>
      <c r="O19" s="1">
        <f>VLOOKUP(A:A,MASTER!A:C,3,0)</f>
        <v>0</v>
      </c>
      <c r="P19" s="1">
        <f>VLOOKUP(A:A,MASTER!A:H,8,0)</f>
        <v>3</v>
      </c>
      <c r="Q19" s="12">
        <f t="shared" si="3"/>
        <v>0</v>
      </c>
      <c r="R19" s="1">
        <f>VLOOKUP(A:A,MASTER!A:B,2,0)</f>
        <v>1452</v>
      </c>
      <c r="S19">
        <f>VLOOKUP(A:A,MASTER!A:G,7,0)</f>
        <v>1367</v>
      </c>
      <c r="T19" s="12">
        <f t="shared" si="4"/>
        <v>-5.8539944903581276E-2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63795978.508467458</v>
      </c>
      <c r="G20" s="1">
        <f>VLOOKUP(A:A,MASTER!A:K,11,0)</f>
        <v>62485638.947705641</v>
      </c>
      <c r="H20" s="12">
        <f t="shared" si="0"/>
        <v>-2.0539532293370133E-2</v>
      </c>
      <c r="I20" s="2">
        <f>VLOOKUP(A:A,MASTER!A:E,5,0)</f>
        <v>2472</v>
      </c>
      <c r="J20" s="2">
        <f>VLOOKUP(A:A,MASTER!A:J,10,0)</f>
        <v>2209</v>
      </c>
      <c r="K20" s="12">
        <f t="shared" si="1"/>
        <v>-0.10639158576051777</v>
      </c>
      <c r="L20" s="2">
        <f>VLOOKUP(A:A,MASTER!A:D,4,0)</f>
        <v>12</v>
      </c>
      <c r="M20" s="2">
        <f>VLOOKUP(A:A,MASTER!A:I,9,0)</f>
        <v>10</v>
      </c>
      <c r="N20" s="12">
        <f t="shared" si="2"/>
        <v>-0.16666666666666663</v>
      </c>
      <c r="O20" s="1">
        <f>VLOOKUP(A:A,MASTER!A:C,3,0)</f>
        <v>10</v>
      </c>
      <c r="P20" s="1">
        <f>VLOOKUP(A:A,MASTER!A:H,8,0)</f>
        <v>15</v>
      </c>
      <c r="Q20" s="12">
        <f t="shared" si="3"/>
        <v>0.5</v>
      </c>
      <c r="R20" s="1">
        <f>VLOOKUP(A:A,MASTER!A:B,2,0)</f>
        <v>2999</v>
      </c>
      <c r="S20">
        <f>VLOOKUP(A:A,MASTER!A:G,7,0)</f>
        <v>2972</v>
      </c>
      <c r="T20" s="12">
        <f t="shared" si="4"/>
        <v>-9.003001000333466E-3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9011397.0943409987</v>
      </c>
      <c r="G21" s="1">
        <f>VLOOKUP(A:A,MASTER!A:K,11,0)</f>
        <v>9650938.5786911491</v>
      </c>
      <c r="H21" s="12">
        <f t="shared" si="0"/>
        <v>7.0970292137250368E-2</v>
      </c>
      <c r="I21" s="2">
        <f>VLOOKUP(A:A,MASTER!A:E,5,0)</f>
        <v>687</v>
      </c>
      <c r="J21" s="2">
        <f>VLOOKUP(A:A,MASTER!A:J,10,0)</f>
        <v>468</v>
      </c>
      <c r="K21" s="12">
        <f t="shared" si="1"/>
        <v>-0.31877729257641918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3</v>
      </c>
      <c r="P21" s="1">
        <f>VLOOKUP(A:A,MASTER!A:H,8,0)</f>
        <v>4</v>
      </c>
      <c r="Q21" s="12">
        <f t="shared" si="3"/>
        <v>0.33333333333333326</v>
      </c>
      <c r="R21" s="1">
        <f>VLOOKUP(A:A,MASTER!A:B,2,0)</f>
        <v>552</v>
      </c>
      <c r="S21">
        <f>VLOOKUP(A:A,MASTER!A:G,7,0)</f>
        <v>541</v>
      </c>
      <c r="T21" s="12">
        <f t="shared" si="4"/>
        <v>-1.9927536231884035E-2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24671664.355904289</v>
      </c>
      <c r="G22" s="1">
        <f>VLOOKUP(A:A,MASTER!A:K,11,0)</f>
        <v>25739797.312284291</v>
      </c>
      <c r="H22" s="12">
        <f t="shared" si="0"/>
        <v>4.329391568284624E-2</v>
      </c>
      <c r="I22" s="2">
        <f>VLOOKUP(A:A,MASTER!A:E,5,0)</f>
        <v>1298</v>
      </c>
      <c r="J22" s="2">
        <f>VLOOKUP(A:A,MASTER!A:J,10,0)</f>
        <v>1348</v>
      </c>
      <c r="K22" s="12">
        <f t="shared" si="1"/>
        <v>3.8520801232665658E-2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6</v>
      </c>
      <c r="P22" s="1">
        <f>VLOOKUP(A:A,MASTER!A:H,8,0)</f>
        <v>12</v>
      </c>
      <c r="Q22" s="12">
        <f t="shared" si="3"/>
        <v>1</v>
      </c>
      <c r="R22" s="1">
        <f>VLOOKUP(A:A,MASTER!A:B,2,0)</f>
        <v>1701</v>
      </c>
      <c r="S22">
        <f>VLOOKUP(A:A,MASTER!A:G,7,0)</f>
        <v>1749</v>
      </c>
      <c r="T22" s="12">
        <f t="shared" si="4"/>
        <v>2.821869488536155E-2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11251576.178390903</v>
      </c>
      <c r="G23" s="1">
        <f>VLOOKUP(A:A,MASTER!A:K,11,0)</f>
        <v>10264637.068090342</v>
      </c>
      <c r="H23" s="12">
        <f t="shared" si="0"/>
        <v>-8.771563153934081E-2</v>
      </c>
      <c r="I23" s="2">
        <f>VLOOKUP(A:A,MASTER!A:E,5,0)</f>
        <v>757</v>
      </c>
      <c r="J23" s="2">
        <f>VLOOKUP(A:A,MASTER!A:J,10,0)</f>
        <v>765</v>
      </c>
      <c r="K23" s="12">
        <f t="shared" si="1"/>
        <v>1.0568031704095038E-2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5</v>
      </c>
      <c r="P23" s="1">
        <f>VLOOKUP(A:A,MASTER!A:H,8,0)</f>
        <v>8</v>
      </c>
      <c r="Q23" s="12">
        <f t="shared" si="3"/>
        <v>0.60000000000000009</v>
      </c>
      <c r="R23" s="1">
        <f>VLOOKUP(A:A,MASTER!A:B,2,0)</f>
        <v>865</v>
      </c>
      <c r="S23">
        <f>VLOOKUP(A:A,MASTER!A:G,7,0)</f>
        <v>877</v>
      </c>
      <c r="T23" s="12">
        <f t="shared" si="4"/>
        <v>1.387283236994219E-2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11850976.593486</v>
      </c>
      <c r="G24" s="1">
        <f>VLOOKUP(A:A,MASTER!A:K,11,0)</f>
        <v>13079902.716852484</v>
      </c>
      <c r="H24" s="12">
        <f t="shared" si="0"/>
        <v>0.10369829977066836</v>
      </c>
      <c r="I24" s="2">
        <f>VLOOKUP(A:A,MASTER!A:E,5,0)</f>
        <v>881</v>
      </c>
      <c r="J24" s="2">
        <f>VLOOKUP(A:A,MASTER!A:J,10,0)</f>
        <v>807</v>
      </c>
      <c r="K24" s="12">
        <f t="shared" si="1"/>
        <v>-8.399545970488087E-2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1</v>
      </c>
      <c r="P24" s="1">
        <f>VLOOKUP(A:A,MASTER!A:H,8,0)</f>
        <v>5</v>
      </c>
      <c r="Q24" s="12">
        <f t="shared" si="3"/>
        <v>4</v>
      </c>
      <c r="R24" s="1">
        <f>VLOOKUP(A:A,MASTER!A:B,2,0)</f>
        <v>892</v>
      </c>
      <c r="S24">
        <f>VLOOKUP(A:A,MASTER!A:G,7,0)</f>
        <v>890</v>
      </c>
      <c r="T24" s="12">
        <f t="shared" si="4"/>
        <v>-2.2421524663677195E-3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3490224.814658503</v>
      </c>
      <c r="G25" s="1">
        <f>VLOOKUP(A:A,MASTER!A:K,11,0)</f>
        <v>2753796.6769717392</v>
      </c>
      <c r="H25" s="12">
        <f t="shared" si="0"/>
        <v>-0.21099733592915237</v>
      </c>
      <c r="I25" s="2">
        <f>VLOOKUP(A:A,MASTER!A:E,5,0)</f>
        <v>181</v>
      </c>
      <c r="J25" s="2">
        <f>VLOOKUP(A:A,MASTER!A:J,10,0)</f>
        <v>171</v>
      </c>
      <c r="K25" s="12">
        <f t="shared" si="1"/>
        <v>-5.5248618784530357E-2</v>
      </c>
      <c r="L25" s="2">
        <f>VLOOKUP(A:A,MASTER!A:D,4,0)</f>
        <v>0</v>
      </c>
      <c r="M25" s="2">
        <f>VLOOKUP(A:A,MASTER!A:I,9,0)</f>
        <v>2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239</v>
      </c>
      <c r="S25">
        <f>VLOOKUP(A:A,MASTER!A:G,7,0)</f>
        <v>231</v>
      </c>
      <c r="T25" s="12">
        <f t="shared" si="4"/>
        <v>-3.3472803347280311E-2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29071248.072626371</v>
      </c>
      <c r="G26" s="1">
        <f>VLOOKUP(A:A,MASTER!A:K,11,0)</f>
        <v>24370086.898229964</v>
      </c>
      <c r="H26" s="12">
        <f t="shared" si="0"/>
        <v>-0.16171170782389088</v>
      </c>
      <c r="I26" s="2">
        <f>VLOOKUP(A:A,MASTER!A:E,5,0)</f>
        <v>1425</v>
      </c>
      <c r="J26" s="2">
        <f>VLOOKUP(A:A,MASTER!A:J,10,0)</f>
        <v>1293</v>
      </c>
      <c r="K26" s="12">
        <f t="shared" si="1"/>
        <v>-9.2631578947368398E-2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2</v>
      </c>
      <c r="P26" s="1">
        <f>VLOOKUP(A:A,MASTER!A:H,8,0)</f>
        <v>9</v>
      </c>
      <c r="Q26" s="12">
        <f t="shared" si="3"/>
        <v>3.5</v>
      </c>
      <c r="R26" s="1">
        <f>VLOOKUP(A:A,MASTER!A:B,2,0)</f>
        <v>1670</v>
      </c>
      <c r="S26">
        <f>VLOOKUP(A:A,MASTER!A:G,7,0)</f>
        <v>1663</v>
      </c>
      <c r="T26" s="12">
        <f t="shared" si="4"/>
        <v>-4.1916167664670656E-3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19157411.185149383</v>
      </c>
      <c r="G27" s="1">
        <f>VLOOKUP(A:A,MASTER!A:K,11,0)</f>
        <v>19821996.514491428</v>
      </c>
      <c r="H27" s="12">
        <f t="shared" si="0"/>
        <v>3.469076917121372E-2</v>
      </c>
      <c r="I27" s="2">
        <f>VLOOKUP(A:A,MASTER!A:E,5,0)</f>
        <v>647</v>
      </c>
      <c r="J27" s="2">
        <f>VLOOKUP(A:A,MASTER!A:J,10,0)</f>
        <v>629</v>
      </c>
      <c r="K27" s="12">
        <f t="shared" si="1"/>
        <v>-2.7820710973724849E-2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2</v>
      </c>
      <c r="P27" s="1">
        <f>VLOOKUP(A:A,MASTER!A:H,8,0)</f>
        <v>1</v>
      </c>
      <c r="Q27" s="12">
        <f t="shared" si="3"/>
        <v>-0.5</v>
      </c>
      <c r="R27" s="1">
        <f>VLOOKUP(A:A,MASTER!A:B,2,0)</f>
        <v>870</v>
      </c>
      <c r="S27">
        <f>VLOOKUP(A:A,MASTER!A:G,7,0)</f>
        <v>871</v>
      </c>
      <c r="T27" s="12">
        <f t="shared" si="4"/>
        <v>1.1494252873562871E-3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20847256.078643773</v>
      </c>
      <c r="G28" s="1">
        <f>VLOOKUP(A:A,MASTER!A:K,11,0)</f>
        <v>19414730.029029332</v>
      </c>
      <c r="H28" s="12">
        <f t="shared" si="0"/>
        <v>-6.8715328492651939E-2</v>
      </c>
      <c r="I28" s="2">
        <f>VLOOKUP(A:A,MASTER!A:E,5,0)</f>
        <v>742</v>
      </c>
      <c r="J28" s="2">
        <f>VLOOKUP(A:A,MASTER!A:J,10,0)</f>
        <v>824</v>
      </c>
      <c r="K28" s="12">
        <f t="shared" si="1"/>
        <v>0.11051212938005395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</v>
      </c>
      <c r="P28" s="1">
        <f>VLOOKUP(A:A,MASTER!A:H,8,0)</f>
        <v>2</v>
      </c>
      <c r="Q28" s="12">
        <f t="shared" si="3"/>
        <v>1</v>
      </c>
      <c r="R28" s="1">
        <f>VLOOKUP(A:A,MASTER!A:B,2,0)</f>
        <v>1132</v>
      </c>
      <c r="S28">
        <f>VLOOKUP(A:A,MASTER!A:G,7,0)</f>
        <v>1060</v>
      </c>
      <c r="T28" s="12">
        <f t="shared" si="4"/>
        <v>-6.360424028268552E-2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27091482.436740737</v>
      </c>
      <c r="G29" s="1">
        <f>VLOOKUP(A:A,MASTER!A:K,11,0)</f>
        <v>26418427.83281048</v>
      </c>
      <c r="H29" s="12">
        <f t="shared" si="0"/>
        <v>-2.484377167258589E-2</v>
      </c>
      <c r="I29" s="2">
        <f>VLOOKUP(A:A,MASTER!A:E,5,0)</f>
        <v>964</v>
      </c>
      <c r="J29" s="2">
        <f>VLOOKUP(A:A,MASTER!A:J,10,0)</f>
        <v>816</v>
      </c>
      <c r="K29" s="12">
        <f t="shared" si="1"/>
        <v>-0.15352697095435686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0</v>
      </c>
      <c r="P29" s="1">
        <f>VLOOKUP(A:A,MASTER!A:H,8,0)</f>
        <v>2</v>
      </c>
      <c r="Q29" s="12">
        <f t="shared" si="3"/>
        <v>0</v>
      </c>
      <c r="R29" s="1">
        <f>VLOOKUP(A:A,MASTER!A:B,2,0)</f>
        <v>1114</v>
      </c>
      <c r="S29">
        <f>VLOOKUP(A:A,MASTER!A:G,7,0)</f>
        <v>1115</v>
      </c>
      <c r="T29" s="12">
        <f t="shared" si="4"/>
        <v>8.9766606822272443E-4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39832891.790901192</v>
      </c>
      <c r="G30" s="1">
        <f>VLOOKUP(A:A,MASTER!A:K,11,0)</f>
        <v>37524684.099695168</v>
      </c>
      <c r="H30" s="12">
        <f t="shared" si="0"/>
        <v>-5.7947278930255197E-2</v>
      </c>
      <c r="I30" s="2">
        <f>VLOOKUP(A:A,MASTER!A:E,5,0)</f>
        <v>1164</v>
      </c>
      <c r="J30" s="2">
        <f>VLOOKUP(A:A,MASTER!A:J,10,0)</f>
        <v>1207</v>
      </c>
      <c r="K30" s="12">
        <f t="shared" si="1"/>
        <v>3.6941580756013837E-2</v>
      </c>
      <c r="L30" s="2">
        <f>VLOOKUP(A:A,MASTER!A:D,4,0)</f>
        <v>5</v>
      </c>
      <c r="M30" s="2">
        <f>VLOOKUP(A:A,MASTER!A:I,9,0)</f>
        <v>5</v>
      </c>
      <c r="N30" s="12">
        <f t="shared" si="2"/>
        <v>0</v>
      </c>
      <c r="O30" s="1">
        <f>VLOOKUP(A:A,MASTER!A:C,3,0)</f>
        <v>1</v>
      </c>
      <c r="P30" s="1">
        <f>VLOOKUP(A:A,MASTER!A:H,8,0)</f>
        <v>4</v>
      </c>
      <c r="Q30" s="12">
        <f t="shared" si="3"/>
        <v>3</v>
      </c>
      <c r="R30" s="1">
        <f>VLOOKUP(A:A,MASTER!A:B,2,0)</f>
        <v>1506</v>
      </c>
      <c r="S30">
        <f>VLOOKUP(A:A,MASTER!A:G,7,0)</f>
        <v>1455</v>
      </c>
      <c r="T30" s="12">
        <f t="shared" si="4"/>
        <v>-3.3864541832669293E-2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14587539.749331217</v>
      </c>
      <c r="G31" s="1">
        <f>VLOOKUP(A:A,MASTER!A:K,11,0)</f>
        <v>15406510.595932836</v>
      </c>
      <c r="H31" s="12">
        <f t="shared" si="0"/>
        <v>5.6141807369482155E-2</v>
      </c>
      <c r="I31" s="2">
        <f>VLOOKUP(A:A,MASTER!A:E,5,0)</f>
        <v>546</v>
      </c>
      <c r="J31" s="2">
        <f>VLOOKUP(A:A,MASTER!A:J,10,0)</f>
        <v>581</v>
      </c>
      <c r="K31" s="12">
        <f t="shared" si="1"/>
        <v>6.4102564102564097E-2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0</v>
      </c>
      <c r="P31" s="1">
        <f>VLOOKUP(A:A,MASTER!A:H,8,0)</f>
        <v>0</v>
      </c>
      <c r="Q31" s="12">
        <f t="shared" si="3"/>
        <v>0</v>
      </c>
      <c r="R31" s="1">
        <f>VLOOKUP(A:A,MASTER!A:B,2,0)</f>
        <v>692</v>
      </c>
      <c r="S31">
        <f>VLOOKUP(A:A,MASTER!A:G,7,0)</f>
        <v>682</v>
      </c>
      <c r="T31" s="12">
        <f t="shared" si="4"/>
        <v>-1.4450867052023142E-2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46870678.587666772</v>
      </c>
      <c r="G32" s="1">
        <f>VLOOKUP(A:A,MASTER!A:K,11,0)</f>
        <v>46557482.188332088</v>
      </c>
      <c r="H32" s="12">
        <f t="shared" si="0"/>
        <v>-6.682139213087801E-3</v>
      </c>
      <c r="I32" s="2">
        <f>VLOOKUP(A:A,MASTER!A:E,5,0)</f>
        <v>1663</v>
      </c>
      <c r="J32" s="2">
        <f>VLOOKUP(A:A,MASTER!A:J,10,0)</f>
        <v>892</v>
      </c>
      <c r="K32" s="12">
        <f t="shared" si="1"/>
        <v>-0.46361996392062532</v>
      </c>
      <c r="L32" s="2">
        <f>VLOOKUP(A:A,MASTER!A:D,4,0)</f>
        <v>10</v>
      </c>
      <c r="M32" s="2">
        <f>VLOOKUP(A:A,MASTER!A:I,9,0)</f>
        <v>11</v>
      </c>
      <c r="N32" s="12">
        <f t="shared" si="2"/>
        <v>0.10000000000000009</v>
      </c>
      <c r="O32" s="1">
        <f>VLOOKUP(A:A,MASTER!A:C,3,0)</f>
        <v>0</v>
      </c>
      <c r="P32" s="1">
        <f>VLOOKUP(A:A,MASTER!A:H,8,0)</f>
        <v>6</v>
      </c>
      <c r="Q32" s="12">
        <f t="shared" si="3"/>
        <v>0</v>
      </c>
      <c r="R32" s="1">
        <f>VLOOKUP(A:A,MASTER!A:B,2,0)</f>
        <v>1968</v>
      </c>
      <c r="S32">
        <f>VLOOKUP(A:A,MASTER!A:G,7,0)</f>
        <v>1941</v>
      </c>
      <c r="T32" s="12">
        <f t="shared" si="4"/>
        <v>-1.3719512195121908E-2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16279779.246790402</v>
      </c>
      <c r="G33" s="1">
        <f>VLOOKUP(A:A,MASTER!A:K,11,0)</f>
        <v>15562023.232441895</v>
      </c>
      <c r="H33" s="12">
        <f t="shared" si="0"/>
        <v>-4.408880510403812E-2</v>
      </c>
      <c r="I33" s="2">
        <f>VLOOKUP(A:A,MASTER!A:E,5,0)</f>
        <v>679</v>
      </c>
      <c r="J33" s="2">
        <f>VLOOKUP(A:A,MASTER!A:J,10,0)</f>
        <v>774</v>
      </c>
      <c r="K33" s="12">
        <f t="shared" si="1"/>
        <v>0.13991163475699553</v>
      </c>
      <c r="L33" s="2">
        <f>VLOOKUP(A:A,MASTER!A:D,4,0)</f>
        <v>1</v>
      </c>
      <c r="M33" s="2">
        <f>VLOOKUP(A:A,MASTER!A:I,9,0)</f>
        <v>2</v>
      </c>
      <c r="N33" s="12">
        <f t="shared" si="2"/>
        <v>1</v>
      </c>
      <c r="O33" s="1">
        <f>VLOOKUP(A:A,MASTER!A:C,3,0)</f>
        <v>2</v>
      </c>
      <c r="P33" s="1">
        <f>VLOOKUP(A:A,MASTER!A:H,8,0)</f>
        <v>1</v>
      </c>
      <c r="Q33" s="12">
        <f t="shared" si="3"/>
        <v>-0.5</v>
      </c>
      <c r="R33" s="1">
        <f>VLOOKUP(A:A,MASTER!A:B,2,0)</f>
        <v>846</v>
      </c>
      <c r="S33">
        <f>VLOOKUP(A:A,MASTER!A:G,7,0)</f>
        <v>844</v>
      </c>
      <c r="T33" s="12">
        <f t="shared" si="4"/>
        <v>-2.3640661938534313E-3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12893390.296193728</v>
      </c>
      <c r="G34" s="1">
        <f>VLOOKUP(A:A,MASTER!A:K,11,0)</f>
        <v>14995641.256104443</v>
      </c>
      <c r="H34" s="12">
        <f t="shared" si="0"/>
        <v>0.16304873362371741</v>
      </c>
      <c r="I34" s="2">
        <f>VLOOKUP(A:A,MASTER!A:E,5,0)</f>
        <v>459</v>
      </c>
      <c r="J34" s="2">
        <f>VLOOKUP(A:A,MASTER!A:J,10,0)</f>
        <v>538</v>
      </c>
      <c r="K34" s="12">
        <f t="shared" si="1"/>
        <v>0.17211328976034856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0</v>
      </c>
      <c r="P34" s="1">
        <f>VLOOKUP(A:A,MASTER!A:H,8,0)</f>
        <v>1</v>
      </c>
      <c r="Q34" s="12">
        <f t="shared" si="3"/>
        <v>0</v>
      </c>
      <c r="R34" s="1">
        <f>VLOOKUP(A:A,MASTER!A:B,2,0)</f>
        <v>690</v>
      </c>
      <c r="S34">
        <f>VLOOKUP(A:A,MASTER!A:G,7,0)</f>
        <v>745</v>
      </c>
      <c r="T34" s="12">
        <f t="shared" si="4"/>
        <v>7.9710144927536142E-2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23576799.335367773</v>
      </c>
      <c r="G35" s="1">
        <f>VLOOKUP(A:A,MASTER!A:K,11,0)</f>
        <v>22123498.048207261</v>
      </c>
      <c r="H35" s="12">
        <f t="shared" si="0"/>
        <v>-6.1641161146941625E-2</v>
      </c>
      <c r="I35" s="2">
        <f>VLOOKUP(A:A,MASTER!A:E,5,0)</f>
        <v>941</v>
      </c>
      <c r="J35" s="2">
        <f>VLOOKUP(A:A,MASTER!A:J,10,0)</f>
        <v>822</v>
      </c>
      <c r="K35" s="12">
        <f t="shared" si="1"/>
        <v>-0.12646121147715195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10</v>
      </c>
      <c r="P35" s="1">
        <f>VLOOKUP(A:A,MASTER!A:H,8,0)</f>
        <v>12</v>
      </c>
      <c r="Q35" s="12">
        <f t="shared" si="3"/>
        <v>0.19999999999999996</v>
      </c>
      <c r="R35" s="1">
        <f>VLOOKUP(A:A,MASTER!A:B,2,0)</f>
        <v>1110</v>
      </c>
      <c r="S35">
        <f>VLOOKUP(A:A,MASTER!A:G,7,0)</f>
        <v>1165</v>
      </c>
      <c r="T35" s="12">
        <f t="shared" si="4"/>
        <v>4.9549549549549488E-2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22904201.531117793</v>
      </c>
      <c r="G36" s="1">
        <f>VLOOKUP(A:A,MASTER!A:K,11,0)</f>
        <v>20751223.31803656</v>
      </c>
      <c r="H36" s="12">
        <f t="shared" si="0"/>
        <v>-9.3999269529487117E-2</v>
      </c>
      <c r="I36" s="2">
        <f>VLOOKUP(A:A,MASTER!A:E,5,0)</f>
        <v>753</v>
      </c>
      <c r="J36" s="2">
        <f>VLOOKUP(A:A,MASTER!A:J,10,0)</f>
        <v>796</v>
      </c>
      <c r="K36" s="12">
        <f t="shared" si="1"/>
        <v>5.7104913678618807E-2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38</v>
      </c>
      <c r="P36" s="1">
        <f>VLOOKUP(A:A,MASTER!A:H,8,0)</f>
        <v>120</v>
      </c>
      <c r="Q36" s="12">
        <f t="shared" si="3"/>
        <v>2.1578947368421053</v>
      </c>
      <c r="R36" s="1">
        <f>VLOOKUP(A:A,MASTER!A:B,2,0)</f>
        <v>1128</v>
      </c>
      <c r="S36">
        <f>VLOOKUP(A:A,MASTER!A:G,7,0)</f>
        <v>1331</v>
      </c>
      <c r="T36" s="12">
        <f t="shared" si="4"/>
        <v>0.17996453900709231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36032619.201137818</v>
      </c>
      <c r="G37" s="1">
        <f>VLOOKUP(A:A,MASTER!A:K,11,0)</f>
        <v>38476619.904587738</v>
      </c>
      <c r="H37" s="12">
        <f t="shared" si="0"/>
        <v>6.7827450727554695E-2</v>
      </c>
      <c r="I37" s="2">
        <f>VLOOKUP(A:A,MASTER!A:E,5,0)</f>
        <v>1452</v>
      </c>
      <c r="J37" s="2">
        <f>VLOOKUP(A:A,MASTER!A:J,10,0)</f>
        <v>1529</v>
      </c>
      <c r="K37" s="12">
        <f t="shared" si="1"/>
        <v>5.3030303030302983E-2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45</v>
      </c>
      <c r="P37" s="1">
        <f>VLOOKUP(A:A,MASTER!A:H,8,0)</f>
        <v>69</v>
      </c>
      <c r="Q37" s="12">
        <f t="shared" si="3"/>
        <v>0.53333333333333344</v>
      </c>
      <c r="R37" s="1">
        <f>VLOOKUP(A:A,MASTER!A:B,2,0)</f>
        <v>1804</v>
      </c>
      <c r="S37">
        <f>VLOOKUP(A:A,MASTER!A:G,7,0)</f>
        <v>2397</v>
      </c>
      <c r="T37" s="12">
        <f t="shared" si="4"/>
        <v>0.32871396895787131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15020445.159102108</v>
      </c>
      <c r="G38" s="1">
        <f>VLOOKUP(A:A,MASTER!A:K,11,0)</f>
        <v>13614594.777193189</v>
      </c>
      <c r="H38" s="12">
        <f t="shared" si="0"/>
        <v>-9.3595786743843612E-2</v>
      </c>
      <c r="I38" s="2">
        <f>VLOOKUP(A:A,MASTER!A:E,5,0)</f>
        <v>468</v>
      </c>
      <c r="J38" s="2">
        <f>VLOOKUP(A:A,MASTER!A:J,10,0)</f>
        <v>570</v>
      </c>
      <c r="K38" s="12">
        <f t="shared" si="1"/>
        <v>0.21794871794871784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2</v>
      </c>
      <c r="P38" s="1">
        <f>VLOOKUP(A:A,MASTER!A:H,8,0)</f>
        <v>1</v>
      </c>
      <c r="Q38" s="12">
        <f t="shared" si="3"/>
        <v>-0.5</v>
      </c>
      <c r="R38" s="1">
        <f>VLOOKUP(A:A,MASTER!A:B,2,0)</f>
        <v>629</v>
      </c>
      <c r="S38">
        <f>VLOOKUP(A:A,MASTER!A:G,7,0)</f>
        <v>618</v>
      </c>
      <c r="T38" s="12">
        <f t="shared" si="4"/>
        <v>-1.748807631160576E-2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42247576.219750777</v>
      </c>
      <c r="G39" s="1">
        <f>VLOOKUP(A:A,MASTER!A:K,11,0)</f>
        <v>45470936.193361871</v>
      </c>
      <c r="H39" s="12">
        <f t="shared" si="0"/>
        <v>7.6296920723801787E-2</v>
      </c>
      <c r="I39" s="2">
        <f>VLOOKUP(A:A,MASTER!A:E,5,0)</f>
        <v>2213</v>
      </c>
      <c r="J39" s="2">
        <f>VLOOKUP(A:A,MASTER!A:J,10,0)</f>
        <v>1914</v>
      </c>
      <c r="K39" s="12">
        <f t="shared" si="1"/>
        <v>-0.13511070944419346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3</v>
      </c>
      <c r="P39" s="1">
        <f>VLOOKUP(A:A,MASTER!A:H,8,0)</f>
        <v>2</v>
      </c>
      <c r="Q39" s="12">
        <f t="shared" si="3"/>
        <v>-0.33333333333333337</v>
      </c>
      <c r="R39" s="1">
        <f>VLOOKUP(A:A,MASTER!A:B,2,0)</f>
        <v>1992</v>
      </c>
      <c r="S39">
        <f>VLOOKUP(A:A,MASTER!A:G,7,0)</f>
        <v>2057</v>
      </c>
      <c r="T39" s="12">
        <f t="shared" si="4"/>
        <v>3.2630522088353375E-2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28973262.41277713</v>
      </c>
      <c r="G40" s="1">
        <f>VLOOKUP(A:A,MASTER!A:K,11,0)</f>
        <v>29671640.615555849</v>
      </c>
      <c r="H40" s="12">
        <f t="shared" si="0"/>
        <v>2.4104230750028988E-2</v>
      </c>
      <c r="I40" s="2">
        <f>VLOOKUP(A:A,MASTER!A:E,5,0)</f>
        <v>740</v>
      </c>
      <c r="J40" s="2">
        <f>VLOOKUP(A:A,MASTER!A:J,10,0)</f>
        <v>1422</v>
      </c>
      <c r="K40" s="12">
        <f t="shared" si="1"/>
        <v>0.92162162162162153</v>
      </c>
      <c r="L40" s="2">
        <f>VLOOKUP(A:A,MASTER!A:D,4,0)</f>
        <v>4</v>
      </c>
      <c r="M40" s="2">
        <f>VLOOKUP(A:A,MASTER!A:I,9,0)</f>
        <v>2</v>
      </c>
      <c r="N40" s="12">
        <f t="shared" si="2"/>
        <v>-0.5</v>
      </c>
      <c r="O40" s="1">
        <f>VLOOKUP(A:A,MASTER!A:C,3,0)</f>
        <v>4</v>
      </c>
      <c r="P40" s="1">
        <f>VLOOKUP(A:A,MASTER!A:H,8,0)</f>
        <v>3</v>
      </c>
      <c r="Q40" s="12">
        <f t="shared" si="3"/>
        <v>-0.25</v>
      </c>
      <c r="R40" s="1">
        <f>VLOOKUP(A:A,MASTER!A:B,2,0)</f>
        <v>873</v>
      </c>
      <c r="S40">
        <f>VLOOKUP(A:A,MASTER!A:G,7,0)</f>
        <v>900</v>
      </c>
      <c r="T40" s="12">
        <f t="shared" si="4"/>
        <v>3.0927835051546282E-2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24778612.015554167</v>
      </c>
      <c r="G41" s="1">
        <f>VLOOKUP(A:A,MASTER!A:K,11,0)</f>
        <v>16080664.001975443</v>
      </c>
      <c r="H41" s="12">
        <f t="shared" si="0"/>
        <v>-0.35102644200243338</v>
      </c>
      <c r="I41" s="2">
        <f>VLOOKUP(A:A,MASTER!A:E,5,0)</f>
        <v>887</v>
      </c>
      <c r="J41" s="2">
        <f>VLOOKUP(A:A,MASTER!A:J,10,0)</f>
        <v>908</v>
      </c>
      <c r="K41" s="12">
        <f t="shared" si="1"/>
        <v>2.3675310033821839E-2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1</v>
      </c>
      <c r="P41" s="1">
        <f>VLOOKUP(A:A,MASTER!A:H,8,0)</f>
        <v>0</v>
      </c>
      <c r="Q41" s="12">
        <f t="shared" si="3"/>
        <v>-1</v>
      </c>
      <c r="R41" s="1">
        <f>VLOOKUP(A:A,MASTER!A:B,2,0)</f>
        <v>1154</v>
      </c>
      <c r="S41">
        <f>VLOOKUP(A:A,MASTER!A:G,7,0)</f>
        <v>1081</v>
      </c>
      <c r="T41" s="12">
        <f t="shared" si="4"/>
        <v>-6.3258232235701928E-2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24227242.078079969</v>
      </c>
      <c r="G42" s="1">
        <f>VLOOKUP(A:A,MASTER!A:K,11,0)</f>
        <v>23529348.521047913</v>
      </c>
      <c r="H42" s="12">
        <f t="shared" si="0"/>
        <v>-2.8806149490019251E-2</v>
      </c>
      <c r="I42" s="2">
        <f>VLOOKUP(A:A,MASTER!A:E,5,0)</f>
        <v>649</v>
      </c>
      <c r="J42" s="2">
        <f>VLOOKUP(A:A,MASTER!A:J,10,0)</f>
        <v>627</v>
      </c>
      <c r="K42" s="12">
        <f t="shared" si="1"/>
        <v>-3.3898305084745783E-2</v>
      </c>
      <c r="L42" s="2">
        <f>VLOOKUP(A:A,MASTER!A:D,4,0)</f>
        <v>5</v>
      </c>
      <c r="M42" s="2">
        <f>VLOOKUP(A:A,MASTER!A:I,9,0)</f>
        <v>4</v>
      </c>
      <c r="N42" s="12">
        <f t="shared" si="2"/>
        <v>-0.19999999999999996</v>
      </c>
      <c r="O42" s="1">
        <f>VLOOKUP(A:A,MASTER!A:C,3,0)</f>
        <v>0</v>
      </c>
      <c r="P42" s="1">
        <f>VLOOKUP(A:A,MASTER!A:H,8,0)</f>
        <v>3</v>
      </c>
      <c r="Q42" s="12">
        <f t="shared" si="3"/>
        <v>0</v>
      </c>
      <c r="R42" s="1">
        <f>VLOOKUP(A:A,MASTER!A:B,2,0)</f>
        <v>853</v>
      </c>
      <c r="S42">
        <f>VLOOKUP(A:A,MASTER!A:G,7,0)</f>
        <v>831</v>
      </c>
      <c r="T42" s="12">
        <f t="shared" si="4"/>
        <v>-2.5791324736225141E-2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14652415.851613129</v>
      </c>
      <c r="G43" s="1">
        <f>VLOOKUP(A:A,MASTER!A:K,11,0)</f>
        <v>15138233.493068304</v>
      </c>
      <c r="H43" s="12">
        <f t="shared" si="0"/>
        <v>3.3156146151946064E-2</v>
      </c>
      <c r="I43" s="2">
        <f>VLOOKUP(A:A,MASTER!A:E,5,0)</f>
        <v>565</v>
      </c>
      <c r="J43" s="2">
        <f>VLOOKUP(A:A,MASTER!A:J,10,0)</f>
        <v>553</v>
      </c>
      <c r="K43" s="12">
        <f t="shared" si="1"/>
        <v>-2.12389380530974E-2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1</v>
      </c>
      <c r="P43" s="1">
        <f>VLOOKUP(A:A,MASTER!A:H,8,0)</f>
        <v>2</v>
      </c>
      <c r="Q43" s="12">
        <f t="shared" si="3"/>
        <v>1</v>
      </c>
      <c r="R43" s="1">
        <f>VLOOKUP(A:A,MASTER!A:B,2,0)</f>
        <v>658</v>
      </c>
      <c r="S43">
        <f>VLOOKUP(A:A,MASTER!A:G,7,0)</f>
        <v>706</v>
      </c>
      <c r="T43" s="12">
        <f t="shared" si="4"/>
        <v>7.2948328267477214E-2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13960317.916001091</v>
      </c>
      <c r="G44" s="1">
        <f>VLOOKUP(A:A,MASTER!A:K,11,0)</f>
        <v>13328418.590985743</v>
      </c>
      <c r="H44" s="12">
        <f t="shared" si="0"/>
        <v>-4.5263963816402408E-2</v>
      </c>
      <c r="I44" s="2">
        <f>VLOOKUP(A:A,MASTER!A:E,5,0)</f>
        <v>794</v>
      </c>
      <c r="J44" s="2">
        <f>VLOOKUP(A:A,MASTER!A:J,10,0)</f>
        <v>719</v>
      </c>
      <c r="K44" s="12">
        <f t="shared" si="1"/>
        <v>-9.4458438287153612E-2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1</v>
      </c>
      <c r="P44" s="1">
        <f>VLOOKUP(A:A,MASTER!A:H,8,0)</f>
        <v>0</v>
      </c>
      <c r="Q44" s="12">
        <f t="shared" si="3"/>
        <v>-1</v>
      </c>
      <c r="R44" s="1">
        <f>VLOOKUP(A:A,MASTER!A:B,2,0)</f>
        <v>691</v>
      </c>
      <c r="S44">
        <f>VLOOKUP(A:A,MASTER!A:G,7,0)</f>
        <v>686</v>
      </c>
      <c r="T44" s="12">
        <f t="shared" si="4"/>
        <v>-7.2358900144717797E-3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46742524.804393575</v>
      </c>
      <c r="G45" s="1">
        <f>VLOOKUP(A:A,MASTER!A:K,11,0)</f>
        <v>40595640.839021318</v>
      </c>
      <c r="H45" s="12">
        <f t="shared" si="0"/>
        <v>-0.13150517630563419</v>
      </c>
      <c r="I45" s="2">
        <f>VLOOKUP(A:A,MASTER!A:E,5,0)</f>
        <v>1117</v>
      </c>
      <c r="J45" s="2">
        <f>VLOOKUP(A:A,MASTER!A:J,10,0)</f>
        <v>2756</v>
      </c>
      <c r="K45" s="12">
        <f t="shared" si="1"/>
        <v>1.4673231871083257</v>
      </c>
      <c r="L45" s="2">
        <f>VLOOKUP(A:A,MASTER!A:D,4,0)</f>
        <v>6</v>
      </c>
      <c r="M45" s="2">
        <f>VLOOKUP(A:A,MASTER!A:I,9,0)</f>
        <v>5</v>
      </c>
      <c r="N45" s="12">
        <f t="shared" si="2"/>
        <v>-0.16666666666666663</v>
      </c>
      <c r="O45" s="1">
        <f>VLOOKUP(A:A,MASTER!A:C,3,0)</f>
        <v>8</v>
      </c>
      <c r="P45" s="1">
        <f>VLOOKUP(A:A,MASTER!A:H,8,0)</f>
        <v>0</v>
      </c>
      <c r="Q45" s="12">
        <f t="shared" si="3"/>
        <v>-1</v>
      </c>
      <c r="R45" s="1">
        <f>VLOOKUP(A:A,MASTER!A:B,2,0)</f>
        <v>1287</v>
      </c>
      <c r="S45">
        <f>VLOOKUP(A:A,MASTER!A:G,7,0)</f>
        <v>1240</v>
      </c>
      <c r="T45" s="12">
        <f t="shared" si="4"/>
        <v>-3.6519036519036541E-2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20752353.467917528</v>
      </c>
      <c r="G46" s="1">
        <f>VLOOKUP(A:A,MASTER!A:K,11,0)</f>
        <v>19574511.266347792</v>
      </c>
      <c r="H46" s="12">
        <f t="shared" si="0"/>
        <v>-5.6757042202015384E-2</v>
      </c>
      <c r="I46" s="2">
        <f>VLOOKUP(A:A,MASTER!A:E,5,0)</f>
        <v>926</v>
      </c>
      <c r="J46" s="2">
        <f>VLOOKUP(A:A,MASTER!A:J,10,0)</f>
        <v>1570</v>
      </c>
      <c r="K46" s="12">
        <f t="shared" si="1"/>
        <v>0.69546436285097202</v>
      </c>
      <c r="L46" s="2">
        <f>VLOOKUP(A:A,MASTER!A:D,4,0)</f>
        <v>5</v>
      </c>
      <c r="M46" s="2">
        <f>VLOOKUP(A:A,MASTER!A:I,9,0)</f>
        <v>7</v>
      </c>
      <c r="N46" s="12">
        <f t="shared" si="2"/>
        <v>0.39999999999999991</v>
      </c>
      <c r="O46" s="1">
        <f>VLOOKUP(A:A,MASTER!A:C,3,0)</f>
        <v>0</v>
      </c>
      <c r="P46" s="1">
        <f>VLOOKUP(A:A,MASTER!A:H,8,0)</f>
        <v>2</v>
      </c>
      <c r="Q46" s="12">
        <f t="shared" si="3"/>
        <v>0</v>
      </c>
      <c r="R46" s="1">
        <f>VLOOKUP(A:A,MASTER!A:B,2,0)</f>
        <v>863</v>
      </c>
      <c r="S46">
        <f>VLOOKUP(A:A,MASTER!A:G,7,0)</f>
        <v>908</v>
      </c>
      <c r="T46" s="12">
        <f t="shared" si="4"/>
        <v>5.2143684820393998E-2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28496249.862501446</v>
      </c>
      <c r="G47" s="1">
        <f>VLOOKUP(A:A,MASTER!A:K,11,0)</f>
        <v>34212070.475824885</v>
      </c>
      <c r="H47" s="12">
        <f t="shared" si="0"/>
        <v>0.20058150251008833</v>
      </c>
      <c r="I47" s="2">
        <f>VLOOKUP(A:A,MASTER!A:E,5,0)</f>
        <v>985</v>
      </c>
      <c r="J47" s="2">
        <f>VLOOKUP(A:A,MASTER!A:J,10,0)</f>
        <v>465</v>
      </c>
      <c r="K47" s="12">
        <f t="shared" si="1"/>
        <v>-0.52791878172588835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5</v>
      </c>
      <c r="P47" s="1">
        <f>VLOOKUP(A:A,MASTER!A:H,8,0)</f>
        <v>3</v>
      </c>
      <c r="Q47" s="12">
        <f t="shared" si="3"/>
        <v>-0.4</v>
      </c>
      <c r="R47" s="1">
        <f>VLOOKUP(A:A,MASTER!A:B,2,0)</f>
        <v>1312</v>
      </c>
      <c r="S47">
        <f>VLOOKUP(A:A,MASTER!A:G,7,0)</f>
        <v>1345</v>
      </c>
      <c r="T47" s="12">
        <f t="shared" si="4"/>
        <v>2.5152439024390238E-2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15097189.995865844</v>
      </c>
      <c r="G48" s="1">
        <f>VLOOKUP(A:A,MASTER!A:K,11,0)</f>
        <v>17699580.139482781</v>
      </c>
      <c r="H48" s="12">
        <f t="shared" si="0"/>
        <v>0.17237579604744768</v>
      </c>
      <c r="I48" s="2">
        <f>VLOOKUP(A:A,MASTER!A:E,5,0)</f>
        <v>370</v>
      </c>
      <c r="J48" s="2">
        <f>VLOOKUP(A:A,MASTER!A:J,10,0)</f>
        <v>233</v>
      </c>
      <c r="K48" s="12">
        <f t="shared" si="1"/>
        <v>-0.37027027027027026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2</v>
      </c>
      <c r="P48" s="1">
        <f>VLOOKUP(A:A,MASTER!A:H,8,0)</f>
        <v>1</v>
      </c>
      <c r="Q48" s="12">
        <f t="shared" si="3"/>
        <v>-0.5</v>
      </c>
      <c r="R48" s="1">
        <f>VLOOKUP(A:A,MASTER!A:B,2,0)</f>
        <v>483</v>
      </c>
      <c r="S48">
        <f>VLOOKUP(A:A,MASTER!A:G,7,0)</f>
        <v>483</v>
      </c>
      <c r="T48" s="12">
        <f t="shared" si="4"/>
        <v>0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16420270.784009542</v>
      </c>
      <c r="G49" s="1">
        <f>VLOOKUP(A:A,MASTER!A:K,11,0)</f>
        <v>12890327.304175895</v>
      </c>
      <c r="H49" s="12">
        <f t="shared" si="0"/>
        <v>-0.21497474227228897</v>
      </c>
      <c r="I49" s="2">
        <f>VLOOKUP(A:A,MASTER!A:E,5,0)</f>
        <v>301</v>
      </c>
      <c r="J49" s="2">
        <f>VLOOKUP(A:A,MASTER!A:J,10,0)</f>
        <v>211</v>
      </c>
      <c r="K49" s="12">
        <f t="shared" si="1"/>
        <v>-0.29900332225913617</v>
      </c>
      <c r="L49" s="2">
        <f>VLOOKUP(A:A,MASTER!A:D,4,0)</f>
        <v>7</v>
      </c>
      <c r="M49" s="2">
        <f>VLOOKUP(A:A,MASTER!A:I,9,0)</f>
        <v>4</v>
      </c>
      <c r="N49" s="12">
        <f t="shared" si="2"/>
        <v>-0.4285714285714286</v>
      </c>
      <c r="O49" s="1">
        <f>VLOOKUP(A:A,MASTER!A:C,3,0)</f>
        <v>0</v>
      </c>
      <c r="P49" s="1">
        <f>VLOOKUP(A:A,MASTER!A:H,8,0)</f>
        <v>0</v>
      </c>
      <c r="Q49" s="12">
        <f t="shared" si="3"/>
        <v>0</v>
      </c>
      <c r="R49" s="1">
        <f>VLOOKUP(A:A,MASTER!A:B,2,0)</f>
        <v>444</v>
      </c>
      <c r="S49">
        <f>VLOOKUP(A:A,MASTER!A:G,7,0)</f>
        <v>457</v>
      </c>
      <c r="T49" s="12">
        <f t="shared" si="4"/>
        <v>2.9279279279279313E-2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13190676.148514977</v>
      </c>
      <c r="G50" s="1">
        <f>VLOOKUP(A:A,MASTER!A:K,11,0)</f>
        <v>11150973.143566536</v>
      </c>
      <c r="H50" s="12">
        <f t="shared" si="0"/>
        <v>-0.15463217972932142</v>
      </c>
      <c r="I50" s="2">
        <f>VLOOKUP(A:A,MASTER!A:E,5,0)</f>
        <v>372</v>
      </c>
      <c r="J50" s="2">
        <f>VLOOKUP(A:A,MASTER!A:J,10,0)</f>
        <v>220</v>
      </c>
      <c r="K50" s="12">
        <f t="shared" si="1"/>
        <v>-0.40860215053763438</v>
      </c>
      <c r="L50" s="2">
        <f>VLOOKUP(A:A,MASTER!A:D,4,0)</f>
        <v>2</v>
      </c>
      <c r="M50" s="2">
        <f>VLOOKUP(A:A,MASTER!A:I,9,0)</f>
        <v>4</v>
      </c>
      <c r="N50" s="12">
        <f t="shared" si="2"/>
        <v>1</v>
      </c>
      <c r="O50" s="1">
        <f>VLOOKUP(A:A,MASTER!A:C,3,0)</f>
        <v>9</v>
      </c>
      <c r="P50" s="1">
        <f>VLOOKUP(A:A,MASTER!A:H,8,0)</f>
        <v>1</v>
      </c>
      <c r="Q50" s="12">
        <f t="shared" si="3"/>
        <v>-0.88888888888888884</v>
      </c>
      <c r="R50" s="1">
        <f>VLOOKUP(A:A,MASTER!A:B,2,0)</f>
        <v>426</v>
      </c>
      <c r="S50">
        <f>VLOOKUP(A:A,MASTER!A:G,7,0)</f>
        <v>430</v>
      </c>
      <c r="T50" s="12">
        <f t="shared" si="4"/>
        <v>9.3896713615022609E-3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28683571.11333501</v>
      </c>
      <c r="G51" s="1">
        <f>VLOOKUP(A:A,MASTER!A:K,11,0)</f>
        <v>26199041.104115095</v>
      </c>
      <c r="H51" s="12">
        <f t="shared" si="0"/>
        <v>-8.6618573377875374E-2</v>
      </c>
      <c r="I51" s="2">
        <f>VLOOKUP(A:A,MASTER!A:E,5,0)</f>
        <v>979</v>
      </c>
      <c r="J51" s="2">
        <f>VLOOKUP(A:A,MASTER!A:J,10,0)</f>
        <v>661</v>
      </c>
      <c r="K51" s="12">
        <f t="shared" si="1"/>
        <v>-0.32482124616956076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1</v>
      </c>
      <c r="P51" s="1">
        <f>VLOOKUP(A:A,MASTER!A:H,8,0)</f>
        <v>3</v>
      </c>
      <c r="Q51" s="12">
        <f t="shared" si="3"/>
        <v>2</v>
      </c>
      <c r="R51" s="1">
        <f>VLOOKUP(A:A,MASTER!A:B,2,0)</f>
        <v>1128</v>
      </c>
      <c r="S51">
        <f>VLOOKUP(A:A,MASTER!A:G,7,0)</f>
        <v>1103</v>
      </c>
      <c r="T51" s="12">
        <f t="shared" si="4"/>
        <v>-2.2163120567375905E-2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30270197.395333569</v>
      </c>
      <c r="G52" s="1">
        <f>VLOOKUP(A:A,MASTER!A:K,11,0)</f>
        <v>25284897.300338056</v>
      </c>
      <c r="H52" s="12">
        <f t="shared" si="0"/>
        <v>-0.16469334606202612</v>
      </c>
      <c r="I52" s="2">
        <f>VLOOKUP(A:A,MASTER!A:E,5,0)</f>
        <v>951</v>
      </c>
      <c r="J52" s="2">
        <f>VLOOKUP(A:A,MASTER!A:J,10,0)</f>
        <v>715</v>
      </c>
      <c r="K52" s="12">
        <f t="shared" si="1"/>
        <v>-0.24815983175604628</v>
      </c>
      <c r="L52" s="2">
        <f>VLOOKUP(A:A,MASTER!A:D,4,0)</f>
        <v>3</v>
      </c>
      <c r="M52" s="2">
        <f>VLOOKUP(A:A,MASTER!A:I,9,0)</f>
        <v>1</v>
      </c>
      <c r="N52" s="12">
        <f t="shared" si="2"/>
        <v>-0.66666666666666674</v>
      </c>
      <c r="O52" s="1">
        <f>VLOOKUP(A:A,MASTER!A:C,3,0)</f>
        <v>9</v>
      </c>
      <c r="P52" s="1">
        <f>VLOOKUP(A:A,MASTER!A:H,8,0)</f>
        <v>5</v>
      </c>
      <c r="Q52" s="12">
        <f t="shared" si="3"/>
        <v>-0.44444444444444442</v>
      </c>
      <c r="R52" s="1">
        <f>VLOOKUP(A:A,MASTER!A:B,2,0)</f>
        <v>955</v>
      </c>
      <c r="S52">
        <f>VLOOKUP(A:A,MASTER!A:G,7,0)</f>
        <v>998</v>
      </c>
      <c r="T52" s="12">
        <f t="shared" si="4"/>
        <v>4.5026178010471263E-2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38883489.20395907</v>
      </c>
      <c r="G53" s="1">
        <f>VLOOKUP(A:A,MASTER!A:K,11,0)</f>
        <v>49694243.711567715</v>
      </c>
      <c r="H53" s="12">
        <f t="shared" si="0"/>
        <v>0.27802943431598992</v>
      </c>
      <c r="I53" s="2">
        <f>VLOOKUP(A:A,MASTER!A:E,5,0)</f>
        <v>1670</v>
      </c>
      <c r="J53" s="2">
        <f>VLOOKUP(A:A,MASTER!A:J,10,0)</f>
        <v>1226</v>
      </c>
      <c r="K53" s="12">
        <f t="shared" si="1"/>
        <v>-0.26586826347305392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34</v>
      </c>
      <c r="P53" s="1">
        <f>VLOOKUP(A:A,MASTER!A:H,8,0)</f>
        <v>6</v>
      </c>
      <c r="Q53" s="12">
        <f t="shared" si="3"/>
        <v>-0.82352941176470584</v>
      </c>
      <c r="R53" s="1">
        <f>VLOOKUP(A:A,MASTER!A:B,2,0)</f>
        <v>2219</v>
      </c>
      <c r="S53">
        <f>VLOOKUP(A:A,MASTER!A:G,7,0)</f>
        <v>2065</v>
      </c>
      <c r="T53" s="12">
        <f t="shared" si="4"/>
        <v>-6.9400630914826511E-2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14059897.113616962</v>
      </c>
      <c r="G54" s="1">
        <f>VLOOKUP(A:A,MASTER!A:K,11,0)</f>
        <v>12002259.173613898</v>
      </c>
      <c r="H54" s="12">
        <f t="shared" si="0"/>
        <v>-0.14634800833714834</v>
      </c>
      <c r="I54" s="2">
        <f>VLOOKUP(A:A,MASTER!A:E,5,0)</f>
        <v>577</v>
      </c>
      <c r="J54" s="2">
        <f>VLOOKUP(A:A,MASTER!A:J,10,0)</f>
        <v>453</v>
      </c>
      <c r="K54" s="12">
        <f t="shared" si="1"/>
        <v>-0.21490467937608315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1</v>
      </c>
      <c r="P54" s="1">
        <f>VLOOKUP(A:A,MASTER!A:H,8,0)</f>
        <v>4</v>
      </c>
      <c r="Q54" s="12">
        <f t="shared" si="3"/>
        <v>3</v>
      </c>
      <c r="R54" s="1">
        <f>VLOOKUP(A:A,MASTER!A:B,2,0)</f>
        <v>683</v>
      </c>
      <c r="S54">
        <f>VLOOKUP(A:A,MASTER!A:G,7,0)</f>
        <v>683</v>
      </c>
      <c r="T54" s="12">
        <f t="shared" si="4"/>
        <v>0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20686122.966544252</v>
      </c>
      <c r="G55" s="1">
        <f>VLOOKUP(A:A,MASTER!A:K,11,0)</f>
        <v>21289344.203055624</v>
      </c>
      <c r="H55" s="12">
        <f t="shared" si="0"/>
        <v>2.9160671503643432E-2</v>
      </c>
      <c r="I55" s="2">
        <f>VLOOKUP(A:A,MASTER!A:E,5,0)</f>
        <v>643</v>
      </c>
      <c r="J55" s="2">
        <f>VLOOKUP(A:A,MASTER!A:J,10,0)</f>
        <v>510</v>
      </c>
      <c r="K55" s="12">
        <f t="shared" si="1"/>
        <v>-0.20684292379471225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3</v>
      </c>
      <c r="P55" s="1">
        <f>VLOOKUP(A:A,MASTER!A:H,8,0)</f>
        <v>5</v>
      </c>
      <c r="Q55" s="12">
        <f t="shared" si="3"/>
        <v>0.66666666666666674</v>
      </c>
      <c r="R55" s="1">
        <f>VLOOKUP(A:A,MASTER!A:B,2,0)</f>
        <v>875</v>
      </c>
      <c r="S55">
        <f>VLOOKUP(A:A,MASTER!A:G,7,0)</f>
        <v>868</v>
      </c>
      <c r="T55" s="12">
        <f t="shared" si="4"/>
        <v>-8.0000000000000071E-3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16863635.008035466</v>
      </c>
      <c r="G56" s="1">
        <f>VLOOKUP(A:A,MASTER!A:K,11,0)</f>
        <v>13013595.533991264</v>
      </c>
      <c r="H56" s="12">
        <f t="shared" si="0"/>
        <v>-0.22830424592382781</v>
      </c>
      <c r="I56" s="2">
        <f>VLOOKUP(A:A,MASTER!A:E,5,0)</f>
        <v>639</v>
      </c>
      <c r="J56" s="2">
        <f>VLOOKUP(A:A,MASTER!A:J,10,0)</f>
        <v>516</v>
      </c>
      <c r="K56" s="12">
        <f t="shared" si="1"/>
        <v>-0.19248826291079812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1</v>
      </c>
      <c r="P56" s="1">
        <f>VLOOKUP(A:A,MASTER!A:H,8,0)</f>
        <v>3</v>
      </c>
      <c r="Q56" s="12">
        <f t="shared" si="3"/>
        <v>2</v>
      </c>
      <c r="R56" s="1">
        <f>VLOOKUP(A:A,MASTER!A:B,2,0)</f>
        <v>788</v>
      </c>
      <c r="S56">
        <f>VLOOKUP(A:A,MASTER!A:G,7,0)</f>
        <v>749</v>
      </c>
      <c r="T56" s="12">
        <f t="shared" si="4"/>
        <v>-4.949238578680204E-2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28509568.786117759</v>
      </c>
      <c r="G57" s="1">
        <f>VLOOKUP(A:A,MASTER!A:K,11,0)</f>
        <v>27702105.186980639</v>
      </c>
      <c r="H57" s="12">
        <f t="shared" si="0"/>
        <v>-2.8322546903280399E-2</v>
      </c>
      <c r="I57" s="2">
        <f>VLOOKUP(A:A,MASTER!A:E,5,0)</f>
        <v>1010</v>
      </c>
      <c r="J57" s="2">
        <f>VLOOKUP(A:A,MASTER!A:J,10,0)</f>
        <v>807</v>
      </c>
      <c r="K57" s="12">
        <f t="shared" si="1"/>
        <v>-0.20099009900990095</v>
      </c>
      <c r="L57" s="2">
        <f>VLOOKUP(A:A,MASTER!A:D,4,0)</f>
        <v>1</v>
      </c>
      <c r="M57" s="2">
        <f>VLOOKUP(A:A,MASTER!A:I,9,0)</f>
        <v>0</v>
      </c>
      <c r="N57" s="12">
        <f t="shared" si="2"/>
        <v>-1</v>
      </c>
      <c r="O57" s="1">
        <f>VLOOKUP(A:A,MASTER!A:C,3,0)</f>
        <v>4</v>
      </c>
      <c r="P57" s="1">
        <f>VLOOKUP(A:A,MASTER!A:H,8,0)</f>
        <v>6</v>
      </c>
      <c r="Q57" s="12">
        <f t="shared" si="3"/>
        <v>0.5</v>
      </c>
      <c r="R57" s="1">
        <f>VLOOKUP(A:A,MASTER!A:B,2,0)</f>
        <v>1081</v>
      </c>
      <c r="S57">
        <f>VLOOKUP(A:A,MASTER!A:G,7,0)</f>
        <v>1107</v>
      </c>
      <c r="T57" s="12">
        <f t="shared" si="4"/>
        <v>2.4051803885291489E-2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35146427.627709694</v>
      </c>
      <c r="G58" s="1">
        <f>VLOOKUP(A:A,MASTER!A:K,11,0)</f>
        <v>33966036.339512989</v>
      </c>
      <c r="H58" s="12">
        <f t="shared" si="0"/>
        <v>-3.3584957785754432E-2</v>
      </c>
      <c r="I58" s="2">
        <f>VLOOKUP(A:A,MASTER!A:E,5,0)</f>
        <v>1404</v>
      </c>
      <c r="J58" s="2">
        <f>VLOOKUP(A:A,MASTER!A:J,10,0)</f>
        <v>1441</v>
      </c>
      <c r="K58" s="12">
        <f t="shared" si="1"/>
        <v>2.6353276353276334E-2</v>
      </c>
      <c r="L58" s="2">
        <f>VLOOKUP(A:A,MASTER!A:D,4,0)</f>
        <v>4</v>
      </c>
      <c r="M58" s="2">
        <f>VLOOKUP(A:A,MASTER!A:I,9,0)</f>
        <v>4</v>
      </c>
      <c r="N58" s="12">
        <f t="shared" si="2"/>
        <v>0</v>
      </c>
      <c r="O58" s="1">
        <f>VLOOKUP(A:A,MASTER!A:C,3,0)</f>
        <v>6</v>
      </c>
      <c r="P58" s="1">
        <f>VLOOKUP(A:A,MASTER!A:H,8,0)</f>
        <v>4</v>
      </c>
      <c r="Q58" s="12">
        <f t="shared" si="3"/>
        <v>-0.33333333333333337</v>
      </c>
      <c r="R58" s="1">
        <f>VLOOKUP(A:A,MASTER!A:B,2,0)</f>
        <v>1340</v>
      </c>
      <c r="S58">
        <f>VLOOKUP(A:A,MASTER!A:G,7,0)</f>
        <v>1436</v>
      </c>
      <c r="T58" s="12">
        <f t="shared" si="4"/>
        <v>7.1641791044776193E-2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18496571.488525391</v>
      </c>
      <c r="G59" s="1">
        <f>VLOOKUP(A:A,MASTER!A:K,11,0)</f>
        <v>18635735.040618103</v>
      </c>
      <c r="H59" s="12">
        <f t="shared" si="0"/>
        <v>7.5237485054484576E-3</v>
      </c>
      <c r="I59" s="2">
        <f>VLOOKUP(A:A,MASTER!A:E,5,0)</f>
        <v>693</v>
      </c>
      <c r="J59" s="2">
        <f>VLOOKUP(A:A,MASTER!A:J,10,0)</f>
        <v>648</v>
      </c>
      <c r="K59" s="12">
        <f t="shared" si="1"/>
        <v>-6.4935064935064957E-2</v>
      </c>
      <c r="L59" s="2">
        <f>VLOOKUP(A:A,MASTER!A:D,4,0)</f>
        <v>5</v>
      </c>
      <c r="M59" s="2">
        <f>VLOOKUP(A:A,MASTER!A:I,9,0)</f>
        <v>4</v>
      </c>
      <c r="N59" s="12">
        <f t="shared" si="2"/>
        <v>-0.19999999999999996</v>
      </c>
      <c r="O59" s="1">
        <f>VLOOKUP(A:A,MASTER!A:C,3,0)</f>
        <v>4</v>
      </c>
      <c r="P59" s="1">
        <f>VLOOKUP(A:A,MASTER!A:H,8,0)</f>
        <v>1</v>
      </c>
      <c r="Q59" s="12">
        <f t="shared" si="3"/>
        <v>-0.75</v>
      </c>
      <c r="R59" s="1">
        <f>VLOOKUP(A:A,MASTER!A:B,2,0)</f>
        <v>777</v>
      </c>
      <c r="S59">
        <f>VLOOKUP(A:A,MASTER!A:G,7,0)</f>
        <v>774</v>
      </c>
      <c r="T59" s="12">
        <f t="shared" si="4"/>
        <v>-3.8610038610038533E-3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21311583.419039447</v>
      </c>
      <c r="G60" s="1">
        <f>VLOOKUP(A:A,MASTER!A:K,11,0)</f>
        <v>20855323.597276349</v>
      </c>
      <c r="H60" s="12">
        <f t="shared" si="0"/>
        <v>-2.1409006209997639E-2</v>
      </c>
      <c r="I60" s="2">
        <f>VLOOKUP(A:A,MASTER!A:E,5,0)</f>
        <v>453</v>
      </c>
      <c r="J60" s="2">
        <f>VLOOKUP(A:A,MASTER!A:J,10,0)</f>
        <v>450</v>
      </c>
      <c r="K60" s="12">
        <f t="shared" si="1"/>
        <v>-6.6225165562914245E-3</v>
      </c>
      <c r="L60" s="2">
        <f>VLOOKUP(A:A,MASTER!A:D,4,0)</f>
        <v>5</v>
      </c>
      <c r="M60" s="2">
        <f>VLOOKUP(A:A,MASTER!A:I,9,0)</f>
        <v>5</v>
      </c>
      <c r="N60" s="12">
        <f t="shared" si="2"/>
        <v>0</v>
      </c>
      <c r="O60" s="1">
        <f>VLOOKUP(A:A,MASTER!A:C,3,0)</f>
        <v>3</v>
      </c>
      <c r="P60" s="1">
        <f>VLOOKUP(A:A,MASTER!A:H,8,0)</f>
        <v>7</v>
      </c>
      <c r="Q60" s="12">
        <f t="shared" si="3"/>
        <v>1.3333333333333335</v>
      </c>
      <c r="R60" s="1">
        <f>VLOOKUP(A:A,MASTER!A:B,2,0)</f>
        <v>690</v>
      </c>
      <c r="S60">
        <f>VLOOKUP(A:A,MASTER!A:G,7,0)</f>
        <v>651</v>
      </c>
      <c r="T60" s="12">
        <f t="shared" si="4"/>
        <v>-5.6521739130434789E-2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52066758.950409554</v>
      </c>
      <c r="G61" s="1">
        <f>VLOOKUP(A:A,MASTER!A:K,11,0)</f>
        <v>67354281.232562438</v>
      </c>
      <c r="H61" s="12">
        <f t="shared" si="0"/>
        <v>0.29361386401472256</v>
      </c>
      <c r="I61" s="2">
        <f>VLOOKUP(A:A,MASTER!A:E,5,0)</f>
        <v>1661</v>
      </c>
      <c r="J61" s="2">
        <f>VLOOKUP(A:A,MASTER!A:J,10,0)</f>
        <v>1641</v>
      </c>
      <c r="K61" s="12">
        <f t="shared" si="1"/>
        <v>-1.2040939193257105E-2</v>
      </c>
      <c r="L61" s="2">
        <f>VLOOKUP(A:A,MASTER!A:D,4,0)</f>
        <v>9</v>
      </c>
      <c r="M61" s="2">
        <f>VLOOKUP(A:A,MASTER!A:I,9,0)</f>
        <v>10</v>
      </c>
      <c r="N61" s="12">
        <f t="shared" si="2"/>
        <v>0.11111111111111116</v>
      </c>
      <c r="O61" s="1">
        <f>VLOOKUP(A:A,MASTER!A:C,3,0)</f>
        <v>8</v>
      </c>
      <c r="P61" s="1">
        <f>VLOOKUP(A:A,MASTER!A:H,8,0)</f>
        <v>9</v>
      </c>
      <c r="Q61" s="12">
        <f t="shared" si="3"/>
        <v>0.125</v>
      </c>
      <c r="R61" s="1">
        <f>VLOOKUP(A:A,MASTER!A:B,2,0)</f>
        <v>2027</v>
      </c>
      <c r="S61">
        <f>VLOOKUP(A:A,MASTER!A:G,7,0)</f>
        <v>1983</v>
      </c>
      <c r="T61" s="12">
        <f t="shared" si="4"/>
        <v>-2.1706956092747864E-2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50435773.987107798</v>
      </c>
      <c r="G62" s="1">
        <f>VLOOKUP(A:A,MASTER!A:K,11,0)</f>
        <v>49454368.591136239</v>
      </c>
      <c r="H62" s="12">
        <f t="shared" si="0"/>
        <v>-1.9458517603445968E-2</v>
      </c>
      <c r="I62" s="2">
        <f>VLOOKUP(A:A,MASTER!A:E,5,0)</f>
        <v>1117</v>
      </c>
      <c r="J62" s="2">
        <f>VLOOKUP(A:A,MASTER!A:J,10,0)</f>
        <v>1265</v>
      </c>
      <c r="K62" s="12">
        <f t="shared" si="1"/>
        <v>0.1324977618621308</v>
      </c>
      <c r="L62" s="2">
        <f>VLOOKUP(A:A,MASTER!A:D,4,0)</f>
        <v>8</v>
      </c>
      <c r="M62" s="2">
        <f>VLOOKUP(A:A,MASTER!A:I,9,0)</f>
        <v>6</v>
      </c>
      <c r="N62" s="12">
        <f t="shared" si="2"/>
        <v>-0.25</v>
      </c>
      <c r="O62" s="1">
        <f>VLOOKUP(A:A,MASTER!A:C,3,0)</f>
        <v>14</v>
      </c>
      <c r="P62" s="1">
        <f>VLOOKUP(A:A,MASTER!A:H,8,0)</f>
        <v>12</v>
      </c>
      <c r="Q62" s="12">
        <f t="shared" si="3"/>
        <v>-0.1428571428571429</v>
      </c>
      <c r="R62" s="1">
        <f>VLOOKUP(A:A,MASTER!A:B,2,0)</f>
        <v>1624</v>
      </c>
      <c r="S62">
        <f>VLOOKUP(A:A,MASTER!A:G,7,0)</f>
        <v>1583</v>
      </c>
      <c r="T62" s="12">
        <f t="shared" si="4"/>
        <v>-2.5246305418719195E-2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32576705.122849252</v>
      </c>
      <c r="G63" s="1">
        <f>VLOOKUP(A:A,MASTER!A:K,11,0)</f>
        <v>32506719.517589524</v>
      </c>
      <c r="H63" s="12">
        <f t="shared" si="0"/>
        <v>-2.1483328346376673E-3</v>
      </c>
      <c r="I63" s="2">
        <f>VLOOKUP(A:A,MASTER!A:E,5,0)</f>
        <v>759</v>
      </c>
      <c r="J63" s="2">
        <f>VLOOKUP(A:A,MASTER!A:J,10,0)</f>
        <v>734</v>
      </c>
      <c r="K63" s="12">
        <f t="shared" si="1"/>
        <v>-3.2938076416337281E-2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2</v>
      </c>
      <c r="P63" s="1">
        <f>VLOOKUP(A:A,MASTER!A:H,8,0)</f>
        <v>4</v>
      </c>
      <c r="Q63" s="12">
        <f t="shared" si="3"/>
        <v>1</v>
      </c>
      <c r="R63" s="1">
        <f>VLOOKUP(A:A,MASTER!A:B,2,0)</f>
        <v>863</v>
      </c>
      <c r="S63">
        <f>VLOOKUP(A:A,MASTER!A:G,7,0)</f>
        <v>884</v>
      </c>
      <c r="T63" s="12">
        <f t="shared" si="4"/>
        <v>2.4333719582850577E-2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46217872.902747199</v>
      </c>
      <c r="G64" s="1">
        <f>VLOOKUP(A:A,MASTER!A:K,11,0)</f>
        <v>49572620.973607913</v>
      </c>
      <c r="H64" s="12">
        <f t="shared" si="0"/>
        <v>7.2585514221302549E-2</v>
      </c>
      <c r="I64" s="2">
        <f>VLOOKUP(A:A,MASTER!A:E,5,0)</f>
        <v>1247</v>
      </c>
      <c r="J64" s="2">
        <f>VLOOKUP(A:A,MASTER!A:J,10,0)</f>
        <v>1308</v>
      </c>
      <c r="K64" s="12">
        <f t="shared" si="1"/>
        <v>4.8917401764234203E-2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40</v>
      </c>
      <c r="P64" s="1">
        <f>VLOOKUP(A:A,MASTER!A:H,8,0)</f>
        <v>369</v>
      </c>
      <c r="Q64" s="12">
        <f t="shared" si="3"/>
        <v>8.2249999999999996</v>
      </c>
      <c r="R64" s="1">
        <f>VLOOKUP(A:A,MASTER!A:B,2,0)</f>
        <v>1856</v>
      </c>
      <c r="S64">
        <f>VLOOKUP(A:A,MASTER!A:G,7,0)</f>
        <v>2317</v>
      </c>
      <c r="T64" s="12">
        <f t="shared" si="4"/>
        <v>0.24838362068965525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3625270.0844115838</v>
      </c>
      <c r="G65" s="1">
        <f>VLOOKUP(A:A,MASTER!A:K,11,0)</f>
        <v>1350194.3692348029</v>
      </c>
      <c r="H65" s="12">
        <f t="shared" si="0"/>
        <v>-0.62756033680344325</v>
      </c>
      <c r="I65" s="2">
        <f>VLOOKUP(A:A,MASTER!A:E,5,0)</f>
        <v>266</v>
      </c>
      <c r="J65" s="2">
        <f>VLOOKUP(A:A,MASTER!A:J,10,0)</f>
        <v>250</v>
      </c>
      <c r="K65" s="12">
        <f t="shared" si="1"/>
        <v>-6.0150375939849621E-2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1</v>
      </c>
      <c r="P65" s="1">
        <f>VLOOKUP(A:A,MASTER!A:H,8,0)</f>
        <v>0</v>
      </c>
      <c r="Q65" s="12">
        <f t="shared" si="3"/>
        <v>-1</v>
      </c>
      <c r="R65" s="1">
        <f>VLOOKUP(A:A,MASTER!A:B,2,0)</f>
        <v>266</v>
      </c>
      <c r="S65">
        <f>VLOOKUP(A:A,MASTER!A:G,7,0)</f>
        <v>247</v>
      </c>
      <c r="T65" s="12">
        <f t="shared" si="4"/>
        <v>-7.1428571428571397E-2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37078833.059941009</v>
      </c>
      <c r="G66" s="1">
        <f>VLOOKUP(A:A,MASTER!A:K,11,0)</f>
        <v>35144336.780402198</v>
      </c>
      <c r="H66" s="12">
        <f t="shared" si="0"/>
        <v>-5.2172523240187618E-2</v>
      </c>
      <c r="I66" s="2">
        <f>VLOOKUP(A:A,MASTER!A:E,5,0)</f>
        <v>1578</v>
      </c>
      <c r="J66" s="2">
        <f>VLOOKUP(A:A,MASTER!A:J,10,0)</f>
        <v>1480</v>
      </c>
      <c r="K66" s="12">
        <f t="shared" si="1"/>
        <v>-6.2103929024081128E-2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2</v>
      </c>
      <c r="P66" s="1">
        <f>VLOOKUP(A:A,MASTER!A:H,8,0)</f>
        <v>7</v>
      </c>
      <c r="Q66" s="12">
        <f t="shared" si="3"/>
        <v>2.5</v>
      </c>
      <c r="R66" s="1">
        <f>VLOOKUP(A:A,MASTER!A:B,2,0)</f>
        <v>1754</v>
      </c>
      <c r="S66">
        <f>VLOOKUP(A:A,MASTER!A:G,7,0)</f>
        <v>1669</v>
      </c>
      <c r="T66" s="12">
        <f t="shared" si="4"/>
        <v>-4.8460661345495981E-2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14360464.125569835</v>
      </c>
      <c r="G67" s="1">
        <f>VLOOKUP(A:A,MASTER!A:K,11,0)</f>
        <v>16822352.835773688</v>
      </c>
      <c r="H67" s="12">
        <f t="shared" ref="H67:H85" si="5">IFERROR(G67/F67-1,0)</f>
        <v>0.1714351770720477</v>
      </c>
      <c r="I67" s="2">
        <f>VLOOKUP(A:A,MASTER!A:E,5,0)</f>
        <v>545</v>
      </c>
      <c r="J67" s="2">
        <f>VLOOKUP(A:A,MASTER!A:J,10,0)</f>
        <v>638</v>
      </c>
      <c r="K67" s="12">
        <f t="shared" ref="K67:K85" si="6">IFERROR(J67/I67-1,0)</f>
        <v>0.17064220183486234</v>
      </c>
      <c r="L67" s="2">
        <f>VLOOKUP(A:A,MASTER!A:D,4,0)</f>
        <v>2</v>
      </c>
      <c r="M67" s="2">
        <f>VLOOKUP(A:A,MASTER!A:I,9,0)</f>
        <v>3</v>
      </c>
      <c r="N67" s="12">
        <f t="shared" ref="N67:N85" si="7">IFERROR(M67/L67-1,0)</f>
        <v>0.5</v>
      </c>
      <c r="O67" s="1">
        <f>VLOOKUP(A:A,MASTER!A:C,3,0)</f>
        <v>2</v>
      </c>
      <c r="P67" s="1">
        <f>VLOOKUP(A:A,MASTER!A:H,8,0)</f>
        <v>1</v>
      </c>
      <c r="Q67" s="12">
        <f t="shared" ref="Q67:Q85" si="8">IFERROR(P67/O67-1,0)</f>
        <v>-0.5</v>
      </c>
      <c r="R67" s="1">
        <f>VLOOKUP(A:A,MASTER!A:B,2,0)</f>
        <v>665</v>
      </c>
      <c r="S67">
        <f>VLOOKUP(A:A,MASTER!A:G,7,0)</f>
        <v>736</v>
      </c>
      <c r="T67" s="12">
        <f t="shared" ref="T67:T85" si="9">IFERROR(S67/R67-1,0)</f>
        <v>0.10676691729323307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24699781.872286916</v>
      </c>
      <c r="G68" s="1">
        <f>VLOOKUP(A:A,MASTER!A:K,11,0)</f>
        <v>23886309.979035523</v>
      </c>
      <c r="H68" s="12">
        <f t="shared" si="5"/>
        <v>-3.2934375593175025E-2</v>
      </c>
      <c r="I68" s="2">
        <f>VLOOKUP(A:A,MASTER!A:E,5,0)</f>
        <v>892</v>
      </c>
      <c r="J68" s="2">
        <f>VLOOKUP(A:A,MASTER!A:J,10,0)</f>
        <v>842</v>
      </c>
      <c r="K68" s="12">
        <f t="shared" si="6"/>
        <v>-5.6053811659192876E-2</v>
      </c>
      <c r="L68" s="2">
        <f>VLOOKUP(A:A,MASTER!A:D,4,0)</f>
        <v>5</v>
      </c>
      <c r="M68" s="2">
        <f>VLOOKUP(A:A,MASTER!A:I,9,0)</f>
        <v>4</v>
      </c>
      <c r="N68" s="12">
        <f t="shared" si="7"/>
        <v>-0.19999999999999996</v>
      </c>
      <c r="O68" s="1">
        <f>VLOOKUP(A:A,MASTER!A:C,3,0)</f>
        <v>22</v>
      </c>
      <c r="P68" s="1">
        <f>VLOOKUP(A:A,MASTER!A:H,8,0)</f>
        <v>19</v>
      </c>
      <c r="Q68" s="12">
        <f t="shared" si="8"/>
        <v>-0.13636363636363635</v>
      </c>
      <c r="R68" s="1">
        <f>VLOOKUP(A:A,MASTER!A:B,2,0)</f>
        <v>1322</v>
      </c>
      <c r="S68">
        <f>VLOOKUP(A:A,MASTER!A:G,7,0)</f>
        <v>1367</v>
      </c>
      <c r="T68" s="12">
        <f t="shared" si="9"/>
        <v>3.4039334341906313E-2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14040754.724470759</v>
      </c>
      <c r="G69" s="1">
        <f>VLOOKUP(A:A,MASTER!A:K,11,0)</f>
        <v>14655444.982134709</v>
      </c>
      <c r="H69" s="12">
        <f t="shared" si="5"/>
        <v>4.3779004029793622E-2</v>
      </c>
      <c r="I69" s="2">
        <f>VLOOKUP(A:A,MASTER!A:E,5,0)</f>
        <v>1671</v>
      </c>
      <c r="J69" s="2">
        <f>VLOOKUP(A:A,MASTER!A:J,10,0)</f>
        <v>982</v>
      </c>
      <c r="K69" s="12">
        <f t="shared" si="6"/>
        <v>-0.41232794733692402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5</v>
      </c>
      <c r="P69" s="1">
        <f>VLOOKUP(A:A,MASTER!A:H,8,0)</f>
        <v>2</v>
      </c>
      <c r="Q69" s="12">
        <f t="shared" si="8"/>
        <v>-0.6</v>
      </c>
      <c r="R69" s="1">
        <f>VLOOKUP(A:A,MASTER!A:B,2,0)</f>
        <v>1397</v>
      </c>
      <c r="S69">
        <f>VLOOKUP(A:A,MASTER!A:G,7,0)</f>
        <v>1283</v>
      </c>
      <c r="T69" s="12">
        <f t="shared" si="9"/>
        <v>-8.1603435934144541E-2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42772224.122835599</v>
      </c>
      <c r="G70" s="1">
        <f>VLOOKUP(A:A,MASTER!A:K,11,0)</f>
        <v>43224353.113018826</v>
      </c>
      <c r="H70" s="12">
        <f t="shared" si="5"/>
        <v>1.0570621459496277E-2</v>
      </c>
      <c r="I70" s="2">
        <f>VLOOKUP(A:A,MASTER!A:E,5,0)</f>
        <v>1397</v>
      </c>
      <c r="J70" s="2">
        <f>VLOOKUP(A:A,MASTER!A:J,10,0)</f>
        <v>1213</v>
      </c>
      <c r="K70" s="12">
        <f t="shared" si="6"/>
        <v>-0.13171080887616315</v>
      </c>
      <c r="L70" s="2">
        <f>VLOOKUP(A:A,MASTER!A:D,4,0)</f>
        <v>5</v>
      </c>
      <c r="M70" s="2">
        <f>VLOOKUP(A:A,MASTER!A:I,9,0)</f>
        <v>4</v>
      </c>
      <c r="N70" s="12">
        <f t="shared" si="7"/>
        <v>-0.19999999999999996</v>
      </c>
      <c r="O70" s="1">
        <f>VLOOKUP(A:A,MASTER!A:C,3,0)</f>
        <v>5</v>
      </c>
      <c r="P70" s="1">
        <f>VLOOKUP(A:A,MASTER!A:H,8,0)</f>
        <v>8</v>
      </c>
      <c r="Q70" s="12">
        <f t="shared" si="8"/>
        <v>0.60000000000000009</v>
      </c>
      <c r="R70" s="1">
        <f>VLOOKUP(A:A,MASTER!A:B,2,0)</f>
        <v>1742</v>
      </c>
      <c r="S70">
        <f>VLOOKUP(A:A,MASTER!A:G,7,0)</f>
        <v>1745</v>
      </c>
      <c r="T70" s="12">
        <f t="shared" si="9"/>
        <v>1.7221584385762601E-3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9589492.6070907712</v>
      </c>
      <c r="G71" s="1">
        <f>VLOOKUP(A:A,MASTER!A:K,11,0)</f>
        <v>8720745.3927304987</v>
      </c>
      <c r="H71" s="12">
        <f t="shared" si="5"/>
        <v>-9.0593658075078354E-2</v>
      </c>
      <c r="I71" s="2">
        <f>VLOOKUP(A:A,MASTER!A:E,5,0)</f>
        <v>557</v>
      </c>
      <c r="J71" s="2">
        <f>VLOOKUP(A:A,MASTER!A:J,10,0)</f>
        <v>629</v>
      </c>
      <c r="K71" s="12">
        <f t="shared" si="6"/>
        <v>0.12926391382405744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2</v>
      </c>
      <c r="P71" s="1">
        <f>VLOOKUP(A:A,MASTER!A:H,8,0)</f>
        <v>2</v>
      </c>
      <c r="Q71" s="12">
        <f t="shared" si="8"/>
        <v>0</v>
      </c>
      <c r="R71" s="1">
        <f>VLOOKUP(A:A,MASTER!A:B,2,0)</f>
        <v>483</v>
      </c>
      <c r="S71">
        <f>VLOOKUP(A:A,MASTER!A:G,7,0)</f>
        <v>515</v>
      </c>
      <c r="T71" s="12">
        <f t="shared" si="9"/>
        <v>6.6252587991718404E-2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14782444.521858055</v>
      </c>
      <c r="G72" s="1">
        <f>VLOOKUP(A:A,MASTER!A:K,11,0)</f>
        <v>13423851.621452449</v>
      </c>
      <c r="H72" s="12">
        <f t="shared" si="5"/>
        <v>-9.1905834545614074E-2</v>
      </c>
      <c r="I72" s="2">
        <f>VLOOKUP(A:A,MASTER!A:E,5,0)</f>
        <v>822</v>
      </c>
      <c r="J72" s="2">
        <f>VLOOKUP(A:A,MASTER!A:J,10,0)</f>
        <v>669</v>
      </c>
      <c r="K72" s="12">
        <f t="shared" si="6"/>
        <v>-0.18613138686131392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1</v>
      </c>
      <c r="P72" s="1">
        <f>VLOOKUP(A:A,MASTER!A:H,8,0)</f>
        <v>2</v>
      </c>
      <c r="Q72" s="12">
        <f t="shared" si="8"/>
        <v>1</v>
      </c>
      <c r="R72" s="1">
        <f>VLOOKUP(A:A,MASTER!A:B,2,0)</f>
        <v>899</v>
      </c>
      <c r="S72">
        <f>VLOOKUP(A:A,MASTER!A:G,7,0)</f>
        <v>882</v>
      </c>
      <c r="T72" s="12">
        <f t="shared" si="9"/>
        <v>-1.8909899888765347E-2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9926102.0989064872</v>
      </c>
      <c r="G73" s="1">
        <f>VLOOKUP(A:A,MASTER!A:K,11,0)</f>
        <v>13414443.231452348</v>
      </c>
      <c r="H73" s="12">
        <f t="shared" si="5"/>
        <v>0.35143111543555006</v>
      </c>
      <c r="I73" s="2">
        <f>VLOOKUP(A:A,MASTER!A:E,5,0)</f>
        <v>493</v>
      </c>
      <c r="J73" s="2">
        <f>VLOOKUP(A:A,MASTER!A:J,10,0)</f>
        <v>485</v>
      </c>
      <c r="K73" s="12">
        <f t="shared" si="6"/>
        <v>-1.6227180527383367E-2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1</v>
      </c>
      <c r="P73" s="1">
        <f>VLOOKUP(A:A,MASTER!A:H,8,0)</f>
        <v>0</v>
      </c>
      <c r="Q73" s="12">
        <f t="shared" si="8"/>
        <v>-1</v>
      </c>
      <c r="R73" s="1">
        <f>VLOOKUP(A:A,MASTER!A:B,2,0)</f>
        <v>690</v>
      </c>
      <c r="S73">
        <f>VLOOKUP(A:A,MASTER!A:G,7,0)</f>
        <v>652</v>
      </c>
      <c r="T73" s="12">
        <f t="shared" si="9"/>
        <v>-5.507246376811592E-2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9748712.1952629611</v>
      </c>
      <c r="G74" s="1">
        <f>VLOOKUP(A:A,MASTER!A:K,11,0)</f>
        <v>11048829.612400329</v>
      </c>
      <c r="H74" s="12">
        <f t="shared" si="5"/>
        <v>0.13336299103886895</v>
      </c>
      <c r="I74" s="2">
        <f>VLOOKUP(A:A,MASTER!A:E,5,0)</f>
        <v>701</v>
      </c>
      <c r="J74" s="2">
        <f>VLOOKUP(A:A,MASTER!A:J,10,0)</f>
        <v>710</v>
      </c>
      <c r="K74" s="12">
        <f t="shared" si="6"/>
        <v>1.2838801711840153E-2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3</v>
      </c>
      <c r="P74" s="1">
        <f>VLOOKUP(A:A,MASTER!A:H,8,0)</f>
        <v>5</v>
      </c>
      <c r="Q74" s="12">
        <f t="shared" si="8"/>
        <v>0.66666666666666674</v>
      </c>
      <c r="R74" s="1">
        <f>VLOOKUP(A:A,MASTER!A:B,2,0)</f>
        <v>591</v>
      </c>
      <c r="S74">
        <f>VLOOKUP(A:A,MASTER!A:G,7,0)</f>
        <v>601</v>
      </c>
      <c r="T74" s="12">
        <f t="shared" si="9"/>
        <v>1.6920473773265554E-2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11180752.377334528</v>
      </c>
      <c r="G75" s="1">
        <f>VLOOKUP(A:A,MASTER!A:K,11,0)</f>
        <v>11874682.330901796</v>
      </c>
      <c r="H75" s="12">
        <f t="shared" si="5"/>
        <v>6.2064692084049078E-2</v>
      </c>
      <c r="I75" s="2">
        <f>VLOOKUP(A:A,MASTER!A:E,5,0)</f>
        <v>391</v>
      </c>
      <c r="J75" s="2">
        <f>VLOOKUP(A:A,MASTER!A:J,10,0)</f>
        <v>251</v>
      </c>
      <c r="K75" s="12">
        <f t="shared" si="6"/>
        <v>-0.35805626598465479</v>
      </c>
      <c r="L75" s="2">
        <f>VLOOKUP(A:A,MASTER!A:D,4,0)</f>
        <v>5</v>
      </c>
      <c r="M75" s="2">
        <f>VLOOKUP(A:A,MASTER!A:I,9,0)</f>
        <v>7</v>
      </c>
      <c r="N75" s="12">
        <f t="shared" si="7"/>
        <v>0.39999999999999991</v>
      </c>
      <c r="O75" s="1">
        <f>VLOOKUP(A:A,MASTER!A:C,3,0)</f>
        <v>4</v>
      </c>
      <c r="P75" s="1">
        <f>VLOOKUP(A:A,MASTER!A:H,8,0)</f>
        <v>0</v>
      </c>
      <c r="Q75" s="12">
        <f t="shared" si="8"/>
        <v>-1</v>
      </c>
      <c r="R75" s="1">
        <f>VLOOKUP(A:A,MASTER!A:B,2,0)</f>
        <v>443</v>
      </c>
      <c r="S75">
        <f>VLOOKUP(A:A,MASTER!A:G,7,0)</f>
        <v>447</v>
      </c>
      <c r="T75" s="12">
        <f t="shared" si="9"/>
        <v>9.0293453724605843E-3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31391312.242365938</v>
      </c>
      <c r="G76" s="1">
        <f>VLOOKUP(A:A,MASTER!A:K,11,0)</f>
        <v>31274170.374765057</v>
      </c>
      <c r="H76" s="12">
        <f t="shared" si="5"/>
        <v>-3.7316652039408593E-3</v>
      </c>
      <c r="I76" s="2">
        <f>VLOOKUP(A:A,MASTER!A:E,5,0)</f>
        <v>774</v>
      </c>
      <c r="J76" s="2">
        <f>VLOOKUP(A:A,MASTER!A:J,10,0)</f>
        <v>735</v>
      </c>
      <c r="K76" s="12">
        <f t="shared" si="6"/>
        <v>-5.0387596899224785E-2</v>
      </c>
      <c r="L76" s="2">
        <f>VLOOKUP(A:A,MASTER!A:D,4,0)</f>
        <v>4</v>
      </c>
      <c r="M76" s="2">
        <f>VLOOKUP(A:A,MASTER!A:I,9,0)</f>
        <v>3</v>
      </c>
      <c r="N76" s="12">
        <f t="shared" si="7"/>
        <v>-0.25</v>
      </c>
      <c r="O76" s="1">
        <f>VLOOKUP(A:A,MASTER!A:C,3,0)</f>
        <v>5</v>
      </c>
      <c r="P76" s="1">
        <f>VLOOKUP(A:A,MASTER!A:H,8,0)</f>
        <v>4</v>
      </c>
      <c r="Q76" s="12">
        <f t="shared" si="8"/>
        <v>-0.19999999999999996</v>
      </c>
      <c r="R76" s="1">
        <f>VLOOKUP(A:A,MASTER!A:B,2,0)</f>
        <v>978</v>
      </c>
      <c r="S76">
        <f>VLOOKUP(A:A,MASTER!A:G,7,0)</f>
        <v>942</v>
      </c>
      <c r="T76" s="12">
        <f t="shared" si="9"/>
        <v>-3.6809815950920255E-2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18988654.507708855</v>
      </c>
      <c r="G77" s="1">
        <f>VLOOKUP(A:A,MASTER!A:K,11,0)</f>
        <v>18899937.995990712</v>
      </c>
      <c r="H77" s="12">
        <f t="shared" si="5"/>
        <v>-4.6720799350015163E-3</v>
      </c>
      <c r="I77" s="2">
        <f>VLOOKUP(A:A,MASTER!A:E,5,0)</f>
        <v>721</v>
      </c>
      <c r="J77" s="2">
        <f>VLOOKUP(A:A,MASTER!A:J,10,0)</f>
        <v>2118</v>
      </c>
      <c r="K77" s="12">
        <f t="shared" si="6"/>
        <v>1.9375866851595007</v>
      </c>
      <c r="L77" s="2">
        <f>VLOOKUP(A:A,MASTER!A:D,4,0)</f>
        <v>9</v>
      </c>
      <c r="M77" s="2">
        <f>VLOOKUP(A:A,MASTER!A:I,9,0)</f>
        <v>10</v>
      </c>
      <c r="N77" s="12">
        <f t="shared" si="7"/>
        <v>0.11111111111111116</v>
      </c>
      <c r="O77" s="1">
        <f>VLOOKUP(A:A,MASTER!A:C,3,0)</f>
        <v>2</v>
      </c>
      <c r="P77" s="1">
        <f>VLOOKUP(A:A,MASTER!A:H,8,0)</f>
        <v>2</v>
      </c>
      <c r="Q77" s="12">
        <f t="shared" si="8"/>
        <v>0</v>
      </c>
      <c r="R77" s="1">
        <f>VLOOKUP(A:A,MASTER!A:B,2,0)</f>
        <v>789</v>
      </c>
      <c r="S77">
        <f>VLOOKUP(A:A,MASTER!A:G,7,0)</f>
        <v>772</v>
      </c>
      <c r="T77" s="12">
        <f t="shared" si="9"/>
        <v>-2.1546261089987362E-2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15805318.288240936</v>
      </c>
      <c r="G78" s="1">
        <f>VLOOKUP(A:A,MASTER!A:K,11,0)</f>
        <v>15125684.077691879</v>
      </c>
      <c r="H78" s="12">
        <f t="shared" si="5"/>
        <v>-4.3000349512398062E-2</v>
      </c>
      <c r="I78" s="2">
        <f>VLOOKUP(A:A,MASTER!A:E,5,0)</f>
        <v>899</v>
      </c>
      <c r="J78" s="2">
        <f>VLOOKUP(A:A,MASTER!A:J,10,0)</f>
        <v>855</v>
      </c>
      <c r="K78" s="12">
        <f t="shared" si="6"/>
        <v>-4.8943270300333741E-2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0</v>
      </c>
      <c r="P78" s="1">
        <f>VLOOKUP(A:A,MASTER!A:H,8,0)</f>
        <v>1</v>
      </c>
      <c r="Q78" s="12">
        <f t="shared" si="8"/>
        <v>0</v>
      </c>
      <c r="R78" s="1">
        <f>VLOOKUP(A:A,MASTER!A:B,2,0)</f>
        <v>941</v>
      </c>
      <c r="S78">
        <f>VLOOKUP(A:A,MASTER!A:G,7,0)</f>
        <v>960</v>
      </c>
      <c r="T78" s="12">
        <f t="shared" si="9"/>
        <v>2.0191285866099973E-2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17980106.353986889</v>
      </c>
      <c r="G79" s="1">
        <f>VLOOKUP(A:A,MASTER!A:K,11,0)</f>
        <v>14533223.238636944</v>
      </c>
      <c r="H79" s="12">
        <f t="shared" si="5"/>
        <v>-0.19170537968401036</v>
      </c>
      <c r="I79" s="2">
        <f>VLOOKUP(A:A,MASTER!A:E,5,0)</f>
        <v>813</v>
      </c>
      <c r="J79" s="2">
        <f>VLOOKUP(A:A,MASTER!A:J,10,0)</f>
        <v>842</v>
      </c>
      <c r="K79" s="12">
        <f t="shared" si="6"/>
        <v>3.5670356703566997E-2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4</v>
      </c>
      <c r="P79" s="1">
        <f>VLOOKUP(A:A,MASTER!A:H,8,0)</f>
        <v>1</v>
      </c>
      <c r="Q79" s="12">
        <f t="shared" si="8"/>
        <v>-0.75</v>
      </c>
      <c r="R79" s="1">
        <f>VLOOKUP(A:A,MASTER!A:B,2,0)</f>
        <v>1013</v>
      </c>
      <c r="S79">
        <f>VLOOKUP(A:A,MASTER!A:G,7,0)</f>
        <v>996</v>
      </c>
      <c r="T79" s="12">
        <f t="shared" si="9"/>
        <v>-1.6781836130306038E-2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18620384.172661994</v>
      </c>
      <c r="G80" s="1">
        <f>VLOOKUP(A:A,MASTER!A:K,11,0)</f>
        <v>19678596.684385128</v>
      </c>
      <c r="H80" s="12">
        <f t="shared" si="5"/>
        <v>5.6830863526262654E-2</v>
      </c>
      <c r="I80" s="2">
        <f>VLOOKUP(A:A,MASTER!A:E,5,0)</f>
        <v>746</v>
      </c>
      <c r="J80" s="2">
        <f>VLOOKUP(A:A,MASTER!A:J,10,0)</f>
        <v>408</v>
      </c>
      <c r="K80" s="12">
        <f t="shared" si="6"/>
        <v>-0.45308310991957101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3</v>
      </c>
      <c r="P80" s="1">
        <f>VLOOKUP(A:A,MASTER!A:H,8,0)</f>
        <v>2</v>
      </c>
      <c r="Q80" s="12">
        <f t="shared" si="8"/>
        <v>-0.33333333333333337</v>
      </c>
      <c r="R80" s="1">
        <f>VLOOKUP(A:A,MASTER!A:B,2,0)</f>
        <v>750</v>
      </c>
      <c r="S80">
        <f>VLOOKUP(A:A,MASTER!A:G,7,0)</f>
        <v>757</v>
      </c>
      <c r="T80" s="12">
        <f t="shared" si="9"/>
        <v>9.3333333333334156E-3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8842619.4253564347</v>
      </c>
      <c r="G81" s="1">
        <f>VLOOKUP(A:A,MASTER!A:K,11,0)</f>
        <v>9379650.8358766995</v>
      </c>
      <c r="H81" s="12">
        <f t="shared" si="5"/>
        <v>6.0732163704830811E-2</v>
      </c>
      <c r="I81" s="2">
        <f>VLOOKUP(A:A,MASTER!A:E,5,0)</f>
        <v>520</v>
      </c>
      <c r="J81" s="2">
        <f>VLOOKUP(A:A,MASTER!A:J,10,0)</f>
        <v>540</v>
      </c>
      <c r="K81" s="12">
        <f t="shared" si="6"/>
        <v>3.8461538461538547E-2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1</v>
      </c>
      <c r="P81" s="1">
        <f>VLOOKUP(A:A,MASTER!A:H,8,0)</f>
        <v>1</v>
      </c>
      <c r="Q81" s="12">
        <f t="shared" si="8"/>
        <v>0</v>
      </c>
      <c r="R81" s="1">
        <f>VLOOKUP(A:A,MASTER!A:B,2,0)</f>
        <v>568</v>
      </c>
      <c r="S81">
        <f>VLOOKUP(A:A,MASTER!A:G,7,0)</f>
        <v>569</v>
      </c>
      <c r="T81" s="12">
        <f t="shared" si="9"/>
        <v>1.7605633802817433E-3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35571479.183830611</v>
      </c>
      <c r="G82" s="1">
        <f>VLOOKUP(A:A,MASTER!A:K,11,0)</f>
        <v>38722670.295691326</v>
      </c>
      <c r="H82" s="12">
        <f t="shared" si="5"/>
        <v>8.8587575894035986E-2</v>
      </c>
      <c r="I82" s="2">
        <f>VLOOKUP(A:A,MASTER!A:E,5,0)</f>
        <v>1321</v>
      </c>
      <c r="J82" s="2">
        <f>VLOOKUP(A:A,MASTER!A:J,10,0)</f>
        <v>1316</v>
      </c>
      <c r="K82" s="12">
        <f t="shared" si="6"/>
        <v>-3.7850113550340625E-3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5</v>
      </c>
      <c r="P82" s="1">
        <f>VLOOKUP(A:A,MASTER!A:H,8,0)</f>
        <v>0</v>
      </c>
      <c r="Q82" s="12">
        <f t="shared" si="8"/>
        <v>-1</v>
      </c>
      <c r="R82" s="1">
        <f>VLOOKUP(A:A,MASTER!A:B,2,0)</f>
        <v>1722</v>
      </c>
      <c r="S82">
        <f>VLOOKUP(A:A,MASTER!A:G,7,0)</f>
        <v>1762</v>
      </c>
      <c r="T82" s="12">
        <f t="shared" si="9"/>
        <v>2.3228803716608626E-2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10381530.962787962</v>
      </c>
      <c r="G83" s="1">
        <f>VLOOKUP(A:A,MASTER!A:K,11,0)</f>
        <v>8630087.2264204156</v>
      </c>
      <c r="H83" s="12">
        <f t="shared" si="5"/>
        <v>-0.1687076542607735</v>
      </c>
      <c r="I83" s="2">
        <f>VLOOKUP(A:A,MASTER!A:E,5,0)</f>
        <v>673</v>
      </c>
      <c r="J83" s="2">
        <f>VLOOKUP(A:A,MASTER!A:J,10,0)</f>
        <v>734</v>
      </c>
      <c r="K83" s="12">
        <f t="shared" si="6"/>
        <v>9.0638930163447151E-2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4</v>
      </c>
      <c r="P83" s="1">
        <f>VLOOKUP(A:A,MASTER!A:H,8,0)</f>
        <v>0</v>
      </c>
      <c r="Q83" s="12">
        <f t="shared" si="8"/>
        <v>-1</v>
      </c>
      <c r="R83" s="1">
        <f>VLOOKUP(A:A,MASTER!A:B,2,0)</f>
        <v>657</v>
      </c>
      <c r="S83">
        <f>VLOOKUP(A:A,MASTER!A:G,7,0)</f>
        <v>564</v>
      </c>
      <c r="T83" s="12">
        <f t="shared" si="9"/>
        <v>-0.14155251141552516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17326990.22087634</v>
      </c>
      <c r="G84" s="1">
        <f>VLOOKUP(A:A,MASTER!A:K,11,0)</f>
        <v>17500296.393373366</v>
      </c>
      <c r="H84" s="12">
        <f t="shared" si="5"/>
        <v>1.000209328266477E-2</v>
      </c>
      <c r="I84" s="2">
        <f>VLOOKUP(A:A,MASTER!A:E,5,0)</f>
        <v>1110</v>
      </c>
      <c r="J84" s="2">
        <f>VLOOKUP(A:A,MASTER!A:J,10,0)</f>
        <v>408</v>
      </c>
      <c r="K84" s="12">
        <f t="shared" si="6"/>
        <v>-0.63243243243243241</v>
      </c>
      <c r="L84" s="2">
        <f>VLOOKUP(A:A,MASTER!A:D,4,0)</f>
        <v>7</v>
      </c>
      <c r="M84" s="2">
        <f>VLOOKUP(A:A,MASTER!A:I,9,0)</f>
        <v>7</v>
      </c>
      <c r="N84" s="12">
        <f t="shared" si="7"/>
        <v>0</v>
      </c>
      <c r="O84" s="1">
        <f>VLOOKUP(A:A,MASTER!A:C,3,0)</f>
        <v>10</v>
      </c>
      <c r="P84" s="1">
        <f>VLOOKUP(A:A,MASTER!A:H,8,0)</f>
        <v>4</v>
      </c>
      <c r="Q84" s="12">
        <f t="shared" si="8"/>
        <v>-0.6</v>
      </c>
      <c r="R84" s="1">
        <f>VLOOKUP(A:A,MASTER!A:B,2,0)</f>
        <v>618</v>
      </c>
      <c r="S84">
        <f>VLOOKUP(A:A,MASTER!A:G,7,0)</f>
        <v>644</v>
      </c>
      <c r="T84" s="12">
        <f t="shared" si="9"/>
        <v>4.2071197411003292E-2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5027836.3395618377</v>
      </c>
      <c r="G85" s="1">
        <f>VLOOKUP(A:A,MASTER!A:K,11,0)</f>
        <v>4318945.0415773364</v>
      </c>
      <c r="H85" s="12">
        <f t="shared" si="5"/>
        <v>-0.14099331205483889</v>
      </c>
      <c r="I85" s="2">
        <f>VLOOKUP(A:A,MASTER!A:E,5,0)</f>
        <v>313</v>
      </c>
      <c r="J85" s="2">
        <f>VLOOKUP(A:A,MASTER!A:J,10,0)</f>
        <v>380</v>
      </c>
      <c r="K85" s="12">
        <f t="shared" si="6"/>
        <v>0.21405750798722045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1</v>
      </c>
      <c r="P85" s="1">
        <f>VLOOKUP(A:A,MASTER!A:H,8,0)</f>
        <v>2</v>
      </c>
      <c r="Q85" s="12">
        <f t="shared" si="8"/>
        <v>1</v>
      </c>
      <c r="R85" s="1">
        <f>VLOOKUP(A:A,MASTER!A:B,2,0)</f>
        <v>358</v>
      </c>
      <c r="S85">
        <f>VLOOKUP(A:A,MASTER!A:G,7,0)</f>
        <v>365</v>
      </c>
      <c r="T85" s="12">
        <f t="shared" si="9"/>
        <v>1.9553072625698276E-2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0"/>
  <sheetViews>
    <sheetView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G6" sqref="G6:K90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83880</v>
      </c>
      <c r="C3" s="11">
        <f t="shared" si="0"/>
        <v>516</v>
      </c>
      <c r="D3" s="11">
        <f t="shared" si="0"/>
        <v>306</v>
      </c>
      <c r="E3" s="11">
        <f t="shared" si="0"/>
        <v>70113</v>
      </c>
      <c r="F3" s="11">
        <f t="shared" si="0"/>
        <v>1811393405.3401802</v>
      </c>
      <c r="G3" s="11">
        <f t="shared" si="0"/>
        <v>84798</v>
      </c>
      <c r="H3" s="11">
        <f t="shared" si="0"/>
        <v>996</v>
      </c>
      <c r="I3" s="11">
        <f t="shared" si="0"/>
        <v>319</v>
      </c>
      <c r="J3" s="11">
        <f t="shared" si="0"/>
        <v>71269</v>
      </c>
      <c r="K3" s="11">
        <f t="shared" si="0"/>
        <v>1792933331.470099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412</v>
      </c>
      <c r="C6" s="10">
        <v>3</v>
      </c>
      <c r="D6" s="10">
        <v>2</v>
      </c>
      <c r="E6" s="10">
        <v>301</v>
      </c>
      <c r="F6" s="10">
        <v>8904722.9124635179</v>
      </c>
      <c r="G6" s="10">
        <v>420</v>
      </c>
      <c r="H6" s="10">
        <v>0</v>
      </c>
      <c r="I6" s="10">
        <v>2</v>
      </c>
      <c r="J6" s="10">
        <v>351</v>
      </c>
      <c r="K6" s="10">
        <v>8015662.5391808543</v>
      </c>
    </row>
    <row r="7" spans="1:11" x14ac:dyDescent="0.35">
      <c r="A7" s="9" t="s">
        <v>127</v>
      </c>
      <c r="B7" s="10">
        <v>675</v>
      </c>
      <c r="C7" s="10">
        <v>1</v>
      </c>
      <c r="D7" s="10">
        <v>1</v>
      </c>
      <c r="E7" s="10">
        <v>582</v>
      </c>
      <c r="F7" s="10">
        <v>11077997.986731406</v>
      </c>
      <c r="G7" s="10">
        <v>654</v>
      </c>
      <c r="H7" s="10">
        <v>3</v>
      </c>
      <c r="I7" s="10">
        <v>2</v>
      </c>
      <c r="J7" s="10">
        <v>493</v>
      </c>
      <c r="K7" s="10">
        <v>9594971.2209495213</v>
      </c>
    </row>
    <row r="8" spans="1:11" x14ac:dyDescent="0.35">
      <c r="A8" s="9" t="s">
        <v>119</v>
      </c>
      <c r="B8" s="10">
        <v>682</v>
      </c>
      <c r="C8" s="10">
        <v>2</v>
      </c>
      <c r="D8" s="10">
        <v>2</v>
      </c>
      <c r="E8" s="10">
        <v>655</v>
      </c>
      <c r="F8" s="10">
        <v>10813572.180837341</v>
      </c>
      <c r="G8" s="10">
        <v>741</v>
      </c>
      <c r="H8" s="10">
        <v>6</v>
      </c>
      <c r="I8" s="10">
        <v>1</v>
      </c>
      <c r="J8" s="10">
        <v>724</v>
      </c>
      <c r="K8" s="10">
        <v>11700900.530808456</v>
      </c>
    </row>
    <row r="9" spans="1:11" x14ac:dyDescent="0.35">
      <c r="A9" s="9" t="s">
        <v>121</v>
      </c>
      <c r="B9" s="10">
        <v>1193</v>
      </c>
      <c r="C9" s="10">
        <v>3</v>
      </c>
      <c r="D9" s="10">
        <v>3</v>
      </c>
      <c r="E9" s="10">
        <v>1053</v>
      </c>
      <c r="F9" s="10">
        <v>20569414.54593353</v>
      </c>
      <c r="G9" s="10">
        <v>1208</v>
      </c>
      <c r="H9" s="10">
        <v>3</v>
      </c>
      <c r="I9" s="10">
        <v>4</v>
      </c>
      <c r="J9" s="10">
        <v>2035</v>
      </c>
      <c r="K9" s="10">
        <v>20538626.012221169</v>
      </c>
    </row>
    <row r="10" spans="1:11" x14ac:dyDescent="0.35">
      <c r="A10" s="9" t="s">
        <v>123</v>
      </c>
      <c r="B10" s="10">
        <v>405</v>
      </c>
      <c r="C10" s="10">
        <v>1</v>
      </c>
      <c r="D10" s="10">
        <v>1</v>
      </c>
      <c r="E10" s="10">
        <v>300</v>
      </c>
      <c r="F10" s="10">
        <v>8172898.0041208696</v>
      </c>
      <c r="G10" s="10">
        <v>402</v>
      </c>
      <c r="H10" s="10">
        <v>1</v>
      </c>
      <c r="I10" s="10">
        <v>1</v>
      </c>
      <c r="J10" s="10">
        <v>395</v>
      </c>
      <c r="K10" s="10">
        <v>9141121.1433764119</v>
      </c>
    </row>
    <row r="11" spans="1:11" x14ac:dyDescent="0.35">
      <c r="A11" s="9" t="s">
        <v>125</v>
      </c>
      <c r="B11" s="10">
        <v>368</v>
      </c>
      <c r="C11" s="10">
        <v>2</v>
      </c>
      <c r="D11" s="10">
        <v>2</v>
      </c>
      <c r="E11" s="10">
        <v>345</v>
      </c>
      <c r="F11" s="10">
        <v>7758957.3293836992</v>
      </c>
      <c r="G11" s="10">
        <v>383</v>
      </c>
      <c r="H11" s="10">
        <v>3</v>
      </c>
      <c r="I11" s="10">
        <v>2</v>
      </c>
      <c r="J11" s="10">
        <v>267</v>
      </c>
      <c r="K11" s="10">
        <v>7747219.6709535951</v>
      </c>
    </row>
    <row r="12" spans="1:11" x14ac:dyDescent="0.35">
      <c r="A12" s="9" t="s">
        <v>131</v>
      </c>
      <c r="B12" s="10">
        <v>609</v>
      </c>
      <c r="C12" s="10">
        <v>0</v>
      </c>
      <c r="D12" s="10">
        <v>1</v>
      </c>
      <c r="E12" s="10">
        <v>508</v>
      </c>
      <c r="F12" s="10">
        <v>9035790.3904993646</v>
      </c>
      <c r="G12" s="10">
        <v>595</v>
      </c>
      <c r="H12" s="10">
        <v>1</v>
      </c>
      <c r="I12" s="10">
        <v>3</v>
      </c>
      <c r="J12" s="10">
        <v>496</v>
      </c>
      <c r="K12" s="10">
        <v>9130871.8624781035</v>
      </c>
    </row>
    <row r="13" spans="1:11" x14ac:dyDescent="0.35">
      <c r="A13" s="9" t="s">
        <v>133</v>
      </c>
      <c r="B13" s="10">
        <v>171</v>
      </c>
      <c r="C13" s="10">
        <v>0</v>
      </c>
      <c r="D13" s="10">
        <v>1</v>
      </c>
      <c r="E13" s="10">
        <v>155</v>
      </c>
      <c r="F13" s="10">
        <v>4009064.5599596188</v>
      </c>
      <c r="G13" s="10">
        <v>168</v>
      </c>
      <c r="H13" s="10">
        <v>0</v>
      </c>
      <c r="I13" s="10">
        <v>1</v>
      </c>
      <c r="J13" s="10">
        <v>134</v>
      </c>
      <c r="K13" s="10">
        <v>4061429.297431434</v>
      </c>
    </row>
    <row r="14" spans="1:11" x14ac:dyDescent="0.35">
      <c r="A14" s="9" t="s">
        <v>141</v>
      </c>
      <c r="B14" s="10">
        <v>206</v>
      </c>
      <c r="C14" s="10">
        <v>1</v>
      </c>
      <c r="D14" s="10">
        <v>0</v>
      </c>
      <c r="E14" s="10">
        <v>157</v>
      </c>
      <c r="F14" s="10">
        <v>4114366.4045414459</v>
      </c>
      <c r="G14" s="10">
        <v>187</v>
      </c>
      <c r="H14" s="10">
        <v>1</v>
      </c>
      <c r="I14" s="10">
        <v>1</v>
      </c>
      <c r="J14" s="10">
        <v>154</v>
      </c>
      <c r="K14" s="10">
        <v>834088.64330936898</v>
      </c>
    </row>
    <row r="15" spans="1:11" x14ac:dyDescent="0.35">
      <c r="A15" s="9" t="s">
        <v>135</v>
      </c>
      <c r="B15" s="10">
        <v>352</v>
      </c>
      <c r="C15" s="10">
        <v>0</v>
      </c>
      <c r="D15" s="10">
        <v>0</v>
      </c>
      <c r="E15" s="10">
        <v>320</v>
      </c>
      <c r="F15" s="10">
        <v>6426679.2572523681</v>
      </c>
      <c r="G15" s="10">
        <v>368</v>
      </c>
      <c r="H15" s="10">
        <v>1</v>
      </c>
      <c r="I15" s="10">
        <v>1</v>
      </c>
      <c r="J15" s="10">
        <v>360</v>
      </c>
      <c r="K15" s="10">
        <v>8442751.4556307346</v>
      </c>
    </row>
    <row r="16" spans="1:11" x14ac:dyDescent="0.35">
      <c r="A16" s="9" t="s">
        <v>143</v>
      </c>
      <c r="B16" s="10">
        <v>204</v>
      </c>
      <c r="C16" s="10">
        <v>0</v>
      </c>
      <c r="D16" s="10">
        <v>1</v>
      </c>
      <c r="E16" s="10">
        <v>234</v>
      </c>
      <c r="F16" s="10">
        <v>3076842.9337319238</v>
      </c>
      <c r="G16" s="10">
        <v>209</v>
      </c>
      <c r="H16" s="10">
        <v>0</v>
      </c>
      <c r="I16" s="10">
        <v>2</v>
      </c>
      <c r="J16" s="10">
        <v>263</v>
      </c>
      <c r="K16" s="10">
        <v>3928722.993377714</v>
      </c>
    </row>
    <row r="17" spans="1:11" x14ac:dyDescent="0.35">
      <c r="A17" s="9" t="s">
        <v>145</v>
      </c>
      <c r="B17" s="10">
        <v>254</v>
      </c>
      <c r="C17" s="10">
        <v>7</v>
      </c>
      <c r="D17" s="10">
        <v>0</v>
      </c>
      <c r="E17" s="10">
        <v>200</v>
      </c>
      <c r="F17" s="10">
        <v>4106721.092204113</v>
      </c>
      <c r="G17" s="10">
        <v>244</v>
      </c>
      <c r="H17" s="10">
        <v>1</v>
      </c>
      <c r="I17" s="10">
        <v>2</v>
      </c>
      <c r="J17" s="10">
        <v>232</v>
      </c>
      <c r="K17" s="10">
        <v>4332106.5259726672</v>
      </c>
    </row>
    <row r="18" spans="1:11" x14ac:dyDescent="0.35">
      <c r="A18" s="9" t="s">
        <v>20</v>
      </c>
      <c r="B18" s="10">
        <v>1420</v>
      </c>
      <c r="C18" s="10">
        <v>0</v>
      </c>
      <c r="D18" s="10">
        <v>1</v>
      </c>
      <c r="E18" s="10">
        <v>16</v>
      </c>
      <c r="F18" s="10">
        <v>7512212.0363657642</v>
      </c>
      <c r="G18" s="10">
        <v>1433</v>
      </c>
      <c r="H18" s="10">
        <v>3</v>
      </c>
      <c r="I18" s="10">
        <v>3</v>
      </c>
      <c r="J18" s="10">
        <v>1327</v>
      </c>
      <c r="K18" s="10">
        <v>15558073.085482126</v>
      </c>
    </row>
    <row r="19" spans="1:11" x14ac:dyDescent="0.35">
      <c r="A19" s="9" t="s">
        <v>45</v>
      </c>
      <c r="B19" s="10">
        <v>1293</v>
      </c>
      <c r="C19" s="10">
        <v>0</v>
      </c>
      <c r="D19" s="10">
        <v>2</v>
      </c>
      <c r="E19" s="10">
        <v>1102</v>
      </c>
      <c r="F19" s="10">
        <v>30427161.100131635</v>
      </c>
      <c r="G19" s="10">
        <v>1235</v>
      </c>
      <c r="H19" s="10">
        <v>1</v>
      </c>
      <c r="I19" s="10">
        <v>3</v>
      </c>
      <c r="J19" s="10">
        <v>907</v>
      </c>
      <c r="K19" s="10">
        <v>29254917.109629303</v>
      </c>
    </row>
    <row r="20" spans="1:11" x14ac:dyDescent="0.35">
      <c r="A20" s="9" t="s">
        <v>47</v>
      </c>
      <c r="B20" s="10">
        <v>1023</v>
      </c>
      <c r="C20" s="10">
        <v>2</v>
      </c>
      <c r="D20" s="10">
        <v>4</v>
      </c>
      <c r="E20" s="10">
        <v>930</v>
      </c>
      <c r="F20" s="10">
        <v>16637487.25802622</v>
      </c>
      <c r="G20" s="10">
        <v>1024</v>
      </c>
      <c r="H20" s="10">
        <v>2</v>
      </c>
      <c r="I20" s="10">
        <v>5</v>
      </c>
      <c r="J20" s="10">
        <v>922</v>
      </c>
      <c r="K20" s="10">
        <v>17104080.460517026</v>
      </c>
    </row>
    <row r="21" spans="1:11" x14ac:dyDescent="0.35">
      <c r="A21" s="9" t="s">
        <v>49</v>
      </c>
      <c r="B21" s="10">
        <v>954</v>
      </c>
      <c r="C21" s="10">
        <v>0</v>
      </c>
      <c r="D21" s="10">
        <v>2</v>
      </c>
      <c r="E21" s="10">
        <v>641</v>
      </c>
      <c r="F21" s="10">
        <v>17060687.407777634</v>
      </c>
      <c r="G21" s="10">
        <v>903</v>
      </c>
      <c r="H21" s="10">
        <v>3</v>
      </c>
      <c r="I21" s="10">
        <v>3</v>
      </c>
      <c r="J21" s="10">
        <v>681</v>
      </c>
      <c r="K21" s="10">
        <v>12169391.271711731</v>
      </c>
    </row>
    <row r="22" spans="1:11" x14ac:dyDescent="0.35">
      <c r="A22" s="9" t="s">
        <v>51</v>
      </c>
      <c r="B22" s="10">
        <v>2777</v>
      </c>
      <c r="C22" s="10">
        <v>118</v>
      </c>
      <c r="D22" s="10">
        <v>10</v>
      </c>
      <c r="E22" s="10">
        <v>1895</v>
      </c>
      <c r="F22" s="10">
        <v>57559835.304311313</v>
      </c>
      <c r="G22" s="10">
        <v>2872</v>
      </c>
      <c r="H22" s="10">
        <v>173</v>
      </c>
      <c r="I22" s="10">
        <v>10</v>
      </c>
      <c r="J22" s="10">
        <v>2091</v>
      </c>
      <c r="K22" s="10">
        <v>63483376.813367918</v>
      </c>
    </row>
    <row r="23" spans="1:11" x14ac:dyDescent="0.35">
      <c r="A23" s="9" t="s">
        <v>53</v>
      </c>
      <c r="B23" s="10">
        <v>1452</v>
      </c>
      <c r="C23" s="10">
        <v>0</v>
      </c>
      <c r="D23" s="10">
        <v>2</v>
      </c>
      <c r="E23" s="10">
        <v>1171</v>
      </c>
      <c r="F23" s="10">
        <v>32045023.177340128</v>
      </c>
      <c r="G23" s="10">
        <v>1367</v>
      </c>
      <c r="H23" s="10">
        <v>3</v>
      </c>
      <c r="I23" s="10">
        <v>1</v>
      </c>
      <c r="J23" s="10">
        <v>1143</v>
      </c>
      <c r="K23" s="10">
        <v>13732806.891209688</v>
      </c>
    </row>
    <row r="24" spans="1:11" x14ac:dyDescent="0.35">
      <c r="A24" s="9" t="s">
        <v>55</v>
      </c>
      <c r="B24" s="10">
        <v>2999</v>
      </c>
      <c r="C24" s="10">
        <v>10</v>
      </c>
      <c r="D24" s="10">
        <v>12</v>
      </c>
      <c r="E24" s="10">
        <v>2472</v>
      </c>
      <c r="F24" s="10">
        <v>63795978.508467458</v>
      </c>
      <c r="G24" s="10">
        <v>2972</v>
      </c>
      <c r="H24" s="10">
        <v>15</v>
      </c>
      <c r="I24" s="10">
        <v>10</v>
      </c>
      <c r="J24" s="10">
        <v>2209</v>
      </c>
      <c r="K24" s="10">
        <v>62485638.947705641</v>
      </c>
    </row>
    <row r="25" spans="1:11" x14ac:dyDescent="0.35">
      <c r="A25" s="9" t="s">
        <v>67</v>
      </c>
      <c r="B25" s="10">
        <v>552</v>
      </c>
      <c r="C25" s="10">
        <v>3</v>
      </c>
      <c r="D25" s="10">
        <v>1</v>
      </c>
      <c r="E25" s="10">
        <v>687</v>
      </c>
      <c r="F25" s="10">
        <v>9011397.0943409987</v>
      </c>
      <c r="G25" s="10">
        <v>541</v>
      </c>
      <c r="H25" s="10">
        <v>4</v>
      </c>
      <c r="I25" s="10">
        <v>1</v>
      </c>
      <c r="J25" s="10">
        <v>468</v>
      </c>
      <c r="K25" s="10">
        <v>9650938.5786911491</v>
      </c>
    </row>
    <row r="26" spans="1:11" x14ac:dyDescent="0.35">
      <c r="A26" s="9" t="s">
        <v>74</v>
      </c>
      <c r="B26" s="10">
        <v>1701</v>
      </c>
      <c r="C26" s="10">
        <v>6</v>
      </c>
      <c r="D26" s="10">
        <v>1</v>
      </c>
      <c r="E26" s="10">
        <v>1298</v>
      </c>
      <c r="F26" s="10">
        <v>24671664.355904289</v>
      </c>
      <c r="G26" s="10">
        <v>1749</v>
      </c>
      <c r="H26" s="10">
        <v>12</v>
      </c>
      <c r="I26" s="10">
        <v>2</v>
      </c>
      <c r="J26" s="10">
        <v>1348</v>
      </c>
      <c r="K26" s="10">
        <v>25739797.312284291</v>
      </c>
    </row>
    <row r="27" spans="1:11" x14ac:dyDescent="0.35">
      <c r="A27" s="9" t="s">
        <v>70</v>
      </c>
      <c r="B27" s="10">
        <v>865</v>
      </c>
      <c r="C27" s="10">
        <v>5</v>
      </c>
      <c r="D27" s="10">
        <v>1</v>
      </c>
      <c r="E27" s="10">
        <v>757</v>
      </c>
      <c r="F27" s="10">
        <v>11251576.178390903</v>
      </c>
      <c r="G27" s="10">
        <v>877</v>
      </c>
      <c r="H27" s="10">
        <v>8</v>
      </c>
      <c r="I27" s="10">
        <v>1</v>
      </c>
      <c r="J27" s="10">
        <v>765</v>
      </c>
      <c r="K27" s="10">
        <v>10264637.068090342</v>
      </c>
    </row>
    <row r="28" spans="1:11" x14ac:dyDescent="0.35">
      <c r="A28" s="9" t="s">
        <v>72</v>
      </c>
      <c r="B28" s="10">
        <v>892</v>
      </c>
      <c r="C28" s="10">
        <v>1</v>
      </c>
      <c r="D28" s="10">
        <v>1</v>
      </c>
      <c r="E28" s="10">
        <v>881</v>
      </c>
      <c r="F28" s="10">
        <v>11850976.593486</v>
      </c>
      <c r="G28" s="10">
        <v>890</v>
      </c>
      <c r="H28" s="10">
        <v>5</v>
      </c>
      <c r="I28" s="10">
        <v>1</v>
      </c>
      <c r="J28" s="10">
        <v>807</v>
      </c>
      <c r="K28" s="10">
        <v>13079902.716852484</v>
      </c>
    </row>
    <row r="29" spans="1:11" x14ac:dyDescent="0.35">
      <c r="A29" s="9" t="s">
        <v>79</v>
      </c>
      <c r="B29" s="10">
        <v>239</v>
      </c>
      <c r="C29" s="10">
        <v>1</v>
      </c>
      <c r="D29" s="10">
        <v>0</v>
      </c>
      <c r="E29" s="10">
        <v>181</v>
      </c>
      <c r="F29" s="10">
        <v>3490224.814658503</v>
      </c>
      <c r="G29" s="10">
        <v>231</v>
      </c>
      <c r="H29" s="10">
        <v>1</v>
      </c>
      <c r="I29" s="10">
        <v>2</v>
      </c>
      <c r="J29" s="10">
        <v>171</v>
      </c>
      <c r="K29" s="10">
        <v>2753796.6769717392</v>
      </c>
    </row>
    <row r="30" spans="1:11" x14ac:dyDescent="0.35">
      <c r="A30" s="9" t="s">
        <v>109</v>
      </c>
      <c r="B30" s="10">
        <v>1670</v>
      </c>
      <c r="C30" s="10">
        <v>2</v>
      </c>
      <c r="D30" s="10">
        <v>5</v>
      </c>
      <c r="E30" s="10">
        <v>1425</v>
      </c>
      <c r="F30" s="10">
        <v>29071248.072626371</v>
      </c>
      <c r="G30" s="10">
        <v>1663</v>
      </c>
      <c r="H30" s="10">
        <v>9</v>
      </c>
      <c r="I30" s="10">
        <v>6</v>
      </c>
      <c r="J30" s="10">
        <v>1293</v>
      </c>
      <c r="K30" s="10">
        <v>24370086.898229964</v>
      </c>
    </row>
    <row r="31" spans="1:11" x14ac:dyDescent="0.35">
      <c r="A31" s="9" t="s">
        <v>111</v>
      </c>
      <c r="B31" s="10">
        <v>870</v>
      </c>
      <c r="C31" s="10">
        <v>2</v>
      </c>
      <c r="D31" s="10">
        <v>1</v>
      </c>
      <c r="E31" s="10">
        <v>647</v>
      </c>
      <c r="F31" s="10">
        <v>19157411.185149383</v>
      </c>
      <c r="G31" s="10">
        <v>871</v>
      </c>
      <c r="H31" s="10">
        <v>1</v>
      </c>
      <c r="I31" s="10">
        <v>1</v>
      </c>
      <c r="J31" s="10">
        <v>629</v>
      </c>
      <c r="K31" s="10">
        <v>19821996.514491428</v>
      </c>
    </row>
    <row r="32" spans="1:11" x14ac:dyDescent="0.35">
      <c r="A32" s="9" t="s">
        <v>113</v>
      </c>
      <c r="B32" s="10">
        <v>1132</v>
      </c>
      <c r="C32" s="10">
        <v>1</v>
      </c>
      <c r="D32" s="10">
        <v>1</v>
      </c>
      <c r="E32" s="10">
        <v>742</v>
      </c>
      <c r="F32" s="10">
        <v>20847256.078643773</v>
      </c>
      <c r="G32" s="10">
        <v>1060</v>
      </c>
      <c r="H32" s="10">
        <v>2</v>
      </c>
      <c r="I32" s="10">
        <v>2</v>
      </c>
      <c r="J32" s="10">
        <v>824</v>
      </c>
      <c r="K32" s="10">
        <v>19414730.029029332</v>
      </c>
    </row>
    <row r="33" spans="1:11" x14ac:dyDescent="0.35">
      <c r="A33" s="9" t="s">
        <v>115</v>
      </c>
      <c r="B33" s="10">
        <v>1114</v>
      </c>
      <c r="C33" s="10">
        <v>0</v>
      </c>
      <c r="D33" s="10">
        <v>2</v>
      </c>
      <c r="E33" s="10">
        <v>964</v>
      </c>
      <c r="F33" s="10">
        <v>27091482.436740737</v>
      </c>
      <c r="G33" s="10">
        <v>1115</v>
      </c>
      <c r="H33" s="10">
        <v>2</v>
      </c>
      <c r="I33" s="10">
        <v>2</v>
      </c>
      <c r="J33" s="10">
        <v>816</v>
      </c>
      <c r="K33" s="10">
        <v>26418427.83281048</v>
      </c>
    </row>
    <row r="34" spans="1:11" x14ac:dyDescent="0.35">
      <c r="A34" s="9" t="s">
        <v>16</v>
      </c>
      <c r="B34" s="10">
        <v>1506</v>
      </c>
      <c r="C34" s="10">
        <v>1</v>
      </c>
      <c r="D34" s="10">
        <v>5</v>
      </c>
      <c r="E34" s="10">
        <v>1164</v>
      </c>
      <c r="F34" s="10">
        <v>39832891.790901192</v>
      </c>
      <c r="G34" s="10">
        <v>1455</v>
      </c>
      <c r="H34" s="10">
        <v>4</v>
      </c>
      <c r="I34" s="10">
        <v>5</v>
      </c>
      <c r="J34" s="10">
        <v>1207</v>
      </c>
      <c r="K34" s="10">
        <v>37524684.099695168</v>
      </c>
    </row>
    <row r="35" spans="1:11" x14ac:dyDescent="0.35">
      <c r="A35" s="9" t="s">
        <v>18</v>
      </c>
      <c r="B35" s="10">
        <v>692</v>
      </c>
      <c r="C35" s="10">
        <v>0</v>
      </c>
      <c r="D35" s="10">
        <v>3</v>
      </c>
      <c r="E35" s="10">
        <v>546</v>
      </c>
      <c r="F35" s="10">
        <v>14587539.749331217</v>
      </c>
      <c r="G35" s="10">
        <v>682</v>
      </c>
      <c r="H35" s="10">
        <v>0</v>
      </c>
      <c r="I35" s="10">
        <v>5</v>
      </c>
      <c r="J35" s="10">
        <v>581</v>
      </c>
      <c r="K35" s="10">
        <v>15406510.595932836</v>
      </c>
    </row>
    <row r="36" spans="1:11" x14ac:dyDescent="0.35">
      <c r="A36" s="9" t="s">
        <v>43</v>
      </c>
      <c r="B36" s="10">
        <v>1968</v>
      </c>
      <c r="C36" s="10">
        <v>0</v>
      </c>
      <c r="D36" s="10">
        <v>10</v>
      </c>
      <c r="E36" s="10">
        <v>1663</v>
      </c>
      <c r="F36" s="10">
        <v>46870678.587666772</v>
      </c>
      <c r="G36" s="10">
        <v>1941</v>
      </c>
      <c r="H36" s="10">
        <v>6</v>
      </c>
      <c r="I36" s="10">
        <v>11</v>
      </c>
      <c r="J36" s="10">
        <v>892</v>
      </c>
      <c r="K36" s="10">
        <v>46557482.188332088</v>
      </c>
    </row>
    <row r="37" spans="1:11" x14ac:dyDescent="0.35">
      <c r="A37" s="9" t="s">
        <v>152</v>
      </c>
      <c r="B37" s="10">
        <v>846</v>
      </c>
      <c r="C37" s="10">
        <v>2</v>
      </c>
      <c r="D37" s="10">
        <v>1</v>
      </c>
      <c r="E37" s="10">
        <v>679</v>
      </c>
      <c r="F37" s="10">
        <v>16279779.246790402</v>
      </c>
      <c r="G37" s="10">
        <v>844</v>
      </c>
      <c r="H37" s="10">
        <v>1</v>
      </c>
      <c r="I37" s="10">
        <v>2</v>
      </c>
      <c r="J37" s="10">
        <v>774</v>
      </c>
      <c r="K37" s="10">
        <v>15562023.232441895</v>
      </c>
    </row>
    <row r="38" spans="1:11" x14ac:dyDescent="0.35">
      <c r="A38" s="9" t="s">
        <v>149</v>
      </c>
      <c r="B38" s="10">
        <v>690</v>
      </c>
      <c r="C38" s="10">
        <v>0</v>
      </c>
      <c r="D38" s="10">
        <v>1</v>
      </c>
      <c r="E38" s="10">
        <v>459</v>
      </c>
      <c r="F38" s="10">
        <v>12893390.296193728</v>
      </c>
      <c r="G38" s="10">
        <v>745</v>
      </c>
      <c r="H38" s="10">
        <v>1</v>
      </c>
      <c r="I38" s="10">
        <v>1</v>
      </c>
      <c r="J38" s="10">
        <v>538</v>
      </c>
      <c r="K38" s="10">
        <v>14995641.256104443</v>
      </c>
    </row>
    <row r="39" spans="1:11" x14ac:dyDescent="0.35">
      <c r="A39" s="9" t="s">
        <v>154</v>
      </c>
      <c r="B39" s="10">
        <v>1110</v>
      </c>
      <c r="C39" s="10">
        <v>10</v>
      </c>
      <c r="D39" s="10">
        <v>2</v>
      </c>
      <c r="E39" s="10">
        <v>941</v>
      </c>
      <c r="F39" s="10">
        <v>23576799.335367773</v>
      </c>
      <c r="G39" s="10">
        <v>1165</v>
      </c>
      <c r="H39" s="10">
        <v>12</v>
      </c>
      <c r="I39" s="10">
        <v>1</v>
      </c>
      <c r="J39" s="10">
        <v>822</v>
      </c>
      <c r="K39" s="10">
        <v>22123498.048207261</v>
      </c>
    </row>
    <row r="40" spans="1:11" x14ac:dyDescent="0.35">
      <c r="A40" s="9" t="s">
        <v>2</v>
      </c>
      <c r="B40" s="10">
        <v>1128</v>
      </c>
      <c r="C40" s="10">
        <v>38</v>
      </c>
      <c r="D40" s="10">
        <v>1</v>
      </c>
      <c r="E40" s="10">
        <v>753</v>
      </c>
      <c r="F40" s="10">
        <v>22904201.531117793</v>
      </c>
      <c r="G40" s="10">
        <v>1331</v>
      </c>
      <c r="H40" s="10">
        <v>120</v>
      </c>
      <c r="I40" s="10">
        <v>1</v>
      </c>
      <c r="J40" s="10">
        <v>796</v>
      </c>
      <c r="K40" s="10">
        <v>20751223.31803656</v>
      </c>
    </row>
    <row r="41" spans="1:11" x14ac:dyDescent="0.35">
      <c r="A41" s="9" t="s">
        <v>156</v>
      </c>
      <c r="B41" s="10">
        <v>1804</v>
      </c>
      <c r="C41" s="10">
        <v>45</v>
      </c>
      <c r="D41" s="10">
        <v>4</v>
      </c>
      <c r="E41" s="10">
        <v>1452</v>
      </c>
      <c r="F41" s="10">
        <v>36032619.201137818</v>
      </c>
      <c r="G41" s="10">
        <v>2397</v>
      </c>
      <c r="H41" s="10">
        <v>69</v>
      </c>
      <c r="I41" s="10">
        <v>5</v>
      </c>
      <c r="J41" s="10">
        <v>1529</v>
      </c>
      <c r="K41" s="10">
        <v>38476619.904587738</v>
      </c>
    </row>
    <row r="42" spans="1:11" x14ac:dyDescent="0.35">
      <c r="A42" s="9" t="s">
        <v>14</v>
      </c>
      <c r="B42" s="10">
        <v>629</v>
      </c>
      <c r="C42" s="10">
        <v>2</v>
      </c>
      <c r="D42" s="10">
        <v>5</v>
      </c>
      <c r="E42" s="10">
        <v>468</v>
      </c>
      <c r="F42" s="10">
        <v>15020445.159102108</v>
      </c>
      <c r="G42" s="10">
        <v>618</v>
      </c>
      <c r="H42" s="10">
        <v>1</v>
      </c>
      <c r="I42" s="10">
        <v>6</v>
      </c>
      <c r="J42" s="10">
        <v>570</v>
      </c>
      <c r="K42" s="10">
        <v>13614594.777193189</v>
      </c>
    </row>
    <row r="43" spans="1:11" x14ac:dyDescent="0.35">
      <c r="A43" s="9" t="s">
        <v>8</v>
      </c>
      <c r="B43" s="10">
        <v>1992</v>
      </c>
      <c r="C43" s="10">
        <v>3</v>
      </c>
      <c r="D43" s="10">
        <v>5</v>
      </c>
      <c r="E43" s="10">
        <v>2213</v>
      </c>
      <c r="F43" s="10">
        <v>42247576.219750777</v>
      </c>
      <c r="G43" s="10">
        <v>2057</v>
      </c>
      <c r="H43" s="10">
        <v>2</v>
      </c>
      <c r="I43" s="10">
        <v>6</v>
      </c>
      <c r="J43" s="10">
        <v>1914</v>
      </c>
      <c r="K43" s="10">
        <v>45470936.193361871</v>
      </c>
    </row>
    <row r="44" spans="1:11" x14ac:dyDescent="0.35">
      <c r="A44" s="9" t="s">
        <v>39</v>
      </c>
      <c r="B44" s="10">
        <v>873</v>
      </c>
      <c r="C44" s="10">
        <v>4</v>
      </c>
      <c r="D44" s="10">
        <v>4</v>
      </c>
      <c r="E44" s="10">
        <v>740</v>
      </c>
      <c r="F44" s="10">
        <v>28973262.41277713</v>
      </c>
      <c r="G44" s="10">
        <v>900</v>
      </c>
      <c r="H44" s="10">
        <v>3</v>
      </c>
      <c r="I44" s="10">
        <v>2</v>
      </c>
      <c r="J44" s="10">
        <v>1422</v>
      </c>
      <c r="K44" s="10">
        <v>29671640.615555849</v>
      </c>
    </row>
    <row r="45" spans="1:11" x14ac:dyDescent="0.35">
      <c r="A45" s="9" t="s">
        <v>6</v>
      </c>
      <c r="B45" s="10">
        <v>1154</v>
      </c>
      <c r="C45" s="10">
        <v>1</v>
      </c>
      <c r="D45" s="10">
        <v>3</v>
      </c>
      <c r="E45" s="10">
        <v>887</v>
      </c>
      <c r="F45" s="10">
        <v>24778612.015554167</v>
      </c>
      <c r="G45" s="10">
        <v>1081</v>
      </c>
      <c r="H45" s="10">
        <v>0</v>
      </c>
      <c r="I45" s="10">
        <v>3</v>
      </c>
      <c r="J45" s="10">
        <v>908</v>
      </c>
      <c r="K45" s="10">
        <v>16080664.001975443</v>
      </c>
    </row>
    <row r="46" spans="1:11" x14ac:dyDescent="0.35">
      <c r="A46" s="9" t="s">
        <v>41</v>
      </c>
      <c r="B46" s="10">
        <v>853</v>
      </c>
      <c r="C46" s="10">
        <v>0</v>
      </c>
      <c r="D46" s="10">
        <v>5</v>
      </c>
      <c r="E46" s="10">
        <v>649</v>
      </c>
      <c r="F46" s="10">
        <v>24227242.078079969</v>
      </c>
      <c r="G46" s="10">
        <v>831</v>
      </c>
      <c r="H46" s="10">
        <v>3</v>
      </c>
      <c r="I46" s="10">
        <v>4</v>
      </c>
      <c r="J46" s="10">
        <v>627</v>
      </c>
      <c r="K46" s="10">
        <v>23529348.521047913</v>
      </c>
    </row>
    <row r="47" spans="1:11" x14ac:dyDescent="0.35">
      <c r="A47" s="9" t="s">
        <v>158</v>
      </c>
      <c r="B47" s="10">
        <v>658</v>
      </c>
      <c r="C47" s="10">
        <v>1</v>
      </c>
      <c r="D47" s="10">
        <v>10</v>
      </c>
      <c r="E47" s="10">
        <v>565</v>
      </c>
      <c r="F47" s="10">
        <v>14652415.851613129</v>
      </c>
      <c r="G47" s="10">
        <v>706</v>
      </c>
      <c r="H47" s="10">
        <v>2</v>
      </c>
      <c r="I47" s="10">
        <v>10</v>
      </c>
      <c r="J47" s="10">
        <v>553</v>
      </c>
      <c r="K47" s="10">
        <v>15138233.493068304</v>
      </c>
    </row>
    <row r="48" spans="1:11" x14ac:dyDescent="0.35">
      <c r="A48" s="9" t="s">
        <v>160</v>
      </c>
      <c r="B48" s="10">
        <v>691</v>
      </c>
      <c r="C48" s="10">
        <v>1</v>
      </c>
      <c r="D48" s="10">
        <v>1</v>
      </c>
      <c r="E48" s="10">
        <v>794</v>
      </c>
      <c r="F48" s="10">
        <v>13960317.916001091</v>
      </c>
      <c r="G48" s="10">
        <v>686</v>
      </c>
      <c r="H48" s="10">
        <v>0</v>
      </c>
      <c r="I48" s="10">
        <v>2</v>
      </c>
      <c r="J48" s="10">
        <v>719</v>
      </c>
      <c r="K48" s="10">
        <v>13328418.590985743</v>
      </c>
    </row>
    <row r="49" spans="1:11" x14ac:dyDescent="0.35">
      <c r="A49" s="9" t="s">
        <v>83</v>
      </c>
      <c r="B49" s="10">
        <v>1287</v>
      </c>
      <c r="C49" s="10">
        <v>8</v>
      </c>
      <c r="D49" s="10">
        <v>6</v>
      </c>
      <c r="E49" s="10">
        <v>1117</v>
      </c>
      <c r="F49" s="10">
        <v>46742524.804393575</v>
      </c>
      <c r="G49" s="10">
        <v>1240</v>
      </c>
      <c r="H49" s="10">
        <v>0</v>
      </c>
      <c r="I49" s="10">
        <v>5</v>
      </c>
      <c r="J49" s="10">
        <v>2756</v>
      </c>
      <c r="K49" s="10">
        <v>40595640.839021318</v>
      </c>
    </row>
    <row r="50" spans="1:11" x14ac:dyDescent="0.35">
      <c r="A50" s="9" t="s">
        <v>202</v>
      </c>
      <c r="B50" s="10">
        <v>435</v>
      </c>
      <c r="C50" s="10">
        <v>0</v>
      </c>
      <c r="D50" s="10">
        <v>2</v>
      </c>
      <c r="E50" s="10">
        <v>444</v>
      </c>
      <c r="F50" s="10">
        <v>8358481.1128954859</v>
      </c>
      <c r="G50" s="10">
        <v>438</v>
      </c>
      <c r="H50" s="10">
        <v>0</v>
      </c>
      <c r="I50" s="10">
        <v>1</v>
      </c>
      <c r="J50" s="10">
        <v>797</v>
      </c>
      <c r="K50" s="10">
        <v>6648261.4434765307</v>
      </c>
    </row>
    <row r="51" spans="1:11" x14ac:dyDescent="0.35">
      <c r="A51" s="9" t="s">
        <v>31</v>
      </c>
      <c r="B51" s="10">
        <v>863</v>
      </c>
      <c r="C51" s="10">
        <v>0</v>
      </c>
      <c r="D51" s="10">
        <v>5</v>
      </c>
      <c r="E51" s="10">
        <v>926</v>
      </c>
      <c r="F51" s="10">
        <v>20752353.467917528</v>
      </c>
      <c r="G51" s="10">
        <v>908</v>
      </c>
      <c r="H51" s="10">
        <v>2</v>
      </c>
      <c r="I51" s="10">
        <v>7</v>
      </c>
      <c r="J51" s="10">
        <v>1570</v>
      </c>
      <c r="K51" s="10">
        <v>19574511.266347792</v>
      </c>
    </row>
    <row r="52" spans="1:11" x14ac:dyDescent="0.35">
      <c r="A52" s="9" t="s">
        <v>33</v>
      </c>
      <c r="B52" s="10">
        <v>1312</v>
      </c>
      <c r="C52" s="10">
        <v>5</v>
      </c>
      <c r="D52" s="10">
        <v>12</v>
      </c>
      <c r="E52" s="10">
        <v>985</v>
      </c>
      <c r="F52" s="10">
        <v>28496249.862501446</v>
      </c>
      <c r="G52" s="10">
        <v>1345</v>
      </c>
      <c r="H52" s="10">
        <v>3</v>
      </c>
      <c r="I52" s="10">
        <v>12</v>
      </c>
      <c r="J52" s="10">
        <v>465</v>
      </c>
      <c r="K52" s="10">
        <v>34212070.475824885</v>
      </c>
    </row>
    <row r="53" spans="1:11" x14ac:dyDescent="0.35">
      <c r="A53" s="9" t="s">
        <v>85</v>
      </c>
      <c r="B53" s="10">
        <v>483</v>
      </c>
      <c r="C53" s="10">
        <v>2</v>
      </c>
      <c r="D53" s="10">
        <v>5</v>
      </c>
      <c r="E53" s="10">
        <v>370</v>
      </c>
      <c r="F53" s="10">
        <v>15097189.995865844</v>
      </c>
      <c r="G53" s="10">
        <v>483</v>
      </c>
      <c r="H53" s="10">
        <v>1</v>
      </c>
      <c r="I53" s="10">
        <v>6</v>
      </c>
      <c r="J53" s="10">
        <v>233</v>
      </c>
      <c r="K53" s="10">
        <v>17699580.139482781</v>
      </c>
    </row>
    <row r="54" spans="1:11" x14ac:dyDescent="0.35">
      <c r="A54" s="9" t="s">
        <v>81</v>
      </c>
      <c r="B54" s="10">
        <v>444</v>
      </c>
      <c r="C54" s="10">
        <v>0</v>
      </c>
      <c r="D54" s="10">
        <v>7</v>
      </c>
      <c r="E54" s="10">
        <v>301</v>
      </c>
      <c r="F54" s="10">
        <v>16420270.784009542</v>
      </c>
      <c r="G54" s="10">
        <v>457</v>
      </c>
      <c r="H54" s="10">
        <v>0</v>
      </c>
      <c r="I54" s="10">
        <v>4</v>
      </c>
      <c r="J54" s="10">
        <v>211</v>
      </c>
      <c r="K54" s="10">
        <v>12890327.304175895</v>
      </c>
    </row>
    <row r="55" spans="1:11" x14ac:dyDescent="0.35">
      <c r="A55" s="9" t="s">
        <v>87</v>
      </c>
      <c r="B55" s="10">
        <v>426</v>
      </c>
      <c r="C55" s="10">
        <v>9</v>
      </c>
      <c r="D55" s="10">
        <v>2</v>
      </c>
      <c r="E55" s="10">
        <v>372</v>
      </c>
      <c r="F55" s="10">
        <v>13190676.148514977</v>
      </c>
      <c r="G55" s="10">
        <v>430</v>
      </c>
      <c r="H55" s="10">
        <v>1</v>
      </c>
      <c r="I55" s="10">
        <v>4</v>
      </c>
      <c r="J55" s="10">
        <v>220</v>
      </c>
      <c r="K55" s="10">
        <v>11150973.143566536</v>
      </c>
    </row>
    <row r="56" spans="1:11" x14ac:dyDescent="0.35">
      <c r="A56" s="9" t="s">
        <v>166</v>
      </c>
      <c r="B56" s="10">
        <v>1128</v>
      </c>
      <c r="C56" s="10">
        <v>1</v>
      </c>
      <c r="D56" s="10">
        <v>1</v>
      </c>
      <c r="E56" s="10">
        <v>979</v>
      </c>
      <c r="F56" s="10">
        <v>28683571.11333501</v>
      </c>
      <c r="G56" s="10">
        <v>1103</v>
      </c>
      <c r="H56" s="10">
        <v>3</v>
      </c>
      <c r="I56" s="10">
        <v>0</v>
      </c>
      <c r="J56" s="10">
        <v>661</v>
      </c>
      <c r="K56" s="10">
        <v>26199041.104115095</v>
      </c>
    </row>
    <row r="57" spans="1:11" x14ac:dyDescent="0.35">
      <c r="A57" s="9" t="s">
        <v>93</v>
      </c>
      <c r="B57" s="10">
        <v>955</v>
      </c>
      <c r="C57" s="10">
        <v>9</v>
      </c>
      <c r="D57" s="10">
        <v>3</v>
      </c>
      <c r="E57" s="10">
        <v>951</v>
      </c>
      <c r="F57" s="10">
        <v>30270197.395333569</v>
      </c>
      <c r="G57" s="10">
        <v>998</v>
      </c>
      <c r="H57" s="10">
        <v>5</v>
      </c>
      <c r="I57" s="10">
        <v>1</v>
      </c>
      <c r="J57" s="10">
        <v>715</v>
      </c>
      <c r="K57" s="10">
        <v>25284897.300338056</v>
      </c>
    </row>
    <row r="58" spans="1:11" x14ac:dyDescent="0.35">
      <c r="A58" s="9" t="s">
        <v>95</v>
      </c>
      <c r="B58" s="10">
        <v>2219</v>
      </c>
      <c r="C58" s="10">
        <v>34</v>
      </c>
      <c r="D58" s="10">
        <v>7</v>
      </c>
      <c r="E58" s="10">
        <v>1670</v>
      </c>
      <c r="F58" s="10">
        <v>38883489.20395907</v>
      </c>
      <c r="G58" s="10">
        <v>2065</v>
      </c>
      <c r="H58" s="10">
        <v>6</v>
      </c>
      <c r="I58" s="10">
        <v>8</v>
      </c>
      <c r="J58" s="10">
        <v>1226</v>
      </c>
      <c r="K58" s="10">
        <v>49694243.711567715</v>
      </c>
    </row>
    <row r="59" spans="1:11" x14ac:dyDescent="0.35">
      <c r="A59" s="9" t="s">
        <v>174</v>
      </c>
      <c r="B59" s="10">
        <v>683</v>
      </c>
      <c r="C59" s="10">
        <v>1</v>
      </c>
      <c r="D59" s="10">
        <v>0</v>
      </c>
      <c r="E59" s="10">
        <v>577</v>
      </c>
      <c r="F59" s="10">
        <v>14059897.113616962</v>
      </c>
      <c r="G59" s="10">
        <v>683</v>
      </c>
      <c r="H59" s="10">
        <v>4</v>
      </c>
      <c r="I59" s="10">
        <v>0</v>
      </c>
      <c r="J59" s="10">
        <v>453</v>
      </c>
      <c r="K59" s="10">
        <v>12002259.173613898</v>
      </c>
    </row>
    <row r="60" spans="1:11" x14ac:dyDescent="0.35">
      <c r="A60" s="9" t="s">
        <v>99</v>
      </c>
      <c r="B60" s="10">
        <v>875</v>
      </c>
      <c r="C60" s="10">
        <v>3</v>
      </c>
      <c r="D60" s="10">
        <v>5</v>
      </c>
      <c r="E60" s="10">
        <v>643</v>
      </c>
      <c r="F60" s="10">
        <v>20686122.966544252</v>
      </c>
      <c r="G60" s="10">
        <v>868</v>
      </c>
      <c r="H60" s="10">
        <v>5</v>
      </c>
      <c r="I60" s="10">
        <v>5</v>
      </c>
      <c r="J60" s="10">
        <v>510</v>
      </c>
      <c r="K60" s="10">
        <v>21289344.203055624</v>
      </c>
    </row>
    <row r="61" spans="1:11" x14ac:dyDescent="0.35">
      <c r="A61" s="9" t="s">
        <v>172</v>
      </c>
      <c r="B61" s="10">
        <v>788</v>
      </c>
      <c r="C61" s="10">
        <v>1</v>
      </c>
      <c r="D61" s="10">
        <v>1</v>
      </c>
      <c r="E61" s="10">
        <v>639</v>
      </c>
      <c r="F61" s="10">
        <v>16863635.008035466</v>
      </c>
      <c r="G61" s="10">
        <v>749</v>
      </c>
      <c r="H61" s="10">
        <v>3</v>
      </c>
      <c r="I61" s="10">
        <v>1</v>
      </c>
      <c r="J61" s="10">
        <v>516</v>
      </c>
      <c r="K61" s="10">
        <v>13013595.533991264</v>
      </c>
    </row>
    <row r="62" spans="1:11" x14ac:dyDescent="0.35">
      <c r="A62" s="9" t="s">
        <v>168</v>
      </c>
      <c r="B62" s="10">
        <v>1081</v>
      </c>
      <c r="C62" s="10">
        <v>4</v>
      </c>
      <c r="D62" s="10">
        <v>1</v>
      </c>
      <c r="E62" s="10">
        <v>1010</v>
      </c>
      <c r="F62" s="10">
        <v>28509568.786117759</v>
      </c>
      <c r="G62" s="10">
        <v>1107</v>
      </c>
      <c r="H62" s="10">
        <v>6</v>
      </c>
      <c r="I62" s="10">
        <v>0</v>
      </c>
      <c r="J62" s="10">
        <v>807</v>
      </c>
      <c r="K62" s="10">
        <v>27702105.186980639</v>
      </c>
    </row>
    <row r="63" spans="1:11" x14ac:dyDescent="0.35">
      <c r="A63" s="9" t="s">
        <v>101</v>
      </c>
      <c r="B63" s="10">
        <v>1340</v>
      </c>
      <c r="C63" s="10">
        <v>6</v>
      </c>
      <c r="D63" s="10">
        <v>4</v>
      </c>
      <c r="E63" s="10">
        <v>1404</v>
      </c>
      <c r="F63" s="10">
        <v>35146427.627709694</v>
      </c>
      <c r="G63" s="10">
        <v>1436</v>
      </c>
      <c r="H63" s="10">
        <v>4</v>
      </c>
      <c r="I63" s="10">
        <v>4</v>
      </c>
      <c r="J63" s="10">
        <v>1441</v>
      </c>
      <c r="K63" s="10">
        <v>33966036.339512989</v>
      </c>
    </row>
    <row r="64" spans="1:11" x14ac:dyDescent="0.35">
      <c r="A64" s="9" t="s">
        <v>103</v>
      </c>
      <c r="B64" s="10">
        <v>777</v>
      </c>
      <c r="C64" s="10">
        <v>4</v>
      </c>
      <c r="D64" s="10">
        <v>5</v>
      </c>
      <c r="E64" s="10">
        <v>693</v>
      </c>
      <c r="F64" s="10">
        <v>18496571.488525391</v>
      </c>
      <c r="G64" s="10">
        <v>774</v>
      </c>
      <c r="H64" s="10">
        <v>1</v>
      </c>
      <c r="I64" s="10">
        <v>4</v>
      </c>
      <c r="J64" s="10">
        <v>648</v>
      </c>
      <c r="K64" s="10">
        <v>18635735.040618103</v>
      </c>
    </row>
    <row r="65" spans="1:11" x14ac:dyDescent="0.35">
      <c r="A65" s="9" t="s">
        <v>105</v>
      </c>
      <c r="B65" s="10">
        <v>690</v>
      </c>
      <c r="C65" s="10">
        <v>3</v>
      </c>
      <c r="D65" s="10">
        <v>5</v>
      </c>
      <c r="E65" s="10">
        <v>453</v>
      </c>
      <c r="F65" s="10">
        <v>21311583.419039447</v>
      </c>
      <c r="G65" s="10">
        <v>651</v>
      </c>
      <c r="H65" s="10">
        <v>7</v>
      </c>
      <c r="I65" s="10">
        <v>5</v>
      </c>
      <c r="J65" s="10">
        <v>450</v>
      </c>
      <c r="K65" s="10">
        <v>20855323.597276349</v>
      </c>
    </row>
    <row r="66" spans="1:11" x14ac:dyDescent="0.35">
      <c r="A66" s="9" t="s">
        <v>24</v>
      </c>
      <c r="B66" s="10">
        <v>2027</v>
      </c>
      <c r="C66" s="10">
        <v>8</v>
      </c>
      <c r="D66" s="10">
        <v>9</v>
      </c>
      <c r="E66" s="10">
        <v>1661</v>
      </c>
      <c r="F66" s="10">
        <v>52066758.950409554</v>
      </c>
      <c r="G66" s="10">
        <v>1983</v>
      </c>
      <c r="H66" s="10">
        <v>9</v>
      </c>
      <c r="I66" s="10">
        <v>10</v>
      </c>
      <c r="J66" s="10">
        <v>1641</v>
      </c>
      <c r="K66" s="10">
        <v>67354281.232562438</v>
      </c>
    </row>
    <row r="67" spans="1:11" x14ac:dyDescent="0.35">
      <c r="A67" s="9" t="s">
        <v>27</v>
      </c>
      <c r="B67" s="10">
        <v>1624</v>
      </c>
      <c r="C67" s="10">
        <v>14</v>
      </c>
      <c r="D67" s="10">
        <v>8</v>
      </c>
      <c r="E67" s="10">
        <v>1117</v>
      </c>
      <c r="F67" s="10">
        <v>50435773.987107798</v>
      </c>
      <c r="G67" s="10">
        <v>1583</v>
      </c>
      <c r="H67" s="10">
        <v>12</v>
      </c>
      <c r="I67" s="10">
        <v>6</v>
      </c>
      <c r="J67" s="10">
        <v>1265</v>
      </c>
      <c r="K67" s="10">
        <v>49454368.591136239</v>
      </c>
    </row>
    <row r="68" spans="1:11" x14ac:dyDescent="0.35">
      <c r="A68" s="9" t="s">
        <v>29</v>
      </c>
      <c r="B68" s="10">
        <v>863</v>
      </c>
      <c r="C68" s="10">
        <v>2</v>
      </c>
      <c r="D68" s="10">
        <v>1</v>
      </c>
      <c r="E68" s="10">
        <v>759</v>
      </c>
      <c r="F68" s="10">
        <v>32576705.122849252</v>
      </c>
      <c r="G68" s="10">
        <v>884</v>
      </c>
      <c r="H68" s="10">
        <v>4</v>
      </c>
      <c r="I68" s="10">
        <v>1</v>
      </c>
      <c r="J68" s="10">
        <v>734</v>
      </c>
      <c r="K68" s="10">
        <v>32506719.517589524</v>
      </c>
    </row>
    <row r="69" spans="1:11" x14ac:dyDescent="0.35">
      <c r="A69" s="9" t="s">
        <v>57</v>
      </c>
      <c r="B69" s="10">
        <v>1856</v>
      </c>
      <c r="C69" s="10">
        <v>40</v>
      </c>
      <c r="D69" s="10">
        <v>13</v>
      </c>
      <c r="E69" s="10">
        <v>1247</v>
      </c>
      <c r="F69" s="10">
        <v>46217872.902747199</v>
      </c>
      <c r="G69" s="10">
        <v>2317</v>
      </c>
      <c r="H69" s="10">
        <v>369</v>
      </c>
      <c r="I69" s="10">
        <v>12</v>
      </c>
      <c r="J69" s="10">
        <v>1308</v>
      </c>
      <c r="K69" s="10">
        <v>49572620.973607913</v>
      </c>
    </row>
    <row r="70" spans="1:11" x14ac:dyDescent="0.35">
      <c r="A70" s="9" t="s">
        <v>137</v>
      </c>
      <c r="B70" s="10">
        <v>266</v>
      </c>
      <c r="C70" s="10">
        <v>1</v>
      </c>
      <c r="D70" s="10">
        <v>1</v>
      </c>
      <c r="E70" s="10">
        <v>266</v>
      </c>
      <c r="F70" s="10">
        <v>3625270.0844115838</v>
      </c>
      <c r="G70" s="10">
        <v>247</v>
      </c>
      <c r="H70" s="10">
        <v>0</v>
      </c>
      <c r="I70" s="10">
        <v>1</v>
      </c>
      <c r="J70" s="10">
        <v>250</v>
      </c>
      <c r="K70" s="10">
        <v>1350194.3692348029</v>
      </c>
    </row>
    <row r="71" spans="1:11" x14ac:dyDescent="0.35">
      <c r="A71" s="9" t="s">
        <v>10</v>
      </c>
      <c r="B71" s="10">
        <v>1754</v>
      </c>
      <c r="C71" s="10">
        <v>2</v>
      </c>
      <c r="D71" s="10">
        <v>7</v>
      </c>
      <c r="E71" s="10">
        <v>1578</v>
      </c>
      <c r="F71" s="10">
        <v>37078833.059941009</v>
      </c>
      <c r="G71" s="10">
        <v>1669</v>
      </c>
      <c r="H71" s="10">
        <v>7</v>
      </c>
      <c r="I71" s="10">
        <v>6</v>
      </c>
      <c r="J71" s="10">
        <v>1480</v>
      </c>
      <c r="K71" s="10">
        <v>35144336.780402198</v>
      </c>
    </row>
    <row r="72" spans="1:11" x14ac:dyDescent="0.35">
      <c r="A72" s="9" t="s">
        <v>12</v>
      </c>
      <c r="B72" s="10">
        <v>665</v>
      </c>
      <c r="C72" s="10">
        <v>2</v>
      </c>
      <c r="D72" s="10">
        <v>2</v>
      </c>
      <c r="E72" s="10">
        <v>545</v>
      </c>
      <c r="F72" s="10">
        <v>14360464.125569835</v>
      </c>
      <c r="G72" s="10">
        <v>736</v>
      </c>
      <c r="H72" s="10">
        <v>1</v>
      </c>
      <c r="I72" s="10">
        <v>3</v>
      </c>
      <c r="J72" s="10">
        <v>638</v>
      </c>
      <c r="K72" s="10">
        <v>16822352.835773688</v>
      </c>
    </row>
    <row r="73" spans="1:11" x14ac:dyDescent="0.35">
      <c r="A73" s="9" t="s">
        <v>162</v>
      </c>
      <c r="B73" s="10">
        <v>1322</v>
      </c>
      <c r="C73" s="10">
        <v>22</v>
      </c>
      <c r="D73" s="10">
        <v>5</v>
      </c>
      <c r="E73" s="10">
        <v>892</v>
      </c>
      <c r="F73" s="10">
        <v>24699781.872286916</v>
      </c>
      <c r="G73" s="10">
        <v>1367</v>
      </c>
      <c r="H73" s="10">
        <v>19</v>
      </c>
      <c r="I73" s="10">
        <v>4</v>
      </c>
      <c r="J73" s="10">
        <v>842</v>
      </c>
      <c r="K73" s="10">
        <v>23886309.979035523</v>
      </c>
    </row>
    <row r="74" spans="1:11" x14ac:dyDescent="0.35">
      <c r="A74" s="9" t="s">
        <v>63</v>
      </c>
      <c r="B74" s="10">
        <v>1397</v>
      </c>
      <c r="C74" s="10">
        <v>5</v>
      </c>
      <c r="D74" s="10">
        <v>5</v>
      </c>
      <c r="E74" s="10">
        <v>1671</v>
      </c>
      <c r="F74" s="10">
        <v>14040754.724470759</v>
      </c>
      <c r="G74" s="10">
        <v>1283</v>
      </c>
      <c r="H74" s="10">
        <v>2</v>
      </c>
      <c r="I74" s="10">
        <v>5</v>
      </c>
      <c r="J74" s="10">
        <v>982</v>
      </c>
      <c r="K74" s="10">
        <v>14655444.982134709</v>
      </c>
    </row>
    <row r="75" spans="1:11" x14ac:dyDescent="0.35">
      <c r="A75" s="9" t="s">
        <v>59</v>
      </c>
      <c r="B75" s="10">
        <v>1742</v>
      </c>
      <c r="C75" s="10">
        <v>5</v>
      </c>
      <c r="D75" s="10">
        <v>5</v>
      </c>
      <c r="E75" s="10">
        <v>1397</v>
      </c>
      <c r="F75" s="10">
        <v>42772224.122835599</v>
      </c>
      <c r="G75" s="10">
        <v>1745</v>
      </c>
      <c r="H75" s="10">
        <v>8</v>
      </c>
      <c r="I75" s="10">
        <v>4</v>
      </c>
      <c r="J75" s="10">
        <v>1213</v>
      </c>
      <c r="K75" s="10">
        <v>43224353.113018826</v>
      </c>
    </row>
    <row r="76" spans="1:11" x14ac:dyDescent="0.35">
      <c r="A76" s="9" t="s">
        <v>139</v>
      </c>
      <c r="B76" s="10">
        <v>483</v>
      </c>
      <c r="C76" s="10">
        <v>2</v>
      </c>
      <c r="D76" s="10">
        <v>2</v>
      </c>
      <c r="E76" s="10">
        <v>557</v>
      </c>
      <c r="F76" s="10">
        <v>9589492.6070907712</v>
      </c>
      <c r="G76" s="10">
        <v>515</v>
      </c>
      <c r="H76" s="10">
        <v>2</v>
      </c>
      <c r="I76" s="10">
        <v>1</v>
      </c>
      <c r="J76" s="10">
        <v>629</v>
      </c>
      <c r="K76" s="10">
        <v>8720745.3927304987</v>
      </c>
    </row>
    <row r="77" spans="1:11" x14ac:dyDescent="0.35">
      <c r="A77" s="9" t="s">
        <v>170</v>
      </c>
      <c r="B77" s="10">
        <v>899</v>
      </c>
      <c r="C77" s="10">
        <v>1</v>
      </c>
      <c r="D77" s="10">
        <v>1</v>
      </c>
      <c r="E77" s="10">
        <v>822</v>
      </c>
      <c r="F77" s="10">
        <v>14782444.521858055</v>
      </c>
      <c r="G77" s="10">
        <v>882</v>
      </c>
      <c r="H77" s="10">
        <v>2</v>
      </c>
      <c r="I77" s="10">
        <v>1</v>
      </c>
      <c r="J77" s="10">
        <v>669</v>
      </c>
      <c r="K77" s="10">
        <v>13423851.621452449</v>
      </c>
    </row>
    <row r="78" spans="1:11" x14ac:dyDescent="0.35">
      <c r="A78" s="9" t="s">
        <v>61</v>
      </c>
      <c r="B78" s="10">
        <v>690</v>
      </c>
      <c r="C78" s="10">
        <v>1</v>
      </c>
      <c r="D78" s="10">
        <v>4</v>
      </c>
      <c r="E78" s="10">
        <v>493</v>
      </c>
      <c r="F78" s="10">
        <v>9926102.0989064872</v>
      </c>
      <c r="G78" s="10">
        <v>652</v>
      </c>
      <c r="H78" s="10">
        <v>0</v>
      </c>
      <c r="I78" s="10">
        <v>3</v>
      </c>
      <c r="J78" s="10">
        <v>485</v>
      </c>
      <c r="K78" s="10">
        <v>13414443.231452348</v>
      </c>
    </row>
    <row r="79" spans="1:11" x14ac:dyDescent="0.35">
      <c r="A79" s="9" t="s">
        <v>129</v>
      </c>
      <c r="B79" s="10">
        <v>591</v>
      </c>
      <c r="C79" s="10">
        <v>3</v>
      </c>
      <c r="D79" s="10">
        <v>1</v>
      </c>
      <c r="E79" s="10">
        <v>701</v>
      </c>
      <c r="F79" s="10">
        <v>9748712.1952629611</v>
      </c>
      <c r="G79" s="10">
        <v>601</v>
      </c>
      <c r="H79" s="10">
        <v>5</v>
      </c>
      <c r="I79" s="10">
        <v>1</v>
      </c>
      <c r="J79" s="10">
        <v>710</v>
      </c>
      <c r="K79" s="10">
        <v>11048829.612400329</v>
      </c>
    </row>
    <row r="80" spans="1:11" x14ac:dyDescent="0.35">
      <c r="A80" s="9" t="s">
        <v>35</v>
      </c>
      <c r="B80" s="10">
        <v>443</v>
      </c>
      <c r="C80" s="10">
        <v>4</v>
      </c>
      <c r="D80" s="10">
        <v>5</v>
      </c>
      <c r="E80" s="10">
        <v>391</v>
      </c>
      <c r="F80" s="10">
        <v>11180752.377334528</v>
      </c>
      <c r="G80" s="10">
        <v>447</v>
      </c>
      <c r="H80" s="10">
        <v>0</v>
      </c>
      <c r="I80" s="10">
        <v>7</v>
      </c>
      <c r="J80" s="10">
        <v>251</v>
      </c>
      <c r="K80" s="10">
        <v>11874682.330901796</v>
      </c>
    </row>
    <row r="81" spans="1:11" x14ac:dyDescent="0.35">
      <c r="A81" s="9" t="s">
        <v>107</v>
      </c>
      <c r="B81" s="10">
        <v>978</v>
      </c>
      <c r="C81" s="10">
        <v>5</v>
      </c>
      <c r="D81" s="10">
        <v>4</v>
      </c>
      <c r="E81" s="10">
        <v>774</v>
      </c>
      <c r="F81" s="10">
        <v>31391312.242365938</v>
      </c>
      <c r="G81" s="10">
        <v>942</v>
      </c>
      <c r="H81" s="10">
        <v>4</v>
      </c>
      <c r="I81" s="10">
        <v>3</v>
      </c>
      <c r="J81" s="10">
        <v>735</v>
      </c>
      <c r="K81" s="10">
        <v>31274170.374765057</v>
      </c>
    </row>
    <row r="82" spans="1:11" x14ac:dyDescent="0.35">
      <c r="A82" s="9" t="s">
        <v>37</v>
      </c>
      <c r="B82" s="10">
        <v>789</v>
      </c>
      <c r="C82" s="10">
        <v>2</v>
      </c>
      <c r="D82" s="10">
        <v>9</v>
      </c>
      <c r="E82" s="10">
        <v>721</v>
      </c>
      <c r="F82" s="10">
        <v>18988654.507708855</v>
      </c>
      <c r="G82" s="10">
        <v>772</v>
      </c>
      <c r="H82" s="10">
        <v>2</v>
      </c>
      <c r="I82" s="10">
        <v>10</v>
      </c>
      <c r="J82" s="10">
        <v>2118</v>
      </c>
      <c r="K82" s="10">
        <v>18899937.995990712</v>
      </c>
    </row>
    <row r="83" spans="1:11" x14ac:dyDescent="0.35">
      <c r="A83" s="9" t="s">
        <v>76</v>
      </c>
      <c r="B83" s="10">
        <v>941</v>
      </c>
      <c r="C83" s="10">
        <v>0</v>
      </c>
      <c r="D83" s="10">
        <v>2</v>
      </c>
      <c r="E83" s="10">
        <v>899</v>
      </c>
      <c r="F83" s="10">
        <v>15805318.288240936</v>
      </c>
      <c r="G83" s="10">
        <v>960</v>
      </c>
      <c r="H83" s="10">
        <v>1</v>
      </c>
      <c r="I83" s="10">
        <v>2</v>
      </c>
      <c r="J83" s="10">
        <v>855</v>
      </c>
      <c r="K83" s="10">
        <v>15125684.077691879</v>
      </c>
    </row>
    <row r="84" spans="1:11" x14ac:dyDescent="0.35">
      <c r="A84" s="9" t="s">
        <v>65</v>
      </c>
      <c r="B84" s="10">
        <v>1013</v>
      </c>
      <c r="C84" s="10">
        <v>4</v>
      </c>
      <c r="D84" s="10">
        <v>4</v>
      </c>
      <c r="E84" s="10">
        <v>813</v>
      </c>
      <c r="F84" s="10">
        <v>17980106.353986889</v>
      </c>
      <c r="G84" s="10">
        <v>996</v>
      </c>
      <c r="H84" s="10">
        <v>1</v>
      </c>
      <c r="I84" s="10">
        <v>5</v>
      </c>
      <c r="J84" s="10">
        <v>842</v>
      </c>
      <c r="K84" s="10">
        <v>14533223.238636944</v>
      </c>
    </row>
    <row r="85" spans="1:11" x14ac:dyDescent="0.35">
      <c r="A85" s="9" t="s">
        <v>89</v>
      </c>
      <c r="B85" s="10">
        <v>750</v>
      </c>
      <c r="C85" s="10">
        <v>3</v>
      </c>
      <c r="D85" s="10">
        <v>5</v>
      </c>
      <c r="E85" s="10">
        <v>746</v>
      </c>
      <c r="F85" s="10">
        <v>18620384.172661994</v>
      </c>
      <c r="G85" s="10">
        <v>757</v>
      </c>
      <c r="H85" s="10">
        <v>2</v>
      </c>
      <c r="I85" s="10">
        <v>6</v>
      </c>
      <c r="J85" s="10">
        <v>408</v>
      </c>
      <c r="K85" s="10">
        <v>19678596.684385128</v>
      </c>
    </row>
    <row r="86" spans="1:11" x14ac:dyDescent="0.35">
      <c r="A86" s="9" t="s">
        <v>147</v>
      </c>
      <c r="B86" s="10">
        <v>568</v>
      </c>
      <c r="C86" s="10">
        <v>1</v>
      </c>
      <c r="D86" s="10">
        <v>1</v>
      </c>
      <c r="E86" s="10">
        <v>520</v>
      </c>
      <c r="F86" s="10">
        <v>8842619.4253564347</v>
      </c>
      <c r="G86" s="10">
        <v>569</v>
      </c>
      <c r="H86" s="10">
        <v>1</v>
      </c>
      <c r="I86" s="10">
        <v>1</v>
      </c>
      <c r="J86" s="10">
        <v>540</v>
      </c>
      <c r="K86" s="10">
        <v>9379650.8358766995</v>
      </c>
    </row>
    <row r="87" spans="1:11" x14ac:dyDescent="0.35">
      <c r="A87" s="9" t="s">
        <v>164</v>
      </c>
      <c r="B87" s="10">
        <v>1722</v>
      </c>
      <c r="C87" s="10">
        <v>5</v>
      </c>
      <c r="D87" s="10">
        <v>10</v>
      </c>
      <c r="E87" s="10">
        <v>1321</v>
      </c>
      <c r="F87" s="10">
        <v>35571479.183830611</v>
      </c>
      <c r="G87" s="10">
        <v>1762</v>
      </c>
      <c r="H87" s="10">
        <v>0</v>
      </c>
      <c r="I87" s="10">
        <v>10</v>
      </c>
      <c r="J87" s="10">
        <v>1316</v>
      </c>
      <c r="K87" s="10">
        <v>38722670.295691326</v>
      </c>
    </row>
    <row r="88" spans="1:11" x14ac:dyDescent="0.35">
      <c r="A88" s="9" t="s">
        <v>91</v>
      </c>
      <c r="B88" s="10">
        <v>657</v>
      </c>
      <c r="C88" s="10">
        <v>4</v>
      </c>
      <c r="D88" s="10">
        <v>3</v>
      </c>
      <c r="E88" s="10">
        <v>673</v>
      </c>
      <c r="F88" s="10">
        <v>10381530.962787962</v>
      </c>
      <c r="G88" s="10">
        <v>564</v>
      </c>
      <c r="H88" s="10">
        <v>0</v>
      </c>
      <c r="I88" s="10">
        <v>3</v>
      </c>
      <c r="J88" s="10">
        <v>734</v>
      </c>
      <c r="K88" s="10">
        <v>8630087.2264204156</v>
      </c>
    </row>
    <row r="89" spans="1:11" x14ac:dyDescent="0.35">
      <c r="A89" s="9" t="s">
        <v>97</v>
      </c>
      <c r="B89" s="10">
        <v>618</v>
      </c>
      <c r="C89" s="10">
        <v>10</v>
      </c>
      <c r="D89" s="10">
        <v>7</v>
      </c>
      <c r="E89" s="10">
        <v>1110</v>
      </c>
      <c r="F89" s="10">
        <v>17326990.22087634</v>
      </c>
      <c r="G89" s="10">
        <v>644</v>
      </c>
      <c r="H89" s="10">
        <v>4</v>
      </c>
      <c r="I89" s="10">
        <v>7</v>
      </c>
      <c r="J89" s="10">
        <v>408</v>
      </c>
      <c r="K89" s="10">
        <v>17500296.393373366</v>
      </c>
    </row>
    <row r="90" spans="1:11" x14ac:dyDescent="0.35">
      <c r="A90" s="9" t="s">
        <v>78</v>
      </c>
      <c r="B90" s="10">
        <v>358</v>
      </c>
      <c r="C90" s="10">
        <v>1</v>
      </c>
      <c r="D90" s="10">
        <v>1</v>
      </c>
      <c r="E90" s="10">
        <v>313</v>
      </c>
      <c r="F90" s="10">
        <v>5027836.3395618377</v>
      </c>
      <c r="G90" s="10">
        <v>365</v>
      </c>
      <c r="H90" s="10">
        <v>2</v>
      </c>
      <c r="I90" s="10">
        <v>1</v>
      </c>
      <c r="J90" s="10">
        <v>380</v>
      </c>
      <c r="K90" s="10">
        <v>4318945.0415773364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2026-08-14T11:02:37Z</dcterms:modified>
</cp:coreProperties>
</file>