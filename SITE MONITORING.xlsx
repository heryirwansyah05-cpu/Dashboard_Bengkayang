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<sst xmlns="http://schemas.openxmlformats.org/spreadsheetml/2006/main" count="540" uniqueCount="205">
  <si>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</si>
  <si>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</si>
  <si>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</si>
  <si>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</si>
  <si>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</si>
  <si>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</si>
  <si>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</si>
  <si>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</si>
  <si>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</si>
  <si>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</si>
  <si>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</si>
  <si>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</si>
  <si>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</si>
  <si>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</si>
  <si>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</si>
  <si>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</si>
  <si>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</si>
  <si>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</si>
  <si>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</si>
  <si>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</si>
  <si>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</si>
  <si>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</si>
  <si>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</si>
  <si>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</si>
  <si>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</si>
  <si>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</si>
  <si>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</si>
  <si>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</si>
  <si>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</si>
  <si>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</si>
  <si>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</si>
  <si>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</si>
  <si>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</si>
  <si>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</si>
  <si>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</si>
  <si>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</si>
  <si>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</si>
  <si>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</si>
  <si>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</si>
  <si>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</si>
  <si>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</si>
  <si>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</si>
  <si>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</si>
  <si>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</si>
  <si>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</si>
  <si>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</si>
  <si>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</si>
  <si>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</si>
  <si>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</si>
  <si>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</si>
  <si>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</si>
  <si>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</si>
  <si>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</si>
  <si>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</si>
  <si>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</si>
  <si>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</si>
  <si>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</si>
  <si>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</si>
  <si>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</si>
  <si>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</si>
  <si>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</si>
  <si>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</si>
  <si>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</si>
  <si>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</si>
  <si>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</si>
  <si>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</si>
  <si>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</si>
  <si>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</si>
  <si>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</si>
  <si>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</si>
  <si>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</si>
  <si>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</si>
  <si>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</si>
  <si>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</si>
  <si>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</si>
  <si>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</si>
  <si>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</si>
  <si>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</si>
  <si>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</si>
  <si>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</si>
  <si>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</si>
  <si>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</si>
  <si>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</si>
  <si>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</si>
  <si>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</si>
  <si>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</si>
  <si>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</si>
  <si>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</si>
  <si>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</si>
  <si>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</si>
  <si>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</si>
  <si>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</si>
  <si>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</si>
  <si>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</si>
  <si>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</si>
  <si>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</si>
  <si>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</si>
  <si>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</si>
  <si>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</si>
  <si>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</si>
  <si>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</si>
  <si>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</si>
  <si>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</si>
  <si>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</si>
  <si>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</si>
  <si>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</si>
  <si>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</si>
  <si>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</si>
  <si>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</si>
  <si>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</si>
  <si>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</si>
  <si>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</si>
  <si>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</si>
  <si>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</si>
  <si>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</si>
  <si>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</si>
  <si>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</si>
  <si>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</si>
  <si>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</si>
  <si>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</si>
  <si>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</si>
  <si>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</si>
  <si>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</si>
  <si>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</si>
  <si>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</si>
  <si>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</si>
  <si>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</si>
  <si>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</si>
  <si>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</si>
  <si>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</si>
  <si>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</si>
  <si>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</si>
  <si>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</si>
  <si>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</si>
  <si>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</si>
  <si>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</si>
  <si>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</si>
  <si>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</si>
  <si>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</si>
  <si>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</si>
  <si>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</si>
  <si>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</si>
  <si>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</si>
  <si>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</si>
  <si>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</si>
  <si>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</si>
  <si>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</si>
  <si>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</si>
  <si>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</si>
  <si>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</si>
  <si>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</si>
  <si>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</si>
  <si>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</si>
  <si>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</si>
  <si>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</si>
  <si>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</si>
  <si>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</si>
  <si>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</si>
  <si>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</si>
  <si>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</si>
  <si>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</si>
  <si>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</si>
  <si>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</si>
  <si>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</si>
  <si>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</si>
  <si>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</si>
  <si>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</si>
  <si>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</si>
  <si>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</si>
  <si>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</si>
  <si>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</si>
  <si>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</si>
  <si>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</si>
  <si>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</si>
  <si>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</si>
  <si>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</si>
  <si>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</si>
  <si>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</si>
  <si>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</si>
  <si>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</si>
  <si>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</si>
  <si>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</si>
  <si>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</si>
  <si>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</si>
  <si>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</si>
  <si>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</si>
  <si>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</si>
  <si>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</si>
  <si>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</si>
  <si>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</si>
  <si>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</si>
  <si>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</si>
  <si>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</si>
  <si>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</si>
  <si>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</si>
  <si>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</si>
  <si>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</si>
  <si>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</si>
  <si>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</si>
  <si>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</si>
  <si>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</si>
  <si>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</si>
  <si>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</si>
  <si>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</si>
  <si>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Count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</si>
</sst>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17517824.936644945</v>
      </c>
      <c r="G2" s="1">
        <f>VLOOKUP(A:A,MASTER!A:K,11,0)</f>
        <v>17754017.243240628</v>
      </c>
      <c r="H2" s="12">
        <f>IFERROR(G2/F2-1,0)</f>
        <v>1.3482969914923704E-2</v>
      </c>
      <c r="I2" s="2">
        <f>VLOOKUP(A:A,MASTER!A:E,5,0)</f>
        <v>364</v>
      </c>
      <c r="J2" s="2">
        <f>VLOOKUP(A:A,MASTER!A:J,10,0)</f>
        <v>442</v>
      </c>
      <c r="K2" s="12">
        <f>IFERROR(J2/I2-1,0)</f>
        <v>0.21428571428571419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1</v>
      </c>
      <c r="P2" s="1">
        <f>VLOOKUP(A:A,MASTER!A:H,8,0)</f>
        <v>1</v>
      </c>
      <c r="Q2" s="12">
        <f>IFERROR(P2/O2-1,0)</f>
        <v>0</v>
      </c>
      <c r="R2" s="1">
        <f>VLOOKUP(A:A,MASTER!A:B,2,0)</f>
        <v>407</v>
      </c>
      <c r="S2">
        <f>VLOOKUP(A:A,MASTER!A:G,7,0)</f>
        <v>426</v>
      </c>
      <c r="T2" s="12">
        <f>IFERROR(S2/R2-1,0)</f>
        <v>4.6683046683046792E-2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21083329.480549503</v>
      </c>
      <c r="G3" s="1">
        <f>VLOOKUP(A:A,MASTER!A:K,11,0)</f>
        <v>20599306.42789045</v>
      </c>
      <c r="H3" s="12">
        <f t="shared" ref="H3:H66" si="0">IFERROR(G3/F3-1,0)</f>
        <v>-2.2957619341176239E-2</v>
      </c>
      <c r="I3" s="2">
        <f>VLOOKUP(A:A,MASTER!A:E,5,0)</f>
        <v>524</v>
      </c>
      <c r="J3" s="2">
        <f>VLOOKUP(A:A,MASTER!A:J,10,0)</f>
        <v>531</v>
      </c>
      <c r="K3" s="12">
        <f t="shared" ref="K3:K66" si="1">IFERROR(J3/I3-1,0)</f>
        <v>1.3358778625954137E-2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1</v>
      </c>
      <c r="P3" s="1">
        <f>VLOOKUP(A:A,MASTER!A:H,8,0)</f>
        <v>1</v>
      </c>
      <c r="Q3" s="12">
        <f t="shared" ref="Q3:Q66" si="3">IFERROR(P3/O3-1,0)</f>
        <v>0</v>
      </c>
      <c r="R3" s="1">
        <f>VLOOKUP(A:A,MASTER!A:B,2,0)</f>
        <v>663</v>
      </c>
      <c r="S3">
        <f>VLOOKUP(A:A,MASTER!A:G,7,0)</f>
        <v>592</v>
      </c>
      <c r="T3" s="12">
        <f t="shared" ref="T3:T66" si="4">IFERROR(S3/R3-1,0)</f>
        <v>-0.10708898944193057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26904304.520968296</v>
      </c>
      <c r="G4" s="1">
        <f>VLOOKUP(A:A,MASTER!A:K,11,0)</f>
        <v>30644998.808774374</v>
      </c>
      <c r="H4" s="12">
        <f t="shared" si="0"/>
        <v>0.13903701858900352</v>
      </c>
      <c r="I4" s="2">
        <f>VLOOKUP(A:A,MASTER!A:E,5,0)</f>
        <v>732</v>
      </c>
      <c r="J4" s="2">
        <f>VLOOKUP(A:A,MASTER!A:J,10,0)</f>
        <v>1061</v>
      </c>
      <c r="K4" s="12">
        <f t="shared" si="1"/>
        <v>0.44945355191256842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</v>
      </c>
      <c r="P4" s="1">
        <f>VLOOKUP(A:A,MASTER!A:H,8,0)</f>
        <v>1</v>
      </c>
      <c r="Q4" s="12">
        <f t="shared" si="3"/>
        <v>0</v>
      </c>
      <c r="R4" s="1">
        <f>VLOOKUP(A:A,MASTER!A:B,2,0)</f>
        <v>703</v>
      </c>
      <c r="S4">
        <f>VLOOKUP(A:A,MASTER!A:G,7,0)</f>
        <v>784</v>
      </c>
      <c r="T4" s="12">
        <f t="shared" si="4"/>
        <v>0.11522048364153625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45502285.860905826</v>
      </c>
      <c r="G5" s="1">
        <f>VLOOKUP(A:A,MASTER!A:K,11,0)</f>
        <v>47060305.920977235</v>
      </c>
      <c r="H5" s="12">
        <f t="shared" si="0"/>
        <v>3.4240478925257944E-2</v>
      </c>
      <c r="I5" s="2">
        <f>VLOOKUP(A:A,MASTER!A:E,5,0)</f>
        <v>1127</v>
      </c>
      <c r="J5" s="2">
        <f>VLOOKUP(A:A,MASTER!A:J,10,0)</f>
        <v>1319</v>
      </c>
      <c r="K5" s="12">
        <f t="shared" si="1"/>
        <v>0.17036379769299015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1</v>
      </c>
      <c r="P5" s="1">
        <f>VLOOKUP(A:A,MASTER!A:H,8,0)</f>
        <v>1</v>
      </c>
      <c r="Q5" s="12">
        <f t="shared" si="3"/>
        <v>0</v>
      </c>
      <c r="R5" s="1">
        <f>VLOOKUP(A:A,MASTER!A:B,2,0)</f>
        <v>1208</v>
      </c>
      <c r="S5">
        <f>VLOOKUP(A:A,MASTER!A:G,7,0)</f>
        <v>1267</v>
      </c>
      <c r="T5" s="12">
        <f t="shared" si="4"/>
        <v>4.8841059602648951E-2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19025856.490399856</v>
      </c>
      <c r="G6" s="1">
        <f>VLOOKUP(A:A,MASTER!A:K,11,0)</f>
        <v>20123601.930200331</v>
      </c>
      <c r="H6" s="12">
        <f t="shared" si="0"/>
        <v>5.7697557024798396E-2</v>
      </c>
      <c r="I6" s="2">
        <f>VLOOKUP(A:A,MASTER!A:E,5,0)</f>
        <v>128</v>
      </c>
      <c r="J6" s="2">
        <f>VLOOKUP(A:A,MASTER!A:J,10,0)</f>
        <v>682</v>
      </c>
      <c r="K6" s="12">
        <f t="shared" si="1"/>
        <v>4.328125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1</v>
      </c>
      <c r="Q6" s="12">
        <f t="shared" si="3"/>
        <v>0</v>
      </c>
      <c r="R6" s="1">
        <f>VLOOKUP(A:A,MASTER!A:B,2,0)</f>
        <v>401</v>
      </c>
      <c r="S6">
        <f>VLOOKUP(A:A,MASTER!A:G,7,0)</f>
        <v>394</v>
      </c>
      <c r="T6" s="12">
        <f t="shared" si="4"/>
        <v>-1.7456359102244412E-2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15380515.232561</v>
      </c>
      <c r="G7" s="1">
        <f>VLOOKUP(A:A,MASTER!A:K,11,0)</f>
        <v>16869755.349394083</v>
      </c>
      <c r="H7" s="12">
        <f t="shared" si="0"/>
        <v>9.6826412790146144E-2</v>
      </c>
      <c r="I7" s="2">
        <f>VLOOKUP(A:A,MASTER!A:E,5,0)</f>
        <v>338</v>
      </c>
      <c r="J7" s="2">
        <f>VLOOKUP(A:A,MASTER!A:J,10,0)</f>
        <v>439</v>
      </c>
      <c r="K7" s="12">
        <f t="shared" si="1"/>
        <v>0.29881656804733736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1</v>
      </c>
      <c r="P7" s="1">
        <f>VLOOKUP(A:A,MASTER!A:H,8,0)</f>
        <v>1</v>
      </c>
      <c r="Q7" s="12">
        <f t="shared" si="3"/>
        <v>0</v>
      </c>
      <c r="R7" s="1">
        <f>VLOOKUP(A:A,MASTER!A:B,2,0)</f>
        <v>374</v>
      </c>
      <c r="S7">
        <f>VLOOKUP(A:A,MASTER!A:G,7,0)</f>
        <v>389</v>
      </c>
      <c r="T7" s="12">
        <f t="shared" si="4"/>
        <v>4.0106951871657692E-2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17624210.837453809</v>
      </c>
      <c r="G8" s="1">
        <f>VLOOKUP(A:A,MASTER!A:K,11,0)</f>
        <v>22007062.562396754</v>
      </c>
      <c r="H8" s="12">
        <f t="shared" si="0"/>
        <v>0.24868357314636746</v>
      </c>
      <c r="I8" s="2">
        <f>VLOOKUP(A:A,MASTER!A:E,5,0)</f>
        <v>466</v>
      </c>
      <c r="J8" s="2">
        <f>VLOOKUP(A:A,MASTER!A:J,10,0)</f>
        <v>682</v>
      </c>
      <c r="K8" s="12">
        <f t="shared" si="1"/>
        <v>0.46351931330472107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1</v>
      </c>
      <c r="P8" s="1">
        <f>VLOOKUP(A:A,MASTER!A:H,8,0)</f>
        <v>1</v>
      </c>
      <c r="Q8" s="12">
        <f t="shared" si="3"/>
        <v>0</v>
      </c>
      <c r="R8" s="1">
        <f>VLOOKUP(A:A,MASTER!A:B,2,0)</f>
        <v>576</v>
      </c>
      <c r="S8">
        <f>VLOOKUP(A:A,MASTER!A:G,7,0)</f>
        <v>627</v>
      </c>
      <c r="T8" s="12">
        <f t="shared" si="4"/>
        <v>8.8541666666666741E-2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8851733.9391890019</v>
      </c>
      <c r="G9" s="1">
        <f>VLOOKUP(A:A,MASTER!A:K,11,0)</f>
        <v>8568722.2610597294</v>
      </c>
      <c r="H9" s="12">
        <f t="shared" si="0"/>
        <v>-3.1972456478419842E-2</v>
      </c>
      <c r="I9" s="2">
        <f>VLOOKUP(A:A,MASTER!A:E,5,0)</f>
        <v>163</v>
      </c>
      <c r="J9" s="2">
        <f>VLOOKUP(A:A,MASTER!A:J,10,0)</f>
        <v>284</v>
      </c>
      <c r="K9" s="12">
        <f t="shared" si="1"/>
        <v>0.74233128834355822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1</v>
      </c>
      <c r="Q9" s="12">
        <f t="shared" si="3"/>
        <v>0</v>
      </c>
      <c r="R9" s="1">
        <f>VLOOKUP(A:A,MASTER!A:B,2,0)</f>
        <v>175</v>
      </c>
      <c r="S9">
        <f>VLOOKUP(A:A,MASTER!A:G,7,0)</f>
        <v>186</v>
      </c>
      <c r="T9" s="12">
        <f t="shared" si="4"/>
        <v>6.2857142857142945E-2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7957950.5981784724</v>
      </c>
      <c r="G10" s="1">
        <f>VLOOKUP(A:A,MASTER!A:K,11,0)</f>
        <v>5911294.9506757176</v>
      </c>
      <c r="H10" s="12">
        <f t="shared" si="0"/>
        <v>-0.25718375884002376</v>
      </c>
      <c r="I10" s="2">
        <f>VLOOKUP(A:A,MASTER!A:E,5,0)</f>
        <v>180</v>
      </c>
      <c r="J10" s="2">
        <f>VLOOKUP(A:A,MASTER!A:J,10,0)</f>
        <v>271</v>
      </c>
      <c r="K10" s="12">
        <f t="shared" si="1"/>
        <v>0.50555555555555554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195</v>
      </c>
      <c r="S10">
        <f>VLOOKUP(A:A,MASTER!A:G,7,0)</f>
        <v>187</v>
      </c>
      <c r="T10" s="12">
        <f t="shared" si="4"/>
        <v>-4.1025641025640991E-2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12768697.680789188</v>
      </c>
      <c r="G11" s="1">
        <f>VLOOKUP(A:A,MASTER!A:K,11,0)</f>
        <v>17492394.781621311</v>
      </c>
      <c r="H11" s="12">
        <f t="shared" si="0"/>
        <v>0.36994353057156637</v>
      </c>
      <c r="I11" s="2">
        <f>VLOOKUP(A:A,MASTER!A:E,5,0)</f>
        <v>321</v>
      </c>
      <c r="J11" s="2">
        <f>VLOOKUP(A:A,MASTER!A:J,10,0)</f>
        <v>545</v>
      </c>
      <c r="K11" s="12">
        <f t="shared" si="1"/>
        <v>0.69781931464174463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1</v>
      </c>
      <c r="Q11" s="12">
        <f t="shared" si="3"/>
        <v>0</v>
      </c>
      <c r="R11" s="1">
        <f>VLOOKUP(A:A,MASTER!A:B,2,0)</f>
        <v>338</v>
      </c>
      <c r="S11">
        <f>VLOOKUP(A:A,MASTER!A:G,7,0)</f>
        <v>386</v>
      </c>
      <c r="T11" s="12">
        <f t="shared" si="4"/>
        <v>0.14201183431952669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6150148.8409964209</v>
      </c>
      <c r="G12" s="1">
        <f>VLOOKUP(A:A,MASTER!A:K,11,0)</f>
        <v>9215282.8593596723</v>
      </c>
      <c r="H12" s="12">
        <f t="shared" si="0"/>
        <v>0.49838371356662181</v>
      </c>
      <c r="I12" s="2">
        <f>VLOOKUP(A:A,MASTER!A:E,5,0)</f>
        <v>252</v>
      </c>
      <c r="J12" s="2">
        <f>VLOOKUP(A:A,MASTER!A:J,10,0)</f>
        <v>504</v>
      </c>
      <c r="K12" s="12">
        <f t="shared" si="1"/>
        <v>1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1</v>
      </c>
      <c r="P12" s="1">
        <f>VLOOKUP(A:A,MASTER!A:H,8,0)</f>
        <v>1</v>
      </c>
      <c r="Q12" s="12">
        <f t="shared" si="3"/>
        <v>0</v>
      </c>
      <c r="R12" s="1">
        <f>VLOOKUP(A:A,MASTER!A:B,2,0)</f>
        <v>195</v>
      </c>
      <c r="S12">
        <f>VLOOKUP(A:A,MASTER!A:G,7,0)</f>
        <v>240</v>
      </c>
      <c r="T12" s="12">
        <f t="shared" si="4"/>
        <v>0.23076923076923084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8517878.5314678382</v>
      </c>
      <c r="G13" s="1">
        <f>VLOOKUP(A:A,MASTER!A:K,11,0)</f>
        <v>9652149.6697089188</v>
      </c>
      <c r="H13" s="12">
        <f t="shared" si="0"/>
        <v>0.13316357283691138</v>
      </c>
      <c r="I13" s="2">
        <f>VLOOKUP(A:A,MASTER!A:E,5,0)</f>
        <v>225</v>
      </c>
      <c r="J13" s="2">
        <f>VLOOKUP(A:A,MASTER!A:J,10,0)</f>
        <v>353</v>
      </c>
      <c r="K13" s="12">
        <f t="shared" si="1"/>
        <v>0.568888888888889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1</v>
      </c>
      <c r="P13" s="1">
        <f>VLOOKUP(A:A,MASTER!A:H,8,0)</f>
        <v>1</v>
      </c>
      <c r="Q13" s="12">
        <f t="shared" si="3"/>
        <v>0</v>
      </c>
      <c r="R13" s="1">
        <f>VLOOKUP(A:A,MASTER!A:B,2,0)</f>
        <v>249</v>
      </c>
      <c r="S13">
        <f>VLOOKUP(A:A,MASTER!A:G,7,0)</f>
        <v>251</v>
      </c>
      <c r="T13" s="12">
        <f t="shared" si="4"/>
        <v>8.0321285140563248E-3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25219035.773216184</v>
      </c>
      <c r="G14" s="1">
        <f>VLOOKUP(A:A,MASTER!A:K,11,0)</f>
        <v>42743188.946374118</v>
      </c>
      <c r="H14" s="12">
        <f t="shared" si="0"/>
        <v>0.6948780013139686</v>
      </c>
      <c r="I14" s="2">
        <f>VLOOKUP(A:A,MASTER!A:E,5,0)</f>
        <v>1073</v>
      </c>
      <c r="J14" s="2">
        <f>VLOOKUP(A:A,MASTER!A:J,10,0)</f>
        <v>1310</v>
      </c>
      <c r="K14" s="12">
        <f t="shared" si="1"/>
        <v>0.22087604846225539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1</v>
      </c>
      <c r="P14" s="1">
        <f>VLOOKUP(A:A,MASTER!A:H,8,0)</f>
        <v>1</v>
      </c>
      <c r="Q14" s="12">
        <f t="shared" si="3"/>
        <v>0</v>
      </c>
      <c r="R14" s="1">
        <f>VLOOKUP(A:A,MASTER!A:B,2,0)</f>
        <v>1439</v>
      </c>
      <c r="S14">
        <f>VLOOKUP(A:A,MASTER!A:G,7,0)</f>
        <v>1311</v>
      </c>
      <c r="T14" s="12">
        <f t="shared" si="4"/>
        <v>-8.8950660180680985E-2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52208752.603291377</v>
      </c>
      <c r="G15" s="1">
        <f>VLOOKUP(A:A,MASTER!A:K,11,0)</f>
        <v>67821412.382439718</v>
      </c>
      <c r="H15" s="12">
        <f t="shared" si="0"/>
        <v>0.29904295737117614</v>
      </c>
      <c r="I15" s="2">
        <f>VLOOKUP(A:A,MASTER!A:E,5,0)</f>
        <v>854</v>
      </c>
      <c r="J15" s="2">
        <f>VLOOKUP(A:A,MASTER!A:J,10,0)</f>
        <v>952</v>
      </c>
      <c r="K15" s="12">
        <f t="shared" si="1"/>
        <v>0.11475409836065564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1</v>
      </c>
      <c r="P15" s="1">
        <f>VLOOKUP(A:A,MASTER!A:H,8,0)</f>
        <v>1</v>
      </c>
      <c r="Q15" s="12">
        <f t="shared" si="3"/>
        <v>0</v>
      </c>
      <c r="R15" s="1">
        <f>VLOOKUP(A:A,MASTER!A:B,2,0)</f>
        <v>1279</v>
      </c>
      <c r="S15">
        <f>VLOOKUP(A:A,MASTER!A:G,7,0)</f>
        <v>1211</v>
      </c>
      <c r="T15" s="12">
        <f t="shared" si="4"/>
        <v>-5.3166536356528571E-2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35736159.745746233</v>
      </c>
      <c r="G16" s="1">
        <f>VLOOKUP(A:A,MASTER!A:K,11,0)</f>
        <v>35959724.52168268</v>
      </c>
      <c r="H16" s="12">
        <f t="shared" si="0"/>
        <v>6.2559821068366439E-3</v>
      </c>
      <c r="I16" s="2">
        <f>VLOOKUP(A:A,MASTER!A:E,5,0)</f>
        <v>942</v>
      </c>
      <c r="J16" s="2">
        <f>VLOOKUP(A:A,MASTER!A:J,10,0)</f>
        <v>1113</v>
      </c>
      <c r="K16" s="12">
        <f t="shared" si="1"/>
        <v>0.18152866242038224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1</v>
      </c>
      <c r="P16" s="1">
        <f>VLOOKUP(A:A,MASTER!A:H,8,0)</f>
        <v>1</v>
      </c>
      <c r="Q16" s="12">
        <f t="shared" si="3"/>
        <v>0</v>
      </c>
      <c r="R16" s="1">
        <f>VLOOKUP(A:A,MASTER!A:B,2,0)</f>
        <v>1022</v>
      </c>
      <c r="S16">
        <f>VLOOKUP(A:A,MASTER!A:G,7,0)</f>
        <v>996</v>
      </c>
      <c r="T16" s="12">
        <f t="shared" si="4"/>
        <v>-2.5440313111546042E-2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32578047.546638802</v>
      </c>
      <c r="G17" s="1">
        <f>VLOOKUP(A:A,MASTER!A:K,11,0)</f>
        <v>30025690.444241911</v>
      </c>
      <c r="H17" s="12">
        <f t="shared" si="0"/>
        <v>-7.8345919863458069E-2</v>
      </c>
      <c r="I17" s="2">
        <f>VLOOKUP(A:A,MASTER!A:E,5,0)</f>
        <v>617</v>
      </c>
      <c r="J17" s="2">
        <f>VLOOKUP(A:A,MASTER!A:J,10,0)</f>
        <v>669</v>
      </c>
      <c r="K17" s="12">
        <f t="shared" si="1"/>
        <v>8.4278768233387424E-2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1</v>
      </c>
      <c r="Q17" s="12">
        <f t="shared" si="3"/>
        <v>0</v>
      </c>
      <c r="R17" s="1">
        <f>VLOOKUP(A:A,MASTER!A:B,2,0)</f>
        <v>942</v>
      </c>
      <c r="S17">
        <f>VLOOKUP(A:A,MASTER!A:G,7,0)</f>
        <v>926</v>
      </c>
      <c r="T17" s="12">
        <f t="shared" si="4"/>
        <v>-1.6985138004246281E-2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123016746.21003149</v>
      </c>
      <c r="G18" s="1">
        <f>VLOOKUP(A:A,MASTER!A:K,11,0)</f>
        <v>127813940.61962</v>
      </c>
      <c r="H18" s="12">
        <f t="shared" si="0"/>
        <v>3.8996271299503116E-2</v>
      </c>
      <c r="I18" s="2">
        <f>VLOOKUP(A:A,MASTER!A:E,5,0)</f>
        <v>2064</v>
      </c>
      <c r="J18" s="2">
        <f>VLOOKUP(A:A,MASTER!A:J,10,0)</f>
        <v>2158</v>
      </c>
      <c r="K18" s="12">
        <f t="shared" si="1"/>
        <v>4.554263565891481E-2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1</v>
      </c>
      <c r="P18" s="1">
        <f>VLOOKUP(A:A,MASTER!A:H,8,0)</f>
        <v>1</v>
      </c>
      <c r="Q18" s="12">
        <f t="shared" si="3"/>
        <v>0</v>
      </c>
      <c r="R18" s="1">
        <f>VLOOKUP(A:A,MASTER!A:B,2,0)</f>
        <v>3048</v>
      </c>
      <c r="S18">
        <f>VLOOKUP(A:A,MASTER!A:G,7,0)</f>
        <v>2721</v>
      </c>
      <c r="T18" s="12">
        <f t="shared" si="4"/>
        <v>-0.10728346456692917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64420103.039911374</v>
      </c>
      <c r="G19" s="1">
        <f>VLOOKUP(A:A,MASTER!A:K,11,0)</f>
        <v>48048938.250860699</v>
      </c>
      <c r="H19" s="12">
        <f t="shared" si="0"/>
        <v>-0.25413130399539952</v>
      </c>
      <c r="I19" s="2">
        <f>VLOOKUP(A:A,MASTER!A:E,5,0)</f>
        <v>1221</v>
      </c>
      <c r="J19" s="2">
        <f>VLOOKUP(A:A,MASTER!A:J,10,0)</f>
        <v>1193</v>
      </c>
      <c r="K19" s="12">
        <f t="shared" si="1"/>
        <v>-2.29320229320229E-2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1</v>
      </c>
      <c r="P19" s="1">
        <f>VLOOKUP(A:A,MASTER!A:H,8,0)</f>
        <v>1</v>
      </c>
      <c r="Q19" s="12">
        <f t="shared" si="3"/>
        <v>0</v>
      </c>
      <c r="R19" s="1">
        <f>VLOOKUP(A:A,MASTER!A:B,2,0)</f>
        <v>1423</v>
      </c>
      <c r="S19">
        <f>VLOOKUP(A:A,MASTER!A:G,7,0)</f>
        <v>1291</v>
      </c>
      <c r="T19" s="12">
        <f t="shared" si="4"/>
        <v>-9.2761770906535479E-2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130865566.41338848</v>
      </c>
      <c r="G20" s="1">
        <f>VLOOKUP(A:A,MASTER!A:K,11,0)</f>
        <v>132747681.87001136</v>
      </c>
      <c r="H20" s="12">
        <f t="shared" si="0"/>
        <v>1.4382052576592308E-2</v>
      </c>
      <c r="I20" s="2">
        <f>VLOOKUP(A:A,MASTER!A:E,5,0)</f>
        <v>2243</v>
      </c>
      <c r="J20" s="2">
        <f>VLOOKUP(A:A,MASTER!A:J,10,0)</f>
        <v>2235</v>
      </c>
      <c r="K20" s="12">
        <f t="shared" si="1"/>
        <v>-3.5666518056174379E-3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1</v>
      </c>
      <c r="P20" s="1">
        <f>VLOOKUP(A:A,MASTER!A:H,8,0)</f>
        <v>1</v>
      </c>
      <c r="Q20" s="12">
        <f t="shared" si="3"/>
        <v>0</v>
      </c>
      <c r="R20" s="1">
        <f>VLOOKUP(A:A,MASTER!A:B,2,0)</f>
        <v>2987</v>
      </c>
      <c r="S20">
        <f>VLOOKUP(A:A,MASTER!A:G,7,0)</f>
        <v>2792</v>
      </c>
      <c r="T20" s="12">
        <f t="shared" si="4"/>
        <v>-6.5282892534315407E-2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18476610.305273034</v>
      </c>
      <c r="G21" s="1">
        <f>VLOOKUP(A:A,MASTER!A:K,11,0)</f>
        <v>19368504.46331368</v>
      </c>
      <c r="H21" s="12">
        <f t="shared" si="0"/>
        <v>4.8271525096035051E-2</v>
      </c>
      <c r="I21" s="2">
        <f>VLOOKUP(A:A,MASTER!A:E,5,0)</f>
        <v>498</v>
      </c>
      <c r="J21" s="2">
        <f>VLOOKUP(A:A,MASTER!A:J,10,0)</f>
        <v>510</v>
      </c>
      <c r="K21" s="12">
        <f t="shared" si="1"/>
        <v>2.4096385542168752E-2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1</v>
      </c>
      <c r="P21" s="1">
        <f>VLOOKUP(A:A,MASTER!A:H,8,0)</f>
        <v>1</v>
      </c>
      <c r="Q21" s="12">
        <f t="shared" si="3"/>
        <v>0</v>
      </c>
      <c r="R21" s="1">
        <f>VLOOKUP(A:A,MASTER!A:B,2,0)</f>
        <v>537</v>
      </c>
      <c r="S21">
        <f>VLOOKUP(A:A,MASTER!A:G,7,0)</f>
        <v>501</v>
      </c>
      <c r="T21" s="12">
        <f t="shared" si="4"/>
        <v>-6.7039106145251437E-2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52808409.869503677</v>
      </c>
      <c r="G22" s="1">
        <f>VLOOKUP(A:A,MASTER!A:K,11,0)</f>
        <v>54846549.798345365</v>
      </c>
      <c r="H22" s="12">
        <f t="shared" si="0"/>
        <v>3.8594987689994698E-2</v>
      </c>
      <c r="I22" s="2">
        <f>VLOOKUP(A:A,MASTER!A:E,5,0)</f>
        <v>1339</v>
      </c>
      <c r="J22" s="2">
        <f>VLOOKUP(A:A,MASTER!A:J,10,0)</f>
        <v>1538</v>
      </c>
      <c r="K22" s="12">
        <f t="shared" si="1"/>
        <v>0.1486183719193428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1</v>
      </c>
      <c r="P22" s="1">
        <f>VLOOKUP(A:A,MASTER!A:H,8,0)</f>
        <v>1</v>
      </c>
      <c r="Q22" s="12">
        <f t="shared" si="3"/>
        <v>0</v>
      </c>
      <c r="R22" s="1">
        <f>VLOOKUP(A:A,MASTER!A:B,2,0)</f>
        <v>1764</v>
      </c>
      <c r="S22">
        <f>VLOOKUP(A:A,MASTER!A:G,7,0)</f>
        <v>1762</v>
      </c>
      <c r="T22" s="12">
        <f t="shared" si="4"/>
        <v>-1.1337868480725266E-3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23048763.06878062</v>
      </c>
      <c r="G23" s="1">
        <f>VLOOKUP(A:A,MASTER!A:K,11,0)</f>
        <v>23340661.767554913</v>
      </c>
      <c r="H23" s="12">
        <f t="shared" si="0"/>
        <v>1.2664397560217422E-2</v>
      </c>
      <c r="I23" s="2">
        <f>VLOOKUP(A:A,MASTER!A:E,5,0)</f>
        <v>747</v>
      </c>
      <c r="J23" s="2">
        <f>VLOOKUP(A:A,MASTER!A:J,10,0)</f>
        <v>823</v>
      </c>
      <c r="K23" s="12">
        <f t="shared" si="1"/>
        <v>0.10174029451137878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</v>
      </c>
      <c r="P23" s="1">
        <f>VLOOKUP(A:A,MASTER!A:H,8,0)</f>
        <v>1</v>
      </c>
      <c r="Q23" s="12">
        <f t="shared" si="3"/>
        <v>0</v>
      </c>
      <c r="R23" s="1">
        <f>VLOOKUP(A:A,MASTER!A:B,2,0)</f>
        <v>875</v>
      </c>
      <c r="S23">
        <f>VLOOKUP(A:A,MASTER!A:G,7,0)</f>
        <v>871</v>
      </c>
      <c r="T23" s="12">
        <f t="shared" si="4"/>
        <v>-4.5714285714285596E-3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26247215.672407635</v>
      </c>
      <c r="G24" s="1">
        <f>VLOOKUP(A:A,MASTER!A:K,11,0)</f>
        <v>27530712.594606895</v>
      </c>
      <c r="H24" s="12">
        <f t="shared" si="0"/>
        <v>4.8900307682865352E-2</v>
      </c>
      <c r="I24" s="2">
        <f>VLOOKUP(A:A,MASTER!A:E,5,0)</f>
        <v>736</v>
      </c>
      <c r="J24" s="2">
        <f>VLOOKUP(A:A,MASTER!A:J,10,0)</f>
        <v>750</v>
      </c>
      <c r="K24" s="12">
        <f t="shared" si="1"/>
        <v>1.9021739130434812E-2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1</v>
      </c>
      <c r="P24" s="1">
        <f>VLOOKUP(A:A,MASTER!A:H,8,0)</f>
        <v>1</v>
      </c>
      <c r="Q24" s="12">
        <f t="shared" si="3"/>
        <v>0</v>
      </c>
      <c r="R24" s="1">
        <f>VLOOKUP(A:A,MASTER!A:B,2,0)</f>
        <v>882</v>
      </c>
      <c r="S24">
        <f>VLOOKUP(A:A,MASTER!A:G,7,0)</f>
        <v>874</v>
      </c>
      <c r="T24" s="12">
        <f t="shared" si="4"/>
        <v>-9.0702947845805459E-3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7829825.9699019212</v>
      </c>
      <c r="G25" s="1">
        <f>VLOOKUP(A:A,MASTER!A:K,11,0)</f>
        <v>6884569.2293095514</v>
      </c>
      <c r="H25" s="12">
        <f t="shared" si="0"/>
        <v>-0.12072512776477595</v>
      </c>
      <c r="I25" s="2">
        <f>VLOOKUP(A:A,MASTER!A:E,5,0)</f>
        <v>181</v>
      </c>
      <c r="J25" s="2">
        <f>VLOOKUP(A:A,MASTER!A:J,10,0)</f>
        <v>194</v>
      </c>
      <c r="K25" s="12">
        <f t="shared" si="1"/>
        <v>7.182320441988943E-2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240</v>
      </c>
      <c r="S25">
        <f>VLOOKUP(A:A,MASTER!A:G,7,0)</f>
        <v>212</v>
      </c>
      <c r="T25" s="12">
        <f t="shared" si="4"/>
        <v>-0.1166666666666667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55411430.290710531</v>
      </c>
      <c r="G26" s="1">
        <f>VLOOKUP(A:A,MASTER!A:K,11,0)</f>
        <v>52228215.399793029</v>
      </c>
      <c r="H26" s="12">
        <f t="shared" si="0"/>
        <v>-5.7446899930521211E-2</v>
      </c>
      <c r="I26" s="2">
        <f>VLOOKUP(A:A,MASTER!A:E,5,0)</f>
        <v>1376</v>
      </c>
      <c r="J26" s="2">
        <f>VLOOKUP(A:A,MASTER!A:J,10,0)</f>
        <v>1441</v>
      </c>
      <c r="K26" s="12">
        <f t="shared" si="1"/>
        <v>4.7238372093023173E-2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</v>
      </c>
      <c r="P26" s="1">
        <f>VLOOKUP(A:A,MASTER!A:H,8,0)</f>
        <v>1</v>
      </c>
      <c r="Q26" s="12">
        <f t="shared" si="3"/>
        <v>0</v>
      </c>
      <c r="R26" s="1">
        <f>VLOOKUP(A:A,MASTER!A:B,2,0)</f>
        <v>1650</v>
      </c>
      <c r="S26">
        <f>VLOOKUP(A:A,MASTER!A:G,7,0)</f>
        <v>1607</v>
      </c>
      <c r="T26" s="12">
        <f t="shared" si="4"/>
        <v>-2.6060606060606006E-2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40295869.882303394</v>
      </c>
      <c r="G27" s="1">
        <f>VLOOKUP(A:A,MASTER!A:K,11,0)</f>
        <v>44704153.384112306</v>
      </c>
      <c r="H27" s="12">
        <f t="shared" si="0"/>
        <v>0.10939789895799934</v>
      </c>
      <c r="I27" s="2">
        <f>VLOOKUP(A:A,MASTER!A:E,5,0)</f>
        <v>618</v>
      </c>
      <c r="J27" s="2">
        <f>VLOOKUP(A:A,MASTER!A:J,10,0)</f>
        <v>658</v>
      </c>
      <c r="K27" s="12">
        <f t="shared" si="1"/>
        <v>6.472491909385103E-2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1</v>
      </c>
      <c r="P27" s="1">
        <f>VLOOKUP(A:A,MASTER!A:H,8,0)</f>
        <v>1</v>
      </c>
      <c r="Q27" s="12">
        <f t="shared" si="3"/>
        <v>0</v>
      </c>
      <c r="R27" s="1">
        <f>VLOOKUP(A:A,MASTER!A:B,2,0)</f>
        <v>863</v>
      </c>
      <c r="S27">
        <f>VLOOKUP(A:A,MASTER!A:G,7,0)</f>
        <v>897</v>
      </c>
      <c r="T27" s="12">
        <f t="shared" si="4"/>
        <v>3.9397450753186458E-2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44257311.280046731</v>
      </c>
      <c r="G28" s="1">
        <f>VLOOKUP(A:A,MASTER!A:K,11,0)</f>
        <v>42382152.595058784</v>
      </c>
      <c r="H28" s="12">
        <f t="shared" si="0"/>
        <v>-4.2369466891527097E-2</v>
      </c>
      <c r="I28" s="2">
        <f>VLOOKUP(A:A,MASTER!A:E,5,0)</f>
        <v>934</v>
      </c>
      <c r="J28" s="2">
        <f>VLOOKUP(A:A,MASTER!A:J,10,0)</f>
        <v>855</v>
      </c>
      <c r="K28" s="12">
        <f t="shared" si="1"/>
        <v>-8.4582441113490336E-2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1</v>
      </c>
      <c r="Q28" s="12">
        <f t="shared" si="3"/>
        <v>0</v>
      </c>
      <c r="R28" s="1">
        <f>VLOOKUP(A:A,MASTER!A:B,2,0)</f>
        <v>1080</v>
      </c>
      <c r="S28">
        <f>VLOOKUP(A:A,MASTER!A:G,7,0)</f>
        <v>999</v>
      </c>
      <c r="T28" s="12">
        <f t="shared" si="4"/>
        <v>-7.4999999999999956E-2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56489979.63977652</v>
      </c>
      <c r="G29" s="1">
        <f>VLOOKUP(A:A,MASTER!A:K,11,0)</f>
        <v>58395811.709955432</v>
      </c>
      <c r="H29" s="12">
        <f t="shared" si="0"/>
        <v>3.3737524465966562E-2</v>
      </c>
      <c r="I29" s="2">
        <f>VLOOKUP(A:A,MASTER!A:E,5,0)</f>
        <v>922</v>
      </c>
      <c r="J29" s="2">
        <f>VLOOKUP(A:A,MASTER!A:J,10,0)</f>
        <v>985</v>
      </c>
      <c r="K29" s="12">
        <f t="shared" si="1"/>
        <v>6.8329718004338291E-2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1</v>
      </c>
      <c r="P29" s="1">
        <f>VLOOKUP(A:A,MASTER!A:H,8,0)</f>
        <v>1</v>
      </c>
      <c r="Q29" s="12">
        <f t="shared" si="3"/>
        <v>0</v>
      </c>
      <c r="R29" s="1">
        <f>VLOOKUP(A:A,MASTER!A:B,2,0)</f>
        <v>1110</v>
      </c>
      <c r="S29">
        <f>VLOOKUP(A:A,MASTER!A:G,7,0)</f>
        <v>1129</v>
      </c>
      <c r="T29" s="12">
        <f t="shared" si="4"/>
        <v>1.7117117117117164E-2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82564280.493306771</v>
      </c>
      <c r="G30" s="1">
        <f>VLOOKUP(A:A,MASTER!A:K,11,0)</f>
        <v>77658591.676187471</v>
      </c>
      <c r="H30" s="12">
        <f t="shared" si="0"/>
        <v>-5.9416599863872044E-2</v>
      </c>
      <c r="I30" s="2">
        <f>VLOOKUP(A:A,MASTER!A:E,5,0)</f>
        <v>1185</v>
      </c>
      <c r="J30" s="2">
        <f>VLOOKUP(A:A,MASTER!A:J,10,0)</f>
        <v>1197</v>
      </c>
      <c r="K30" s="12">
        <f t="shared" si="1"/>
        <v>1.0126582278481067E-2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1</v>
      </c>
      <c r="P30" s="1">
        <f>VLOOKUP(A:A,MASTER!A:H,8,0)</f>
        <v>1</v>
      </c>
      <c r="Q30" s="12">
        <f t="shared" si="3"/>
        <v>0</v>
      </c>
      <c r="R30" s="1">
        <f>VLOOKUP(A:A,MASTER!A:B,2,0)</f>
        <v>1463</v>
      </c>
      <c r="S30">
        <f>VLOOKUP(A:A,MASTER!A:G,7,0)</f>
        <v>1402</v>
      </c>
      <c r="T30" s="12">
        <f t="shared" si="4"/>
        <v>-4.1695146958304896E-2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32262889.055763151</v>
      </c>
      <c r="G31" s="1">
        <f>VLOOKUP(A:A,MASTER!A:K,11,0)</f>
        <v>34498770.645861834</v>
      </c>
      <c r="H31" s="12">
        <f t="shared" si="0"/>
        <v>6.9301964440759978E-2</v>
      </c>
      <c r="I31" s="2">
        <f>VLOOKUP(A:A,MASTER!A:E,5,0)</f>
        <v>576</v>
      </c>
      <c r="J31" s="2">
        <f>VLOOKUP(A:A,MASTER!A:J,10,0)</f>
        <v>584</v>
      </c>
      <c r="K31" s="12">
        <f t="shared" si="1"/>
        <v>1.388888888888884E-2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1</v>
      </c>
      <c r="P31" s="1">
        <f>VLOOKUP(A:A,MASTER!A:H,8,0)</f>
        <v>1</v>
      </c>
      <c r="Q31" s="12">
        <f t="shared" si="3"/>
        <v>0</v>
      </c>
      <c r="R31" s="1">
        <f>VLOOKUP(A:A,MASTER!A:B,2,0)</f>
        <v>695</v>
      </c>
      <c r="S31">
        <f>VLOOKUP(A:A,MASTER!A:G,7,0)</f>
        <v>663</v>
      </c>
      <c r="T31" s="12">
        <f t="shared" si="4"/>
        <v>-4.6043165467625879E-2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97736357.769989029</v>
      </c>
      <c r="G32" s="1">
        <f>VLOOKUP(A:A,MASTER!A:K,11,0)</f>
        <v>87344964.542450041</v>
      </c>
      <c r="H32" s="12">
        <f t="shared" si="0"/>
        <v>-0.10632065144062253</v>
      </c>
      <c r="I32" s="2">
        <f>VLOOKUP(A:A,MASTER!A:E,5,0)</f>
        <v>1680</v>
      </c>
      <c r="J32" s="2">
        <f>VLOOKUP(A:A,MASTER!A:J,10,0)</f>
        <v>1625</v>
      </c>
      <c r="K32" s="12">
        <f t="shared" si="1"/>
        <v>-3.2738095238095233E-2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</v>
      </c>
      <c r="P32" s="1">
        <f>VLOOKUP(A:A,MASTER!A:H,8,0)</f>
        <v>1</v>
      </c>
      <c r="Q32" s="12">
        <f t="shared" si="3"/>
        <v>0</v>
      </c>
      <c r="R32" s="1">
        <f>VLOOKUP(A:A,MASTER!A:B,2,0)</f>
        <v>1956</v>
      </c>
      <c r="S32">
        <f>VLOOKUP(A:A,MASTER!A:G,7,0)</f>
        <v>1827</v>
      </c>
      <c r="T32" s="12">
        <f t="shared" si="4"/>
        <v>-6.5950920245398725E-2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33107214.526290081</v>
      </c>
      <c r="G33" s="1">
        <f>VLOOKUP(A:A,MASTER!A:K,11,0)</f>
        <v>33899648.28098698</v>
      </c>
      <c r="H33" s="12">
        <f t="shared" si="0"/>
        <v>2.3935379826884429E-2</v>
      </c>
      <c r="I33" s="2">
        <f>VLOOKUP(A:A,MASTER!A:E,5,0)</f>
        <v>725</v>
      </c>
      <c r="J33" s="2">
        <f>VLOOKUP(A:A,MASTER!A:J,10,0)</f>
        <v>946</v>
      </c>
      <c r="K33" s="12">
        <f t="shared" si="1"/>
        <v>0.30482758620689654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1</v>
      </c>
      <c r="P33" s="1">
        <f>VLOOKUP(A:A,MASTER!A:H,8,0)</f>
        <v>1</v>
      </c>
      <c r="Q33" s="12">
        <f t="shared" si="3"/>
        <v>0</v>
      </c>
      <c r="R33" s="1">
        <f>VLOOKUP(A:A,MASTER!A:B,2,0)</f>
        <v>853</v>
      </c>
      <c r="S33">
        <f>VLOOKUP(A:A,MASTER!A:G,7,0)</f>
        <v>853</v>
      </c>
      <c r="T33" s="12">
        <f t="shared" si="4"/>
        <v>0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29494508.126561724</v>
      </c>
      <c r="G34" s="1">
        <f>VLOOKUP(A:A,MASTER!A:K,11,0)</f>
        <v>31496631.641211547</v>
      </c>
      <c r="H34" s="12">
        <f t="shared" si="0"/>
        <v>6.7881230839946793E-2</v>
      </c>
      <c r="I34" s="2">
        <f>VLOOKUP(A:A,MASTER!A:E,5,0)</f>
        <v>2954</v>
      </c>
      <c r="J34" s="2">
        <f>VLOOKUP(A:A,MASTER!A:J,10,0)</f>
        <v>702</v>
      </c>
      <c r="K34" s="12">
        <f t="shared" si="1"/>
        <v>-0.76235612728503721</v>
      </c>
      <c r="L34" s="2">
        <f>VLOOKUP(A:A,MASTER!A:D,4,0)</f>
        <v>2</v>
      </c>
      <c r="M34" s="2">
        <f>VLOOKUP(A:A,MASTER!A:I,9,0)</f>
        <v>1</v>
      </c>
      <c r="N34" s="12">
        <f t="shared" si="2"/>
        <v>-0.5</v>
      </c>
      <c r="O34" s="1">
        <f>VLOOKUP(A:A,MASTER!A:C,3,0)</f>
        <v>1</v>
      </c>
      <c r="P34" s="1">
        <f>VLOOKUP(A:A,MASTER!A:H,8,0)</f>
        <v>1</v>
      </c>
      <c r="Q34" s="12">
        <f t="shared" si="3"/>
        <v>0</v>
      </c>
      <c r="R34" s="1">
        <f>VLOOKUP(A:A,MASTER!A:B,2,0)</f>
        <v>707</v>
      </c>
      <c r="S34">
        <f>VLOOKUP(A:A,MASTER!A:G,7,0)</f>
        <v>689</v>
      </c>
      <c r="T34" s="12">
        <f t="shared" si="4"/>
        <v>-2.5459688826025451E-2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49357080.012164153</v>
      </c>
      <c r="G35" s="1">
        <f>VLOOKUP(A:A,MASTER!A:K,11,0)</f>
        <v>49374441.672838099</v>
      </c>
      <c r="H35" s="12">
        <f t="shared" si="0"/>
        <v>3.517562357755466E-4</v>
      </c>
      <c r="I35" s="2">
        <f>VLOOKUP(A:A,MASTER!A:E,5,0)</f>
        <v>864</v>
      </c>
      <c r="J35" s="2">
        <f>VLOOKUP(A:A,MASTER!A:J,10,0)</f>
        <v>1209</v>
      </c>
      <c r="K35" s="12">
        <f t="shared" si="1"/>
        <v>0.39930555555555558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1</v>
      </c>
      <c r="P35" s="1">
        <f>VLOOKUP(A:A,MASTER!A:H,8,0)</f>
        <v>1</v>
      </c>
      <c r="Q35" s="12">
        <f t="shared" si="3"/>
        <v>0</v>
      </c>
      <c r="R35" s="1">
        <f>VLOOKUP(A:A,MASTER!A:B,2,0)</f>
        <v>1150</v>
      </c>
      <c r="S35">
        <f>VLOOKUP(A:A,MASTER!A:G,7,0)</f>
        <v>1179</v>
      </c>
      <c r="T35" s="12">
        <f t="shared" si="4"/>
        <v>2.5217391304347858E-2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47335690.341579705</v>
      </c>
      <c r="G36" s="1">
        <f>VLOOKUP(A:A,MASTER!A:K,11,0)</f>
        <v>46474958.555059575</v>
      </c>
      <c r="H36" s="12">
        <f t="shared" si="0"/>
        <v>-1.8183568895034474E-2</v>
      </c>
      <c r="I36" s="2">
        <f>VLOOKUP(A:A,MASTER!A:E,5,0)</f>
        <v>871</v>
      </c>
      <c r="J36" s="2">
        <f>VLOOKUP(A:A,MASTER!A:J,10,0)</f>
        <v>1096</v>
      </c>
      <c r="K36" s="12">
        <f t="shared" si="1"/>
        <v>0.25832376578645233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</v>
      </c>
      <c r="P36" s="1">
        <f>VLOOKUP(A:A,MASTER!A:H,8,0)</f>
        <v>1</v>
      </c>
      <c r="Q36" s="12">
        <f t="shared" si="3"/>
        <v>0</v>
      </c>
      <c r="R36" s="1">
        <f>VLOOKUP(A:A,MASTER!A:B,2,0)</f>
        <v>1300</v>
      </c>
      <c r="S36">
        <f>VLOOKUP(A:A,MASTER!A:G,7,0)</f>
        <v>1387</v>
      </c>
      <c r="T36" s="12">
        <f t="shared" si="4"/>
        <v>6.6923076923076863E-2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75216034.00582923</v>
      </c>
      <c r="G37" s="1">
        <f>VLOOKUP(A:A,MASTER!A:K,11,0)</f>
        <v>81903597.987700358</v>
      </c>
      <c r="H37" s="12">
        <f t="shared" si="0"/>
        <v>8.8911414570899128E-2</v>
      </c>
      <c r="I37" s="2">
        <f>VLOOKUP(A:A,MASTER!A:E,5,0)</f>
        <v>1647</v>
      </c>
      <c r="J37" s="2">
        <f>VLOOKUP(A:A,MASTER!A:J,10,0)</f>
        <v>1750</v>
      </c>
      <c r="K37" s="12">
        <f t="shared" si="1"/>
        <v>6.2537947783849468E-2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1</v>
      </c>
      <c r="P37" s="1">
        <f>VLOOKUP(A:A,MASTER!A:H,8,0)</f>
        <v>1</v>
      </c>
      <c r="Q37" s="12">
        <f t="shared" si="3"/>
        <v>0</v>
      </c>
      <c r="R37" s="1">
        <f>VLOOKUP(A:A,MASTER!A:B,2,0)</f>
        <v>2448</v>
      </c>
      <c r="S37">
        <f>VLOOKUP(A:A,MASTER!A:G,7,0)</f>
        <v>2283</v>
      </c>
      <c r="T37" s="12">
        <f t="shared" si="4"/>
        <v>-6.7401960784313708E-2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24218452.065556291</v>
      </c>
      <c r="G38" s="1">
        <f>VLOOKUP(A:A,MASTER!A:K,11,0)</f>
        <v>29508513.621263243</v>
      </c>
      <c r="H38" s="12">
        <f t="shared" si="0"/>
        <v>0.21843103520354745</v>
      </c>
      <c r="I38" s="2">
        <f>VLOOKUP(A:A,MASTER!A:E,5,0)</f>
        <v>458</v>
      </c>
      <c r="J38" s="2">
        <f>VLOOKUP(A:A,MASTER!A:J,10,0)</f>
        <v>411</v>
      </c>
      <c r="K38" s="12">
        <f t="shared" si="1"/>
        <v>-0.1026200873362445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1</v>
      </c>
      <c r="P38" s="1">
        <f>VLOOKUP(A:A,MASTER!A:H,8,0)</f>
        <v>1</v>
      </c>
      <c r="Q38" s="12">
        <f t="shared" si="3"/>
        <v>0</v>
      </c>
      <c r="R38" s="1">
        <f>VLOOKUP(A:A,MASTER!A:B,2,0)</f>
        <v>606</v>
      </c>
      <c r="S38">
        <f>VLOOKUP(A:A,MASTER!A:G,7,0)</f>
        <v>582</v>
      </c>
      <c r="T38" s="12">
        <f t="shared" si="4"/>
        <v>-3.9603960396039639E-2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88822156.206178784</v>
      </c>
      <c r="G39" s="1">
        <f>VLOOKUP(A:A,MASTER!A:K,11,0)</f>
        <v>95679931.962035939</v>
      </c>
      <c r="H39" s="12">
        <f t="shared" si="0"/>
        <v>7.72079405496362E-2</v>
      </c>
      <c r="I39" s="2">
        <f>VLOOKUP(A:A,MASTER!A:E,5,0)</f>
        <v>2012</v>
      </c>
      <c r="J39" s="2">
        <f>VLOOKUP(A:A,MASTER!A:J,10,0)</f>
        <v>2008</v>
      </c>
      <c r="K39" s="12">
        <f t="shared" si="1"/>
        <v>-1.9880715705765661E-3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</v>
      </c>
      <c r="P39" s="1">
        <f>VLOOKUP(A:A,MASTER!A:H,8,0)</f>
        <v>1</v>
      </c>
      <c r="Q39" s="12">
        <f t="shared" si="3"/>
        <v>0</v>
      </c>
      <c r="R39" s="1">
        <f>VLOOKUP(A:A,MASTER!A:B,2,0)</f>
        <v>2069</v>
      </c>
      <c r="S39">
        <f>VLOOKUP(A:A,MASTER!A:G,7,0)</f>
        <v>2097</v>
      </c>
      <c r="T39" s="12">
        <f t="shared" si="4"/>
        <v>1.3533107781537046E-2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62108050.75114581</v>
      </c>
      <c r="G40" s="1">
        <f>VLOOKUP(A:A,MASTER!A:K,11,0)</f>
        <v>66055161.632568397</v>
      </c>
      <c r="H40" s="12">
        <f t="shared" si="0"/>
        <v>6.3552322664864214E-2</v>
      </c>
      <c r="I40" s="2">
        <f>VLOOKUP(A:A,MASTER!A:E,5,0)</f>
        <v>767</v>
      </c>
      <c r="J40" s="2">
        <f>VLOOKUP(A:A,MASTER!A:J,10,0)</f>
        <v>956</v>
      </c>
      <c r="K40" s="12">
        <f t="shared" si="1"/>
        <v>0.24641460234680568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1</v>
      </c>
      <c r="P40" s="1">
        <f>VLOOKUP(A:A,MASTER!A:H,8,0)</f>
        <v>1</v>
      </c>
      <c r="Q40" s="12">
        <f t="shared" si="3"/>
        <v>0</v>
      </c>
      <c r="R40" s="1">
        <f>VLOOKUP(A:A,MASTER!A:B,2,0)</f>
        <v>891</v>
      </c>
      <c r="S40">
        <f>VLOOKUP(A:A,MASTER!A:G,7,0)</f>
        <v>920</v>
      </c>
      <c r="T40" s="12">
        <f t="shared" si="4"/>
        <v>3.2547699214365844E-2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49524478.384970039</v>
      </c>
      <c r="G41" s="1">
        <f>VLOOKUP(A:A,MASTER!A:K,11,0)</f>
        <v>41469503.350189514</v>
      </c>
      <c r="H41" s="12">
        <f t="shared" si="0"/>
        <v>-0.16264633767904746</v>
      </c>
      <c r="I41" s="2">
        <f>VLOOKUP(A:A,MASTER!A:E,5,0)</f>
        <v>852</v>
      </c>
      <c r="J41" s="2">
        <f>VLOOKUP(A:A,MASTER!A:J,10,0)</f>
        <v>1281</v>
      </c>
      <c r="K41" s="12">
        <f t="shared" si="1"/>
        <v>0.50352112676056349</v>
      </c>
      <c r="L41" s="2">
        <f>VLOOKUP(A:A,MASTER!A:D,4,0)</f>
        <v>3</v>
      </c>
      <c r="M41" s="2">
        <f>VLOOKUP(A:A,MASTER!A:I,9,0)</f>
        <v>4</v>
      </c>
      <c r="N41" s="12">
        <f t="shared" si="2"/>
        <v>0.33333333333333326</v>
      </c>
      <c r="O41" s="1">
        <f>VLOOKUP(A:A,MASTER!A:C,3,0)</f>
        <v>1</v>
      </c>
      <c r="P41" s="1">
        <f>VLOOKUP(A:A,MASTER!A:H,8,0)</f>
        <v>1</v>
      </c>
      <c r="Q41" s="12">
        <f t="shared" si="3"/>
        <v>0</v>
      </c>
      <c r="R41" s="1">
        <f>VLOOKUP(A:A,MASTER!A:B,2,0)</f>
        <v>1104</v>
      </c>
      <c r="S41">
        <f>VLOOKUP(A:A,MASTER!A:G,7,0)</f>
        <v>1068</v>
      </c>
      <c r="T41" s="12">
        <f t="shared" si="4"/>
        <v>-3.2608695652173947E-2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48432686.990713894</v>
      </c>
      <c r="G42" s="1">
        <f>VLOOKUP(A:A,MASTER!A:K,11,0)</f>
        <v>49232991.957266212</v>
      </c>
      <c r="H42" s="12">
        <f t="shared" si="0"/>
        <v>1.6524067035672774E-2</v>
      </c>
      <c r="I42" s="2">
        <f>VLOOKUP(A:A,MASTER!A:E,5,0)</f>
        <v>637</v>
      </c>
      <c r="J42" s="2">
        <f>VLOOKUP(A:A,MASTER!A:J,10,0)</f>
        <v>553</v>
      </c>
      <c r="K42" s="12">
        <f t="shared" si="1"/>
        <v>-0.13186813186813184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1</v>
      </c>
      <c r="Q42" s="12">
        <f t="shared" si="3"/>
        <v>0</v>
      </c>
      <c r="R42" s="1">
        <f>VLOOKUP(A:A,MASTER!A:B,2,0)</f>
        <v>849</v>
      </c>
      <c r="S42">
        <f>VLOOKUP(A:A,MASTER!A:G,7,0)</f>
        <v>806</v>
      </c>
      <c r="T42" s="12">
        <f t="shared" si="4"/>
        <v>-5.0647820965842194E-2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30451509.850979101</v>
      </c>
      <c r="G43" s="1">
        <f>VLOOKUP(A:A,MASTER!A:K,11,0)</f>
        <v>31374407.793307286</v>
      </c>
      <c r="H43" s="12">
        <f t="shared" si="0"/>
        <v>3.0307132449083118E-2</v>
      </c>
      <c r="I43" s="2">
        <f>VLOOKUP(A:A,MASTER!A:E,5,0)</f>
        <v>580</v>
      </c>
      <c r="J43" s="2">
        <f>VLOOKUP(A:A,MASTER!A:J,10,0)</f>
        <v>687</v>
      </c>
      <c r="K43" s="12">
        <f t="shared" si="1"/>
        <v>0.18448275862068964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1</v>
      </c>
      <c r="P43" s="1">
        <f>VLOOKUP(A:A,MASTER!A:H,8,0)</f>
        <v>1</v>
      </c>
      <c r="Q43" s="12">
        <f t="shared" si="3"/>
        <v>0</v>
      </c>
      <c r="R43" s="1">
        <f>VLOOKUP(A:A,MASTER!A:B,2,0)</f>
        <v>675</v>
      </c>
      <c r="S43">
        <f>VLOOKUP(A:A,MASTER!A:G,7,0)</f>
        <v>730</v>
      </c>
      <c r="T43" s="12">
        <f t="shared" si="4"/>
        <v>8.1481481481481488E-2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29800461.591202479</v>
      </c>
      <c r="G44" s="1">
        <f>VLOOKUP(A:A,MASTER!A:K,11,0)</f>
        <v>27151697.686642498</v>
      </c>
      <c r="H44" s="12">
        <f t="shared" si="0"/>
        <v>-8.8883318013501356E-2</v>
      </c>
      <c r="I44" s="2">
        <f>VLOOKUP(A:A,MASTER!A:E,5,0)</f>
        <v>783</v>
      </c>
      <c r="J44" s="2">
        <f>VLOOKUP(A:A,MASTER!A:J,10,0)</f>
        <v>781</v>
      </c>
      <c r="K44" s="12">
        <f t="shared" si="1"/>
        <v>-2.5542784163473664E-3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1</v>
      </c>
      <c r="P44" s="1">
        <f>VLOOKUP(A:A,MASTER!A:H,8,0)</f>
        <v>1</v>
      </c>
      <c r="Q44" s="12">
        <f t="shared" si="3"/>
        <v>0</v>
      </c>
      <c r="R44" s="1">
        <f>VLOOKUP(A:A,MASTER!A:B,2,0)</f>
        <v>700</v>
      </c>
      <c r="S44">
        <f>VLOOKUP(A:A,MASTER!A:G,7,0)</f>
        <v>702</v>
      </c>
      <c r="T44" s="12">
        <f t="shared" si="4"/>
        <v>2.8571428571428914E-3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91804795.088226229</v>
      </c>
      <c r="G45" s="1">
        <f>VLOOKUP(A:A,MASTER!A:K,11,0)</f>
        <v>89339782.580951393</v>
      </c>
      <c r="H45" s="12">
        <f t="shared" si="0"/>
        <v>-2.6850585581133402E-2</v>
      </c>
      <c r="I45" s="2">
        <f>VLOOKUP(A:A,MASTER!A:E,5,0)</f>
        <v>1049</v>
      </c>
      <c r="J45" s="2">
        <f>VLOOKUP(A:A,MASTER!A:J,10,0)</f>
        <v>1246</v>
      </c>
      <c r="K45" s="12">
        <f t="shared" si="1"/>
        <v>0.18779790276453756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</v>
      </c>
      <c r="P45" s="1">
        <f>VLOOKUP(A:A,MASTER!A:H,8,0)</f>
        <v>1</v>
      </c>
      <c r="Q45" s="12">
        <f t="shared" si="3"/>
        <v>0</v>
      </c>
      <c r="R45" s="1">
        <f>VLOOKUP(A:A,MASTER!A:B,2,0)</f>
        <v>1243</v>
      </c>
      <c r="S45">
        <f>VLOOKUP(A:A,MASTER!A:G,7,0)</f>
        <v>1266</v>
      </c>
      <c r="T45" s="12">
        <f t="shared" si="4"/>
        <v>1.8503620273531807E-2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41570736.216913588</v>
      </c>
      <c r="G46" s="1">
        <f>VLOOKUP(A:A,MASTER!A:K,11,0)</f>
        <v>40938057.584057301</v>
      </c>
      <c r="H46" s="12">
        <f t="shared" si="0"/>
        <v>-1.5219327114030623E-2</v>
      </c>
      <c r="I46" s="2">
        <f>VLOOKUP(A:A,MASTER!A:E,5,0)</f>
        <v>947</v>
      </c>
      <c r="J46" s="2">
        <f>VLOOKUP(A:A,MASTER!A:J,10,0)</f>
        <v>1065</v>
      </c>
      <c r="K46" s="12">
        <f t="shared" si="1"/>
        <v>0.1246040126715946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1</v>
      </c>
      <c r="P46" s="1">
        <f>VLOOKUP(A:A,MASTER!A:H,8,0)</f>
        <v>1</v>
      </c>
      <c r="Q46" s="12">
        <f t="shared" si="3"/>
        <v>0</v>
      </c>
      <c r="R46" s="1">
        <f>VLOOKUP(A:A,MASTER!A:B,2,0)</f>
        <v>888</v>
      </c>
      <c r="S46">
        <f>VLOOKUP(A:A,MASTER!A:G,7,0)</f>
        <v>919</v>
      </c>
      <c r="T46" s="12">
        <f t="shared" si="4"/>
        <v>3.4909909909909942E-2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64917741.343665756</v>
      </c>
      <c r="G47" s="1">
        <f>VLOOKUP(A:A,MASTER!A:K,11,0)</f>
        <v>73138028.794753343</v>
      </c>
      <c r="H47" s="12">
        <f t="shared" si="0"/>
        <v>0.12662620850547612</v>
      </c>
      <c r="I47" s="2">
        <f>VLOOKUP(A:A,MASTER!A:E,5,0)</f>
        <v>993</v>
      </c>
      <c r="J47" s="2">
        <f>VLOOKUP(A:A,MASTER!A:J,10,0)</f>
        <v>1213</v>
      </c>
      <c r="K47" s="12">
        <f t="shared" si="1"/>
        <v>0.22155085599194368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1</v>
      </c>
      <c r="P47" s="1">
        <f>VLOOKUP(A:A,MASTER!A:H,8,0)</f>
        <v>1</v>
      </c>
      <c r="Q47" s="12">
        <f t="shared" si="3"/>
        <v>0</v>
      </c>
      <c r="R47" s="1">
        <f>VLOOKUP(A:A,MASTER!A:B,2,0)</f>
        <v>1323</v>
      </c>
      <c r="S47">
        <f>VLOOKUP(A:A,MASTER!A:G,7,0)</f>
        <v>1413</v>
      </c>
      <c r="T47" s="12">
        <f t="shared" si="4"/>
        <v>6.8027210884353817E-2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34067409.604458518</v>
      </c>
      <c r="G48" s="1">
        <f>VLOOKUP(A:A,MASTER!A:K,11,0)</f>
        <v>36966920.935881354</v>
      </c>
      <c r="H48" s="12">
        <f t="shared" si="0"/>
        <v>8.5111000956273664E-2</v>
      </c>
      <c r="I48" s="2">
        <f>VLOOKUP(A:A,MASTER!A:E,5,0)</f>
        <v>522</v>
      </c>
      <c r="J48" s="2">
        <f>VLOOKUP(A:A,MASTER!A:J,10,0)</f>
        <v>401</v>
      </c>
      <c r="K48" s="12">
        <f t="shared" si="1"/>
        <v>-0.23180076628352486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1</v>
      </c>
      <c r="P48" s="1">
        <f>VLOOKUP(A:A,MASTER!A:H,8,0)</f>
        <v>1</v>
      </c>
      <c r="Q48" s="12">
        <f t="shared" si="3"/>
        <v>0</v>
      </c>
      <c r="R48" s="1">
        <f>VLOOKUP(A:A,MASTER!A:B,2,0)</f>
        <v>474</v>
      </c>
      <c r="S48">
        <f>VLOOKUP(A:A,MASTER!A:G,7,0)</f>
        <v>470</v>
      </c>
      <c r="T48" s="12">
        <f t="shared" si="4"/>
        <v>-8.4388185654008518E-3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30688559.399911005</v>
      </c>
      <c r="G49" s="1">
        <f>VLOOKUP(A:A,MASTER!A:K,11,0)</f>
        <v>27830809.369743969</v>
      </c>
      <c r="H49" s="12">
        <f t="shared" si="0"/>
        <v>-9.3121022493330985E-2</v>
      </c>
      <c r="I49" s="2">
        <f>VLOOKUP(A:A,MASTER!A:E,5,0)</f>
        <v>329</v>
      </c>
      <c r="J49" s="2">
        <f>VLOOKUP(A:A,MASTER!A:J,10,0)</f>
        <v>298</v>
      </c>
      <c r="K49" s="12">
        <f t="shared" si="1"/>
        <v>-9.4224924012158096E-2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1</v>
      </c>
      <c r="P49" s="1">
        <f>VLOOKUP(A:A,MASTER!A:H,8,0)</f>
        <v>1</v>
      </c>
      <c r="Q49" s="12">
        <f t="shared" si="3"/>
        <v>0</v>
      </c>
      <c r="R49" s="1">
        <f>VLOOKUP(A:A,MASTER!A:B,2,0)</f>
        <v>452</v>
      </c>
      <c r="S49">
        <f>VLOOKUP(A:A,MASTER!A:G,7,0)</f>
        <v>464</v>
      </c>
      <c r="T49" s="12">
        <f t="shared" si="4"/>
        <v>2.6548672566371723E-2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26075164.486592881</v>
      </c>
      <c r="G50" s="1">
        <f>VLOOKUP(A:A,MASTER!A:K,11,0)</f>
        <v>24464433.156652194</v>
      </c>
      <c r="H50" s="12">
        <f t="shared" si="0"/>
        <v>-6.1772623937573989E-2</v>
      </c>
      <c r="I50" s="2">
        <f>VLOOKUP(A:A,MASTER!A:E,5,0)</f>
        <v>346</v>
      </c>
      <c r="J50" s="2">
        <f>VLOOKUP(A:A,MASTER!A:J,10,0)</f>
        <v>389</v>
      </c>
      <c r="K50" s="12">
        <f t="shared" si="1"/>
        <v>0.12427745664739875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</v>
      </c>
      <c r="P50" s="1">
        <f>VLOOKUP(A:A,MASTER!A:H,8,0)</f>
        <v>1</v>
      </c>
      <c r="Q50" s="12">
        <f t="shared" si="3"/>
        <v>0</v>
      </c>
      <c r="R50" s="1">
        <f>VLOOKUP(A:A,MASTER!A:B,2,0)</f>
        <v>420</v>
      </c>
      <c r="S50">
        <f>VLOOKUP(A:A,MASTER!A:G,7,0)</f>
        <v>400</v>
      </c>
      <c r="T50" s="12">
        <f t="shared" si="4"/>
        <v>-4.7619047619047672E-2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56973197.735783331</v>
      </c>
      <c r="G51" s="1">
        <f>VLOOKUP(A:A,MASTER!A:K,11,0)</f>
        <v>55845214.910935983</v>
      </c>
      <c r="H51" s="12">
        <f t="shared" si="0"/>
        <v>-1.9798481912116639E-2</v>
      </c>
      <c r="I51" s="2">
        <f>VLOOKUP(A:A,MASTER!A:E,5,0)</f>
        <v>1056</v>
      </c>
      <c r="J51" s="2">
        <f>VLOOKUP(A:A,MASTER!A:J,10,0)</f>
        <v>948</v>
      </c>
      <c r="K51" s="12">
        <f t="shared" si="1"/>
        <v>-0.10227272727272729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1</v>
      </c>
      <c r="P51" s="1">
        <f>VLOOKUP(A:A,MASTER!A:H,8,0)</f>
        <v>1</v>
      </c>
      <c r="Q51" s="12">
        <f t="shared" si="3"/>
        <v>0</v>
      </c>
      <c r="R51" s="1">
        <f>VLOOKUP(A:A,MASTER!A:B,2,0)</f>
        <v>1129</v>
      </c>
      <c r="S51">
        <f>VLOOKUP(A:A,MASTER!A:G,7,0)</f>
        <v>1080</v>
      </c>
      <c r="T51" s="12">
        <f t="shared" si="4"/>
        <v>-4.3401240035429556E-2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59941424.059861206</v>
      </c>
      <c r="G52" s="1">
        <f>VLOOKUP(A:A,MASTER!A:K,11,0)</f>
        <v>48295389.47153233</v>
      </c>
      <c r="H52" s="12">
        <f t="shared" si="0"/>
        <v>-0.19429025537829114</v>
      </c>
      <c r="I52" s="2">
        <f>VLOOKUP(A:A,MASTER!A:E,5,0)</f>
        <v>904</v>
      </c>
      <c r="J52" s="2">
        <f>VLOOKUP(A:A,MASTER!A:J,10,0)</f>
        <v>862</v>
      </c>
      <c r="K52" s="12">
        <f t="shared" si="1"/>
        <v>-4.6460176991150459E-2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</v>
      </c>
      <c r="P52" s="1">
        <f>VLOOKUP(A:A,MASTER!A:H,8,0)</f>
        <v>1</v>
      </c>
      <c r="Q52" s="12">
        <f t="shared" si="3"/>
        <v>0</v>
      </c>
      <c r="R52" s="1">
        <f>VLOOKUP(A:A,MASTER!A:B,2,0)</f>
        <v>976</v>
      </c>
      <c r="S52">
        <f>VLOOKUP(A:A,MASTER!A:G,7,0)</f>
        <v>950</v>
      </c>
      <c r="T52" s="12">
        <f t="shared" si="4"/>
        <v>-2.6639344262295084E-2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89228497.696727037</v>
      </c>
      <c r="G53" s="1">
        <f>VLOOKUP(A:A,MASTER!A:K,11,0)</f>
        <v>112152759.45178449</v>
      </c>
      <c r="H53" s="12">
        <f t="shared" si="0"/>
        <v>0.25691637029431158</v>
      </c>
      <c r="I53" s="2">
        <f>VLOOKUP(A:A,MASTER!A:E,5,0)</f>
        <v>1605</v>
      </c>
      <c r="J53" s="2">
        <f>VLOOKUP(A:A,MASTER!A:J,10,0)</f>
        <v>1802</v>
      </c>
      <c r="K53" s="12">
        <f t="shared" si="1"/>
        <v>0.12274143302180685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1</v>
      </c>
      <c r="P53" s="1">
        <f>VLOOKUP(A:A,MASTER!A:H,8,0)</f>
        <v>1</v>
      </c>
      <c r="Q53" s="12">
        <f t="shared" si="3"/>
        <v>0</v>
      </c>
      <c r="R53" s="1">
        <f>VLOOKUP(A:A,MASTER!A:B,2,0)</f>
        <v>2043</v>
      </c>
      <c r="S53">
        <f>VLOOKUP(A:A,MASTER!A:G,7,0)</f>
        <v>2075</v>
      </c>
      <c r="T53" s="12">
        <f t="shared" si="4"/>
        <v>1.5663240332843831E-2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26734349.913679194</v>
      </c>
      <c r="G54" s="1">
        <f>VLOOKUP(A:A,MASTER!A:K,11,0)</f>
        <v>26540754.689807057</v>
      </c>
      <c r="H54" s="12">
        <f t="shared" si="0"/>
        <v>-7.241441235609769E-3</v>
      </c>
      <c r="I54" s="2">
        <f>VLOOKUP(A:A,MASTER!A:E,5,0)</f>
        <v>535</v>
      </c>
      <c r="J54" s="2">
        <f>VLOOKUP(A:A,MASTER!A:J,10,0)</f>
        <v>546</v>
      </c>
      <c r="K54" s="12">
        <f t="shared" si="1"/>
        <v>2.0560747663551426E-2</v>
      </c>
      <c r="L54" s="2">
        <f>VLOOKUP(A:A,MASTER!A:D,4,0)</f>
        <v>0</v>
      </c>
      <c r="M54" s="2">
        <f>VLOOKUP(A:A,MASTER!A:I,9,0)</f>
        <v>1</v>
      </c>
      <c r="N54" s="12">
        <f t="shared" si="2"/>
        <v>0</v>
      </c>
      <c r="O54" s="1">
        <f>VLOOKUP(A:A,MASTER!A:C,3,0)</f>
        <v>1</v>
      </c>
      <c r="P54" s="1">
        <f>VLOOKUP(A:A,MASTER!A:H,8,0)</f>
        <v>1</v>
      </c>
      <c r="Q54" s="12">
        <f t="shared" si="3"/>
        <v>0</v>
      </c>
      <c r="R54" s="1">
        <f>VLOOKUP(A:A,MASTER!A:B,2,0)</f>
        <v>689</v>
      </c>
      <c r="S54">
        <f>VLOOKUP(A:A,MASTER!A:G,7,0)</f>
        <v>645</v>
      </c>
      <c r="T54" s="12">
        <f t="shared" si="4"/>
        <v>-6.3860667634252577E-2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43020994.886089206</v>
      </c>
      <c r="G55" s="1">
        <f>VLOOKUP(A:A,MASTER!A:K,11,0)</f>
        <v>46733950.805667929</v>
      </c>
      <c r="H55" s="12">
        <f t="shared" si="0"/>
        <v>8.6305673065206312E-2</v>
      </c>
      <c r="I55" s="2">
        <f>VLOOKUP(A:A,MASTER!A:E,5,0)</f>
        <v>706</v>
      </c>
      <c r="J55" s="2">
        <f>VLOOKUP(A:A,MASTER!A:J,10,0)</f>
        <v>979</v>
      </c>
      <c r="K55" s="12">
        <f t="shared" si="1"/>
        <v>0.38668555240793201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</v>
      </c>
      <c r="P55" s="1">
        <f>VLOOKUP(A:A,MASTER!A:H,8,0)</f>
        <v>1</v>
      </c>
      <c r="Q55" s="12">
        <f t="shared" si="3"/>
        <v>0</v>
      </c>
      <c r="R55" s="1">
        <f>VLOOKUP(A:A,MASTER!A:B,2,0)</f>
        <v>881</v>
      </c>
      <c r="S55">
        <f>VLOOKUP(A:A,MASTER!A:G,7,0)</f>
        <v>893</v>
      </c>
      <c r="T55" s="12">
        <f t="shared" si="4"/>
        <v>1.3620885357548351E-2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32416185.108561724</v>
      </c>
      <c r="G56" s="1">
        <f>VLOOKUP(A:A,MASTER!A:K,11,0)</f>
        <v>28440832.061090615</v>
      </c>
      <c r="H56" s="12">
        <f t="shared" si="0"/>
        <v>-0.12263482066620923</v>
      </c>
      <c r="I56" s="2">
        <f>VLOOKUP(A:A,MASTER!A:E,5,0)</f>
        <v>623</v>
      </c>
      <c r="J56" s="2">
        <f>VLOOKUP(A:A,MASTER!A:J,10,0)</f>
        <v>76</v>
      </c>
      <c r="K56" s="12">
        <f t="shared" si="1"/>
        <v>-0.8780096308186196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1</v>
      </c>
      <c r="P56" s="1">
        <f>VLOOKUP(A:A,MASTER!A:H,8,0)</f>
        <v>1</v>
      </c>
      <c r="Q56" s="12">
        <f t="shared" si="3"/>
        <v>0</v>
      </c>
      <c r="R56" s="1">
        <f>VLOOKUP(A:A,MASTER!A:B,2,0)</f>
        <v>772</v>
      </c>
      <c r="S56">
        <f>VLOOKUP(A:A,MASTER!A:G,7,0)</f>
        <v>686</v>
      </c>
      <c r="T56" s="12">
        <f t="shared" si="4"/>
        <v>-0.1113989637305699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57037002.826630063</v>
      </c>
      <c r="G57" s="1">
        <f>VLOOKUP(A:A,MASTER!A:K,11,0)</f>
        <v>58949213.741906151</v>
      </c>
      <c r="H57" s="12">
        <f t="shared" si="0"/>
        <v>3.3525795895840593E-2</v>
      </c>
      <c r="I57" s="2">
        <f>VLOOKUP(A:A,MASTER!A:E,5,0)</f>
        <v>1008</v>
      </c>
      <c r="J57" s="2">
        <f>VLOOKUP(A:A,MASTER!A:J,10,0)</f>
        <v>1298</v>
      </c>
      <c r="K57" s="12">
        <f t="shared" si="1"/>
        <v>0.28769841269841279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</v>
      </c>
      <c r="P57" s="1">
        <f>VLOOKUP(A:A,MASTER!A:H,8,0)</f>
        <v>1</v>
      </c>
      <c r="Q57" s="12">
        <f t="shared" si="3"/>
        <v>0</v>
      </c>
      <c r="R57" s="1">
        <f>VLOOKUP(A:A,MASTER!A:B,2,0)</f>
        <v>1088</v>
      </c>
      <c r="S57">
        <f>VLOOKUP(A:A,MASTER!A:G,7,0)</f>
        <v>1086</v>
      </c>
      <c r="T57" s="12">
        <f t="shared" si="4"/>
        <v>-1.8382352941176405E-3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73797977.515131697</v>
      </c>
      <c r="G58" s="1">
        <f>VLOOKUP(A:A,MASTER!A:K,11,0)</f>
        <v>75530690.258675233</v>
      </c>
      <c r="H58" s="12">
        <f t="shared" si="0"/>
        <v>2.3479135904344473E-2</v>
      </c>
      <c r="I58" s="2">
        <f>VLOOKUP(A:A,MASTER!A:E,5,0)</f>
        <v>1403</v>
      </c>
      <c r="J58" s="2">
        <f>VLOOKUP(A:A,MASTER!A:J,10,0)</f>
        <v>1550</v>
      </c>
      <c r="K58" s="12">
        <f t="shared" si="1"/>
        <v>0.10477548111190305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</v>
      </c>
      <c r="P58" s="1">
        <f>VLOOKUP(A:A,MASTER!A:H,8,0)</f>
        <v>1</v>
      </c>
      <c r="Q58" s="12">
        <f t="shared" si="3"/>
        <v>0</v>
      </c>
      <c r="R58" s="1">
        <f>VLOOKUP(A:A,MASTER!A:B,2,0)</f>
        <v>1349</v>
      </c>
      <c r="S58">
        <f>VLOOKUP(A:A,MASTER!A:G,7,0)</f>
        <v>1566</v>
      </c>
      <c r="T58" s="12">
        <f t="shared" si="4"/>
        <v>0.16085989621942187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37338055.187280513</v>
      </c>
      <c r="G59" s="1">
        <f>VLOOKUP(A:A,MASTER!A:K,11,0)</f>
        <v>39898451.921332307</v>
      </c>
      <c r="H59" s="12">
        <f t="shared" si="0"/>
        <v>6.8573382336314381E-2</v>
      </c>
      <c r="I59" s="2">
        <f>VLOOKUP(A:A,MASTER!A:E,5,0)</f>
        <v>690</v>
      </c>
      <c r="J59" s="2">
        <f>VLOOKUP(A:A,MASTER!A:J,10,0)</f>
        <v>942</v>
      </c>
      <c r="K59" s="12">
        <f t="shared" si="1"/>
        <v>0.36521739130434772</v>
      </c>
      <c r="L59" s="2">
        <f>VLOOKUP(A:A,MASTER!A:D,4,0)</f>
        <v>4</v>
      </c>
      <c r="M59" s="2">
        <f>VLOOKUP(A:A,MASTER!A:I,9,0)</f>
        <v>4</v>
      </c>
      <c r="N59" s="12">
        <f t="shared" si="2"/>
        <v>0</v>
      </c>
      <c r="O59" s="1">
        <f>VLOOKUP(A:A,MASTER!A:C,3,0)</f>
        <v>1</v>
      </c>
      <c r="P59" s="1">
        <f>VLOOKUP(A:A,MASTER!A:H,8,0)</f>
        <v>1</v>
      </c>
      <c r="Q59" s="12">
        <f t="shared" si="3"/>
        <v>0</v>
      </c>
      <c r="R59" s="1">
        <f>VLOOKUP(A:A,MASTER!A:B,2,0)</f>
        <v>772</v>
      </c>
      <c r="S59">
        <f>VLOOKUP(A:A,MASTER!A:G,7,0)</f>
        <v>774</v>
      </c>
      <c r="T59" s="12">
        <f t="shared" si="4"/>
        <v>2.5906735751295429E-3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43624337.658104397</v>
      </c>
      <c r="G60" s="1">
        <f>VLOOKUP(A:A,MASTER!A:K,11,0)</f>
        <v>44775518.838156231</v>
      </c>
      <c r="H60" s="12">
        <f t="shared" si="0"/>
        <v>2.6388507925872773E-2</v>
      </c>
      <c r="I60" s="2">
        <f>VLOOKUP(A:A,MASTER!A:E,5,0)</f>
        <v>442</v>
      </c>
      <c r="J60" s="2">
        <f>VLOOKUP(A:A,MASTER!A:J,10,0)</f>
        <v>134</v>
      </c>
      <c r="K60" s="12">
        <f t="shared" si="1"/>
        <v>-0.69683257918552033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1</v>
      </c>
      <c r="P60" s="1">
        <f>VLOOKUP(A:A,MASTER!A:H,8,0)</f>
        <v>1</v>
      </c>
      <c r="Q60" s="12">
        <f t="shared" si="3"/>
        <v>0</v>
      </c>
      <c r="R60" s="1">
        <f>VLOOKUP(A:A,MASTER!A:B,2,0)</f>
        <v>663</v>
      </c>
      <c r="S60">
        <f>VLOOKUP(A:A,MASTER!A:G,7,0)</f>
        <v>633</v>
      </c>
      <c r="T60" s="12">
        <f t="shared" si="4"/>
        <v>-4.5248868778280493E-2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120337100.51301143</v>
      </c>
      <c r="G61" s="1">
        <f>VLOOKUP(A:A,MASTER!A:K,11,0)</f>
        <v>143494535.42851979</v>
      </c>
      <c r="H61" s="12">
        <f t="shared" si="0"/>
        <v>0.19243803296560613</v>
      </c>
      <c r="I61" s="2">
        <f>VLOOKUP(A:A,MASTER!A:E,5,0)</f>
        <v>1675</v>
      </c>
      <c r="J61" s="2">
        <f>VLOOKUP(A:A,MASTER!A:J,10,0)</f>
        <v>1902</v>
      </c>
      <c r="K61" s="12">
        <f t="shared" si="1"/>
        <v>0.1355223880597014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1</v>
      </c>
      <c r="P61" s="1">
        <f>VLOOKUP(A:A,MASTER!A:H,8,0)</f>
        <v>1</v>
      </c>
      <c r="Q61" s="12">
        <f t="shared" si="3"/>
        <v>0</v>
      </c>
      <c r="R61" s="1">
        <f>VLOOKUP(A:A,MASTER!A:B,2,0)</f>
        <v>2044</v>
      </c>
      <c r="S61">
        <f>VLOOKUP(A:A,MASTER!A:G,7,0)</f>
        <v>1995</v>
      </c>
      <c r="T61" s="12">
        <f t="shared" si="4"/>
        <v>-2.3972602739726012E-2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102443393.82431726</v>
      </c>
      <c r="G62" s="1">
        <f>VLOOKUP(A:A,MASTER!A:K,11,0)</f>
        <v>109064210.81221052</v>
      </c>
      <c r="H62" s="12">
        <f t="shared" si="0"/>
        <v>6.4629028195292593E-2</v>
      </c>
      <c r="I62" s="2">
        <f>VLOOKUP(A:A,MASTER!A:E,5,0)</f>
        <v>1146</v>
      </c>
      <c r="J62" s="2">
        <f>VLOOKUP(A:A,MASTER!A:J,10,0)</f>
        <v>1134</v>
      </c>
      <c r="K62" s="12">
        <f t="shared" si="1"/>
        <v>-1.0471204188481686E-2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1</v>
      </c>
      <c r="P62" s="1">
        <f>VLOOKUP(A:A,MASTER!A:H,8,0)</f>
        <v>1</v>
      </c>
      <c r="Q62" s="12">
        <f t="shared" si="3"/>
        <v>0</v>
      </c>
      <c r="R62" s="1">
        <f>VLOOKUP(A:A,MASTER!A:B,2,0)</f>
        <v>1566</v>
      </c>
      <c r="S62">
        <f>VLOOKUP(A:A,MASTER!A:G,7,0)</f>
        <v>1576</v>
      </c>
      <c r="T62" s="12">
        <f t="shared" si="4"/>
        <v>6.3856960408683605E-3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65275217.521987304</v>
      </c>
      <c r="G63" s="1">
        <f>VLOOKUP(A:A,MASTER!A:K,11,0)</f>
        <v>70512529.464637458</v>
      </c>
      <c r="H63" s="12">
        <f t="shared" si="0"/>
        <v>8.0234308539623322E-2</v>
      </c>
      <c r="I63" s="2">
        <f>VLOOKUP(A:A,MASTER!A:E,5,0)</f>
        <v>746</v>
      </c>
      <c r="J63" s="2">
        <f>VLOOKUP(A:A,MASTER!A:J,10,0)</f>
        <v>858</v>
      </c>
      <c r="K63" s="12">
        <f t="shared" si="1"/>
        <v>0.15013404825737275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1</v>
      </c>
      <c r="P63" s="1">
        <f>VLOOKUP(A:A,MASTER!A:H,8,0)</f>
        <v>1</v>
      </c>
      <c r="Q63" s="12">
        <f t="shared" si="3"/>
        <v>0</v>
      </c>
      <c r="R63" s="1">
        <f>VLOOKUP(A:A,MASTER!A:B,2,0)</f>
        <v>858</v>
      </c>
      <c r="S63">
        <f>VLOOKUP(A:A,MASTER!A:G,7,0)</f>
        <v>910</v>
      </c>
      <c r="T63" s="12">
        <f t="shared" si="4"/>
        <v>6.0606060606060552E-2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97361687.385239542</v>
      </c>
      <c r="G64" s="1">
        <f>VLOOKUP(A:A,MASTER!A:K,11,0)</f>
        <v>101230034.20045069</v>
      </c>
      <c r="H64" s="12">
        <f t="shared" si="0"/>
        <v>3.9731715001044776E-2</v>
      </c>
      <c r="I64" s="2">
        <f>VLOOKUP(A:A,MASTER!A:E,5,0)</f>
        <v>1379</v>
      </c>
      <c r="J64" s="2">
        <f>VLOOKUP(A:A,MASTER!A:J,10,0)</f>
        <v>1350</v>
      </c>
      <c r="K64" s="12">
        <f t="shared" si="1"/>
        <v>-2.1029731689630182E-2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1</v>
      </c>
      <c r="P64" s="1">
        <f>VLOOKUP(A:A,MASTER!A:H,8,0)</f>
        <v>1</v>
      </c>
      <c r="Q64" s="12">
        <f t="shared" si="3"/>
        <v>0</v>
      </c>
      <c r="R64" s="1">
        <f>VLOOKUP(A:A,MASTER!A:B,2,0)</f>
        <v>2175</v>
      </c>
      <c r="S64">
        <f>VLOOKUP(A:A,MASTER!A:G,7,0)</f>
        <v>2264</v>
      </c>
      <c r="T64" s="12">
        <f t="shared" si="4"/>
        <v>4.0919540229884976E-2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7313571.435452926</v>
      </c>
      <c r="G65" s="1">
        <f>VLOOKUP(A:A,MASTER!A:K,11,0)</f>
        <v>5172825.0458439598</v>
      </c>
      <c r="H65" s="12">
        <f t="shared" si="0"/>
        <v>-0.29270875501831906</v>
      </c>
      <c r="I65" s="2">
        <f>VLOOKUP(A:A,MASTER!A:E,5,0)</f>
        <v>279</v>
      </c>
      <c r="J65" s="2">
        <f>VLOOKUP(A:A,MASTER!A:J,10,0)</f>
        <v>295</v>
      </c>
      <c r="K65" s="12">
        <f t="shared" si="1"/>
        <v>5.7347670250896154E-2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1</v>
      </c>
      <c r="P65" s="1">
        <f>VLOOKUP(A:A,MASTER!A:H,8,0)</f>
        <v>1</v>
      </c>
      <c r="Q65" s="12">
        <f t="shared" si="3"/>
        <v>0</v>
      </c>
      <c r="R65" s="1">
        <f>VLOOKUP(A:A,MASTER!A:B,2,0)</f>
        <v>267</v>
      </c>
      <c r="S65">
        <f>VLOOKUP(A:A,MASTER!A:G,7,0)</f>
        <v>231</v>
      </c>
      <c r="T65" s="12">
        <f t="shared" si="4"/>
        <v>-0.1348314606741573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75944852.629411101</v>
      </c>
      <c r="G66" s="1">
        <f>VLOOKUP(A:A,MASTER!A:K,11,0)</f>
        <v>73716745.686274394</v>
      </c>
      <c r="H66" s="12">
        <f t="shared" si="0"/>
        <v>-2.9338485308665008E-2</v>
      </c>
      <c r="I66" s="2">
        <f>VLOOKUP(A:A,MASTER!A:E,5,0)</f>
        <v>1509</v>
      </c>
      <c r="J66" s="2">
        <f>VLOOKUP(A:A,MASTER!A:J,10,0)</f>
        <v>1643</v>
      </c>
      <c r="K66" s="12">
        <f t="shared" si="1"/>
        <v>8.8800530152418844E-2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1</v>
      </c>
      <c r="P66" s="1">
        <f>VLOOKUP(A:A,MASTER!A:H,8,0)</f>
        <v>1</v>
      </c>
      <c r="Q66" s="12">
        <f t="shared" si="3"/>
        <v>0</v>
      </c>
      <c r="R66" s="1">
        <f>VLOOKUP(A:A,MASTER!A:B,2,0)</f>
        <v>1778</v>
      </c>
      <c r="S66">
        <f>VLOOKUP(A:A,MASTER!A:G,7,0)</f>
        <v>1611</v>
      </c>
      <c r="T66" s="12">
        <f t="shared" si="4"/>
        <v>-9.3925759280089949E-2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31899287.018290497</v>
      </c>
      <c r="G67" s="1">
        <f>VLOOKUP(A:A,MASTER!A:K,11,0)</f>
        <v>34504795.273507833</v>
      </c>
      <c r="H67" s="12">
        <f t="shared" ref="H67:H85" si="5">IFERROR(G67/F67-1,0)</f>
        <v>8.1679200344615399E-2</v>
      </c>
      <c r="I67" s="2">
        <f>VLOOKUP(A:A,MASTER!A:E,5,0)</f>
        <v>544</v>
      </c>
      <c r="J67" s="2">
        <f>VLOOKUP(A:A,MASTER!A:J,10,0)</f>
        <v>669</v>
      </c>
      <c r="K67" s="12">
        <f t="shared" ref="K67:K85" si="6">IFERROR(J67/I67-1,0)</f>
        <v>0.22977941176470584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1</v>
      </c>
      <c r="P67" s="1">
        <f>VLOOKUP(A:A,MASTER!A:H,8,0)</f>
        <v>1</v>
      </c>
      <c r="Q67" s="12">
        <f t="shared" ref="Q67:Q85" si="8">IFERROR(P67/O67-1,0)</f>
        <v>0</v>
      </c>
      <c r="R67" s="1">
        <f>VLOOKUP(A:A,MASTER!A:B,2,0)</f>
        <v>670</v>
      </c>
      <c r="S67">
        <f>VLOOKUP(A:A,MASTER!A:G,7,0)</f>
        <v>792</v>
      </c>
      <c r="T67" s="12">
        <f t="shared" ref="T67:T85" si="9">IFERROR(S67/R67-1,0)</f>
        <v>0.18208955223880596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51007579.71386952</v>
      </c>
      <c r="G68" s="1">
        <f>VLOOKUP(A:A,MASTER!A:K,11,0)</f>
        <v>54117492.101735033</v>
      </c>
      <c r="H68" s="12">
        <f t="shared" si="5"/>
        <v>6.0969612855790833E-2</v>
      </c>
      <c r="I68" s="2">
        <f>VLOOKUP(A:A,MASTER!A:E,5,0)</f>
        <v>842</v>
      </c>
      <c r="J68" s="2">
        <f>VLOOKUP(A:A,MASTER!A:J,10,0)</f>
        <v>1036</v>
      </c>
      <c r="K68" s="12">
        <f t="shared" si="6"/>
        <v>0.23040380047505948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1</v>
      </c>
      <c r="P68" s="1">
        <f>VLOOKUP(A:A,MASTER!A:H,8,0)</f>
        <v>1</v>
      </c>
      <c r="Q68" s="12">
        <f t="shared" si="8"/>
        <v>0</v>
      </c>
      <c r="R68" s="1">
        <f>VLOOKUP(A:A,MASTER!A:B,2,0)</f>
        <v>1341</v>
      </c>
      <c r="S68">
        <f>VLOOKUP(A:A,MASTER!A:G,7,0)</f>
        <v>1311</v>
      </c>
      <c r="T68" s="12">
        <f t="shared" si="9"/>
        <v>-2.2371364653243853E-2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25963208.881222174</v>
      </c>
      <c r="G69" s="1">
        <f>VLOOKUP(A:A,MASTER!A:K,11,0)</f>
        <v>37590199.101735942</v>
      </c>
      <c r="H69" s="12">
        <f t="shared" si="5"/>
        <v>0.44782562408620308</v>
      </c>
      <c r="I69" s="2">
        <f>VLOOKUP(A:A,MASTER!A:E,5,0)</f>
        <v>1303</v>
      </c>
      <c r="J69" s="2">
        <f>VLOOKUP(A:A,MASTER!A:J,10,0)</f>
        <v>1371</v>
      </c>
      <c r="K69" s="12">
        <f t="shared" si="6"/>
        <v>5.2187260168841121E-2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</v>
      </c>
      <c r="P69" s="1">
        <f>VLOOKUP(A:A,MASTER!A:H,8,0)</f>
        <v>1</v>
      </c>
      <c r="Q69" s="12">
        <f t="shared" si="8"/>
        <v>0</v>
      </c>
      <c r="R69" s="1">
        <f>VLOOKUP(A:A,MASTER!A:B,2,0)</f>
        <v>1326</v>
      </c>
      <c r="S69">
        <f>VLOOKUP(A:A,MASTER!A:G,7,0)</f>
        <v>1264</v>
      </c>
      <c r="T69" s="12">
        <f t="shared" si="9"/>
        <v>-4.6757164404223173E-2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91792573.410050973</v>
      </c>
      <c r="G70" s="1">
        <f>VLOOKUP(A:A,MASTER!A:K,11,0)</f>
        <v>93929721.304193228</v>
      </c>
      <c r="H70" s="12">
        <f t="shared" si="5"/>
        <v>2.3282361685136532E-2</v>
      </c>
      <c r="I70" s="2">
        <f>VLOOKUP(A:A,MASTER!A:E,5,0)</f>
        <v>1349</v>
      </c>
      <c r="J70" s="2">
        <f>VLOOKUP(A:A,MASTER!A:J,10,0)</f>
        <v>1216</v>
      </c>
      <c r="K70" s="12">
        <f t="shared" si="6"/>
        <v>-9.8591549295774628E-2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</v>
      </c>
      <c r="P70" s="1">
        <f>VLOOKUP(A:A,MASTER!A:H,8,0)</f>
        <v>1</v>
      </c>
      <c r="Q70" s="12">
        <f t="shared" si="8"/>
        <v>0</v>
      </c>
      <c r="R70" s="1">
        <f>VLOOKUP(A:A,MASTER!A:B,2,0)</f>
        <v>1752</v>
      </c>
      <c r="S70">
        <f>VLOOKUP(A:A,MASTER!A:G,7,0)</f>
        <v>1723</v>
      </c>
      <c r="T70" s="12">
        <f t="shared" si="9"/>
        <v>-1.6552511415525162E-2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18455025.262889173</v>
      </c>
      <c r="G71" s="1">
        <f>VLOOKUP(A:A,MASTER!A:K,11,0)</f>
        <v>19188570.55661596</v>
      </c>
      <c r="H71" s="12">
        <f t="shared" si="5"/>
        <v>3.9747726338899003E-2</v>
      </c>
      <c r="I71" s="2">
        <f>VLOOKUP(A:A,MASTER!A:E,5,0)</f>
        <v>429</v>
      </c>
      <c r="J71" s="2">
        <f>VLOOKUP(A:A,MASTER!A:J,10,0)</f>
        <v>535</v>
      </c>
      <c r="K71" s="12">
        <f t="shared" si="6"/>
        <v>0.24708624708624716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1</v>
      </c>
      <c r="P71" s="1">
        <f>VLOOKUP(A:A,MASTER!A:H,8,0)</f>
        <v>1</v>
      </c>
      <c r="Q71" s="12">
        <f t="shared" si="8"/>
        <v>0</v>
      </c>
      <c r="R71" s="1">
        <f>VLOOKUP(A:A,MASTER!A:B,2,0)</f>
        <v>488</v>
      </c>
      <c r="S71">
        <f>VLOOKUP(A:A,MASTER!A:G,7,0)</f>
        <v>518</v>
      </c>
      <c r="T71" s="12">
        <f t="shared" si="9"/>
        <v>6.1475409836065475E-2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30116347.306900125</v>
      </c>
      <c r="G72" s="1">
        <f>VLOOKUP(A:A,MASTER!A:K,11,0)</f>
        <v>30219211.233927336</v>
      </c>
      <c r="H72" s="12">
        <f t="shared" si="5"/>
        <v>3.4155512280085176E-3</v>
      </c>
      <c r="I72" s="2">
        <f>VLOOKUP(A:A,MASTER!A:E,5,0)</f>
        <v>819</v>
      </c>
      <c r="J72" s="2">
        <f>VLOOKUP(A:A,MASTER!A:J,10,0)</f>
        <v>940</v>
      </c>
      <c r="K72" s="12">
        <f t="shared" si="6"/>
        <v>0.14774114774114766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1</v>
      </c>
      <c r="P72" s="1">
        <f>VLOOKUP(A:A,MASTER!A:H,8,0)</f>
        <v>1</v>
      </c>
      <c r="Q72" s="12">
        <f t="shared" si="8"/>
        <v>0</v>
      </c>
      <c r="R72" s="1">
        <f>VLOOKUP(A:A,MASTER!A:B,2,0)</f>
        <v>904</v>
      </c>
      <c r="S72">
        <f>VLOOKUP(A:A,MASTER!A:G,7,0)</f>
        <v>880</v>
      </c>
      <c r="T72" s="12">
        <f t="shared" si="9"/>
        <v>-2.6548672566371723E-2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19151209.448978584</v>
      </c>
      <c r="G73" s="1">
        <f>VLOOKUP(A:A,MASTER!A:K,11,0)</f>
        <v>30422200.571008343</v>
      </c>
      <c r="H73" s="12">
        <f t="shared" si="5"/>
        <v>0.58852633574172986</v>
      </c>
      <c r="I73" s="2">
        <f>VLOOKUP(A:A,MASTER!A:E,5,0)</f>
        <v>592</v>
      </c>
      <c r="J73" s="2">
        <f>VLOOKUP(A:A,MASTER!A:J,10,0)</f>
        <v>482</v>
      </c>
      <c r="K73" s="12">
        <f t="shared" si="6"/>
        <v>-0.18581081081081086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1</v>
      </c>
      <c r="P73" s="1">
        <f>VLOOKUP(A:A,MASTER!A:H,8,0)</f>
        <v>1</v>
      </c>
      <c r="Q73" s="12">
        <f t="shared" si="8"/>
        <v>0</v>
      </c>
      <c r="R73" s="1">
        <f>VLOOKUP(A:A,MASTER!A:B,2,0)</f>
        <v>648</v>
      </c>
      <c r="S73">
        <f>VLOOKUP(A:A,MASTER!A:G,7,0)</f>
        <v>635</v>
      </c>
      <c r="T73" s="12">
        <f t="shared" si="9"/>
        <v>-2.0061728395061706E-2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15512138.691203132</v>
      </c>
      <c r="G74" s="1">
        <f>VLOOKUP(A:A,MASTER!A:K,11,0)</f>
        <v>20120265.201050755</v>
      </c>
      <c r="H74" s="12">
        <f t="shared" si="5"/>
        <v>0.29706583995802416</v>
      </c>
      <c r="I74" s="2">
        <f>VLOOKUP(A:A,MASTER!A:E,5,0)</f>
        <v>580</v>
      </c>
      <c r="J74" s="2">
        <f>VLOOKUP(A:A,MASTER!A:J,10,0)</f>
        <v>641</v>
      </c>
      <c r="K74" s="12">
        <f t="shared" si="6"/>
        <v>0.10517241379310338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1</v>
      </c>
      <c r="P74" s="1">
        <f>VLOOKUP(A:A,MASTER!A:H,8,0)</f>
        <v>1</v>
      </c>
      <c r="Q74" s="12">
        <f t="shared" si="8"/>
        <v>0</v>
      </c>
      <c r="R74" s="1">
        <f>VLOOKUP(A:A,MASTER!A:B,2,0)</f>
        <v>567</v>
      </c>
      <c r="S74">
        <f>VLOOKUP(A:A,MASTER!A:G,7,0)</f>
        <v>584</v>
      </c>
      <c r="T74" s="12">
        <f t="shared" si="9"/>
        <v>2.9982363315696592E-2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23263790.864588767</v>
      </c>
      <c r="G75" s="1">
        <f>VLOOKUP(A:A,MASTER!A:K,11,0)</f>
        <v>24740174.020793092</v>
      </c>
      <c r="H75" s="12">
        <f t="shared" si="5"/>
        <v>6.3462707552603526E-2</v>
      </c>
      <c r="I75" s="2">
        <f>VLOOKUP(A:A,MASTER!A:E,5,0)</f>
        <v>451</v>
      </c>
      <c r="J75" s="2">
        <f>VLOOKUP(A:A,MASTER!A:J,10,0)</f>
        <v>441</v>
      </c>
      <c r="K75" s="12">
        <f t="shared" si="6"/>
        <v>-2.2172949002217335E-2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1</v>
      </c>
      <c r="P75" s="1">
        <f>VLOOKUP(A:A,MASTER!A:H,8,0)</f>
        <v>1</v>
      </c>
      <c r="Q75" s="12">
        <f t="shared" si="8"/>
        <v>0</v>
      </c>
      <c r="R75" s="1">
        <f>VLOOKUP(A:A,MASTER!A:B,2,0)</f>
        <v>434</v>
      </c>
      <c r="S75">
        <f>VLOOKUP(A:A,MASTER!A:G,7,0)</f>
        <v>446</v>
      </c>
      <c r="T75" s="12">
        <f t="shared" si="9"/>
        <v>2.7649769585253559E-2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66507971.519060627</v>
      </c>
      <c r="G76" s="1">
        <f>VLOOKUP(A:A,MASTER!A:K,11,0)</f>
        <v>63619281.466331504</v>
      </c>
      <c r="H76" s="12">
        <f t="shared" si="5"/>
        <v>-4.3433741651573987E-2</v>
      </c>
      <c r="I76" s="2">
        <f>VLOOKUP(A:A,MASTER!A:E,5,0)</f>
        <v>740</v>
      </c>
      <c r="J76" s="2">
        <f>VLOOKUP(A:A,MASTER!A:J,10,0)</f>
        <v>677</v>
      </c>
      <c r="K76" s="12">
        <f t="shared" si="6"/>
        <v>-8.5135135135135154E-2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</v>
      </c>
      <c r="P76" s="1">
        <f>VLOOKUP(A:A,MASTER!A:H,8,0)</f>
        <v>1</v>
      </c>
      <c r="Q76" s="12">
        <f t="shared" si="8"/>
        <v>0</v>
      </c>
      <c r="R76" s="1">
        <f>VLOOKUP(A:A,MASTER!A:B,2,0)</f>
        <v>959</v>
      </c>
      <c r="S76">
        <f>VLOOKUP(A:A,MASTER!A:G,7,0)</f>
        <v>913</v>
      </c>
      <c r="T76" s="12">
        <f t="shared" si="9"/>
        <v>-4.79666319082378E-2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39271755.132852465</v>
      </c>
      <c r="G77" s="1">
        <f>VLOOKUP(A:A,MASTER!A:K,11,0)</f>
        <v>38573634.877528213</v>
      </c>
      <c r="H77" s="12">
        <f t="shared" si="5"/>
        <v>-1.7776650240422964E-2</v>
      </c>
      <c r="I77" s="2">
        <f>VLOOKUP(A:A,MASTER!A:E,5,0)</f>
        <v>773</v>
      </c>
      <c r="J77" s="2">
        <f>VLOOKUP(A:A,MASTER!A:J,10,0)</f>
        <v>845</v>
      </c>
      <c r="K77" s="12">
        <f t="shared" si="6"/>
        <v>9.3143596377748938E-2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1</v>
      </c>
      <c r="P77" s="1">
        <f>VLOOKUP(A:A,MASTER!A:H,8,0)</f>
        <v>1</v>
      </c>
      <c r="Q77" s="12">
        <f t="shared" si="8"/>
        <v>0</v>
      </c>
      <c r="R77" s="1">
        <f>VLOOKUP(A:A,MASTER!A:B,2,0)</f>
        <v>787</v>
      </c>
      <c r="S77">
        <f>VLOOKUP(A:A,MASTER!A:G,7,0)</f>
        <v>779</v>
      </c>
      <c r="T77" s="12">
        <f t="shared" si="9"/>
        <v>-1.0165184243964398E-2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33040743.096682217</v>
      </c>
      <c r="G78" s="1">
        <f>VLOOKUP(A:A,MASTER!A:K,11,0)</f>
        <v>33688213.440316871</v>
      </c>
      <c r="H78" s="12">
        <f t="shared" si="5"/>
        <v>1.9596119304582826E-2</v>
      </c>
      <c r="I78" s="2">
        <f>VLOOKUP(A:A,MASTER!A:E,5,0)</f>
        <v>887</v>
      </c>
      <c r="J78" s="2">
        <f>VLOOKUP(A:A,MASTER!A:J,10,0)</f>
        <v>925</v>
      </c>
      <c r="K78" s="12">
        <f t="shared" si="6"/>
        <v>4.284103720405863E-2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1</v>
      </c>
      <c r="P78" s="1">
        <f>VLOOKUP(A:A,MASTER!A:H,8,0)</f>
        <v>1</v>
      </c>
      <c r="Q78" s="12">
        <f t="shared" si="8"/>
        <v>0</v>
      </c>
      <c r="R78" s="1">
        <f>VLOOKUP(A:A,MASTER!A:B,2,0)</f>
        <v>943</v>
      </c>
      <c r="S78">
        <f>VLOOKUP(A:A,MASTER!A:G,7,0)</f>
        <v>943</v>
      </c>
      <c r="T78" s="12">
        <f t="shared" si="9"/>
        <v>0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36631702.705332726</v>
      </c>
      <c r="G79" s="1">
        <f>VLOOKUP(A:A,MASTER!A:K,11,0)</f>
        <v>36103279.481705926</v>
      </c>
      <c r="H79" s="12">
        <f t="shared" si="5"/>
        <v>-1.4425297886845767E-2</v>
      </c>
      <c r="I79" s="2">
        <f>VLOOKUP(A:A,MASTER!A:E,5,0)</f>
        <v>813</v>
      </c>
      <c r="J79" s="2">
        <f>VLOOKUP(A:A,MASTER!A:J,10,0)</f>
        <v>864</v>
      </c>
      <c r="K79" s="12">
        <f t="shared" si="6"/>
        <v>6.2730627306273101E-2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1</v>
      </c>
      <c r="P79" s="1">
        <f>VLOOKUP(A:A,MASTER!A:H,8,0)</f>
        <v>1</v>
      </c>
      <c r="Q79" s="12">
        <f t="shared" si="8"/>
        <v>0</v>
      </c>
      <c r="R79" s="1">
        <f>VLOOKUP(A:A,MASTER!A:B,2,0)</f>
        <v>1003</v>
      </c>
      <c r="S79">
        <f>VLOOKUP(A:A,MASTER!A:G,7,0)</f>
        <v>939</v>
      </c>
      <c r="T79" s="12">
        <f t="shared" si="9"/>
        <v>-6.3808574277168462E-2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40338279.820725247</v>
      </c>
      <c r="G80" s="1">
        <f>VLOOKUP(A:A,MASTER!A:K,11,0)</f>
        <v>44599795.155383743</v>
      </c>
      <c r="H80" s="12">
        <f t="shared" si="5"/>
        <v>0.10564444873697831</v>
      </c>
      <c r="I80" s="2">
        <f>VLOOKUP(A:A,MASTER!A:E,5,0)</f>
        <v>733</v>
      </c>
      <c r="J80" s="2">
        <f>VLOOKUP(A:A,MASTER!A:J,10,0)</f>
        <v>760</v>
      </c>
      <c r="K80" s="12">
        <f t="shared" si="6"/>
        <v>3.6834924965893689E-2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1</v>
      </c>
      <c r="P80" s="1">
        <f>VLOOKUP(A:A,MASTER!A:H,8,0)</f>
        <v>1</v>
      </c>
      <c r="Q80" s="12">
        <f t="shared" si="8"/>
        <v>0</v>
      </c>
      <c r="R80" s="1">
        <f>VLOOKUP(A:A,MASTER!A:B,2,0)</f>
        <v>750</v>
      </c>
      <c r="S80">
        <f>VLOOKUP(A:A,MASTER!A:G,7,0)</f>
        <v>747</v>
      </c>
      <c r="T80" s="12">
        <f t="shared" si="9"/>
        <v>-4.0000000000000036E-3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17141452.126034677</v>
      </c>
      <c r="G81" s="1">
        <f>VLOOKUP(A:A,MASTER!A:K,11,0)</f>
        <v>20087214.685205936</v>
      </c>
      <c r="H81" s="12">
        <f t="shared" si="5"/>
        <v>0.17185023401239108</v>
      </c>
      <c r="I81" s="2">
        <f>VLOOKUP(A:A,MASTER!A:E,5,0)</f>
        <v>552</v>
      </c>
      <c r="J81" s="2">
        <f>VLOOKUP(A:A,MASTER!A:J,10,0)</f>
        <v>654</v>
      </c>
      <c r="K81" s="12">
        <f t="shared" si="6"/>
        <v>0.18478260869565211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1</v>
      </c>
      <c r="P81" s="1">
        <f>VLOOKUP(A:A,MASTER!A:H,8,0)</f>
        <v>1</v>
      </c>
      <c r="Q81" s="12">
        <f t="shared" si="8"/>
        <v>0</v>
      </c>
      <c r="R81" s="1">
        <f>VLOOKUP(A:A,MASTER!A:B,2,0)</f>
        <v>562</v>
      </c>
      <c r="S81">
        <f>VLOOKUP(A:A,MASTER!A:G,7,0)</f>
        <v>596</v>
      </c>
      <c r="T81" s="12">
        <f t="shared" si="9"/>
        <v>6.0498220640569311E-2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76202562.564526007</v>
      </c>
      <c r="G82" s="1">
        <f>VLOOKUP(A:A,MASTER!A:K,11,0)</f>
        <v>86363725.977506131</v>
      </c>
      <c r="H82" s="12">
        <f t="shared" si="5"/>
        <v>0.13334411693013548</v>
      </c>
      <c r="I82" s="2">
        <f>VLOOKUP(A:A,MASTER!A:E,5,0)</f>
        <v>1435</v>
      </c>
      <c r="J82" s="2">
        <f>VLOOKUP(A:A,MASTER!A:J,10,0)</f>
        <v>1391</v>
      </c>
      <c r="K82" s="12">
        <f t="shared" si="6"/>
        <v>-3.0662020905923293E-2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</v>
      </c>
      <c r="P82" s="1">
        <f>VLOOKUP(A:A,MASTER!A:H,8,0)</f>
        <v>1</v>
      </c>
      <c r="Q82" s="12">
        <f t="shared" si="8"/>
        <v>0</v>
      </c>
      <c r="R82" s="1">
        <f>VLOOKUP(A:A,MASTER!A:B,2,0)</f>
        <v>1703</v>
      </c>
      <c r="S82">
        <f>VLOOKUP(A:A,MASTER!A:G,7,0)</f>
        <v>1763</v>
      </c>
      <c r="T82" s="12">
        <f t="shared" si="9"/>
        <v>3.523194362889015E-2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21632881.990039628</v>
      </c>
      <c r="G83" s="1">
        <f>VLOOKUP(A:A,MASTER!A:K,11,0)</f>
        <v>18952406.468127072</v>
      </c>
      <c r="H83" s="12">
        <f t="shared" si="5"/>
        <v>-0.12390746286818</v>
      </c>
      <c r="I83" s="2">
        <f>VLOOKUP(A:A,MASTER!A:E,5,0)</f>
        <v>665</v>
      </c>
      <c r="J83" s="2">
        <f>VLOOKUP(A:A,MASTER!A:J,10,0)</f>
        <v>1113</v>
      </c>
      <c r="K83" s="12">
        <f t="shared" si="6"/>
        <v>0.67368421052631589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1</v>
      </c>
      <c r="P83" s="1">
        <f>VLOOKUP(A:A,MASTER!A:H,8,0)</f>
        <v>1</v>
      </c>
      <c r="Q83" s="12">
        <f t="shared" si="8"/>
        <v>0</v>
      </c>
      <c r="R83" s="1">
        <f>VLOOKUP(A:A,MASTER!A:B,2,0)</f>
        <v>628</v>
      </c>
      <c r="S83">
        <f>VLOOKUP(A:A,MASTER!A:G,7,0)</f>
        <v>614</v>
      </c>
      <c r="T83" s="12">
        <f t="shared" si="9"/>
        <v>-2.2292993630573243E-2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34957436.4464413</v>
      </c>
      <c r="G84" s="1">
        <f>VLOOKUP(A:A,MASTER!A:K,11,0)</f>
        <v>38208667.931577981</v>
      </c>
      <c r="H84" s="12">
        <f t="shared" si="5"/>
        <v>9.3005432195176319E-2</v>
      </c>
      <c r="I84" s="2">
        <f>VLOOKUP(A:A,MASTER!A:E,5,0)</f>
        <v>516</v>
      </c>
      <c r="J84" s="2">
        <f>VLOOKUP(A:A,MASTER!A:J,10,0)</f>
        <v>587</v>
      </c>
      <c r="K84" s="12">
        <f t="shared" si="6"/>
        <v>0.13759689922480622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</v>
      </c>
      <c r="P84" s="1">
        <f>VLOOKUP(A:A,MASTER!A:H,8,0)</f>
        <v>1</v>
      </c>
      <c r="Q84" s="12">
        <f t="shared" si="8"/>
        <v>0</v>
      </c>
      <c r="R84" s="1">
        <f>VLOOKUP(A:A,MASTER!A:B,2,0)</f>
        <v>589</v>
      </c>
      <c r="S84">
        <f>VLOOKUP(A:A,MASTER!A:G,7,0)</f>
        <v>671</v>
      </c>
      <c r="T84" s="12">
        <f t="shared" si="9"/>
        <v>0.1392190152801358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9210992.3000813983</v>
      </c>
      <c r="G85" s="1">
        <f>VLOOKUP(A:A,MASTER!A:K,11,0)</f>
        <v>8715856.6644448936</v>
      </c>
      <c r="H85" s="12">
        <f t="shared" si="5"/>
        <v>-5.3754863700421152E-2</v>
      </c>
      <c r="I85" s="2">
        <f>VLOOKUP(A:A,MASTER!A:E,5,0)</f>
        <v>298</v>
      </c>
      <c r="J85" s="2">
        <f>VLOOKUP(A:A,MASTER!A:J,10,0)</f>
        <v>340</v>
      </c>
      <c r="K85" s="12">
        <f t="shared" si="6"/>
        <v>0.14093959731543615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1</v>
      </c>
      <c r="P85" s="1">
        <f>VLOOKUP(A:A,MASTER!A:H,8,0)</f>
        <v>1</v>
      </c>
      <c r="Q85" s="12">
        <f t="shared" si="8"/>
        <v>0</v>
      </c>
      <c r="R85" s="1">
        <f>VLOOKUP(A:A,MASTER!A:B,2,0)</f>
        <v>359</v>
      </c>
      <c r="S85">
        <f>VLOOKUP(A:A,MASTER!A:G,7,0)</f>
        <v>359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E81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84802</v>
      </c>
      <c r="C3" s="11">
        <f t="shared" si="0"/>
        <v>85</v>
      </c>
      <c r="D3" s="11">
        <f t="shared" si="0"/>
        <v>310</v>
      </c>
      <c r="E3" s="11">
        <f t="shared" si="0"/>
        <v>72433</v>
      </c>
      <c r="F3" s="11">
        <f t="shared" si="0"/>
        <v>3753594664.6248837</v>
      </c>
      <c r="G3" s="11">
        <f t="shared" si="0"/>
        <v>83838</v>
      </c>
      <c r="H3" s="11">
        <f t="shared" si="0"/>
        <v>85</v>
      </c>
      <c r="I3" s="11">
        <f t="shared" si="0"/>
        <v>321</v>
      </c>
      <c r="J3" s="11">
        <f t="shared" si="0"/>
        <v>77220</v>
      </c>
      <c r="K3" s="11">
        <f t="shared" si="0"/>
        <v>3905204245.4374442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407</v>
      </c>
      <c r="C6" s="10">
        <v>1</v>
      </c>
      <c r="D6" s="10">
        <v>2</v>
      </c>
      <c r="E6" s="10">
        <v>364</v>
      </c>
      <c r="F6" s="10">
        <v>17517824.936644945</v>
      </c>
      <c r="G6" s="10">
        <v>426</v>
      </c>
      <c r="H6" s="10">
        <v>1</v>
      </c>
      <c r="I6" s="10">
        <v>2</v>
      </c>
      <c r="J6" s="10">
        <v>442</v>
      </c>
      <c r="K6" s="10">
        <v>17754017.243240628</v>
      </c>
    </row>
    <row r="7" spans="1:11" x14ac:dyDescent="0.35">
      <c r="A7" s="9" t="s">
        <v>127</v>
      </c>
      <c r="B7" s="10">
        <v>663</v>
      </c>
      <c r="C7" s="10">
        <v>1</v>
      </c>
      <c r="D7" s="10">
        <v>1</v>
      </c>
      <c r="E7" s="10">
        <v>524</v>
      </c>
      <c r="F7" s="10">
        <v>21083329.480549503</v>
      </c>
      <c r="G7" s="10">
        <v>592</v>
      </c>
      <c r="H7" s="10">
        <v>1</v>
      </c>
      <c r="I7" s="10">
        <v>2</v>
      </c>
      <c r="J7" s="10">
        <v>531</v>
      </c>
      <c r="K7" s="10">
        <v>20599306.42789045</v>
      </c>
    </row>
    <row r="8" spans="1:11" x14ac:dyDescent="0.35">
      <c r="A8" s="9" t="s">
        <v>119</v>
      </c>
      <c r="B8" s="10">
        <v>703</v>
      </c>
      <c r="C8" s="10">
        <v>1</v>
      </c>
      <c r="D8" s="10">
        <v>2</v>
      </c>
      <c r="E8" s="10">
        <v>732</v>
      </c>
      <c r="F8" s="10">
        <v>26904304.520968296</v>
      </c>
      <c r="G8" s="10">
        <v>784</v>
      </c>
      <c r="H8" s="10">
        <v>1</v>
      </c>
      <c r="I8" s="10">
        <v>1</v>
      </c>
      <c r="J8" s="10">
        <v>1061</v>
      </c>
      <c r="K8" s="10">
        <v>30644998.808774374</v>
      </c>
    </row>
    <row r="9" spans="1:11" x14ac:dyDescent="0.35">
      <c r="A9" s="9" t="s">
        <v>121</v>
      </c>
      <c r="B9" s="10">
        <v>1208</v>
      </c>
      <c r="C9" s="10">
        <v>1</v>
      </c>
      <c r="D9" s="10">
        <v>3</v>
      </c>
      <c r="E9" s="10">
        <v>1127</v>
      </c>
      <c r="F9" s="10">
        <v>45502285.860905826</v>
      </c>
      <c r="G9" s="10">
        <v>1267</v>
      </c>
      <c r="H9" s="10">
        <v>1</v>
      </c>
      <c r="I9" s="10">
        <v>3</v>
      </c>
      <c r="J9" s="10">
        <v>1319</v>
      </c>
      <c r="K9" s="10">
        <v>47060305.920977235</v>
      </c>
    </row>
    <row r="10" spans="1:11" x14ac:dyDescent="0.35">
      <c r="A10" s="9" t="s">
        <v>123</v>
      </c>
      <c r="B10" s="10">
        <v>401</v>
      </c>
      <c r="C10" s="10">
        <v>1</v>
      </c>
      <c r="D10" s="10">
        <v>1</v>
      </c>
      <c r="E10" s="10">
        <v>128</v>
      </c>
      <c r="F10" s="10">
        <v>19025856.490399856</v>
      </c>
      <c r="G10" s="10">
        <v>394</v>
      </c>
      <c r="H10" s="10">
        <v>1</v>
      </c>
      <c r="I10" s="10">
        <v>1</v>
      </c>
      <c r="J10" s="10">
        <v>682</v>
      </c>
      <c r="K10" s="10">
        <v>20123601.930200331</v>
      </c>
    </row>
    <row r="11" spans="1:11" x14ac:dyDescent="0.35">
      <c r="A11" s="9" t="s">
        <v>125</v>
      </c>
      <c r="B11" s="10">
        <v>374</v>
      </c>
      <c r="C11" s="10">
        <v>1</v>
      </c>
      <c r="D11" s="10">
        <v>2</v>
      </c>
      <c r="E11" s="10">
        <v>338</v>
      </c>
      <c r="F11" s="10">
        <v>15380515.232561</v>
      </c>
      <c r="G11" s="10">
        <v>389</v>
      </c>
      <c r="H11" s="10">
        <v>1</v>
      </c>
      <c r="I11" s="10">
        <v>2</v>
      </c>
      <c r="J11" s="10">
        <v>439</v>
      </c>
      <c r="K11" s="10">
        <v>16869755.349394083</v>
      </c>
    </row>
    <row r="12" spans="1:11" x14ac:dyDescent="0.35">
      <c r="A12" s="9" t="s">
        <v>131</v>
      </c>
      <c r="B12" s="10">
        <v>576</v>
      </c>
      <c r="C12" s="10">
        <v>1</v>
      </c>
      <c r="D12" s="10">
        <v>1</v>
      </c>
      <c r="E12" s="10">
        <v>466</v>
      </c>
      <c r="F12" s="10">
        <v>17624210.837453809</v>
      </c>
      <c r="G12" s="10">
        <v>627</v>
      </c>
      <c r="H12" s="10">
        <v>1</v>
      </c>
      <c r="I12" s="10">
        <v>2</v>
      </c>
      <c r="J12" s="10">
        <v>682</v>
      </c>
      <c r="K12" s="10">
        <v>22007062.562396754</v>
      </c>
    </row>
    <row r="13" spans="1:11" x14ac:dyDescent="0.35">
      <c r="A13" s="9" t="s">
        <v>133</v>
      </c>
      <c r="B13" s="10">
        <v>175</v>
      </c>
      <c r="C13" s="10">
        <v>1</v>
      </c>
      <c r="D13" s="10">
        <v>1</v>
      </c>
      <c r="E13" s="10">
        <v>163</v>
      </c>
      <c r="F13" s="10">
        <v>8851733.9391890019</v>
      </c>
      <c r="G13" s="10">
        <v>186</v>
      </c>
      <c r="H13" s="10">
        <v>1</v>
      </c>
      <c r="I13" s="10">
        <v>1</v>
      </c>
      <c r="J13" s="10">
        <v>284</v>
      </c>
      <c r="K13" s="10">
        <v>8568722.2610597294</v>
      </c>
    </row>
    <row r="14" spans="1:11" x14ac:dyDescent="0.35">
      <c r="A14" s="9" t="s">
        <v>141</v>
      </c>
      <c r="B14" s="10">
        <v>195</v>
      </c>
      <c r="C14" s="10">
        <v>1</v>
      </c>
      <c r="D14" s="10">
        <v>1</v>
      </c>
      <c r="E14" s="10">
        <v>180</v>
      </c>
      <c r="F14" s="10">
        <v>7957950.5981784724</v>
      </c>
      <c r="G14" s="10">
        <v>187</v>
      </c>
      <c r="H14" s="10">
        <v>1</v>
      </c>
      <c r="I14" s="10">
        <v>1</v>
      </c>
      <c r="J14" s="10">
        <v>271</v>
      </c>
      <c r="K14" s="10">
        <v>5911294.9506757176</v>
      </c>
    </row>
    <row r="15" spans="1:11" x14ac:dyDescent="0.35">
      <c r="A15" s="9" t="s">
        <v>135</v>
      </c>
      <c r="B15" s="10">
        <v>338</v>
      </c>
      <c r="C15" s="10">
        <v>1</v>
      </c>
      <c r="D15" s="10">
        <v>1</v>
      </c>
      <c r="E15" s="10">
        <v>321</v>
      </c>
      <c r="F15" s="10">
        <v>12768697.680789188</v>
      </c>
      <c r="G15" s="10">
        <v>386</v>
      </c>
      <c r="H15" s="10">
        <v>1</v>
      </c>
      <c r="I15" s="10">
        <v>1</v>
      </c>
      <c r="J15" s="10">
        <v>545</v>
      </c>
      <c r="K15" s="10">
        <v>17492394.781621311</v>
      </c>
    </row>
    <row r="16" spans="1:11" x14ac:dyDescent="0.35">
      <c r="A16" s="9" t="s">
        <v>143</v>
      </c>
      <c r="B16" s="10">
        <v>195</v>
      </c>
      <c r="C16" s="10">
        <v>1</v>
      </c>
      <c r="D16" s="10">
        <v>1</v>
      </c>
      <c r="E16" s="10">
        <v>252</v>
      </c>
      <c r="F16" s="10">
        <v>6150148.8409964209</v>
      </c>
      <c r="G16" s="10">
        <v>240</v>
      </c>
      <c r="H16" s="10">
        <v>1</v>
      </c>
      <c r="I16" s="10">
        <v>2</v>
      </c>
      <c r="J16" s="10">
        <v>504</v>
      </c>
      <c r="K16" s="10">
        <v>9215282.8593596723</v>
      </c>
    </row>
    <row r="17" spans="1:11" x14ac:dyDescent="0.35">
      <c r="A17" s="9" t="s">
        <v>145</v>
      </c>
      <c r="B17" s="10">
        <v>249</v>
      </c>
      <c r="C17" s="10">
        <v>1</v>
      </c>
      <c r="D17" s="10">
        <v>1</v>
      </c>
      <c r="E17" s="10">
        <v>225</v>
      </c>
      <c r="F17" s="10">
        <v>8517878.5314678382</v>
      </c>
      <c r="G17" s="10">
        <v>251</v>
      </c>
      <c r="H17" s="10">
        <v>1</v>
      </c>
      <c r="I17" s="10">
        <v>1</v>
      </c>
      <c r="J17" s="10">
        <v>353</v>
      </c>
      <c r="K17" s="10">
        <v>9652149.6697089188</v>
      </c>
    </row>
    <row r="18" spans="1:11" x14ac:dyDescent="0.35">
      <c r="A18" s="9" t="s">
        <v>20</v>
      </c>
      <c r="B18" s="10">
        <v>1439</v>
      </c>
      <c r="C18" s="10">
        <v>1</v>
      </c>
      <c r="D18" s="10">
        <v>2</v>
      </c>
      <c r="E18" s="10">
        <v>1073</v>
      </c>
      <c r="F18" s="10">
        <v>25219035.773216184</v>
      </c>
      <c r="G18" s="10">
        <v>1311</v>
      </c>
      <c r="H18" s="10">
        <v>1</v>
      </c>
      <c r="I18" s="10">
        <v>4</v>
      </c>
      <c r="J18" s="10">
        <v>1310</v>
      </c>
      <c r="K18" s="10">
        <v>42743188.946374118</v>
      </c>
    </row>
    <row r="19" spans="1:11" x14ac:dyDescent="0.35">
      <c r="A19" s="9" t="s">
        <v>45</v>
      </c>
      <c r="B19" s="10">
        <v>1279</v>
      </c>
      <c r="C19" s="10">
        <v>1</v>
      </c>
      <c r="D19" s="10">
        <v>3</v>
      </c>
      <c r="E19" s="10">
        <v>854</v>
      </c>
      <c r="F19" s="10">
        <v>52208752.603291377</v>
      </c>
      <c r="G19" s="10">
        <v>1211</v>
      </c>
      <c r="H19" s="10">
        <v>1</v>
      </c>
      <c r="I19" s="10">
        <v>3</v>
      </c>
      <c r="J19" s="10">
        <v>952</v>
      </c>
      <c r="K19" s="10">
        <v>67821412.382439718</v>
      </c>
    </row>
    <row r="20" spans="1:11" x14ac:dyDescent="0.35">
      <c r="A20" s="9" t="s">
        <v>47</v>
      </c>
      <c r="B20" s="10">
        <v>1022</v>
      </c>
      <c r="C20" s="10">
        <v>1</v>
      </c>
      <c r="D20" s="10">
        <v>4</v>
      </c>
      <c r="E20" s="10">
        <v>942</v>
      </c>
      <c r="F20" s="10">
        <v>35736159.745746233</v>
      </c>
      <c r="G20" s="10">
        <v>996</v>
      </c>
      <c r="H20" s="10">
        <v>1</v>
      </c>
      <c r="I20" s="10">
        <v>5</v>
      </c>
      <c r="J20" s="10">
        <v>1113</v>
      </c>
      <c r="K20" s="10">
        <v>35959724.52168268</v>
      </c>
    </row>
    <row r="21" spans="1:11" x14ac:dyDescent="0.35">
      <c r="A21" s="9" t="s">
        <v>49</v>
      </c>
      <c r="B21" s="10">
        <v>942</v>
      </c>
      <c r="C21" s="10">
        <v>1</v>
      </c>
      <c r="D21" s="10">
        <v>3</v>
      </c>
      <c r="E21" s="10">
        <v>617</v>
      </c>
      <c r="F21" s="10">
        <v>32578047.546638802</v>
      </c>
      <c r="G21" s="10">
        <v>926</v>
      </c>
      <c r="H21" s="10">
        <v>1</v>
      </c>
      <c r="I21" s="10">
        <v>3</v>
      </c>
      <c r="J21" s="10">
        <v>669</v>
      </c>
      <c r="K21" s="10">
        <v>30025690.444241911</v>
      </c>
    </row>
    <row r="22" spans="1:11" x14ac:dyDescent="0.35">
      <c r="A22" s="9" t="s">
        <v>51</v>
      </c>
      <c r="B22" s="10">
        <v>3048</v>
      </c>
      <c r="C22" s="10">
        <v>1</v>
      </c>
      <c r="D22" s="10">
        <v>11</v>
      </c>
      <c r="E22" s="10">
        <v>2064</v>
      </c>
      <c r="F22" s="10">
        <v>123016746.21003149</v>
      </c>
      <c r="G22" s="10">
        <v>2721</v>
      </c>
      <c r="H22" s="10">
        <v>1</v>
      </c>
      <c r="I22" s="10">
        <v>10</v>
      </c>
      <c r="J22" s="10">
        <v>2158</v>
      </c>
      <c r="K22" s="10">
        <v>127813940.61962</v>
      </c>
    </row>
    <row r="23" spans="1:11" x14ac:dyDescent="0.35">
      <c r="A23" s="9" t="s">
        <v>53</v>
      </c>
      <c r="B23" s="10">
        <v>1423</v>
      </c>
      <c r="C23" s="10">
        <v>1</v>
      </c>
      <c r="D23" s="10">
        <v>2</v>
      </c>
      <c r="E23" s="10">
        <v>1221</v>
      </c>
      <c r="F23" s="10">
        <v>64420103.039911374</v>
      </c>
      <c r="G23" s="10">
        <v>1291</v>
      </c>
      <c r="H23" s="10">
        <v>1</v>
      </c>
      <c r="I23" s="10">
        <v>2</v>
      </c>
      <c r="J23" s="10">
        <v>1193</v>
      </c>
      <c r="K23" s="10">
        <v>48048938.250860699</v>
      </c>
    </row>
    <row r="24" spans="1:11" x14ac:dyDescent="0.35">
      <c r="A24" s="9" t="s">
        <v>55</v>
      </c>
      <c r="B24" s="10">
        <v>2987</v>
      </c>
      <c r="C24" s="10">
        <v>1</v>
      </c>
      <c r="D24" s="10">
        <v>11</v>
      </c>
      <c r="E24" s="10">
        <v>2243</v>
      </c>
      <c r="F24" s="10">
        <v>130865566.41338848</v>
      </c>
      <c r="G24" s="10">
        <v>2792</v>
      </c>
      <c r="H24" s="10">
        <v>1</v>
      </c>
      <c r="I24" s="10">
        <v>10</v>
      </c>
      <c r="J24" s="10">
        <v>2235</v>
      </c>
      <c r="K24" s="10">
        <v>132747681.87001136</v>
      </c>
    </row>
    <row r="25" spans="1:11" x14ac:dyDescent="0.35">
      <c r="A25" s="9" t="s">
        <v>67</v>
      </c>
      <c r="B25" s="10">
        <v>537</v>
      </c>
      <c r="C25" s="10">
        <v>1</v>
      </c>
      <c r="D25" s="10">
        <v>1</v>
      </c>
      <c r="E25" s="10">
        <v>498</v>
      </c>
      <c r="F25" s="10">
        <v>18476610.305273034</v>
      </c>
      <c r="G25" s="10">
        <v>501</v>
      </c>
      <c r="H25" s="10">
        <v>1</v>
      </c>
      <c r="I25" s="10">
        <v>1</v>
      </c>
      <c r="J25" s="10">
        <v>510</v>
      </c>
      <c r="K25" s="10">
        <v>19368504.46331368</v>
      </c>
    </row>
    <row r="26" spans="1:11" x14ac:dyDescent="0.35">
      <c r="A26" s="9" t="s">
        <v>74</v>
      </c>
      <c r="B26" s="10">
        <v>1764</v>
      </c>
      <c r="C26" s="10">
        <v>1</v>
      </c>
      <c r="D26" s="10">
        <v>1</v>
      </c>
      <c r="E26" s="10">
        <v>1339</v>
      </c>
      <c r="F26" s="10">
        <v>52808409.869503677</v>
      </c>
      <c r="G26" s="10">
        <v>1762</v>
      </c>
      <c r="H26" s="10">
        <v>1</v>
      </c>
      <c r="I26" s="10">
        <v>2</v>
      </c>
      <c r="J26" s="10">
        <v>1538</v>
      </c>
      <c r="K26" s="10">
        <v>54846549.798345365</v>
      </c>
    </row>
    <row r="27" spans="1:11" x14ac:dyDescent="0.35">
      <c r="A27" s="9" t="s">
        <v>70</v>
      </c>
      <c r="B27" s="10">
        <v>875</v>
      </c>
      <c r="C27" s="10">
        <v>1</v>
      </c>
      <c r="D27" s="10">
        <v>1</v>
      </c>
      <c r="E27" s="10">
        <v>747</v>
      </c>
      <c r="F27" s="10">
        <v>23048763.06878062</v>
      </c>
      <c r="G27" s="10">
        <v>871</v>
      </c>
      <c r="H27" s="10">
        <v>1</v>
      </c>
      <c r="I27" s="10">
        <v>1</v>
      </c>
      <c r="J27" s="10">
        <v>823</v>
      </c>
      <c r="K27" s="10">
        <v>23340661.767554913</v>
      </c>
    </row>
    <row r="28" spans="1:11" x14ac:dyDescent="0.35">
      <c r="A28" s="9" t="s">
        <v>72</v>
      </c>
      <c r="B28" s="10">
        <v>882</v>
      </c>
      <c r="C28" s="10">
        <v>1</v>
      </c>
      <c r="D28" s="10">
        <v>1</v>
      </c>
      <c r="E28" s="10">
        <v>736</v>
      </c>
      <c r="F28" s="10">
        <v>26247215.672407635</v>
      </c>
      <c r="G28" s="10">
        <v>874</v>
      </c>
      <c r="H28" s="10">
        <v>1</v>
      </c>
      <c r="I28" s="10">
        <v>1</v>
      </c>
      <c r="J28" s="10">
        <v>750</v>
      </c>
      <c r="K28" s="10">
        <v>27530712.594606895</v>
      </c>
    </row>
    <row r="29" spans="1:11" x14ac:dyDescent="0.35">
      <c r="A29" s="9" t="s">
        <v>79</v>
      </c>
      <c r="B29" s="10">
        <v>240</v>
      </c>
      <c r="C29" s="10">
        <v>1</v>
      </c>
      <c r="D29" s="10">
        <v>0</v>
      </c>
      <c r="E29" s="10">
        <v>181</v>
      </c>
      <c r="F29" s="10">
        <v>7829825.9699019212</v>
      </c>
      <c r="G29" s="10">
        <v>212</v>
      </c>
      <c r="H29" s="10">
        <v>1</v>
      </c>
      <c r="I29" s="10">
        <v>1</v>
      </c>
      <c r="J29" s="10">
        <v>194</v>
      </c>
      <c r="K29" s="10">
        <v>6884569.2293095514</v>
      </c>
    </row>
    <row r="30" spans="1:11" x14ac:dyDescent="0.35">
      <c r="A30" s="9" t="s">
        <v>109</v>
      </c>
      <c r="B30" s="10">
        <v>1650</v>
      </c>
      <c r="C30" s="10">
        <v>1</v>
      </c>
      <c r="D30" s="10">
        <v>5</v>
      </c>
      <c r="E30" s="10">
        <v>1376</v>
      </c>
      <c r="F30" s="10">
        <v>55411430.290710531</v>
      </c>
      <c r="G30" s="10">
        <v>1607</v>
      </c>
      <c r="H30" s="10">
        <v>1</v>
      </c>
      <c r="I30" s="10">
        <v>6</v>
      </c>
      <c r="J30" s="10">
        <v>1441</v>
      </c>
      <c r="K30" s="10">
        <v>52228215.399793029</v>
      </c>
    </row>
    <row r="31" spans="1:11" x14ac:dyDescent="0.35">
      <c r="A31" s="9" t="s">
        <v>111</v>
      </c>
      <c r="B31" s="10">
        <v>863</v>
      </c>
      <c r="C31" s="10">
        <v>1</v>
      </c>
      <c r="D31" s="10">
        <v>1</v>
      </c>
      <c r="E31" s="10">
        <v>618</v>
      </c>
      <c r="F31" s="10">
        <v>40295869.882303394</v>
      </c>
      <c r="G31" s="10">
        <v>897</v>
      </c>
      <c r="H31" s="10">
        <v>1</v>
      </c>
      <c r="I31" s="10">
        <v>1</v>
      </c>
      <c r="J31" s="10">
        <v>658</v>
      </c>
      <c r="K31" s="10">
        <v>44704153.384112306</v>
      </c>
    </row>
    <row r="32" spans="1:11" x14ac:dyDescent="0.35">
      <c r="A32" s="9" t="s">
        <v>113</v>
      </c>
      <c r="B32" s="10">
        <v>1080</v>
      </c>
      <c r="C32" s="10">
        <v>1</v>
      </c>
      <c r="D32" s="10">
        <v>1</v>
      </c>
      <c r="E32" s="10">
        <v>934</v>
      </c>
      <c r="F32" s="10">
        <v>44257311.280046731</v>
      </c>
      <c r="G32" s="10">
        <v>999</v>
      </c>
      <c r="H32" s="10">
        <v>1</v>
      </c>
      <c r="I32" s="10">
        <v>2</v>
      </c>
      <c r="J32" s="10">
        <v>855</v>
      </c>
      <c r="K32" s="10">
        <v>42382152.595058784</v>
      </c>
    </row>
    <row r="33" spans="1:11" x14ac:dyDescent="0.35">
      <c r="A33" s="9" t="s">
        <v>115</v>
      </c>
      <c r="B33" s="10">
        <v>1110</v>
      </c>
      <c r="C33" s="10">
        <v>1</v>
      </c>
      <c r="D33" s="10">
        <v>2</v>
      </c>
      <c r="E33" s="10">
        <v>922</v>
      </c>
      <c r="F33" s="10">
        <v>56489979.63977652</v>
      </c>
      <c r="G33" s="10">
        <v>1129</v>
      </c>
      <c r="H33" s="10">
        <v>1</v>
      </c>
      <c r="I33" s="10">
        <v>2</v>
      </c>
      <c r="J33" s="10">
        <v>985</v>
      </c>
      <c r="K33" s="10">
        <v>58395811.709955432</v>
      </c>
    </row>
    <row r="34" spans="1:11" x14ac:dyDescent="0.35">
      <c r="A34" s="9" t="s">
        <v>16</v>
      </c>
      <c r="B34" s="10">
        <v>1463</v>
      </c>
      <c r="C34" s="10">
        <v>1</v>
      </c>
      <c r="D34" s="10">
        <v>5</v>
      </c>
      <c r="E34" s="10">
        <v>1185</v>
      </c>
      <c r="F34" s="10">
        <v>82564280.493306771</v>
      </c>
      <c r="G34" s="10">
        <v>1402</v>
      </c>
      <c r="H34" s="10">
        <v>1</v>
      </c>
      <c r="I34" s="10">
        <v>4</v>
      </c>
      <c r="J34" s="10">
        <v>1197</v>
      </c>
      <c r="K34" s="10">
        <v>77658591.676187471</v>
      </c>
    </row>
    <row r="35" spans="1:11" x14ac:dyDescent="0.35">
      <c r="A35" s="9" t="s">
        <v>18</v>
      </c>
      <c r="B35" s="10">
        <v>695</v>
      </c>
      <c r="C35" s="10">
        <v>1</v>
      </c>
      <c r="D35" s="10">
        <v>3</v>
      </c>
      <c r="E35" s="10">
        <v>576</v>
      </c>
      <c r="F35" s="10">
        <v>32262889.055763151</v>
      </c>
      <c r="G35" s="10">
        <v>663</v>
      </c>
      <c r="H35" s="10">
        <v>1</v>
      </c>
      <c r="I35" s="10">
        <v>5</v>
      </c>
      <c r="J35" s="10">
        <v>584</v>
      </c>
      <c r="K35" s="10">
        <v>34498770.645861834</v>
      </c>
    </row>
    <row r="36" spans="1:11" x14ac:dyDescent="0.35">
      <c r="A36" s="9" t="s">
        <v>43</v>
      </c>
      <c r="B36" s="10">
        <v>1956</v>
      </c>
      <c r="C36" s="10">
        <v>1</v>
      </c>
      <c r="D36" s="10">
        <v>11</v>
      </c>
      <c r="E36" s="10">
        <v>1680</v>
      </c>
      <c r="F36" s="10">
        <v>97736357.769989029</v>
      </c>
      <c r="G36" s="10">
        <v>1827</v>
      </c>
      <c r="H36" s="10">
        <v>1</v>
      </c>
      <c r="I36" s="10">
        <v>9</v>
      </c>
      <c r="J36" s="10">
        <v>1625</v>
      </c>
      <c r="K36" s="10">
        <v>87344964.542450041</v>
      </c>
    </row>
    <row r="37" spans="1:11" x14ac:dyDescent="0.35">
      <c r="A37" s="9" t="s">
        <v>152</v>
      </c>
      <c r="B37" s="10">
        <v>853</v>
      </c>
      <c r="C37" s="10">
        <v>1</v>
      </c>
      <c r="D37" s="10">
        <v>2</v>
      </c>
      <c r="E37" s="10">
        <v>725</v>
      </c>
      <c r="F37" s="10">
        <v>33107214.526290081</v>
      </c>
      <c r="G37" s="10">
        <v>853</v>
      </c>
      <c r="H37" s="10">
        <v>1</v>
      </c>
      <c r="I37" s="10">
        <v>2</v>
      </c>
      <c r="J37" s="10">
        <v>946</v>
      </c>
      <c r="K37" s="10">
        <v>33899648.28098698</v>
      </c>
    </row>
    <row r="38" spans="1:11" x14ac:dyDescent="0.35">
      <c r="A38" s="9" t="s">
        <v>149</v>
      </c>
      <c r="B38" s="10">
        <v>707</v>
      </c>
      <c r="C38" s="10">
        <v>1</v>
      </c>
      <c r="D38" s="10">
        <v>2</v>
      </c>
      <c r="E38" s="10">
        <v>2954</v>
      </c>
      <c r="F38" s="10">
        <v>29494508.126561724</v>
      </c>
      <c r="G38" s="10">
        <v>689</v>
      </c>
      <c r="H38" s="10">
        <v>1</v>
      </c>
      <c r="I38" s="10">
        <v>1</v>
      </c>
      <c r="J38" s="10">
        <v>702</v>
      </c>
      <c r="K38" s="10">
        <v>31496631.641211547</v>
      </c>
    </row>
    <row r="39" spans="1:11" x14ac:dyDescent="0.35">
      <c r="A39" s="9" t="s">
        <v>154</v>
      </c>
      <c r="B39" s="10">
        <v>1150</v>
      </c>
      <c r="C39" s="10">
        <v>1</v>
      </c>
      <c r="D39" s="10">
        <v>2</v>
      </c>
      <c r="E39" s="10">
        <v>864</v>
      </c>
      <c r="F39" s="10">
        <v>49357080.012164153</v>
      </c>
      <c r="G39" s="10">
        <v>1179</v>
      </c>
      <c r="H39" s="10">
        <v>1</v>
      </c>
      <c r="I39" s="10">
        <v>1</v>
      </c>
      <c r="J39" s="10">
        <v>1209</v>
      </c>
      <c r="K39" s="10">
        <v>49374441.672838099</v>
      </c>
    </row>
    <row r="40" spans="1:11" x14ac:dyDescent="0.35">
      <c r="A40" s="9" t="s">
        <v>2</v>
      </c>
      <c r="B40" s="10">
        <v>1300</v>
      </c>
      <c r="C40" s="10">
        <v>1</v>
      </c>
      <c r="D40" s="10">
        <v>1</v>
      </c>
      <c r="E40" s="10">
        <v>871</v>
      </c>
      <c r="F40" s="10">
        <v>47335690.341579705</v>
      </c>
      <c r="G40" s="10">
        <v>1387</v>
      </c>
      <c r="H40" s="10">
        <v>1</v>
      </c>
      <c r="I40" s="10">
        <v>1</v>
      </c>
      <c r="J40" s="10">
        <v>1096</v>
      </c>
      <c r="K40" s="10">
        <v>46474958.555059575</v>
      </c>
    </row>
    <row r="41" spans="1:11" x14ac:dyDescent="0.35">
      <c r="A41" s="9" t="s">
        <v>156</v>
      </c>
      <c r="B41" s="10">
        <v>2448</v>
      </c>
      <c r="C41" s="10">
        <v>1</v>
      </c>
      <c r="D41" s="10">
        <v>4</v>
      </c>
      <c r="E41" s="10">
        <v>1647</v>
      </c>
      <c r="F41" s="10">
        <v>75216034.00582923</v>
      </c>
      <c r="G41" s="10">
        <v>2283</v>
      </c>
      <c r="H41" s="10">
        <v>1</v>
      </c>
      <c r="I41" s="10">
        <v>5</v>
      </c>
      <c r="J41" s="10">
        <v>1750</v>
      </c>
      <c r="K41" s="10">
        <v>81903597.987700358</v>
      </c>
    </row>
    <row r="42" spans="1:11" x14ac:dyDescent="0.35">
      <c r="A42" s="9" t="s">
        <v>14</v>
      </c>
      <c r="B42" s="10">
        <v>606</v>
      </c>
      <c r="C42" s="10">
        <v>1</v>
      </c>
      <c r="D42" s="10">
        <v>5</v>
      </c>
      <c r="E42" s="10">
        <v>458</v>
      </c>
      <c r="F42" s="10">
        <v>24218452.065556291</v>
      </c>
      <c r="G42" s="10">
        <v>582</v>
      </c>
      <c r="H42" s="10">
        <v>1</v>
      </c>
      <c r="I42" s="10">
        <v>6</v>
      </c>
      <c r="J42" s="10">
        <v>411</v>
      </c>
      <c r="K42" s="10">
        <v>29508513.621263243</v>
      </c>
    </row>
    <row r="43" spans="1:11" x14ac:dyDescent="0.35">
      <c r="A43" s="9" t="s">
        <v>8</v>
      </c>
      <c r="B43" s="10">
        <v>2069</v>
      </c>
      <c r="C43" s="10">
        <v>1</v>
      </c>
      <c r="D43" s="10">
        <v>5</v>
      </c>
      <c r="E43" s="10">
        <v>2012</v>
      </c>
      <c r="F43" s="10">
        <v>88822156.206178784</v>
      </c>
      <c r="G43" s="10">
        <v>2097</v>
      </c>
      <c r="H43" s="10">
        <v>1</v>
      </c>
      <c r="I43" s="10">
        <v>6</v>
      </c>
      <c r="J43" s="10">
        <v>2008</v>
      </c>
      <c r="K43" s="10">
        <v>95679931.962035939</v>
      </c>
    </row>
    <row r="44" spans="1:11" x14ac:dyDescent="0.35">
      <c r="A44" s="9" t="s">
        <v>39</v>
      </c>
      <c r="B44" s="10">
        <v>891</v>
      </c>
      <c r="C44" s="10">
        <v>1</v>
      </c>
      <c r="D44" s="10">
        <v>4</v>
      </c>
      <c r="E44" s="10">
        <v>767</v>
      </c>
      <c r="F44" s="10">
        <v>62108050.75114581</v>
      </c>
      <c r="G44" s="10">
        <v>920</v>
      </c>
      <c r="H44" s="10">
        <v>1</v>
      </c>
      <c r="I44" s="10">
        <v>4</v>
      </c>
      <c r="J44" s="10">
        <v>956</v>
      </c>
      <c r="K44" s="10">
        <v>66055161.632568397</v>
      </c>
    </row>
    <row r="45" spans="1:11" x14ac:dyDescent="0.35">
      <c r="A45" s="9" t="s">
        <v>6</v>
      </c>
      <c r="B45" s="10">
        <v>1104</v>
      </c>
      <c r="C45" s="10">
        <v>1</v>
      </c>
      <c r="D45" s="10">
        <v>3</v>
      </c>
      <c r="E45" s="10">
        <v>852</v>
      </c>
      <c r="F45" s="10">
        <v>49524478.384970039</v>
      </c>
      <c r="G45" s="10">
        <v>1068</v>
      </c>
      <c r="H45" s="10">
        <v>1</v>
      </c>
      <c r="I45" s="10">
        <v>4</v>
      </c>
      <c r="J45" s="10">
        <v>1281</v>
      </c>
      <c r="K45" s="10">
        <v>41469503.350189514</v>
      </c>
    </row>
    <row r="46" spans="1:11" x14ac:dyDescent="0.35">
      <c r="A46" s="9" t="s">
        <v>41</v>
      </c>
      <c r="B46" s="10">
        <v>849</v>
      </c>
      <c r="C46" s="10">
        <v>1</v>
      </c>
      <c r="D46" s="10">
        <v>4</v>
      </c>
      <c r="E46" s="10">
        <v>637</v>
      </c>
      <c r="F46" s="10">
        <v>48432686.990713894</v>
      </c>
      <c r="G46" s="10">
        <v>806</v>
      </c>
      <c r="H46" s="10">
        <v>1</v>
      </c>
      <c r="I46" s="10">
        <v>4</v>
      </c>
      <c r="J46" s="10">
        <v>553</v>
      </c>
      <c r="K46" s="10">
        <v>49232991.957266212</v>
      </c>
    </row>
    <row r="47" spans="1:11" x14ac:dyDescent="0.35">
      <c r="A47" s="9" t="s">
        <v>158</v>
      </c>
      <c r="B47" s="10">
        <v>675</v>
      </c>
      <c r="C47" s="10">
        <v>1</v>
      </c>
      <c r="D47" s="10">
        <v>10</v>
      </c>
      <c r="E47" s="10">
        <v>580</v>
      </c>
      <c r="F47" s="10">
        <v>30451509.850979101</v>
      </c>
      <c r="G47" s="10">
        <v>730</v>
      </c>
      <c r="H47" s="10">
        <v>1</v>
      </c>
      <c r="I47" s="10">
        <v>10</v>
      </c>
      <c r="J47" s="10">
        <v>687</v>
      </c>
      <c r="K47" s="10">
        <v>31374407.793307286</v>
      </c>
    </row>
    <row r="48" spans="1:11" x14ac:dyDescent="0.35">
      <c r="A48" s="9" t="s">
        <v>160</v>
      </c>
      <c r="B48" s="10">
        <v>700</v>
      </c>
      <c r="C48" s="10">
        <v>1</v>
      </c>
      <c r="D48" s="10">
        <v>1</v>
      </c>
      <c r="E48" s="10">
        <v>783</v>
      </c>
      <c r="F48" s="10">
        <v>29800461.591202479</v>
      </c>
      <c r="G48" s="10">
        <v>702</v>
      </c>
      <c r="H48" s="10">
        <v>1</v>
      </c>
      <c r="I48" s="10">
        <v>1</v>
      </c>
      <c r="J48" s="10">
        <v>781</v>
      </c>
      <c r="K48" s="10">
        <v>27151697.686642498</v>
      </c>
    </row>
    <row r="49" spans="1:11" x14ac:dyDescent="0.35">
      <c r="A49" s="9" t="s">
        <v>83</v>
      </c>
      <c r="B49" s="10">
        <v>1243</v>
      </c>
      <c r="C49" s="10">
        <v>1</v>
      </c>
      <c r="D49" s="10">
        <v>5</v>
      </c>
      <c r="E49" s="10">
        <v>1049</v>
      </c>
      <c r="F49" s="10">
        <v>91804795.088226229</v>
      </c>
      <c r="G49" s="10">
        <v>1266</v>
      </c>
      <c r="H49" s="10">
        <v>1</v>
      </c>
      <c r="I49" s="10">
        <v>5</v>
      </c>
      <c r="J49" s="10">
        <v>1246</v>
      </c>
      <c r="K49" s="10">
        <v>89339782.580951393</v>
      </c>
    </row>
    <row r="50" spans="1:11" x14ac:dyDescent="0.35">
      <c r="A50" s="9" t="s">
        <v>201</v>
      </c>
      <c r="B50" s="10">
        <v>448</v>
      </c>
      <c r="C50" s="10">
        <v>1</v>
      </c>
      <c r="D50" s="10">
        <v>2</v>
      </c>
      <c r="E50" s="10">
        <v>444</v>
      </c>
      <c r="F50" s="10">
        <v>16959059.854815353</v>
      </c>
      <c r="G50" s="10">
        <v>437</v>
      </c>
      <c r="H50" s="10">
        <v>1</v>
      </c>
      <c r="I50" s="10">
        <v>1</v>
      </c>
      <c r="J50" s="10">
        <v>519</v>
      </c>
      <c r="K50" s="10">
        <v>14563236.965735389</v>
      </c>
    </row>
    <row r="51" spans="1:11" x14ac:dyDescent="0.35">
      <c r="A51" s="9" t="s">
        <v>31</v>
      </c>
      <c r="B51" s="10">
        <v>888</v>
      </c>
      <c r="C51" s="10">
        <v>1</v>
      </c>
      <c r="D51" s="10">
        <v>5</v>
      </c>
      <c r="E51" s="10">
        <v>947</v>
      </c>
      <c r="F51" s="10">
        <v>41570736.216913588</v>
      </c>
      <c r="G51" s="10">
        <v>919</v>
      </c>
      <c r="H51" s="10">
        <v>1</v>
      </c>
      <c r="I51" s="10">
        <v>6</v>
      </c>
      <c r="J51" s="10">
        <v>1065</v>
      </c>
      <c r="K51" s="10">
        <v>40938057.584057301</v>
      </c>
    </row>
    <row r="52" spans="1:11" x14ac:dyDescent="0.35">
      <c r="A52" s="9" t="s">
        <v>33</v>
      </c>
      <c r="B52" s="10">
        <v>1323</v>
      </c>
      <c r="C52" s="10">
        <v>1</v>
      </c>
      <c r="D52" s="10">
        <v>12</v>
      </c>
      <c r="E52" s="10">
        <v>993</v>
      </c>
      <c r="F52" s="10">
        <v>64917741.343665756</v>
      </c>
      <c r="G52" s="10">
        <v>1413</v>
      </c>
      <c r="H52" s="10">
        <v>1</v>
      </c>
      <c r="I52" s="10">
        <v>12</v>
      </c>
      <c r="J52" s="10">
        <v>1213</v>
      </c>
      <c r="K52" s="10">
        <v>73138028.794753343</v>
      </c>
    </row>
    <row r="53" spans="1:11" x14ac:dyDescent="0.35">
      <c r="A53" s="9" t="s">
        <v>85</v>
      </c>
      <c r="B53" s="10">
        <v>474</v>
      </c>
      <c r="C53" s="10">
        <v>1</v>
      </c>
      <c r="D53" s="10">
        <v>5</v>
      </c>
      <c r="E53" s="10">
        <v>522</v>
      </c>
      <c r="F53" s="10">
        <v>34067409.604458518</v>
      </c>
      <c r="G53" s="10">
        <v>470</v>
      </c>
      <c r="H53" s="10">
        <v>1</v>
      </c>
      <c r="I53" s="10">
        <v>6</v>
      </c>
      <c r="J53" s="10">
        <v>401</v>
      </c>
      <c r="K53" s="10">
        <v>36966920.935881354</v>
      </c>
    </row>
    <row r="54" spans="1:11" x14ac:dyDescent="0.35">
      <c r="A54" s="9" t="s">
        <v>81</v>
      </c>
      <c r="B54" s="10">
        <v>452</v>
      </c>
      <c r="C54" s="10">
        <v>1</v>
      </c>
      <c r="D54" s="10">
        <v>6</v>
      </c>
      <c r="E54" s="10">
        <v>329</v>
      </c>
      <c r="F54" s="10">
        <v>30688559.399911005</v>
      </c>
      <c r="G54" s="10">
        <v>464</v>
      </c>
      <c r="H54" s="10">
        <v>1</v>
      </c>
      <c r="I54" s="10">
        <v>4</v>
      </c>
      <c r="J54" s="10">
        <v>298</v>
      </c>
      <c r="K54" s="10">
        <v>27830809.369743969</v>
      </c>
    </row>
    <row r="55" spans="1:11" x14ac:dyDescent="0.35">
      <c r="A55" s="9" t="s">
        <v>87</v>
      </c>
      <c r="B55" s="10">
        <v>420</v>
      </c>
      <c r="C55" s="10">
        <v>1</v>
      </c>
      <c r="D55" s="10">
        <v>2</v>
      </c>
      <c r="E55" s="10">
        <v>346</v>
      </c>
      <c r="F55" s="10">
        <v>26075164.486592881</v>
      </c>
      <c r="G55" s="10">
        <v>400</v>
      </c>
      <c r="H55" s="10">
        <v>1</v>
      </c>
      <c r="I55" s="10">
        <v>3</v>
      </c>
      <c r="J55" s="10">
        <v>389</v>
      </c>
      <c r="K55" s="10">
        <v>24464433.156652194</v>
      </c>
    </row>
    <row r="56" spans="1:11" x14ac:dyDescent="0.35">
      <c r="A56" s="9" t="s">
        <v>166</v>
      </c>
      <c r="B56" s="10">
        <v>1129</v>
      </c>
      <c r="C56" s="10">
        <v>1</v>
      </c>
      <c r="D56" s="10">
        <v>1</v>
      </c>
      <c r="E56" s="10">
        <v>1056</v>
      </c>
      <c r="F56" s="10">
        <v>56973197.735783331</v>
      </c>
      <c r="G56" s="10">
        <v>1080</v>
      </c>
      <c r="H56" s="10">
        <v>1</v>
      </c>
      <c r="I56" s="10">
        <v>1</v>
      </c>
      <c r="J56" s="10">
        <v>948</v>
      </c>
      <c r="K56" s="10">
        <v>55845214.910935983</v>
      </c>
    </row>
    <row r="57" spans="1:11" x14ac:dyDescent="0.35">
      <c r="A57" s="9" t="s">
        <v>93</v>
      </c>
      <c r="B57" s="10">
        <v>976</v>
      </c>
      <c r="C57" s="10">
        <v>1</v>
      </c>
      <c r="D57" s="10">
        <v>2</v>
      </c>
      <c r="E57" s="10">
        <v>904</v>
      </c>
      <c r="F57" s="10">
        <v>59941424.059861206</v>
      </c>
      <c r="G57" s="10">
        <v>950</v>
      </c>
      <c r="H57" s="10">
        <v>1</v>
      </c>
      <c r="I57" s="10">
        <v>1</v>
      </c>
      <c r="J57" s="10">
        <v>862</v>
      </c>
      <c r="K57" s="10">
        <v>48295389.47153233</v>
      </c>
    </row>
    <row r="58" spans="1:11" x14ac:dyDescent="0.35">
      <c r="A58" s="9" t="s">
        <v>95</v>
      </c>
      <c r="B58" s="10">
        <v>2043</v>
      </c>
      <c r="C58" s="10">
        <v>1</v>
      </c>
      <c r="D58" s="10">
        <v>7</v>
      </c>
      <c r="E58" s="10">
        <v>1605</v>
      </c>
      <c r="F58" s="10">
        <v>89228497.696727037</v>
      </c>
      <c r="G58" s="10">
        <v>2075</v>
      </c>
      <c r="H58" s="10">
        <v>1</v>
      </c>
      <c r="I58" s="10">
        <v>8</v>
      </c>
      <c r="J58" s="10">
        <v>1802</v>
      </c>
      <c r="K58" s="10">
        <v>112152759.45178449</v>
      </c>
    </row>
    <row r="59" spans="1:11" x14ac:dyDescent="0.35">
      <c r="A59" s="9" t="s">
        <v>174</v>
      </c>
      <c r="B59" s="10">
        <v>689</v>
      </c>
      <c r="C59" s="10">
        <v>1</v>
      </c>
      <c r="D59" s="10">
        <v>0</v>
      </c>
      <c r="E59" s="10">
        <v>535</v>
      </c>
      <c r="F59" s="10">
        <v>26734349.913679194</v>
      </c>
      <c r="G59" s="10">
        <v>645</v>
      </c>
      <c r="H59" s="10">
        <v>1</v>
      </c>
      <c r="I59" s="10">
        <v>1</v>
      </c>
      <c r="J59" s="10">
        <v>546</v>
      </c>
      <c r="K59" s="10">
        <v>26540754.689807057</v>
      </c>
    </row>
    <row r="60" spans="1:11" x14ac:dyDescent="0.35">
      <c r="A60" s="9" t="s">
        <v>99</v>
      </c>
      <c r="B60" s="10">
        <v>881</v>
      </c>
      <c r="C60" s="10">
        <v>1</v>
      </c>
      <c r="D60" s="10">
        <v>5</v>
      </c>
      <c r="E60" s="10">
        <v>706</v>
      </c>
      <c r="F60" s="10">
        <v>43020994.886089206</v>
      </c>
      <c r="G60" s="10">
        <v>893</v>
      </c>
      <c r="H60" s="10">
        <v>1</v>
      </c>
      <c r="I60" s="10">
        <v>5</v>
      </c>
      <c r="J60" s="10">
        <v>979</v>
      </c>
      <c r="K60" s="10">
        <v>46733950.805667929</v>
      </c>
    </row>
    <row r="61" spans="1:11" x14ac:dyDescent="0.35">
      <c r="A61" s="9" t="s">
        <v>172</v>
      </c>
      <c r="B61" s="10">
        <v>772</v>
      </c>
      <c r="C61" s="10">
        <v>1</v>
      </c>
      <c r="D61" s="10">
        <v>1</v>
      </c>
      <c r="E61" s="10">
        <v>623</v>
      </c>
      <c r="F61" s="10">
        <v>32416185.108561724</v>
      </c>
      <c r="G61" s="10">
        <v>686</v>
      </c>
      <c r="H61" s="10">
        <v>1</v>
      </c>
      <c r="I61" s="10">
        <v>1</v>
      </c>
      <c r="J61" s="10">
        <v>76</v>
      </c>
      <c r="K61" s="10">
        <v>28440832.061090615</v>
      </c>
    </row>
    <row r="62" spans="1:11" x14ac:dyDescent="0.35">
      <c r="A62" s="9" t="s">
        <v>168</v>
      </c>
      <c r="B62" s="10">
        <v>1088</v>
      </c>
      <c r="C62" s="10">
        <v>1</v>
      </c>
      <c r="D62" s="10">
        <v>1</v>
      </c>
      <c r="E62" s="10">
        <v>1008</v>
      </c>
      <c r="F62" s="10">
        <v>57037002.826630063</v>
      </c>
      <c r="G62" s="10">
        <v>1086</v>
      </c>
      <c r="H62" s="10">
        <v>1</v>
      </c>
      <c r="I62" s="10">
        <v>1</v>
      </c>
      <c r="J62" s="10">
        <v>1298</v>
      </c>
      <c r="K62" s="10">
        <v>58949213.741906151</v>
      </c>
    </row>
    <row r="63" spans="1:11" x14ac:dyDescent="0.35">
      <c r="A63" s="9" t="s">
        <v>101</v>
      </c>
      <c r="B63" s="10">
        <v>1349</v>
      </c>
      <c r="C63" s="10">
        <v>1</v>
      </c>
      <c r="D63" s="10">
        <v>4</v>
      </c>
      <c r="E63" s="10">
        <v>1403</v>
      </c>
      <c r="F63" s="10">
        <v>73797977.515131697</v>
      </c>
      <c r="G63" s="10">
        <v>1566</v>
      </c>
      <c r="H63" s="10">
        <v>1</v>
      </c>
      <c r="I63" s="10">
        <v>5</v>
      </c>
      <c r="J63" s="10">
        <v>1550</v>
      </c>
      <c r="K63" s="10">
        <v>75530690.258675233</v>
      </c>
    </row>
    <row r="64" spans="1:11" x14ac:dyDescent="0.35">
      <c r="A64" s="9" t="s">
        <v>103</v>
      </c>
      <c r="B64" s="10">
        <v>772</v>
      </c>
      <c r="C64" s="10">
        <v>1</v>
      </c>
      <c r="D64" s="10">
        <v>4</v>
      </c>
      <c r="E64" s="10">
        <v>690</v>
      </c>
      <c r="F64" s="10">
        <v>37338055.187280513</v>
      </c>
      <c r="G64" s="10">
        <v>774</v>
      </c>
      <c r="H64" s="10">
        <v>1</v>
      </c>
      <c r="I64" s="10">
        <v>4</v>
      </c>
      <c r="J64" s="10">
        <v>942</v>
      </c>
      <c r="K64" s="10">
        <v>39898451.921332307</v>
      </c>
    </row>
    <row r="65" spans="1:11" x14ac:dyDescent="0.35">
      <c r="A65" s="9" t="s">
        <v>105</v>
      </c>
      <c r="B65" s="10">
        <v>663</v>
      </c>
      <c r="C65" s="10">
        <v>1</v>
      </c>
      <c r="D65" s="10">
        <v>5</v>
      </c>
      <c r="E65" s="10">
        <v>442</v>
      </c>
      <c r="F65" s="10">
        <v>43624337.658104397</v>
      </c>
      <c r="G65" s="10">
        <v>633</v>
      </c>
      <c r="H65" s="10">
        <v>1</v>
      </c>
      <c r="I65" s="10">
        <v>5</v>
      </c>
      <c r="J65" s="10">
        <v>134</v>
      </c>
      <c r="K65" s="10">
        <v>44775518.838156231</v>
      </c>
    </row>
    <row r="66" spans="1:11" x14ac:dyDescent="0.35">
      <c r="A66" s="9" t="s">
        <v>24</v>
      </c>
      <c r="B66" s="10">
        <v>2044</v>
      </c>
      <c r="C66" s="10">
        <v>1</v>
      </c>
      <c r="D66" s="10">
        <v>10</v>
      </c>
      <c r="E66" s="10">
        <v>1675</v>
      </c>
      <c r="F66" s="10">
        <v>120337100.51301143</v>
      </c>
      <c r="G66" s="10">
        <v>1995</v>
      </c>
      <c r="H66" s="10">
        <v>1</v>
      </c>
      <c r="I66" s="10">
        <v>11</v>
      </c>
      <c r="J66" s="10">
        <v>1902</v>
      </c>
      <c r="K66" s="10">
        <v>143494535.42851979</v>
      </c>
    </row>
    <row r="67" spans="1:11" x14ac:dyDescent="0.35">
      <c r="A67" s="9" t="s">
        <v>27</v>
      </c>
      <c r="B67" s="10">
        <v>1566</v>
      </c>
      <c r="C67" s="10">
        <v>1</v>
      </c>
      <c r="D67" s="10">
        <v>7</v>
      </c>
      <c r="E67" s="10">
        <v>1146</v>
      </c>
      <c r="F67" s="10">
        <v>102443393.82431726</v>
      </c>
      <c r="G67" s="10">
        <v>1576</v>
      </c>
      <c r="H67" s="10">
        <v>1</v>
      </c>
      <c r="I67" s="10">
        <v>6</v>
      </c>
      <c r="J67" s="10">
        <v>1134</v>
      </c>
      <c r="K67" s="10">
        <v>109064210.81221052</v>
      </c>
    </row>
    <row r="68" spans="1:11" x14ac:dyDescent="0.35">
      <c r="A68" s="9" t="s">
        <v>29</v>
      </c>
      <c r="B68" s="10">
        <v>858</v>
      </c>
      <c r="C68" s="10">
        <v>1</v>
      </c>
      <c r="D68" s="10">
        <v>1</v>
      </c>
      <c r="E68" s="10">
        <v>746</v>
      </c>
      <c r="F68" s="10">
        <v>65275217.521987304</v>
      </c>
      <c r="G68" s="10">
        <v>910</v>
      </c>
      <c r="H68" s="10">
        <v>1</v>
      </c>
      <c r="I68" s="10">
        <v>1</v>
      </c>
      <c r="J68" s="10">
        <v>858</v>
      </c>
      <c r="K68" s="10">
        <v>70512529.464637458</v>
      </c>
    </row>
    <row r="69" spans="1:11" x14ac:dyDescent="0.35">
      <c r="A69" s="9" t="s">
        <v>57</v>
      </c>
      <c r="B69" s="10">
        <v>2175</v>
      </c>
      <c r="C69" s="10">
        <v>1</v>
      </c>
      <c r="D69" s="10">
        <v>13</v>
      </c>
      <c r="E69" s="10">
        <v>1379</v>
      </c>
      <c r="F69" s="10">
        <v>97361687.385239542</v>
      </c>
      <c r="G69" s="10">
        <v>2264</v>
      </c>
      <c r="H69" s="10">
        <v>1</v>
      </c>
      <c r="I69" s="10">
        <v>12</v>
      </c>
      <c r="J69" s="10">
        <v>1350</v>
      </c>
      <c r="K69" s="10">
        <v>101230034.20045069</v>
      </c>
    </row>
    <row r="70" spans="1:11" x14ac:dyDescent="0.35">
      <c r="A70" s="9" t="s">
        <v>137</v>
      </c>
      <c r="B70" s="10">
        <v>267</v>
      </c>
      <c r="C70" s="10">
        <v>1</v>
      </c>
      <c r="D70" s="10">
        <v>1</v>
      </c>
      <c r="E70" s="10">
        <v>279</v>
      </c>
      <c r="F70" s="10">
        <v>7313571.435452926</v>
      </c>
      <c r="G70" s="10">
        <v>231</v>
      </c>
      <c r="H70" s="10">
        <v>1</v>
      </c>
      <c r="I70" s="10">
        <v>1</v>
      </c>
      <c r="J70" s="10">
        <v>295</v>
      </c>
      <c r="K70" s="10">
        <v>5172825.0458439598</v>
      </c>
    </row>
    <row r="71" spans="1:11" x14ac:dyDescent="0.35">
      <c r="A71" s="9" t="s">
        <v>10</v>
      </c>
      <c r="B71" s="10">
        <v>1778</v>
      </c>
      <c r="C71" s="10">
        <v>1</v>
      </c>
      <c r="D71" s="10">
        <v>7</v>
      </c>
      <c r="E71" s="10">
        <v>1509</v>
      </c>
      <c r="F71" s="10">
        <v>75944852.629411101</v>
      </c>
      <c r="G71" s="10">
        <v>1611</v>
      </c>
      <c r="H71" s="10">
        <v>1</v>
      </c>
      <c r="I71" s="10">
        <v>6</v>
      </c>
      <c r="J71" s="10">
        <v>1643</v>
      </c>
      <c r="K71" s="10">
        <v>73716745.686274394</v>
      </c>
    </row>
    <row r="72" spans="1:11" x14ac:dyDescent="0.35">
      <c r="A72" s="9" t="s">
        <v>12</v>
      </c>
      <c r="B72" s="10">
        <v>670</v>
      </c>
      <c r="C72" s="10">
        <v>1</v>
      </c>
      <c r="D72" s="10">
        <v>2</v>
      </c>
      <c r="E72" s="10">
        <v>544</v>
      </c>
      <c r="F72" s="10">
        <v>31899287.018290497</v>
      </c>
      <c r="G72" s="10">
        <v>792</v>
      </c>
      <c r="H72" s="10">
        <v>1</v>
      </c>
      <c r="I72" s="10">
        <v>3</v>
      </c>
      <c r="J72" s="10">
        <v>669</v>
      </c>
      <c r="K72" s="10">
        <v>34504795.273507833</v>
      </c>
    </row>
    <row r="73" spans="1:11" x14ac:dyDescent="0.35">
      <c r="A73" s="9" t="s">
        <v>162</v>
      </c>
      <c r="B73" s="10">
        <v>1341</v>
      </c>
      <c r="C73" s="10">
        <v>1</v>
      </c>
      <c r="D73" s="10">
        <v>5</v>
      </c>
      <c r="E73" s="10">
        <v>842</v>
      </c>
      <c r="F73" s="10">
        <v>51007579.71386952</v>
      </c>
      <c r="G73" s="10">
        <v>1311</v>
      </c>
      <c r="H73" s="10">
        <v>1</v>
      </c>
      <c r="I73" s="10">
        <v>5</v>
      </c>
      <c r="J73" s="10">
        <v>1036</v>
      </c>
      <c r="K73" s="10">
        <v>54117492.101735033</v>
      </c>
    </row>
    <row r="74" spans="1:11" x14ac:dyDescent="0.35">
      <c r="A74" s="9" t="s">
        <v>63</v>
      </c>
      <c r="B74" s="10">
        <v>1326</v>
      </c>
      <c r="C74" s="10">
        <v>1</v>
      </c>
      <c r="D74" s="10">
        <v>5</v>
      </c>
      <c r="E74" s="10">
        <v>1303</v>
      </c>
      <c r="F74" s="10">
        <v>25963208.881222174</v>
      </c>
      <c r="G74" s="10">
        <v>1264</v>
      </c>
      <c r="H74" s="10">
        <v>1</v>
      </c>
      <c r="I74" s="10">
        <v>5</v>
      </c>
      <c r="J74" s="10">
        <v>1371</v>
      </c>
      <c r="K74" s="10">
        <v>37590199.101735942</v>
      </c>
    </row>
    <row r="75" spans="1:11" x14ac:dyDescent="0.35">
      <c r="A75" s="9" t="s">
        <v>59</v>
      </c>
      <c r="B75" s="10">
        <v>1752</v>
      </c>
      <c r="C75" s="10">
        <v>1</v>
      </c>
      <c r="D75" s="10">
        <v>5</v>
      </c>
      <c r="E75" s="10">
        <v>1349</v>
      </c>
      <c r="F75" s="10">
        <v>91792573.410050973</v>
      </c>
      <c r="G75" s="10">
        <v>1723</v>
      </c>
      <c r="H75" s="10">
        <v>1</v>
      </c>
      <c r="I75" s="10">
        <v>5</v>
      </c>
      <c r="J75" s="10">
        <v>1216</v>
      </c>
      <c r="K75" s="10">
        <v>93929721.304193228</v>
      </c>
    </row>
    <row r="76" spans="1:11" x14ac:dyDescent="0.35">
      <c r="A76" s="9" t="s">
        <v>139</v>
      </c>
      <c r="B76" s="10">
        <v>488</v>
      </c>
      <c r="C76" s="10">
        <v>1</v>
      </c>
      <c r="D76" s="10">
        <v>2</v>
      </c>
      <c r="E76" s="10">
        <v>429</v>
      </c>
      <c r="F76" s="10">
        <v>18455025.262889173</v>
      </c>
      <c r="G76" s="10">
        <v>518</v>
      </c>
      <c r="H76" s="10">
        <v>1</v>
      </c>
      <c r="I76" s="10">
        <v>1</v>
      </c>
      <c r="J76" s="10">
        <v>535</v>
      </c>
      <c r="K76" s="10">
        <v>19188570.55661596</v>
      </c>
    </row>
    <row r="77" spans="1:11" x14ac:dyDescent="0.35">
      <c r="A77" s="9" t="s">
        <v>170</v>
      </c>
      <c r="B77" s="10">
        <v>904</v>
      </c>
      <c r="C77" s="10">
        <v>1</v>
      </c>
      <c r="D77" s="10">
        <v>1</v>
      </c>
      <c r="E77" s="10">
        <v>819</v>
      </c>
      <c r="F77" s="10">
        <v>30116347.306900125</v>
      </c>
      <c r="G77" s="10">
        <v>880</v>
      </c>
      <c r="H77" s="10">
        <v>1</v>
      </c>
      <c r="I77" s="10">
        <v>1</v>
      </c>
      <c r="J77" s="10">
        <v>940</v>
      </c>
      <c r="K77" s="10">
        <v>30219211.233927336</v>
      </c>
    </row>
    <row r="78" spans="1:11" x14ac:dyDescent="0.35">
      <c r="A78" s="9" t="s">
        <v>61</v>
      </c>
      <c r="B78" s="10">
        <v>648</v>
      </c>
      <c r="C78" s="10">
        <v>1</v>
      </c>
      <c r="D78" s="10">
        <v>4</v>
      </c>
      <c r="E78" s="10">
        <v>592</v>
      </c>
      <c r="F78" s="10">
        <v>19151209.448978584</v>
      </c>
      <c r="G78" s="10">
        <v>635</v>
      </c>
      <c r="H78" s="10">
        <v>1</v>
      </c>
      <c r="I78" s="10">
        <v>3</v>
      </c>
      <c r="J78" s="10">
        <v>482</v>
      </c>
      <c r="K78" s="10">
        <v>30422200.571008343</v>
      </c>
    </row>
    <row r="79" spans="1:11" x14ac:dyDescent="0.35">
      <c r="A79" s="9" t="s">
        <v>129</v>
      </c>
      <c r="B79" s="10">
        <v>567</v>
      </c>
      <c r="C79" s="10">
        <v>1</v>
      </c>
      <c r="D79" s="10">
        <v>1</v>
      </c>
      <c r="E79" s="10">
        <v>580</v>
      </c>
      <c r="F79" s="10">
        <v>15512138.691203132</v>
      </c>
      <c r="G79" s="10">
        <v>584</v>
      </c>
      <c r="H79" s="10">
        <v>1</v>
      </c>
      <c r="I79" s="10">
        <v>1</v>
      </c>
      <c r="J79" s="10">
        <v>641</v>
      </c>
      <c r="K79" s="10">
        <v>20120265.201050755</v>
      </c>
    </row>
    <row r="80" spans="1:11" x14ac:dyDescent="0.35">
      <c r="A80" s="9" t="s">
        <v>35</v>
      </c>
      <c r="B80" s="10">
        <v>434</v>
      </c>
      <c r="C80" s="10">
        <v>1</v>
      </c>
      <c r="D80" s="10">
        <v>6</v>
      </c>
      <c r="E80" s="10">
        <v>451</v>
      </c>
      <c r="F80" s="10">
        <v>23263790.864588767</v>
      </c>
      <c r="G80" s="10">
        <v>446</v>
      </c>
      <c r="H80" s="10">
        <v>1</v>
      </c>
      <c r="I80" s="10">
        <v>7</v>
      </c>
      <c r="J80" s="10">
        <v>441</v>
      </c>
      <c r="K80" s="10">
        <v>24740174.020793092</v>
      </c>
    </row>
    <row r="81" spans="1:11" x14ac:dyDescent="0.35">
      <c r="A81" s="9" t="s">
        <v>107</v>
      </c>
      <c r="B81" s="10">
        <v>959</v>
      </c>
      <c r="C81" s="10">
        <v>1</v>
      </c>
      <c r="D81" s="10">
        <v>3</v>
      </c>
      <c r="E81" s="10">
        <v>740</v>
      </c>
      <c r="F81" s="10">
        <v>66507971.519060627</v>
      </c>
      <c r="G81" s="10">
        <v>913</v>
      </c>
      <c r="H81" s="10">
        <v>1</v>
      </c>
      <c r="I81" s="10">
        <v>3</v>
      </c>
      <c r="J81" s="10">
        <v>677</v>
      </c>
      <c r="K81" s="10">
        <v>63619281.466331504</v>
      </c>
    </row>
    <row r="82" spans="1:11" x14ac:dyDescent="0.35">
      <c r="A82" s="9" t="s">
        <v>37</v>
      </c>
      <c r="B82" s="10">
        <v>787</v>
      </c>
      <c r="C82" s="10">
        <v>1</v>
      </c>
      <c r="D82" s="10">
        <v>10</v>
      </c>
      <c r="E82" s="10">
        <v>773</v>
      </c>
      <c r="F82" s="10">
        <v>39271755.132852465</v>
      </c>
      <c r="G82" s="10">
        <v>779</v>
      </c>
      <c r="H82" s="10">
        <v>1</v>
      </c>
      <c r="I82" s="10">
        <v>9</v>
      </c>
      <c r="J82" s="10">
        <v>845</v>
      </c>
      <c r="K82" s="10">
        <v>38573634.877528213</v>
      </c>
    </row>
    <row r="83" spans="1:11" x14ac:dyDescent="0.35">
      <c r="A83" s="9" t="s">
        <v>76</v>
      </c>
      <c r="B83" s="10">
        <v>943</v>
      </c>
      <c r="C83" s="10">
        <v>1</v>
      </c>
      <c r="D83" s="10">
        <v>2</v>
      </c>
      <c r="E83" s="10">
        <v>887</v>
      </c>
      <c r="F83" s="10">
        <v>33040743.096682217</v>
      </c>
      <c r="G83" s="10">
        <v>943</v>
      </c>
      <c r="H83" s="10">
        <v>1</v>
      </c>
      <c r="I83" s="10">
        <v>2</v>
      </c>
      <c r="J83" s="10">
        <v>925</v>
      </c>
      <c r="K83" s="10">
        <v>33688213.440316871</v>
      </c>
    </row>
    <row r="84" spans="1:11" x14ac:dyDescent="0.35">
      <c r="A84" s="9" t="s">
        <v>65</v>
      </c>
      <c r="B84" s="10">
        <v>1003</v>
      </c>
      <c r="C84" s="10">
        <v>1</v>
      </c>
      <c r="D84" s="10">
        <v>4</v>
      </c>
      <c r="E84" s="10">
        <v>813</v>
      </c>
      <c r="F84" s="10">
        <v>36631702.705332726</v>
      </c>
      <c r="G84" s="10">
        <v>939</v>
      </c>
      <c r="H84" s="10">
        <v>1</v>
      </c>
      <c r="I84" s="10">
        <v>5</v>
      </c>
      <c r="J84" s="10">
        <v>864</v>
      </c>
      <c r="K84" s="10">
        <v>36103279.481705926</v>
      </c>
    </row>
    <row r="85" spans="1:11" x14ac:dyDescent="0.35">
      <c r="A85" s="9" t="s">
        <v>89</v>
      </c>
      <c r="B85" s="10">
        <v>750</v>
      </c>
      <c r="C85" s="10">
        <v>1</v>
      </c>
      <c r="D85" s="10">
        <v>5</v>
      </c>
      <c r="E85" s="10">
        <v>733</v>
      </c>
      <c r="F85" s="10">
        <v>40338279.820725247</v>
      </c>
      <c r="G85" s="10">
        <v>747</v>
      </c>
      <c r="H85" s="10">
        <v>1</v>
      </c>
      <c r="I85" s="10">
        <v>6</v>
      </c>
      <c r="J85" s="10">
        <v>760</v>
      </c>
      <c r="K85" s="10">
        <v>44599795.155383743</v>
      </c>
    </row>
    <row r="86" spans="1:11" x14ac:dyDescent="0.35">
      <c r="A86" s="9" t="s">
        <v>147</v>
      </c>
      <c r="B86" s="10">
        <v>562</v>
      </c>
      <c r="C86" s="10">
        <v>1</v>
      </c>
      <c r="D86" s="10">
        <v>1</v>
      </c>
      <c r="E86" s="10">
        <v>552</v>
      </c>
      <c r="F86" s="10">
        <v>17141452.126034677</v>
      </c>
      <c r="G86" s="10">
        <v>596</v>
      </c>
      <c r="H86" s="10">
        <v>1</v>
      </c>
      <c r="I86" s="10">
        <v>1</v>
      </c>
      <c r="J86" s="10">
        <v>654</v>
      </c>
      <c r="K86" s="10">
        <v>20087214.685205936</v>
      </c>
    </row>
    <row r="87" spans="1:11" x14ac:dyDescent="0.35">
      <c r="A87" s="9" t="s">
        <v>164</v>
      </c>
      <c r="B87" s="10">
        <v>1703</v>
      </c>
      <c r="C87" s="10">
        <v>1</v>
      </c>
      <c r="D87" s="10">
        <v>10</v>
      </c>
      <c r="E87" s="10">
        <v>1435</v>
      </c>
      <c r="F87" s="10">
        <v>76202562.564526007</v>
      </c>
      <c r="G87" s="10">
        <v>1763</v>
      </c>
      <c r="H87" s="10">
        <v>1</v>
      </c>
      <c r="I87" s="10">
        <v>10</v>
      </c>
      <c r="J87" s="10">
        <v>1391</v>
      </c>
      <c r="K87" s="10">
        <v>86363725.977506131</v>
      </c>
    </row>
    <row r="88" spans="1:11" x14ac:dyDescent="0.35">
      <c r="A88" s="9" t="s">
        <v>91</v>
      </c>
      <c r="B88" s="10">
        <v>628</v>
      </c>
      <c r="C88" s="10">
        <v>1</v>
      </c>
      <c r="D88" s="10">
        <v>3</v>
      </c>
      <c r="E88" s="10">
        <v>665</v>
      </c>
      <c r="F88" s="10">
        <v>21632881.990039628</v>
      </c>
      <c r="G88" s="10">
        <v>614</v>
      </c>
      <c r="H88" s="10">
        <v>1</v>
      </c>
      <c r="I88" s="10">
        <v>3</v>
      </c>
      <c r="J88" s="10">
        <v>1113</v>
      </c>
      <c r="K88" s="10">
        <v>18952406.468127072</v>
      </c>
    </row>
    <row r="89" spans="1:11" x14ac:dyDescent="0.35">
      <c r="A89" s="9" t="s">
        <v>97</v>
      </c>
      <c r="B89" s="10">
        <v>589</v>
      </c>
      <c r="C89" s="10">
        <v>1</v>
      </c>
      <c r="D89" s="10">
        <v>6</v>
      </c>
      <c r="E89" s="10">
        <v>516</v>
      </c>
      <c r="F89" s="10">
        <v>34957436.4464413</v>
      </c>
      <c r="G89" s="10">
        <v>671</v>
      </c>
      <c r="H89" s="10">
        <v>1</v>
      </c>
      <c r="I89" s="10">
        <v>8</v>
      </c>
      <c r="J89" s="10">
        <v>587</v>
      </c>
      <c r="K89" s="10">
        <v>38208667.931577981</v>
      </c>
    </row>
    <row r="90" spans="1:11" x14ac:dyDescent="0.35">
      <c r="A90" s="9" t="s">
        <v>78</v>
      </c>
      <c r="B90" s="10">
        <v>359</v>
      </c>
      <c r="C90" s="10">
        <v>1</v>
      </c>
      <c r="D90" s="10">
        <v>1</v>
      </c>
      <c r="E90" s="10">
        <v>298</v>
      </c>
      <c r="F90" s="10">
        <v>9210992.3000813983</v>
      </c>
      <c r="G90" s="10">
        <v>359</v>
      </c>
      <c r="H90" s="10">
        <v>1</v>
      </c>
      <c r="I90" s="10">
        <v>1</v>
      </c>
      <c r="J90" s="10">
        <v>340</v>
      </c>
      <c r="K90" s="10">
        <v>8715856.6644448936</v>
      </c>
    </row>
    <row r="91" spans="1:11" x14ac:dyDescent="0.35">
      <c r="A91" s="14" t="s">
        <v>203</v>
      </c>
      <c r="B91" s="13">
        <v>84802</v>
      </c>
      <c r="C91" s="13">
        <v>85</v>
      </c>
      <c r="D91" s="13">
        <v>310</v>
      </c>
      <c r="E91" s="13">
        <v>72433</v>
      </c>
      <c r="F91" s="13">
        <v>3753594664.6248837</v>
      </c>
      <c r="G91" s="13">
        <v>83838</v>
      </c>
      <c r="H91" s="13">
        <v>85</v>
      </c>
      <c r="I91" s="13">
        <v>321</v>
      </c>
      <c r="J91" s="13">
        <v>77220</v>
      </c>
      <c r="K91" s="13">
        <v>3905204245.4374442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2026-08-28T05:59:20Z</dcterms:modified>
</cp:coreProperties>
</file>