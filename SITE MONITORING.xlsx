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H38" i="3" s="1"/>
  <c r="I38" i="3"/>
  <c r="J38" i="3"/>
  <c r="L38" i="3"/>
  <c r="M38" i="3"/>
  <c r="O38" i="3"/>
  <c r="P38" i="3"/>
  <c r="S38" i="3"/>
  <c r="T38" i="3" s="1"/>
  <c r="F39" i="3"/>
  <c r="G39" i="3"/>
  <c r="H39" i="3" s="1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H43" i="3" s="1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Q44" i="3" s="1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H46" i="3" s="1"/>
  <c r="I46" i="3"/>
  <c r="J46" i="3"/>
  <c r="L46" i="3"/>
  <c r="M46" i="3"/>
  <c r="O46" i="3"/>
  <c r="P46" i="3"/>
  <c r="S46" i="3"/>
  <c r="T46" i="3" s="1"/>
  <c r="Q34" i="3" l="1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<sst xmlns="http://schemas.openxmlformats.org/spreadsheetml/2006/main" count="683" uniqueCount="502">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</sst>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workbookViewId="0">
      <pane xSplit="1" ySplit="1" topLeftCell="M2" activePane="bottomRight" state="frozen"/>
      <selection pane="topRight" activeCell="C1" sqref="C1"/>
      <selection pane="bottomLeft" activeCell="A2" sqref="A2"/>
      <selection pane="bottomRight" activeCell="U2" sqref="U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56235843.055492461</v>
      </c>
      <c r="G2" s="1">
        <f>VLOOKUP(A:A,MASTER!A:K,11,0)</f>
        <v>56868699.964989163</v>
      </c>
      <c r="H2" s="12">
        <f t="shared" ref="H2:H36" si="0">IFERROR(G2/F2-1,0)</f>
        <v>1.1253621802596703E-2</v>
      </c>
      <c r="I2" s="2">
        <f>VLOOKUP(A:A,MASTER!A:E,5,0)</f>
        <v>283</v>
      </c>
      <c r="J2" s="2">
        <f>VLOOKUP(A:A,MASTER!A:J,10,0)</f>
        <v>1327</v>
      </c>
      <c r="K2" s="12">
        <f t="shared" ref="K2:K36" si="1">IFERROR(J2/I2-1,0)</f>
        <v>3.6890459363957593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8</v>
      </c>
      <c r="Q2" s="12">
        <f t="shared" ref="Q2:Q36" si="3">IFERROR(P2/O2-1,0)</f>
        <v>0.33333333333333326</v>
      </c>
      <c r="R2" s="1">
        <f>VLOOKUP(A:A,MASTER!A:B,2,0)</f>
        <v>1595</v>
      </c>
      <c r="S2">
        <f>VLOOKUP(A:A,MASTER!A:G,7,0)</f>
        <v>1566</v>
      </c>
      <c r="T2" s="12">
        <f t="shared" ref="T2:T36" si="4">IFERROR(S2/R2-1,0)</f>
        <v>-1.8181818181818188E-2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26700295.945556242</v>
      </c>
      <c r="G3" s="1">
        <f>VLOOKUP(A:A,MASTER!A:K,11,0)</f>
        <v>11872816.86298991</v>
      </c>
      <c r="H3" s="12">
        <f t="shared" si="0"/>
        <v>-0.55533013989060609</v>
      </c>
      <c r="I3" s="2">
        <f>VLOOKUP(A:A,MASTER!A:E,5,0)</f>
        <v>402</v>
      </c>
      <c r="J3" s="2">
        <f>VLOOKUP(A:A,MASTER!A:J,10,0)</f>
        <v>463</v>
      </c>
      <c r="K3" s="12">
        <f t="shared" si="1"/>
        <v>0.15174129353233834</v>
      </c>
      <c r="L3" s="2">
        <f>VLOOKUP(A:A,MASTER!A:D,4,0)</f>
        <v>5</v>
      </c>
      <c r="M3" s="2">
        <f>VLOOKUP(A:A,MASTER!A:I,9,0)</f>
        <v>2</v>
      </c>
      <c r="N3" s="12">
        <f t="shared" si="2"/>
        <v>-0.6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903</v>
      </c>
      <c r="S3">
        <f>VLOOKUP(A:A,MASTER!A:G,7,0)</f>
        <v>738</v>
      </c>
      <c r="T3" s="12">
        <f t="shared" si="4"/>
        <v>-0.18272425249169433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51470501.251936734</v>
      </c>
      <c r="G4" s="1">
        <f>VLOOKUP(A:A,MASTER!A:K,11,0)</f>
        <v>62716578.281901747</v>
      </c>
      <c r="H4" s="12">
        <f t="shared" si="0"/>
        <v>0.21849558011720061</v>
      </c>
      <c r="I4" s="2">
        <f>VLOOKUP(A:A,MASTER!A:E,5,0)</f>
        <v>1622</v>
      </c>
      <c r="J4" s="2">
        <f>VLOOKUP(A:A,MASTER!A:J,10,0)</f>
        <v>1665</v>
      </c>
      <c r="K4" s="12">
        <f t="shared" si="1"/>
        <v>2.6510480887792953E-2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2</v>
      </c>
      <c r="P4" s="1">
        <f>VLOOKUP(A:A,MASTER!A:H,8,0)</f>
        <v>5</v>
      </c>
      <c r="Q4" s="12">
        <f t="shared" si="3"/>
        <v>1.5</v>
      </c>
      <c r="R4" s="1">
        <f>VLOOKUP(A:A,MASTER!A:B,2,0)</f>
        <v>2002</v>
      </c>
      <c r="S4">
        <f>VLOOKUP(A:A,MASTER!A:G,7,0)</f>
        <v>1874</v>
      </c>
      <c r="T4" s="12">
        <f t="shared" si="4"/>
        <v>-6.3936063936063992E-2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35258445.581577659</v>
      </c>
      <c r="G5" s="1">
        <f>VLOOKUP(A:A,MASTER!A:K,11,0)</f>
        <v>34178662.6196035</v>
      </c>
      <c r="H5" s="12">
        <f t="shared" si="0"/>
        <v>-3.0624803338986095E-2</v>
      </c>
      <c r="I5" s="2">
        <f>VLOOKUP(A:A,MASTER!A:E,5,0)</f>
        <v>1756</v>
      </c>
      <c r="J5" s="2">
        <f>VLOOKUP(A:A,MASTER!A:J,10,0)</f>
        <v>963</v>
      </c>
      <c r="K5" s="12">
        <f t="shared" si="1"/>
        <v>-0.45159453302961272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5</v>
      </c>
      <c r="P5" s="1">
        <f>VLOOKUP(A:A,MASTER!A:H,8,0)</f>
        <v>2</v>
      </c>
      <c r="Q5" s="12">
        <f t="shared" si="3"/>
        <v>-0.6</v>
      </c>
      <c r="R5" s="1">
        <f>VLOOKUP(A:A,MASTER!A:B,2,0)</f>
        <v>1181</v>
      </c>
      <c r="S5">
        <f>VLOOKUP(A:A,MASTER!A:G,7,0)</f>
        <v>1147</v>
      </c>
      <c r="T5" s="12">
        <f t="shared" si="4"/>
        <v>-2.8789161727349688E-2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40777106.353213765</v>
      </c>
      <c r="G6" s="1">
        <f>VLOOKUP(A:A,MASTER!A:K,11,0)</f>
        <v>37608791.301527128</v>
      </c>
      <c r="H6" s="12">
        <f t="shared" si="0"/>
        <v>-7.7698378699128434E-2</v>
      </c>
      <c r="I6" s="2">
        <f>VLOOKUP(A:A,MASTER!A:E,5,0)</f>
        <v>1112</v>
      </c>
      <c r="J6" s="2">
        <f>VLOOKUP(A:A,MASTER!A:J,10,0)</f>
        <v>1063</v>
      </c>
      <c r="K6" s="12">
        <f t="shared" si="1"/>
        <v>-4.4064748201438797E-2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6</v>
      </c>
      <c r="P6" s="1">
        <f>VLOOKUP(A:A,MASTER!A:H,8,0)</f>
        <v>10</v>
      </c>
      <c r="Q6" s="12">
        <f t="shared" si="3"/>
        <v>0.66666666666666674</v>
      </c>
      <c r="R6" s="1">
        <f>VLOOKUP(A:A,MASTER!A:B,2,0)</f>
        <v>1461</v>
      </c>
      <c r="S6">
        <f>VLOOKUP(A:A,MASTER!A:G,7,0)</f>
        <v>1388</v>
      </c>
      <c r="T6" s="12">
        <f t="shared" si="4"/>
        <v>-4.9965776865160794E-2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68531846.963941038</v>
      </c>
      <c r="G7" s="1">
        <f>VLOOKUP(A:A,MASTER!A:K,11,0)</f>
        <v>69038284.165556967</v>
      </c>
      <c r="H7" s="12">
        <f t="shared" si="0"/>
        <v>7.3898081556504902E-3</v>
      </c>
      <c r="I7" s="2">
        <f>VLOOKUP(A:A,MASTER!A:E,5,0)</f>
        <v>1836</v>
      </c>
      <c r="J7" s="2">
        <f>VLOOKUP(A:A,MASTER!A:J,10,0)</f>
        <v>1717</v>
      </c>
      <c r="K7" s="12">
        <f t="shared" si="1"/>
        <v>-6.481481481481477E-2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8</v>
      </c>
      <c r="P7" s="1">
        <f>VLOOKUP(A:A,MASTER!A:H,8,0)</f>
        <v>14</v>
      </c>
      <c r="Q7" s="12">
        <f t="shared" si="3"/>
        <v>0.75</v>
      </c>
      <c r="R7" s="1">
        <f>VLOOKUP(A:A,MASTER!A:B,2,0)</f>
        <v>2155</v>
      </c>
      <c r="S7">
        <f>VLOOKUP(A:A,MASTER!A:G,7,0)</f>
        <v>2116</v>
      </c>
      <c r="T7" s="12">
        <f t="shared" si="4"/>
        <v>-1.8097447795823673E-2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50071633.301431909</v>
      </c>
      <c r="G8" s="1">
        <f>VLOOKUP(A:A,MASTER!A:K,11,0)</f>
        <v>50651201.042452469</v>
      </c>
      <c r="H8" s="12">
        <f t="shared" si="0"/>
        <v>1.1574772037723502E-2</v>
      </c>
      <c r="I8" s="2">
        <f>VLOOKUP(A:A,MASTER!A:E,5,0)</f>
        <v>1318</v>
      </c>
      <c r="J8" s="2">
        <f>VLOOKUP(A:A,MASTER!A:J,10,0)</f>
        <v>1186</v>
      </c>
      <c r="K8" s="12">
        <f t="shared" si="1"/>
        <v>-0.10015174506828528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545</v>
      </c>
      <c r="P8" s="1">
        <f>VLOOKUP(A:A,MASTER!A:H,8,0)</f>
        <v>517</v>
      </c>
      <c r="Q8" s="12">
        <f t="shared" si="3"/>
        <v>-5.1376146788990829E-2</v>
      </c>
      <c r="R8" s="1">
        <f>VLOOKUP(A:A,MASTER!A:B,2,0)</f>
        <v>2046</v>
      </c>
      <c r="S8">
        <f>VLOOKUP(A:A,MASTER!A:G,7,0)</f>
        <v>2096</v>
      </c>
      <c r="T8" s="12">
        <f t="shared" si="4"/>
        <v>2.4437927663734094E-2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95847593.85455054</v>
      </c>
      <c r="G9" s="1">
        <f>VLOOKUP(A:A,MASTER!A:K,11,0)</f>
        <v>92710302.005424112</v>
      </c>
      <c r="H9" s="12">
        <f t="shared" si="0"/>
        <v>-3.2732087712992519E-2</v>
      </c>
      <c r="I9" s="2">
        <f>VLOOKUP(A:A,MASTER!A:E,5,0)</f>
        <v>2526</v>
      </c>
      <c r="J9" s="2">
        <f>VLOOKUP(A:A,MASTER!A:J,10,0)</f>
        <v>2771</v>
      </c>
      <c r="K9" s="12">
        <f t="shared" si="1"/>
        <v>9.6991290577988831E-2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343</v>
      </c>
      <c r="P9" s="1">
        <f>VLOOKUP(A:A,MASTER!A:H,8,0)</f>
        <v>399</v>
      </c>
      <c r="Q9" s="12">
        <f t="shared" si="3"/>
        <v>0.16326530612244894</v>
      </c>
      <c r="R9" s="1">
        <f>VLOOKUP(A:A,MASTER!A:B,2,0)</f>
        <v>3561</v>
      </c>
      <c r="S9">
        <f>VLOOKUP(A:A,MASTER!A:G,7,0)</f>
        <v>3561</v>
      </c>
      <c r="T9" s="12">
        <f t="shared" si="4"/>
        <v>0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136</v>
      </c>
      <c r="F10" s="1">
        <f>VLOOKUP(A:A,MASTER!A:F,6,0)</f>
        <v>24317213.785709914</v>
      </c>
      <c r="G10" s="1">
        <f>VLOOKUP(A:A,MASTER!A:K,11,0)</f>
        <v>20211596.983305253</v>
      </c>
      <c r="H10" s="12">
        <f t="shared" si="0"/>
        <v>-0.16883582299290145</v>
      </c>
      <c r="I10" s="2">
        <f>VLOOKUP(A:A,MASTER!A:E,5,0)</f>
        <v>511</v>
      </c>
      <c r="J10" s="2">
        <f>VLOOKUP(A:A,MASTER!A:J,10,0)</f>
        <v>498</v>
      </c>
      <c r="K10" s="12">
        <f t="shared" si="1"/>
        <v>-2.5440313111546042E-2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4</v>
      </c>
      <c r="Q10" s="12">
        <f t="shared" si="3"/>
        <v>3</v>
      </c>
      <c r="R10" s="1">
        <f>VLOOKUP(A:A,MASTER!A:B,2,0)</f>
        <v>656</v>
      </c>
      <c r="S10">
        <f>VLOOKUP(A:A,MASTER!A:G,7,0)</f>
        <v>639</v>
      </c>
      <c r="T10" s="12">
        <f t="shared" si="4"/>
        <v>-2.5914634146341431E-2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83468657.647040904</v>
      </c>
      <c r="G11" s="1">
        <f>VLOOKUP(A:A,MASTER!A:K,11,0)</f>
        <v>93146982.507861346</v>
      </c>
      <c r="H11" s="12">
        <f t="shared" si="0"/>
        <v>0.11595160547263883</v>
      </c>
      <c r="I11" s="2">
        <f>VLOOKUP(A:A,MASTER!A:E,5,0)</f>
        <v>2527</v>
      </c>
      <c r="J11" s="2">
        <f>VLOOKUP(A:A,MASTER!A:J,10,0)</f>
        <v>2790</v>
      </c>
      <c r="K11" s="12">
        <f t="shared" si="1"/>
        <v>0.10407597942223989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7</v>
      </c>
      <c r="P11" s="1">
        <f>VLOOKUP(A:A,MASTER!A:H,8,0)</f>
        <v>8</v>
      </c>
      <c r="Q11" s="12">
        <f t="shared" si="3"/>
        <v>0.14285714285714279</v>
      </c>
      <c r="R11" s="1">
        <f>VLOOKUP(A:A,MASTER!A:B,2,0)</f>
        <v>2665</v>
      </c>
      <c r="S11">
        <f>VLOOKUP(A:A,MASTER!A:G,7,0)</f>
        <v>2848</v>
      </c>
      <c r="T11" s="12">
        <f t="shared" si="4"/>
        <v>6.866791744840528E-2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53708749.385917209</v>
      </c>
      <c r="G12" s="1">
        <f>VLOOKUP(A:A,MASTER!A:K,11,0)</f>
        <v>48610079.734634005</v>
      </c>
      <c r="H12" s="12">
        <f t="shared" si="0"/>
        <v>-9.493182599816985E-2</v>
      </c>
      <c r="I12" s="2">
        <f>VLOOKUP(A:A,MASTER!A:E,5,0)</f>
        <v>925</v>
      </c>
      <c r="J12" s="2">
        <f>VLOOKUP(A:A,MASTER!A:J,10,0)</f>
        <v>1013</v>
      </c>
      <c r="K12" s="12">
        <f t="shared" si="1"/>
        <v>9.5135135135135052E-2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8</v>
      </c>
      <c r="Q12" s="12">
        <f t="shared" si="3"/>
        <v>0.14285714285714279</v>
      </c>
      <c r="R12" s="1">
        <f>VLOOKUP(A:A,MASTER!A:B,2,0)</f>
        <v>1006</v>
      </c>
      <c r="S12">
        <f>VLOOKUP(A:A,MASTER!A:G,7,0)</f>
        <v>1068</v>
      </c>
      <c r="T12" s="12">
        <f t="shared" si="4"/>
        <v>6.1630218687872773E-2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48073908.266267829</v>
      </c>
      <c r="G13" s="1">
        <f>VLOOKUP(A:A,MASTER!A:K,11,0)</f>
        <v>48964932.575592801</v>
      </c>
      <c r="H13" s="12">
        <f t="shared" si="0"/>
        <v>1.8534467894514517E-2</v>
      </c>
      <c r="I13" s="2">
        <f>VLOOKUP(A:A,MASTER!A:E,5,0)</f>
        <v>1302</v>
      </c>
      <c r="J13" s="2">
        <f>VLOOKUP(A:A,MASTER!A:J,10,0)</f>
        <v>1352</v>
      </c>
      <c r="K13" s="12">
        <f t="shared" si="1"/>
        <v>3.840245775729656E-2</v>
      </c>
      <c r="L13" s="2">
        <f>VLOOKUP(A:A,MASTER!A:D,4,0)</f>
        <v>8</v>
      </c>
      <c r="M13" s="2">
        <f>VLOOKUP(A:A,MASTER!A:I,9,0)</f>
        <v>12</v>
      </c>
      <c r="N13" s="12">
        <f t="shared" si="2"/>
        <v>0.5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1405</v>
      </c>
      <c r="S13">
        <f>VLOOKUP(A:A,MASTER!A:G,7,0)</f>
        <v>1427</v>
      </c>
      <c r="T13" s="12">
        <f t="shared" si="4"/>
        <v>1.5658362989323882E-2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38375328.218995415</v>
      </c>
      <c r="G14" s="1">
        <f>VLOOKUP(A:A,MASTER!A:K,11,0)</f>
        <v>37489295.925496317</v>
      </c>
      <c r="H14" s="12">
        <f t="shared" si="0"/>
        <v>-2.3088591931847535E-2</v>
      </c>
      <c r="I14" s="2">
        <f>VLOOKUP(A:A,MASTER!A:E,5,0)</f>
        <v>665</v>
      </c>
      <c r="J14" s="2">
        <f>VLOOKUP(A:A,MASTER!A:J,10,0)</f>
        <v>641</v>
      </c>
      <c r="K14" s="12">
        <f t="shared" si="1"/>
        <v>-3.6090225563909728E-2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4</v>
      </c>
      <c r="Q14" s="12">
        <f t="shared" si="3"/>
        <v>0.33333333333333326</v>
      </c>
      <c r="R14" s="1">
        <f>VLOOKUP(A:A,MASTER!A:B,2,0)</f>
        <v>870</v>
      </c>
      <c r="S14">
        <f>VLOOKUP(A:A,MASTER!A:G,7,0)</f>
        <v>837</v>
      </c>
      <c r="T14" s="12">
        <f t="shared" si="4"/>
        <v>-3.7931034482758585E-2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35761307.775134385</v>
      </c>
      <c r="G15" s="1">
        <f>VLOOKUP(A:A,MASTER!A:K,11,0)</f>
        <v>23825898.513682291</v>
      </c>
      <c r="H15" s="12">
        <f t="shared" si="0"/>
        <v>-0.3337520354820761</v>
      </c>
      <c r="I15" s="2">
        <f>VLOOKUP(A:A,MASTER!A:E,5,0)</f>
        <v>960</v>
      </c>
      <c r="J15" s="2">
        <f>VLOOKUP(A:A,MASTER!A:J,10,0)</f>
        <v>302</v>
      </c>
      <c r="K15" s="12">
        <f t="shared" si="1"/>
        <v>-0.68541666666666667</v>
      </c>
      <c r="L15" s="2">
        <f>VLOOKUP(A:A,MASTER!A:D,4,0)</f>
        <v>9</v>
      </c>
      <c r="M15" s="2">
        <f>VLOOKUP(A:A,MASTER!A:I,9,0)</f>
        <v>7</v>
      </c>
      <c r="N15" s="12">
        <f t="shared" si="2"/>
        <v>-0.22222222222222221</v>
      </c>
      <c r="O15" s="1">
        <f>VLOOKUP(A:A,MASTER!A:C,3,0)</f>
        <v>1</v>
      </c>
      <c r="P15" s="1">
        <f>VLOOKUP(A:A,MASTER!A:H,8,0)</f>
        <v>3</v>
      </c>
      <c r="Q15" s="12">
        <f t="shared" si="3"/>
        <v>2</v>
      </c>
      <c r="R15" s="1">
        <f>VLOOKUP(A:A,MASTER!A:B,2,0)</f>
        <v>1178</v>
      </c>
      <c r="S15">
        <f>VLOOKUP(A:A,MASTER!A:G,7,0)</f>
        <v>1166</v>
      </c>
      <c r="T15" s="12">
        <f t="shared" si="4"/>
        <v>-1.018675721561968E-2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136</v>
      </c>
      <c r="F16" s="1">
        <f>VLOOKUP(A:A,MASTER!A:F,6,0)</f>
        <v>21772007.431911469</v>
      </c>
      <c r="G16" s="1">
        <f>VLOOKUP(A:A,MASTER!A:K,11,0)</f>
        <v>20954083.205241844</v>
      </c>
      <c r="H16" s="12">
        <f t="shared" si="0"/>
        <v>-3.7567699222387008E-2</v>
      </c>
      <c r="I16" s="2">
        <f>VLOOKUP(A:A,MASTER!A:E,5,0)</f>
        <v>999</v>
      </c>
      <c r="J16" s="2">
        <f>VLOOKUP(A:A,MASTER!A:J,10,0)</f>
        <v>1095</v>
      </c>
      <c r="K16" s="12">
        <f t="shared" si="1"/>
        <v>9.6096096096096151E-2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1</v>
      </c>
      <c r="P16" s="1">
        <f>VLOOKUP(A:A,MASTER!A:H,8,0)</f>
        <v>0</v>
      </c>
      <c r="Q16" s="12">
        <f t="shared" si="3"/>
        <v>-1</v>
      </c>
      <c r="R16" s="1">
        <f>VLOOKUP(A:A,MASTER!A:B,2,0)</f>
        <v>764</v>
      </c>
      <c r="S16">
        <f>VLOOKUP(A:A,MASTER!A:G,7,0)</f>
        <v>740</v>
      </c>
      <c r="T16" s="12">
        <f t="shared" si="4"/>
        <v>-3.1413612565445059E-2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69064226.683232114</v>
      </c>
      <c r="G17" s="1">
        <f>VLOOKUP(A:A,MASTER!A:K,11,0)</f>
        <v>65444559.958617039</v>
      </c>
      <c r="H17" s="12">
        <f t="shared" si="0"/>
        <v>-5.2410153540369486E-2</v>
      </c>
      <c r="I17" s="2">
        <f>VLOOKUP(A:A,MASTER!A:E,5,0)</f>
        <v>1152</v>
      </c>
      <c r="J17" s="2">
        <f>VLOOKUP(A:A,MASTER!A:J,10,0)</f>
        <v>1152</v>
      </c>
      <c r="K17" s="12">
        <f t="shared" si="1"/>
        <v>0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5</v>
      </c>
      <c r="P17" s="1">
        <f>VLOOKUP(A:A,MASTER!A:H,8,0)</f>
        <v>9</v>
      </c>
      <c r="Q17" s="12">
        <f t="shared" si="3"/>
        <v>0.8</v>
      </c>
      <c r="R17" s="1">
        <f>VLOOKUP(A:A,MASTER!A:B,2,0)</f>
        <v>1408</v>
      </c>
      <c r="S17">
        <f>VLOOKUP(A:A,MASTER!A:G,7,0)</f>
        <v>1328</v>
      </c>
      <c r="T17" s="12">
        <f t="shared" si="4"/>
        <v>-5.6818181818181768E-2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30776686.013476379</v>
      </c>
      <c r="G18" s="1">
        <f>VLOOKUP(A:A,MASTER!A:K,11,0)</f>
        <v>25646729.574009478</v>
      </c>
      <c r="H18" s="12">
        <f t="shared" si="0"/>
        <v>-0.16668319770428219</v>
      </c>
      <c r="I18" s="2">
        <f>VLOOKUP(A:A,MASTER!A:E,5,0)</f>
        <v>1198</v>
      </c>
      <c r="J18" s="2">
        <f>VLOOKUP(A:A,MASTER!A:J,10,0)</f>
        <v>1046</v>
      </c>
      <c r="K18" s="12">
        <f t="shared" si="1"/>
        <v>-0.12687813021702843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2</v>
      </c>
      <c r="P18" s="1">
        <f>VLOOKUP(A:A,MASTER!A:H,8,0)</f>
        <v>1</v>
      </c>
      <c r="Q18" s="12">
        <f t="shared" si="3"/>
        <v>-0.5</v>
      </c>
      <c r="R18" s="1">
        <f>VLOOKUP(A:A,MASTER!A:B,2,0)</f>
        <v>996</v>
      </c>
      <c r="S18">
        <f>VLOOKUP(A:A,MASTER!A:G,7,0)</f>
        <v>961</v>
      </c>
      <c r="T18" s="12">
        <f t="shared" si="4"/>
        <v>-3.5140562248995977E-2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89414073.919588149</v>
      </c>
      <c r="G19" s="1">
        <f>VLOOKUP(A:A,MASTER!A:K,11,0)</f>
        <v>87400203.861784875</v>
      </c>
      <c r="H19" s="12">
        <f t="shared" si="0"/>
        <v>-2.2522965004529216E-2</v>
      </c>
      <c r="I19" s="2">
        <f>VLOOKUP(A:A,MASTER!A:E,5,0)</f>
        <v>1844</v>
      </c>
      <c r="J19" s="2">
        <f>VLOOKUP(A:A,MASTER!A:J,10,0)</f>
        <v>1776</v>
      </c>
      <c r="K19" s="12">
        <f t="shared" si="1"/>
        <v>-3.6876355748373113E-2</v>
      </c>
      <c r="L19" s="2">
        <f>VLOOKUP(A:A,MASTER!A:D,4,0)</f>
        <v>19</v>
      </c>
      <c r="M19" s="2">
        <f>VLOOKUP(A:A,MASTER!A:I,9,0)</f>
        <v>20</v>
      </c>
      <c r="N19" s="12">
        <f t="shared" si="2"/>
        <v>5.2631578947368363E-2</v>
      </c>
      <c r="O19" s="1">
        <f>VLOOKUP(A:A,MASTER!A:C,3,0)</f>
        <v>6</v>
      </c>
      <c r="P19" s="1">
        <f>VLOOKUP(A:A,MASTER!A:H,8,0)</f>
        <v>3</v>
      </c>
      <c r="Q19" s="12">
        <f t="shared" si="3"/>
        <v>-0.5</v>
      </c>
      <c r="R19" s="1">
        <f>VLOOKUP(A:A,MASTER!A:B,2,0)</f>
        <v>2260</v>
      </c>
      <c r="S19">
        <f>VLOOKUP(A:A,MASTER!A:G,7,0)</f>
        <v>2271</v>
      </c>
      <c r="T19" s="12">
        <f t="shared" si="4"/>
        <v>4.8672566371681381E-3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29456189.714986093</v>
      </c>
      <c r="G20" s="1">
        <f>VLOOKUP(A:A,MASTER!A:K,11,0)</f>
        <v>28777024.08428961</v>
      </c>
      <c r="H20" s="12">
        <f t="shared" si="0"/>
        <v>-2.3056805285000981E-2</v>
      </c>
      <c r="I20" s="2">
        <f>VLOOKUP(A:A,MASTER!A:E,5,0)</f>
        <v>454</v>
      </c>
      <c r="J20" s="2">
        <f>VLOOKUP(A:A,MASTER!A:J,10,0)</f>
        <v>445</v>
      </c>
      <c r="K20" s="12">
        <f t="shared" si="1"/>
        <v>-1.982378854625555E-2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561</v>
      </c>
      <c r="S20">
        <f>VLOOKUP(A:A,MASTER!A:G,7,0)</f>
        <v>554</v>
      </c>
      <c r="T20" s="12">
        <f t="shared" si="4"/>
        <v>-1.2477718360071277E-2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136</v>
      </c>
      <c r="F21" s="1">
        <f>VLOOKUP(A:A,MASTER!A:F,6,0)</f>
        <v>26835620.376224093</v>
      </c>
      <c r="G21" s="1">
        <f>VLOOKUP(A:A,MASTER!A:K,11,0)</f>
        <v>22751010.149407621</v>
      </c>
      <c r="H21" s="12">
        <f t="shared" si="0"/>
        <v>-0.15220852618840019</v>
      </c>
      <c r="I21" s="2">
        <f>VLOOKUP(A:A,MASTER!A:E,5,0)</f>
        <v>445</v>
      </c>
      <c r="J21" s="2">
        <f>VLOOKUP(A:A,MASTER!A:J,10,0)</f>
        <v>400</v>
      </c>
      <c r="K21" s="12">
        <f t="shared" si="1"/>
        <v>-0.101123595505618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2</v>
      </c>
      <c r="P21" s="1">
        <f>VLOOKUP(A:A,MASTER!A:H,8,0)</f>
        <v>0</v>
      </c>
      <c r="Q21" s="12">
        <f t="shared" si="3"/>
        <v>-1</v>
      </c>
      <c r="R21" s="1">
        <f>VLOOKUP(A:A,MASTER!A:B,2,0)</f>
        <v>527</v>
      </c>
      <c r="S21">
        <f>VLOOKUP(A:A,MASTER!A:G,7,0)</f>
        <v>504</v>
      </c>
      <c r="T21" s="12">
        <f t="shared" si="4"/>
        <v>-4.3643263757115802E-2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13874281.994634211</v>
      </c>
      <c r="G22" s="1">
        <f>VLOOKUP(A:A,MASTER!A:K,11,0)</f>
        <v>28785996.608096316</v>
      </c>
      <c r="H22" s="12">
        <f t="shared" si="0"/>
        <v>1.0747737878781125</v>
      </c>
      <c r="I22" s="2">
        <f>VLOOKUP(A:A,MASTER!A:E,5,0)</f>
        <v>447</v>
      </c>
      <c r="J22" s="2">
        <f>VLOOKUP(A:A,MASTER!A:J,10,0)</f>
        <v>552</v>
      </c>
      <c r="K22" s="12">
        <f t="shared" si="1"/>
        <v>0.2348993288590604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1</v>
      </c>
      <c r="P22" s="1">
        <f>VLOOKUP(A:A,MASTER!A:H,8,0)</f>
        <v>4</v>
      </c>
      <c r="Q22" s="12">
        <f t="shared" si="3"/>
        <v>3</v>
      </c>
      <c r="R22" s="1">
        <f>VLOOKUP(A:A,MASTER!A:B,2,0)</f>
        <v>663</v>
      </c>
      <c r="S22">
        <f>VLOOKUP(A:A,MASTER!A:G,7,0)</f>
        <v>628</v>
      </c>
      <c r="T22" s="12">
        <f t="shared" si="4"/>
        <v>-5.2790346907994001E-2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43201922.168557256</v>
      </c>
      <c r="G23" s="1">
        <f>VLOOKUP(A:A,MASTER!A:K,11,0)</f>
        <v>45412566.828970797</v>
      </c>
      <c r="H23" s="12">
        <f t="shared" si="0"/>
        <v>5.1170053308935204E-2</v>
      </c>
      <c r="I23" s="2">
        <f>VLOOKUP(A:A,MASTER!A:E,5,0)</f>
        <v>979</v>
      </c>
      <c r="J23" s="2">
        <f>VLOOKUP(A:A,MASTER!A:J,10,0)</f>
        <v>953</v>
      </c>
      <c r="K23" s="12">
        <f t="shared" si="1"/>
        <v>-2.6557711950970342E-2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4</v>
      </c>
      <c r="P23" s="1">
        <f>VLOOKUP(A:A,MASTER!A:H,8,0)</f>
        <v>9</v>
      </c>
      <c r="Q23" s="12">
        <f t="shared" si="3"/>
        <v>1.25</v>
      </c>
      <c r="R23" s="1">
        <f>VLOOKUP(A:A,MASTER!A:B,2,0)</f>
        <v>1138</v>
      </c>
      <c r="S23">
        <f>VLOOKUP(A:A,MASTER!A:G,7,0)</f>
        <v>1123</v>
      </c>
      <c r="T23" s="12">
        <f t="shared" si="4"/>
        <v>-1.3181019332161648E-2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77484213.510205179</v>
      </c>
      <c r="G24" s="1">
        <f>VLOOKUP(A:A,MASTER!A:K,11,0)</f>
        <v>74344961.687690407</v>
      </c>
      <c r="H24" s="12">
        <f t="shared" si="0"/>
        <v>-4.0514727843256937E-2</v>
      </c>
      <c r="I24" s="2">
        <f>VLOOKUP(A:A,MASTER!A:E,5,0)</f>
        <v>1551</v>
      </c>
      <c r="J24" s="2">
        <f>VLOOKUP(A:A,MASTER!A:J,10,0)</f>
        <v>1659</v>
      </c>
      <c r="K24" s="12">
        <f t="shared" si="1"/>
        <v>6.9632495164410058E-2</v>
      </c>
      <c r="L24" s="2">
        <f>VLOOKUP(A:A,MASTER!A:D,4,0)</f>
        <v>3</v>
      </c>
      <c r="M24" s="2">
        <f>VLOOKUP(A:A,MASTER!A:I,9,0)</f>
        <v>5</v>
      </c>
      <c r="N24" s="12">
        <f t="shared" si="2"/>
        <v>0.66666666666666674</v>
      </c>
      <c r="O24" s="1">
        <f>VLOOKUP(A:A,MASTER!A:C,3,0)</f>
        <v>14</v>
      </c>
      <c r="P24" s="1">
        <f>VLOOKUP(A:A,MASTER!A:H,8,0)</f>
        <v>130</v>
      </c>
      <c r="Q24" s="12">
        <f t="shared" si="3"/>
        <v>8.2857142857142865</v>
      </c>
      <c r="R24" s="1">
        <f>VLOOKUP(A:A,MASTER!A:B,2,0)</f>
        <v>1552</v>
      </c>
      <c r="S24">
        <f>VLOOKUP(A:A,MASTER!A:G,7,0)</f>
        <v>1657</v>
      </c>
      <c r="T24" s="12">
        <f t="shared" si="4"/>
        <v>6.7654639175257714E-2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102458376.41245171</v>
      </c>
      <c r="G25" s="1">
        <f>VLOOKUP(A:A,MASTER!A:K,11,0)</f>
        <v>98213672.999213845</v>
      </c>
      <c r="H25" s="12">
        <f t="shared" si="0"/>
        <v>-4.1428564084898145E-2</v>
      </c>
      <c r="I25" s="2">
        <f>VLOOKUP(A:A,MASTER!A:E,5,0)</f>
        <v>1910</v>
      </c>
      <c r="J25" s="2">
        <f>VLOOKUP(A:A,MASTER!A:J,10,0)</f>
        <v>2235</v>
      </c>
      <c r="K25" s="12">
        <f t="shared" si="1"/>
        <v>0.17015706806282727</v>
      </c>
      <c r="L25" s="2">
        <f>VLOOKUP(A:A,MASTER!A:D,4,0)</f>
        <v>11</v>
      </c>
      <c r="M25" s="2">
        <f>VLOOKUP(A:A,MASTER!A:I,9,0)</f>
        <v>10</v>
      </c>
      <c r="N25" s="12">
        <f t="shared" si="2"/>
        <v>-9.0909090909090939E-2</v>
      </c>
      <c r="O25" s="1">
        <f>VLOOKUP(A:A,MASTER!A:C,3,0)</f>
        <v>27</v>
      </c>
      <c r="P25" s="1">
        <f>VLOOKUP(A:A,MASTER!A:H,8,0)</f>
        <v>29</v>
      </c>
      <c r="Q25" s="12">
        <f t="shared" si="3"/>
        <v>7.4074074074074181E-2</v>
      </c>
      <c r="R25" s="1">
        <f>VLOOKUP(A:A,MASTER!A:B,2,0)</f>
        <v>2763</v>
      </c>
      <c r="S25">
        <f>VLOOKUP(A:A,MASTER!A:G,7,0)</f>
        <v>2700</v>
      </c>
      <c r="T25" s="12">
        <f t="shared" si="4"/>
        <v>-2.2801302931596101E-2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21173918.375512004</v>
      </c>
      <c r="G26" s="1">
        <f>VLOOKUP(A:A,MASTER!A:K,11,0)</f>
        <v>21981374.081796613</v>
      </c>
      <c r="H26" s="12">
        <f t="shared" si="0"/>
        <v>3.8134448804640897E-2</v>
      </c>
      <c r="I26" s="2">
        <f>VLOOKUP(A:A,MASTER!A:E,5,0)</f>
        <v>590</v>
      </c>
      <c r="J26" s="2">
        <f>VLOOKUP(A:A,MASTER!A:J,10,0)</f>
        <v>574</v>
      </c>
      <c r="K26" s="12">
        <f t="shared" si="1"/>
        <v>-2.7118644067796627E-2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689</v>
      </c>
      <c r="S26">
        <f>VLOOKUP(A:A,MASTER!A:G,7,0)</f>
        <v>676</v>
      </c>
      <c r="T26" s="12">
        <f t="shared" si="4"/>
        <v>-1.8867924528301883E-2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39298227.831414953</v>
      </c>
      <c r="G27" s="1">
        <f>VLOOKUP(A:A,MASTER!A:K,11,0)</f>
        <v>40986253.070954643</v>
      </c>
      <c r="H27" s="12">
        <f t="shared" si="0"/>
        <v>4.2954233121685004E-2</v>
      </c>
      <c r="I27" s="2">
        <f>VLOOKUP(A:A,MASTER!A:E,5,0)</f>
        <v>859</v>
      </c>
      <c r="J27" s="2">
        <f>VLOOKUP(A:A,MASTER!A:J,10,0)</f>
        <v>913</v>
      </c>
      <c r="K27" s="12">
        <f t="shared" si="1"/>
        <v>6.2863795110593701E-2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14</v>
      </c>
      <c r="P27" s="1">
        <f>VLOOKUP(A:A,MASTER!A:H,8,0)</f>
        <v>4</v>
      </c>
      <c r="Q27" s="12">
        <f t="shared" si="3"/>
        <v>-0.7142857142857143</v>
      </c>
      <c r="R27" s="1">
        <f>VLOOKUP(A:A,MASTER!A:B,2,0)</f>
        <v>992</v>
      </c>
      <c r="S27">
        <f>VLOOKUP(A:A,MASTER!A:G,7,0)</f>
        <v>1018</v>
      </c>
      <c r="T27" s="12">
        <f t="shared" si="4"/>
        <v>2.620967741935476E-2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136</v>
      </c>
      <c r="F28" s="1">
        <f>VLOOKUP(A:A,MASTER!A:F,6,0)</f>
        <v>19940036.595682662</v>
      </c>
      <c r="G28" s="1">
        <f>VLOOKUP(A:A,MASTER!A:K,11,0)</f>
        <v>19490766.151149418</v>
      </c>
      <c r="H28" s="12">
        <f t="shared" si="0"/>
        <v>-2.253107422232703E-2</v>
      </c>
      <c r="I28" s="2">
        <f>VLOOKUP(A:A,MASTER!A:E,5,0)</f>
        <v>627</v>
      </c>
      <c r="J28" s="2">
        <f>VLOOKUP(A:A,MASTER!A:J,10,0)</f>
        <v>659</v>
      </c>
      <c r="K28" s="12">
        <f t="shared" si="1"/>
        <v>5.103668261562988E-2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58</v>
      </c>
      <c r="Q28" s="12">
        <f t="shared" si="3"/>
        <v>57</v>
      </c>
      <c r="R28" s="1">
        <f>VLOOKUP(A:A,MASTER!A:B,2,0)</f>
        <v>725</v>
      </c>
      <c r="S28">
        <f>VLOOKUP(A:A,MASTER!A:G,7,0)</f>
        <v>748</v>
      </c>
      <c r="T28" s="12">
        <f t="shared" si="4"/>
        <v>3.1724137931034457E-2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46981378.733656622</v>
      </c>
      <c r="G29" s="1">
        <f>VLOOKUP(A:A,MASTER!A:K,11,0)</f>
        <v>49891633.308279544</v>
      </c>
      <c r="H29" s="12">
        <f t="shared" si="0"/>
        <v>6.1944852472753498E-2</v>
      </c>
      <c r="I29" s="2">
        <f>VLOOKUP(A:A,MASTER!A:E,5,0)</f>
        <v>1138</v>
      </c>
      <c r="J29" s="2">
        <f>VLOOKUP(A:A,MASTER!A:J,10,0)</f>
        <v>1258</v>
      </c>
      <c r="K29" s="12">
        <f t="shared" si="1"/>
        <v>0.1054481546572934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6</v>
      </c>
      <c r="P29" s="1">
        <f>VLOOKUP(A:A,MASTER!A:H,8,0)</f>
        <v>6</v>
      </c>
      <c r="Q29" s="12">
        <f t="shared" si="3"/>
        <v>0</v>
      </c>
      <c r="R29" s="1">
        <f>VLOOKUP(A:A,MASTER!A:B,2,0)</f>
        <v>1150</v>
      </c>
      <c r="S29">
        <f>VLOOKUP(A:A,MASTER!A:G,7,0)</f>
        <v>1163</v>
      </c>
      <c r="T29" s="12">
        <f t="shared" si="4"/>
        <v>1.1304347826087024E-2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66722830.329450704</v>
      </c>
      <c r="G30" s="1">
        <f>VLOOKUP(A:A,MASTER!A:K,11,0)</f>
        <v>59516175.602267817</v>
      </c>
      <c r="H30" s="12">
        <f t="shared" si="0"/>
        <v>-0.10800882833655745</v>
      </c>
      <c r="I30" s="2">
        <f>VLOOKUP(A:A,MASTER!A:E,5,0)</f>
        <v>1681</v>
      </c>
      <c r="J30" s="2">
        <f>VLOOKUP(A:A,MASTER!A:J,10,0)</f>
        <v>1659</v>
      </c>
      <c r="K30" s="12">
        <f t="shared" si="1"/>
        <v>-1.3087447947650155E-2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22</v>
      </c>
      <c r="P30" s="1">
        <f>VLOOKUP(A:A,MASTER!A:H,8,0)</f>
        <v>5</v>
      </c>
      <c r="Q30" s="12">
        <f t="shared" si="3"/>
        <v>-0.77272727272727271</v>
      </c>
      <c r="R30" s="1">
        <f>VLOOKUP(A:A,MASTER!A:B,2,0)</f>
        <v>1721</v>
      </c>
      <c r="S30">
        <f>VLOOKUP(A:A,MASTER!A:G,7,0)</f>
        <v>1749</v>
      </c>
      <c r="T30" s="12">
        <f t="shared" si="4"/>
        <v>1.626961069145838E-2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27435323.270819053</v>
      </c>
      <c r="G31" s="1">
        <f>VLOOKUP(A:A,MASTER!A:K,11,0)</f>
        <v>28714023.391556948</v>
      </c>
      <c r="H31" s="12">
        <f t="shared" si="0"/>
        <v>4.6607802215983263E-2</v>
      </c>
      <c r="I31" s="2">
        <f>VLOOKUP(A:A,MASTER!A:E,5,0)</f>
        <v>794</v>
      </c>
      <c r="J31" s="2">
        <f>VLOOKUP(A:A,MASTER!A:J,10,0)</f>
        <v>788</v>
      </c>
      <c r="K31" s="12">
        <f t="shared" si="1"/>
        <v>-7.5566750629723067E-3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3</v>
      </c>
      <c r="Q31" s="12">
        <f t="shared" si="3"/>
        <v>-0.5</v>
      </c>
      <c r="R31" s="1">
        <f>VLOOKUP(A:A,MASTER!A:B,2,0)</f>
        <v>841</v>
      </c>
      <c r="S31">
        <f>VLOOKUP(A:A,MASTER!A:G,7,0)</f>
        <v>842</v>
      </c>
      <c r="T31" s="12">
        <f t="shared" si="4"/>
        <v>1.1890606420927874E-3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34130806.742313005</v>
      </c>
      <c r="G32" s="1">
        <f>VLOOKUP(A:A,MASTER!A:K,11,0)</f>
        <v>31929125.514974732</v>
      </c>
      <c r="H32" s="12">
        <f t="shared" si="0"/>
        <v>-6.4507154605542349E-2</v>
      </c>
      <c r="I32" s="2">
        <f>VLOOKUP(A:A,MASTER!A:E,5,0)</f>
        <v>575</v>
      </c>
      <c r="J32" s="2">
        <f>VLOOKUP(A:A,MASTER!A:J,10,0)</f>
        <v>454</v>
      </c>
      <c r="K32" s="12">
        <f t="shared" si="1"/>
        <v>-0.21043478260869564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650</v>
      </c>
      <c r="S32">
        <f>VLOOKUP(A:A,MASTER!A:G,7,0)</f>
        <v>649</v>
      </c>
      <c r="T32" s="12">
        <f t="shared" si="4"/>
        <v>-1.5384615384614886E-3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110989276.52609672</v>
      </c>
      <c r="G33" s="1">
        <f>VLOOKUP(A:A,MASTER!A:K,11,0)</f>
        <v>96713777.978448048</v>
      </c>
      <c r="H33" s="12">
        <f t="shared" si="0"/>
        <v>-0.12862052077879882</v>
      </c>
      <c r="I33" s="2">
        <f>VLOOKUP(A:A,MASTER!A:E,5,0)</f>
        <v>1694</v>
      </c>
      <c r="J33" s="2">
        <f>VLOOKUP(A:A,MASTER!A:J,10,0)</f>
        <v>1668</v>
      </c>
      <c r="K33" s="12">
        <f t="shared" si="1"/>
        <v>-1.5348288075560768E-2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21</v>
      </c>
      <c r="P33" s="1">
        <f>VLOOKUP(A:A,MASTER!A:H,8,0)</f>
        <v>11</v>
      </c>
      <c r="Q33" s="12">
        <f t="shared" si="3"/>
        <v>-0.47619047619047616</v>
      </c>
      <c r="R33" s="1">
        <f>VLOOKUP(A:A,MASTER!A:B,2,0)</f>
        <v>2039</v>
      </c>
      <c r="S33">
        <f>VLOOKUP(A:A,MASTER!A:G,7,0)</f>
        <v>1998</v>
      </c>
      <c r="T33" s="12">
        <f t="shared" si="4"/>
        <v>-2.0107896027464434E-2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87430962.828289166</v>
      </c>
      <c r="G34" s="1">
        <f>VLOOKUP(A:A,MASTER!A:K,11,0)</f>
        <v>82701975.846380457</v>
      </c>
      <c r="H34" s="12">
        <f t="shared" si="0"/>
        <v>-5.4088240926686848E-2</v>
      </c>
      <c r="I34" s="2">
        <f>VLOOKUP(A:A,MASTER!A:E,5,0)</f>
        <v>1482</v>
      </c>
      <c r="J34" s="2">
        <f>VLOOKUP(A:A,MASTER!A:J,10,0)</f>
        <v>1473</v>
      </c>
      <c r="K34" s="12">
        <f t="shared" si="1"/>
        <v>-6.0728744939271273E-3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19</v>
      </c>
      <c r="P34" s="1">
        <f>VLOOKUP(A:A,MASTER!A:H,8,0)</f>
        <v>9</v>
      </c>
      <c r="Q34" s="12">
        <f t="shared" si="3"/>
        <v>-0.52631578947368429</v>
      </c>
      <c r="R34" s="1">
        <f>VLOOKUP(A:A,MASTER!A:B,2,0)</f>
        <v>1816</v>
      </c>
      <c r="S34">
        <f>VLOOKUP(A:A,MASTER!A:G,7,0)</f>
        <v>1836</v>
      </c>
      <c r="T34" s="12">
        <f t="shared" si="4"/>
        <v>1.1013215859030812E-2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52495826.162106194</v>
      </c>
      <c r="G35" s="1">
        <f>VLOOKUP(A:A,MASTER!A:K,11,0)</f>
        <v>48781298.13323009</v>
      </c>
      <c r="H35" s="12">
        <f t="shared" si="0"/>
        <v>-7.075854025814754E-2</v>
      </c>
      <c r="I35" s="2">
        <f>VLOOKUP(A:A,MASTER!A:E,5,0)</f>
        <v>791</v>
      </c>
      <c r="J35" s="2">
        <f>VLOOKUP(A:A,MASTER!A:J,10,0)</f>
        <v>806</v>
      </c>
      <c r="K35" s="12">
        <f t="shared" si="1"/>
        <v>1.896333754740831E-2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941</v>
      </c>
      <c r="S35">
        <f>VLOOKUP(A:A,MASTER!A:G,7,0)</f>
        <v>953</v>
      </c>
      <c r="T35" s="12">
        <f t="shared" si="4"/>
        <v>1.2752391073326264E-2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65978018.552482896</v>
      </c>
      <c r="G36" s="1">
        <f>VLOOKUP(A:A,MASTER!A:K,11,0)</f>
        <v>65010749.556843266</v>
      </c>
      <c r="H36" s="12">
        <f t="shared" si="0"/>
        <v>-1.4660473546507125E-2</v>
      </c>
      <c r="I36" s="2">
        <f>VLOOKUP(A:A,MASTER!A:E,5,0)</f>
        <v>2041</v>
      </c>
      <c r="J36" s="2">
        <f>VLOOKUP(A:A,MASTER!A:J,10,0)</f>
        <v>2073</v>
      </c>
      <c r="K36" s="12">
        <f t="shared" si="1"/>
        <v>1.5678588926996584E-2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9</v>
      </c>
      <c r="P36" s="1">
        <f>VLOOKUP(A:A,MASTER!A:H,8,0)</f>
        <v>9</v>
      </c>
      <c r="Q36" s="12">
        <f t="shared" si="3"/>
        <v>0</v>
      </c>
      <c r="R36" s="1">
        <f>VLOOKUP(A:A,MASTER!A:B,2,0)</f>
        <v>2003</v>
      </c>
      <c r="S36">
        <f>VLOOKUP(A:A,MASTER!A:G,7,0)</f>
        <v>1906</v>
      </c>
      <c r="T36" s="12">
        <f t="shared" si="4"/>
        <v>-4.8427358961557698E-2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31578245.56479717</v>
      </c>
      <c r="G37" s="1">
        <f>VLOOKUP(A:A,MASTER!A:K,11,0)</f>
        <v>26701152.657446742</v>
      </c>
      <c r="H37" s="12">
        <f t="shared" ref="H37:H46" si="5">IFERROR(G37/F37-1,0)</f>
        <v>-0.15444470774485708</v>
      </c>
      <c r="I37" s="2">
        <f>VLOOKUP(A:A,MASTER!A:E,5,0)</f>
        <v>802</v>
      </c>
      <c r="J37" s="2">
        <f>VLOOKUP(A:A,MASTER!A:J,10,0)</f>
        <v>726</v>
      </c>
      <c r="K37" s="12">
        <f t="shared" ref="K37:K46" si="6">IFERROR(J37/I37-1,0)</f>
        <v>-9.4763092269326665E-2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2</v>
      </c>
      <c r="Q37" s="12">
        <f t="shared" ref="Q37:Q46" si="8">IFERROR(P37/O37-1,0)</f>
        <v>-0.5</v>
      </c>
      <c r="R37" s="1">
        <f>VLOOKUP(A:A,MASTER!A:B,2,0)</f>
        <v>981</v>
      </c>
      <c r="S37">
        <f>VLOOKUP(A:A,MASTER!A:G,7,0)</f>
        <v>993</v>
      </c>
      <c r="T37" s="12">
        <f t="shared" ref="T37:T46" si="9">IFERROR(S37/R37-1,0)</f>
        <v>1.2232415902140747E-2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61865014.765400469</v>
      </c>
      <c r="G38" s="1">
        <f>VLOOKUP(A:A,MASTER!A:K,11,0)</f>
        <v>66463549.562349968</v>
      </c>
      <c r="H38" s="12">
        <f t="shared" si="5"/>
        <v>7.4331749768228317E-2</v>
      </c>
      <c r="I38" s="2">
        <f>VLOOKUP(A:A,MASTER!A:E,5,0)</f>
        <v>1628</v>
      </c>
      <c r="J38" s="2">
        <f>VLOOKUP(A:A,MASTER!A:J,10,0)</f>
        <v>1873</v>
      </c>
      <c r="K38" s="12">
        <f t="shared" si="6"/>
        <v>0.15049140049140042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4</v>
      </c>
      <c r="Q38" s="12">
        <f t="shared" si="8"/>
        <v>-0.94117647058823528</v>
      </c>
      <c r="R38" s="1">
        <f>VLOOKUP(A:A,MASTER!A:B,2,0)</f>
        <v>1980</v>
      </c>
      <c r="S38">
        <f>VLOOKUP(A:A,MASTER!A:G,7,0)</f>
        <v>1919</v>
      </c>
      <c r="T38" s="12">
        <f t="shared" si="9"/>
        <v>-3.080808080808084E-2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26200189.325929318</v>
      </c>
      <c r="G39" s="1">
        <f>VLOOKUP(A:A,MASTER!A:K,11,0)</f>
        <v>27851130.908955835</v>
      </c>
      <c r="H39" s="12">
        <f t="shared" si="5"/>
        <v>6.3012582179802878E-2</v>
      </c>
      <c r="I39" s="2">
        <f>VLOOKUP(A:A,MASTER!A:E,5,0)</f>
        <v>835</v>
      </c>
      <c r="J39" s="2">
        <f>VLOOKUP(A:A,MASTER!A:J,10,0)</f>
        <v>842</v>
      </c>
      <c r="K39" s="12">
        <f t="shared" si="6"/>
        <v>8.3832335329341312E-3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3</v>
      </c>
      <c r="P39" s="1">
        <f>VLOOKUP(A:A,MASTER!A:H,8,0)</f>
        <v>2</v>
      </c>
      <c r="Q39" s="12">
        <f t="shared" si="8"/>
        <v>-0.33333333333333337</v>
      </c>
      <c r="R39" s="1">
        <f>VLOOKUP(A:A,MASTER!A:B,2,0)</f>
        <v>956</v>
      </c>
      <c r="S39">
        <f>VLOOKUP(A:A,MASTER!A:G,7,0)</f>
        <v>983</v>
      </c>
      <c r="T39" s="12">
        <f t="shared" si="9"/>
        <v>2.8242677824267703E-2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19934529.574748445</v>
      </c>
      <c r="G40" s="1">
        <f>VLOOKUP(A:A,MASTER!A:K,11,0)</f>
        <v>20266255.930893041</v>
      </c>
      <c r="H40" s="12">
        <f t="shared" si="5"/>
        <v>1.6640791792990273E-2</v>
      </c>
      <c r="I40" s="2">
        <f>VLOOKUP(A:A,MASTER!A:E,5,0)</f>
        <v>504</v>
      </c>
      <c r="J40" s="2">
        <f>VLOOKUP(A:A,MASTER!A:J,10,0)</f>
        <v>501</v>
      </c>
      <c r="K40" s="12">
        <f t="shared" si="6"/>
        <v>-5.9523809523809312E-3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478</v>
      </c>
      <c r="S40">
        <f>VLOOKUP(A:A,MASTER!A:G,7,0)</f>
        <v>505</v>
      </c>
      <c r="T40" s="12">
        <f t="shared" si="9"/>
        <v>5.6485355648535629E-2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40787032.95145677</v>
      </c>
      <c r="G41" s="1">
        <f>VLOOKUP(A:A,MASTER!A:K,11,0)</f>
        <v>54556428.402233608</v>
      </c>
      <c r="H41" s="12">
        <f t="shared" si="5"/>
        <v>0.33759247619616417</v>
      </c>
      <c r="I41" s="2">
        <f>VLOOKUP(A:A,MASTER!A:E,5,0)</f>
        <v>771</v>
      </c>
      <c r="J41" s="2">
        <f>VLOOKUP(A:A,MASTER!A:J,10,0)</f>
        <v>1122</v>
      </c>
      <c r="K41" s="12">
        <f t="shared" si="6"/>
        <v>0.45525291828793768</v>
      </c>
      <c r="L41" s="2">
        <f>VLOOKUP(A:A,MASTER!A:D,4,0)</f>
        <v>4</v>
      </c>
      <c r="M41" s="2">
        <f>VLOOKUP(A:A,MASTER!A:I,9,0)</f>
        <v>4</v>
      </c>
      <c r="N41" s="12">
        <f t="shared" si="7"/>
        <v>0</v>
      </c>
      <c r="O41" s="1">
        <f>VLOOKUP(A:A,MASTER!A:C,3,0)</f>
        <v>9</v>
      </c>
      <c r="P41" s="1">
        <f>VLOOKUP(A:A,MASTER!A:H,8,0)</f>
        <v>6</v>
      </c>
      <c r="Q41" s="12">
        <f t="shared" si="8"/>
        <v>-0.33333333333333337</v>
      </c>
      <c r="R41" s="1">
        <f>VLOOKUP(A:A,MASTER!A:B,2,0)</f>
        <v>900</v>
      </c>
      <c r="S41">
        <f>VLOOKUP(A:A,MASTER!A:G,7,0)</f>
        <v>947</v>
      </c>
      <c r="T41" s="12">
        <f t="shared" si="9"/>
        <v>5.222222222222217E-2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34114077.991285339</v>
      </c>
      <c r="G42" s="1">
        <f>VLOOKUP(A:A,MASTER!A:K,11,0)</f>
        <v>34517556.575596817</v>
      </c>
      <c r="H42" s="12">
        <f t="shared" si="5"/>
        <v>1.1827333701193599E-2</v>
      </c>
      <c r="I42" s="2">
        <f>VLOOKUP(A:A,MASTER!A:E,5,0)</f>
        <v>800</v>
      </c>
      <c r="J42" s="2">
        <f>VLOOKUP(A:A,MASTER!A:J,10,0)</f>
        <v>750</v>
      </c>
      <c r="K42" s="12">
        <f t="shared" si="6"/>
        <v>-6.25E-2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853</v>
      </c>
      <c r="S42">
        <f>VLOOKUP(A:A,MASTER!A:G,7,0)</f>
        <v>893</v>
      </c>
      <c r="T42" s="12">
        <f t="shared" si="9"/>
        <v>4.6893317702227488E-2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34425941.835225999</v>
      </c>
      <c r="G43" s="1">
        <f>VLOOKUP(A:A,MASTER!A:K,11,0)</f>
        <v>37947119.110311568</v>
      </c>
      <c r="H43" s="12">
        <f t="shared" si="5"/>
        <v>0.10228267078179276</v>
      </c>
      <c r="I43" s="2">
        <f>VLOOKUP(A:A,MASTER!A:E,5,0)</f>
        <v>747</v>
      </c>
      <c r="J43" s="2">
        <f>VLOOKUP(A:A,MASTER!A:J,10,0)</f>
        <v>780</v>
      </c>
      <c r="K43" s="12">
        <f t="shared" si="6"/>
        <v>4.4176706827309342E-2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3</v>
      </c>
      <c r="P43" s="1">
        <f>VLOOKUP(A:A,MASTER!A:H,8,0)</f>
        <v>4</v>
      </c>
      <c r="Q43" s="12">
        <f t="shared" si="8"/>
        <v>0.33333333333333326</v>
      </c>
      <c r="R43" s="1">
        <f>VLOOKUP(A:A,MASTER!A:B,2,0)</f>
        <v>799</v>
      </c>
      <c r="S43">
        <f>VLOOKUP(A:A,MASTER!A:G,7,0)</f>
        <v>838</v>
      </c>
      <c r="T43" s="12">
        <f t="shared" si="9"/>
        <v>4.8811013767209088E-2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75489727.703856617</v>
      </c>
      <c r="G44" s="1">
        <f>VLOOKUP(A:A,MASTER!A:K,11,0)</f>
        <v>64894502.024849355</v>
      </c>
      <c r="H44" s="12">
        <f t="shared" si="5"/>
        <v>-0.14035321097688858</v>
      </c>
      <c r="I44" s="2">
        <f>VLOOKUP(A:A,MASTER!A:E,5,0)</f>
        <v>1537</v>
      </c>
      <c r="J44" s="2">
        <f>VLOOKUP(A:A,MASTER!A:J,10,0)</f>
        <v>1596</v>
      </c>
      <c r="K44" s="12">
        <f t="shared" si="6"/>
        <v>3.8386467143786573E-2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3</v>
      </c>
      <c r="P44" s="1">
        <f>VLOOKUP(A:A,MASTER!A:H,8,0)</f>
        <v>5</v>
      </c>
      <c r="Q44" s="12">
        <f t="shared" si="8"/>
        <v>0.66666666666666674</v>
      </c>
      <c r="R44" s="1">
        <f>VLOOKUP(A:A,MASTER!A:B,2,0)</f>
        <v>1917</v>
      </c>
      <c r="S44">
        <f>VLOOKUP(A:A,MASTER!A:G,7,0)</f>
        <v>1908</v>
      </c>
      <c r="T44" s="12">
        <f t="shared" si="9"/>
        <v>-4.6948356807511304E-3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17575912.643443391</v>
      </c>
      <c r="G45" s="1">
        <f>VLOOKUP(A:A,MASTER!A:K,11,0)</f>
        <v>12676365.816547269</v>
      </c>
      <c r="H45" s="12">
        <f t="shared" si="5"/>
        <v>-0.27876485997009515</v>
      </c>
      <c r="I45" s="2">
        <f>VLOOKUP(A:A,MASTER!A:E,5,0)</f>
        <v>1064</v>
      </c>
      <c r="J45" s="2">
        <f>VLOOKUP(A:A,MASTER!A:J,10,0)</f>
        <v>713</v>
      </c>
      <c r="K45" s="12">
        <f t="shared" si="6"/>
        <v>-0.32988721804511278</v>
      </c>
      <c r="L45" s="2">
        <f>VLOOKUP(A:A,MASTER!A:D,4,0)</f>
        <v>4</v>
      </c>
      <c r="M45" s="2">
        <f>VLOOKUP(A:A,MASTER!A:I,9,0)</f>
        <v>4</v>
      </c>
      <c r="N45" s="12">
        <f t="shared" si="7"/>
        <v>0</v>
      </c>
      <c r="O45" s="1">
        <f>VLOOKUP(A:A,MASTER!A:C,3,0)</f>
        <v>2</v>
      </c>
      <c r="P45" s="1">
        <f>VLOOKUP(A:A,MASTER!A:H,8,0)</f>
        <v>8</v>
      </c>
      <c r="Q45" s="12">
        <f t="shared" si="8"/>
        <v>3</v>
      </c>
      <c r="R45" s="1">
        <f>VLOOKUP(A:A,MASTER!A:B,2,0)</f>
        <v>694</v>
      </c>
      <c r="S45">
        <f>VLOOKUP(A:A,MASTER!A:G,7,0)</f>
        <v>723</v>
      </c>
      <c r="T45" s="12">
        <f t="shared" si="9"/>
        <v>4.17867435158501E-2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40087298.335054979</v>
      </c>
      <c r="G46" s="1">
        <f>VLOOKUP(A:A,MASTER!A:K,11,0)</f>
        <v>40384777.22261712</v>
      </c>
      <c r="H46" s="12">
        <f t="shared" si="5"/>
        <v>7.4207766528882058E-3</v>
      </c>
      <c r="I46" s="2">
        <f>VLOOKUP(A:A,MASTER!A:E,5,0)</f>
        <v>802</v>
      </c>
      <c r="J46" s="2">
        <f>VLOOKUP(A:A,MASTER!A:J,10,0)</f>
        <v>785</v>
      </c>
      <c r="K46" s="12">
        <f t="shared" si="6"/>
        <v>-2.1197007481296715E-2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7</v>
      </c>
      <c r="P46" s="1">
        <f>VLOOKUP(A:A,MASTER!A:H,8,0)</f>
        <v>8</v>
      </c>
      <c r="Q46" s="12">
        <f t="shared" si="8"/>
        <v>0.14285714285714279</v>
      </c>
      <c r="R46" s="1">
        <f>VLOOKUP(A:A,MASTER!A:B,2,0)</f>
        <v>874</v>
      </c>
      <c r="S46">
        <f>VLOOKUP(A:A,MASTER!A:G,7,0)</f>
        <v>923</v>
      </c>
      <c r="T46" s="12">
        <f t="shared" si="9"/>
        <v>5.6064073226544719E-2</v>
      </c>
      <c r="U46">
        <v>7</v>
      </c>
    </row>
  </sheetData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113118</v>
      </c>
      <c r="C3" s="11">
        <f t="shared" si="0"/>
        <v>2247</v>
      </c>
      <c r="D3" s="11">
        <f t="shared" si="0"/>
        <v>488</v>
      </c>
      <c r="E3" s="11">
        <f t="shared" si="0"/>
        <v>92429</v>
      </c>
      <c r="F3" s="11">
        <f t="shared" si="0"/>
        <v>3536403636.6745167</v>
      </c>
      <c r="G3" s="11">
        <f t="shared" si="0"/>
        <v>108241</v>
      </c>
      <c r="H3" s="11">
        <f t="shared" si="0"/>
        <v>2272</v>
      </c>
      <c r="I3" s="11">
        <f t="shared" si="0"/>
        <v>495</v>
      </c>
      <c r="J3" s="11">
        <f t="shared" si="0"/>
        <v>92431</v>
      </c>
      <c r="K3" s="11">
        <f t="shared" si="0"/>
        <v>3450442396.3865581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3487</v>
      </c>
      <c r="C6" s="10">
        <v>2</v>
      </c>
      <c r="D6" s="10">
        <v>4</v>
      </c>
      <c r="E6" s="10">
        <v>553</v>
      </c>
      <c r="F6" s="10">
        <v>16878435.057146352</v>
      </c>
      <c r="G6" s="10">
        <v>1630</v>
      </c>
      <c r="H6" s="10">
        <v>3</v>
      </c>
      <c r="I6" s="10">
        <v>3</v>
      </c>
      <c r="J6" s="10">
        <v>601</v>
      </c>
      <c r="K6" s="10">
        <v>14979942.027538376</v>
      </c>
    </row>
    <row r="7" spans="1:11" x14ac:dyDescent="0.35">
      <c r="A7" s="9" t="s">
        <v>95</v>
      </c>
      <c r="B7" s="10">
        <v>1487</v>
      </c>
      <c r="C7" s="10">
        <v>6</v>
      </c>
      <c r="D7" s="10">
        <v>4</v>
      </c>
      <c r="E7" s="10">
        <v>767</v>
      </c>
      <c r="F7" s="10">
        <v>17927905.66197598</v>
      </c>
      <c r="G7" s="10">
        <v>1012</v>
      </c>
      <c r="H7" s="10">
        <v>6</v>
      </c>
      <c r="I7" s="10">
        <v>5</v>
      </c>
      <c r="J7" s="10">
        <v>826</v>
      </c>
      <c r="K7" s="10">
        <v>17284505.65291778</v>
      </c>
    </row>
    <row r="8" spans="1:11" x14ac:dyDescent="0.35">
      <c r="A8" s="9" t="s">
        <v>91</v>
      </c>
      <c r="B8" s="10">
        <v>1695</v>
      </c>
      <c r="C8" s="10">
        <v>11</v>
      </c>
      <c r="D8" s="10">
        <v>2</v>
      </c>
      <c r="E8" s="10">
        <v>998</v>
      </c>
      <c r="F8" s="10">
        <v>29282182.977579009</v>
      </c>
      <c r="G8" s="10">
        <v>1410</v>
      </c>
      <c r="H8" s="10">
        <v>4</v>
      </c>
      <c r="I8" s="10">
        <v>2</v>
      </c>
      <c r="J8" s="10">
        <v>1063</v>
      </c>
      <c r="K8" s="10">
        <v>19620871.186139256</v>
      </c>
    </row>
    <row r="9" spans="1:11" x14ac:dyDescent="0.35">
      <c r="A9" s="9" t="s">
        <v>92</v>
      </c>
      <c r="B9" s="10">
        <v>1971</v>
      </c>
      <c r="C9" s="10">
        <v>14</v>
      </c>
      <c r="D9" s="10">
        <v>4</v>
      </c>
      <c r="E9" s="10">
        <v>1453</v>
      </c>
      <c r="F9" s="10">
        <v>49555532.36195901</v>
      </c>
      <c r="G9" s="10">
        <v>1717</v>
      </c>
      <c r="H9" s="10">
        <v>6</v>
      </c>
      <c r="I9" s="10">
        <v>3</v>
      </c>
      <c r="J9" s="10">
        <v>1311</v>
      </c>
      <c r="K9" s="10">
        <v>42952213.475416549</v>
      </c>
    </row>
    <row r="10" spans="1:11" x14ac:dyDescent="0.35">
      <c r="A10" s="9" t="s">
        <v>93</v>
      </c>
      <c r="B10" s="10">
        <v>1434</v>
      </c>
      <c r="C10" s="10">
        <v>7</v>
      </c>
      <c r="D10" s="10">
        <v>4</v>
      </c>
      <c r="E10" s="10">
        <v>1420</v>
      </c>
      <c r="F10" s="10">
        <v>46334648.453497693</v>
      </c>
      <c r="G10" s="10">
        <v>1334</v>
      </c>
      <c r="H10" s="10">
        <v>5</v>
      </c>
      <c r="I10" s="10">
        <v>4</v>
      </c>
      <c r="J10" s="10">
        <v>1301</v>
      </c>
      <c r="K10" s="10">
        <v>44307293.592669487</v>
      </c>
    </row>
    <row r="11" spans="1:11" x14ac:dyDescent="0.35">
      <c r="A11" s="9" t="s">
        <v>94</v>
      </c>
      <c r="B11" s="10">
        <v>1142</v>
      </c>
      <c r="C11" s="10">
        <v>12</v>
      </c>
      <c r="D11" s="10">
        <v>8</v>
      </c>
      <c r="E11" s="10">
        <v>751</v>
      </c>
      <c r="F11" s="10">
        <v>32121785.854270853</v>
      </c>
      <c r="G11" s="10">
        <v>1002</v>
      </c>
      <c r="H11" s="10">
        <v>5</v>
      </c>
      <c r="I11" s="10">
        <v>8</v>
      </c>
      <c r="J11" s="10">
        <v>727</v>
      </c>
      <c r="K11" s="10">
        <v>33220624.249121107</v>
      </c>
    </row>
    <row r="12" spans="1:11" x14ac:dyDescent="0.35">
      <c r="A12" s="9" t="s">
        <v>97</v>
      </c>
      <c r="B12" s="10">
        <v>1618</v>
      </c>
      <c r="C12" s="10">
        <v>16</v>
      </c>
      <c r="D12" s="10">
        <v>3</v>
      </c>
      <c r="E12" s="10">
        <v>1046</v>
      </c>
      <c r="F12" s="10">
        <v>32492014.712586366</v>
      </c>
      <c r="G12" s="10">
        <v>1380</v>
      </c>
      <c r="H12" s="10">
        <v>14</v>
      </c>
      <c r="I12" s="10">
        <v>2</v>
      </c>
      <c r="J12" s="10">
        <v>982</v>
      </c>
      <c r="K12" s="10">
        <v>30773318.385368824</v>
      </c>
    </row>
    <row r="13" spans="1:11" x14ac:dyDescent="0.35">
      <c r="A13" s="9" t="s">
        <v>98</v>
      </c>
      <c r="B13" s="10">
        <v>854</v>
      </c>
      <c r="C13" s="10">
        <v>8</v>
      </c>
      <c r="D13" s="10">
        <v>3</v>
      </c>
      <c r="E13" s="10">
        <v>779</v>
      </c>
      <c r="F13" s="10">
        <v>30883194.893587161</v>
      </c>
      <c r="G13" s="10">
        <v>783</v>
      </c>
      <c r="H13" s="10">
        <v>9</v>
      </c>
      <c r="I13" s="10">
        <v>3</v>
      </c>
      <c r="J13" s="10">
        <v>785</v>
      </c>
      <c r="K13" s="10">
        <v>29316048.639602486</v>
      </c>
    </row>
    <row r="14" spans="1:11" x14ac:dyDescent="0.35">
      <c r="A14" s="9" t="s">
        <v>102</v>
      </c>
      <c r="B14" s="10">
        <v>524</v>
      </c>
      <c r="C14" s="10">
        <v>9</v>
      </c>
      <c r="D14" s="10">
        <v>2</v>
      </c>
      <c r="E14" s="10">
        <v>545</v>
      </c>
      <c r="F14" s="10">
        <v>18357213.19477874</v>
      </c>
      <c r="G14" s="10">
        <v>470</v>
      </c>
      <c r="H14" s="10">
        <v>5</v>
      </c>
      <c r="I14" s="10">
        <v>2</v>
      </c>
      <c r="J14" s="10">
        <v>538</v>
      </c>
      <c r="K14" s="10">
        <v>18079440.56368902</v>
      </c>
    </row>
    <row r="15" spans="1:11" x14ac:dyDescent="0.35">
      <c r="A15" s="9" t="s">
        <v>99</v>
      </c>
      <c r="B15" s="10">
        <v>1331</v>
      </c>
      <c r="C15" s="10">
        <v>12</v>
      </c>
      <c r="D15" s="10">
        <v>2</v>
      </c>
      <c r="E15" s="10">
        <v>1123</v>
      </c>
      <c r="F15" s="10">
        <v>31662255.468688101</v>
      </c>
      <c r="G15" s="10">
        <v>1293</v>
      </c>
      <c r="H15" s="10">
        <v>15</v>
      </c>
      <c r="I15" s="10">
        <v>1</v>
      </c>
      <c r="J15" s="10">
        <v>1085</v>
      </c>
      <c r="K15" s="10">
        <v>32187292.956805468</v>
      </c>
    </row>
    <row r="16" spans="1:11" x14ac:dyDescent="0.35">
      <c r="A16" s="9" t="s">
        <v>103</v>
      </c>
      <c r="B16" s="10">
        <v>1044</v>
      </c>
      <c r="C16" s="10">
        <v>1</v>
      </c>
      <c r="D16" s="10">
        <v>2</v>
      </c>
      <c r="E16" s="10">
        <v>1068</v>
      </c>
      <c r="F16" s="10">
        <v>21547979.451760292</v>
      </c>
      <c r="G16" s="10">
        <v>970</v>
      </c>
      <c r="H16" s="10">
        <v>3</v>
      </c>
      <c r="I16" s="10">
        <v>2</v>
      </c>
      <c r="J16" s="10">
        <v>1090</v>
      </c>
      <c r="K16" s="10">
        <v>21618484.520147733</v>
      </c>
    </row>
    <row r="17" spans="1:11" x14ac:dyDescent="0.35">
      <c r="A17" s="9" t="s">
        <v>104</v>
      </c>
      <c r="B17" s="10">
        <v>733</v>
      </c>
      <c r="C17" s="10">
        <v>7</v>
      </c>
      <c r="D17" s="10">
        <v>1</v>
      </c>
      <c r="E17" s="10">
        <v>744</v>
      </c>
      <c r="F17" s="10">
        <v>22116412.693113193</v>
      </c>
      <c r="G17" s="10">
        <v>722</v>
      </c>
      <c r="H17" s="10">
        <v>8</v>
      </c>
      <c r="I17" s="10">
        <v>1</v>
      </c>
      <c r="J17" s="10">
        <v>796</v>
      </c>
      <c r="K17" s="10">
        <v>22518464.152042001</v>
      </c>
    </row>
    <row r="18" spans="1:11" x14ac:dyDescent="0.35">
      <c r="A18" s="9" t="s">
        <v>19</v>
      </c>
      <c r="B18" s="10">
        <v>1546</v>
      </c>
      <c r="C18" s="10">
        <v>14</v>
      </c>
      <c r="D18" s="10">
        <v>8</v>
      </c>
      <c r="E18" s="10">
        <v>1493</v>
      </c>
      <c r="F18" s="10">
        <v>41004169.072143473</v>
      </c>
      <c r="G18" s="10">
        <v>1565</v>
      </c>
      <c r="H18" s="10">
        <v>1</v>
      </c>
      <c r="I18" s="10">
        <v>7</v>
      </c>
      <c r="J18" s="10">
        <v>2017</v>
      </c>
      <c r="K18" s="10">
        <v>39666317.09888231</v>
      </c>
    </row>
    <row r="19" spans="1:11" x14ac:dyDescent="0.35">
      <c r="A19" s="9" t="s">
        <v>40</v>
      </c>
      <c r="B19" s="10">
        <v>1353</v>
      </c>
      <c r="C19" s="10">
        <v>0</v>
      </c>
      <c r="D19" s="10">
        <v>5</v>
      </c>
      <c r="E19" s="10">
        <v>774</v>
      </c>
      <c r="F19" s="10">
        <v>55323032.87129277</v>
      </c>
      <c r="G19" s="10">
        <v>1312</v>
      </c>
      <c r="H19" s="10">
        <v>5</v>
      </c>
      <c r="I19" s="10">
        <v>5</v>
      </c>
      <c r="J19" s="10">
        <v>884</v>
      </c>
      <c r="K19" s="10">
        <v>41493461.700529955</v>
      </c>
    </row>
    <row r="20" spans="1:11" x14ac:dyDescent="0.35">
      <c r="A20" s="9" t="s">
        <v>41</v>
      </c>
      <c r="B20" s="10">
        <v>1812</v>
      </c>
      <c r="C20" s="10">
        <v>15</v>
      </c>
      <c r="D20" s="10">
        <v>10</v>
      </c>
      <c r="E20" s="10">
        <v>1507</v>
      </c>
      <c r="F20" s="10">
        <v>41803265.181033909</v>
      </c>
      <c r="G20" s="10">
        <v>1585</v>
      </c>
      <c r="H20" s="10">
        <v>7</v>
      </c>
      <c r="I20" s="10">
        <v>6</v>
      </c>
      <c r="J20" s="10">
        <v>1530</v>
      </c>
      <c r="K20" s="10">
        <v>39931819.974330731</v>
      </c>
    </row>
    <row r="21" spans="1:11" x14ac:dyDescent="0.35">
      <c r="A21" s="9" t="s">
        <v>42</v>
      </c>
      <c r="B21" s="10">
        <v>986</v>
      </c>
      <c r="C21" s="10">
        <v>3</v>
      </c>
      <c r="D21" s="10">
        <v>6</v>
      </c>
      <c r="E21" s="10">
        <v>1021</v>
      </c>
      <c r="F21" s="10">
        <v>25043097.056487564</v>
      </c>
      <c r="G21" s="10">
        <v>941</v>
      </c>
      <c r="H21" s="10">
        <v>4</v>
      </c>
      <c r="I21" s="10">
        <v>5</v>
      </c>
      <c r="J21" s="10">
        <v>762</v>
      </c>
      <c r="K21" s="10">
        <v>24186217.048714302</v>
      </c>
    </row>
    <row r="22" spans="1:11" x14ac:dyDescent="0.35">
      <c r="A22" s="9" t="s">
        <v>43</v>
      </c>
      <c r="B22" s="10">
        <v>2982</v>
      </c>
      <c r="C22" s="10">
        <v>123</v>
      </c>
      <c r="D22" s="10">
        <v>13</v>
      </c>
      <c r="E22" s="10">
        <v>2453</v>
      </c>
      <c r="F22" s="10">
        <v>90780063.150126308</v>
      </c>
      <c r="G22" s="10">
        <v>2888</v>
      </c>
      <c r="H22" s="10">
        <v>241</v>
      </c>
      <c r="I22" s="10">
        <v>12</v>
      </c>
      <c r="J22" s="10">
        <v>2439</v>
      </c>
      <c r="K22" s="10">
        <v>89839995.19076623</v>
      </c>
    </row>
    <row r="23" spans="1:11" x14ac:dyDescent="0.35">
      <c r="A23" s="9" t="s">
        <v>44</v>
      </c>
      <c r="B23" s="10">
        <v>1431</v>
      </c>
      <c r="C23" s="10">
        <v>5</v>
      </c>
      <c r="D23" s="10">
        <v>3</v>
      </c>
      <c r="E23" s="10">
        <v>1381</v>
      </c>
      <c r="F23" s="10">
        <v>47476350.458034061</v>
      </c>
      <c r="G23" s="10">
        <v>1404</v>
      </c>
      <c r="H23" s="10">
        <v>5</v>
      </c>
      <c r="I23" s="10">
        <v>3</v>
      </c>
      <c r="J23" s="10">
        <v>1496</v>
      </c>
      <c r="K23" s="10">
        <v>48238613.026936792</v>
      </c>
    </row>
    <row r="24" spans="1:11" x14ac:dyDescent="0.35">
      <c r="A24" s="9" t="s">
        <v>45</v>
      </c>
      <c r="B24" s="10">
        <v>2821</v>
      </c>
      <c r="C24" s="10">
        <v>8</v>
      </c>
      <c r="D24" s="10">
        <v>13</v>
      </c>
      <c r="E24" s="10">
        <v>2029</v>
      </c>
      <c r="F24" s="10">
        <v>83826791.281095624</v>
      </c>
      <c r="G24" s="10">
        <v>2662</v>
      </c>
      <c r="H24" s="10">
        <v>5</v>
      </c>
      <c r="I24" s="10">
        <v>13</v>
      </c>
      <c r="J24" s="10">
        <v>2130</v>
      </c>
      <c r="K24" s="10">
        <v>83764583.230201393</v>
      </c>
    </row>
    <row r="25" spans="1:11" x14ac:dyDescent="0.35">
      <c r="A25" s="9" t="s">
        <v>51</v>
      </c>
      <c r="B25" s="10">
        <v>594</v>
      </c>
      <c r="C25" s="10">
        <v>3</v>
      </c>
      <c r="D25" s="10">
        <v>2</v>
      </c>
      <c r="E25" s="10">
        <v>521</v>
      </c>
      <c r="F25" s="10">
        <v>15051716.164652018</v>
      </c>
      <c r="G25" s="10">
        <v>575</v>
      </c>
      <c r="H25" s="10">
        <v>1</v>
      </c>
      <c r="I25" s="10">
        <v>2</v>
      </c>
      <c r="J25" s="10">
        <v>633</v>
      </c>
      <c r="K25" s="10">
        <v>15802596.721627723</v>
      </c>
    </row>
    <row r="26" spans="1:11" x14ac:dyDescent="0.35">
      <c r="A26" s="9" t="s">
        <v>54</v>
      </c>
      <c r="B26" s="10">
        <v>2363</v>
      </c>
      <c r="C26" s="10">
        <v>20</v>
      </c>
      <c r="D26" s="10">
        <v>3</v>
      </c>
      <c r="E26" s="10">
        <v>2171</v>
      </c>
      <c r="F26" s="10">
        <v>46741812.754683226</v>
      </c>
      <c r="G26" s="10">
        <v>2375</v>
      </c>
      <c r="H26" s="10">
        <v>15</v>
      </c>
      <c r="I26" s="10">
        <v>2</v>
      </c>
      <c r="J26" s="10">
        <v>2012</v>
      </c>
      <c r="K26" s="10">
        <v>50091151.995152354</v>
      </c>
    </row>
    <row r="27" spans="1:11" x14ac:dyDescent="0.35">
      <c r="A27" s="9" t="s">
        <v>52</v>
      </c>
      <c r="B27" s="10">
        <v>944</v>
      </c>
      <c r="C27" s="10">
        <v>7</v>
      </c>
      <c r="D27" s="10">
        <v>1</v>
      </c>
      <c r="E27" s="10">
        <v>864</v>
      </c>
      <c r="F27" s="10">
        <v>16702769.044385936</v>
      </c>
      <c r="G27" s="10">
        <v>936</v>
      </c>
      <c r="H27" s="10">
        <v>6</v>
      </c>
      <c r="I27" s="10">
        <v>2</v>
      </c>
      <c r="J27" s="10">
        <v>912</v>
      </c>
      <c r="K27" s="10">
        <v>20053037.940369498</v>
      </c>
    </row>
    <row r="28" spans="1:11" x14ac:dyDescent="0.35">
      <c r="A28" s="9" t="s">
        <v>53</v>
      </c>
      <c r="B28" s="10">
        <v>931</v>
      </c>
      <c r="C28" s="10">
        <v>5</v>
      </c>
      <c r="D28" s="10">
        <v>1</v>
      </c>
      <c r="E28" s="10">
        <v>650</v>
      </c>
      <c r="F28" s="10">
        <v>20297875.860627767</v>
      </c>
      <c r="G28" s="10">
        <v>982</v>
      </c>
      <c r="H28" s="10">
        <v>3</v>
      </c>
      <c r="I28" s="10">
        <v>1</v>
      </c>
      <c r="J28" s="10">
        <v>770</v>
      </c>
      <c r="K28" s="10">
        <v>20384118.164761957</v>
      </c>
    </row>
    <row r="29" spans="1:11" x14ac:dyDescent="0.35">
      <c r="A29" s="9" t="s">
        <v>57</v>
      </c>
      <c r="B29" s="10">
        <v>239</v>
      </c>
      <c r="C29" s="10">
        <v>1</v>
      </c>
      <c r="D29" s="10">
        <v>0</v>
      </c>
      <c r="E29" s="10">
        <v>180</v>
      </c>
      <c r="F29" s="10">
        <v>5417381.4689963954</v>
      </c>
      <c r="G29" s="10">
        <v>236</v>
      </c>
      <c r="H29" s="10">
        <v>0</v>
      </c>
      <c r="I29" s="10">
        <v>0</v>
      </c>
      <c r="J29" s="10">
        <v>187</v>
      </c>
      <c r="K29" s="10">
        <v>6625878.7594855949</v>
      </c>
    </row>
    <row r="30" spans="1:11" x14ac:dyDescent="0.35">
      <c r="A30" s="9" t="s">
        <v>86</v>
      </c>
      <c r="B30" s="10">
        <v>2011</v>
      </c>
      <c r="C30" s="10">
        <v>6</v>
      </c>
      <c r="D30" s="10">
        <v>10</v>
      </c>
      <c r="E30" s="10">
        <v>1756</v>
      </c>
      <c r="F30" s="10">
        <v>47197002.931778401</v>
      </c>
      <c r="G30" s="10">
        <v>1894</v>
      </c>
      <c r="H30" s="10">
        <v>6</v>
      </c>
      <c r="I30" s="10">
        <v>11</v>
      </c>
      <c r="J30" s="10">
        <v>1720</v>
      </c>
      <c r="K30" s="10">
        <v>48248518.151318222</v>
      </c>
    </row>
    <row r="31" spans="1:11" x14ac:dyDescent="0.35">
      <c r="A31" s="9" t="s">
        <v>87</v>
      </c>
      <c r="B31" s="10">
        <v>1066</v>
      </c>
      <c r="C31" s="10">
        <v>3</v>
      </c>
      <c r="D31" s="10">
        <v>1</v>
      </c>
      <c r="E31" s="10">
        <v>875</v>
      </c>
      <c r="F31" s="10">
        <v>40451116.974820331</v>
      </c>
      <c r="G31" s="10">
        <v>1034</v>
      </c>
      <c r="H31" s="10">
        <v>2</v>
      </c>
      <c r="I31" s="10">
        <v>0</v>
      </c>
      <c r="J31" s="10">
        <v>794</v>
      </c>
      <c r="K31" s="10">
        <v>42961594.564789899</v>
      </c>
    </row>
    <row r="32" spans="1:11" x14ac:dyDescent="0.35">
      <c r="A32" s="9" t="s">
        <v>88</v>
      </c>
      <c r="B32" s="10">
        <v>1112</v>
      </c>
      <c r="C32" s="10">
        <v>2</v>
      </c>
      <c r="D32" s="10">
        <v>4</v>
      </c>
      <c r="E32" s="10">
        <v>978</v>
      </c>
      <c r="F32" s="10">
        <v>37863771.365889557</v>
      </c>
      <c r="G32" s="10">
        <v>1137</v>
      </c>
      <c r="H32" s="10">
        <v>5</v>
      </c>
      <c r="I32" s="10">
        <v>4</v>
      </c>
      <c r="J32" s="10">
        <v>963</v>
      </c>
      <c r="K32" s="10">
        <v>42333908.052656129</v>
      </c>
    </row>
    <row r="33" spans="1:11" x14ac:dyDescent="0.35">
      <c r="A33" s="9" t="s">
        <v>89</v>
      </c>
      <c r="B33" s="10">
        <v>1651</v>
      </c>
      <c r="C33" s="10">
        <v>2</v>
      </c>
      <c r="D33" s="10">
        <v>5</v>
      </c>
      <c r="E33" s="10">
        <v>1318</v>
      </c>
      <c r="F33" s="10">
        <v>57490134.459722683</v>
      </c>
      <c r="G33" s="10">
        <v>1554</v>
      </c>
      <c r="H33" s="10">
        <v>4</v>
      </c>
      <c r="I33" s="10">
        <v>4</v>
      </c>
      <c r="J33" s="10">
        <v>1320</v>
      </c>
      <c r="K33" s="10">
        <v>60152203.454044253</v>
      </c>
    </row>
    <row r="34" spans="1:11" x14ac:dyDescent="0.35">
      <c r="A34" s="9" t="s">
        <v>15</v>
      </c>
      <c r="B34" s="10">
        <v>1595</v>
      </c>
      <c r="C34" s="10">
        <v>6</v>
      </c>
      <c r="D34" s="10">
        <v>3</v>
      </c>
      <c r="E34" s="10">
        <v>283</v>
      </c>
      <c r="F34" s="10">
        <v>56235843.055492461</v>
      </c>
      <c r="G34" s="10">
        <v>1566</v>
      </c>
      <c r="H34" s="10">
        <v>8</v>
      </c>
      <c r="I34" s="10">
        <v>4</v>
      </c>
      <c r="J34" s="10">
        <v>1327</v>
      </c>
      <c r="K34" s="10">
        <v>56868699.964989163</v>
      </c>
    </row>
    <row r="35" spans="1:11" x14ac:dyDescent="0.35">
      <c r="A35" s="9" t="s">
        <v>17</v>
      </c>
      <c r="B35" s="10">
        <v>903</v>
      </c>
      <c r="C35" s="10">
        <v>4</v>
      </c>
      <c r="D35" s="10">
        <v>5</v>
      </c>
      <c r="E35" s="10">
        <v>402</v>
      </c>
      <c r="F35" s="10">
        <v>26700295.945556242</v>
      </c>
      <c r="G35" s="10">
        <v>738</v>
      </c>
      <c r="H35" s="10">
        <v>1</v>
      </c>
      <c r="I35" s="10">
        <v>2</v>
      </c>
      <c r="J35" s="10">
        <v>463</v>
      </c>
      <c r="K35" s="10">
        <v>11872816.86298991</v>
      </c>
    </row>
    <row r="36" spans="1:11" x14ac:dyDescent="0.35">
      <c r="A36" s="9" t="s">
        <v>38</v>
      </c>
      <c r="B36" s="10">
        <v>2002</v>
      </c>
      <c r="C36" s="10">
        <v>2</v>
      </c>
      <c r="D36" s="10">
        <v>9</v>
      </c>
      <c r="E36" s="10">
        <v>1622</v>
      </c>
      <c r="F36" s="10">
        <v>51470501.251936734</v>
      </c>
      <c r="G36" s="10">
        <v>1874</v>
      </c>
      <c r="H36" s="10">
        <v>5</v>
      </c>
      <c r="I36" s="10">
        <v>11</v>
      </c>
      <c r="J36" s="10">
        <v>1665</v>
      </c>
      <c r="K36" s="10">
        <v>62716578.281901747</v>
      </c>
    </row>
    <row r="37" spans="1:11" x14ac:dyDescent="0.35">
      <c r="A37" s="9" t="s">
        <v>108</v>
      </c>
      <c r="B37" s="10">
        <v>1181</v>
      </c>
      <c r="C37" s="10">
        <v>5</v>
      </c>
      <c r="D37" s="10">
        <v>5</v>
      </c>
      <c r="E37" s="10">
        <v>1756</v>
      </c>
      <c r="F37" s="10">
        <v>35258445.581577659</v>
      </c>
      <c r="G37" s="10">
        <v>1147</v>
      </c>
      <c r="H37" s="10">
        <v>2</v>
      </c>
      <c r="I37" s="10">
        <v>5</v>
      </c>
      <c r="J37" s="10">
        <v>963</v>
      </c>
      <c r="K37" s="10">
        <v>34178662.6196035</v>
      </c>
    </row>
    <row r="38" spans="1:11" x14ac:dyDescent="0.35">
      <c r="A38" s="9" t="s">
        <v>106</v>
      </c>
      <c r="B38" s="10">
        <v>1461</v>
      </c>
      <c r="C38" s="10">
        <v>6</v>
      </c>
      <c r="D38" s="10">
        <v>2</v>
      </c>
      <c r="E38" s="10">
        <v>1112</v>
      </c>
      <c r="F38" s="10">
        <v>40777106.353213765</v>
      </c>
      <c r="G38" s="10">
        <v>1388</v>
      </c>
      <c r="H38" s="10">
        <v>10</v>
      </c>
      <c r="I38" s="10">
        <v>4</v>
      </c>
      <c r="J38" s="10">
        <v>1063</v>
      </c>
      <c r="K38" s="10">
        <v>37608791.301527128</v>
      </c>
    </row>
    <row r="39" spans="1:11" x14ac:dyDescent="0.35">
      <c r="A39" s="9" t="s">
        <v>110</v>
      </c>
      <c r="B39" s="10">
        <v>2155</v>
      </c>
      <c r="C39" s="10">
        <v>8</v>
      </c>
      <c r="D39" s="10">
        <v>4</v>
      </c>
      <c r="E39" s="10">
        <v>1836</v>
      </c>
      <c r="F39" s="10">
        <v>68531846.963941038</v>
      </c>
      <c r="G39" s="10">
        <v>2116</v>
      </c>
      <c r="H39" s="10">
        <v>14</v>
      </c>
      <c r="I39" s="10">
        <v>5</v>
      </c>
      <c r="J39" s="10">
        <v>1717</v>
      </c>
      <c r="K39" s="10">
        <v>69038284.165556967</v>
      </c>
    </row>
    <row r="40" spans="1:11" x14ac:dyDescent="0.35">
      <c r="A40" s="9" t="s">
        <v>2</v>
      </c>
      <c r="B40" s="10">
        <v>2046</v>
      </c>
      <c r="C40" s="10">
        <v>545</v>
      </c>
      <c r="D40" s="10">
        <v>4</v>
      </c>
      <c r="E40" s="10">
        <v>1318</v>
      </c>
      <c r="F40" s="10">
        <v>50071633.301431909</v>
      </c>
      <c r="G40" s="10">
        <v>2096</v>
      </c>
      <c r="H40" s="10">
        <v>517</v>
      </c>
      <c r="I40" s="10">
        <v>4</v>
      </c>
      <c r="J40" s="10">
        <v>1186</v>
      </c>
      <c r="K40" s="10">
        <v>50651201.042452469</v>
      </c>
    </row>
    <row r="41" spans="1:11" x14ac:dyDescent="0.35">
      <c r="A41" s="9" t="s">
        <v>112</v>
      </c>
      <c r="B41" s="10">
        <v>3561</v>
      </c>
      <c r="C41" s="10">
        <v>343</v>
      </c>
      <c r="D41" s="10">
        <v>7</v>
      </c>
      <c r="E41" s="10">
        <v>2526</v>
      </c>
      <c r="F41" s="10">
        <v>95847593.85455054</v>
      </c>
      <c r="G41" s="10">
        <v>3561</v>
      </c>
      <c r="H41" s="10">
        <v>399</v>
      </c>
      <c r="I41" s="10">
        <v>8</v>
      </c>
      <c r="J41" s="10">
        <v>2771</v>
      </c>
      <c r="K41" s="10">
        <v>92710302.005424112</v>
      </c>
    </row>
    <row r="42" spans="1:11" x14ac:dyDescent="0.35">
      <c r="A42" s="9" t="s">
        <v>13</v>
      </c>
      <c r="B42" s="10">
        <v>656</v>
      </c>
      <c r="C42" s="10">
        <v>1</v>
      </c>
      <c r="D42" s="10">
        <v>11</v>
      </c>
      <c r="E42" s="10">
        <v>511</v>
      </c>
      <c r="F42" s="10">
        <v>24317213.785709914</v>
      </c>
      <c r="G42" s="10">
        <v>639</v>
      </c>
      <c r="H42" s="10">
        <v>4</v>
      </c>
      <c r="I42" s="10">
        <v>11</v>
      </c>
      <c r="J42" s="10">
        <v>498</v>
      </c>
      <c r="K42" s="10">
        <v>20211596.983305253</v>
      </c>
    </row>
    <row r="43" spans="1:11" x14ac:dyDescent="0.35">
      <c r="A43" s="9" t="s">
        <v>7</v>
      </c>
      <c r="B43" s="10">
        <v>2665</v>
      </c>
      <c r="C43" s="10">
        <v>7</v>
      </c>
      <c r="D43" s="10">
        <v>9</v>
      </c>
      <c r="E43" s="10">
        <v>2527</v>
      </c>
      <c r="F43" s="10">
        <v>83468657.647040904</v>
      </c>
      <c r="G43" s="10">
        <v>2848</v>
      </c>
      <c r="H43" s="10">
        <v>8</v>
      </c>
      <c r="I43" s="10">
        <v>10</v>
      </c>
      <c r="J43" s="10">
        <v>2790</v>
      </c>
      <c r="K43" s="10">
        <v>93146982.507861346</v>
      </c>
    </row>
    <row r="44" spans="1:11" x14ac:dyDescent="0.35">
      <c r="A44" s="9" t="s">
        <v>34</v>
      </c>
      <c r="B44" s="10">
        <v>1006</v>
      </c>
      <c r="C44" s="10">
        <v>7</v>
      </c>
      <c r="D44" s="10">
        <v>7</v>
      </c>
      <c r="E44" s="10">
        <v>925</v>
      </c>
      <c r="F44" s="10">
        <v>53708749.385917209</v>
      </c>
      <c r="G44" s="10">
        <v>1068</v>
      </c>
      <c r="H44" s="10">
        <v>8</v>
      </c>
      <c r="I44" s="10">
        <v>6</v>
      </c>
      <c r="J44" s="10">
        <v>1013</v>
      </c>
      <c r="K44" s="10">
        <v>48610079.734634005</v>
      </c>
    </row>
    <row r="45" spans="1:11" x14ac:dyDescent="0.35">
      <c r="A45" s="9" t="s">
        <v>5</v>
      </c>
      <c r="B45" s="10">
        <v>1405</v>
      </c>
      <c r="C45" s="10">
        <v>7</v>
      </c>
      <c r="D45" s="10">
        <v>8</v>
      </c>
      <c r="E45" s="10">
        <v>1302</v>
      </c>
      <c r="F45" s="10">
        <v>48073908.266267829</v>
      </c>
      <c r="G45" s="10">
        <v>1427</v>
      </c>
      <c r="H45" s="10">
        <v>2</v>
      </c>
      <c r="I45" s="10">
        <v>12</v>
      </c>
      <c r="J45" s="10">
        <v>1352</v>
      </c>
      <c r="K45" s="10">
        <v>48964932.575592801</v>
      </c>
    </row>
    <row r="46" spans="1:11" x14ac:dyDescent="0.35">
      <c r="A46" s="9" t="s">
        <v>36</v>
      </c>
      <c r="B46" s="10">
        <v>870</v>
      </c>
      <c r="C46" s="10">
        <v>3</v>
      </c>
      <c r="D46" s="10">
        <v>6</v>
      </c>
      <c r="E46" s="10">
        <v>665</v>
      </c>
      <c r="F46" s="10">
        <v>38375328.218995415</v>
      </c>
      <c r="G46" s="10">
        <v>837</v>
      </c>
      <c r="H46" s="10">
        <v>4</v>
      </c>
      <c r="I46" s="10">
        <v>8</v>
      </c>
      <c r="J46" s="10">
        <v>641</v>
      </c>
      <c r="K46" s="10">
        <v>37489295.925496317</v>
      </c>
    </row>
    <row r="47" spans="1:11" x14ac:dyDescent="0.35">
      <c r="A47" s="9" t="s">
        <v>114</v>
      </c>
      <c r="B47" s="10">
        <v>1178</v>
      </c>
      <c r="C47" s="10">
        <v>1</v>
      </c>
      <c r="D47" s="10">
        <v>9</v>
      </c>
      <c r="E47" s="10">
        <v>960</v>
      </c>
      <c r="F47" s="10">
        <v>35761307.775134385</v>
      </c>
      <c r="G47" s="10">
        <v>1166</v>
      </c>
      <c r="H47" s="10">
        <v>3</v>
      </c>
      <c r="I47" s="10">
        <v>7</v>
      </c>
      <c r="J47" s="10">
        <v>302</v>
      </c>
      <c r="K47" s="10">
        <v>23825898.513682291</v>
      </c>
    </row>
    <row r="48" spans="1:11" x14ac:dyDescent="0.35">
      <c r="A48" s="9" t="s">
        <v>116</v>
      </c>
      <c r="B48" s="10">
        <v>764</v>
      </c>
      <c r="C48" s="10">
        <v>1</v>
      </c>
      <c r="D48" s="10">
        <v>3</v>
      </c>
      <c r="E48" s="10">
        <v>999</v>
      </c>
      <c r="F48" s="10">
        <v>21772007.431911469</v>
      </c>
      <c r="G48" s="10">
        <v>740</v>
      </c>
      <c r="H48" s="10">
        <v>0</v>
      </c>
      <c r="I48" s="10">
        <v>1</v>
      </c>
      <c r="J48" s="10">
        <v>1095</v>
      </c>
      <c r="K48" s="10">
        <v>20954083.205241844</v>
      </c>
    </row>
    <row r="49" spans="1:11" x14ac:dyDescent="0.35">
      <c r="A49" s="9" t="s">
        <v>60</v>
      </c>
      <c r="B49" s="10">
        <v>1408</v>
      </c>
      <c r="C49" s="10">
        <v>5</v>
      </c>
      <c r="D49" s="10">
        <v>9</v>
      </c>
      <c r="E49" s="10">
        <v>1152</v>
      </c>
      <c r="F49" s="10">
        <v>69064226.683232114</v>
      </c>
      <c r="G49" s="10">
        <v>1328</v>
      </c>
      <c r="H49" s="10">
        <v>9</v>
      </c>
      <c r="I49" s="10">
        <v>10</v>
      </c>
      <c r="J49" s="10">
        <v>1152</v>
      </c>
      <c r="K49" s="10">
        <v>65444559.958617039</v>
      </c>
    </row>
    <row r="50" spans="1:11" x14ac:dyDescent="0.35">
      <c r="A50" s="9" t="s">
        <v>154</v>
      </c>
      <c r="B50" s="10">
        <v>514</v>
      </c>
      <c r="C50" s="10">
        <v>1</v>
      </c>
      <c r="D50" s="10">
        <v>2</v>
      </c>
      <c r="E50" s="10">
        <v>551</v>
      </c>
      <c r="F50" s="10">
        <v>11542446.9831836</v>
      </c>
      <c r="G50" s="10">
        <v>474</v>
      </c>
      <c r="H50" s="10">
        <v>0</v>
      </c>
      <c r="I50" s="10">
        <v>2</v>
      </c>
      <c r="J50" s="10">
        <v>505</v>
      </c>
      <c r="K50" s="10">
        <v>10528535.400174955</v>
      </c>
    </row>
    <row r="51" spans="1:11" x14ac:dyDescent="0.35">
      <c r="A51" s="9" t="s">
        <v>26</v>
      </c>
      <c r="B51" s="10">
        <v>996</v>
      </c>
      <c r="C51" s="10">
        <v>2</v>
      </c>
      <c r="D51" s="10">
        <v>6</v>
      </c>
      <c r="E51" s="10">
        <v>1198</v>
      </c>
      <c r="F51" s="10">
        <v>30776686.013476379</v>
      </c>
      <c r="G51" s="10">
        <v>961</v>
      </c>
      <c r="H51" s="10">
        <v>1</v>
      </c>
      <c r="I51" s="10">
        <v>5</v>
      </c>
      <c r="J51" s="10">
        <v>1046</v>
      </c>
      <c r="K51" s="10">
        <v>25646729.574009478</v>
      </c>
    </row>
    <row r="52" spans="1:11" x14ac:dyDescent="0.35">
      <c r="A52" s="9" t="s">
        <v>28</v>
      </c>
      <c r="B52" s="10">
        <v>2260</v>
      </c>
      <c r="C52" s="10">
        <v>6</v>
      </c>
      <c r="D52" s="10">
        <v>19</v>
      </c>
      <c r="E52" s="10">
        <v>1844</v>
      </c>
      <c r="F52" s="10">
        <v>89414073.919588149</v>
      </c>
      <c r="G52" s="10">
        <v>2271</v>
      </c>
      <c r="H52" s="10">
        <v>3</v>
      </c>
      <c r="I52" s="10">
        <v>20</v>
      </c>
      <c r="J52" s="10">
        <v>1776</v>
      </c>
      <c r="K52" s="10">
        <v>87400203.861784875</v>
      </c>
    </row>
    <row r="53" spans="1:11" x14ac:dyDescent="0.35">
      <c r="A53" s="9" t="s">
        <v>62</v>
      </c>
      <c r="B53" s="10">
        <v>561</v>
      </c>
      <c r="C53" s="10">
        <v>5</v>
      </c>
      <c r="D53" s="10">
        <v>8</v>
      </c>
      <c r="E53" s="10">
        <v>454</v>
      </c>
      <c r="F53" s="10">
        <v>29456189.714986093</v>
      </c>
      <c r="G53" s="10">
        <v>554</v>
      </c>
      <c r="H53" s="10">
        <v>0</v>
      </c>
      <c r="I53" s="10">
        <v>6</v>
      </c>
      <c r="J53" s="10">
        <v>445</v>
      </c>
      <c r="K53" s="10">
        <v>28777024.08428961</v>
      </c>
    </row>
    <row r="54" spans="1:11" x14ac:dyDescent="0.35">
      <c r="A54" s="9" t="s">
        <v>58</v>
      </c>
      <c r="B54" s="10">
        <v>527</v>
      </c>
      <c r="C54" s="10">
        <v>2</v>
      </c>
      <c r="D54" s="10">
        <v>4</v>
      </c>
      <c r="E54" s="10">
        <v>445</v>
      </c>
      <c r="F54" s="10">
        <v>26835620.376224093</v>
      </c>
      <c r="G54" s="10">
        <v>504</v>
      </c>
      <c r="H54" s="10">
        <v>0</v>
      </c>
      <c r="I54" s="10">
        <v>5</v>
      </c>
      <c r="J54" s="10">
        <v>400</v>
      </c>
      <c r="K54" s="10">
        <v>22751010.149407621</v>
      </c>
    </row>
    <row r="55" spans="1:11" x14ac:dyDescent="0.35">
      <c r="A55" s="9" t="s">
        <v>64</v>
      </c>
      <c r="B55" s="10">
        <v>663</v>
      </c>
      <c r="C55" s="10">
        <v>1</v>
      </c>
      <c r="D55" s="10">
        <v>2</v>
      </c>
      <c r="E55" s="10">
        <v>447</v>
      </c>
      <c r="F55" s="10">
        <v>13874281.994634211</v>
      </c>
      <c r="G55" s="10">
        <v>628</v>
      </c>
      <c r="H55" s="10">
        <v>4</v>
      </c>
      <c r="I55" s="10">
        <v>6</v>
      </c>
      <c r="J55" s="10">
        <v>552</v>
      </c>
      <c r="K55" s="10">
        <v>28785996.608096316</v>
      </c>
    </row>
    <row r="56" spans="1:11" x14ac:dyDescent="0.35">
      <c r="A56" s="9" t="s">
        <v>122</v>
      </c>
      <c r="B56" s="10">
        <v>1138</v>
      </c>
      <c r="C56" s="10">
        <v>4</v>
      </c>
      <c r="D56" s="10">
        <v>0</v>
      </c>
      <c r="E56" s="10">
        <v>979</v>
      </c>
      <c r="F56" s="10">
        <v>43201922.168557256</v>
      </c>
      <c r="G56" s="10">
        <v>1123</v>
      </c>
      <c r="H56" s="10">
        <v>9</v>
      </c>
      <c r="I56" s="10">
        <v>0</v>
      </c>
      <c r="J56" s="10">
        <v>953</v>
      </c>
      <c r="K56" s="10">
        <v>45412566.828970797</v>
      </c>
    </row>
    <row r="57" spans="1:11" x14ac:dyDescent="0.35">
      <c r="A57" s="9" t="s">
        <v>70</v>
      </c>
      <c r="B57" s="10">
        <v>1552</v>
      </c>
      <c r="C57" s="10">
        <v>14</v>
      </c>
      <c r="D57" s="10">
        <v>3</v>
      </c>
      <c r="E57" s="10">
        <v>1551</v>
      </c>
      <c r="F57" s="10">
        <v>77484213.510205179</v>
      </c>
      <c r="G57" s="10">
        <v>1657</v>
      </c>
      <c r="H57" s="10">
        <v>130</v>
      </c>
      <c r="I57" s="10">
        <v>5</v>
      </c>
      <c r="J57" s="10">
        <v>1659</v>
      </c>
      <c r="K57" s="10">
        <v>74344961.687690407</v>
      </c>
    </row>
    <row r="58" spans="1:11" x14ac:dyDescent="0.35">
      <c r="A58" s="9" t="s">
        <v>72</v>
      </c>
      <c r="B58" s="10">
        <v>2763</v>
      </c>
      <c r="C58" s="10">
        <v>27</v>
      </c>
      <c r="D58" s="10">
        <v>11</v>
      </c>
      <c r="E58" s="10">
        <v>1910</v>
      </c>
      <c r="F58" s="10">
        <v>102458376.41245171</v>
      </c>
      <c r="G58" s="10">
        <v>2700</v>
      </c>
      <c r="H58" s="10">
        <v>29</v>
      </c>
      <c r="I58" s="10">
        <v>10</v>
      </c>
      <c r="J58" s="10">
        <v>2235</v>
      </c>
      <c r="K58" s="10">
        <v>98213672.999213845</v>
      </c>
    </row>
    <row r="59" spans="1:11" x14ac:dyDescent="0.35">
      <c r="A59" s="9" t="s">
        <v>130</v>
      </c>
      <c r="B59" s="10">
        <v>689</v>
      </c>
      <c r="C59" s="10">
        <v>3</v>
      </c>
      <c r="D59" s="10">
        <v>1</v>
      </c>
      <c r="E59" s="10">
        <v>590</v>
      </c>
      <c r="F59" s="10">
        <v>21173918.375512004</v>
      </c>
      <c r="G59" s="10">
        <v>676</v>
      </c>
      <c r="H59" s="10">
        <v>0</v>
      </c>
      <c r="I59" s="10">
        <v>0</v>
      </c>
      <c r="J59" s="10">
        <v>574</v>
      </c>
      <c r="K59" s="10">
        <v>21981374.081796613</v>
      </c>
    </row>
    <row r="60" spans="1:11" x14ac:dyDescent="0.35">
      <c r="A60" s="9" t="s">
        <v>76</v>
      </c>
      <c r="B60" s="10">
        <v>992</v>
      </c>
      <c r="C60" s="10">
        <v>14</v>
      </c>
      <c r="D60" s="10">
        <v>9</v>
      </c>
      <c r="E60" s="10">
        <v>859</v>
      </c>
      <c r="F60" s="10">
        <v>39298227.831414953</v>
      </c>
      <c r="G60" s="10">
        <v>1018</v>
      </c>
      <c r="H60" s="10">
        <v>4</v>
      </c>
      <c r="I60" s="10">
        <v>10</v>
      </c>
      <c r="J60" s="10">
        <v>913</v>
      </c>
      <c r="K60" s="10">
        <v>40986253.070954643</v>
      </c>
    </row>
    <row r="61" spans="1:11" x14ac:dyDescent="0.35">
      <c r="A61" s="9" t="s">
        <v>128</v>
      </c>
      <c r="B61" s="10">
        <v>725</v>
      </c>
      <c r="C61" s="10">
        <v>1</v>
      </c>
      <c r="D61" s="10">
        <v>1</v>
      </c>
      <c r="E61" s="10">
        <v>627</v>
      </c>
      <c r="F61" s="10">
        <v>19940036.595682662</v>
      </c>
      <c r="G61" s="10">
        <v>748</v>
      </c>
      <c r="H61" s="10">
        <v>58</v>
      </c>
      <c r="I61" s="10">
        <v>2</v>
      </c>
      <c r="J61" s="10">
        <v>659</v>
      </c>
      <c r="K61" s="10">
        <v>19490766.151149418</v>
      </c>
    </row>
    <row r="62" spans="1:11" x14ac:dyDescent="0.35">
      <c r="A62" s="9" t="s">
        <v>124</v>
      </c>
      <c r="B62" s="10">
        <v>1150</v>
      </c>
      <c r="C62" s="10">
        <v>6</v>
      </c>
      <c r="D62" s="10">
        <v>2</v>
      </c>
      <c r="E62" s="10">
        <v>1138</v>
      </c>
      <c r="F62" s="10">
        <v>46981378.733656622</v>
      </c>
      <c r="G62" s="10">
        <v>1163</v>
      </c>
      <c r="H62" s="10">
        <v>6</v>
      </c>
      <c r="I62" s="10">
        <v>1</v>
      </c>
      <c r="J62" s="10">
        <v>1258</v>
      </c>
      <c r="K62" s="10">
        <v>49891633.308279544</v>
      </c>
    </row>
    <row r="63" spans="1:11" x14ac:dyDescent="0.35">
      <c r="A63" s="9" t="s">
        <v>78</v>
      </c>
      <c r="B63" s="10">
        <v>1721</v>
      </c>
      <c r="C63" s="10">
        <v>22</v>
      </c>
      <c r="D63" s="10">
        <v>8</v>
      </c>
      <c r="E63" s="10">
        <v>1681</v>
      </c>
      <c r="F63" s="10">
        <v>66722830.329450704</v>
      </c>
      <c r="G63" s="10">
        <v>1749</v>
      </c>
      <c r="H63" s="10">
        <v>5</v>
      </c>
      <c r="I63" s="10">
        <v>8</v>
      </c>
      <c r="J63" s="10">
        <v>1659</v>
      </c>
      <c r="K63" s="10">
        <v>59516175.602267817</v>
      </c>
    </row>
    <row r="64" spans="1:11" x14ac:dyDescent="0.35">
      <c r="A64" s="9" t="s">
        <v>80</v>
      </c>
      <c r="B64" s="10">
        <v>841</v>
      </c>
      <c r="C64" s="10">
        <v>6</v>
      </c>
      <c r="D64" s="10">
        <v>6</v>
      </c>
      <c r="E64" s="10">
        <v>794</v>
      </c>
      <c r="F64" s="10">
        <v>27435323.270819053</v>
      </c>
      <c r="G64" s="10">
        <v>842</v>
      </c>
      <c r="H64" s="10">
        <v>3</v>
      </c>
      <c r="I64" s="10">
        <v>7</v>
      </c>
      <c r="J64" s="10">
        <v>788</v>
      </c>
      <c r="K64" s="10">
        <v>28714023.391556948</v>
      </c>
    </row>
    <row r="65" spans="1:11" x14ac:dyDescent="0.35">
      <c r="A65" s="9" t="s">
        <v>82</v>
      </c>
      <c r="B65" s="10">
        <v>650</v>
      </c>
      <c r="C65" s="10">
        <v>7</v>
      </c>
      <c r="D65" s="10">
        <v>8</v>
      </c>
      <c r="E65" s="10">
        <v>575</v>
      </c>
      <c r="F65" s="10">
        <v>34130806.742313005</v>
      </c>
      <c r="G65" s="10">
        <v>649</v>
      </c>
      <c r="H65" s="10">
        <v>1</v>
      </c>
      <c r="I65" s="10">
        <v>8</v>
      </c>
      <c r="J65" s="10">
        <v>454</v>
      </c>
      <c r="K65" s="10">
        <v>31929125.514974732</v>
      </c>
    </row>
    <row r="66" spans="1:11" x14ac:dyDescent="0.35">
      <c r="A66" s="9" t="s">
        <v>20</v>
      </c>
      <c r="B66" s="10">
        <v>2039</v>
      </c>
      <c r="C66" s="10">
        <v>21</v>
      </c>
      <c r="D66" s="10">
        <v>14</v>
      </c>
      <c r="E66" s="10">
        <v>1694</v>
      </c>
      <c r="F66" s="10">
        <v>110989276.52609672</v>
      </c>
      <c r="G66" s="10">
        <v>1998</v>
      </c>
      <c r="H66" s="10">
        <v>11</v>
      </c>
      <c r="I66" s="10">
        <v>13</v>
      </c>
      <c r="J66" s="10">
        <v>1668</v>
      </c>
      <c r="K66" s="10">
        <v>96713777.978448048</v>
      </c>
    </row>
    <row r="67" spans="1:11" x14ac:dyDescent="0.35">
      <c r="A67" s="9" t="s">
        <v>22</v>
      </c>
      <c r="B67" s="10">
        <v>1816</v>
      </c>
      <c r="C67" s="10">
        <v>19</v>
      </c>
      <c r="D67" s="10">
        <v>11</v>
      </c>
      <c r="E67" s="10">
        <v>1482</v>
      </c>
      <c r="F67" s="10">
        <v>87430962.828289166</v>
      </c>
      <c r="G67" s="10">
        <v>1836</v>
      </c>
      <c r="H67" s="10">
        <v>9</v>
      </c>
      <c r="I67" s="10">
        <v>12</v>
      </c>
      <c r="J67" s="10">
        <v>1473</v>
      </c>
      <c r="K67" s="10">
        <v>82701975.846380457</v>
      </c>
    </row>
    <row r="68" spans="1:11" x14ac:dyDescent="0.35">
      <c r="A68" s="9" t="s">
        <v>24</v>
      </c>
      <c r="B68" s="10">
        <v>941</v>
      </c>
      <c r="C68" s="10">
        <v>3</v>
      </c>
      <c r="D68" s="10">
        <v>1</v>
      </c>
      <c r="E68" s="10">
        <v>791</v>
      </c>
      <c r="F68" s="10">
        <v>52495826.162106194</v>
      </c>
      <c r="G68" s="10">
        <v>953</v>
      </c>
      <c r="H68" s="10">
        <v>1</v>
      </c>
      <c r="I68" s="10">
        <v>3</v>
      </c>
      <c r="J68" s="10">
        <v>806</v>
      </c>
      <c r="K68" s="10">
        <v>48781298.13323009</v>
      </c>
    </row>
    <row r="69" spans="1:11" x14ac:dyDescent="0.35">
      <c r="A69" s="9" t="s">
        <v>46</v>
      </c>
      <c r="B69" s="10">
        <v>2585</v>
      </c>
      <c r="C69" s="10">
        <v>624</v>
      </c>
      <c r="D69" s="10">
        <v>15</v>
      </c>
      <c r="E69" s="10">
        <v>1319</v>
      </c>
      <c r="F69" s="10">
        <v>72189114.664975792</v>
      </c>
      <c r="G69" s="10">
        <v>2541</v>
      </c>
      <c r="H69" s="10">
        <v>503</v>
      </c>
      <c r="I69" s="10">
        <v>15</v>
      </c>
      <c r="J69" s="10">
        <v>1628</v>
      </c>
      <c r="K69" s="10">
        <v>74472418.347113743</v>
      </c>
    </row>
    <row r="70" spans="1:11" x14ac:dyDescent="0.35">
      <c r="A70" s="9" t="s">
        <v>100</v>
      </c>
      <c r="B70" s="10">
        <v>448</v>
      </c>
      <c r="C70" s="10">
        <v>3</v>
      </c>
      <c r="D70" s="10">
        <v>1</v>
      </c>
      <c r="E70" s="10">
        <v>484</v>
      </c>
      <c r="F70" s="10">
        <v>10890777.545519438</v>
      </c>
      <c r="G70" s="10">
        <v>419</v>
      </c>
      <c r="H70" s="10">
        <v>3</v>
      </c>
      <c r="I70" s="10">
        <v>0</v>
      </c>
      <c r="J70" s="10">
        <v>472</v>
      </c>
      <c r="K70" s="10">
        <v>9947372.5142909866</v>
      </c>
    </row>
    <row r="71" spans="1:11" x14ac:dyDescent="0.35">
      <c r="A71" s="9" t="s">
        <v>9</v>
      </c>
      <c r="B71" s="10">
        <v>2003</v>
      </c>
      <c r="C71" s="10">
        <v>9</v>
      </c>
      <c r="D71" s="10">
        <v>11</v>
      </c>
      <c r="E71" s="10">
        <v>2041</v>
      </c>
      <c r="F71" s="10">
        <v>65978018.552482896</v>
      </c>
      <c r="G71" s="10">
        <v>1906</v>
      </c>
      <c r="H71" s="10">
        <v>9</v>
      </c>
      <c r="I71" s="10">
        <v>12</v>
      </c>
      <c r="J71" s="10">
        <v>2073</v>
      </c>
      <c r="K71" s="10">
        <v>65010749.556843266</v>
      </c>
    </row>
    <row r="72" spans="1:11" x14ac:dyDescent="0.35">
      <c r="A72" s="9" t="s">
        <v>11</v>
      </c>
      <c r="B72" s="10">
        <v>981</v>
      </c>
      <c r="C72" s="10">
        <v>4</v>
      </c>
      <c r="D72" s="10">
        <v>7</v>
      </c>
      <c r="E72" s="10">
        <v>802</v>
      </c>
      <c r="F72" s="10">
        <v>31578245.56479717</v>
      </c>
      <c r="G72" s="10">
        <v>993</v>
      </c>
      <c r="H72" s="10">
        <v>2</v>
      </c>
      <c r="I72" s="10">
        <v>5</v>
      </c>
      <c r="J72" s="10">
        <v>726</v>
      </c>
      <c r="K72" s="10">
        <v>26701152.657446742</v>
      </c>
    </row>
    <row r="73" spans="1:11" x14ac:dyDescent="0.35">
      <c r="A73" s="9" t="s">
        <v>118</v>
      </c>
      <c r="B73" s="10">
        <v>1980</v>
      </c>
      <c r="C73" s="10">
        <v>68</v>
      </c>
      <c r="D73" s="10">
        <v>11</v>
      </c>
      <c r="E73" s="10">
        <v>1628</v>
      </c>
      <c r="F73" s="10">
        <v>61865014.765400469</v>
      </c>
      <c r="G73" s="10">
        <v>1919</v>
      </c>
      <c r="H73" s="10">
        <v>4</v>
      </c>
      <c r="I73" s="10">
        <v>13</v>
      </c>
      <c r="J73" s="10">
        <v>1873</v>
      </c>
      <c r="K73" s="10">
        <v>66463549.562349968</v>
      </c>
    </row>
    <row r="74" spans="1:11" x14ac:dyDescent="0.35">
      <c r="A74" s="9" t="s">
        <v>49</v>
      </c>
      <c r="B74" s="10">
        <v>1409</v>
      </c>
      <c r="C74" s="10">
        <v>10</v>
      </c>
      <c r="D74" s="10">
        <v>6</v>
      </c>
      <c r="E74" s="10">
        <v>1469</v>
      </c>
      <c r="F74" s="10">
        <v>30482631.233004842</v>
      </c>
      <c r="G74" s="10">
        <v>1350</v>
      </c>
      <c r="H74" s="10">
        <v>3</v>
      </c>
      <c r="I74" s="10">
        <v>5</v>
      </c>
      <c r="J74" s="10">
        <v>105</v>
      </c>
      <c r="K74" s="10">
        <v>19854971.258682191</v>
      </c>
    </row>
    <row r="75" spans="1:11" x14ac:dyDescent="0.35">
      <c r="A75" s="9" t="s">
        <v>47</v>
      </c>
      <c r="B75" s="10">
        <v>1818</v>
      </c>
      <c r="C75" s="10">
        <v>16</v>
      </c>
      <c r="D75" s="10">
        <v>11</v>
      </c>
      <c r="E75" s="10">
        <v>1267</v>
      </c>
      <c r="F75" s="10">
        <v>67528023.74225612</v>
      </c>
      <c r="G75" s="10">
        <v>1801</v>
      </c>
      <c r="H75" s="10">
        <v>8</v>
      </c>
      <c r="I75" s="10">
        <v>13</v>
      </c>
      <c r="J75" s="10">
        <v>1272</v>
      </c>
      <c r="K75" s="10">
        <v>66864661.584059715</v>
      </c>
    </row>
    <row r="76" spans="1:11" x14ac:dyDescent="0.35">
      <c r="A76" s="9" t="s">
        <v>101</v>
      </c>
      <c r="B76" s="10">
        <v>968</v>
      </c>
      <c r="C76" s="10">
        <v>7</v>
      </c>
      <c r="D76" s="10">
        <v>1</v>
      </c>
      <c r="E76" s="10">
        <v>986</v>
      </c>
      <c r="F76" s="10">
        <v>24604460.49419646</v>
      </c>
      <c r="G76" s="10">
        <v>954</v>
      </c>
      <c r="H76" s="10">
        <v>14</v>
      </c>
      <c r="I76" s="10">
        <v>2</v>
      </c>
      <c r="J76" s="10">
        <v>926</v>
      </c>
      <c r="K76" s="10">
        <v>24494301.276596021</v>
      </c>
    </row>
    <row r="77" spans="1:11" x14ac:dyDescent="0.35">
      <c r="A77" s="9" t="s">
        <v>126</v>
      </c>
      <c r="B77" s="10">
        <v>956</v>
      </c>
      <c r="C77" s="10">
        <v>3</v>
      </c>
      <c r="D77" s="10">
        <v>0</v>
      </c>
      <c r="E77" s="10">
        <v>835</v>
      </c>
      <c r="F77" s="10">
        <v>26200189.325929318</v>
      </c>
      <c r="G77" s="10">
        <v>983</v>
      </c>
      <c r="H77" s="10">
        <v>2</v>
      </c>
      <c r="I77" s="10">
        <v>1</v>
      </c>
      <c r="J77" s="10">
        <v>842</v>
      </c>
      <c r="K77" s="10">
        <v>27851130.908955835</v>
      </c>
    </row>
    <row r="78" spans="1:11" x14ac:dyDescent="0.35">
      <c r="A78" s="9" t="s">
        <v>48</v>
      </c>
      <c r="B78" s="10">
        <v>663</v>
      </c>
      <c r="C78" s="10">
        <v>2</v>
      </c>
      <c r="D78" s="10">
        <v>4</v>
      </c>
      <c r="E78" s="10">
        <v>485</v>
      </c>
      <c r="F78" s="10">
        <v>24634045.338149566</v>
      </c>
      <c r="G78" s="10">
        <v>651</v>
      </c>
      <c r="H78" s="10">
        <v>2</v>
      </c>
      <c r="I78" s="10">
        <v>5</v>
      </c>
      <c r="J78" s="10">
        <v>540</v>
      </c>
      <c r="K78" s="10">
        <v>24684333.961557992</v>
      </c>
    </row>
    <row r="79" spans="1:11" x14ac:dyDescent="0.35">
      <c r="A79" s="9" t="s">
        <v>96</v>
      </c>
      <c r="B79" s="10">
        <v>911</v>
      </c>
      <c r="C79" s="10">
        <v>16</v>
      </c>
      <c r="D79" s="10">
        <v>2</v>
      </c>
      <c r="E79" s="10">
        <v>1470</v>
      </c>
      <c r="F79" s="10">
        <v>25993436.23274371</v>
      </c>
      <c r="G79" s="10">
        <v>947</v>
      </c>
      <c r="H79" s="10">
        <v>9</v>
      </c>
      <c r="I79" s="10">
        <v>2</v>
      </c>
      <c r="J79" s="10">
        <v>1387</v>
      </c>
      <c r="K79" s="10">
        <v>31282487.203015704</v>
      </c>
    </row>
    <row r="80" spans="1:11" x14ac:dyDescent="0.35">
      <c r="A80" s="9" t="s">
        <v>30</v>
      </c>
      <c r="B80" s="10">
        <v>478</v>
      </c>
      <c r="C80" s="10">
        <v>3</v>
      </c>
      <c r="D80" s="10">
        <v>16</v>
      </c>
      <c r="E80" s="10">
        <v>504</v>
      </c>
      <c r="F80" s="10">
        <v>19934529.574748445</v>
      </c>
      <c r="G80" s="10">
        <v>505</v>
      </c>
      <c r="H80" s="10">
        <v>4</v>
      </c>
      <c r="I80" s="10">
        <v>15</v>
      </c>
      <c r="J80" s="10">
        <v>501</v>
      </c>
      <c r="K80" s="10">
        <v>20266255.930893041</v>
      </c>
    </row>
    <row r="81" spans="1:11" x14ac:dyDescent="0.35">
      <c r="A81" s="9" t="s">
        <v>84</v>
      </c>
      <c r="B81" s="10">
        <v>900</v>
      </c>
      <c r="C81" s="10">
        <v>9</v>
      </c>
      <c r="D81" s="10">
        <v>4</v>
      </c>
      <c r="E81" s="10">
        <v>771</v>
      </c>
      <c r="F81" s="10">
        <v>40787032.95145677</v>
      </c>
      <c r="G81" s="10">
        <v>947</v>
      </c>
      <c r="H81" s="10">
        <v>6</v>
      </c>
      <c r="I81" s="10">
        <v>4</v>
      </c>
      <c r="J81" s="10">
        <v>1122</v>
      </c>
      <c r="K81" s="10">
        <v>54556428.402233608</v>
      </c>
    </row>
    <row r="82" spans="1:11" x14ac:dyDescent="0.35">
      <c r="A82" s="9" t="s">
        <v>32</v>
      </c>
      <c r="B82" s="10">
        <v>853</v>
      </c>
      <c r="C82" s="10">
        <v>2</v>
      </c>
      <c r="D82" s="10">
        <v>14</v>
      </c>
      <c r="E82" s="10">
        <v>800</v>
      </c>
      <c r="F82" s="10">
        <v>34114077.991285339</v>
      </c>
      <c r="G82" s="10">
        <v>893</v>
      </c>
      <c r="H82" s="10">
        <v>3</v>
      </c>
      <c r="I82" s="10">
        <v>14</v>
      </c>
      <c r="J82" s="10">
        <v>750</v>
      </c>
      <c r="K82" s="10">
        <v>34517556.575596817</v>
      </c>
    </row>
    <row r="83" spans="1:11" x14ac:dyDescent="0.35">
      <c r="A83" s="9" t="s">
        <v>55</v>
      </c>
      <c r="B83" s="10">
        <v>1046</v>
      </c>
      <c r="C83" s="10">
        <v>5</v>
      </c>
      <c r="D83" s="10">
        <v>3</v>
      </c>
      <c r="E83" s="10">
        <v>652</v>
      </c>
      <c r="F83" s="10">
        <v>25685156.887603626</v>
      </c>
      <c r="G83" s="10">
        <v>993</v>
      </c>
      <c r="H83" s="10">
        <v>0</v>
      </c>
      <c r="I83" s="10">
        <v>3</v>
      </c>
      <c r="J83" s="10">
        <v>722</v>
      </c>
      <c r="K83" s="10">
        <v>22991723.447577056</v>
      </c>
    </row>
    <row r="84" spans="1:11" x14ac:dyDescent="0.35">
      <c r="A84" s="9" t="s">
        <v>50</v>
      </c>
      <c r="B84" s="10">
        <v>1006</v>
      </c>
      <c r="C84" s="10">
        <v>5</v>
      </c>
      <c r="D84" s="10">
        <v>4</v>
      </c>
      <c r="E84" s="10">
        <v>873</v>
      </c>
      <c r="F84" s="10">
        <v>28116198.900232129</v>
      </c>
      <c r="G84" s="10">
        <v>1007</v>
      </c>
      <c r="H84" s="10">
        <v>9</v>
      </c>
      <c r="I84" s="10">
        <v>5</v>
      </c>
      <c r="J84" s="10">
        <v>970</v>
      </c>
      <c r="K84" s="10">
        <v>24800746.326725028</v>
      </c>
    </row>
    <row r="85" spans="1:11" x14ac:dyDescent="0.35">
      <c r="A85" s="9" t="s">
        <v>66</v>
      </c>
      <c r="B85" s="10">
        <v>799</v>
      </c>
      <c r="C85" s="10">
        <v>3</v>
      </c>
      <c r="D85" s="10">
        <v>8</v>
      </c>
      <c r="E85" s="10">
        <v>747</v>
      </c>
      <c r="F85" s="10">
        <v>34425941.835225999</v>
      </c>
      <c r="G85" s="10">
        <v>838</v>
      </c>
      <c r="H85" s="10">
        <v>4</v>
      </c>
      <c r="I85" s="10">
        <v>8</v>
      </c>
      <c r="J85" s="10">
        <v>780</v>
      </c>
      <c r="K85" s="10">
        <v>37947119.110311568</v>
      </c>
    </row>
    <row r="86" spans="1:11" x14ac:dyDescent="0.35">
      <c r="A86" s="9" t="s">
        <v>105</v>
      </c>
      <c r="B86" s="10">
        <v>834</v>
      </c>
      <c r="C86" s="10">
        <v>7</v>
      </c>
      <c r="D86" s="10">
        <v>3</v>
      </c>
      <c r="E86" s="10">
        <v>800</v>
      </c>
      <c r="F86" s="10">
        <v>19518305.832255274</v>
      </c>
      <c r="G86" s="10">
        <v>834</v>
      </c>
      <c r="H86" s="10">
        <v>5</v>
      </c>
      <c r="I86" s="10">
        <v>3</v>
      </c>
      <c r="J86" s="10">
        <v>794</v>
      </c>
      <c r="K86" s="10">
        <v>19605140.34256389</v>
      </c>
    </row>
    <row r="87" spans="1:11" x14ac:dyDescent="0.35">
      <c r="A87" s="9" t="s">
        <v>120</v>
      </c>
      <c r="B87" s="10">
        <v>1917</v>
      </c>
      <c r="C87" s="10">
        <v>3</v>
      </c>
      <c r="D87" s="10">
        <v>11</v>
      </c>
      <c r="E87" s="10">
        <v>1537</v>
      </c>
      <c r="F87" s="10">
        <v>75489727.703856617</v>
      </c>
      <c r="G87" s="10">
        <v>1908</v>
      </c>
      <c r="H87" s="10">
        <v>5</v>
      </c>
      <c r="I87" s="10">
        <v>11</v>
      </c>
      <c r="J87" s="10">
        <v>1596</v>
      </c>
      <c r="K87" s="10">
        <v>64894502.024849355</v>
      </c>
    </row>
    <row r="88" spans="1:11" x14ac:dyDescent="0.35">
      <c r="A88" s="9" t="s">
        <v>68</v>
      </c>
      <c r="B88" s="10">
        <v>694</v>
      </c>
      <c r="C88" s="10">
        <v>2</v>
      </c>
      <c r="D88" s="10">
        <v>4</v>
      </c>
      <c r="E88" s="10">
        <v>1064</v>
      </c>
      <c r="F88" s="10">
        <v>17575912.643443391</v>
      </c>
      <c r="G88" s="10">
        <v>723</v>
      </c>
      <c r="H88" s="10">
        <v>8</v>
      </c>
      <c r="I88" s="10">
        <v>4</v>
      </c>
      <c r="J88" s="10">
        <v>713</v>
      </c>
      <c r="K88" s="10">
        <v>12676365.816547269</v>
      </c>
    </row>
    <row r="89" spans="1:11" x14ac:dyDescent="0.35">
      <c r="A89" s="9" t="s">
        <v>74</v>
      </c>
      <c r="B89" s="10">
        <v>874</v>
      </c>
      <c r="C89" s="10">
        <v>7</v>
      </c>
      <c r="D89" s="10">
        <v>10</v>
      </c>
      <c r="E89" s="10">
        <v>802</v>
      </c>
      <c r="F89" s="10">
        <v>40087298.335054979</v>
      </c>
      <c r="G89" s="10">
        <v>923</v>
      </c>
      <c r="H89" s="10">
        <v>8</v>
      </c>
      <c r="I89" s="10">
        <v>10</v>
      </c>
      <c r="J89" s="10">
        <v>785</v>
      </c>
      <c r="K89" s="10">
        <v>40384777.22261712</v>
      </c>
    </row>
    <row r="90" spans="1:11" x14ac:dyDescent="0.35">
      <c r="A90" s="9" t="s">
        <v>56</v>
      </c>
      <c r="B90" s="10">
        <v>439</v>
      </c>
      <c r="C90" s="10">
        <v>2</v>
      </c>
      <c r="D90" s="10">
        <v>1</v>
      </c>
      <c r="E90" s="10">
        <v>369</v>
      </c>
      <c r="F90" s="10">
        <v>6018521.6926287208</v>
      </c>
      <c r="G90" s="10">
        <v>360</v>
      </c>
      <c r="H90" s="10">
        <v>0</v>
      </c>
      <c r="I90" s="10">
        <v>1</v>
      </c>
      <c r="J90" s="10">
        <v>359</v>
      </c>
      <c r="K90" s="10">
        <v>2682267.9581545331</v>
      </c>
    </row>
    <row r="91" spans="1:11" x14ac:dyDescent="0.35">
      <c r="A91" s="9" t="s">
        <v>158</v>
      </c>
      <c r="B91" s="10">
        <v>2162</v>
      </c>
      <c r="C91" s="10">
        <v>7</v>
      </c>
      <c r="D91" s="10">
        <v>5</v>
      </c>
      <c r="E91" s="10">
        <v>1652</v>
      </c>
      <c r="F91" s="10">
        <v>65588451.388905168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833</v>
      </c>
      <c r="C92" s="10">
        <v>9</v>
      </c>
      <c r="D92" s="10">
        <v>1</v>
      </c>
      <c r="E92" s="10">
        <v>623</v>
      </c>
      <c r="F92" s="10">
        <v>26736651.90723341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999</v>
      </c>
      <c r="C93" s="10">
        <v>8</v>
      </c>
      <c r="D93" s="10">
        <v>1</v>
      </c>
      <c r="E93" s="10">
        <v>855</v>
      </c>
      <c r="F93" s="10">
        <v>31498359.210961103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553</v>
      </c>
      <c r="C94" s="10">
        <v>2</v>
      </c>
      <c r="D94" s="10">
        <v>0</v>
      </c>
      <c r="E94" s="10">
        <v>543</v>
      </c>
      <c r="F94" s="10">
        <v>14320993.74223475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419</v>
      </c>
      <c r="C95" s="10">
        <v>4</v>
      </c>
      <c r="D95" s="10">
        <v>1</v>
      </c>
      <c r="E95" s="10">
        <v>437</v>
      </c>
      <c r="F95" s="10">
        <v>14770578.769966878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1092</v>
      </c>
      <c r="C96" s="10">
        <v>5</v>
      </c>
      <c r="D96" s="10">
        <v>3</v>
      </c>
      <c r="E96" s="10">
        <v>842</v>
      </c>
      <c r="F96" s="10">
        <v>17402419.583031937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1209</v>
      </c>
      <c r="C97" s="10">
        <v>25</v>
      </c>
      <c r="D97" s="10">
        <v>6</v>
      </c>
      <c r="E97" s="10">
        <v>975</v>
      </c>
      <c r="F97" s="10">
        <v>28125804.104405746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545</v>
      </c>
      <c r="C98" s="10">
        <v>2</v>
      </c>
      <c r="D98" s="10">
        <v>2</v>
      </c>
      <c r="E98" s="10">
        <v>376</v>
      </c>
      <c r="F98" s="10">
        <v>12465172.091758538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640</v>
      </c>
      <c r="C99" s="10">
        <v>3</v>
      </c>
      <c r="D99" s="10">
        <v>2</v>
      </c>
      <c r="E99" s="10">
        <v>522</v>
      </c>
      <c r="F99" s="10">
        <v>13458600.099398727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496</v>
      </c>
      <c r="C100" s="10">
        <v>9</v>
      </c>
      <c r="D100" s="10">
        <v>2</v>
      </c>
      <c r="E100" s="10">
        <v>490</v>
      </c>
      <c r="F100" s="10">
        <v>11400786.358377812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1033</v>
      </c>
      <c r="C101" s="10">
        <v>6</v>
      </c>
      <c r="D101" s="10">
        <v>1</v>
      </c>
      <c r="E101" s="10">
        <v>825</v>
      </c>
      <c r="F101" s="10">
        <v>17245587.918713249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889</v>
      </c>
      <c r="C102" s="10">
        <v>13</v>
      </c>
      <c r="D102" s="10">
        <v>5</v>
      </c>
      <c r="E102" s="10">
        <v>670</v>
      </c>
      <c r="F102" s="10">
        <v>19097555.7893424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1646</v>
      </c>
      <c r="C103" s="10">
        <v>10</v>
      </c>
      <c r="D103" s="10">
        <v>2</v>
      </c>
      <c r="E103" s="10">
        <v>1740</v>
      </c>
      <c r="F103" s="10">
        <v>27801028.53255266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1745</v>
      </c>
      <c r="C104" s="10">
        <v>14</v>
      </c>
      <c r="D104" s="10">
        <v>2</v>
      </c>
      <c r="E104" s="10">
        <v>1419</v>
      </c>
      <c r="F104" s="10">
        <v>29273233.329010554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996</v>
      </c>
      <c r="C105" s="10">
        <v>9</v>
      </c>
      <c r="D105" s="10">
        <v>2</v>
      </c>
      <c r="E105" s="10">
        <v>937</v>
      </c>
      <c r="F105" s="10">
        <v>23718083.666482002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2264</v>
      </c>
      <c r="C106" s="10">
        <v>33</v>
      </c>
      <c r="D106" s="10">
        <v>5</v>
      </c>
      <c r="E106" s="10">
        <v>2252</v>
      </c>
      <c r="F106" s="10">
        <v>48751880.046855867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2327</v>
      </c>
      <c r="C107" s="10">
        <v>23</v>
      </c>
      <c r="D107" s="10">
        <v>3</v>
      </c>
      <c r="E107" s="10">
        <v>1743</v>
      </c>
      <c r="F107" s="10">
        <v>46349939.960450105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1543</v>
      </c>
      <c r="C108" s="10">
        <v>14</v>
      </c>
      <c r="D108" s="10">
        <v>1</v>
      </c>
      <c r="E108" s="10">
        <v>1470</v>
      </c>
      <c r="F108" s="10">
        <v>42036859.826806083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865</v>
      </c>
      <c r="C109" s="10">
        <v>10</v>
      </c>
      <c r="D109" s="10">
        <v>4</v>
      </c>
      <c r="E109" s="10">
        <v>887</v>
      </c>
      <c r="F109" s="10">
        <v>15984005.826463267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1359</v>
      </c>
      <c r="C110" s="10">
        <v>29</v>
      </c>
      <c r="D110" s="10">
        <v>3</v>
      </c>
      <c r="E110" s="10">
        <v>1225</v>
      </c>
      <c r="F110" s="10">
        <v>26398455.008781854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2342</v>
      </c>
      <c r="C111" s="10">
        <v>21</v>
      </c>
      <c r="D111" s="10">
        <v>7</v>
      </c>
      <c r="E111" s="10">
        <v>2042</v>
      </c>
      <c r="F111" s="10">
        <v>41415973.087224126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895</v>
      </c>
      <c r="C112" s="10">
        <v>3</v>
      </c>
      <c r="D112" s="10">
        <v>2</v>
      </c>
      <c r="E112" s="10">
        <v>816</v>
      </c>
      <c r="F112" s="10">
        <v>16065667.775808468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442</v>
      </c>
      <c r="C113" s="10">
        <v>1</v>
      </c>
      <c r="D113" s="10">
        <v>2</v>
      </c>
      <c r="E113" s="10">
        <v>521</v>
      </c>
      <c r="F113" s="10">
        <v>7661618.0604747199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1089</v>
      </c>
      <c r="C114" s="10">
        <v>13</v>
      </c>
      <c r="D114" s="10">
        <v>5</v>
      </c>
      <c r="E114" s="10">
        <v>986</v>
      </c>
      <c r="F114" s="10">
        <v>22142124.395687643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534</v>
      </c>
      <c r="C115" s="10">
        <v>2</v>
      </c>
      <c r="D115" s="10">
        <v>3</v>
      </c>
      <c r="E115" s="10">
        <v>501</v>
      </c>
      <c r="F115" s="10">
        <v>13660148.854318837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791</v>
      </c>
      <c r="C116" s="10">
        <v>4</v>
      </c>
      <c r="D116" s="10">
        <v>3</v>
      </c>
      <c r="E116" s="10">
        <v>672</v>
      </c>
      <c r="F116" s="10">
        <v>11744020.551728342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1846</v>
      </c>
      <c r="C117" s="10">
        <v>11</v>
      </c>
      <c r="D117" s="10">
        <v>7</v>
      </c>
      <c r="E117" s="10">
        <v>1517</v>
      </c>
      <c r="F117" s="10">
        <v>35401518.570500307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1437</v>
      </c>
      <c r="C118" s="10">
        <v>12</v>
      </c>
      <c r="D118" s="10">
        <v>4</v>
      </c>
      <c r="E118" s="10">
        <v>1300</v>
      </c>
      <c r="F118" s="10">
        <v>25909964.600928169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989</v>
      </c>
      <c r="C119" s="10">
        <v>5</v>
      </c>
      <c r="D119" s="10">
        <v>3</v>
      </c>
      <c r="E119" s="10">
        <v>903</v>
      </c>
      <c r="F119" s="10">
        <v>22561683.612195294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2853</v>
      </c>
      <c r="C120" s="10">
        <v>17</v>
      </c>
      <c r="D120" s="10">
        <v>6</v>
      </c>
      <c r="E120" s="10">
        <v>2122</v>
      </c>
      <c r="F120" s="10">
        <v>56766838.737242199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2968</v>
      </c>
      <c r="C121" s="10">
        <v>39</v>
      </c>
      <c r="D121" s="10">
        <v>5</v>
      </c>
      <c r="E121" s="10">
        <v>2344</v>
      </c>
      <c r="F121" s="10">
        <v>62013189.445023894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2017</v>
      </c>
      <c r="C122" s="10">
        <v>21</v>
      </c>
      <c r="D122" s="10">
        <v>2</v>
      </c>
      <c r="E122" s="10">
        <v>1625</v>
      </c>
      <c r="F122" s="10">
        <v>40343799.912750028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1539</v>
      </c>
      <c r="C123" s="10">
        <v>26</v>
      </c>
      <c r="D123" s="10">
        <v>8</v>
      </c>
      <c r="E123" s="10">
        <v>1519</v>
      </c>
      <c r="F123" s="10">
        <v>37176077.043486118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1734</v>
      </c>
      <c r="C124" s="10">
        <v>41</v>
      </c>
      <c r="D124" s="10">
        <v>0</v>
      </c>
      <c r="E124" s="10">
        <v>1435</v>
      </c>
      <c r="F124" s="10">
        <v>40025433.535572574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1158</v>
      </c>
      <c r="C125" s="10">
        <v>8</v>
      </c>
      <c r="D125" s="10">
        <v>4</v>
      </c>
      <c r="E125" s="10">
        <v>1319</v>
      </c>
      <c r="F125" s="10">
        <v>33665645.571109012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1210</v>
      </c>
      <c r="C126" s="10">
        <v>14</v>
      </c>
      <c r="D126" s="10">
        <v>2</v>
      </c>
      <c r="E126" s="10">
        <v>1008</v>
      </c>
      <c r="F126" s="10">
        <v>27168283.40517069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1110</v>
      </c>
      <c r="C127" s="10">
        <v>5</v>
      </c>
      <c r="D127" s="10">
        <v>3</v>
      </c>
      <c r="E127" s="10">
        <v>1329</v>
      </c>
      <c r="F127" s="10">
        <v>25267347.363161504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2129</v>
      </c>
      <c r="C128" s="10">
        <v>21</v>
      </c>
      <c r="D128" s="10">
        <v>1</v>
      </c>
      <c r="E128" s="10">
        <v>1765</v>
      </c>
      <c r="F128" s="10">
        <v>37488225.107447229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205</v>
      </c>
      <c r="C129" s="10">
        <v>1</v>
      </c>
      <c r="D129" s="10">
        <v>1</v>
      </c>
      <c r="E129" s="10">
        <v>79</v>
      </c>
      <c r="F129" s="10">
        <v>4774907.0670980848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734</v>
      </c>
      <c r="C130" s="10">
        <v>7</v>
      </c>
      <c r="D130" s="10">
        <v>3</v>
      </c>
      <c r="E130" s="10">
        <v>650</v>
      </c>
      <c r="F130" s="10">
        <v>24620351.947215892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1106</v>
      </c>
      <c r="C131" s="10">
        <v>13</v>
      </c>
      <c r="D131" s="10">
        <v>4</v>
      </c>
      <c r="E131" s="10">
        <v>1049</v>
      </c>
      <c r="F131" s="10">
        <v>27998861.405636616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1322</v>
      </c>
      <c r="C132" s="10">
        <v>26</v>
      </c>
      <c r="D132" s="10">
        <v>7</v>
      </c>
      <c r="E132" s="10">
        <v>1223</v>
      </c>
      <c r="F132" s="10">
        <v>49691281.961789988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970</v>
      </c>
      <c r="C133" s="10">
        <v>9</v>
      </c>
      <c r="D133" s="10">
        <v>3</v>
      </c>
      <c r="E133" s="10">
        <v>950</v>
      </c>
      <c r="F133" s="10">
        <v>23576406.520158477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709</v>
      </c>
      <c r="C134" s="10">
        <v>4</v>
      </c>
      <c r="D134" s="10">
        <v>1</v>
      </c>
      <c r="E134" s="10">
        <v>512</v>
      </c>
      <c r="F134" s="10">
        <v>18232742.349052135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647</v>
      </c>
      <c r="C135" s="10">
        <v>3</v>
      </c>
      <c r="D135" s="10">
        <v>2</v>
      </c>
      <c r="E135" s="10">
        <v>371</v>
      </c>
      <c r="F135" s="10">
        <v>14574827.601802554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994</v>
      </c>
      <c r="C136" s="10">
        <v>19</v>
      </c>
      <c r="D136" s="10">
        <v>1</v>
      </c>
      <c r="E136" s="10">
        <v>945</v>
      </c>
      <c r="F136" s="10">
        <v>33885720.329558447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1378</v>
      </c>
      <c r="C137" s="10">
        <v>11</v>
      </c>
      <c r="D137" s="10">
        <v>2</v>
      </c>
      <c r="E137" s="10">
        <v>1222</v>
      </c>
      <c r="F137" s="10">
        <v>39751439.090931773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1467</v>
      </c>
      <c r="C138" s="10">
        <v>43</v>
      </c>
      <c r="D138" s="10">
        <v>3</v>
      </c>
      <c r="E138" s="10">
        <v>1466</v>
      </c>
      <c r="F138" s="10">
        <v>51090964.296790794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407</v>
      </c>
      <c r="C139" s="10">
        <v>2</v>
      </c>
      <c r="D139" s="10">
        <v>2</v>
      </c>
      <c r="E139" s="10">
        <v>286</v>
      </c>
      <c r="F139" s="10">
        <v>11208443.590903193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2172</v>
      </c>
      <c r="C140" s="10">
        <v>44</v>
      </c>
      <c r="D140" s="10">
        <v>5</v>
      </c>
      <c r="E140" s="10">
        <v>1811</v>
      </c>
      <c r="F140" s="10">
        <v>69479215.399426222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716</v>
      </c>
      <c r="C141" s="10">
        <v>10</v>
      </c>
      <c r="D141" s="10">
        <v>4</v>
      </c>
      <c r="E141" s="10">
        <v>713</v>
      </c>
      <c r="F141" s="10">
        <v>30174133.828977127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1858</v>
      </c>
      <c r="C142" s="10">
        <v>15</v>
      </c>
      <c r="D142" s="10">
        <v>1</v>
      </c>
      <c r="E142" s="10">
        <v>1576</v>
      </c>
      <c r="F142" s="10">
        <v>39858854.367384769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2457</v>
      </c>
      <c r="C143" s="10">
        <v>38</v>
      </c>
      <c r="D143" s="10">
        <v>6</v>
      </c>
      <c r="E143" s="10">
        <v>2070</v>
      </c>
      <c r="F143" s="10">
        <v>101139019.16387886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2627</v>
      </c>
      <c r="C144" s="10">
        <v>19</v>
      </c>
      <c r="D144" s="10">
        <v>7</v>
      </c>
      <c r="E144" s="10">
        <v>2132</v>
      </c>
      <c r="F144" s="10">
        <v>57420621.206289873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3328</v>
      </c>
      <c r="C145" s="10">
        <v>33</v>
      </c>
      <c r="D145" s="10">
        <v>3</v>
      </c>
      <c r="E145" s="10">
        <v>2303</v>
      </c>
      <c r="F145" s="10">
        <v>57671864.476520896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960</v>
      </c>
      <c r="C146" s="10">
        <v>11</v>
      </c>
      <c r="D146" s="10">
        <v>7</v>
      </c>
      <c r="E146" s="10">
        <v>1044</v>
      </c>
      <c r="F146" s="10">
        <v>21116627.042152565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611</v>
      </c>
      <c r="C147" s="10">
        <v>3</v>
      </c>
      <c r="D147" s="10">
        <v>4</v>
      </c>
      <c r="E147" s="10">
        <v>517</v>
      </c>
      <c r="F147" s="10">
        <v>28204142.212167874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3150</v>
      </c>
      <c r="C148" s="10">
        <v>110</v>
      </c>
      <c r="D148" s="10">
        <v>10</v>
      </c>
      <c r="E148" s="10">
        <v>3495</v>
      </c>
      <c r="F148" s="10">
        <v>75467990.893138394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697</v>
      </c>
      <c r="C149" s="10">
        <v>7</v>
      </c>
      <c r="D149" s="10">
        <v>4</v>
      </c>
      <c r="E149" s="10">
        <v>656</v>
      </c>
      <c r="F149" s="10">
        <v>17283718.520835422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1047</v>
      </c>
      <c r="C150" s="10">
        <v>13</v>
      </c>
      <c r="D150" s="10">
        <v>4</v>
      </c>
      <c r="E150" s="10">
        <v>890</v>
      </c>
      <c r="F150" s="10">
        <v>30406950.404329333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1694</v>
      </c>
      <c r="C151" s="10">
        <v>14</v>
      </c>
      <c r="D151" s="10">
        <v>3</v>
      </c>
      <c r="E151" s="10">
        <v>1414</v>
      </c>
      <c r="F151" s="10">
        <v>41048484.941164345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2454</v>
      </c>
      <c r="C152" s="10">
        <v>18</v>
      </c>
      <c r="D152" s="10">
        <v>3</v>
      </c>
      <c r="E152" s="10">
        <v>1835</v>
      </c>
      <c r="F152" s="10">
        <v>55924962.810438871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1864</v>
      </c>
      <c r="C153" s="10">
        <v>24</v>
      </c>
      <c r="D153" s="10">
        <v>20</v>
      </c>
      <c r="E153" s="10">
        <v>1493</v>
      </c>
      <c r="F153" s="10">
        <v>72256239.847629562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1739</v>
      </c>
      <c r="C154" s="10">
        <v>20</v>
      </c>
      <c r="D154" s="10">
        <v>2</v>
      </c>
      <c r="E154" s="10">
        <v>1172</v>
      </c>
      <c r="F154" s="10">
        <v>30889148.895012576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2226</v>
      </c>
      <c r="C155" s="10">
        <v>14</v>
      </c>
      <c r="D155" s="10">
        <v>4</v>
      </c>
      <c r="E155" s="10">
        <v>1982</v>
      </c>
      <c r="F155" s="10">
        <v>41911616.288867757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1241</v>
      </c>
      <c r="C156" s="10">
        <v>9</v>
      </c>
      <c r="D156" s="10">
        <v>8</v>
      </c>
      <c r="E156" s="10">
        <v>1130</v>
      </c>
      <c r="F156" s="10">
        <v>34033731.021191701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1393</v>
      </c>
      <c r="C157" s="10">
        <v>13</v>
      </c>
      <c r="D157" s="10">
        <v>3</v>
      </c>
      <c r="E157" s="10">
        <v>1757</v>
      </c>
      <c r="F157" s="10">
        <v>23592867.40663211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995</v>
      </c>
      <c r="C158" s="10">
        <v>9</v>
      </c>
      <c r="D158" s="10">
        <v>5</v>
      </c>
      <c r="E158" s="10">
        <v>1093</v>
      </c>
      <c r="F158" s="10">
        <v>18274228.618326802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1051</v>
      </c>
      <c r="C159" s="10">
        <v>12</v>
      </c>
      <c r="D159" s="10">
        <v>2</v>
      </c>
      <c r="E159" s="10">
        <v>1079</v>
      </c>
      <c r="F159" s="10">
        <v>25009985.168646477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1317</v>
      </c>
      <c r="C160" s="10">
        <v>13</v>
      </c>
      <c r="D160" s="10">
        <v>2</v>
      </c>
      <c r="E160" s="10">
        <v>1297</v>
      </c>
      <c r="F160" s="10">
        <v>19877007.666076802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820</v>
      </c>
      <c r="C161" s="10">
        <v>14</v>
      </c>
      <c r="D161" s="10">
        <v>2</v>
      </c>
      <c r="E161" s="10">
        <v>761</v>
      </c>
      <c r="F161" s="10">
        <v>29885495.401498415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797</v>
      </c>
      <c r="C162" s="10">
        <v>8</v>
      </c>
      <c r="D162" s="10">
        <v>6</v>
      </c>
      <c r="E162" s="10">
        <v>685</v>
      </c>
      <c r="F162" s="10">
        <v>37765032.656699181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945</v>
      </c>
      <c r="C163" s="10">
        <v>9</v>
      </c>
      <c r="D163" s="10">
        <v>2</v>
      </c>
      <c r="E163" s="10">
        <v>893</v>
      </c>
      <c r="F163" s="10">
        <v>20252116.887222022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1643</v>
      </c>
      <c r="C164" s="10">
        <v>17</v>
      </c>
      <c r="D164" s="10">
        <v>2</v>
      </c>
      <c r="E164" s="10">
        <v>1577</v>
      </c>
      <c r="F164" s="10">
        <v>40179713.625943251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1022</v>
      </c>
      <c r="C165" s="10">
        <v>12</v>
      </c>
      <c r="D165" s="10">
        <v>3</v>
      </c>
      <c r="E165" s="10">
        <v>837</v>
      </c>
      <c r="F165" s="10">
        <v>13685738.369042363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869</v>
      </c>
      <c r="C166" s="10">
        <v>7</v>
      </c>
      <c r="D166" s="10">
        <v>18</v>
      </c>
      <c r="E166" s="10">
        <v>674</v>
      </c>
      <c r="F166" s="10">
        <v>31743908.880603239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1210</v>
      </c>
      <c r="C167" s="10">
        <v>14</v>
      </c>
      <c r="D167" s="10">
        <v>5</v>
      </c>
      <c r="E167" s="10">
        <v>1215</v>
      </c>
      <c r="F167" s="10">
        <v>21550178.341049634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1290</v>
      </c>
      <c r="C168" s="10">
        <v>19</v>
      </c>
      <c r="D168" s="10">
        <v>4</v>
      </c>
      <c r="E168" s="10">
        <v>1204</v>
      </c>
      <c r="F168" s="10">
        <v>44274921.581128962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1593</v>
      </c>
      <c r="C169" s="10">
        <v>22</v>
      </c>
      <c r="D169" s="10">
        <v>11</v>
      </c>
      <c r="E169" s="10">
        <v>1228</v>
      </c>
      <c r="F169" s="10">
        <v>55575983.943319678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1065</v>
      </c>
      <c r="C170" s="10">
        <v>8</v>
      </c>
      <c r="D170" s="10">
        <v>17</v>
      </c>
      <c r="E170" s="10">
        <v>959</v>
      </c>
      <c r="F170" s="10">
        <v>34585227.691246599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1689</v>
      </c>
      <c r="C171" s="10">
        <v>28</v>
      </c>
      <c r="D171" s="10">
        <v>8</v>
      </c>
      <c r="E171" s="10">
        <v>1724</v>
      </c>
      <c r="F171" s="10">
        <v>51164038.731660925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1047</v>
      </c>
      <c r="C172" s="10">
        <v>5</v>
      </c>
      <c r="D172" s="10">
        <v>2</v>
      </c>
      <c r="E172" s="10">
        <v>595</v>
      </c>
      <c r="F172" s="10">
        <v>18565192.927948985</v>
      </c>
      <c r="G172" s="10">
        <v>727</v>
      </c>
      <c r="H172" s="10">
        <v>4</v>
      </c>
      <c r="I172" s="10">
        <v>2</v>
      </c>
      <c r="J172" s="10">
        <v>536</v>
      </c>
      <c r="K172" s="10">
        <v>18135120.702892397</v>
      </c>
    </row>
    <row r="173" spans="1:11" x14ac:dyDescent="0.35">
      <c r="A173" s="9" t="s">
        <v>240</v>
      </c>
      <c r="B173" s="10">
        <v>511</v>
      </c>
      <c r="C173" s="10">
        <v>0</v>
      </c>
      <c r="D173" s="10">
        <v>0</v>
      </c>
      <c r="E173" s="10">
        <v>21</v>
      </c>
      <c r="F173" s="10">
        <v>13100.722651858001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1205</v>
      </c>
      <c r="C174" s="10">
        <v>15</v>
      </c>
      <c r="D174" s="10">
        <v>3</v>
      </c>
      <c r="E174" s="10">
        <v>881</v>
      </c>
      <c r="F174" s="10">
        <v>37506974.778215222</v>
      </c>
      <c r="G174" s="10">
        <v>1032</v>
      </c>
      <c r="H174" s="10">
        <v>7</v>
      </c>
      <c r="I174" s="10">
        <v>2</v>
      </c>
      <c r="J174" s="10">
        <v>939</v>
      </c>
      <c r="K174" s="10">
        <v>39720702.077975959</v>
      </c>
    </row>
    <row r="175" spans="1:11" x14ac:dyDescent="0.35">
      <c r="A175" s="9" t="s">
        <v>242</v>
      </c>
      <c r="B175" s="10">
        <v>1157</v>
      </c>
      <c r="C175" s="10">
        <v>17</v>
      </c>
      <c r="D175" s="10">
        <v>6</v>
      </c>
      <c r="E175" s="10">
        <v>1069</v>
      </c>
      <c r="F175" s="10">
        <v>34527040.330424614</v>
      </c>
      <c r="G175" s="10">
        <v>1090</v>
      </c>
      <c r="H175" s="10">
        <v>5</v>
      </c>
      <c r="I175" s="10">
        <v>7</v>
      </c>
      <c r="J175" s="10">
        <v>1043</v>
      </c>
      <c r="K175" s="10">
        <v>35433537.724233918</v>
      </c>
    </row>
    <row r="176" spans="1:11" x14ac:dyDescent="0.35">
      <c r="A176" s="9" t="s">
        <v>243</v>
      </c>
      <c r="B176" s="10">
        <v>1106</v>
      </c>
      <c r="C176" s="10">
        <v>27</v>
      </c>
      <c r="D176" s="10">
        <v>7</v>
      </c>
      <c r="E176" s="10">
        <v>1007</v>
      </c>
      <c r="F176" s="10">
        <v>22069233.149575882</v>
      </c>
      <c r="G176" s="10">
        <v>935</v>
      </c>
      <c r="H176" s="10">
        <v>11</v>
      </c>
      <c r="I176" s="10">
        <v>6</v>
      </c>
      <c r="J176" s="10">
        <v>1084</v>
      </c>
      <c r="K176" s="10">
        <v>25039574.899903592</v>
      </c>
    </row>
    <row r="177" spans="1:11" x14ac:dyDescent="0.35">
      <c r="A177" s="9" t="s">
        <v>244</v>
      </c>
      <c r="B177" s="10">
        <v>1615</v>
      </c>
      <c r="C177" s="10">
        <v>117</v>
      </c>
      <c r="D177" s="10">
        <v>4</v>
      </c>
      <c r="E177" s="10">
        <v>1486</v>
      </c>
      <c r="F177" s="10">
        <v>35443577.535652995</v>
      </c>
      <c r="G177" s="10">
        <v>1556</v>
      </c>
      <c r="H177" s="10">
        <v>22</v>
      </c>
      <c r="I177" s="10">
        <v>4</v>
      </c>
      <c r="J177" s="10">
        <v>1336</v>
      </c>
      <c r="K177" s="10">
        <v>35527108.273026928</v>
      </c>
    </row>
    <row r="178" spans="1:11" x14ac:dyDescent="0.35">
      <c r="A178" s="9" t="s">
        <v>245</v>
      </c>
      <c r="B178" s="10">
        <v>2357</v>
      </c>
      <c r="C178" s="10">
        <v>49</v>
      </c>
      <c r="D178" s="10">
        <v>4</v>
      </c>
      <c r="E178" s="10">
        <v>1422</v>
      </c>
      <c r="F178" s="10">
        <v>43531549.091912761</v>
      </c>
      <c r="G178" s="10">
        <v>2210</v>
      </c>
      <c r="H178" s="10">
        <v>41</v>
      </c>
      <c r="I178" s="10">
        <v>6</v>
      </c>
      <c r="J178" s="10">
        <v>1768</v>
      </c>
      <c r="K178" s="10">
        <v>55644864.621951565</v>
      </c>
    </row>
    <row r="179" spans="1:11" x14ac:dyDescent="0.35">
      <c r="A179" s="9" t="s">
        <v>246</v>
      </c>
      <c r="B179" s="10">
        <v>1389</v>
      </c>
      <c r="C179" s="10">
        <v>22</v>
      </c>
      <c r="D179" s="10">
        <v>5</v>
      </c>
      <c r="E179" s="10">
        <v>1588</v>
      </c>
      <c r="F179" s="10">
        <v>43583995.973490804</v>
      </c>
      <c r="G179" s="10">
        <v>1338</v>
      </c>
      <c r="H179" s="10">
        <v>14</v>
      </c>
      <c r="I179" s="10">
        <v>4</v>
      </c>
      <c r="J179" s="10">
        <v>1324</v>
      </c>
      <c r="K179" s="10">
        <v>40005307.70602487</v>
      </c>
    </row>
    <row r="180" spans="1:11" x14ac:dyDescent="0.35">
      <c r="A180" s="9" t="s">
        <v>247</v>
      </c>
      <c r="B180" s="10">
        <v>651</v>
      </c>
      <c r="C180" s="10">
        <v>11</v>
      </c>
      <c r="D180" s="10">
        <v>4</v>
      </c>
      <c r="E180" s="10">
        <v>557</v>
      </c>
      <c r="F180" s="10">
        <v>28007808.03869595</v>
      </c>
      <c r="G180" s="10">
        <v>643</v>
      </c>
      <c r="H180" s="10">
        <v>6</v>
      </c>
      <c r="I180" s="10">
        <v>4</v>
      </c>
      <c r="J180" s="10">
        <v>576</v>
      </c>
      <c r="K180" s="10">
        <v>27782051.772725902</v>
      </c>
    </row>
    <row r="181" spans="1:11" x14ac:dyDescent="0.35">
      <c r="A181" s="9" t="s">
        <v>248</v>
      </c>
      <c r="B181" s="10">
        <v>1287</v>
      </c>
      <c r="C181" s="10">
        <v>22</v>
      </c>
      <c r="D181" s="10">
        <v>6</v>
      </c>
      <c r="E181" s="10">
        <v>1373</v>
      </c>
      <c r="F181" s="10">
        <v>28078268.355702169</v>
      </c>
      <c r="G181" s="10">
        <v>1308</v>
      </c>
      <c r="H181" s="10">
        <v>12</v>
      </c>
      <c r="I181" s="10">
        <v>6</v>
      </c>
      <c r="J181" s="10">
        <v>1691</v>
      </c>
      <c r="K181" s="10">
        <v>37266765.760629267</v>
      </c>
    </row>
    <row r="182" spans="1:11" x14ac:dyDescent="0.35">
      <c r="A182" s="9" t="s">
        <v>249</v>
      </c>
      <c r="B182" s="10">
        <v>1102</v>
      </c>
      <c r="C182" s="10">
        <v>8</v>
      </c>
      <c r="D182" s="10">
        <v>2</v>
      </c>
      <c r="E182" s="10">
        <v>990</v>
      </c>
      <c r="F182" s="10">
        <v>26273292.668137927</v>
      </c>
      <c r="G182" s="10">
        <v>1053</v>
      </c>
      <c r="H182" s="10">
        <v>9</v>
      </c>
      <c r="I182" s="10">
        <v>3</v>
      </c>
      <c r="J182" s="10">
        <v>1045</v>
      </c>
      <c r="K182" s="10">
        <v>26565074.681382615</v>
      </c>
    </row>
    <row r="183" spans="1:11" x14ac:dyDescent="0.35">
      <c r="A183" s="9" t="s">
        <v>250</v>
      </c>
      <c r="B183" s="10">
        <v>3330</v>
      </c>
      <c r="C183" s="10">
        <v>69</v>
      </c>
      <c r="D183" s="10">
        <v>8</v>
      </c>
      <c r="E183" s="10">
        <v>2738</v>
      </c>
      <c r="F183" s="10">
        <v>61792192.009658664</v>
      </c>
      <c r="G183" s="10">
        <v>3179</v>
      </c>
      <c r="H183" s="10">
        <v>30</v>
      </c>
      <c r="I183" s="10">
        <v>6</v>
      </c>
      <c r="J183" s="10">
        <v>2623</v>
      </c>
      <c r="K183" s="10">
        <v>61607624.676660895</v>
      </c>
    </row>
    <row r="184" spans="1:11" x14ac:dyDescent="0.35">
      <c r="A184" s="9" t="s">
        <v>251</v>
      </c>
      <c r="B184" s="10">
        <v>555</v>
      </c>
      <c r="C184" s="10">
        <v>5</v>
      </c>
      <c r="D184" s="10">
        <v>1</v>
      </c>
      <c r="E184" s="10">
        <v>448</v>
      </c>
      <c r="F184" s="10">
        <v>11528709.531621415</v>
      </c>
      <c r="G184" s="10">
        <v>509</v>
      </c>
      <c r="H184" s="10">
        <v>0</v>
      </c>
      <c r="I184" s="10">
        <v>0</v>
      </c>
      <c r="J184" s="10">
        <v>455</v>
      </c>
      <c r="K184" s="10">
        <v>12996250.766066471</v>
      </c>
    </row>
    <row r="185" spans="1:11" x14ac:dyDescent="0.35">
      <c r="A185" s="9" t="s">
        <v>252</v>
      </c>
      <c r="B185" s="10">
        <v>912</v>
      </c>
      <c r="C185" s="10">
        <v>359</v>
      </c>
      <c r="D185" s="10">
        <v>2</v>
      </c>
      <c r="E185" s="10">
        <v>505</v>
      </c>
      <c r="F185" s="10">
        <v>10118092.873556217</v>
      </c>
      <c r="G185" s="10">
        <v>755</v>
      </c>
      <c r="H185" s="10">
        <v>5</v>
      </c>
      <c r="I185" s="10">
        <v>3</v>
      </c>
      <c r="J185" s="10">
        <v>473</v>
      </c>
      <c r="K185" s="10">
        <v>9498984.5317910276</v>
      </c>
    </row>
    <row r="186" spans="1:11" x14ac:dyDescent="0.35">
      <c r="A186" s="9" t="s">
        <v>253</v>
      </c>
      <c r="B186" s="10">
        <v>1128</v>
      </c>
      <c r="C186" s="10">
        <v>11</v>
      </c>
      <c r="D186" s="10">
        <v>2</v>
      </c>
      <c r="E186" s="10">
        <v>1004</v>
      </c>
      <c r="F186" s="10">
        <v>31511768.606629662</v>
      </c>
      <c r="G186" s="10">
        <v>1095</v>
      </c>
      <c r="H186" s="10">
        <v>21</v>
      </c>
      <c r="I186" s="10">
        <v>3</v>
      </c>
      <c r="J186" s="10">
        <v>992</v>
      </c>
      <c r="K186" s="10">
        <v>32618925.259549323</v>
      </c>
    </row>
    <row r="187" spans="1:11" x14ac:dyDescent="0.35">
      <c r="A187" s="9" t="s">
        <v>254</v>
      </c>
      <c r="B187" s="10">
        <v>654</v>
      </c>
      <c r="C187" s="10">
        <v>11</v>
      </c>
      <c r="D187" s="10">
        <v>2</v>
      </c>
      <c r="E187" s="10">
        <v>507</v>
      </c>
      <c r="F187" s="10">
        <v>22159160.15596462</v>
      </c>
      <c r="G187" s="10">
        <v>647</v>
      </c>
      <c r="H187" s="10">
        <v>11</v>
      </c>
      <c r="I187" s="10">
        <v>3</v>
      </c>
      <c r="J187" s="10">
        <v>461</v>
      </c>
      <c r="K187" s="10">
        <v>20106447.581681676</v>
      </c>
    </row>
    <row r="188" spans="1:11" x14ac:dyDescent="0.35">
      <c r="A188" s="9" t="s">
        <v>255</v>
      </c>
      <c r="B188" s="10">
        <v>1296</v>
      </c>
      <c r="C188" s="10">
        <v>10</v>
      </c>
      <c r="D188" s="10">
        <v>3</v>
      </c>
      <c r="E188" s="10">
        <v>1202</v>
      </c>
      <c r="F188" s="10">
        <v>35457454.97939951</v>
      </c>
      <c r="G188" s="10">
        <v>1247</v>
      </c>
      <c r="H188" s="10">
        <v>9</v>
      </c>
      <c r="I188" s="10">
        <v>3</v>
      </c>
      <c r="J188" s="10">
        <v>1176</v>
      </c>
      <c r="K188" s="10">
        <v>34217490.755697332</v>
      </c>
    </row>
    <row r="189" spans="1:11" x14ac:dyDescent="0.35">
      <c r="A189" s="9" t="s">
        <v>256</v>
      </c>
      <c r="B189" s="10">
        <v>706</v>
      </c>
      <c r="C189" s="10">
        <v>13</v>
      </c>
      <c r="D189" s="10">
        <v>2</v>
      </c>
      <c r="E189" s="10">
        <v>636</v>
      </c>
      <c r="F189" s="10">
        <v>19963283.871139687</v>
      </c>
      <c r="G189" s="10">
        <v>724</v>
      </c>
      <c r="H189" s="10">
        <v>5</v>
      </c>
      <c r="I189" s="10">
        <v>1</v>
      </c>
      <c r="J189" s="10">
        <v>624</v>
      </c>
      <c r="K189" s="10">
        <v>21863488.951024696</v>
      </c>
    </row>
    <row r="190" spans="1:11" x14ac:dyDescent="0.35">
      <c r="A190" s="9" t="s">
        <v>257</v>
      </c>
      <c r="B190" s="10">
        <v>448</v>
      </c>
      <c r="C190" s="10">
        <v>4</v>
      </c>
      <c r="D190" s="10">
        <v>3</v>
      </c>
      <c r="E190" s="10">
        <v>407</v>
      </c>
      <c r="F190" s="10">
        <v>15041670.126420353</v>
      </c>
      <c r="G190" s="10">
        <v>372</v>
      </c>
      <c r="H190" s="10">
        <v>3</v>
      </c>
      <c r="I190" s="10">
        <v>2</v>
      </c>
      <c r="J190" s="10">
        <v>388</v>
      </c>
      <c r="K190" s="10">
        <v>13744854.129729267</v>
      </c>
    </row>
    <row r="191" spans="1:11" x14ac:dyDescent="0.35">
      <c r="A191" s="9" t="s">
        <v>258</v>
      </c>
      <c r="B191" s="10">
        <v>1437</v>
      </c>
      <c r="C191" s="10">
        <v>14</v>
      </c>
      <c r="D191" s="10">
        <v>4</v>
      </c>
      <c r="E191" s="10">
        <v>1152</v>
      </c>
      <c r="F191" s="10">
        <v>36013652.745864823</v>
      </c>
      <c r="G191" s="10">
        <v>1390</v>
      </c>
      <c r="H191" s="10">
        <v>12</v>
      </c>
      <c r="I191" s="10">
        <v>6</v>
      </c>
      <c r="J191" s="10">
        <v>1184</v>
      </c>
      <c r="K191" s="10">
        <v>37279729.897606179</v>
      </c>
    </row>
    <row r="192" spans="1:11" x14ac:dyDescent="0.35">
      <c r="A192" s="9" t="s">
        <v>259</v>
      </c>
      <c r="B192" s="10">
        <v>697</v>
      </c>
      <c r="C192" s="10">
        <v>20</v>
      </c>
      <c r="D192" s="10">
        <v>2</v>
      </c>
      <c r="E192" s="10">
        <v>679</v>
      </c>
      <c r="F192" s="10">
        <v>14690820.042863479</v>
      </c>
      <c r="G192" s="10">
        <v>667</v>
      </c>
      <c r="H192" s="10">
        <v>8</v>
      </c>
      <c r="I192" s="10">
        <v>2</v>
      </c>
      <c r="J192" s="10">
        <v>587</v>
      </c>
      <c r="K192" s="10">
        <v>14789631.798327444</v>
      </c>
    </row>
    <row r="193" spans="1:11" x14ac:dyDescent="0.35">
      <c r="A193" s="9" t="s">
        <v>260</v>
      </c>
      <c r="B193" s="10">
        <v>1033</v>
      </c>
      <c r="C193" s="10">
        <v>18</v>
      </c>
      <c r="D193" s="10">
        <v>4</v>
      </c>
      <c r="E193" s="10">
        <v>695</v>
      </c>
      <c r="F193" s="10">
        <v>34992449.330655977</v>
      </c>
      <c r="G193" s="10">
        <v>1022</v>
      </c>
      <c r="H193" s="10">
        <v>10</v>
      </c>
      <c r="I193" s="10">
        <v>4</v>
      </c>
      <c r="J193" s="10">
        <v>916</v>
      </c>
      <c r="K193" s="10">
        <v>32991088.739810839</v>
      </c>
    </row>
    <row r="194" spans="1:11" x14ac:dyDescent="0.35">
      <c r="A194" s="9" t="s">
        <v>261</v>
      </c>
      <c r="B194" s="10">
        <v>1701</v>
      </c>
      <c r="C194" s="10">
        <v>48</v>
      </c>
      <c r="D194" s="10">
        <v>14</v>
      </c>
      <c r="E194" s="10">
        <v>1496</v>
      </c>
      <c r="F194" s="10">
        <v>66734453.510492645</v>
      </c>
      <c r="G194" s="10">
        <v>1612</v>
      </c>
      <c r="H194" s="10">
        <v>36</v>
      </c>
      <c r="I194" s="10">
        <v>15</v>
      </c>
      <c r="J194" s="10">
        <v>1416</v>
      </c>
      <c r="K194" s="10">
        <v>70946516.272003204</v>
      </c>
    </row>
    <row r="195" spans="1:11" x14ac:dyDescent="0.35">
      <c r="A195" s="9" t="s">
        <v>262</v>
      </c>
      <c r="B195" s="10">
        <v>607</v>
      </c>
      <c r="C195" s="10">
        <v>8</v>
      </c>
      <c r="D195" s="10">
        <v>0</v>
      </c>
      <c r="E195" s="10">
        <v>488</v>
      </c>
      <c r="F195" s="10">
        <v>14616744.608556125</v>
      </c>
      <c r="G195" s="10">
        <v>576</v>
      </c>
      <c r="H195" s="10">
        <v>6</v>
      </c>
      <c r="I195" s="10">
        <v>0</v>
      </c>
      <c r="J195" s="10">
        <v>392</v>
      </c>
      <c r="K195" s="10">
        <v>12503645.443874132</v>
      </c>
    </row>
    <row r="196" spans="1:11" x14ac:dyDescent="0.35">
      <c r="A196" s="9" t="s">
        <v>263</v>
      </c>
      <c r="B196" s="10">
        <v>695</v>
      </c>
      <c r="C196" s="10">
        <v>17</v>
      </c>
      <c r="D196" s="10">
        <v>2</v>
      </c>
      <c r="E196" s="10">
        <v>744</v>
      </c>
      <c r="F196" s="10">
        <v>24272218.397923753</v>
      </c>
      <c r="G196" s="10">
        <v>689</v>
      </c>
      <c r="H196" s="10">
        <v>29</v>
      </c>
      <c r="I196" s="10">
        <v>3</v>
      </c>
      <c r="J196" s="10">
        <v>628</v>
      </c>
      <c r="K196" s="10">
        <v>24817464.450209837</v>
      </c>
    </row>
    <row r="197" spans="1:11" x14ac:dyDescent="0.35">
      <c r="A197" s="9" t="s">
        <v>264</v>
      </c>
      <c r="B197" s="10">
        <v>804</v>
      </c>
      <c r="C197" s="10">
        <v>56</v>
      </c>
      <c r="D197" s="10">
        <v>4</v>
      </c>
      <c r="E197" s="10">
        <v>616</v>
      </c>
      <c r="F197" s="10">
        <v>30430865.679450095</v>
      </c>
      <c r="G197" s="10">
        <v>844</v>
      </c>
      <c r="H197" s="10">
        <v>23</v>
      </c>
      <c r="I197" s="10">
        <v>2</v>
      </c>
      <c r="J197" s="10">
        <v>729</v>
      </c>
      <c r="K197" s="10">
        <v>28162630.364492044</v>
      </c>
    </row>
    <row r="198" spans="1:11" x14ac:dyDescent="0.35">
      <c r="A198" s="9" t="s">
        <v>265</v>
      </c>
      <c r="B198" s="10">
        <v>718</v>
      </c>
      <c r="C198" s="10">
        <v>14</v>
      </c>
      <c r="D198" s="10">
        <v>1</v>
      </c>
      <c r="E198" s="10">
        <v>645</v>
      </c>
      <c r="F198" s="10">
        <v>28053324.916158725</v>
      </c>
      <c r="G198" s="10">
        <v>703</v>
      </c>
      <c r="H198" s="10">
        <v>12</v>
      </c>
      <c r="I198" s="10">
        <v>2</v>
      </c>
      <c r="J198" s="10">
        <v>655</v>
      </c>
      <c r="K198" s="10">
        <v>30512776.995745622</v>
      </c>
    </row>
    <row r="199" spans="1:11" x14ac:dyDescent="0.35">
      <c r="A199" s="9" t="s">
        <v>266</v>
      </c>
      <c r="B199" s="10">
        <v>1447</v>
      </c>
      <c r="C199" s="10">
        <v>17</v>
      </c>
      <c r="D199" s="10">
        <v>7</v>
      </c>
      <c r="E199" s="10">
        <v>1367</v>
      </c>
      <c r="F199" s="10">
        <v>37290002.461336628</v>
      </c>
      <c r="G199" s="10">
        <v>1405</v>
      </c>
      <c r="H199" s="10">
        <v>12</v>
      </c>
      <c r="I199" s="10">
        <v>11</v>
      </c>
      <c r="J199" s="10">
        <v>1519</v>
      </c>
      <c r="K199" s="10">
        <v>40183209.533267073</v>
      </c>
    </row>
    <row r="200" spans="1:11" x14ac:dyDescent="0.35">
      <c r="A200" s="9" t="s">
        <v>267</v>
      </c>
      <c r="B200" s="10">
        <v>716</v>
      </c>
      <c r="C200" s="10">
        <v>6</v>
      </c>
      <c r="D200" s="10">
        <v>2</v>
      </c>
      <c r="E200" s="10">
        <v>711</v>
      </c>
      <c r="F200" s="10">
        <v>20153136.749042023</v>
      </c>
      <c r="G200" s="10">
        <v>757</v>
      </c>
      <c r="H200" s="10">
        <v>10</v>
      </c>
      <c r="I200" s="10">
        <v>2</v>
      </c>
      <c r="J200" s="10">
        <v>622</v>
      </c>
      <c r="K200" s="10">
        <v>24804065.140677854</v>
      </c>
    </row>
    <row r="201" spans="1:11" x14ac:dyDescent="0.35">
      <c r="A201" s="9" t="s">
        <v>268</v>
      </c>
      <c r="B201" s="10">
        <v>941</v>
      </c>
      <c r="C201" s="10">
        <v>15</v>
      </c>
      <c r="D201" s="10">
        <v>7</v>
      </c>
      <c r="E201" s="10">
        <v>797</v>
      </c>
      <c r="F201" s="10">
        <v>38023572.100458026</v>
      </c>
      <c r="G201" s="10">
        <v>873</v>
      </c>
      <c r="H201" s="10">
        <v>7</v>
      </c>
      <c r="I201" s="10">
        <v>5</v>
      </c>
      <c r="J201" s="10">
        <v>873</v>
      </c>
      <c r="K201" s="10">
        <v>29002951.777275208</v>
      </c>
    </row>
    <row r="202" spans="1:11" x14ac:dyDescent="0.35">
      <c r="A202" s="9" t="s">
        <v>269</v>
      </c>
      <c r="B202" s="10">
        <v>924</v>
      </c>
      <c r="C202" s="10">
        <v>18</v>
      </c>
      <c r="D202" s="10">
        <v>9</v>
      </c>
      <c r="E202" s="10">
        <v>784</v>
      </c>
      <c r="F202" s="10">
        <v>35778084.368594952</v>
      </c>
      <c r="G202" s="10">
        <v>885</v>
      </c>
      <c r="H202" s="10">
        <v>11</v>
      </c>
      <c r="I202" s="10">
        <v>10</v>
      </c>
      <c r="J202" s="10">
        <v>875</v>
      </c>
      <c r="K202" s="10">
        <v>35355922.793176204</v>
      </c>
    </row>
    <row r="203" spans="1:11" x14ac:dyDescent="0.35">
      <c r="A203" s="9" t="s">
        <v>270</v>
      </c>
      <c r="B203" s="10">
        <v>529</v>
      </c>
      <c r="C203" s="10">
        <v>6</v>
      </c>
      <c r="D203" s="10">
        <v>1</v>
      </c>
      <c r="E203" s="10">
        <v>412</v>
      </c>
      <c r="F203" s="10">
        <v>14775554.93211527</v>
      </c>
      <c r="G203" s="10">
        <v>543</v>
      </c>
      <c r="H203" s="10">
        <v>12</v>
      </c>
      <c r="I203" s="10">
        <v>1</v>
      </c>
      <c r="J203" s="10">
        <v>449</v>
      </c>
      <c r="K203" s="10">
        <v>14521114.129832793</v>
      </c>
    </row>
    <row r="204" spans="1:11" x14ac:dyDescent="0.35">
      <c r="A204" s="9" t="s">
        <v>271</v>
      </c>
      <c r="B204" s="10">
        <v>999</v>
      </c>
      <c r="C204" s="10">
        <v>8</v>
      </c>
      <c r="D204" s="10">
        <v>11</v>
      </c>
      <c r="E204" s="10">
        <v>831</v>
      </c>
      <c r="F204" s="10">
        <v>39544152.726176962</v>
      </c>
      <c r="G204" s="10">
        <v>987</v>
      </c>
      <c r="H204" s="10">
        <v>11</v>
      </c>
      <c r="I204" s="10">
        <v>10</v>
      </c>
      <c r="J204" s="10">
        <v>919</v>
      </c>
      <c r="K204" s="10">
        <v>45982542.557312675</v>
      </c>
    </row>
    <row r="205" spans="1:11" x14ac:dyDescent="0.35">
      <c r="A205" s="9" t="s">
        <v>272</v>
      </c>
      <c r="B205" s="10">
        <v>626</v>
      </c>
      <c r="C205" s="10">
        <v>4</v>
      </c>
      <c r="D205" s="10">
        <v>5</v>
      </c>
      <c r="E205" s="10">
        <v>535</v>
      </c>
      <c r="F205" s="10">
        <v>20973259.223597709</v>
      </c>
      <c r="G205" s="10">
        <v>635</v>
      </c>
      <c r="H205" s="10">
        <v>7</v>
      </c>
      <c r="I205" s="10">
        <v>4</v>
      </c>
      <c r="J205" s="10">
        <v>481</v>
      </c>
      <c r="K205" s="10">
        <v>19982390.912269924</v>
      </c>
    </row>
    <row r="206" spans="1:11" x14ac:dyDescent="0.35">
      <c r="A206" s="9" t="s">
        <v>273</v>
      </c>
      <c r="B206" s="10">
        <v>668</v>
      </c>
      <c r="C206" s="10">
        <v>8</v>
      </c>
      <c r="D206" s="10">
        <v>2</v>
      </c>
      <c r="E206" s="10">
        <v>660</v>
      </c>
      <c r="F206" s="10">
        <v>20150736.911951978</v>
      </c>
      <c r="G206" s="10">
        <v>668</v>
      </c>
      <c r="H206" s="10">
        <v>10</v>
      </c>
      <c r="I206" s="10">
        <v>1</v>
      </c>
      <c r="J206" s="10">
        <v>486</v>
      </c>
      <c r="K206" s="10">
        <v>18301971.78857692</v>
      </c>
    </row>
    <row r="207" spans="1:11" x14ac:dyDescent="0.35">
      <c r="A207" s="9" t="s">
        <v>274</v>
      </c>
      <c r="B207" s="10">
        <v>425</v>
      </c>
      <c r="C207" s="10">
        <v>3</v>
      </c>
      <c r="D207" s="10">
        <v>1</v>
      </c>
      <c r="E207" s="10">
        <v>239</v>
      </c>
      <c r="F207" s="10">
        <v>11765339.145798283</v>
      </c>
      <c r="G207" s="10">
        <v>392</v>
      </c>
      <c r="H207" s="10">
        <v>3</v>
      </c>
      <c r="I207" s="10">
        <v>2</v>
      </c>
      <c r="J207" s="10">
        <v>346</v>
      </c>
      <c r="K207" s="10">
        <v>12485804.58686994</v>
      </c>
    </row>
    <row r="208" spans="1:11" x14ac:dyDescent="0.35">
      <c r="A208" s="9" t="s">
        <v>275</v>
      </c>
      <c r="B208" s="10">
        <v>1209</v>
      </c>
      <c r="C208" s="10">
        <v>21</v>
      </c>
      <c r="D208" s="10">
        <v>8</v>
      </c>
      <c r="E208" s="10">
        <v>1067</v>
      </c>
      <c r="F208" s="10">
        <v>48559386.438498236</v>
      </c>
      <c r="G208" s="10">
        <v>1163</v>
      </c>
      <c r="H208" s="10">
        <v>12</v>
      </c>
      <c r="I208" s="10">
        <v>6</v>
      </c>
      <c r="J208" s="10">
        <v>970</v>
      </c>
      <c r="K208" s="10">
        <v>43750387.368157789</v>
      </c>
    </row>
    <row r="209" spans="1:11" x14ac:dyDescent="0.35">
      <c r="A209" s="9" t="s">
        <v>276</v>
      </c>
      <c r="B209" s="10">
        <v>678</v>
      </c>
      <c r="C209" s="10">
        <v>12</v>
      </c>
      <c r="D209" s="10">
        <v>3</v>
      </c>
      <c r="E209" s="10">
        <v>580</v>
      </c>
      <c r="F209" s="10">
        <v>22888399.98017846</v>
      </c>
      <c r="G209" s="10">
        <v>713</v>
      </c>
      <c r="H209" s="10">
        <v>8</v>
      </c>
      <c r="I209" s="10">
        <v>3</v>
      </c>
      <c r="J209" s="10">
        <v>629</v>
      </c>
      <c r="K209" s="10">
        <v>27799154.840769678</v>
      </c>
    </row>
    <row r="210" spans="1:11" x14ac:dyDescent="0.35">
      <c r="A210" s="9" t="s">
        <v>277</v>
      </c>
      <c r="B210" s="10">
        <v>1046</v>
      </c>
      <c r="C210" s="10">
        <v>19</v>
      </c>
      <c r="D210" s="10">
        <v>8</v>
      </c>
      <c r="E210" s="10">
        <v>995</v>
      </c>
      <c r="F210" s="10">
        <v>30923360.759809069</v>
      </c>
      <c r="G210" s="10">
        <v>1040</v>
      </c>
      <c r="H210" s="10">
        <v>22</v>
      </c>
      <c r="I210" s="10">
        <v>8</v>
      </c>
      <c r="J210" s="10">
        <v>1054</v>
      </c>
      <c r="K210" s="10">
        <v>33413996.470026631</v>
      </c>
    </row>
    <row r="211" spans="1:11" x14ac:dyDescent="0.35">
      <c r="A211" s="9" t="s">
        <v>278</v>
      </c>
      <c r="B211" s="10">
        <v>428</v>
      </c>
      <c r="C211" s="10">
        <v>9</v>
      </c>
      <c r="D211" s="10">
        <v>2</v>
      </c>
      <c r="E211" s="10">
        <v>378</v>
      </c>
      <c r="F211" s="10">
        <v>16987827.36127821</v>
      </c>
      <c r="G211" s="10">
        <v>417</v>
      </c>
      <c r="H211" s="10">
        <v>8</v>
      </c>
      <c r="I211" s="10">
        <v>3</v>
      </c>
      <c r="J211" s="10">
        <v>308</v>
      </c>
      <c r="K211" s="10">
        <v>15438574.482391238</v>
      </c>
    </row>
    <row r="212" spans="1:11" x14ac:dyDescent="0.35">
      <c r="A212" s="9" t="s">
        <v>279</v>
      </c>
      <c r="B212" s="10">
        <v>1984</v>
      </c>
      <c r="C212" s="10">
        <v>289</v>
      </c>
      <c r="D212" s="10">
        <v>12</v>
      </c>
      <c r="E212" s="10">
        <v>1616</v>
      </c>
      <c r="F212" s="10">
        <v>51444708.261049777</v>
      </c>
      <c r="G212" s="10">
        <v>1870</v>
      </c>
      <c r="H212" s="10">
        <v>44</v>
      </c>
      <c r="I212" s="10">
        <v>12</v>
      </c>
      <c r="J212" s="10">
        <v>1743</v>
      </c>
      <c r="K212" s="10">
        <v>64205347.102205992</v>
      </c>
    </row>
    <row r="213" spans="1:11" x14ac:dyDescent="0.35">
      <c r="A213" s="9" t="s">
        <v>280</v>
      </c>
      <c r="B213" s="10">
        <v>1316</v>
      </c>
      <c r="C213" s="10">
        <v>12</v>
      </c>
      <c r="D213" s="10">
        <v>3</v>
      </c>
      <c r="E213" s="10">
        <v>1254</v>
      </c>
      <c r="F213" s="10">
        <v>38340529.464522593</v>
      </c>
      <c r="G213" s="10">
        <v>1282</v>
      </c>
      <c r="H213" s="10">
        <v>16</v>
      </c>
      <c r="I213" s="10">
        <v>3</v>
      </c>
      <c r="J213" s="10">
        <v>1363</v>
      </c>
      <c r="K213" s="10">
        <v>34235839.652069196</v>
      </c>
    </row>
    <row r="214" spans="1:11" x14ac:dyDescent="0.35">
      <c r="A214" s="9" t="s">
        <v>281</v>
      </c>
      <c r="B214" s="10">
        <v>966</v>
      </c>
      <c r="C214" s="10">
        <v>15</v>
      </c>
      <c r="D214" s="10">
        <v>8</v>
      </c>
      <c r="E214" s="10">
        <v>826</v>
      </c>
      <c r="F214" s="10">
        <v>33574905.781067871</v>
      </c>
      <c r="G214" s="10">
        <v>919</v>
      </c>
      <c r="H214" s="10">
        <v>18</v>
      </c>
      <c r="I214" s="10">
        <v>10</v>
      </c>
      <c r="J214" s="10">
        <v>925</v>
      </c>
      <c r="K214" s="10">
        <v>39027898.757952705</v>
      </c>
    </row>
    <row r="215" spans="1:11" x14ac:dyDescent="0.35">
      <c r="A215" s="9" t="s">
        <v>282</v>
      </c>
      <c r="B215" s="10">
        <v>795</v>
      </c>
      <c r="C215" s="10">
        <v>11</v>
      </c>
      <c r="D215" s="10">
        <v>1</v>
      </c>
      <c r="E215" s="10">
        <v>829</v>
      </c>
      <c r="F215" s="10">
        <v>26584797.344115023</v>
      </c>
      <c r="G215" s="10">
        <v>845</v>
      </c>
      <c r="H215" s="10">
        <v>11</v>
      </c>
      <c r="I215" s="10">
        <v>2</v>
      </c>
      <c r="J215" s="10">
        <v>977</v>
      </c>
      <c r="K215" s="10">
        <v>35106178.496362746</v>
      </c>
    </row>
    <row r="216" spans="1:11" x14ac:dyDescent="0.35">
      <c r="A216" s="9" t="s">
        <v>283</v>
      </c>
      <c r="B216" s="10">
        <v>1324</v>
      </c>
      <c r="C216" s="10">
        <v>24</v>
      </c>
      <c r="D216" s="10">
        <v>7</v>
      </c>
      <c r="E216" s="10">
        <v>1122</v>
      </c>
      <c r="F216" s="10">
        <v>40075701.322159767</v>
      </c>
      <c r="G216" s="10">
        <v>1225</v>
      </c>
      <c r="H216" s="10">
        <v>45</v>
      </c>
      <c r="I216" s="10">
        <v>7</v>
      </c>
      <c r="J216" s="10">
        <v>999</v>
      </c>
      <c r="K216" s="10">
        <v>39236948.137743823</v>
      </c>
    </row>
    <row r="217" spans="1:11" x14ac:dyDescent="0.35">
      <c r="A217" s="9" t="s">
        <v>284</v>
      </c>
      <c r="B217" s="10">
        <v>714</v>
      </c>
      <c r="C217" s="10">
        <v>2</v>
      </c>
      <c r="D217" s="10">
        <v>2</v>
      </c>
      <c r="E217" s="10">
        <v>569</v>
      </c>
      <c r="F217" s="10">
        <v>29590673.846824292</v>
      </c>
      <c r="G217" s="10">
        <v>691</v>
      </c>
      <c r="H217" s="10">
        <v>6</v>
      </c>
      <c r="I217" s="10">
        <v>3</v>
      </c>
      <c r="J217" s="10">
        <v>510</v>
      </c>
      <c r="K217" s="10">
        <v>30040227.106011823</v>
      </c>
    </row>
    <row r="218" spans="1:11" x14ac:dyDescent="0.35">
      <c r="A218" s="9" t="s">
        <v>285</v>
      </c>
      <c r="B218" s="10">
        <v>625</v>
      </c>
      <c r="C218" s="10">
        <v>8</v>
      </c>
      <c r="D218" s="10">
        <v>5</v>
      </c>
      <c r="E218" s="10">
        <v>431</v>
      </c>
      <c r="F218" s="10">
        <v>22333285.837607604</v>
      </c>
      <c r="G218" s="10">
        <v>664</v>
      </c>
      <c r="H218" s="10">
        <v>4</v>
      </c>
      <c r="I218" s="10">
        <v>5</v>
      </c>
      <c r="J218" s="10">
        <v>499</v>
      </c>
      <c r="K218" s="10">
        <v>23382290.812229358</v>
      </c>
    </row>
    <row r="219" spans="1:11" x14ac:dyDescent="0.35">
      <c r="A219" s="9" t="s">
        <v>286</v>
      </c>
      <c r="B219" s="10">
        <v>1910</v>
      </c>
      <c r="C219" s="10">
        <v>45</v>
      </c>
      <c r="D219" s="10">
        <v>17</v>
      </c>
      <c r="E219" s="10">
        <v>1965</v>
      </c>
      <c r="F219" s="10">
        <v>70801574.276510477</v>
      </c>
      <c r="G219" s="10">
        <v>1946</v>
      </c>
      <c r="H219" s="10">
        <v>79</v>
      </c>
      <c r="I219" s="10">
        <v>18</v>
      </c>
      <c r="J219" s="10">
        <v>1974</v>
      </c>
      <c r="K219" s="10">
        <v>68517251.000434622</v>
      </c>
    </row>
    <row r="220" spans="1:11" x14ac:dyDescent="0.35">
      <c r="A220" s="9" t="s">
        <v>287</v>
      </c>
      <c r="B220" s="10">
        <v>684</v>
      </c>
      <c r="C220" s="10">
        <v>5</v>
      </c>
      <c r="D220" s="10">
        <v>8</v>
      </c>
      <c r="E220" s="10">
        <v>608</v>
      </c>
      <c r="F220" s="10">
        <v>26901849.458293095</v>
      </c>
      <c r="G220" s="10">
        <v>663</v>
      </c>
      <c r="H220" s="10">
        <v>7</v>
      </c>
      <c r="I220" s="10">
        <v>10</v>
      </c>
      <c r="J220" s="10">
        <v>570</v>
      </c>
      <c r="K220" s="10">
        <v>28129725.632829841</v>
      </c>
    </row>
    <row r="221" spans="1:11" x14ac:dyDescent="0.35">
      <c r="A221" s="9" t="s">
        <v>288</v>
      </c>
      <c r="B221" s="10">
        <v>412</v>
      </c>
      <c r="C221" s="10">
        <v>11</v>
      </c>
      <c r="D221" s="10">
        <v>2</v>
      </c>
      <c r="E221" s="10">
        <v>306</v>
      </c>
      <c r="F221" s="10">
        <v>7678902.9571375139</v>
      </c>
      <c r="G221" s="10">
        <v>306</v>
      </c>
      <c r="H221" s="10">
        <v>4</v>
      </c>
      <c r="I221" s="10">
        <v>1</v>
      </c>
      <c r="J221" s="10">
        <v>279</v>
      </c>
      <c r="K221" s="10">
        <v>7209699.7368626278</v>
      </c>
    </row>
    <row r="222" spans="1:11" x14ac:dyDescent="0.35">
      <c r="A222" s="9" t="s">
        <v>289</v>
      </c>
      <c r="B222" s="10">
        <v>648</v>
      </c>
      <c r="C222" s="10">
        <v>14</v>
      </c>
      <c r="D222" s="10">
        <v>8</v>
      </c>
      <c r="E222" s="10">
        <v>535</v>
      </c>
      <c r="F222" s="10">
        <v>23318441.454195432</v>
      </c>
      <c r="G222" s="10">
        <v>644</v>
      </c>
      <c r="H222" s="10">
        <v>6</v>
      </c>
      <c r="I222" s="10">
        <v>8</v>
      </c>
      <c r="J222" s="10">
        <v>492</v>
      </c>
      <c r="K222" s="10">
        <v>22970689.207067315</v>
      </c>
    </row>
    <row r="223" spans="1:11" x14ac:dyDescent="0.35">
      <c r="A223" s="9" t="s">
        <v>290</v>
      </c>
      <c r="B223" s="10">
        <v>884</v>
      </c>
      <c r="C223" s="10">
        <v>11</v>
      </c>
      <c r="D223" s="10">
        <v>13</v>
      </c>
      <c r="E223" s="10">
        <v>707</v>
      </c>
      <c r="F223" s="10">
        <v>27950156.632679824</v>
      </c>
      <c r="G223" s="10">
        <v>845</v>
      </c>
      <c r="H223" s="10">
        <v>23</v>
      </c>
      <c r="I223" s="10">
        <v>14</v>
      </c>
      <c r="J223" s="10">
        <v>668</v>
      </c>
      <c r="K223" s="10">
        <v>27054977.232140474</v>
      </c>
    </row>
    <row r="224" spans="1:11" x14ac:dyDescent="0.35">
      <c r="A224" s="9" t="s">
        <v>291</v>
      </c>
      <c r="B224" s="10">
        <v>1619</v>
      </c>
      <c r="C224" s="10">
        <v>21</v>
      </c>
      <c r="D224" s="10">
        <v>7</v>
      </c>
      <c r="E224" s="10">
        <v>1458</v>
      </c>
      <c r="F224" s="10">
        <v>45576855.889530286</v>
      </c>
      <c r="G224" s="10">
        <v>1466</v>
      </c>
      <c r="H224" s="10">
        <v>17</v>
      </c>
      <c r="I224" s="10">
        <v>7</v>
      </c>
      <c r="J224" s="10">
        <v>1455</v>
      </c>
      <c r="K224" s="10">
        <v>46427922.950746074</v>
      </c>
    </row>
    <row r="225" spans="1:11" x14ac:dyDescent="0.35">
      <c r="A225" s="9" t="s">
        <v>292</v>
      </c>
      <c r="B225" s="10">
        <v>650</v>
      </c>
      <c r="C225" s="10">
        <v>8</v>
      </c>
      <c r="D225" s="10">
        <v>8</v>
      </c>
      <c r="E225" s="10">
        <v>663</v>
      </c>
      <c r="F225" s="10">
        <v>16559539.65015468</v>
      </c>
      <c r="G225" s="10">
        <v>605</v>
      </c>
      <c r="H225" s="10">
        <v>10</v>
      </c>
      <c r="I225" s="10">
        <v>8</v>
      </c>
      <c r="J225" s="10">
        <v>686</v>
      </c>
      <c r="K225" s="10">
        <v>18532593.028248142</v>
      </c>
    </row>
    <row r="226" spans="1:11" x14ac:dyDescent="0.35">
      <c r="A226" s="9" t="s">
        <v>293</v>
      </c>
      <c r="B226" s="10">
        <v>720</v>
      </c>
      <c r="C226" s="10">
        <v>12</v>
      </c>
      <c r="D226" s="10">
        <v>3</v>
      </c>
      <c r="E226" s="10">
        <v>708</v>
      </c>
      <c r="F226" s="10">
        <v>14663765.578756936</v>
      </c>
      <c r="G226" s="10">
        <v>712</v>
      </c>
      <c r="H226" s="10">
        <v>7</v>
      </c>
      <c r="I226" s="10">
        <v>4</v>
      </c>
      <c r="J226" s="10">
        <v>767</v>
      </c>
      <c r="K226" s="10">
        <v>17280316.224724814</v>
      </c>
    </row>
    <row r="227" spans="1:11" x14ac:dyDescent="0.35">
      <c r="A227" s="9" t="s">
        <v>294</v>
      </c>
      <c r="B227" s="10">
        <v>895</v>
      </c>
      <c r="C227" s="10">
        <v>20</v>
      </c>
      <c r="D227" s="10">
        <v>3</v>
      </c>
      <c r="E227" s="10">
        <v>845</v>
      </c>
      <c r="F227" s="10">
        <v>23632139.908242803</v>
      </c>
      <c r="G227" s="10">
        <v>871</v>
      </c>
      <c r="H227" s="10">
        <v>13</v>
      </c>
      <c r="I227" s="10">
        <v>5</v>
      </c>
      <c r="J227" s="10">
        <v>160</v>
      </c>
      <c r="K227" s="10">
        <v>29286198.46985247</v>
      </c>
    </row>
    <row r="228" spans="1:11" x14ac:dyDescent="0.35">
      <c r="A228" s="9" t="s">
        <v>295</v>
      </c>
      <c r="B228" s="10">
        <v>938</v>
      </c>
      <c r="C228" s="10">
        <v>10</v>
      </c>
      <c r="D228" s="10">
        <v>3</v>
      </c>
      <c r="E228" s="10">
        <v>840</v>
      </c>
      <c r="F228" s="10">
        <v>26532625.316059262</v>
      </c>
      <c r="G228" s="10">
        <v>889</v>
      </c>
      <c r="H228" s="10">
        <v>3</v>
      </c>
      <c r="I228" s="10">
        <v>3</v>
      </c>
      <c r="J228" s="10">
        <v>605</v>
      </c>
      <c r="K228" s="10">
        <v>23910459.000797082</v>
      </c>
    </row>
    <row r="229" spans="1:11" x14ac:dyDescent="0.35">
      <c r="A229" s="9" t="s">
        <v>296</v>
      </c>
      <c r="B229" s="10">
        <v>785</v>
      </c>
      <c r="C229" s="10">
        <v>9</v>
      </c>
      <c r="D229" s="10">
        <v>3</v>
      </c>
      <c r="E229" s="10">
        <v>572</v>
      </c>
      <c r="F229" s="10">
        <v>30727527.587767173</v>
      </c>
      <c r="G229" s="10">
        <v>735</v>
      </c>
      <c r="H229" s="10">
        <v>2</v>
      </c>
      <c r="I229" s="10">
        <v>7</v>
      </c>
      <c r="J229" s="10">
        <v>771</v>
      </c>
      <c r="K229" s="10">
        <v>31746666.973505497</v>
      </c>
    </row>
    <row r="230" spans="1:11" x14ac:dyDescent="0.35">
      <c r="A230" s="9" t="s">
        <v>297</v>
      </c>
      <c r="B230" s="10">
        <v>1150</v>
      </c>
      <c r="C230" s="10">
        <v>10</v>
      </c>
      <c r="D230" s="10">
        <v>5</v>
      </c>
      <c r="E230" s="10">
        <v>943</v>
      </c>
      <c r="F230" s="10">
        <v>31026329.655043226</v>
      </c>
      <c r="G230" s="10">
        <v>1118</v>
      </c>
      <c r="H230" s="10">
        <v>4</v>
      </c>
      <c r="I230" s="10">
        <v>5</v>
      </c>
      <c r="J230" s="10">
        <v>977</v>
      </c>
      <c r="K230" s="10">
        <v>30423609.883915704</v>
      </c>
    </row>
    <row r="231" spans="1:11" x14ac:dyDescent="0.35">
      <c r="A231" s="9" t="s">
        <v>298</v>
      </c>
      <c r="B231" s="10">
        <v>717</v>
      </c>
      <c r="C231" s="10">
        <v>9</v>
      </c>
      <c r="D231" s="10">
        <v>2</v>
      </c>
      <c r="E231" s="10">
        <v>570</v>
      </c>
      <c r="F231" s="10">
        <v>10948498.724842025</v>
      </c>
      <c r="G231" s="10">
        <v>692</v>
      </c>
      <c r="H231" s="10">
        <v>7</v>
      </c>
      <c r="I231" s="10">
        <v>2</v>
      </c>
      <c r="J231" s="10">
        <v>562</v>
      </c>
      <c r="K231" s="10">
        <v>11663760.285542727</v>
      </c>
    </row>
    <row r="232" spans="1:11" x14ac:dyDescent="0.35">
      <c r="A232" s="9" t="s">
        <v>299</v>
      </c>
      <c r="B232" s="10">
        <v>481</v>
      </c>
      <c r="C232" s="10">
        <v>9</v>
      </c>
      <c r="D232" s="10">
        <v>1</v>
      </c>
      <c r="E232" s="10">
        <v>605</v>
      </c>
      <c r="F232" s="10">
        <v>13764772.300590254</v>
      </c>
      <c r="G232" s="10">
        <v>513</v>
      </c>
      <c r="H232" s="10">
        <v>8</v>
      </c>
      <c r="I232" s="10">
        <v>0</v>
      </c>
      <c r="J232" s="10">
        <v>628</v>
      </c>
      <c r="K232" s="10">
        <v>18817430.453471065</v>
      </c>
    </row>
    <row r="233" spans="1:11" x14ac:dyDescent="0.35">
      <c r="A233" s="9" t="s">
        <v>300</v>
      </c>
      <c r="B233" s="10">
        <v>737</v>
      </c>
      <c r="C233" s="10">
        <v>7</v>
      </c>
      <c r="D233" s="10">
        <v>2</v>
      </c>
      <c r="E233" s="10">
        <v>676</v>
      </c>
      <c r="F233" s="10">
        <v>20700410.206586652</v>
      </c>
      <c r="G233" s="10">
        <v>720</v>
      </c>
      <c r="H233" s="10">
        <v>9</v>
      </c>
      <c r="I233" s="10">
        <v>2</v>
      </c>
      <c r="J233" s="10">
        <v>707</v>
      </c>
      <c r="K233" s="10">
        <v>24563813.916493319</v>
      </c>
    </row>
    <row r="234" spans="1:11" x14ac:dyDescent="0.35">
      <c r="A234" s="9" t="s">
        <v>301</v>
      </c>
      <c r="B234" s="10">
        <v>339</v>
      </c>
      <c r="C234" s="10">
        <v>1</v>
      </c>
      <c r="D234" s="10">
        <v>0</v>
      </c>
      <c r="E234" s="10">
        <v>53</v>
      </c>
      <c r="F234" s="10">
        <v>6476951.7316295309</v>
      </c>
      <c r="G234" s="10">
        <v>221</v>
      </c>
      <c r="H234" s="10">
        <v>1</v>
      </c>
      <c r="I234" s="10">
        <v>2</v>
      </c>
      <c r="J234" s="10">
        <v>5</v>
      </c>
      <c r="K234" s="10">
        <v>1044571.035316621</v>
      </c>
    </row>
    <row r="235" spans="1:11" x14ac:dyDescent="0.35">
      <c r="A235" s="9" t="s">
        <v>302</v>
      </c>
      <c r="B235" s="10">
        <v>2457</v>
      </c>
      <c r="C235" s="10">
        <v>41</v>
      </c>
      <c r="D235" s="10">
        <v>10</v>
      </c>
      <c r="E235" s="10">
        <v>3124</v>
      </c>
      <c r="F235" s="10">
        <v>67301770.083275095</v>
      </c>
      <c r="G235" s="10">
        <v>2402</v>
      </c>
      <c r="H235" s="10">
        <v>22</v>
      </c>
      <c r="I235" s="10">
        <v>9</v>
      </c>
      <c r="J235" s="10">
        <v>2270</v>
      </c>
      <c r="K235" s="10">
        <v>84520990.114505947</v>
      </c>
    </row>
    <row r="236" spans="1:11" x14ac:dyDescent="0.35">
      <c r="A236" s="9" t="s">
        <v>303</v>
      </c>
      <c r="B236" s="10">
        <v>1148</v>
      </c>
      <c r="C236" s="10">
        <v>8</v>
      </c>
      <c r="D236" s="10">
        <v>2</v>
      </c>
      <c r="E236" s="10">
        <v>797</v>
      </c>
      <c r="F236" s="10">
        <v>38048955.691146612</v>
      </c>
      <c r="G236" s="10">
        <v>1088</v>
      </c>
      <c r="H236" s="10">
        <v>8</v>
      </c>
      <c r="I236" s="10">
        <v>3</v>
      </c>
      <c r="J236" s="10">
        <v>1056</v>
      </c>
      <c r="K236" s="10">
        <v>37463148.450114086</v>
      </c>
    </row>
    <row r="237" spans="1:11" x14ac:dyDescent="0.35">
      <c r="A237" s="9" t="s">
        <v>304</v>
      </c>
      <c r="B237" s="10">
        <v>489</v>
      </c>
      <c r="C237" s="10">
        <v>4</v>
      </c>
      <c r="D237" s="10">
        <v>3</v>
      </c>
      <c r="E237" s="10">
        <v>439</v>
      </c>
      <c r="F237" s="10">
        <v>10033058.145716073</v>
      </c>
      <c r="G237" s="10">
        <v>534</v>
      </c>
      <c r="H237" s="10">
        <v>5</v>
      </c>
      <c r="I237" s="10">
        <v>3</v>
      </c>
      <c r="J237" s="10">
        <v>538</v>
      </c>
      <c r="K237" s="10">
        <v>14459735.692186255</v>
      </c>
    </row>
    <row r="238" spans="1:11" x14ac:dyDescent="0.35">
      <c r="A238" s="9" t="s">
        <v>305</v>
      </c>
      <c r="B238" s="10">
        <v>921</v>
      </c>
      <c r="C238" s="10">
        <v>8</v>
      </c>
      <c r="D238" s="10">
        <v>3</v>
      </c>
      <c r="E238" s="10">
        <v>842</v>
      </c>
      <c r="F238" s="10">
        <v>20228380.516964585</v>
      </c>
      <c r="G238" s="10">
        <v>916</v>
      </c>
      <c r="H238" s="10">
        <v>10</v>
      </c>
      <c r="I238" s="10">
        <v>5</v>
      </c>
      <c r="J238" s="10">
        <v>806</v>
      </c>
      <c r="K238" s="10">
        <v>18022574.958357815</v>
      </c>
    </row>
    <row r="239" spans="1:11" x14ac:dyDescent="0.35">
      <c r="A239" s="9" t="s">
        <v>306</v>
      </c>
      <c r="B239" s="10">
        <v>906</v>
      </c>
      <c r="C239" s="10">
        <v>11</v>
      </c>
      <c r="D239" s="10">
        <v>4</v>
      </c>
      <c r="E239" s="10">
        <v>803</v>
      </c>
      <c r="F239" s="10">
        <v>28633391.474618122</v>
      </c>
      <c r="G239" s="10">
        <v>878</v>
      </c>
      <c r="H239" s="10">
        <v>10</v>
      </c>
      <c r="I239" s="10">
        <v>3</v>
      </c>
      <c r="J239" s="10">
        <v>779</v>
      </c>
      <c r="K239" s="10">
        <v>25653080.70566465</v>
      </c>
    </row>
    <row r="240" spans="1:11" x14ac:dyDescent="0.35">
      <c r="A240" s="9" t="s">
        <v>307</v>
      </c>
      <c r="B240" s="10">
        <v>2244</v>
      </c>
      <c r="C240" s="10">
        <v>29</v>
      </c>
      <c r="D240" s="10">
        <v>5</v>
      </c>
      <c r="E240" s="10">
        <v>1037</v>
      </c>
      <c r="F240" s="10">
        <v>57710926.304418772</v>
      </c>
      <c r="G240" s="10">
        <v>2078</v>
      </c>
      <c r="H240" s="10">
        <v>20</v>
      </c>
      <c r="I240" s="10">
        <v>4</v>
      </c>
      <c r="J240" s="10">
        <v>1758</v>
      </c>
      <c r="K240" s="10">
        <v>59348681.694038309</v>
      </c>
    </row>
    <row r="241" spans="1:11" x14ac:dyDescent="0.35">
      <c r="A241" s="9" t="s">
        <v>308</v>
      </c>
      <c r="B241" s="10">
        <v>169</v>
      </c>
      <c r="C241" s="10">
        <v>4</v>
      </c>
      <c r="D241" s="10">
        <v>0</v>
      </c>
      <c r="E241" s="10">
        <v>162</v>
      </c>
      <c r="F241" s="10">
        <v>3696386.4918515449</v>
      </c>
      <c r="G241" s="10">
        <v>179</v>
      </c>
      <c r="H241" s="10">
        <v>1</v>
      </c>
      <c r="I241" s="10">
        <v>1</v>
      </c>
      <c r="J241" s="10">
        <v>198</v>
      </c>
      <c r="K241" s="10">
        <v>4045133.9251499353</v>
      </c>
    </row>
    <row r="242" spans="1:11" x14ac:dyDescent="0.35">
      <c r="A242" s="9" t="s">
        <v>309</v>
      </c>
      <c r="B242" s="10">
        <v>662</v>
      </c>
      <c r="C242" s="10">
        <v>10</v>
      </c>
      <c r="D242" s="10">
        <v>6</v>
      </c>
      <c r="E242" s="10">
        <v>616</v>
      </c>
      <c r="F242" s="10">
        <v>15049592.893331524</v>
      </c>
      <c r="G242" s="10">
        <v>715</v>
      </c>
      <c r="H242" s="10">
        <v>11</v>
      </c>
      <c r="I242" s="10">
        <v>6</v>
      </c>
      <c r="J242" s="10">
        <v>623</v>
      </c>
      <c r="K242" s="10">
        <v>18528119.397668879</v>
      </c>
    </row>
    <row r="243" spans="1:11" x14ac:dyDescent="0.35">
      <c r="A243" s="9" t="s">
        <v>310</v>
      </c>
      <c r="B243" s="10">
        <v>614</v>
      </c>
      <c r="C243" s="10">
        <v>17</v>
      </c>
      <c r="D243" s="10">
        <v>1</v>
      </c>
      <c r="E243" s="10">
        <v>500</v>
      </c>
      <c r="F243" s="10">
        <v>15084514.02446047</v>
      </c>
      <c r="G243" s="10">
        <v>612</v>
      </c>
      <c r="H243" s="10">
        <v>6</v>
      </c>
      <c r="I243" s="10">
        <v>1</v>
      </c>
      <c r="J243" s="10">
        <v>494</v>
      </c>
      <c r="K243" s="10">
        <v>14761850.541429643</v>
      </c>
    </row>
    <row r="244" spans="1:11" x14ac:dyDescent="0.35">
      <c r="A244" s="9" t="s">
        <v>311</v>
      </c>
      <c r="B244" s="10">
        <v>863</v>
      </c>
      <c r="C244" s="10">
        <v>11</v>
      </c>
      <c r="D244" s="10">
        <v>3</v>
      </c>
      <c r="E244" s="10">
        <v>851</v>
      </c>
      <c r="F244" s="10">
        <v>25784790.018592484</v>
      </c>
      <c r="G244" s="10">
        <v>892</v>
      </c>
      <c r="H244" s="10">
        <v>4</v>
      </c>
      <c r="I244" s="10">
        <v>4</v>
      </c>
      <c r="J244" s="10">
        <v>855</v>
      </c>
      <c r="K244" s="10">
        <v>26278259.631542034</v>
      </c>
    </row>
    <row r="245" spans="1:11" x14ac:dyDescent="0.35">
      <c r="A245" s="9" t="s">
        <v>312</v>
      </c>
      <c r="B245" s="10">
        <v>448</v>
      </c>
      <c r="C245" s="10">
        <v>5</v>
      </c>
      <c r="D245" s="10">
        <v>1</v>
      </c>
      <c r="E245" s="10">
        <v>416</v>
      </c>
      <c r="F245" s="10">
        <v>15522695.963589936</v>
      </c>
      <c r="G245" s="10">
        <v>446</v>
      </c>
      <c r="H245" s="10">
        <v>5</v>
      </c>
      <c r="I245" s="10">
        <v>0</v>
      </c>
      <c r="J245" s="10">
        <v>346</v>
      </c>
      <c r="K245" s="10">
        <v>15717001.147318238</v>
      </c>
    </row>
    <row r="246" spans="1:11" x14ac:dyDescent="0.35">
      <c r="A246" s="9" t="s">
        <v>313</v>
      </c>
      <c r="B246" s="10">
        <v>1045</v>
      </c>
      <c r="C246" s="10">
        <v>7</v>
      </c>
      <c r="D246" s="10">
        <v>3</v>
      </c>
      <c r="E246" s="10">
        <v>1034</v>
      </c>
      <c r="F246" s="10">
        <v>19009482.425389014</v>
      </c>
      <c r="G246" s="10">
        <v>1006</v>
      </c>
      <c r="H246" s="10">
        <v>6</v>
      </c>
      <c r="I246" s="10">
        <v>4</v>
      </c>
      <c r="J246" s="10">
        <v>986</v>
      </c>
      <c r="K246" s="10">
        <v>18163702.08775169</v>
      </c>
    </row>
    <row r="247" spans="1:11" x14ac:dyDescent="0.35">
      <c r="A247" s="9" t="s">
        <v>314</v>
      </c>
      <c r="B247" s="10">
        <v>1419</v>
      </c>
      <c r="C247" s="10">
        <v>16</v>
      </c>
      <c r="D247" s="10">
        <v>4</v>
      </c>
      <c r="E247" s="10">
        <v>1384</v>
      </c>
      <c r="F247" s="10">
        <v>26181370.692497615</v>
      </c>
      <c r="G247" s="10">
        <v>1470</v>
      </c>
      <c r="H247" s="10">
        <v>12</v>
      </c>
      <c r="I247" s="10">
        <v>6</v>
      </c>
      <c r="J247" s="10">
        <v>1570</v>
      </c>
      <c r="K247" s="10">
        <v>26128698.910993394</v>
      </c>
    </row>
    <row r="248" spans="1:11" x14ac:dyDescent="0.35">
      <c r="A248" s="9" t="s">
        <v>315</v>
      </c>
      <c r="B248" s="10">
        <v>1100</v>
      </c>
      <c r="C248" s="10">
        <v>7</v>
      </c>
      <c r="D248" s="10">
        <v>3</v>
      </c>
      <c r="E248" s="10">
        <v>949</v>
      </c>
      <c r="F248" s="10">
        <v>28054714.821176462</v>
      </c>
      <c r="G248" s="10">
        <v>1127</v>
      </c>
      <c r="H248" s="10">
        <v>12</v>
      </c>
      <c r="I248" s="10">
        <v>6</v>
      </c>
      <c r="J248" s="10">
        <v>1032</v>
      </c>
      <c r="K248" s="10">
        <v>36206180.059808582</v>
      </c>
    </row>
    <row r="249" spans="1:11" x14ac:dyDescent="0.35">
      <c r="A249" s="9" t="s">
        <v>316</v>
      </c>
      <c r="B249" s="10">
        <v>619</v>
      </c>
      <c r="C249" s="10">
        <v>12</v>
      </c>
      <c r="D249" s="10">
        <v>4</v>
      </c>
      <c r="E249" s="10">
        <v>561</v>
      </c>
      <c r="F249" s="10">
        <v>15929209.968233334</v>
      </c>
      <c r="G249" s="10">
        <v>586</v>
      </c>
      <c r="H249" s="10">
        <v>3</v>
      </c>
      <c r="I249" s="10">
        <v>3</v>
      </c>
      <c r="J249" s="10">
        <v>567</v>
      </c>
      <c r="K249" s="10">
        <v>17147862.220817875</v>
      </c>
    </row>
    <row r="250" spans="1:11" x14ac:dyDescent="0.35">
      <c r="A250" s="9" t="s">
        <v>317</v>
      </c>
      <c r="B250" s="10">
        <v>899</v>
      </c>
      <c r="C250" s="10">
        <v>12</v>
      </c>
      <c r="D250" s="10">
        <v>3</v>
      </c>
      <c r="E250" s="10">
        <v>737</v>
      </c>
      <c r="F250" s="10">
        <v>26093843.593773652</v>
      </c>
      <c r="G250" s="10">
        <v>873</v>
      </c>
      <c r="H250" s="10">
        <v>8</v>
      </c>
      <c r="I250" s="10">
        <v>3</v>
      </c>
      <c r="J250" s="10">
        <v>732</v>
      </c>
      <c r="K250" s="10">
        <v>27855522.380856648</v>
      </c>
    </row>
    <row r="251" spans="1:11" x14ac:dyDescent="0.35">
      <c r="A251" s="9" t="s">
        <v>318</v>
      </c>
      <c r="B251" s="10">
        <v>1171</v>
      </c>
      <c r="C251" s="10">
        <v>18</v>
      </c>
      <c r="D251" s="10">
        <v>0</v>
      </c>
      <c r="E251" s="10">
        <v>1048</v>
      </c>
      <c r="F251" s="10">
        <v>31018842.832238127</v>
      </c>
      <c r="G251" s="10">
        <v>1122</v>
      </c>
      <c r="H251" s="10">
        <v>9</v>
      </c>
      <c r="I251" s="10">
        <v>1</v>
      </c>
      <c r="J251" s="10">
        <v>1016</v>
      </c>
      <c r="K251" s="10">
        <v>27956353.442114074</v>
      </c>
    </row>
    <row r="252" spans="1:11" x14ac:dyDescent="0.35">
      <c r="A252" s="9" t="s">
        <v>319</v>
      </c>
      <c r="B252" s="10">
        <v>947</v>
      </c>
      <c r="C252" s="10">
        <v>9</v>
      </c>
      <c r="D252" s="10">
        <v>6</v>
      </c>
      <c r="E252" s="10">
        <v>814</v>
      </c>
      <c r="F252" s="10">
        <v>19048495.703562014</v>
      </c>
      <c r="G252" s="10">
        <v>946</v>
      </c>
      <c r="H252" s="10">
        <v>10</v>
      </c>
      <c r="I252" s="10">
        <v>5</v>
      </c>
      <c r="J252" s="10">
        <v>829</v>
      </c>
      <c r="K252" s="10">
        <v>19863878.262273967</v>
      </c>
    </row>
    <row r="253" spans="1:11" x14ac:dyDescent="0.35">
      <c r="A253" s="9" t="s">
        <v>320</v>
      </c>
      <c r="B253" s="10">
        <v>666</v>
      </c>
      <c r="C253" s="10">
        <v>3</v>
      </c>
      <c r="D253" s="10">
        <v>5</v>
      </c>
      <c r="E253" s="10">
        <v>704</v>
      </c>
      <c r="F253" s="10">
        <v>16439909.333008248</v>
      </c>
      <c r="G253" s="10">
        <v>633</v>
      </c>
      <c r="H253" s="10">
        <v>3</v>
      </c>
      <c r="I253" s="10">
        <v>4</v>
      </c>
      <c r="J253" s="10">
        <v>663</v>
      </c>
      <c r="K253" s="10">
        <v>15979451.086020712</v>
      </c>
    </row>
    <row r="254" spans="1:11" x14ac:dyDescent="0.35">
      <c r="A254" s="9" t="s">
        <v>321</v>
      </c>
      <c r="B254" s="10">
        <v>981</v>
      </c>
      <c r="C254" s="10">
        <v>56</v>
      </c>
      <c r="D254" s="10">
        <v>8</v>
      </c>
      <c r="E254" s="10">
        <v>979</v>
      </c>
      <c r="F254" s="10">
        <v>25498228.923667878</v>
      </c>
      <c r="G254" s="10">
        <v>880</v>
      </c>
      <c r="H254" s="10">
        <v>5</v>
      </c>
      <c r="I254" s="10">
        <v>6</v>
      </c>
      <c r="J254" s="10">
        <v>906</v>
      </c>
      <c r="K254" s="10">
        <v>23061105.774379212</v>
      </c>
    </row>
    <row r="255" spans="1:11" x14ac:dyDescent="0.35">
      <c r="A255" s="9" t="s">
        <v>322</v>
      </c>
      <c r="B255" s="10">
        <v>1353</v>
      </c>
      <c r="C255" s="10">
        <v>18</v>
      </c>
      <c r="D255" s="10">
        <v>6</v>
      </c>
      <c r="E255" s="10">
        <v>1093</v>
      </c>
      <c r="F255" s="10">
        <v>30299640.100402024</v>
      </c>
      <c r="G255" s="10">
        <v>1888</v>
      </c>
      <c r="H255" s="10">
        <v>19</v>
      </c>
      <c r="I255" s="10">
        <v>6</v>
      </c>
      <c r="J255" s="10">
        <v>1064</v>
      </c>
      <c r="K255" s="10">
        <v>31220996.671041921</v>
      </c>
    </row>
    <row r="256" spans="1:11" x14ac:dyDescent="0.35">
      <c r="A256" s="9" t="s">
        <v>323</v>
      </c>
      <c r="B256" s="10">
        <v>1129</v>
      </c>
      <c r="C256" s="10">
        <v>11</v>
      </c>
      <c r="D256" s="10">
        <v>7</v>
      </c>
      <c r="E256" s="10">
        <v>937</v>
      </c>
      <c r="F256" s="10">
        <v>25746507.186682194</v>
      </c>
      <c r="G256" s="10">
        <v>1104</v>
      </c>
      <c r="H256" s="10">
        <v>10</v>
      </c>
      <c r="I256" s="10">
        <v>6</v>
      </c>
      <c r="J256" s="10">
        <v>982</v>
      </c>
      <c r="K256" s="10">
        <v>27467856.362968586</v>
      </c>
    </row>
    <row r="257" spans="1:11" x14ac:dyDescent="0.35">
      <c r="A257" s="9" t="s">
        <v>324</v>
      </c>
      <c r="B257" s="10">
        <v>920</v>
      </c>
      <c r="C257" s="10">
        <v>8</v>
      </c>
      <c r="D257" s="10">
        <v>5</v>
      </c>
      <c r="E257" s="10">
        <v>830</v>
      </c>
      <c r="F257" s="10">
        <v>25563451.292074069</v>
      </c>
      <c r="G257" s="10">
        <v>887</v>
      </c>
      <c r="H257" s="10">
        <v>6</v>
      </c>
      <c r="I257" s="10">
        <v>7</v>
      </c>
      <c r="J257" s="10">
        <v>914</v>
      </c>
      <c r="K257" s="10">
        <v>27389853.626450319</v>
      </c>
    </row>
    <row r="258" spans="1:11" x14ac:dyDescent="0.35">
      <c r="A258" s="9" t="s">
        <v>325</v>
      </c>
      <c r="B258" s="10">
        <v>1100</v>
      </c>
      <c r="C258" s="10">
        <v>13</v>
      </c>
      <c r="D258" s="10">
        <v>5</v>
      </c>
      <c r="E258" s="10">
        <v>901</v>
      </c>
      <c r="F258" s="10">
        <v>27036812.530657701</v>
      </c>
      <c r="G258" s="10">
        <v>1112</v>
      </c>
      <c r="H258" s="10">
        <v>20</v>
      </c>
      <c r="I258" s="10">
        <v>6</v>
      </c>
      <c r="J258" s="10">
        <v>1054</v>
      </c>
      <c r="K258" s="10">
        <v>32139567.383826464</v>
      </c>
    </row>
    <row r="259" spans="1:11" x14ac:dyDescent="0.35">
      <c r="A259" s="9" t="s">
        <v>326</v>
      </c>
      <c r="B259" s="10">
        <v>919</v>
      </c>
      <c r="C259" s="10">
        <v>7</v>
      </c>
      <c r="D259" s="10">
        <v>2</v>
      </c>
      <c r="E259" s="10">
        <v>846</v>
      </c>
      <c r="F259" s="10">
        <v>15125176.769050358</v>
      </c>
      <c r="G259" s="10">
        <v>868</v>
      </c>
      <c r="H259" s="10">
        <v>3</v>
      </c>
      <c r="I259" s="10">
        <v>3</v>
      </c>
      <c r="J259" s="10">
        <v>864</v>
      </c>
      <c r="K259" s="10">
        <v>14372745.952094549</v>
      </c>
    </row>
    <row r="260" spans="1:11" x14ac:dyDescent="0.35">
      <c r="A260" s="9" t="s">
        <v>327</v>
      </c>
      <c r="B260" s="10">
        <v>909</v>
      </c>
      <c r="C260" s="10">
        <v>10</v>
      </c>
      <c r="D260" s="10">
        <v>1</v>
      </c>
      <c r="E260" s="10">
        <v>771</v>
      </c>
      <c r="F260" s="10">
        <v>22331200.600492232</v>
      </c>
      <c r="G260" s="10">
        <v>864</v>
      </c>
      <c r="H260" s="10">
        <v>7</v>
      </c>
      <c r="I260" s="10">
        <v>1</v>
      </c>
      <c r="J260" s="10">
        <v>768</v>
      </c>
      <c r="K260" s="10">
        <v>16530369.025348684</v>
      </c>
    </row>
    <row r="261" spans="1:11" x14ac:dyDescent="0.35">
      <c r="A261" s="9" t="s">
        <v>328</v>
      </c>
      <c r="B261" s="10">
        <v>1732</v>
      </c>
      <c r="C261" s="10">
        <v>26</v>
      </c>
      <c r="D261" s="10">
        <v>8</v>
      </c>
      <c r="E261" s="10">
        <v>1710</v>
      </c>
      <c r="F261" s="10">
        <v>41901158.27943249</v>
      </c>
      <c r="G261" s="10">
        <v>1661</v>
      </c>
      <c r="H261" s="10">
        <v>23</v>
      </c>
      <c r="I261" s="10">
        <v>5</v>
      </c>
      <c r="J261" s="10">
        <v>1637</v>
      </c>
      <c r="K261" s="10">
        <v>41596788.770549342</v>
      </c>
    </row>
    <row r="262" spans="1:11" x14ac:dyDescent="0.35">
      <c r="A262" s="9" t="s">
        <v>329</v>
      </c>
      <c r="B262" s="10">
        <v>2125</v>
      </c>
      <c r="C262" s="10">
        <v>34</v>
      </c>
      <c r="D262" s="10">
        <v>14</v>
      </c>
      <c r="E262" s="10">
        <v>2021</v>
      </c>
      <c r="F262" s="10">
        <v>60645527.143846914</v>
      </c>
      <c r="G262" s="10">
        <v>2108</v>
      </c>
      <c r="H262" s="10">
        <v>26</v>
      </c>
      <c r="I262" s="10">
        <v>14</v>
      </c>
      <c r="J262" s="10">
        <v>2189</v>
      </c>
      <c r="K262" s="10">
        <v>67341602.120426327</v>
      </c>
    </row>
    <row r="263" spans="1:11" x14ac:dyDescent="0.35">
      <c r="A263" s="9" t="s">
        <v>330</v>
      </c>
      <c r="B263" s="10">
        <v>1210</v>
      </c>
      <c r="C263" s="10">
        <v>14</v>
      </c>
      <c r="D263" s="10">
        <v>5</v>
      </c>
      <c r="E263" s="10">
        <v>937</v>
      </c>
      <c r="F263" s="10">
        <v>35913121.715084985</v>
      </c>
      <c r="G263" s="10">
        <v>1181</v>
      </c>
      <c r="H263" s="10">
        <v>17</v>
      </c>
      <c r="I263" s="10">
        <v>5</v>
      </c>
      <c r="J263" s="10">
        <v>934</v>
      </c>
      <c r="K263" s="10">
        <v>38582830.788785428</v>
      </c>
    </row>
    <row r="264" spans="1:11" x14ac:dyDescent="0.35">
      <c r="A264" s="9" t="s">
        <v>331</v>
      </c>
      <c r="B264" s="10">
        <v>773</v>
      </c>
      <c r="C264" s="10">
        <v>7</v>
      </c>
      <c r="D264" s="10">
        <v>4</v>
      </c>
      <c r="E264" s="10">
        <v>637</v>
      </c>
      <c r="F264" s="10">
        <v>17001332.832735494</v>
      </c>
      <c r="G264" s="10">
        <v>740</v>
      </c>
      <c r="H264" s="10">
        <v>16</v>
      </c>
      <c r="I264" s="10">
        <v>4</v>
      </c>
      <c r="J264" s="10">
        <v>678</v>
      </c>
      <c r="K264" s="10">
        <v>17442213.52778855</v>
      </c>
    </row>
    <row r="265" spans="1:11" x14ac:dyDescent="0.35">
      <c r="A265" s="9" t="s">
        <v>332</v>
      </c>
      <c r="B265" s="10">
        <v>1365</v>
      </c>
      <c r="C265" s="10">
        <v>26</v>
      </c>
      <c r="D265" s="10">
        <v>6</v>
      </c>
      <c r="E265" s="10">
        <v>1357</v>
      </c>
      <c r="F265" s="10">
        <v>48143818.312240005</v>
      </c>
      <c r="G265" s="10">
        <v>1319</v>
      </c>
      <c r="H265" s="10">
        <v>22</v>
      </c>
      <c r="I265" s="10">
        <v>4</v>
      </c>
      <c r="J265" s="10">
        <v>1191</v>
      </c>
      <c r="K265" s="10">
        <v>45578156.82626529</v>
      </c>
    </row>
    <row r="266" spans="1:11" x14ac:dyDescent="0.35">
      <c r="A266" s="9" t="s">
        <v>333</v>
      </c>
      <c r="B266" s="10">
        <v>792</v>
      </c>
      <c r="C266" s="10">
        <v>8</v>
      </c>
      <c r="D266" s="10">
        <v>1</v>
      </c>
      <c r="E266" s="10">
        <v>715</v>
      </c>
      <c r="F266" s="10">
        <v>12591807.536451736</v>
      </c>
      <c r="G266" s="10">
        <v>762</v>
      </c>
      <c r="H266" s="10">
        <v>0</v>
      </c>
      <c r="I266" s="10">
        <v>1</v>
      </c>
      <c r="J266" s="10">
        <v>708</v>
      </c>
      <c r="K266" s="10">
        <v>12749380.374276845</v>
      </c>
    </row>
    <row r="267" spans="1:11" x14ac:dyDescent="0.35">
      <c r="A267" s="9" t="s">
        <v>334</v>
      </c>
      <c r="B267" s="10">
        <v>2184</v>
      </c>
      <c r="C267" s="10">
        <v>119</v>
      </c>
      <c r="D267" s="10">
        <v>6</v>
      </c>
      <c r="E267" s="10">
        <v>2067</v>
      </c>
      <c r="F267" s="10">
        <v>50931555.852632448</v>
      </c>
      <c r="G267" s="10">
        <v>2099</v>
      </c>
      <c r="H267" s="10">
        <v>51</v>
      </c>
      <c r="I267" s="10">
        <v>6</v>
      </c>
      <c r="J267" s="10">
        <v>2072</v>
      </c>
      <c r="K267" s="10">
        <v>56711337.272890687</v>
      </c>
    </row>
    <row r="268" spans="1:11" x14ac:dyDescent="0.35">
      <c r="A268" s="9" t="s">
        <v>335</v>
      </c>
      <c r="B268" s="10">
        <v>1991</v>
      </c>
      <c r="C268" s="10">
        <v>13</v>
      </c>
      <c r="D268" s="10">
        <v>6</v>
      </c>
      <c r="E268" s="10">
        <v>1419</v>
      </c>
      <c r="F268" s="10">
        <v>50395931.666083157</v>
      </c>
      <c r="G268" s="10">
        <v>2032</v>
      </c>
      <c r="H268" s="10">
        <v>20</v>
      </c>
      <c r="I268" s="10">
        <v>7</v>
      </c>
      <c r="J268" s="10">
        <v>1497</v>
      </c>
      <c r="K268" s="10">
        <v>55793839.991511911</v>
      </c>
    </row>
    <row r="269" spans="1:11" x14ac:dyDescent="0.35">
      <c r="A269" s="9" t="s">
        <v>336</v>
      </c>
      <c r="B269" s="10">
        <v>607</v>
      </c>
      <c r="C269" s="10">
        <v>5</v>
      </c>
      <c r="D269" s="10">
        <v>2</v>
      </c>
      <c r="E269" s="10">
        <v>958</v>
      </c>
      <c r="F269" s="10">
        <v>14994931.151787974</v>
      </c>
      <c r="G269" s="10">
        <v>586</v>
      </c>
      <c r="H269" s="10">
        <v>3</v>
      </c>
      <c r="I269" s="10">
        <v>3</v>
      </c>
      <c r="J269" s="10">
        <v>675</v>
      </c>
      <c r="K269" s="10">
        <v>14550780.974707318</v>
      </c>
    </row>
    <row r="270" spans="1:11" x14ac:dyDescent="0.35">
      <c r="A270" s="9" t="s">
        <v>337</v>
      </c>
      <c r="B270" s="10">
        <v>1122</v>
      </c>
      <c r="C270" s="10">
        <v>12</v>
      </c>
      <c r="D270" s="10">
        <v>5</v>
      </c>
      <c r="E270" s="10">
        <v>1203</v>
      </c>
      <c r="F270" s="10">
        <v>30381595.616942421</v>
      </c>
      <c r="G270" s="10">
        <v>1100</v>
      </c>
      <c r="H270" s="10">
        <v>14</v>
      </c>
      <c r="I270" s="10">
        <v>5</v>
      </c>
      <c r="J270" s="10">
        <v>1062</v>
      </c>
      <c r="K270" s="10">
        <v>32140744.048506394</v>
      </c>
    </row>
    <row r="271" spans="1:11" x14ac:dyDescent="0.35">
      <c r="A271" s="9" t="s">
        <v>338</v>
      </c>
      <c r="B271" s="10">
        <v>1570</v>
      </c>
      <c r="C271" s="10">
        <v>16</v>
      </c>
      <c r="D271" s="10">
        <v>5</v>
      </c>
      <c r="E271" s="10">
        <v>1460</v>
      </c>
      <c r="F271" s="10">
        <v>37490910.151940957</v>
      </c>
      <c r="G271" s="10">
        <v>1583</v>
      </c>
      <c r="H271" s="10">
        <v>15</v>
      </c>
      <c r="I271" s="10">
        <v>4</v>
      </c>
      <c r="J271" s="10">
        <v>1446</v>
      </c>
      <c r="K271" s="10">
        <v>40146723.041956753</v>
      </c>
    </row>
    <row r="272" spans="1:11" x14ac:dyDescent="0.35">
      <c r="A272" s="9" t="s">
        <v>339</v>
      </c>
      <c r="B272" s="10">
        <v>684</v>
      </c>
      <c r="C272" s="10">
        <v>5</v>
      </c>
      <c r="D272" s="10">
        <v>2</v>
      </c>
      <c r="E272" s="10">
        <v>638</v>
      </c>
      <c r="F272" s="10">
        <v>18979665.357711546</v>
      </c>
      <c r="G272" s="10">
        <v>682</v>
      </c>
      <c r="H272" s="10">
        <v>7</v>
      </c>
      <c r="I272" s="10">
        <v>2</v>
      </c>
      <c r="J272" s="10">
        <v>594</v>
      </c>
      <c r="K272" s="10">
        <v>18647996.086197577</v>
      </c>
    </row>
    <row r="273" spans="1:11" x14ac:dyDescent="0.35">
      <c r="A273" s="9" t="s">
        <v>340</v>
      </c>
      <c r="B273" s="10">
        <v>1053</v>
      </c>
      <c r="C273" s="10">
        <v>12</v>
      </c>
      <c r="D273" s="10">
        <v>2</v>
      </c>
      <c r="E273" s="10">
        <v>853</v>
      </c>
      <c r="F273" s="10">
        <v>21051859.116970241</v>
      </c>
      <c r="G273" s="10">
        <v>999</v>
      </c>
      <c r="H273" s="10">
        <v>4</v>
      </c>
      <c r="I273" s="10">
        <v>2</v>
      </c>
      <c r="J273" s="10">
        <v>818</v>
      </c>
      <c r="K273" s="10">
        <v>22364474.353352562</v>
      </c>
    </row>
    <row r="274" spans="1:11" x14ac:dyDescent="0.35">
      <c r="A274" s="9" t="s">
        <v>341</v>
      </c>
      <c r="B274" s="10">
        <v>1297</v>
      </c>
      <c r="C274" s="10">
        <v>15</v>
      </c>
      <c r="D274" s="10">
        <v>3</v>
      </c>
      <c r="E274" s="10">
        <v>1124</v>
      </c>
      <c r="F274" s="10">
        <v>38419854.143640965</v>
      </c>
      <c r="G274" s="10">
        <v>1306</v>
      </c>
      <c r="H274" s="10">
        <v>8</v>
      </c>
      <c r="I274" s="10">
        <v>4</v>
      </c>
      <c r="J274" s="10">
        <v>1109</v>
      </c>
      <c r="K274" s="10">
        <v>44971575.983432464</v>
      </c>
    </row>
    <row r="275" spans="1:11" x14ac:dyDescent="0.35">
      <c r="A275" s="9" t="s">
        <v>342</v>
      </c>
      <c r="B275" s="10">
        <v>1107</v>
      </c>
      <c r="C275" s="10">
        <v>12</v>
      </c>
      <c r="D275" s="10">
        <v>4</v>
      </c>
      <c r="E275" s="10">
        <v>1054</v>
      </c>
      <c r="F275" s="10">
        <v>36703566.636141919</v>
      </c>
      <c r="G275" s="10">
        <v>1123</v>
      </c>
      <c r="H275" s="10">
        <v>19</v>
      </c>
      <c r="I275" s="10">
        <v>5</v>
      </c>
      <c r="J275" s="10">
        <v>1156</v>
      </c>
      <c r="K275" s="10">
        <v>41712137.840563133</v>
      </c>
    </row>
    <row r="276" spans="1:11" x14ac:dyDescent="0.35">
      <c r="A276" s="9" t="s">
        <v>343</v>
      </c>
      <c r="B276" s="10">
        <v>581</v>
      </c>
      <c r="C276" s="10">
        <v>6</v>
      </c>
      <c r="D276" s="10">
        <v>2</v>
      </c>
      <c r="E276" s="10">
        <v>609</v>
      </c>
      <c r="F276" s="10">
        <v>13624533.276950706</v>
      </c>
      <c r="G276" s="10">
        <v>603</v>
      </c>
      <c r="H276" s="10">
        <v>10</v>
      </c>
      <c r="I276" s="10">
        <v>2</v>
      </c>
      <c r="J276" s="10">
        <v>810</v>
      </c>
      <c r="K276" s="10">
        <v>17242657.47646739</v>
      </c>
    </row>
    <row r="277" spans="1:11" x14ac:dyDescent="0.35">
      <c r="A277" s="9" t="s">
        <v>344</v>
      </c>
      <c r="B277" s="10">
        <v>895</v>
      </c>
      <c r="C277" s="10">
        <v>6</v>
      </c>
      <c r="D277" s="10">
        <v>9</v>
      </c>
      <c r="E277" s="10">
        <v>901</v>
      </c>
      <c r="F277" s="10">
        <v>29961585.979090255</v>
      </c>
      <c r="G277" s="10">
        <v>879</v>
      </c>
      <c r="H277" s="10">
        <v>11</v>
      </c>
      <c r="I277" s="10">
        <v>8</v>
      </c>
      <c r="J277" s="10">
        <v>927</v>
      </c>
      <c r="K277" s="10">
        <v>31820415.574402064</v>
      </c>
    </row>
    <row r="278" spans="1:11" x14ac:dyDescent="0.35">
      <c r="A278" s="9" t="s">
        <v>345</v>
      </c>
      <c r="B278" s="10">
        <v>752</v>
      </c>
      <c r="C278" s="10">
        <v>7</v>
      </c>
      <c r="D278" s="10">
        <v>6</v>
      </c>
      <c r="E278" s="10">
        <v>519</v>
      </c>
      <c r="F278" s="10">
        <v>12245909.757971587</v>
      </c>
      <c r="G278" s="10">
        <v>724</v>
      </c>
      <c r="H278" s="10">
        <v>1</v>
      </c>
      <c r="I278" s="10">
        <v>7</v>
      </c>
      <c r="J278" s="10">
        <v>537</v>
      </c>
      <c r="K278" s="10">
        <v>14790388.892777298</v>
      </c>
    </row>
    <row r="279" spans="1:11" x14ac:dyDescent="0.35">
      <c r="A279" s="9" t="s">
        <v>346</v>
      </c>
      <c r="B279" s="10">
        <v>323</v>
      </c>
      <c r="C279" s="10">
        <v>4</v>
      </c>
      <c r="D279" s="10">
        <v>3</v>
      </c>
      <c r="E279" s="10">
        <v>284</v>
      </c>
      <c r="F279" s="10">
        <v>12276389.549462248</v>
      </c>
      <c r="G279" s="10">
        <v>310</v>
      </c>
      <c r="H279" s="10">
        <v>2</v>
      </c>
      <c r="I279" s="10">
        <v>3</v>
      </c>
      <c r="J279" s="10">
        <v>263</v>
      </c>
      <c r="K279" s="10">
        <v>12883779.052697368</v>
      </c>
    </row>
    <row r="280" spans="1:11" x14ac:dyDescent="0.35">
      <c r="A280" s="9" t="s">
        <v>347</v>
      </c>
      <c r="B280" s="10">
        <v>400</v>
      </c>
      <c r="C280" s="10">
        <v>3</v>
      </c>
      <c r="D280" s="10">
        <v>7</v>
      </c>
      <c r="E280" s="10">
        <v>307</v>
      </c>
      <c r="F280" s="10">
        <v>12949993.478380026</v>
      </c>
      <c r="G280" s="10">
        <v>409</v>
      </c>
      <c r="H280" s="10">
        <v>3</v>
      </c>
      <c r="I280" s="10">
        <v>7</v>
      </c>
      <c r="J280" s="10">
        <v>346</v>
      </c>
      <c r="K280" s="10">
        <v>15005505.616811965</v>
      </c>
    </row>
    <row r="281" spans="1:11" x14ac:dyDescent="0.35">
      <c r="A281" s="9" t="s">
        <v>348</v>
      </c>
      <c r="B281" s="10">
        <v>689</v>
      </c>
      <c r="C281" s="10">
        <v>7</v>
      </c>
      <c r="D281" s="10">
        <v>3</v>
      </c>
      <c r="E281" s="10">
        <v>714</v>
      </c>
      <c r="F281" s="10">
        <v>17176742.979168449</v>
      </c>
      <c r="G281" s="10">
        <v>723</v>
      </c>
      <c r="H281" s="10">
        <v>4</v>
      </c>
      <c r="I281" s="10">
        <v>3</v>
      </c>
      <c r="J281" s="10">
        <v>696</v>
      </c>
      <c r="K281" s="10">
        <v>16050517.371378118</v>
      </c>
    </row>
    <row r="282" spans="1:11" x14ac:dyDescent="0.35">
      <c r="A282" s="9" t="s">
        <v>349</v>
      </c>
      <c r="B282" s="10">
        <v>490</v>
      </c>
      <c r="C282" s="10">
        <v>4</v>
      </c>
      <c r="D282" s="10">
        <v>5</v>
      </c>
      <c r="E282" s="10">
        <v>466</v>
      </c>
      <c r="F282" s="10">
        <v>11195583.482742194</v>
      </c>
      <c r="G282" s="10">
        <v>534</v>
      </c>
      <c r="H282" s="10">
        <v>4</v>
      </c>
      <c r="I282" s="10">
        <v>6</v>
      </c>
      <c r="J282" s="10">
        <v>522</v>
      </c>
      <c r="K282" s="10">
        <v>11558738.461955674</v>
      </c>
    </row>
    <row r="283" spans="1:11" x14ac:dyDescent="0.35">
      <c r="A283" s="9" t="s">
        <v>350</v>
      </c>
      <c r="B283" s="10">
        <v>250</v>
      </c>
      <c r="C283" s="10">
        <v>1</v>
      </c>
      <c r="D283" s="10">
        <v>2</v>
      </c>
      <c r="E283" s="10">
        <v>82</v>
      </c>
      <c r="F283" s="10">
        <v>6001995.6635782681</v>
      </c>
      <c r="G283" s="10">
        <v>211</v>
      </c>
      <c r="H283" s="10">
        <v>0</v>
      </c>
      <c r="I283" s="10">
        <v>1</v>
      </c>
      <c r="J283" s="10">
        <v>113</v>
      </c>
      <c r="K283" s="10">
        <v>1432059.228902593</v>
      </c>
    </row>
    <row r="284" spans="1:11" x14ac:dyDescent="0.35">
      <c r="A284" s="9" t="s">
        <v>351</v>
      </c>
      <c r="B284" s="10">
        <v>1059</v>
      </c>
      <c r="C284" s="10">
        <v>8</v>
      </c>
      <c r="D284" s="10">
        <v>3</v>
      </c>
      <c r="E284" s="10">
        <v>1005</v>
      </c>
      <c r="F284" s="10">
        <v>29304516.607292317</v>
      </c>
      <c r="G284" s="10">
        <v>1120</v>
      </c>
      <c r="H284" s="10">
        <v>9</v>
      </c>
      <c r="I284" s="10">
        <v>4</v>
      </c>
      <c r="J284" s="10">
        <v>1427</v>
      </c>
      <c r="K284" s="10">
        <v>35904340.318414666</v>
      </c>
    </row>
    <row r="285" spans="1:11" x14ac:dyDescent="0.35">
      <c r="A285" s="9" t="s">
        <v>352</v>
      </c>
      <c r="B285" s="10">
        <v>2037</v>
      </c>
      <c r="C285" s="10">
        <v>26</v>
      </c>
      <c r="D285" s="10">
        <v>3</v>
      </c>
      <c r="E285" s="10">
        <v>1884</v>
      </c>
      <c r="F285" s="10">
        <v>47252457.58180435</v>
      </c>
      <c r="G285" s="10">
        <v>2021</v>
      </c>
      <c r="H285" s="10">
        <v>13</v>
      </c>
      <c r="I285" s="10">
        <v>4</v>
      </c>
      <c r="J285" s="10">
        <v>1801</v>
      </c>
      <c r="K285" s="10">
        <v>46848174.798963338</v>
      </c>
    </row>
    <row r="286" spans="1:11" x14ac:dyDescent="0.35">
      <c r="A286" s="9" t="s">
        <v>353</v>
      </c>
      <c r="B286" s="10">
        <v>409</v>
      </c>
      <c r="C286" s="10">
        <v>1</v>
      </c>
      <c r="D286" s="10">
        <v>29</v>
      </c>
      <c r="E286" s="10">
        <v>288</v>
      </c>
      <c r="F286" s="10">
        <v>17105611.789315648</v>
      </c>
      <c r="G286" s="10">
        <v>396</v>
      </c>
      <c r="H286" s="10">
        <v>0</v>
      </c>
      <c r="I286" s="10">
        <v>28</v>
      </c>
      <c r="J286" s="10">
        <v>376</v>
      </c>
      <c r="K286" s="10">
        <v>17238785.23090997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800</v>
      </c>
      <c r="C288" s="10">
        <v>2</v>
      </c>
      <c r="D288" s="10">
        <v>19</v>
      </c>
      <c r="E288" s="10">
        <v>926</v>
      </c>
      <c r="F288" s="10">
        <v>25304952.916848365</v>
      </c>
      <c r="G288" s="10">
        <v>772</v>
      </c>
      <c r="H288" s="10">
        <v>7</v>
      </c>
      <c r="I288" s="10">
        <v>22</v>
      </c>
      <c r="J288" s="10">
        <v>848</v>
      </c>
      <c r="K288" s="10">
        <v>29665935.855405733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1776</v>
      </c>
      <c r="C290" s="10">
        <v>27</v>
      </c>
      <c r="D290" s="10">
        <v>9</v>
      </c>
      <c r="E290" s="10">
        <v>1760</v>
      </c>
      <c r="F290" s="10">
        <v>53274136.925355054</v>
      </c>
      <c r="G290" s="10">
        <v>1773</v>
      </c>
      <c r="H290" s="10">
        <v>12</v>
      </c>
      <c r="I290" s="10">
        <v>11</v>
      </c>
      <c r="J290" s="10">
        <v>1723</v>
      </c>
      <c r="K290" s="10">
        <v>54646000.000108711</v>
      </c>
    </row>
    <row r="291" spans="1:11" x14ac:dyDescent="0.35">
      <c r="A291" s="9" t="s">
        <v>358</v>
      </c>
      <c r="B291" s="10">
        <v>626</v>
      </c>
      <c r="C291" s="10">
        <v>3</v>
      </c>
      <c r="D291" s="10">
        <v>3</v>
      </c>
      <c r="E291" s="10">
        <v>600</v>
      </c>
      <c r="F291" s="10">
        <v>19996536.79272949</v>
      </c>
      <c r="G291" s="10">
        <v>670</v>
      </c>
      <c r="H291" s="10">
        <v>9</v>
      </c>
      <c r="I291" s="10">
        <v>4</v>
      </c>
      <c r="J291" s="10">
        <v>738</v>
      </c>
      <c r="K291" s="10">
        <v>24910857.54255902</v>
      </c>
    </row>
    <row r="292" spans="1:11" x14ac:dyDescent="0.35">
      <c r="A292" s="9" t="s">
        <v>359</v>
      </c>
      <c r="B292" s="10">
        <v>1933</v>
      </c>
      <c r="C292" s="10">
        <v>14</v>
      </c>
      <c r="D292" s="10">
        <v>11</v>
      </c>
      <c r="E292" s="10">
        <v>1847</v>
      </c>
      <c r="F292" s="10">
        <v>64225620.596747205</v>
      </c>
      <c r="G292" s="10">
        <v>1871</v>
      </c>
      <c r="H292" s="10">
        <v>17</v>
      </c>
      <c r="I292" s="10">
        <v>8</v>
      </c>
      <c r="J292" s="10">
        <v>1764</v>
      </c>
      <c r="K292" s="10">
        <v>63398469.079307646</v>
      </c>
    </row>
    <row r="293" spans="1:11" x14ac:dyDescent="0.35">
      <c r="A293" s="9" t="s">
        <v>360</v>
      </c>
      <c r="B293" s="10">
        <v>774</v>
      </c>
      <c r="C293" s="10">
        <v>5</v>
      </c>
      <c r="D293" s="10">
        <v>2</v>
      </c>
      <c r="E293" s="10">
        <v>666</v>
      </c>
      <c r="F293" s="10">
        <v>28079691.83419973</v>
      </c>
      <c r="G293" s="10">
        <v>747</v>
      </c>
      <c r="H293" s="10">
        <v>2</v>
      </c>
      <c r="I293" s="10">
        <v>1</v>
      </c>
      <c r="J293" s="10">
        <v>655</v>
      </c>
      <c r="K293" s="10">
        <v>29495245.606750011</v>
      </c>
    </row>
    <row r="294" spans="1:11" x14ac:dyDescent="0.35">
      <c r="A294" s="9" t="s">
        <v>361</v>
      </c>
      <c r="B294" s="10">
        <v>829</v>
      </c>
      <c r="C294" s="10">
        <v>5</v>
      </c>
      <c r="D294" s="10">
        <v>1</v>
      </c>
      <c r="E294" s="10">
        <v>772</v>
      </c>
      <c r="F294" s="10">
        <v>25812438.949145287</v>
      </c>
      <c r="G294" s="10">
        <v>832</v>
      </c>
      <c r="H294" s="10">
        <v>2</v>
      </c>
      <c r="I294" s="10">
        <v>0</v>
      </c>
      <c r="J294" s="10">
        <v>732</v>
      </c>
      <c r="K294" s="10">
        <v>25435300.388510767</v>
      </c>
    </row>
    <row r="295" spans="1:11" x14ac:dyDescent="0.35">
      <c r="A295" s="9" t="s">
        <v>362</v>
      </c>
      <c r="B295" s="10">
        <v>1328</v>
      </c>
      <c r="C295" s="10">
        <v>16</v>
      </c>
      <c r="D295" s="10">
        <v>39</v>
      </c>
      <c r="E295" s="10">
        <v>1232</v>
      </c>
      <c r="F295" s="10">
        <v>71499218.99925895</v>
      </c>
      <c r="G295" s="10">
        <v>1264</v>
      </c>
      <c r="H295" s="10">
        <v>7</v>
      </c>
      <c r="I295" s="10">
        <v>39</v>
      </c>
      <c r="J295" s="10">
        <v>1191</v>
      </c>
      <c r="K295" s="10">
        <v>64235380.367641799</v>
      </c>
    </row>
    <row r="296" spans="1:11" x14ac:dyDescent="0.35">
      <c r="A296" s="9" t="s">
        <v>363</v>
      </c>
      <c r="B296" s="10">
        <v>717</v>
      </c>
      <c r="C296" s="10">
        <v>3</v>
      </c>
      <c r="D296" s="10">
        <v>1</v>
      </c>
      <c r="E296" s="10">
        <v>648</v>
      </c>
      <c r="F296" s="10">
        <v>33982686.503349796</v>
      </c>
      <c r="G296" s="10">
        <v>732</v>
      </c>
      <c r="H296" s="10">
        <v>2</v>
      </c>
      <c r="I296" s="10">
        <v>1</v>
      </c>
      <c r="J296" s="10">
        <v>570</v>
      </c>
      <c r="K296" s="10">
        <v>31749439.343710434</v>
      </c>
    </row>
    <row r="297" spans="1:11" x14ac:dyDescent="0.35">
      <c r="A297" s="9" t="s">
        <v>364</v>
      </c>
      <c r="B297" s="10">
        <v>685</v>
      </c>
      <c r="C297" s="10">
        <v>1</v>
      </c>
      <c r="D297" s="10">
        <v>2</v>
      </c>
      <c r="E297" s="10">
        <v>578</v>
      </c>
      <c r="F297" s="10">
        <v>34500890.869327642</v>
      </c>
      <c r="G297" s="10">
        <v>667</v>
      </c>
      <c r="H297" s="10">
        <v>2</v>
      </c>
      <c r="I297" s="10">
        <v>3</v>
      </c>
      <c r="J297" s="10">
        <v>557</v>
      </c>
      <c r="K297" s="10">
        <v>36148131.068912953</v>
      </c>
    </row>
    <row r="298" spans="1:11" x14ac:dyDescent="0.35">
      <c r="A298" s="9" t="s">
        <v>365</v>
      </c>
      <c r="B298" s="10">
        <v>481</v>
      </c>
      <c r="C298" s="10">
        <v>2</v>
      </c>
      <c r="D298" s="10">
        <v>4</v>
      </c>
      <c r="E298" s="10">
        <v>569</v>
      </c>
      <c r="F298" s="10">
        <v>21321103.320363067</v>
      </c>
      <c r="G298" s="10">
        <v>478</v>
      </c>
      <c r="H298" s="10">
        <v>2</v>
      </c>
      <c r="I298" s="10">
        <v>5</v>
      </c>
      <c r="J298" s="10">
        <v>548</v>
      </c>
      <c r="K298" s="10">
        <v>21759079.940961763</v>
      </c>
    </row>
    <row r="299" spans="1:11" x14ac:dyDescent="0.35">
      <c r="A299" s="9" t="s">
        <v>366</v>
      </c>
      <c r="B299" s="10">
        <v>1004</v>
      </c>
      <c r="C299" s="10">
        <v>6</v>
      </c>
      <c r="D299" s="10">
        <v>10</v>
      </c>
      <c r="E299" s="10">
        <v>917</v>
      </c>
      <c r="F299" s="10">
        <v>49394685.389812768</v>
      </c>
      <c r="G299" s="10">
        <v>974</v>
      </c>
      <c r="H299" s="10">
        <v>7</v>
      </c>
      <c r="I299" s="10">
        <v>8</v>
      </c>
      <c r="J299" s="10">
        <v>833</v>
      </c>
      <c r="K299" s="10">
        <v>43350222.498413354</v>
      </c>
    </row>
    <row r="300" spans="1:11" x14ac:dyDescent="0.35">
      <c r="A300" s="9" t="s">
        <v>367</v>
      </c>
      <c r="B300" s="10">
        <v>232</v>
      </c>
      <c r="C300" s="10">
        <v>5</v>
      </c>
      <c r="D300" s="10">
        <v>0</v>
      </c>
      <c r="E300" s="10">
        <v>268</v>
      </c>
      <c r="F300" s="10">
        <v>2079319.725661953</v>
      </c>
      <c r="G300" s="10">
        <v>244</v>
      </c>
      <c r="H300" s="10">
        <v>1</v>
      </c>
      <c r="I300" s="10">
        <v>0</v>
      </c>
      <c r="J300" s="10">
        <v>280</v>
      </c>
      <c r="K300" s="10">
        <v>2040818.727549881</v>
      </c>
    </row>
    <row r="301" spans="1:11" x14ac:dyDescent="0.35">
      <c r="A301" s="9" t="s">
        <v>368</v>
      </c>
      <c r="B301" s="10">
        <v>340</v>
      </c>
      <c r="C301" s="10">
        <v>1</v>
      </c>
      <c r="D301" s="10">
        <v>0</v>
      </c>
      <c r="E301" s="10">
        <v>252</v>
      </c>
      <c r="F301" s="10">
        <v>9144617.6771769002</v>
      </c>
      <c r="G301" s="10">
        <v>328</v>
      </c>
      <c r="H301" s="10">
        <v>1</v>
      </c>
      <c r="I301" s="10">
        <v>1</v>
      </c>
      <c r="J301" s="10">
        <v>232</v>
      </c>
      <c r="K301" s="10">
        <v>7415227.9338045567</v>
      </c>
    </row>
    <row r="302" spans="1:11" x14ac:dyDescent="0.35">
      <c r="A302" s="9" t="s">
        <v>369</v>
      </c>
      <c r="B302" s="10">
        <v>546</v>
      </c>
      <c r="C302" s="10">
        <v>14</v>
      </c>
      <c r="D302" s="10">
        <v>9</v>
      </c>
      <c r="E302" s="10">
        <v>595</v>
      </c>
      <c r="F302" s="10">
        <v>22167402.539682016</v>
      </c>
      <c r="G302" s="10">
        <v>524</v>
      </c>
      <c r="H302" s="10">
        <v>3</v>
      </c>
      <c r="I302" s="10">
        <v>9</v>
      </c>
      <c r="J302" s="10">
        <v>479</v>
      </c>
      <c r="K302" s="10">
        <v>19252194.100441694</v>
      </c>
    </row>
    <row r="303" spans="1:11" x14ac:dyDescent="0.35">
      <c r="A303" s="9" t="s">
        <v>370</v>
      </c>
      <c r="B303" s="10">
        <v>713</v>
      </c>
      <c r="C303" s="10">
        <v>9</v>
      </c>
      <c r="D303" s="10">
        <v>1</v>
      </c>
      <c r="E303" s="10">
        <v>659</v>
      </c>
      <c r="F303" s="10">
        <v>14173174.222760219</v>
      </c>
      <c r="G303" s="10">
        <v>687</v>
      </c>
      <c r="H303" s="10">
        <v>4</v>
      </c>
      <c r="I303" s="10">
        <v>1</v>
      </c>
      <c r="J303" s="10">
        <v>677</v>
      </c>
      <c r="K303" s="10">
        <v>13918456.895093367</v>
      </c>
    </row>
    <row r="304" spans="1:11" x14ac:dyDescent="0.35">
      <c r="A304" s="9" t="s">
        <v>371</v>
      </c>
      <c r="B304" s="10">
        <v>945</v>
      </c>
      <c r="C304" s="10">
        <v>15</v>
      </c>
      <c r="D304" s="10">
        <v>3</v>
      </c>
      <c r="E304" s="10">
        <v>755</v>
      </c>
      <c r="F304" s="10">
        <v>32319052.83392287</v>
      </c>
      <c r="G304" s="10">
        <v>907</v>
      </c>
      <c r="H304" s="10">
        <v>12</v>
      </c>
      <c r="I304" s="10">
        <v>5</v>
      </c>
      <c r="J304" s="10">
        <v>790</v>
      </c>
      <c r="K304" s="10">
        <v>36986943.524684876</v>
      </c>
    </row>
    <row r="305" spans="1:11" x14ac:dyDescent="0.35">
      <c r="A305" s="9" t="s">
        <v>372</v>
      </c>
      <c r="B305" s="10">
        <v>658</v>
      </c>
      <c r="C305" s="10">
        <v>17</v>
      </c>
      <c r="D305" s="10">
        <v>2</v>
      </c>
      <c r="E305" s="10">
        <v>615</v>
      </c>
      <c r="F305" s="10">
        <v>15859789.759398017</v>
      </c>
      <c r="G305" s="10">
        <v>629</v>
      </c>
      <c r="H305" s="10">
        <v>10</v>
      </c>
      <c r="I305" s="10">
        <v>4</v>
      </c>
      <c r="J305" s="10">
        <v>677</v>
      </c>
      <c r="K305" s="10">
        <v>18479238.3843624</v>
      </c>
    </row>
    <row r="306" spans="1:11" x14ac:dyDescent="0.35">
      <c r="A306" s="9" t="s">
        <v>373</v>
      </c>
      <c r="B306" s="10">
        <v>670</v>
      </c>
      <c r="C306" s="10">
        <v>10</v>
      </c>
      <c r="D306" s="10">
        <v>7</v>
      </c>
      <c r="E306" s="10">
        <v>525</v>
      </c>
      <c r="F306" s="10">
        <v>22150412.019920371</v>
      </c>
      <c r="G306" s="10">
        <v>644</v>
      </c>
      <c r="H306" s="10">
        <v>10</v>
      </c>
      <c r="I306" s="10">
        <v>9</v>
      </c>
      <c r="J306" s="10">
        <v>601</v>
      </c>
      <c r="K306" s="10">
        <v>25009273.804921865</v>
      </c>
    </row>
    <row r="307" spans="1:11" x14ac:dyDescent="0.35">
      <c r="A307" s="9" t="s">
        <v>374</v>
      </c>
      <c r="B307" s="10">
        <v>605</v>
      </c>
      <c r="C307" s="10">
        <v>7</v>
      </c>
      <c r="D307" s="10">
        <v>1</v>
      </c>
      <c r="E307" s="10">
        <v>499</v>
      </c>
      <c r="F307" s="10">
        <v>12754607.223152703</v>
      </c>
      <c r="G307" s="10">
        <v>588</v>
      </c>
      <c r="H307" s="10">
        <v>2</v>
      </c>
      <c r="I307" s="10">
        <v>1</v>
      </c>
      <c r="J307" s="10">
        <v>565</v>
      </c>
      <c r="K307" s="10">
        <v>13379425.562772179</v>
      </c>
    </row>
    <row r="308" spans="1:11" x14ac:dyDescent="0.35">
      <c r="A308" s="9" t="s">
        <v>375</v>
      </c>
      <c r="B308" s="10">
        <v>269</v>
      </c>
      <c r="C308" s="10">
        <v>4</v>
      </c>
      <c r="D308" s="10">
        <v>0</v>
      </c>
      <c r="E308" s="10">
        <v>180</v>
      </c>
      <c r="F308" s="10">
        <v>6930618.765389123</v>
      </c>
      <c r="G308" s="10">
        <v>262</v>
      </c>
      <c r="H308" s="10">
        <v>2</v>
      </c>
      <c r="I308" s="10">
        <v>0</v>
      </c>
      <c r="J308" s="10">
        <v>205</v>
      </c>
      <c r="K308" s="10">
        <v>7162153.4931417089</v>
      </c>
    </row>
    <row r="309" spans="1:11" x14ac:dyDescent="0.35">
      <c r="A309" s="9" t="s">
        <v>376</v>
      </c>
      <c r="B309" s="10">
        <v>738</v>
      </c>
      <c r="C309" s="10">
        <v>19</v>
      </c>
      <c r="D309" s="10">
        <v>5</v>
      </c>
      <c r="E309" s="10">
        <v>621</v>
      </c>
      <c r="F309" s="10">
        <v>28703743.032065645</v>
      </c>
      <c r="G309" s="10">
        <v>727</v>
      </c>
      <c r="H309" s="10">
        <v>11</v>
      </c>
      <c r="I309" s="10">
        <v>6</v>
      </c>
      <c r="J309" s="10">
        <v>579</v>
      </c>
      <c r="K309" s="10">
        <v>30381538.593658797</v>
      </c>
    </row>
    <row r="310" spans="1:11" x14ac:dyDescent="0.35">
      <c r="A310" s="9" t="s">
        <v>377</v>
      </c>
      <c r="B310" s="10">
        <v>744</v>
      </c>
      <c r="C310" s="10">
        <v>10</v>
      </c>
      <c r="D310" s="10">
        <v>6</v>
      </c>
      <c r="E310" s="10">
        <v>812</v>
      </c>
      <c r="F310" s="10">
        <v>26297820.784673452</v>
      </c>
      <c r="G310" s="10">
        <v>708</v>
      </c>
      <c r="H310" s="10">
        <v>12</v>
      </c>
      <c r="I310" s="10">
        <v>5</v>
      </c>
      <c r="J310" s="10">
        <v>774</v>
      </c>
      <c r="K310" s="10">
        <v>23966637.969442967</v>
      </c>
    </row>
    <row r="311" spans="1:11" x14ac:dyDescent="0.35">
      <c r="A311" s="9" t="s">
        <v>378</v>
      </c>
      <c r="B311" s="10">
        <v>417</v>
      </c>
      <c r="C311" s="10">
        <v>4</v>
      </c>
      <c r="D311" s="10">
        <v>1</v>
      </c>
      <c r="E311" s="10">
        <v>311</v>
      </c>
      <c r="F311" s="10">
        <v>10417315.43702952</v>
      </c>
      <c r="G311" s="10">
        <v>400</v>
      </c>
      <c r="H311" s="10">
        <v>2</v>
      </c>
      <c r="I311" s="10">
        <v>2</v>
      </c>
      <c r="J311" s="10">
        <v>285</v>
      </c>
      <c r="K311" s="10">
        <v>10310251.62509191</v>
      </c>
    </row>
    <row r="312" spans="1:11" x14ac:dyDescent="0.35">
      <c r="A312" s="9" t="s">
        <v>379</v>
      </c>
      <c r="B312" s="10">
        <v>1083</v>
      </c>
      <c r="C312" s="10">
        <v>17</v>
      </c>
      <c r="D312" s="10">
        <v>4</v>
      </c>
      <c r="E312" s="10">
        <v>1008</v>
      </c>
      <c r="F312" s="10">
        <v>30751220.126054041</v>
      </c>
      <c r="G312" s="10">
        <v>1071</v>
      </c>
      <c r="H312" s="10">
        <v>14</v>
      </c>
      <c r="I312" s="10">
        <v>6</v>
      </c>
      <c r="J312" s="10">
        <v>1008</v>
      </c>
      <c r="K312" s="10">
        <v>31750632.125629354</v>
      </c>
    </row>
    <row r="313" spans="1:11" x14ac:dyDescent="0.35">
      <c r="A313" s="9" t="s">
        <v>380</v>
      </c>
      <c r="B313" s="10">
        <v>824</v>
      </c>
      <c r="C313" s="10">
        <v>96</v>
      </c>
      <c r="D313" s="10">
        <v>5</v>
      </c>
      <c r="E313" s="10">
        <v>910</v>
      </c>
      <c r="F313" s="10">
        <v>27683509.576306615</v>
      </c>
      <c r="G313" s="10">
        <v>768</v>
      </c>
      <c r="H313" s="10">
        <v>10</v>
      </c>
      <c r="I313" s="10">
        <v>5</v>
      </c>
      <c r="J313" s="10">
        <v>639</v>
      </c>
      <c r="K313" s="10">
        <v>19846286.840398498</v>
      </c>
    </row>
    <row r="314" spans="1:11" x14ac:dyDescent="0.35">
      <c r="A314" s="9" t="s">
        <v>381</v>
      </c>
      <c r="B314" s="10">
        <v>274</v>
      </c>
      <c r="C314" s="10">
        <v>5</v>
      </c>
      <c r="D314" s="10">
        <v>2</v>
      </c>
      <c r="E314" s="10">
        <v>266</v>
      </c>
      <c r="F314" s="10">
        <v>10958423.045686662</v>
      </c>
      <c r="G314" s="10">
        <v>271</v>
      </c>
      <c r="H314" s="10">
        <v>4</v>
      </c>
      <c r="I314" s="10">
        <v>2</v>
      </c>
      <c r="J314" s="10">
        <v>70</v>
      </c>
      <c r="K314" s="10">
        <v>9038321.5939360075</v>
      </c>
    </row>
    <row r="315" spans="1:11" x14ac:dyDescent="0.35">
      <c r="A315" s="9" t="s">
        <v>382</v>
      </c>
      <c r="B315" s="10">
        <v>1069</v>
      </c>
      <c r="C315" s="10">
        <v>26</v>
      </c>
      <c r="D315" s="10">
        <v>3</v>
      </c>
      <c r="E315" s="10">
        <v>788</v>
      </c>
      <c r="F315" s="10">
        <v>27213101.111362729</v>
      </c>
      <c r="G315" s="10">
        <v>1038</v>
      </c>
      <c r="H315" s="10">
        <v>14</v>
      </c>
      <c r="I315" s="10">
        <v>5</v>
      </c>
      <c r="J315" s="10">
        <v>978</v>
      </c>
      <c r="K315" s="10">
        <v>29146576.255616646</v>
      </c>
    </row>
    <row r="316" spans="1:11" x14ac:dyDescent="0.35">
      <c r="A316" s="9" t="s">
        <v>383</v>
      </c>
      <c r="B316" s="10">
        <v>1258</v>
      </c>
      <c r="C316" s="10">
        <v>18</v>
      </c>
      <c r="D316" s="10">
        <v>3</v>
      </c>
      <c r="E316" s="10">
        <v>1093</v>
      </c>
      <c r="F316" s="10">
        <v>37858449.643060327</v>
      </c>
      <c r="G316" s="10">
        <v>1295</v>
      </c>
      <c r="H316" s="10">
        <v>15</v>
      </c>
      <c r="I316" s="10">
        <v>3</v>
      </c>
      <c r="J316" s="10">
        <v>1091</v>
      </c>
      <c r="K316" s="10">
        <v>35010343.282010302</v>
      </c>
    </row>
    <row r="317" spans="1:11" x14ac:dyDescent="0.35">
      <c r="A317" s="9" t="s">
        <v>384</v>
      </c>
      <c r="B317" s="10">
        <v>187</v>
      </c>
      <c r="C317" s="10">
        <v>4</v>
      </c>
      <c r="D317" s="10">
        <v>6</v>
      </c>
      <c r="E317" s="10">
        <v>158</v>
      </c>
      <c r="F317" s="10">
        <v>8804479.9557482041</v>
      </c>
      <c r="G317" s="10">
        <v>221</v>
      </c>
      <c r="H317" s="10">
        <v>3</v>
      </c>
      <c r="I317" s="10">
        <v>5</v>
      </c>
      <c r="J317" s="10">
        <v>188</v>
      </c>
      <c r="K317" s="10">
        <v>9206201.6103099193</v>
      </c>
    </row>
    <row r="318" spans="1:11" x14ac:dyDescent="0.35">
      <c r="A318" s="9" t="s">
        <v>385</v>
      </c>
      <c r="B318" s="10">
        <v>840</v>
      </c>
      <c r="C318" s="10">
        <v>9</v>
      </c>
      <c r="D318" s="10">
        <v>3</v>
      </c>
      <c r="E318" s="10">
        <v>645</v>
      </c>
      <c r="F318" s="10">
        <v>19616873.620085489</v>
      </c>
      <c r="G318" s="10">
        <v>766</v>
      </c>
      <c r="H318" s="10">
        <v>5</v>
      </c>
      <c r="I318" s="10">
        <v>3</v>
      </c>
      <c r="J318" s="10">
        <v>533</v>
      </c>
      <c r="K318" s="10">
        <v>18566839.550988805</v>
      </c>
    </row>
    <row r="319" spans="1:11" x14ac:dyDescent="0.35">
      <c r="A319" s="9" t="s">
        <v>386</v>
      </c>
      <c r="B319" s="10">
        <v>1050</v>
      </c>
      <c r="C319" s="10">
        <v>20</v>
      </c>
      <c r="D319" s="10">
        <v>8</v>
      </c>
      <c r="E319" s="10">
        <v>875</v>
      </c>
      <c r="F319" s="10">
        <v>34361349.376091376</v>
      </c>
      <c r="G319" s="10">
        <v>1030</v>
      </c>
      <c r="H319" s="10">
        <v>10</v>
      </c>
      <c r="I319" s="10">
        <v>9</v>
      </c>
      <c r="J319" s="10">
        <v>857</v>
      </c>
      <c r="K319" s="10">
        <v>34129503.187956735</v>
      </c>
    </row>
    <row r="320" spans="1:11" x14ac:dyDescent="0.35">
      <c r="A320" s="9" t="s">
        <v>387</v>
      </c>
      <c r="B320" s="10">
        <v>674</v>
      </c>
      <c r="C320" s="10">
        <v>6</v>
      </c>
      <c r="D320" s="10">
        <v>2</v>
      </c>
      <c r="E320" s="10">
        <v>651</v>
      </c>
      <c r="F320" s="10">
        <v>16333003.383629687</v>
      </c>
      <c r="G320" s="10">
        <v>684</v>
      </c>
      <c r="H320" s="10">
        <v>5</v>
      </c>
      <c r="I320" s="10">
        <v>2</v>
      </c>
      <c r="J320" s="10">
        <v>789</v>
      </c>
      <c r="K320" s="10">
        <v>16875951.570107777</v>
      </c>
    </row>
    <row r="321" spans="1:11" x14ac:dyDescent="0.35">
      <c r="A321" s="9" t="s">
        <v>388</v>
      </c>
      <c r="B321" s="10">
        <v>848</v>
      </c>
      <c r="C321" s="10">
        <v>8</v>
      </c>
      <c r="D321" s="10">
        <v>5</v>
      </c>
      <c r="E321" s="10">
        <v>910</v>
      </c>
      <c r="F321" s="10">
        <v>28390310.758207545</v>
      </c>
      <c r="G321" s="10">
        <v>796</v>
      </c>
      <c r="H321" s="10">
        <v>9</v>
      </c>
      <c r="I321" s="10">
        <v>4</v>
      </c>
      <c r="J321" s="10">
        <v>730</v>
      </c>
      <c r="K321" s="10">
        <v>22349960.002422757</v>
      </c>
    </row>
    <row r="322" spans="1:11" x14ac:dyDescent="0.35">
      <c r="A322" s="9" t="s">
        <v>389</v>
      </c>
      <c r="B322" s="10">
        <v>972</v>
      </c>
      <c r="C322" s="10">
        <v>18</v>
      </c>
      <c r="D322" s="10">
        <v>3</v>
      </c>
      <c r="E322" s="10">
        <v>898</v>
      </c>
      <c r="F322" s="10">
        <v>21562667.081127152</v>
      </c>
      <c r="G322" s="10">
        <v>993</v>
      </c>
      <c r="H322" s="10">
        <v>13</v>
      </c>
      <c r="I322" s="10">
        <v>3</v>
      </c>
      <c r="J322" s="10">
        <v>944</v>
      </c>
      <c r="K322" s="10">
        <v>24730220.762224857</v>
      </c>
    </row>
    <row r="323" spans="1:11" x14ac:dyDescent="0.35">
      <c r="A323" s="9" t="s">
        <v>390</v>
      </c>
      <c r="B323" s="10">
        <v>726</v>
      </c>
      <c r="C323" s="10">
        <v>8</v>
      </c>
      <c r="D323" s="10">
        <v>2</v>
      </c>
      <c r="E323" s="10">
        <v>726</v>
      </c>
      <c r="F323" s="10">
        <v>13571538.600159161</v>
      </c>
      <c r="G323" s="10">
        <v>722</v>
      </c>
      <c r="H323" s="10">
        <v>4</v>
      </c>
      <c r="I323" s="10">
        <v>2</v>
      </c>
      <c r="J323" s="10">
        <v>660</v>
      </c>
      <c r="K323" s="10">
        <v>12839474.472086072</v>
      </c>
    </row>
    <row r="324" spans="1:11" x14ac:dyDescent="0.35">
      <c r="A324" s="9" t="s">
        <v>391</v>
      </c>
      <c r="B324" s="10">
        <v>731</v>
      </c>
      <c r="C324" s="10">
        <v>10</v>
      </c>
      <c r="D324" s="10">
        <v>3</v>
      </c>
      <c r="E324" s="10">
        <v>567</v>
      </c>
      <c r="F324" s="10">
        <v>26491920.173584323</v>
      </c>
      <c r="G324" s="10">
        <v>690</v>
      </c>
      <c r="H324" s="10">
        <v>6</v>
      </c>
      <c r="I324" s="10">
        <v>2</v>
      </c>
      <c r="J324" s="10">
        <v>633</v>
      </c>
      <c r="K324" s="10">
        <v>25115799.169786509</v>
      </c>
    </row>
    <row r="325" spans="1:11" x14ac:dyDescent="0.35">
      <c r="A325" s="9" t="s">
        <v>392</v>
      </c>
      <c r="B325" s="10">
        <v>927</v>
      </c>
      <c r="C325" s="10">
        <v>26</v>
      </c>
      <c r="D325" s="10">
        <v>5</v>
      </c>
      <c r="E325" s="10">
        <v>867</v>
      </c>
      <c r="F325" s="10">
        <v>48847735.013526507</v>
      </c>
      <c r="G325" s="10">
        <v>914</v>
      </c>
      <c r="H325" s="10">
        <v>14</v>
      </c>
      <c r="I325" s="10">
        <v>2</v>
      </c>
      <c r="J325" s="10">
        <v>714</v>
      </c>
      <c r="K325" s="10">
        <v>41017953.483047627</v>
      </c>
    </row>
    <row r="326" spans="1:11" x14ac:dyDescent="0.35">
      <c r="A326" s="9" t="s">
        <v>393</v>
      </c>
      <c r="B326" s="10">
        <v>429</v>
      </c>
      <c r="C326" s="10">
        <v>7</v>
      </c>
      <c r="D326" s="10">
        <v>1</v>
      </c>
      <c r="E326" s="10">
        <v>340</v>
      </c>
      <c r="F326" s="10">
        <v>12828914.745031303</v>
      </c>
      <c r="G326" s="10">
        <v>425</v>
      </c>
      <c r="H326" s="10">
        <v>4</v>
      </c>
      <c r="I326" s="10">
        <v>3</v>
      </c>
      <c r="J326" s="10">
        <v>397</v>
      </c>
      <c r="K326" s="10">
        <v>13866812.649292709</v>
      </c>
    </row>
    <row r="327" spans="1:11" x14ac:dyDescent="0.35">
      <c r="A327" s="9" t="s">
        <v>394</v>
      </c>
      <c r="B327" s="10">
        <v>2170</v>
      </c>
      <c r="C327" s="10">
        <v>29</v>
      </c>
      <c r="D327" s="10">
        <v>4</v>
      </c>
      <c r="E327" s="10">
        <v>1922</v>
      </c>
      <c r="F327" s="10">
        <v>52753964.531524226</v>
      </c>
      <c r="G327" s="10">
        <v>1989</v>
      </c>
      <c r="H327" s="10">
        <v>18</v>
      </c>
      <c r="I327" s="10">
        <v>4</v>
      </c>
      <c r="J327" s="10">
        <v>1395</v>
      </c>
      <c r="K327" s="10">
        <v>47533327.50891649</v>
      </c>
    </row>
    <row r="328" spans="1:11" x14ac:dyDescent="0.35">
      <c r="A328" s="9" t="s">
        <v>395</v>
      </c>
      <c r="B328" s="10">
        <v>1132</v>
      </c>
      <c r="C328" s="10">
        <v>18</v>
      </c>
      <c r="D328" s="10">
        <v>6</v>
      </c>
      <c r="E328" s="10">
        <v>1014</v>
      </c>
      <c r="F328" s="10">
        <v>31100456.51488629</v>
      </c>
      <c r="G328" s="10">
        <v>1126</v>
      </c>
      <c r="H328" s="10">
        <v>8</v>
      </c>
      <c r="I328" s="10">
        <v>5</v>
      </c>
      <c r="J328" s="10">
        <v>974</v>
      </c>
      <c r="K328" s="10">
        <v>29174199.809081662</v>
      </c>
    </row>
    <row r="329" spans="1:11" x14ac:dyDescent="0.35">
      <c r="A329" s="9" t="s">
        <v>396</v>
      </c>
      <c r="B329" s="10">
        <v>662</v>
      </c>
      <c r="C329" s="10">
        <v>7</v>
      </c>
      <c r="D329" s="10">
        <v>1</v>
      </c>
      <c r="E329" s="10">
        <v>558</v>
      </c>
      <c r="F329" s="10">
        <v>18862624.619487669</v>
      </c>
      <c r="G329" s="10">
        <v>618</v>
      </c>
      <c r="H329" s="10">
        <v>6</v>
      </c>
      <c r="I329" s="10">
        <v>1</v>
      </c>
      <c r="J329" s="10">
        <v>621</v>
      </c>
      <c r="K329" s="10">
        <v>20854032.024067953</v>
      </c>
    </row>
    <row r="330" spans="1:11" x14ac:dyDescent="0.35">
      <c r="A330" s="9" t="s">
        <v>397</v>
      </c>
      <c r="B330" s="10">
        <v>988</v>
      </c>
      <c r="C330" s="10">
        <v>17</v>
      </c>
      <c r="D330" s="10">
        <v>16</v>
      </c>
      <c r="E330" s="10">
        <v>819</v>
      </c>
      <c r="F330" s="10">
        <v>35165855.953054346</v>
      </c>
      <c r="G330" s="10">
        <v>1015</v>
      </c>
      <c r="H330" s="10">
        <v>61</v>
      </c>
      <c r="I330" s="10">
        <v>17</v>
      </c>
      <c r="J330" s="10">
        <v>868</v>
      </c>
      <c r="K330" s="10">
        <v>31143955.071166568</v>
      </c>
    </row>
    <row r="331" spans="1:11" x14ac:dyDescent="0.35">
      <c r="A331" s="9" t="s">
        <v>398</v>
      </c>
      <c r="B331" s="10">
        <v>642</v>
      </c>
      <c r="C331" s="10">
        <v>8</v>
      </c>
      <c r="D331" s="10">
        <v>1</v>
      </c>
      <c r="E331" s="10">
        <v>583</v>
      </c>
      <c r="F331" s="10">
        <v>17430949.331953485</v>
      </c>
      <c r="G331" s="10">
        <v>660</v>
      </c>
      <c r="H331" s="10">
        <v>4</v>
      </c>
      <c r="I331" s="10">
        <v>1</v>
      </c>
      <c r="J331" s="10">
        <v>621</v>
      </c>
      <c r="K331" s="10">
        <v>18287351.996616047</v>
      </c>
    </row>
    <row r="332" spans="1:11" x14ac:dyDescent="0.35">
      <c r="A332" s="9" t="s">
        <v>399</v>
      </c>
      <c r="B332" s="10">
        <v>493</v>
      </c>
      <c r="C332" s="10">
        <v>7</v>
      </c>
      <c r="D332" s="10">
        <v>1</v>
      </c>
      <c r="E332" s="10">
        <v>580</v>
      </c>
      <c r="F332" s="10">
        <v>11531161.2942991</v>
      </c>
      <c r="G332" s="10">
        <v>455</v>
      </c>
      <c r="H332" s="10">
        <v>5</v>
      </c>
      <c r="I332" s="10">
        <v>2</v>
      </c>
      <c r="J332" s="10">
        <v>532</v>
      </c>
      <c r="K332" s="10">
        <v>10567409.915779453</v>
      </c>
    </row>
    <row r="333" spans="1:11" x14ac:dyDescent="0.35">
      <c r="A333" s="9" t="s">
        <v>400</v>
      </c>
      <c r="B333" s="10">
        <v>1083</v>
      </c>
      <c r="C333" s="10">
        <v>30</v>
      </c>
      <c r="D333" s="10">
        <v>10</v>
      </c>
      <c r="E333" s="10">
        <v>909</v>
      </c>
      <c r="F333" s="10">
        <v>41774310.778968707</v>
      </c>
      <c r="G333" s="10">
        <v>1206</v>
      </c>
      <c r="H333" s="10">
        <v>11</v>
      </c>
      <c r="I333" s="10">
        <v>13</v>
      </c>
      <c r="J333" s="10">
        <v>841</v>
      </c>
      <c r="K333" s="10">
        <v>40387394.496450238</v>
      </c>
    </row>
    <row r="334" spans="1:11" x14ac:dyDescent="0.35">
      <c r="A334" s="9" t="s">
        <v>401</v>
      </c>
      <c r="B334" s="10">
        <v>898</v>
      </c>
      <c r="C334" s="10">
        <v>7</v>
      </c>
      <c r="D334" s="10">
        <v>2</v>
      </c>
      <c r="E334" s="10">
        <v>792</v>
      </c>
      <c r="F334" s="10">
        <v>24441757.306854971</v>
      </c>
      <c r="G334" s="10">
        <v>894</v>
      </c>
      <c r="H334" s="10">
        <v>11</v>
      </c>
      <c r="I334" s="10">
        <v>3</v>
      </c>
      <c r="J334" s="10">
        <v>838</v>
      </c>
      <c r="K334" s="10">
        <v>20444874.204413891</v>
      </c>
    </row>
    <row r="335" spans="1:11" x14ac:dyDescent="0.35">
      <c r="A335" s="9" t="s">
        <v>402</v>
      </c>
      <c r="B335" s="10">
        <v>556</v>
      </c>
      <c r="C335" s="10">
        <v>10</v>
      </c>
      <c r="D335" s="10">
        <v>4</v>
      </c>
      <c r="E335" s="10">
        <v>509</v>
      </c>
      <c r="F335" s="10">
        <v>14582589.204577722</v>
      </c>
      <c r="G335" s="10">
        <v>533</v>
      </c>
      <c r="H335" s="10">
        <v>9</v>
      </c>
      <c r="I335" s="10">
        <v>5</v>
      </c>
      <c r="J335" s="10">
        <v>501</v>
      </c>
      <c r="K335" s="10">
        <v>16533089.606469182</v>
      </c>
    </row>
    <row r="336" spans="1:11" x14ac:dyDescent="0.35">
      <c r="A336" s="9" t="s">
        <v>403</v>
      </c>
      <c r="B336" s="10">
        <v>265</v>
      </c>
      <c r="C336" s="10">
        <v>1</v>
      </c>
      <c r="D336" s="10">
        <v>0</v>
      </c>
      <c r="E336" s="10">
        <v>229</v>
      </c>
      <c r="F336" s="10">
        <v>6077512.6040212195</v>
      </c>
      <c r="G336" s="10">
        <v>274</v>
      </c>
      <c r="H336" s="10">
        <v>4</v>
      </c>
      <c r="I336" s="10">
        <v>0</v>
      </c>
      <c r="J336" s="10">
        <v>250</v>
      </c>
      <c r="K336" s="10">
        <v>6763980.4617965929</v>
      </c>
    </row>
    <row r="337" spans="1:11" x14ac:dyDescent="0.35">
      <c r="A337" s="9" t="s">
        <v>404</v>
      </c>
      <c r="B337" s="10">
        <v>857</v>
      </c>
      <c r="C337" s="10">
        <v>18</v>
      </c>
      <c r="D337" s="10">
        <v>4</v>
      </c>
      <c r="E337" s="10">
        <v>904</v>
      </c>
      <c r="F337" s="10">
        <v>26808858.756675843</v>
      </c>
      <c r="G337" s="10">
        <v>867</v>
      </c>
      <c r="H337" s="10">
        <v>8</v>
      </c>
      <c r="I337" s="10">
        <v>4</v>
      </c>
      <c r="J337" s="10">
        <v>873</v>
      </c>
      <c r="K337" s="10">
        <v>24977543.688096441</v>
      </c>
    </row>
    <row r="338" spans="1:11" x14ac:dyDescent="0.35">
      <c r="A338" s="9" t="s">
        <v>405</v>
      </c>
      <c r="B338" s="10">
        <v>720</v>
      </c>
      <c r="C338" s="10">
        <v>9</v>
      </c>
      <c r="D338" s="10">
        <v>3</v>
      </c>
      <c r="E338" s="10">
        <v>595</v>
      </c>
      <c r="F338" s="10">
        <v>22796803.23374797</v>
      </c>
      <c r="G338" s="10">
        <v>674</v>
      </c>
      <c r="H338" s="10">
        <v>5</v>
      </c>
      <c r="I338" s="10">
        <v>2</v>
      </c>
      <c r="J338" s="10">
        <v>618</v>
      </c>
      <c r="K338" s="10">
        <v>15018816.794265371</v>
      </c>
    </row>
    <row r="339" spans="1:11" x14ac:dyDescent="0.35">
      <c r="A339" s="9" t="s">
        <v>406</v>
      </c>
      <c r="B339" s="10">
        <v>229</v>
      </c>
      <c r="C339" s="10">
        <v>1</v>
      </c>
      <c r="D339" s="10">
        <v>3</v>
      </c>
      <c r="E339" s="10">
        <v>159</v>
      </c>
      <c r="F339" s="10">
        <v>8723780.351156326</v>
      </c>
      <c r="G339" s="10">
        <v>225</v>
      </c>
      <c r="H339" s="10">
        <v>1</v>
      </c>
      <c r="I339" s="10">
        <v>3</v>
      </c>
      <c r="J339" s="10">
        <v>171</v>
      </c>
      <c r="K339" s="10">
        <v>8473145.7338842358</v>
      </c>
    </row>
    <row r="340" spans="1:11" x14ac:dyDescent="0.35">
      <c r="A340" s="9" t="s">
        <v>407</v>
      </c>
      <c r="B340" s="10">
        <v>802</v>
      </c>
      <c r="C340" s="10">
        <v>19</v>
      </c>
      <c r="D340" s="10">
        <v>5</v>
      </c>
      <c r="E340" s="10">
        <v>815</v>
      </c>
      <c r="F340" s="10">
        <v>20917965.897562411</v>
      </c>
      <c r="G340" s="10">
        <v>854</v>
      </c>
      <c r="H340" s="10">
        <v>11</v>
      </c>
      <c r="I340" s="10">
        <v>6</v>
      </c>
      <c r="J340" s="10">
        <v>863</v>
      </c>
      <c r="K340" s="10">
        <v>23693170.504228219</v>
      </c>
    </row>
    <row r="341" spans="1:11" x14ac:dyDescent="0.35">
      <c r="A341" s="9" t="s">
        <v>408</v>
      </c>
      <c r="B341" s="10">
        <v>1197</v>
      </c>
      <c r="C341" s="10">
        <v>18</v>
      </c>
      <c r="D341" s="10">
        <v>7</v>
      </c>
      <c r="E341" s="10">
        <v>1106</v>
      </c>
      <c r="F341" s="10">
        <v>44806424.217121616</v>
      </c>
      <c r="G341" s="10">
        <v>1252</v>
      </c>
      <c r="H341" s="10">
        <v>17</v>
      </c>
      <c r="I341" s="10">
        <v>9</v>
      </c>
      <c r="J341" s="10">
        <v>1151</v>
      </c>
      <c r="K341" s="10">
        <v>50573596.193768121</v>
      </c>
    </row>
    <row r="342" spans="1:11" x14ac:dyDescent="0.35">
      <c r="A342" s="9" t="s">
        <v>409</v>
      </c>
      <c r="B342" s="10">
        <v>139</v>
      </c>
      <c r="C342" s="10">
        <v>0</v>
      </c>
      <c r="D342" s="10">
        <v>4</v>
      </c>
      <c r="E342" s="10">
        <v>171</v>
      </c>
      <c r="F342" s="10">
        <v>6741624.7557910765</v>
      </c>
      <c r="G342" s="10">
        <v>149</v>
      </c>
      <c r="H342" s="10">
        <v>2</v>
      </c>
      <c r="I342" s="10">
        <v>5</v>
      </c>
      <c r="J342" s="10">
        <v>123</v>
      </c>
      <c r="K342" s="10">
        <v>6899447.6328294966</v>
      </c>
    </row>
    <row r="343" spans="1:11" x14ac:dyDescent="0.35">
      <c r="A343" s="9" t="s">
        <v>410</v>
      </c>
      <c r="B343" s="10">
        <v>1405</v>
      </c>
      <c r="C343" s="10">
        <v>13</v>
      </c>
      <c r="D343" s="10">
        <v>4</v>
      </c>
      <c r="E343" s="10">
        <v>1318</v>
      </c>
      <c r="F343" s="10">
        <v>44822796.552671053</v>
      </c>
      <c r="G343" s="10">
        <v>1426</v>
      </c>
      <c r="H343" s="10">
        <v>13</v>
      </c>
      <c r="I343" s="10">
        <v>4</v>
      </c>
      <c r="J343" s="10">
        <v>1201</v>
      </c>
      <c r="K343" s="10">
        <v>49639728.505720168</v>
      </c>
    </row>
    <row r="344" spans="1:11" x14ac:dyDescent="0.35">
      <c r="A344" s="9" t="s">
        <v>411</v>
      </c>
      <c r="B344" s="10">
        <v>170</v>
      </c>
      <c r="C344" s="10">
        <v>0</v>
      </c>
      <c r="D344" s="10">
        <v>0</v>
      </c>
      <c r="E344" s="10">
        <v>186</v>
      </c>
      <c r="F344" s="10">
        <v>4923668.2715507764</v>
      </c>
      <c r="G344" s="10">
        <v>167</v>
      </c>
      <c r="H344" s="10">
        <v>1</v>
      </c>
      <c r="I344" s="10">
        <v>0</v>
      </c>
      <c r="J344" s="10">
        <v>91</v>
      </c>
      <c r="K344" s="10">
        <v>4694683.4051128924</v>
      </c>
    </row>
    <row r="345" spans="1:11" x14ac:dyDescent="0.35">
      <c r="A345" s="9" t="s">
        <v>412</v>
      </c>
      <c r="B345" s="10">
        <v>795</v>
      </c>
      <c r="C345" s="10">
        <v>20</v>
      </c>
      <c r="D345" s="10">
        <v>2</v>
      </c>
      <c r="E345" s="10">
        <v>735</v>
      </c>
      <c r="F345" s="10">
        <v>28959155.54930301</v>
      </c>
      <c r="G345" s="10">
        <v>772</v>
      </c>
      <c r="H345" s="10">
        <v>6</v>
      </c>
      <c r="I345" s="10">
        <v>4</v>
      </c>
      <c r="J345" s="10">
        <v>659</v>
      </c>
      <c r="K345" s="10">
        <v>26622433.510882601</v>
      </c>
    </row>
    <row r="346" spans="1:11" x14ac:dyDescent="0.35">
      <c r="A346" s="9" t="s">
        <v>413</v>
      </c>
      <c r="B346" s="10">
        <v>656</v>
      </c>
      <c r="C346" s="10">
        <v>16</v>
      </c>
      <c r="D346" s="10">
        <v>4</v>
      </c>
      <c r="E346" s="10">
        <v>784</v>
      </c>
      <c r="F346" s="10">
        <v>20370887.743166059</v>
      </c>
      <c r="G346" s="10">
        <v>639</v>
      </c>
      <c r="H346" s="10">
        <v>3</v>
      </c>
      <c r="I346" s="10">
        <v>4</v>
      </c>
      <c r="J346" s="10">
        <v>729</v>
      </c>
      <c r="K346" s="10">
        <v>18248166.962361436</v>
      </c>
    </row>
    <row r="347" spans="1:11" x14ac:dyDescent="0.35">
      <c r="A347" s="9" t="s">
        <v>414</v>
      </c>
      <c r="B347" s="10">
        <v>1142</v>
      </c>
      <c r="C347" s="10">
        <v>14</v>
      </c>
      <c r="D347" s="10">
        <v>9</v>
      </c>
      <c r="E347" s="10">
        <v>1181</v>
      </c>
      <c r="F347" s="10">
        <v>37318340.863093555</v>
      </c>
      <c r="G347" s="10">
        <v>1128</v>
      </c>
      <c r="H347" s="10">
        <v>13</v>
      </c>
      <c r="I347" s="10">
        <v>9</v>
      </c>
      <c r="J347" s="10">
        <v>1070</v>
      </c>
      <c r="K347" s="10">
        <v>37032752.070618942</v>
      </c>
    </row>
    <row r="348" spans="1:11" x14ac:dyDescent="0.35">
      <c r="A348" s="9" t="s">
        <v>415</v>
      </c>
      <c r="B348" s="10">
        <v>734</v>
      </c>
      <c r="C348" s="10">
        <v>7</v>
      </c>
      <c r="D348" s="10">
        <v>1</v>
      </c>
      <c r="E348" s="10">
        <v>722</v>
      </c>
      <c r="F348" s="10">
        <v>14886017.360941449</v>
      </c>
      <c r="G348" s="10">
        <v>711</v>
      </c>
      <c r="H348" s="10">
        <v>6</v>
      </c>
      <c r="I348" s="10">
        <v>1</v>
      </c>
      <c r="J348" s="10">
        <v>689</v>
      </c>
      <c r="K348" s="10">
        <v>10722248.817094631</v>
      </c>
    </row>
    <row r="349" spans="1:11" x14ac:dyDescent="0.35">
      <c r="A349" s="9" t="s">
        <v>416</v>
      </c>
      <c r="B349" s="10">
        <v>656</v>
      </c>
      <c r="C349" s="10">
        <v>18</v>
      </c>
      <c r="D349" s="10">
        <v>10</v>
      </c>
      <c r="E349" s="10">
        <v>645</v>
      </c>
      <c r="F349" s="10">
        <v>14280907.728088483</v>
      </c>
      <c r="G349" s="10">
        <v>591</v>
      </c>
      <c r="H349" s="10">
        <v>5</v>
      </c>
      <c r="I349" s="10">
        <v>8</v>
      </c>
      <c r="J349" s="10">
        <v>543</v>
      </c>
      <c r="K349" s="10">
        <v>4490013.6934858812</v>
      </c>
    </row>
    <row r="350" spans="1:11" x14ac:dyDescent="0.35">
      <c r="A350" s="9" t="s">
        <v>417</v>
      </c>
      <c r="B350" s="10">
        <v>1188</v>
      </c>
      <c r="C350" s="10">
        <v>14</v>
      </c>
      <c r="D350" s="10">
        <v>4</v>
      </c>
      <c r="E350" s="10">
        <v>974</v>
      </c>
      <c r="F350" s="10">
        <v>27339238.653392375</v>
      </c>
      <c r="G350" s="10">
        <v>1063</v>
      </c>
      <c r="H350" s="10">
        <v>10</v>
      </c>
      <c r="I350" s="10">
        <v>2</v>
      </c>
      <c r="J350" s="10">
        <v>976</v>
      </c>
      <c r="K350" s="10">
        <v>26101746.64745234</v>
      </c>
    </row>
    <row r="351" spans="1:11" x14ac:dyDescent="0.35">
      <c r="A351" s="9" t="s">
        <v>418</v>
      </c>
      <c r="B351" s="10">
        <v>636</v>
      </c>
      <c r="C351" s="10">
        <v>13</v>
      </c>
      <c r="D351" s="10">
        <v>4</v>
      </c>
      <c r="E351" s="10">
        <v>690</v>
      </c>
      <c r="F351" s="10">
        <v>16127414.033430222</v>
      </c>
      <c r="G351" s="10">
        <v>661</v>
      </c>
      <c r="H351" s="10">
        <v>12</v>
      </c>
      <c r="I351" s="10">
        <v>4</v>
      </c>
      <c r="J351" s="10">
        <v>1152</v>
      </c>
      <c r="K351" s="10">
        <v>15586407.387585824</v>
      </c>
    </row>
    <row r="352" spans="1:11" x14ac:dyDescent="0.35">
      <c r="A352" s="9" t="s">
        <v>419</v>
      </c>
      <c r="B352" s="10">
        <v>1312</v>
      </c>
      <c r="C352" s="10">
        <v>27</v>
      </c>
      <c r="D352" s="10">
        <v>7</v>
      </c>
      <c r="E352" s="10">
        <v>1137</v>
      </c>
      <c r="F352" s="10">
        <v>39329728.91579628</v>
      </c>
      <c r="G352" s="10">
        <v>1275</v>
      </c>
      <c r="H352" s="10">
        <v>22</v>
      </c>
      <c r="I352" s="10">
        <v>6</v>
      </c>
      <c r="J352" s="10">
        <v>1100</v>
      </c>
      <c r="K352" s="10">
        <v>36552142.787287526</v>
      </c>
    </row>
    <row r="353" spans="1:11" x14ac:dyDescent="0.35">
      <c r="A353" s="9" t="s">
        <v>420</v>
      </c>
      <c r="B353" s="10">
        <v>399</v>
      </c>
      <c r="C353" s="10">
        <v>2</v>
      </c>
      <c r="D353" s="10">
        <v>2</v>
      </c>
      <c r="E353" s="10">
        <v>680</v>
      </c>
      <c r="F353" s="10">
        <v>9005276.1414359808</v>
      </c>
      <c r="G353" s="10">
        <v>399</v>
      </c>
      <c r="H353" s="10">
        <v>0</v>
      </c>
      <c r="I353" s="10">
        <v>2</v>
      </c>
      <c r="J353" s="10">
        <v>608</v>
      </c>
      <c r="K353" s="10">
        <v>8089494.8939720551</v>
      </c>
    </row>
    <row r="354" spans="1:11" x14ac:dyDescent="0.35">
      <c r="A354" s="9" t="s">
        <v>421</v>
      </c>
      <c r="B354" s="10">
        <v>806</v>
      </c>
      <c r="C354" s="10">
        <v>10</v>
      </c>
      <c r="D354" s="10">
        <v>4</v>
      </c>
      <c r="E354" s="10">
        <v>701</v>
      </c>
      <c r="F354" s="10">
        <v>22377244.267271932</v>
      </c>
      <c r="G354" s="10">
        <v>851</v>
      </c>
      <c r="H354" s="10">
        <v>3</v>
      </c>
      <c r="I354" s="10">
        <v>3</v>
      </c>
      <c r="J354" s="10">
        <v>873</v>
      </c>
      <c r="K354" s="10">
        <v>28241219.85988342</v>
      </c>
    </row>
    <row r="355" spans="1:11" x14ac:dyDescent="0.35">
      <c r="A355" s="9" t="s">
        <v>422</v>
      </c>
      <c r="B355" s="10">
        <v>941</v>
      </c>
      <c r="C355" s="10">
        <v>7</v>
      </c>
      <c r="D355" s="10">
        <v>3</v>
      </c>
      <c r="E355" s="10">
        <v>403</v>
      </c>
      <c r="F355" s="10">
        <v>11393477.468192693</v>
      </c>
      <c r="G355" s="10">
        <v>730</v>
      </c>
      <c r="H355" s="10">
        <v>1</v>
      </c>
      <c r="I355" s="10">
        <v>2</v>
      </c>
      <c r="J355" s="10">
        <v>346</v>
      </c>
      <c r="K355" s="10">
        <v>11511346.200405331</v>
      </c>
    </row>
    <row r="356" spans="1:11" x14ac:dyDescent="0.35">
      <c r="A356" s="9" t="s">
        <v>423</v>
      </c>
      <c r="B356" s="10">
        <v>2765</v>
      </c>
      <c r="C356" s="10">
        <v>16</v>
      </c>
      <c r="D356" s="10">
        <v>22</v>
      </c>
      <c r="E356" s="10">
        <v>1949</v>
      </c>
      <c r="F356" s="10">
        <v>60975861.878592789</v>
      </c>
      <c r="G356" s="10">
        <v>2353</v>
      </c>
      <c r="H356" s="10">
        <v>11</v>
      </c>
      <c r="I356" s="10">
        <v>21</v>
      </c>
      <c r="J356" s="10">
        <v>1905</v>
      </c>
      <c r="K356" s="10">
        <v>66197893.454971403</v>
      </c>
    </row>
    <row r="357" spans="1:11" x14ac:dyDescent="0.35">
      <c r="A357" s="9" t="s">
        <v>424</v>
      </c>
      <c r="B357" s="10">
        <v>2072</v>
      </c>
      <c r="C357" s="10">
        <v>32</v>
      </c>
      <c r="D357" s="10">
        <v>9</v>
      </c>
      <c r="E357" s="10">
        <v>2164</v>
      </c>
      <c r="F357" s="10">
        <v>51992504.036450997</v>
      </c>
      <c r="G357" s="10">
        <v>1988</v>
      </c>
      <c r="H357" s="10">
        <v>25</v>
      </c>
      <c r="I357" s="10">
        <v>9</v>
      </c>
      <c r="J357" s="10">
        <v>1998</v>
      </c>
      <c r="K357" s="10">
        <v>48288876.434920169</v>
      </c>
    </row>
    <row r="358" spans="1:11" x14ac:dyDescent="0.35">
      <c r="A358" s="9" t="s">
        <v>425</v>
      </c>
      <c r="B358" s="10">
        <v>671</v>
      </c>
      <c r="C358" s="10">
        <v>3</v>
      </c>
      <c r="D358" s="10">
        <v>4</v>
      </c>
      <c r="E358" s="10">
        <v>603</v>
      </c>
      <c r="F358" s="10">
        <v>13365866.855164524</v>
      </c>
      <c r="G358" s="10">
        <v>695</v>
      </c>
      <c r="H358" s="10">
        <v>7</v>
      </c>
      <c r="I358" s="10">
        <v>4</v>
      </c>
      <c r="J358" s="10">
        <v>659</v>
      </c>
      <c r="K358" s="10">
        <v>13636654.526094792</v>
      </c>
    </row>
    <row r="359" spans="1:11" x14ac:dyDescent="0.35">
      <c r="A359" s="9" t="s">
        <v>426</v>
      </c>
      <c r="B359" s="10">
        <v>1550</v>
      </c>
      <c r="C359" s="10">
        <v>11</v>
      </c>
      <c r="D359" s="10">
        <v>3</v>
      </c>
      <c r="E359" s="10">
        <v>1244</v>
      </c>
      <c r="F359" s="10">
        <v>32289621.755926654</v>
      </c>
      <c r="G359" s="10">
        <v>1443</v>
      </c>
      <c r="H359" s="10">
        <v>11</v>
      </c>
      <c r="I359" s="10">
        <v>4</v>
      </c>
      <c r="J359" s="10">
        <v>1179</v>
      </c>
      <c r="K359" s="10">
        <v>37296137.623870991</v>
      </c>
    </row>
    <row r="360" spans="1:11" x14ac:dyDescent="0.35">
      <c r="A360" s="9" t="s">
        <v>427</v>
      </c>
      <c r="B360" s="10">
        <v>1282</v>
      </c>
      <c r="C360" s="10">
        <v>15</v>
      </c>
      <c r="D360" s="10">
        <v>7</v>
      </c>
      <c r="E360" s="10">
        <v>1415</v>
      </c>
      <c r="F360" s="10">
        <v>26472106.091702525</v>
      </c>
      <c r="G360" s="10">
        <v>1148</v>
      </c>
      <c r="H360" s="10">
        <v>11</v>
      </c>
      <c r="I360" s="10">
        <v>7</v>
      </c>
      <c r="J360" s="10">
        <v>1400</v>
      </c>
      <c r="K360" s="10">
        <v>26205536.823580347</v>
      </c>
    </row>
    <row r="361" spans="1:11" x14ac:dyDescent="0.35">
      <c r="A361" s="9" t="s">
        <v>428</v>
      </c>
      <c r="B361" s="10">
        <v>1027</v>
      </c>
      <c r="C361" s="10">
        <v>12</v>
      </c>
      <c r="D361" s="10">
        <v>3</v>
      </c>
      <c r="E361" s="10">
        <v>884</v>
      </c>
      <c r="F361" s="10">
        <v>30067700.544542342</v>
      </c>
      <c r="G361" s="10">
        <v>1016</v>
      </c>
      <c r="H361" s="10">
        <v>6</v>
      </c>
      <c r="I361" s="10">
        <v>2</v>
      </c>
      <c r="J361" s="10">
        <v>865</v>
      </c>
      <c r="K361" s="10">
        <v>29419269.435560033</v>
      </c>
    </row>
    <row r="362" spans="1:11" x14ac:dyDescent="0.35">
      <c r="A362" s="9" t="s">
        <v>429</v>
      </c>
      <c r="B362" s="10">
        <v>2653</v>
      </c>
      <c r="C362" s="10">
        <v>29</v>
      </c>
      <c r="D362" s="10">
        <v>3</v>
      </c>
      <c r="E362" s="10">
        <v>2668</v>
      </c>
      <c r="F362" s="10">
        <v>68330719.203327984</v>
      </c>
      <c r="G362" s="10">
        <v>2543</v>
      </c>
      <c r="H362" s="10">
        <v>17</v>
      </c>
      <c r="I362" s="10">
        <v>3</v>
      </c>
      <c r="J362" s="10">
        <v>2538</v>
      </c>
      <c r="K362" s="10">
        <v>66727490.188081756</v>
      </c>
    </row>
    <row r="363" spans="1:11" x14ac:dyDescent="0.35">
      <c r="A363" s="9" t="s">
        <v>430</v>
      </c>
      <c r="B363" s="10">
        <v>790</v>
      </c>
      <c r="C363" s="10">
        <v>16</v>
      </c>
      <c r="D363" s="10">
        <v>9</v>
      </c>
      <c r="E363" s="10">
        <v>770</v>
      </c>
      <c r="F363" s="10">
        <v>24877536.399383273</v>
      </c>
      <c r="G363" s="10">
        <v>806</v>
      </c>
      <c r="H363" s="10">
        <v>8</v>
      </c>
      <c r="I363" s="10">
        <v>8</v>
      </c>
      <c r="J363" s="10">
        <v>872</v>
      </c>
      <c r="K363" s="10">
        <v>29097355.536735073</v>
      </c>
    </row>
    <row r="364" spans="1:11" x14ac:dyDescent="0.35">
      <c r="A364" s="9" t="s">
        <v>431</v>
      </c>
      <c r="B364" s="10">
        <v>3967</v>
      </c>
      <c r="C364" s="10">
        <v>45</v>
      </c>
      <c r="D364" s="10">
        <v>6</v>
      </c>
      <c r="E364" s="10">
        <v>2932</v>
      </c>
      <c r="F364" s="10">
        <v>78373210.820639521</v>
      </c>
      <c r="G364" s="10">
        <v>3712</v>
      </c>
      <c r="H364" s="10">
        <v>35</v>
      </c>
      <c r="I364" s="10">
        <v>7</v>
      </c>
      <c r="J364" s="10">
        <v>2940</v>
      </c>
      <c r="K364" s="10">
        <v>86589617.709099129</v>
      </c>
    </row>
    <row r="365" spans="1:11" x14ac:dyDescent="0.35">
      <c r="A365" s="9" t="s">
        <v>432</v>
      </c>
      <c r="B365" s="10">
        <v>1793</v>
      </c>
      <c r="C365" s="10">
        <v>17</v>
      </c>
      <c r="D365" s="10">
        <v>4</v>
      </c>
      <c r="E365" s="10">
        <v>1685</v>
      </c>
      <c r="F365" s="10">
        <v>53207030.519874305</v>
      </c>
      <c r="G365" s="10">
        <v>1775</v>
      </c>
      <c r="H365" s="10">
        <v>16</v>
      </c>
      <c r="I365" s="10">
        <v>4</v>
      </c>
      <c r="J365" s="10">
        <v>1719</v>
      </c>
      <c r="K365" s="10">
        <v>53854232.494590014</v>
      </c>
    </row>
    <row r="366" spans="1:11" x14ac:dyDescent="0.35">
      <c r="A366" s="9" t="s">
        <v>433</v>
      </c>
      <c r="B366" s="10">
        <v>1178</v>
      </c>
      <c r="C366" s="10">
        <v>16</v>
      </c>
      <c r="D366" s="10">
        <v>4</v>
      </c>
      <c r="E366" s="10">
        <v>1260</v>
      </c>
      <c r="F366" s="10">
        <v>37482078.332288824</v>
      </c>
      <c r="G366" s="10">
        <v>1068</v>
      </c>
      <c r="H366" s="10">
        <v>7</v>
      </c>
      <c r="I366" s="10">
        <v>3</v>
      </c>
      <c r="J366" s="10">
        <v>1161</v>
      </c>
      <c r="K366" s="10">
        <v>37354847.805837244</v>
      </c>
    </row>
    <row r="367" spans="1:11" x14ac:dyDescent="0.35">
      <c r="A367" s="9" t="s">
        <v>434</v>
      </c>
      <c r="B367" s="10">
        <v>1075</v>
      </c>
      <c r="C367" s="10">
        <v>7</v>
      </c>
      <c r="D367" s="10">
        <v>1</v>
      </c>
      <c r="E367" s="10">
        <v>658</v>
      </c>
      <c r="F367" s="10">
        <v>19429882.056700177</v>
      </c>
      <c r="G367" s="10">
        <v>1019</v>
      </c>
      <c r="H367" s="10">
        <v>7</v>
      </c>
      <c r="I367" s="10">
        <v>1</v>
      </c>
      <c r="J367" s="10">
        <v>633</v>
      </c>
      <c r="K367" s="10">
        <v>21075523.603872567</v>
      </c>
    </row>
    <row r="368" spans="1:11" x14ac:dyDescent="0.35">
      <c r="A368" s="9" t="s">
        <v>435</v>
      </c>
      <c r="B368" s="10">
        <v>1564</v>
      </c>
      <c r="C368" s="10">
        <v>22</v>
      </c>
      <c r="D368" s="10">
        <v>3</v>
      </c>
      <c r="E368" s="10">
        <v>1869</v>
      </c>
      <c r="F368" s="10">
        <v>46615555.291162834</v>
      </c>
      <c r="G368" s="10">
        <v>1586</v>
      </c>
      <c r="H368" s="10">
        <v>59</v>
      </c>
      <c r="I368" s="10">
        <v>3</v>
      </c>
      <c r="J368" s="10">
        <v>2362</v>
      </c>
      <c r="K368" s="10">
        <v>65375745.98615633</v>
      </c>
    </row>
    <row r="369" spans="1:11" x14ac:dyDescent="0.35">
      <c r="A369" s="9" t="s">
        <v>436</v>
      </c>
      <c r="B369" s="10">
        <v>1795</v>
      </c>
      <c r="C369" s="10">
        <v>16</v>
      </c>
      <c r="D369" s="10">
        <v>6</v>
      </c>
      <c r="E369" s="10">
        <v>1483</v>
      </c>
      <c r="F369" s="10">
        <v>32571019.607944302</v>
      </c>
      <c r="G369" s="10">
        <v>1686</v>
      </c>
      <c r="H369" s="10">
        <v>19</v>
      </c>
      <c r="I369" s="10">
        <v>8</v>
      </c>
      <c r="J369" s="10">
        <v>1744</v>
      </c>
      <c r="K369" s="10">
        <v>42260562.363281205</v>
      </c>
    </row>
    <row r="370" spans="1:11" x14ac:dyDescent="0.35">
      <c r="A370" s="9" t="s">
        <v>437</v>
      </c>
      <c r="B370" s="10">
        <v>1053</v>
      </c>
      <c r="C370" s="10">
        <v>19</v>
      </c>
      <c r="D370" s="10">
        <v>2</v>
      </c>
      <c r="E370" s="10">
        <v>969</v>
      </c>
      <c r="F370" s="10">
        <v>28218304.516187891</v>
      </c>
      <c r="G370" s="10">
        <v>952</v>
      </c>
      <c r="H370" s="10">
        <v>12</v>
      </c>
      <c r="I370" s="10">
        <v>2</v>
      </c>
      <c r="J370" s="10">
        <v>1171</v>
      </c>
      <c r="K370" s="10">
        <v>37336724.824182138</v>
      </c>
    </row>
    <row r="371" spans="1:11" x14ac:dyDescent="0.35">
      <c r="A371" s="9" t="s">
        <v>438</v>
      </c>
      <c r="B371" s="10">
        <v>3665</v>
      </c>
      <c r="C371" s="10">
        <v>33</v>
      </c>
      <c r="D371" s="10">
        <v>5</v>
      </c>
      <c r="E371" s="10">
        <v>2560</v>
      </c>
      <c r="F371" s="10">
        <v>76357219.957379133</v>
      </c>
      <c r="G371" s="10">
        <v>3618</v>
      </c>
      <c r="H371" s="10">
        <v>36</v>
      </c>
      <c r="I371" s="10">
        <v>5</v>
      </c>
      <c r="J371" s="10">
        <v>2474</v>
      </c>
      <c r="K371" s="10">
        <v>79124635.910805613</v>
      </c>
    </row>
    <row r="372" spans="1:11" x14ac:dyDescent="0.35">
      <c r="A372" s="9" t="s">
        <v>439</v>
      </c>
      <c r="B372" s="10">
        <v>1266</v>
      </c>
      <c r="C372" s="10">
        <v>10</v>
      </c>
      <c r="D372" s="10">
        <v>10</v>
      </c>
      <c r="E372" s="10">
        <v>1005</v>
      </c>
      <c r="F372" s="10">
        <v>29921156.07234893</v>
      </c>
      <c r="G372" s="10">
        <v>1193</v>
      </c>
      <c r="H372" s="10">
        <v>4</v>
      </c>
      <c r="I372" s="10">
        <v>10</v>
      </c>
      <c r="J372" s="10">
        <v>933</v>
      </c>
      <c r="K372" s="10">
        <v>29444841.527974963</v>
      </c>
    </row>
    <row r="373" spans="1:11" x14ac:dyDescent="0.35">
      <c r="A373" s="9" t="s">
        <v>440</v>
      </c>
      <c r="B373" s="10">
        <v>1170</v>
      </c>
      <c r="C373" s="10">
        <v>10</v>
      </c>
      <c r="D373" s="10">
        <v>14</v>
      </c>
      <c r="E373" s="10">
        <v>639</v>
      </c>
      <c r="F373" s="10">
        <v>32523379.526005443</v>
      </c>
      <c r="G373" s="10">
        <v>1158</v>
      </c>
      <c r="H373" s="10">
        <v>5</v>
      </c>
      <c r="I373" s="10">
        <v>15</v>
      </c>
      <c r="J373" s="10">
        <v>1052</v>
      </c>
      <c r="K373" s="10">
        <v>43766214.460692279</v>
      </c>
    </row>
    <row r="374" spans="1:11" x14ac:dyDescent="0.35">
      <c r="A374" s="9" t="s">
        <v>441</v>
      </c>
      <c r="B374" s="10">
        <v>2031</v>
      </c>
      <c r="C374" s="10">
        <v>27</v>
      </c>
      <c r="D374" s="10">
        <v>5</v>
      </c>
      <c r="E374" s="10">
        <v>2087</v>
      </c>
      <c r="F374" s="10">
        <v>53828752.755951442</v>
      </c>
      <c r="G374" s="10">
        <v>1892</v>
      </c>
      <c r="H374" s="10">
        <v>90</v>
      </c>
      <c r="I374" s="10">
        <v>4</v>
      </c>
      <c r="J374" s="10">
        <v>1704</v>
      </c>
      <c r="K374" s="10">
        <v>51046557.624818236</v>
      </c>
    </row>
    <row r="375" spans="1:11" x14ac:dyDescent="0.35">
      <c r="A375" s="9" t="s">
        <v>442</v>
      </c>
      <c r="B375" s="10">
        <v>2353</v>
      </c>
      <c r="C375" s="10">
        <v>49</v>
      </c>
      <c r="D375" s="10">
        <v>2</v>
      </c>
      <c r="E375" s="10">
        <v>2060</v>
      </c>
      <c r="F375" s="10">
        <v>50750554.023183607</v>
      </c>
      <c r="G375" s="10">
        <v>2203</v>
      </c>
      <c r="H375" s="10">
        <v>11</v>
      </c>
      <c r="I375" s="10">
        <v>4</v>
      </c>
      <c r="J375" s="10">
        <v>1367</v>
      </c>
      <c r="K375" s="10">
        <v>34916414.438938871</v>
      </c>
    </row>
    <row r="376" spans="1:11" x14ac:dyDescent="0.35">
      <c r="A376" s="9" t="s">
        <v>443</v>
      </c>
      <c r="B376" s="10">
        <v>1800</v>
      </c>
      <c r="C376" s="10">
        <v>216</v>
      </c>
      <c r="D376" s="10">
        <v>4</v>
      </c>
      <c r="E376" s="10">
        <v>1060</v>
      </c>
      <c r="F376" s="10">
        <v>31003654.215467848</v>
      </c>
      <c r="G376" s="10">
        <v>1538</v>
      </c>
      <c r="H376" s="10">
        <v>143</v>
      </c>
      <c r="I376" s="10">
        <v>2</v>
      </c>
      <c r="J376" s="10">
        <v>884</v>
      </c>
      <c r="K376" s="10">
        <v>24630107.889584556</v>
      </c>
    </row>
    <row r="377" spans="1:11" x14ac:dyDescent="0.35">
      <c r="A377" s="9" t="s">
        <v>444</v>
      </c>
      <c r="B377" s="10">
        <v>954</v>
      </c>
      <c r="C377" s="10">
        <v>11</v>
      </c>
      <c r="D377" s="10">
        <v>3</v>
      </c>
      <c r="E377" s="10">
        <v>1145</v>
      </c>
      <c r="F377" s="10">
        <v>25733084.102618091</v>
      </c>
      <c r="G377" s="10">
        <v>943</v>
      </c>
      <c r="H377" s="10">
        <v>4</v>
      </c>
      <c r="I377" s="10">
        <v>4</v>
      </c>
      <c r="J377" s="10">
        <v>1132</v>
      </c>
      <c r="K377" s="10">
        <v>31317291.697398752</v>
      </c>
    </row>
    <row r="378" spans="1:11" x14ac:dyDescent="0.35">
      <c r="A378" s="9" t="s">
        <v>445</v>
      </c>
      <c r="B378" s="10">
        <v>4330</v>
      </c>
      <c r="C378" s="10">
        <v>73</v>
      </c>
      <c r="D378" s="10">
        <v>5</v>
      </c>
      <c r="E378" s="10">
        <v>3177</v>
      </c>
      <c r="F378" s="10">
        <v>80141199.842615545</v>
      </c>
      <c r="G378" s="10">
        <v>4547</v>
      </c>
      <c r="H378" s="10">
        <v>68</v>
      </c>
      <c r="I378" s="10">
        <v>7</v>
      </c>
      <c r="J378" s="10">
        <v>3635</v>
      </c>
      <c r="K378" s="10">
        <v>101742617.12616396</v>
      </c>
    </row>
    <row r="379" spans="1:11" x14ac:dyDescent="0.35">
      <c r="A379" s="9" t="s">
        <v>446</v>
      </c>
      <c r="B379" s="10">
        <v>1213</v>
      </c>
      <c r="C379" s="10">
        <v>116</v>
      </c>
      <c r="D379" s="10">
        <v>5</v>
      </c>
      <c r="E379" s="10">
        <v>1368</v>
      </c>
      <c r="F379" s="10">
        <v>34306017.149114847</v>
      </c>
      <c r="G379" s="10">
        <v>1312</v>
      </c>
      <c r="H379" s="10">
        <v>18</v>
      </c>
      <c r="I379" s="10">
        <v>4</v>
      </c>
      <c r="J379" s="10">
        <v>1443</v>
      </c>
      <c r="K379" s="10">
        <v>41011143.658441976</v>
      </c>
    </row>
    <row r="380" spans="1:11" x14ac:dyDescent="0.35">
      <c r="A380" s="9" t="s">
        <v>447</v>
      </c>
      <c r="B380" s="10">
        <v>1571</v>
      </c>
      <c r="C380" s="10">
        <v>23</v>
      </c>
      <c r="D380" s="10">
        <v>1</v>
      </c>
      <c r="E380" s="10">
        <v>1559</v>
      </c>
      <c r="F380" s="10">
        <v>34195541.564876847</v>
      </c>
      <c r="G380" s="10">
        <v>1477</v>
      </c>
      <c r="H380" s="10">
        <v>9</v>
      </c>
      <c r="I380" s="10">
        <v>2</v>
      </c>
      <c r="J380" s="10">
        <v>1373</v>
      </c>
      <c r="K380" s="10">
        <v>30925815.211614326</v>
      </c>
    </row>
    <row r="381" spans="1:11" x14ac:dyDescent="0.35">
      <c r="A381" s="9" t="s">
        <v>448</v>
      </c>
      <c r="B381" s="10">
        <v>2133</v>
      </c>
      <c r="C381" s="10">
        <v>19</v>
      </c>
      <c r="D381" s="10">
        <v>9</v>
      </c>
      <c r="E381" s="10">
        <v>2102</v>
      </c>
      <c r="F381" s="10">
        <v>57226007.060428314</v>
      </c>
      <c r="G381" s="10">
        <v>2086</v>
      </c>
      <c r="H381" s="10">
        <v>13</v>
      </c>
      <c r="I381" s="10">
        <v>9</v>
      </c>
      <c r="J381" s="10">
        <v>2021</v>
      </c>
      <c r="K381" s="10">
        <v>57402360.090078741</v>
      </c>
    </row>
    <row r="382" spans="1:11" x14ac:dyDescent="0.35">
      <c r="A382" s="9" t="s">
        <v>449</v>
      </c>
      <c r="B382" s="10">
        <v>1606</v>
      </c>
      <c r="C382" s="10">
        <v>8</v>
      </c>
      <c r="D382" s="10">
        <v>3</v>
      </c>
      <c r="E382" s="10">
        <v>1520</v>
      </c>
      <c r="F382" s="10">
        <v>33482795.485502731</v>
      </c>
      <c r="G382" s="10">
        <v>1538</v>
      </c>
      <c r="H382" s="10">
        <v>7</v>
      </c>
      <c r="I382" s="10">
        <v>2</v>
      </c>
      <c r="J382" s="10">
        <v>1306</v>
      </c>
      <c r="K382" s="10">
        <v>29946891.945614167</v>
      </c>
    </row>
    <row r="383" spans="1:11" x14ac:dyDescent="0.35">
      <c r="A383" s="9" t="s">
        <v>450</v>
      </c>
      <c r="B383" s="10">
        <v>697</v>
      </c>
      <c r="C383" s="10">
        <v>5</v>
      </c>
      <c r="D383" s="10">
        <v>3</v>
      </c>
      <c r="E383" s="10">
        <v>439</v>
      </c>
      <c r="F383" s="10">
        <v>11311223.565058317</v>
      </c>
      <c r="G383" s="10">
        <v>739</v>
      </c>
      <c r="H383" s="10">
        <v>2</v>
      </c>
      <c r="I383" s="10">
        <v>3</v>
      </c>
      <c r="J383" s="10">
        <v>452</v>
      </c>
      <c r="K383" s="10">
        <v>12974180.094011962</v>
      </c>
    </row>
    <row r="384" spans="1:11" x14ac:dyDescent="0.35">
      <c r="A384" s="9" t="s">
        <v>451</v>
      </c>
      <c r="B384" s="10">
        <v>2129</v>
      </c>
      <c r="C384" s="10">
        <v>232</v>
      </c>
      <c r="D384" s="10">
        <v>5</v>
      </c>
      <c r="E384" s="10">
        <v>1516</v>
      </c>
      <c r="F384" s="10">
        <v>36669554.351268195</v>
      </c>
      <c r="G384" s="10">
        <v>2561</v>
      </c>
      <c r="H384" s="10">
        <v>745</v>
      </c>
      <c r="I384" s="10">
        <v>5</v>
      </c>
      <c r="J384" s="10">
        <v>1575</v>
      </c>
      <c r="K384" s="10">
        <v>43561369.92799253</v>
      </c>
    </row>
    <row r="385" spans="1:11" x14ac:dyDescent="0.35">
      <c r="A385" s="9" t="s">
        <v>452</v>
      </c>
      <c r="B385" s="10">
        <v>1363</v>
      </c>
      <c r="C385" s="10">
        <v>11</v>
      </c>
      <c r="D385" s="10">
        <v>6</v>
      </c>
      <c r="E385" s="10">
        <v>1213</v>
      </c>
      <c r="F385" s="10">
        <v>38947797.338759959</v>
      </c>
      <c r="G385" s="10">
        <v>1332</v>
      </c>
      <c r="H385" s="10">
        <v>9</v>
      </c>
      <c r="I385" s="10">
        <v>6</v>
      </c>
      <c r="J385" s="10">
        <v>1182</v>
      </c>
      <c r="K385" s="10">
        <v>38088892.476866469</v>
      </c>
    </row>
    <row r="386" spans="1:11" x14ac:dyDescent="0.35">
      <c r="A386" s="9" t="s">
        <v>453</v>
      </c>
      <c r="B386" s="10">
        <v>1348</v>
      </c>
      <c r="C386" s="10">
        <v>10</v>
      </c>
      <c r="D386" s="10">
        <v>4</v>
      </c>
      <c r="E386" s="10">
        <v>1289</v>
      </c>
      <c r="F386" s="10">
        <v>32066269.111032929</v>
      </c>
      <c r="G386" s="10">
        <v>1365</v>
      </c>
      <c r="H386" s="10">
        <v>12</v>
      </c>
      <c r="I386" s="10">
        <v>5</v>
      </c>
      <c r="J386" s="10">
        <v>1321</v>
      </c>
      <c r="K386" s="10">
        <v>37628200.777781166</v>
      </c>
    </row>
    <row r="387" spans="1:11" x14ac:dyDescent="0.35">
      <c r="A387" s="9" t="s">
        <v>454</v>
      </c>
      <c r="B387" s="10">
        <v>2699</v>
      </c>
      <c r="C387" s="10">
        <v>40</v>
      </c>
      <c r="D387" s="10">
        <v>8</v>
      </c>
      <c r="E387" s="10">
        <v>2403</v>
      </c>
      <c r="F387" s="10">
        <v>60803322.001751795</v>
      </c>
      <c r="G387" s="10">
        <v>2683</v>
      </c>
      <c r="H387" s="10">
        <v>45</v>
      </c>
      <c r="I387" s="10">
        <v>7</v>
      </c>
      <c r="J387" s="10">
        <v>2447</v>
      </c>
      <c r="K387" s="10">
        <v>69657884.881072342</v>
      </c>
    </row>
    <row r="388" spans="1:11" x14ac:dyDescent="0.35">
      <c r="A388" s="9" t="s">
        <v>455</v>
      </c>
      <c r="B388" s="10">
        <v>2903</v>
      </c>
      <c r="C388" s="10">
        <v>32</v>
      </c>
      <c r="D388" s="10">
        <v>34</v>
      </c>
      <c r="E388" s="10">
        <v>2501</v>
      </c>
      <c r="F388" s="10">
        <v>96563064.603314444</v>
      </c>
      <c r="G388" s="10">
        <v>2780</v>
      </c>
      <c r="H388" s="10">
        <v>6</v>
      </c>
      <c r="I388" s="10">
        <v>24</v>
      </c>
      <c r="J388" s="10">
        <v>2170</v>
      </c>
      <c r="K388" s="10">
        <v>79988925.002108306</v>
      </c>
    </row>
    <row r="389" spans="1:11" x14ac:dyDescent="0.35">
      <c r="A389" s="9" t="s">
        <v>456</v>
      </c>
      <c r="B389" s="10">
        <v>1438</v>
      </c>
      <c r="C389" s="10">
        <v>22</v>
      </c>
      <c r="D389" s="10">
        <v>4</v>
      </c>
      <c r="E389" s="10">
        <v>1396</v>
      </c>
      <c r="F389" s="10">
        <v>36770929.715451948</v>
      </c>
      <c r="G389" s="10">
        <v>1368</v>
      </c>
      <c r="H389" s="10">
        <v>13</v>
      </c>
      <c r="I389" s="10">
        <v>3</v>
      </c>
      <c r="J389" s="10">
        <v>1419</v>
      </c>
      <c r="K389" s="10">
        <v>38461647.81496878</v>
      </c>
    </row>
    <row r="390" spans="1:11" x14ac:dyDescent="0.35">
      <c r="A390" s="9" t="s">
        <v>457</v>
      </c>
      <c r="B390" s="10">
        <v>557</v>
      </c>
      <c r="C390" s="10">
        <v>9</v>
      </c>
      <c r="D390" s="10">
        <v>0</v>
      </c>
      <c r="E390" s="10">
        <v>656</v>
      </c>
      <c r="F390" s="10">
        <v>16689025.324214417</v>
      </c>
      <c r="G390" s="10">
        <v>566</v>
      </c>
      <c r="H390" s="10">
        <v>7</v>
      </c>
      <c r="I390" s="10">
        <v>1</v>
      </c>
      <c r="J390" s="10">
        <v>822</v>
      </c>
      <c r="K390" s="10">
        <v>20810283.172765486</v>
      </c>
    </row>
    <row r="391" spans="1:11" x14ac:dyDescent="0.35">
      <c r="A391" s="9" t="s">
        <v>458</v>
      </c>
      <c r="B391" s="10">
        <v>1876</v>
      </c>
      <c r="C391" s="10">
        <v>15</v>
      </c>
      <c r="D391" s="10">
        <v>4</v>
      </c>
      <c r="E391" s="10">
        <v>1865</v>
      </c>
      <c r="F391" s="10">
        <v>40573533.3934016</v>
      </c>
      <c r="G391" s="10">
        <v>1806</v>
      </c>
      <c r="H391" s="10">
        <v>13</v>
      </c>
      <c r="I391" s="10">
        <v>4</v>
      </c>
      <c r="J391" s="10">
        <v>1833</v>
      </c>
      <c r="K391" s="10">
        <v>41317990.886433214</v>
      </c>
    </row>
    <row r="392" spans="1:11" x14ac:dyDescent="0.35">
      <c r="A392" s="9" t="s">
        <v>459</v>
      </c>
      <c r="B392" s="10">
        <v>3096</v>
      </c>
      <c r="C392" s="10">
        <v>30</v>
      </c>
      <c r="D392" s="10">
        <v>4</v>
      </c>
      <c r="E392" s="10">
        <v>2156</v>
      </c>
      <c r="F392" s="10">
        <v>58267022.06301102</v>
      </c>
      <c r="G392" s="10">
        <v>2993</v>
      </c>
      <c r="H392" s="10">
        <v>19</v>
      </c>
      <c r="I392" s="10">
        <v>4</v>
      </c>
      <c r="J392" s="10">
        <v>1630</v>
      </c>
      <c r="K392" s="10">
        <v>47154213.675111413</v>
      </c>
    </row>
    <row r="393" spans="1:11" x14ac:dyDescent="0.35">
      <c r="A393" s="9" t="s">
        <v>460</v>
      </c>
      <c r="B393" s="10">
        <v>3407</v>
      </c>
      <c r="C393" s="10">
        <v>78</v>
      </c>
      <c r="D393" s="10">
        <v>3</v>
      </c>
      <c r="E393" s="10">
        <v>2757</v>
      </c>
      <c r="F393" s="10">
        <v>72806758.222785175</v>
      </c>
      <c r="G393" s="10">
        <v>3297</v>
      </c>
      <c r="H393" s="10">
        <v>46</v>
      </c>
      <c r="I393" s="10">
        <v>2</v>
      </c>
      <c r="J393" s="10">
        <v>2345</v>
      </c>
      <c r="K393" s="10">
        <v>70051218.406709537</v>
      </c>
    </row>
    <row r="394" spans="1:11" x14ac:dyDescent="0.35">
      <c r="A394" s="9" t="s">
        <v>461</v>
      </c>
      <c r="B394" s="10">
        <v>1621</v>
      </c>
      <c r="C394" s="10">
        <v>28</v>
      </c>
      <c r="D394" s="10">
        <v>4</v>
      </c>
      <c r="E394" s="10">
        <v>1423</v>
      </c>
      <c r="F394" s="10">
        <v>30373413.023482714</v>
      </c>
      <c r="G394" s="10">
        <v>1671</v>
      </c>
      <c r="H394" s="10">
        <v>63</v>
      </c>
      <c r="I394" s="10">
        <v>3</v>
      </c>
      <c r="J394" s="10">
        <v>1882</v>
      </c>
      <c r="K394" s="10">
        <v>46475506.558307096</v>
      </c>
    </row>
    <row r="395" spans="1:11" x14ac:dyDescent="0.35">
      <c r="A395" s="9" t="s">
        <v>462</v>
      </c>
      <c r="B395" s="10">
        <v>885</v>
      </c>
      <c r="C395" s="10">
        <v>18</v>
      </c>
      <c r="D395" s="10">
        <v>3</v>
      </c>
      <c r="E395" s="10">
        <v>1343</v>
      </c>
      <c r="F395" s="10">
        <v>29760489.369549312</v>
      </c>
      <c r="G395" s="10">
        <v>899</v>
      </c>
      <c r="H395" s="10">
        <v>14</v>
      </c>
      <c r="I395" s="10">
        <v>3</v>
      </c>
      <c r="J395" s="10">
        <v>1462</v>
      </c>
      <c r="K395" s="10">
        <v>38928389.145407863</v>
      </c>
    </row>
    <row r="396" spans="1:11" x14ac:dyDescent="0.35">
      <c r="A396" s="9" t="s">
        <v>463</v>
      </c>
      <c r="B396" s="10">
        <v>920</v>
      </c>
      <c r="C396" s="10">
        <v>11</v>
      </c>
      <c r="D396" s="10">
        <v>1</v>
      </c>
      <c r="E396" s="10">
        <v>851</v>
      </c>
      <c r="F396" s="10">
        <v>25088944.584105667</v>
      </c>
      <c r="G396" s="10">
        <v>920</v>
      </c>
      <c r="H396" s="10">
        <v>5</v>
      </c>
      <c r="I396" s="10">
        <v>0</v>
      </c>
      <c r="J396" s="10">
        <v>784</v>
      </c>
      <c r="K396" s="10">
        <v>22926437.951676048</v>
      </c>
    </row>
    <row r="397" spans="1:11" x14ac:dyDescent="0.35">
      <c r="A397" s="9" t="s">
        <v>464</v>
      </c>
      <c r="B397" s="10">
        <v>793</v>
      </c>
      <c r="C397" s="10">
        <v>10</v>
      </c>
      <c r="D397" s="10">
        <v>2</v>
      </c>
      <c r="E397" s="10">
        <v>825</v>
      </c>
      <c r="F397" s="10">
        <v>27182123.184434518</v>
      </c>
      <c r="G397" s="10">
        <v>781</v>
      </c>
      <c r="H397" s="10">
        <v>9</v>
      </c>
      <c r="I397" s="10">
        <v>2</v>
      </c>
      <c r="J397" s="10">
        <v>671</v>
      </c>
      <c r="K397" s="10">
        <v>23902030.995750386</v>
      </c>
    </row>
    <row r="398" spans="1:11" x14ac:dyDescent="0.35">
      <c r="A398" s="9" t="s">
        <v>465</v>
      </c>
      <c r="B398" s="10">
        <v>1564</v>
      </c>
      <c r="C398" s="10">
        <v>21</v>
      </c>
      <c r="D398" s="10">
        <v>5</v>
      </c>
      <c r="E398" s="10">
        <v>1433</v>
      </c>
      <c r="F398" s="10">
        <v>42535880.406833291</v>
      </c>
      <c r="G398" s="10">
        <v>1486</v>
      </c>
      <c r="H398" s="10">
        <v>17</v>
      </c>
      <c r="I398" s="10">
        <v>7</v>
      </c>
      <c r="J398" s="10">
        <v>1375</v>
      </c>
      <c r="K398" s="10">
        <v>45371314.946386434</v>
      </c>
    </row>
    <row r="399" spans="1:11" x14ac:dyDescent="0.35">
      <c r="A399" s="9" t="s">
        <v>466</v>
      </c>
      <c r="B399" s="10">
        <v>2462</v>
      </c>
      <c r="C399" s="10">
        <v>25</v>
      </c>
      <c r="D399" s="10">
        <v>3</v>
      </c>
      <c r="E399" s="10">
        <v>1831</v>
      </c>
      <c r="F399" s="10">
        <v>49102072.605723418</v>
      </c>
      <c r="G399" s="10">
        <v>2457</v>
      </c>
      <c r="H399" s="10">
        <v>37</v>
      </c>
      <c r="I399" s="10">
        <v>3</v>
      </c>
      <c r="J399" s="10">
        <v>2346</v>
      </c>
      <c r="K399" s="10">
        <v>72859278.537646264</v>
      </c>
    </row>
    <row r="400" spans="1:11" x14ac:dyDescent="0.35">
      <c r="A400" s="9" t="s">
        <v>467</v>
      </c>
      <c r="B400" s="10">
        <v>1877</v>
      </c>
      <c r="C400" s="10">
        <v>20</v>
      </c>
      <c r="D400" s="10">
        <v>4</v>
      </c>
      <c r="E400" s="10">
        <v>2150</v>
      </c>
      <c r="F400" s="10">
        <v>45088067.085105866</v>
      </c>
      <c r="G400" s="10">
        <v>1843</v>
      </c>
      <c r="H400" s="10">
        <v>21</v>
      </c>
      <c r="I400" s="10">
        <v>4</v>
      </c>
      <c r="J400" s="10">
        <v>2361</v>
      </c>
      <c r="K400" s="10">
        <v>53939369.209270343</v>
      </c>
    </row>
    <row r="401" spans="1:11" x14ac:dyDescent="0.35">
      <c r="A401" s="9" t="s">
        <v>468</v>
      </c>
      <c r="B401" s="10">
        <v>2688</v>
      </c>
      <c r="C401" s="10">
        <v>41</v>
      </c>
      <c r="D401" s="10">
        <v>2</v>
      </c>
      <c r="E401" s="10">
        <v>2930</v>
      </c>
      <c r="F401" s="10">
        <v>68894144.984149605</v>
      </c>
      <c r="G401" s="10">
        <v>2585</v>
      </c>
      <c r="H401" s="10">
        <v>95</v>
      </c>
      <c r="I401" s="10">
        <v>2</v>
      </c>
      <c r="J401" s="10">
        <v>2510</v>
      </c>
      <c r="K401" s="10">
        <v>64439251.66264198</v>
      </c>
    </row>
    <row r="402" spans="1:11" x14ac:dyDescent="0.35">
      <c r="A402" s="9" t="s">
        <v>469</v>
      </c>
      <c r="B402" s="10">
        <v>1017</v>
      </c>
      <c r="C402" s="10">
        <v>11</v>
      </c>
      <c r="D402" s="10">
        <v>2</v>
      </c>
      <c r="E402" s="10">
        <v>1268</v>
      </c>
      <c r="F402" s="10">
        <v>27799212.935870614</v>
      </c>
      <c r="G402" s="10">
        <v>987</v>
      </c>
      <c r="H402" s="10">
        <v>10</v>
      </c>
      <c r="I402" s="10">
        <v>3</v>
      </c>
      <c r="J402" s="10">
        <v>1138</v>
      </c>
      <c r="K402" s="10">
        <v>27382915.009184204</v>
      </c>
    </row>
    <row r="403" spans="1:11" x14ac:dyDescent="0.35">
      <c r="A403" s="9" t="s">
        <v>470</v>
      </c>
      <c r="B403" s="10">
        <v>2446</v>
      </c>
      <c r="C403" s="10">
        <v>20</v>
      </c>
      <c r="D403" s="10">
        <v>4</v>
      </c>
      <c r="E403" s="10">
        <v>2182</v>
      </c>
      <c r="F403" s="10">
        <v>48224503.787012219</v>
      </c>
      <c r="G403" s="10">
        <v>2407</v>
      </c>
      <c r="H403" s="10">
        <v>25</v>
      </c>
      <c r="I403" s="10">
        <v>4</v>
      </c>
      <c r="J403" s="10">
        <v>2188</v>
      </c>
      <c r="K403" s="10">
        <v>53059658.823703825</v>
      </c>
    </row>
    <row r="404" spans="1:11" x14ac:dyDescent="0.35">
      <c r="A404" s="9" t="s">
        <v>471</v>
      </c>
      <c r="B404" s="10">
        <v>1389</v>
      </c>
      <c r="C404" s="10">
        <v>13</v>
      </c>
      <c r="D404" s="10">
        <v>3</v>
      </c>
      <c r="E404" s="10">
        <v>1258</v>
      </c>
      <c r="F404" s="10">
        <v>26509978.609591126</v>
      </c>
      <c r="G404" s="10">
        <v>1350</v>
      </c>
      <c r="H404" s="10">
        <v>7</v>
      </c>
      <c r="I404" s="10">
        <v>3</v>
      </c>
      <c r="J404" s="10">
        <v>1256</v>
      </c>
      <c r="K404" s="10">
        <v>29856361.234793447</v>
      </c>
    </row>
    <row r="405" spans="1:11" x14ac:dyDescent="0.35">
      <c r="A405" s="9" t="s">
        <v>472</v>
      </c>
      <c r="B405" s="10">
        <v>3021</v>
      </c>
      <c r="C405" s="10">
        <v>17</v>
      </c>
      <c r="D405" s="10">
        <v>8</v>
      </c>
      <c r="E405" s="10">
        <v>2610</v>
      </c>
      <c r="F405" s="10">
        <v>66438252.383055396</v>
      </c>
      <c r="G405" s="10">
        <v>2906</v>
      </c>
      <c r="H405" s="10">
        <v>16</v>
      </c>
      <c r="I405" s="10">
        <v>9</v>
      </c>
      <c r="J405" s="10">
        <v>2367</v>
      </c>
      <c r="K405" s="10">
        <v>59347515.549585089</v>
      </c>
    </row>
    <row r="406" spans="1:11" x14ac:dyDescent="0.35">
      <c r="A406" s="9" t="s">
        <v>473</v>
      </c>
      <c r="B406" s="10">
        <v>1578</v>
      </c>
      <c r="C406" s="10">
        <v>11</v>
      </c>
      <c r="D406" s="10">
        <v>1</v>
      </c>
      <c r="E406" s="10">
        <v>1272</v>
      </c>
      <c r="F406" s="10">
        <v>34160457.807105757</v>
      </c>
      <c r="G406" s="10">
        <v>1575</v>
      </c>
      <c r="H406" s="10">
        <v>11</v>
      </c>
      <c r="I406" s="10">
        <v>1</v>
      </c>
      <c r="J406" s="10">
        <v>1217</v>
      </c>
      <c r="K406" s="10">
        <v>35447719.23338899</v>
      </c>
    </row>
    <row r="407" spans="1:11" x14ac:dyDescent="0.35">
      <c r="A407" s="9" t="s">
        <v>474</v>
      </c>
      <c r="B407" s="10">
        <v>1744</v>
      </c>
      <c r="C407" s="10">
        <v>42</v>
      </c>
      <c r="D407" s="10">
        <v>4</v>
      </c>
      <c r="E407" s="10">
        <v>1557</v>
      </c>
      <c r="F407" s="10">
        <v>37380933.918610863</v>
      </c>
      <c r="G407" s="10">
        <v>1708</v>
      </c>
      <c r="H407" s="10">
        <v>21</v>
      </c>
      <c r="I407" s="10">
        <v>4</v>
      </c>
      <c r="J407" s="10">
        <v>1469</v>
      </c>
      <c r="K407" s="10">
        <v>40109273.973640643</v>
      </c>
    </row>
    <row r="408" spans="1:11" x14ac:dyDescent="0.35">
      <c r="A408" s="9" t="s">
        <v>475</v>
      </c>
      <c r="B408" s="10">
        <v>1099</v>
      </c>
      <c r="C408" s="10">
        <v>17</v>
      </c>
      <c r="D408" s="10">
        <v>5</v>
      </c>
      <c r="E408" s="10">
        <v>1486</v>
      </c>
      <c r="F408" s="10">
        <v>33420339.649319768</v>
      </c>
      <c r="G408" s="10">
        <v>1024</v>
      </c>
      <c r="H408" s="10">
        <v>13</v>
      </c>
      <c r="I408" s="10">
        <v>4</v>
      </c>
      <c r="J408" s="10">
        <v>1485</v>
      </c>
      <c r="K408" s="10">
        <v>36407903.861952119</v>
      </c>
    </row>
    <row r="409" spans="1:11" x14ac:dyDescent="0.35">
      <c r="A409" s="9" t="s">
        <v>476</v>
      </c>
      <c r="B409" s="10">
        <v>778</v>
      </c>
      <c r="C409" s="10">
        <v>16</v>
      </c>
      <c r="D409" s="10">
        <v>4</v>
      </c>
      <c r="E409" s="10">
        <v>1293</v>
      </c>
      <c r="F409" s="10">
        <v>29195818.860791929</v>
      </c>
      <c r="G409" s="10">
        <v>830</v>
      </c>
      <c r="H409" s="10">
        <v>13</v>
      </c>
      <c r="I409" s="10">
        <v>5</v>
      </c>
      <c r="J409" s="10">
        <v>1434</v>
      </c>
      <c r="K409" s="10">
        <v>35679177.953928098</v>
      </c>
    </row>
    <row r="410" spans="1:11" x14ac:dyDescent="0.35">
      <c r="A410" s="9" t="s">
        <v>477</v>
      </c>
      <c r="B410" s="10">
        <v>1758</v>
      </c>
      <c r="C410" s="10">
        <v>17</v>
      </c>
      <c r="D410" s="10">
        <v>3</v>
      </c>
      <c r="E410" s="10">
        <v>1776</v>
      </c>
      <c r="F410" s="10">
        <v>34766392.59894307</v>
      </c>
      <c r="G410" s="10">
        <v>1755</v>
      </c>
      <c r="H410" s="10">
        <v>16</v>
      </c>
      <c r="I410" s="10">
        <v>3</v>
      </c>
      <c r="J410" s="10">
        <v>1983</v>
      </c>
      <c r="K410" s="10">
        <v>43784101.017499</v>
      </c>
    </row>
    <row r="411" spans="1:11" x14ac:dyDescent="0.35">
      <c r="A411" s="9" t="s">
        <v>478</v>
      </c>
      <c r="B411" s="10">
        <v>2203</v>
      </c>
      <c r="C411" s="10">
        <v>21</v>
      </c>
      <c r="D411" s="10">
        <v>6</v>
      </c>
      <c r="E411" s="10">
        <v>1988</v>
      </c>
      <c r="F411" s="10">
        <v>42054944.558278754</v>
      </c>
      <c r="G411" s="10">
        <v>2111</v>
      </c>
      <c r="H411" s="10">
        <v>14</v>
      </c>
      <c r="I411" s="10">
        <v>6</v>
      </c>
      <c r="J411" s="10">
        <v>1894</v>
      </c>
      <c r="K411" s="10">
        <v>42752301.763735533</v>
      </c>
    </row>
    <row r="412" spans="1:11" x14ac:dyDescent="0.35">
      <c r="A412" s="9" t="s">
        <v>479</v>
      </c>
      <c r="B412" s="10">
        <v>3074</v>
      </c>
      <c r="C412" s="10">
        <v>21</v>
      </c>
      <c r="D412" s="10">
        <v>6</v>
      </c>
      <c r="E412" s="10">
        <v>3081</v>
      </c>
      <c r="F412" s="10">
        <v>64878992.424165294</v>
      </c>
      <c r="G412" s="10">
        <v>2924</v>
      </c>
      <c r="H412" s="10">
        <v>16</v>
      </c>
      <c r="I412" s="10">
        <v>4</v>
      </c>
      <c r="J412" s="10">
        <v>2678</v>
      </c>
      <c r="K412" s="10">
        <v>67938320.580729783</v>
      </c>
    </row>
    <row r="413" spans="1:11" x14ac:dyDescent="0.35">
      <c r="A413" s="9" t="s">
        <v>480</v>
      </c>
      <c r="B413" s="10">
        <v>1695</v>
      </c>
      <c r="C413" s="10">
        <v>10</v>
      </c>
      <c r="D413" s="10">
        <v>2</v>
      </c>
      <c r="E413" s="10">
        <v>1708</v>
      </c>
      <c r="F413" s="10">
        <v>38595693.264513187</v>
      </c>
      <c r="G413" s="10">
        <v>1698</v>
      </c>
      <c r="H413" s="10">
        <v>8</v>
      </c>
      <c r="I413" s="10">
        <v>2</v>
      </c>
      <c r="J413" s="10">
        <v>1741</v>
      </c>
      <c r="K413" s="10">
        <v>44163448.967442721</v>
      </c>
    </row>
    <row r="414" spans="1:11" x14ac:dyDescent="0.35">
      <c r="A414" s="9" t="s">
        <v>481</v>
      </c>
      <c r="B414" s="10">
        <v>1609</v>
      </c>
      <c r="C414" s="10">
        <v>11</v>
      </c>
      <c r="D414" s="10">
        <v>5</v>
      </c>
      <c r="E414" s="10">
        <v>1559</v>
      </c>
      <c r="F414" s="10">
        <v>38719499.359809972</v>
      </c>
      <c r="G414" s="10">
        <v>1648</v>
      </c>
      <c r="H414" s="10">
        <v>7</v>
      </c>
      <c r="I414" s="10">
        <v>8</v>
      </c>
      <c r="J414" s="10">
        <v>1777</v>
      </c>
      <c r="K414" s="10">
        <v>47674593.578331947</v>
      </c>
    </row>
    <row r="415" spans="1:11" x14ac:dyDescent="0.35">
      <c r="A415" s="9" t="s">
        <v>482</v>
      </c>
      <c r="B415" s="10">
        <v>1342</v>
      </c>
      <c r="C415" s="10">
        <v>12</v>
      </c>
      <c r="D415" s="10">
        <v>11</v>
      </c>
      <c r="E415" s="10">
        <v>1554</v>
      </c>
      <c r="F415" s="10">
        <v>39823146.190170802</v>
      </c>
      <c r="G415" s="10">
        <v>1315</v>
      </c>
      <c r="H415" s="10">
        <v>7</v>
      </c>
      <c r="I415" s="10">
        <v>14</v>
      </c>
      <c r="J415" s="10">
        <v>1498</v>
      </c>
      <c r="K415" s="10">
        <v>38175859.312584333</v>
      </c>
    </row>
    <row r="416" spans="1:11" x14ac:dyDescent="0.35">
      <c r="A416" s="9" t="s">
        <v>483</v>
      </c>
      <c r="B416" s="10">
        <v>2295</v>
      </c>
      <c r="C416" s="10">
        <v>32</v>
      </c>
      <c r="D416" s="10">
        <v>31</v>
      </c>
      <c r="E416" s="10">
        <v>1832</v>
      </c>
      <c r="F416" s="10">
        <v>76366077.337582231</v>
      </c>
      <c r="G416" s="10">
        <v>2163</v>
      </c>
      <c r="H416" s="10">
        <v>12</v>
      </c>
      <c r="I416" s="10">
        <v>23</v>
      </c>
      <c r="J416" s="10">
        <v>1549</v>
      </c>
      <c r="K416" s="10">
        <v>53717147.096511662</v>
      </c>
    </row>
    <row r="417" spans="1:11" x14ac:dyDescent="0.35">
      <c r="A417" s="9" t="s">
        <v>484</v>
      </c>
      <c r="B417" s="10">
        <v>2251</v>
      </c>
      <c r="C417" s="10">
        <v>27</v>
      </c>
      <c r="D417" s="10">
        <v>14</v>
      </c>
      <c r="E417" s="10">
        <v>2148</v>
      </c>
      <c r="F417" s="10">
        <v>59181439.408225499</v>
      </c>
      <c r="G417" s="10">
        <v>2135</v>
      </c>
      <c r="H417" s="10">
        <v>15</v>
      </c>
      <c r="I417" s="10">
        <v>13</v>
      </c>
      <c r="J417" s="10">
        <v>2180</v>
      </c>
      <c r="K417" s="10">
        <v>56532839.559048072</v>
      </c>
    </row>
    <row r="418" spans="1:11" x14ac:dyDescent="0.35">
      <c r="A418" s="9" t="s">
        <v>485</v>
      </c>
      <c r="B418" s="10">
        <v>1192</v>
      </c>
      <c r="C418" s="10">
        <v>10</v>
      </c>
      <c r="D418" s="10">
        <v>5</v>
      </c>
      <c r="E418" s="10">
        <v>1196</v>
      </c>
      <c r="F418" s="10">
        <v>22666004.839202818</v>
      </c>
      <c r="G418" s="10">
        <v>1140</v>
      </c>
      <c r="H418" s="10">
        <v>10</v>
      </c>
      <c r="I418" s="10">
        <v>6</v>
      </c>
      <c r="J418" s="10">
        <v>1248</v>
      </c>
      <c r="K418" s="10">
        <v>22287837.129665479</v>
      </c>
    </row>
    <row r="419" spans="1:11" x14ac:dyDescent="0.35">
      <c r="A419" s="9" t="s">
        <v>486</v>
      </c>
      <c r="B419" s="10">
        <v>1216</v>
      </c>
      <c r="C419" s="10">
        <v>26</v>
      </c>
      <c r="D419" s="10">
        <v>3</v>
      </c>
      <c r="E419" s="10">
        <v>1115</v>
      </c>
      <c r="F419" s="10">
        <v>33891600.779684335</v>
      </c>
      <c r="G419" s="10">
        <v>1209</v>
      </c>
      <c r="H419" s="10">
        <v>9</v>
      </c>
      <c r="I419" s="10">
        <v>2</v>
      </c>
      <c r="J419" s="10">
        <v>1108</v>
      </c>
      <c r="K419" s="10">
        <v>35305482.170545384</v>
      </c>
    </row>
    <row r="420" spans="1:11" x14ac:dyDescent="0.35">
      <c r="A420" s="9" t="s">
        <v>487</v>
      </c>
      <c r="B420" s="10">
        <v>1872</v>
      </c>
      <c r="C420" s="10">
        <v>43</v>
      </c>
      <c r="D420" s="10">
        <v>45</v>
      </c>
      <c r="E420" s="10">
        <v>1944</v>
      </c>
      <c r="F420" s="10">
        <v>56753359.372731522</v>
      </c>
      <c r="G420" s="10">
        <v>1882</v>
      </c>
      <c r="H420" s="10">
        <v>10</v>
      </c>
      <c r="I420" s="10">
        <v>39</v>
      </c>
      <c r="J420" s="10">
        <v>1918</v>
      </c>
      <c r="K420" s="10">
        <v>52726137.878573433</v>
      </c>
    </row>
    <row r="421" spans="1:11" x14ac:dyDescent="0.35">
      <c r="A421" s="9" t="s">
        <v>488</v>
      </c>
      <c r="B421" s="10">
        <v>1187</v>
      </c>
      <c r="C421" s="10">
        <v>30</v>
      </c>
      <c r="D421" s="10">
        <v>10</v>
      </c>
      <c r="E421" s="10">
        <v>1072</v>
      </c>
      <c r="F421" s="10">
        <v>25639162.163511876</v>
      </c>
      <c r="G421" s="10">
        <v>1232</v>
      </c>
      <c r="H421" s="10">
        <v>19</v>
      </c>
      <c r="I421" s="10">
        <v>8</v>
      </c>
      <c r="J421" s="10">
        <v>933</v>
      </c>
      <c r="K421" s="10">
        <v>26329341.785328485</v>
      </c>
    </row>
    <row r="422" spans="1:11" x14ac:dyDescent="0.35">
      <c r="A422" s="9" t="s">
        <v>489</v>
      </c>
      <c r="B422" s="10">
        <v>1648</v>
      </c>
      <c r="C422" s="10">
        <v>11</v>
      </c>
      <c r="D422" s="10">
        <v>25</v>
      </c>
      <c r="E422" s="10">
        <v>1409</v>
      </c>
      <c r="F422" s="10">
        <v>49555314.068763517</v>
      </c>
      <c r="G422" s="10">
        <v>1618</v>
      </c>
      <c r="H422" s="10">
        <v>4</v>
      </c>
      <c r="I422" s="10">
        <v>20</v>
      </c>
      <c r="J422" s="10">
        <v>1405</v>
      </c>
      <c r="K422" s="10">
        <v>40037667.946601845</v>
      </c>
    </row>
    <row r="423" spans="1:11" x14ac:dyDescent="0.35">
      <c r="A423" s="9" t="s">
        <v>490</v>
      </c>
      <c r="B423" s="10">
        <v>833</v>
      </c>
      <c r="C423" s="10">
        <v>14</v>
      </c>
      <c r="D423" s="10">
        <v>2</v>
      </c>
      <c r="E423" s="10">
        <v>1250</v>
      </c>
      <c r="F423" s="10">
        <v>32371843.270502415</v>
      </c>
      <c r="G423" s="10">
        <v>845</v>
      </c>
      <c r="H423" s="10">
        <v>19</v>
      </c>
      <c r="I423" s="10">
        <v>4</v>
      </c>
      <c r="J423" s="10">
        <v>1533</v>
      </c>
      <c r="K423" s="10">
        <v>41755775.317235194</v>
      </c>
    </row>
    <row r="424" spans="1:11" x14ac:dyDescent="0.35">
      <c r="A424" s="9" t="s">
        <v>491</v>
      </c>
      <c r="B424" s="10">
        <v>988</v>
      </c>
      <c r="C424" s="10">
        <v>9</v>
      </c>
      <c r="D424" s="10">
        <v>2</v>
      </c>
      <c r="E424" s="10">
        <v>899</v>
      </c>
      <c r="F424" s="10">
        <v>27392065.35548427</v>
      </c>
      <c r="G424" s="10">
        <v>1001</v>
      </c>
      <c r="H424" s="10">
        <v>5</v>
      </c>
      <c r="I424" s="10">
        <v>2</v>
      </c>
      <c r="J424" s="10">
        <v>896</v>
      </c>
      <c r="K424" s="10">
        <v>28114687.973361336</v>
      </c>
    </row>
    <row r="425" spans="1:11" x14ac:dyDescent="0.35">
      <c r="A425" s="9" t="s">
        <v>492</v>
      </c>
      <c r="B425" s="10">
        <v>1405</v>
      </c>
      <c r="C425" s="10">
        <v>1</v>
      </c>
      <c r="D425" s="10">
        <v>28</v>
      </c>
      <c r="E425" s="10">
        <v>1690</v>
      </c>
      <c r="F425" s="10">
        <v>35972139.044857517</v>
      </c>
      <c r="G425" s="10">
        <v>1407</v>
      </c>
      <c r="H425" s="10">
        <v>5</v>
      </c>
      <c r="I425" s="10">
        <v>30</v>
      </c>
      <c r="J425" s="10">
        <v>1593</v>
      </c>
      <c r="K425" s="10">
        <v>42479001.358543806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514652</v>
      </c>
      <c r="C427" s="13">
        <v>8730</v>
      </c>
      <c r="D427" s="13">
        <v>2147</v>
      </c>
      <c r="E427" s="13">
        <v>452089</v>
      </c>
      <c r="F427" s="13">
        <v>13959826604.073004</v>
      </c>
      <c r="G427" s="13">
        <v>393014</v>
      </c>
      <c r="H427" s="13">
        <v>6311</v>
      </c>
      <c r="I427" s="13">
        <v>1837</v>
      </c>
      <c r="J427" s="13">
        <v>353935</v>
      </c>
      <c r="K427" s="13">
        <v>11446482855.066853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2026-10-20T07:41:35Z</dcterms:modified>
</cp:coreProperties>
</file>