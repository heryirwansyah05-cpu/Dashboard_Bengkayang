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<sst xmlns="http://schemas.openxmlformats.org/spreadsheetml/2006/main" count="540" uniqueCount="205">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</sst>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7384820.0516374568</v>
      </c>
      <c r="G2" s="1">
        <f>VLOOKUP(A:A,MASTER!A:K,11,0)</f>
        <v>7794403.2465877896</v>
      </c>
      <c r="H2" s="12">
        <f>IFERROR(G2/F2-1,0)</f>
        <v>5.5462853811788504E-2</v>
      </c>
      <c r="I2" s="2">
        <f>VLOOKUP(A:A,MASTER!A:E,5,0)</f>
        <v>339</v>
      </c>
      <c r="J2" s="2">
        <f>VLOOKUP(A:A,MASTER!A:J,10,0)</f>
        <v>357</v>
      </c>
      <c r="K2" s="12">
        <f>IFERROR(J2/I2-1,0)</f>
        <v>5.3097345132743445E-2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0</v>
      </c>
      <c r="P2" s="1">
        <f>VLOOKUP(A:A,MASTER!A:H,8,0)</f>
        <v>1</v>
      </c>
      <c r="Q2" s="12">
        <f>IFERROR(P2/O2-1,0)</f>
        <v>0</v>
      </c>
      <c r="R2" s="1">
        <f>VLOOKUP(A:A,MASTER!A:B,2,0)</f>
        <v>418</v>
      </c>
      <c r="S2">
        <f>VLOOKUP(A:A,MASTER!A:G,7,0)</f>
        <v>425</v>
      </c>
      <c r="T2" s="12">
        <f>IFERROR(S2/R2-1,0)</f>
        <v>1.674641148325362E-2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8808432.9749075994</v>
      </c>
      <c r="G3" s="1">
        <f>VLOOKUP(A:A,MASTER!A:K,11,0)</f>
        <v>8190359.7394492216</v>
      </c>
      <c r="H3" s="12">
        <f t="shared" ref="H3:H66" si="0">IFERROR(G3/F3-1,0)</f>
        <v>-7.0168353124678395E-2</v>
      </c>
      <c r="I3" s="2">
        <f>VLOOKUP(A:A,MASTER!A:E,5,0)</f>
        <v>495</v>
      </c>
      <c r="J3" s="2">
        <f>VLOOKUP(A:A,MASTER!A:J,10,0)</f>
        <v>515</v>
      </c>
      <c r="K3" s="12">
        <f t="shared" ref="K3:K66" si="1">IFERROR(J3/I3-1,0)</f>
        <v>4.0404040404040442E-2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2</v>
      </c>
      <c r="P3" s="1">
        <f>VLOOKUP(A:A,MASTER!A:H,8,0)</f>
        <v>5</v>
      </c>
      <c r="Q3" s="12">
        <f t="shared" ref="Q3:Q66" si="3">IFERROR(P3/O3-1,0)</f>
        <v>1.5</v>
      </c>
      <c r="R3" s="1">
        <f>VLOOKUP(A:A,MASTER!A:B,2,0)</f>
        <v>649</v>
      </c>
      <c r="S3">
        <f>VLOOKUP(A:A,MASTER!A:G,7,0)</f>
        <v>557</v>
      </c>
      <c r="T3" s="12">
        <f t="shared" ref="T3:T66" si="4">IFERROR(S3/R3-1,0)</f>
        <v>-0.14175654853620956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10477595.383566588</v>
      </c>
      <c r="G4" s="1">
        <f>VLOOKUP(A:A,MASTER!A:K,11,0)</f>
        <v>11063906.54678895</v>
      </c>
      <c r="H4" s="12">
        <f t="shared" si="0"/>
        <v>5.5958561268929286E-2</v>
      </c>
      <c r="I4" s="2">
        <f>VLOOKUP(A:A,MASTER!A:E,5,0)</f>
        <v>690</v>
      </c>
      <c r="J4" s="2">
        <f>VLOOKUP(A:A,MASTER!A:J,10,0)</f>
        <v>295</v>
      </c>
      <c r="K4" s="12">
        <f t="shared" si="1"/>
        <v>-0.57246376811594202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5</v>
      </c>
      <c r="P4" s="1">
        <f>VLOOKUP(A:A,MASTER!A:H,8,0)</f>
        <v>4</v>
      </c>
      <c r="Q4" s="12">
        <f t="shared" si="3"/>
        <v>-0.19999999999999996</v>
      </c>
      <c r="R4" s="1">
        <f>VLOOKUP(A:A,MASTER!A:B,2,0)</f>
        <v>733</v>
      </c>
      <c r="S4">
        <f>VLOOKUP(A:A,MASTER!A:G,7,0)</f>
        <v>778</v>
      </c>
      <c r="T4" s="12">
        <f t="shared" si="4"/>
        <v>6.1391541609822742E-2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19011434.547334105</v>
      </c>
      <c r="G5" s="1">
        <f>VLOOKUP(A:A,MASTER!A:K,11,0)</f>
        <v>19871487.575189549</v>
      </c>
      <c r="H5" s="12">
        <f t="shared" si="0"/>
        <v>4.523872334379142E-2</v>
      </c>
      <c r="I5" s="2">
        <f>VLOOKUP(A:A,MASTER!A:E,5,0)</f>
        <v>1021</v>
      </c>
      <c r="J5" s="2">
        <f>VLOOKUP(A:A,MASTER!A:J,10,0)</f>
        <v>968</v>
      </c>
      <c r="K5" s="12">
        <f t="shared" si="1"/>
        <v>-5.1909892262487767E-2</v>
      </c>
      <c r="L5" s="2">
        <f>VLOOKUP(A:A,MASTER!A:D,4,0)</f>
        <v>3</v>
      </c>
      <c r="M5" s="2">
        <f>VLOOKUP(A:A,MASTER!A:I,9,0)</f>
        <v>2</v>
      </c>
      <c r="N5" s="12">
        <f t="shared" si="2"/>
        <v>-0.33333333333333337</v>
      </c>
      <c r="O5" s="1">
        <f>VLOOKUP(A:A,MASTER!A:C,3,0)</f>
        <v>4</v>
      </c>
      <c r="P5" s="1">
        <f>VLOOKUP(A:A,MASTER!A:H,8,0)</f>
        <v>4</v>
      </c>
      <c r="Q5" s="12">
        <f t="shared" si="3"/>
        <v>0</v>
      </c>
      <c r="R5" s="1">
        <f>VLOOKUP(A:A,MASTER!A:B,2,0)</f>
        <v>1215</v>
      </c>
      <c r="S5">
        <f>VLOOKUP(A:A,MASTER!A:G,7,0)</f>
        <v>1226</v>
      </c>
      <c r="T5" s="12">
        <f t="shared" si="4"/>
        <v>9.0534979423868567E-3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8381329.5959949316</v>
      </c>
      <c r="G6" s="1">
        <f>VLOOKUP(A:A,MASTER!A:K,11,0)</f>
        <v>8985930.6731321104</v>
      </c>
      <c r="H6" s="12">
        <f t="shared" si="0"/>
        <v>7.2136654478555551E-2</v>
      </c>
      <c r="I6" s="2">
        <f>VLOOKUP(A:A,MASTER!A:E,5,0)</f>
        <v>363</v>
      </c>
      <c r="J6" s="2">
        <f>VLOOKUP(A:A,MASTER!A:J,10,0)</f>
        <v>377</v>
      </c>
      <c r="K6" s="12">
        <f t="shared" si="1"/>
        <v>3.8567493112947604E-2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3</v>
      </c>
      <c r="Q6" s="12">
        <f t="shared" si="3"/>
        <v>2</v>
      </c>
      <c r="R6" s="1">
        <f>VLOOKUP(A:A,MASTER!A:B,2,0)</f>
        <v>405</v>
      </c>
      <c r="S6">
        <f>VLOOKUP(A:A,MASTER!A:G,7,0)</f>
        <v>392</v>
      </c>
      <c r="T6" s="12">
        <f t="shared" si="4"/>
        <v>-3.2098765432098775E-2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7145519.7571021039</v>
      </c>
      <c r="G7" s="1">
        <f>VLOOKUP(A:A,MASTER!A:K,11,0)</f>
        <v>5498928.2696352452</v>
      </c>
      <c r="H7" s="12">
        <f t="shared" si="0"/>
        <v>-0.23043690920177951</v>
      </c>
      <c r="I7" s="2">
        <f>VLOOKUP(A:A,MASTER!A:E,5,0)</f>
        <v>283</v>
      </c>
      <c r="J7" s="2">
        <f>VLOOKUP(A:A,MASTER!A:J,10,0)</f>
        <v>261</v>
      </c>
      <c r="K7" s="12">
        <f t="shared" si="1"/>
        <v>-7.7738515901060068E-2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2</v>
      </c>
      <c r="P7" s="1">
        <f>VLOOKUP(A:A,MASTER!A:H,8,0)</f>
        <v>1</v>
      </c>
      <c r="Q7" s="12">
        <f t="shared" si="3"/>
        <v>-0.5</v>
      </c>
      <c r="R7" s="1">
        <f>VLOOKUP(A:A,MASTER!A:B,2,0)</f>
        <v>383</v>
      </c>
      <c r="S7">
        <f>VLOOKUP(A:A,MASTER!A:G,7,0)</f>
        <v>384</v>
      </c>
      <c r="T7" s="12">
        <f t="shared" si="4"/>
        <v>2.6109660574411553E-3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8340069.6906619277</v>
      </c>
      <c r="G8" s="1">
        <f>VLOOKUP(A:A,MASTER!A:K,11,0)</f>
        <v>8715775.2807155531</v>
      </c>
      <c r="H8" s="12">
        <f t="shared" si="0"/>
        <v>4.5048255468930876E-2</v>
      </c>
      <c r="I8" s="2">
        <f>VLOOKUP(A:A,MASTER!A:E,5,0)</f>
        <v>501</v>
      </c>
      <c r="J8" s="2">
        <f>VLOOKUP(A:A,MASTER!A:J,10,0)</f>
        <v>489</v>
      </c>
      <c r="K8" s="12">
        <f t="shared" si="1"/>
        <v>-2.39520958083832E-2</v>
      </c>
      <c r="L8" s="2">
        <f>VLOOKUP(A:A,MASTER!A:D,4,0)</f>
        <v>3</v>
      </c>
      <c r="M8" s="2">
        <f>VLOOKUP(A:A,MASTER!A:I,9,0)</f>
        <v>0</v>
      </c>
      <c r="N8" s="12">
        <f t="shared" si="2"/>
        <v>-1</v>
      </c>
      <c r="O8" s="1">
        <f>VLOOKUP(A:A,MASTER!A:C,3,0)</f>
        <v>1</v>
      </c>
      <c r="P8" s="1">
        <f>VLOOKUP(A:A,MASTER!A:H,8,0)</f>
        <v>3</v>
      </c>
      <c r="Q8" s="12">
        <f t="shared" si="3"/>
        <v>2</v>
      </c>
      <c r="R8" s="1">
        <f>VLOOKUP(A:A,MASTER!A:B,2,0)</f>
        <v>603</v>
      </c>
      <c r="S8">
        <f>VLOOKUP(A:A,MASTER!A:G,7,0)</f>
        <v>638</v>
      </c>
      <c r="T8" s="12">
        <f t="shared" si="4"/>
        <v>5.8043117744610351E-2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3747444.9194353758</v>
      </c>
      <c r="G9" s="1">
        <f>VLOOKUP(A:A,MASTER!A:K,11,0)</f>
        <v>3950550.299179432</v>
      </c>
      <c r="H9" s="12">
        <f t="shared" si="0"/>
        <v>5.419836291407254E-2</v>
      </c>
      <c r="I9" s="2">
        <f>VLOOKUP(A:A,MASTER!A:E,5,0)</f>
        <v>131</v>
      </c>
      <c r="J9" s="2">
        <f>VLOOKUP(A:A,MASTER!A:J,10,0)</f>
        <v>126</v>
      </c>
      <c r="K9" s="12">
        <f t="shared" si="1"/>
        <v>-3.8167938931297662E-2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167</v>
      </c>
      <c r="S9">
        <f>VLOOKUP(A:A,MASTER!A:G,7,0)</f>
        <v>178</v>
      </c>
      <c r="T9" s="12">
        <f t="shared" si="4"/>
        <v>6.5868263473053856E-2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586599.09295351198</v>
      </c>
      <c r="G10" s="1">
        <f>VLOOKUP(A:A,MASTER!A:K,11,0)</f>
        <v>3899890.5906057432</v>
      </c>
      <c r="H10" s="12">
        <f t="shared" si="0"/>
        <v>5.6483065477818766</v>
      </c>
      <c r="I10" s="2">
        <f>VLOOKUP(A:A,MASTER!A:E,5,0)</f>
        <v>130</v>
      </c>
      <c r="J10" s="2">
        <f>VLOOKUP(A:A,MASTER!A:J,10,0)</f>
        <v>175</v>
      </c>
      <c r="K10" s="12">
        <f t="shared" si="1"/>
        <v>0.34615384615384626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0</v>
      </c>
      <c r="P10" s="1">
        <f>VLOOKUP(A:A,MASTER!A:H,8,0)</f>
        <v>0</v>
      </c>
      <c r="Q10" s="12">
        <f t="shared" si="3"/>
        <v>0</v>
      </c>
      <c r="R10" s="1">
        <f>VLOOKUP(A:A,MASTER!A:B,2,0)</f>
        <v>183</v>
      </c>
      <c r="S10">
        <f>VLOOKUP(A:A,MASTER!A:G,7,0)</f>
        <v>205</v>
      </c>
      <c r="T10" s="12">
        <f t="shared" si="4"/>
        <v>0.12021857923497259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7940043.156108438</v>
      </c>
      <c r="G11" s="1">
        <f>VLOOKUP(A:A,MASTER!A:K,11,0)</f>
        <v>6730366.9863225957</v>
      </c>
      <c r="H11" s="12">
        <f t="shared" si="0"/>
        <v>-0.15235133436966442</v>
      </c>
      <c r="I11" s="2">
        <f>VLOOKUP(A:A,MASTER!A:E,5,0)</f>
        <v>329</v>
      </c>
      <c r="J11" s="2">
        <f>VLOOKUP(A:A,MASTER!A:J,10,0)</f>
        <v>359</v>
      </c>
      <c r="K11" s="12">
        <f t="shared" si="1"/>
        <v>9.1185410334346573E-2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1</v>
      </c>
      <c r="P11" s="1">
        <f>VLOOKUP(A:A,MASTER!A:H,8,0)</f>
        <v>4</v>
      </c>
      <c r="Q11" s="12">
        <f t="shared" si="3"/>
        <v>3</v>
      </c>
      <c r="R11" s="1">
        <f>VLOOKUP(A:A,MASTER!A:B,2,0)</f>
        <v>369</v>
      </c>
      <c r="S11">
        <f>VLOOKUP(A:A,MASTER!A:G,7,0)</f>
        <v>359</v>
      </c>
      <c r="T11" s="12">
        <f t="shared" si="4"/>
        <v>-2.7100271002710064E-2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3605945.15739296</v>
      </c>
      <c r="G12" s="1">
        <f>VLOOKUP(A:A,MASTER!A:K,11,0)</f>
        <v>3309685.3118176642</v>
      </c>
      <c r="H12" s="12">
        <f t="shared" si="0"/>
        <v>-8.2158721956128389E-2</v>
      </c>
      <c r="I12" s="2">
        <f>VLOOKUP(A:A,MASTER!A:E,5,0)</f>
        <v>253</v>
      </c>
      <c r="J12" s="2">
        <f>VLOOKUP(A:A,MASTER!A:J,10,0)</f>
        <v>208</v>
      </c>
      <c r="K12" s="12">
        <f t="shared" si="1"/>
        <v>-0.17786561264822132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205</v>
      </c>
      <c r="S12">
        <f>VLOOKUP(A:A,MASTER!A:G,7,0)</f>
        <v>235</v>
      </c>
      <c r="T12" s="12">
        <f t="shared" si="4"/>
        <v>0.14634146341463405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3977027.8671158012</v>
      </c>
      <c r="G13" s="1">
        <f>VLOOKUP(A:A,MASTER!A:K,11,0)</f>
        <v>4053726.7902464792</v>
      </c>
      <c r="H13" s="12">
        <f t="shared" si="0"/>
        <v>1.928548798082752E-2</v>
      </c>
      <c r="I13" s="2">
        <f>VLOOKUP(A:A,MASTER!A:E,5,0)</f>
        <v>1029</v>
      </c>
      <c r="J13" s="2">
        <f>VLOOKUP(A:A,MASTER!A:J,10,0)</f>
        <v>220</v>
      </c>
      <c r="K13" s="12">
        <f t="shared" si="1"/>
        <v>-0.78620019436345967</v>
      </c>
      <c r="L13" s="2">
        <f>VLOOKUP(A:A,MASTER!A:D,4,0)</f>
        <v>2</v>
      </c>
      <c r="M13" s="2">
        <f>VLOOKUP(A:A,MASTER!A:I,9,0)</f>
        <v>0</v>
      </c>
      <c r="N13" s="12">
        <f t="shared" si="2"/>
        <v>-1</v>
      </c>
      <c r="O13" s="1">
        <f>VLOOKUP(A:A,MASTER!A:C,3,0)</f>
        <v>1</v>
      </c>
      <c r="P13" s="1">
        <f>VLOOKUP(A:A,MASTER!A:H,8,0)</f>
        <v>0</v>
      </c>
      <c r="Q13" s="12">
        <f t="shared" si="3"/>
        <v>-1</v>
      </c>
      <c r="R13" s="1">
        <f>VLOOKUP(A:A,MASTER!A:B,2,0)</f>
        <v>242</v>
      </c>
      <c r="S13">
        <f>VLOOKUP(A:A,MASTER!A:G,7,0)</f>
        <v>246</v>
      </c>
      <c r="T13" s="12">
        <f t="shared" si="4"/>
        <v>1.6528925619834656E-2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13399000.366042772</v>
      </c>
      <c r="G14" s="1">
        <f>VLOOKUP(A:A,MASTER!A:K,11,0)</f>
        <v>22834765.983763617</v>
      </c>
      <c r="H14" s="12">
        <f t="shared" si="0"/>
        <v>0.70421414732057208</v>
      </c>
      <c r="I14" s="2">
        <f>VLOOKUP(A:A,MASTER!A:E,5,0)</f>
        <v>1622</v>
      </c>
      <c r="J14" s="2">
        <f>VLOOKUP(A:A,MASTER!A:J,10,0)</f>
        <v>1328</v>
      </c>
      <c r="K14" s="12">
        <f t="shared" si="1"/>
        <v>-0.18125770653514184</v>
      </c>
      <c r="L14" s="2">
        <f>VLOOKUP(A:A,MASTER!A:D,4,0)</f>
        <v>3</v>
      </c>
      <c r="M14" s="2">
        <f>VLOOKUP(A:A,MASTER!A:I,9,0)</f>
        <v>5</v>
      </c>
      <c r="N14" s="12">
        <f t="shared" si="2"/>
        <v>0.66666666666666674</v>
      </c>
      <c r="O14" s="1">
        <f>VLOOKUP(A:A,MASTER!A:C,3,0)</f>
        <v>2</v>
      </c>
      <c r="P14" s="1">
        <f>VLOOKUP(A:A,MASTER!A:H,8,0)</f>
        <v>4</v>
      </c>
      <c r="Q14" s="12">
        <f t="shared" si="3"/>
        <v>1</v>
      </c>
      <c r="R14" s="1">
        <f>VLOOKUP(A:A,MASTER!A:B,2,0)</f>
        <v>1430</v>
      </c>
      <c r="S14">
        <f>VLOOKUP(A:A,MASTER!A:G,7,0)</f>
        <v>1409</v>
      </c>
      <c r="T14" s="12">
        <f t="shared" si="4"/>
        <v>-1.4685314685314643E-2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26643248.081871454</v>
      </c>
      <c r="G15" s="1">
        <f>VLOOKUP(A:A,MASTER!A:K,11,0)</f>
        <v>33008994.284924474</v>
      </c>
      <c r="H15" s="12">
        <f t="shared" si="0"/>
        <v>0.23892530608474827</v>
      </c>
      <c r="I15" s="2">
        <f>VLOOKUP(A:A,MASTER!A:E,5,0)</f>
        <v>881</v>
      </c>
      <c r="J15" s="2">
        <f>VLOOKUP(A:A,MASTER!A:J,10,0)</f>
        <v>944</v>
      </c>
      <c r="K15" s="12">
        <f t="shared" si="1"/>
        <v>7.1509648127128234E-2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1</v>
      </c>
      <c r="P15" s="1">
        <f>VLOOKUP(A:A,MASTER!A:H,8,0)</f>
        <v>0</v>
      </c>
      <c r="Q15" s="12">
        <f t="shared" si="3"/>
        <v>-1</v>
      </c>
      <c r="R15" s="1">
        <f>VLOOKUP(A:A,MASTER!A:B,2,0)</f>
        <v>1235</v>
      </c>
      <c r="S15">
        <f>VLOOKUP(A:A,MASTER!A:G,7,0)</f>
        <v>1253</v>
      </c>
      <c r="T15" s="12">
        <f t="shared" si="4"/>
        <v>1.4574898785425061E-2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15828242.32627888</v>
      </c>
      <c r="G16" s="1">
        <f>VLOOKUP(A:A,MASTER!A:K,11,0)</f>
        <v>15843798.763286391</v>
      </c>
      <c r="H16" s="12">
        <f t="shared" si="0"/>
        <v>9.8282782679426361E-4</v>
      </c>
      <c r="I16" s="2">
        <f>VLOOKUP(A:A,MASTER!A:E,5,0)</f>
        <v>966</v>
      </c>
      <c r="J16" s="2">
        <f>VLOOKUP(A:A,MASTER!A:J,10,0)</f>
        <v>961</v>
      </c>
      <c r="K16" s="12">
        <f t="shared" si="1"/>
        <v>-5.1759834368529933E-3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2</v>
      </c>
      <c r="P16" s="1">
        <f>VLOOKUP(A:A,MASTER!A:H,8,0)</f>
        <v>4</v>
      </c>
      <c r="Q16" s="12">
        <f t="shared" si="3"/>
        <v>1</v>
      </c>
      <c r="R16" s="1">
        <f>VLOOKUP(A:A,MASTER!A:B,2,0)</f>
        <v>1030</v>
      </c>
      <c r="S16">
        <f>VLOOKUP(A:A,MASTER!A:G,7,0)</f>
        <v>1016</v>
      </c>
      <c r="T16" s="12">
        <f t="shared" si="4"/>
        <v>-1.3592233009708687E-2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10913566.119168691</v>
      </c>
      <c r="G17" s="1">
        <f>VLOOKUP(A:A,MASTER!A:K,11,0)</f>
        <v>14999077.867172075</v>
      </c>
      <c r="H17" s="12">
        <f t="shared" si="0"/>
        <v>0.37435167418169146</v>
      </c>
      <c r="I17" s="2">
        <f>VLOOKUP(A:A,MASTER!A:E,5,0)</f>
        <v>657</v>
      </c>
      <c r="J17" s="2">
        <f>VLOOKUP(A:A,MASTER!A:J,10,0)</f>
        <v>649</v>
      </c>
      <c r="K17" s="12">
        <f t="shared" si="1"/>
        <v>-1.2176560121765601E-2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3</v>
      </c>
      <c r="P17" s="1">
        <f>VLOOKUP(A:A,MASTER!A:H,8,0)</f>
        <v>0</v>
      </c>
      <c r="Q17" s="12">
        <f t="shared" si="3"/>
        <v>-1</v>
      </c>
      <c r="R17" s="1">
        <f>VLOOKUP(A:A,MASTER!A:B,2,0)</f>
        <v>911</v>
      </c>
      <c r="S17">
        <f>VLOOKUP(A:A,MASTER!A:G,7,0)</f>
        <v>905</v>
      </c>
      <c r="T17" s="12">
        <f t="shared" si="4"/>
        <v>-6.5861690450055299E-3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58775003.547264457</v>
      </c>
      <c r="G18" s="1">
        <f>VLOOKUP(A:A,MASTER!A:K,11,0)</f>
        <v>53555984.147053935</v>
      </c>
      <c r="H18" s="12">
        <f t="shared" si="0"/>
        <v>-8.8796581628678206E-2</v>
      </c>
      <c r="I18" s="2">
        <f>VLOOKUP(A:A,MASTER!A:E,5,0)</f>
        <v>2097</v>
      </c>
      <c r="J18" s="2">
        <f>VLOOKUP(A:A,MASTER!A:J,10,0)</f>
        <v>2243</v>
      </c>
      <c r="K18" s="12">
        <f t="shared" si="1"/>
        <v>6.9623271340009563E-2</v>
      </c>
      <c r="L18" s="2">
        <f>VLOOKUP(A:A,MASTER!A:D,4,0)</f>
        <v>10</v>
      </c>
      <c r="M18" s="2">
        <f>VLOOKUP(A:A,MASTER!A:I,9,0)</f>
        <v>12</v>
      </c>
      <c r="N18" s="12">
        <f t="shared" si="2"/>
        <v>0.19999999999999996</v>
      </c>
      <c r="O18" s="1">
        <f>VLOOKUP(A:A,MASTER!A:C,3,0)</f>
        <v>171</v>
      </c>
      <c r="P18" s="1">
        <f>VLOOKUP(A:A,MASTER!A:H,8,0)</f>
        <v>103</v>
      </c>
      <c r="Q18" s="12">
        <f t="shared" si="3"/>
        <v>-0.39766081871345027</v>
      </c>
      <c r="R18" s="1">
        <f>VLOOKUP(A:A,MASTER!A:B,2,0)</f>
        <v>2902</v>
      </c>
      <c r="S18">
        <f>VLOOKUP(A:A,MASTER!A:G,7,0)</f>
        <v>2812</v>
      </c>
      <c r="T18" s="12">
        <f t="shared" si="4"/>
        <v>-3.1013094417642995E-2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11584685.638031436</v>
      </c>
      <c r="G19" s="1">
        <f>VLOOKUP(A:A,MASTER!A:K,11,0)</f>
        <v>28439991.090680379</v>
      </c>
      <c r="H19" s="12">
        <f t="shared" si="0"/>
        <v>1.4549644227992307</v>
      </c>
      <c r="I19" s="2">
        <f>VLOOKUP(A:A,MASTER!A:E,5,0)</f>
        <v>1135</v>
      </c>
      <c r="J19" s="2">
        <f>VLOOKUP(A:A,MASTER!A:J,10,0)</f>
        <v>1190</v>
      </c>
      <c r="K19" s="12">
        <f t="shared" si="1"/>
        <v>4.8458149779735615E-2</v>
      </c>
      <c r="L19" s="2">
        <f>VLOOKUP(A:A,MASTER!A:D,4,0)</f>
        <v>1</v>
      </c>
      <c r="M19" s="2">
        <f>VLOOKUP(A:A,MASTER!A:I,9,0)</f>
        <v>2</v>
      </c>
      <c r="N19" s="12">
        <f t="shared" si="2"/>
        <v>1</v>
      </c>
      <c r="O19" s="1">
        <f>VLOOKUP(A:A,MASTER!A:C,3,0)</f>
        <v>3</v>
      </c>
      <c r="P19" s="1">
        <f>VLOOKUP(A:A,MASTER!A:H,8,0)</f>
        <v>5</v>
      </c>
      <c r="Q19" s="12">
        <f t="shared" si="3"/>
        <v>0.66666666666666674</v>
      </c>
      <c r="R19" s="1">
        <f>VLOOKUP(A:A,MASTER!A:B,2,0)</f>
        <v>1368</v>
      </c>
      <c r="S19">
        <f>VLOOKUP(A:A,MASTER!A:G,7,0)</f>
        <v>1368</v>
      </c>
      <c r="T19" s="12">
        <f t="shared" si="4"/>
        <v>0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57592953.799537219</v>
      </c>
      <c r="G20" s="1">
        <f>VLOOKUP(A:A,MASTER!A:K,11,0)</f>
        <v>48206739.535607196</v>
      </c>
      <c r="H20" s="12">
        <f t="shared" si="0"/>
        <v>-0.16297504546477082</v>
      </c>
      <c r="I20" s="2">
        <f>VLOOKUP(A:A,MASTER!A:E,5,0)</f>
        <v>2229</v>
      </c>
      <c r="J20" s="2">
        <f>VLOOKUP(A:A,MASTER!A:J,10,0)</f>
        <v>2139</v>
      </c>
      <c r="K20" s="12">
        <f t="shared" si="1"/>
        <v>-4.037685060565277E-2</v>
      </c>
      <c r="L20" s="2">
        <f>VLOOKUP(A:A,MASTER!A:D,4,0)</f>
        <v>10</v>
      </c>
      <c r="M20" s="2">
        <f>VLOOKUP(A:A,MASTER!A:I,9,0)</f>
        <v>10</v>
      </c>
      <c r="N20" s="12">
        <f t="shared" si="2"/>
        <v>0</v>
      </c>
      <c r="O20" s="1">
        <f>VLOOKUP(A:A,MASTER!A:C,3,0)</f>
        <v>14</v>
      </c>
      <c r="P20" s="1">
        <f>VLOOKUP(A:A,MASTER!A:H,8,0)</f>
        <v>4</v>
      </c>
      <c r="Q20" s="12">
        <f t="shared" si="3"/>
        <v>-0.7142857142857143</v>
      </c>
      <c r="R20" s="1">
        <f>VLOOKUP(A:A,MASTER!A:B,2,0)</f>
        <v>2969</v>
      </c>
      <c r="S20">
        <f>VLOOKUP(A:A,MASTER!A:G,7,0)</f>
        <v>2775</v>
      </c>
      <c r="T20" s="12">
        <f t="shared" si="4"/>
        <v>-6.5341865948130629E-2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9055980.6224311255</v>
      </c>
      <c r="G21" s="1">
        <f>VLOOKUP(A:A,MASTER!A:K,11,0)</f>
        <v>7894030.6329214247</v>
      </c>
      <c r="H21" s="12">
        <f t="shared" si="0"/>
        <v>-0.12830747303407652</v>
      </c>
      <c r="I21" s="2">
        <f>VLOOKUP(A:A,MASTER!A:E,5,0)</f>
        <v>501</v>
      </c>
      <c r="J21" s="2">
        <f>VLOOKUP(A:A,MASTER!A:J,10,0)</f>
        <v>486</v>
      </c>
      <c r="K21" s="12">
        <f t="shared" si="1"/>
        <v>-2.9940119760479056E-2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4</v>
      </c>
      <c r="P21" s="1">
        <f>VLOOKUP(A:A,MASTER!A:H,8,0)</f>
        <v>2</v>
      </c>
      <c r="Q21" s="12">
        <f t="shared" si="3"/>
        <v>-0.5</v>
      </c>
      <c r="R21" s="1">
        <f>VLOOKUP(A:A,MASTER!A:B,2,0)</f>
        <v>544</v>
      </c>
      <c r="S21">
        <f>VLOOKUP(A:A,MASTER!A:G,7,0)</f>
        <v>534</v>
      </c>
      <c r="T21" s="12">
        <f t="shared" si="4"/>
        <v>-1.8382352941176516E-2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23687070.811500505</v>
      </c>
      <c r="G22" s="1">
        <f>VLOOKUP(A:A,MASTER!A:K,11,0)</f>
        <v>21540252.204000156</v>
      </c>
      <c r="H22" s="12">
        <f t="shared" si="0"/>
        <v>-9.0632506846647698E-2</v>
      </c>
      <c r="I22" s="2">
        <f>VLOOKUP(A:A,MASTER!A:E,5,0)</f>
        <v>1298</v>
      </c>
      <c r="J22" s="2">
        <f>VLOOKUP(A:A,MASTER!A:J,10,0)</f>
        <v>1446</v>
      </c>
      <c r="K22" s="12">
        <f t="shared" si="1"/>
        <v>0.11402157164869031</v>
      </c>
      <c r="L22" s="2">
        <f>VLOOKUP(A:A,MASTER!A:D,4,0)</f>
        <v>2</v>
      </c>
      <c r="M22" s="2">
        <f>VLOOKUP(A:A,MASTER!A:I,9,0)</f>
        <v>1</v>
      </c>
      <c r="N22" s="12">
        <f t="shared" si="2"/>
        <v>-0.5</v>
      </c>
      <c r="O22" s="1">
        <f>VLOOKUP(A:A,MASTER!A:C,3,0)</f>
        <v>11</v>
      </c>
      <c r="P22" s="1">
        <f>VLOOKUP(A:A,MASTER!A:H,8,0)</f>
        <v>12</v>
      </c>
      <c r="Q22" s="12">
        <f t="shared" si="3"/>
        <v>9.0909090909090828E-2</v>
      </c>
      <c r="R22" s="1">
        <f>VLOOKUP(A:A,MASTER!A:B,2,0)</f>
        <v>1739</v>
      </c>
      <c r="S22">
        <f>VLOOKUP(A:A,MASTER!A:G,7,0)</f>
        <v>1728</v>
      </c>
      <c r="T22" s="12">
        <f t="shared" si="4"/>
        <v>-6.3254744105808447E-3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9478921.5549611673</v>
      </c>
      <c r="G23" s="1">
        <f>VLOOKUP(A:A,MASTER!A:K,11,0)</f>
        <v>9013330.2175357286</v>
      </c>
      <c r="H23" s="12">
        <f t="shared" si="0"/>
        <v>-4.9118598009892045E-2</v>
      </c>
      <c r="I23" s="2">
        <f>VLOOKUP(A:A,MASTER!A:E,5,0)</f>
        <v>740</v>
      </c>
      <c r="J23" s="2">
        <f>VLOOKUP(A:A,MASTER!A:J,10,0)</f>
        <v>824</v>
      </c>
      <c r="K23" s="12">
        <f t="shared" si="1"/>
        <v>0.11351351351351346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8</v>
      </c>
      <c r="P23" s="1">
        <f>VLOOKUP(A:A,MASTER!A:H,8,0)</f>
        <v>4</v>
      </c>
      <c r="Q23" s="12">
        <f t="shared" si="3"/>
        <v>-0.5</v>
      </c>
      <c r="R23" s="1">
        <f>VLOOKUP(A:A,MASTER!A:B,2,0)</f>
        <v>878</v>
      </c>
      <c r="S23">
        <f>VLOOKUP(A:A,MASTER!A:G,7,0)</f>
        <v>833</v>
      </c>
      <c r="T23" s="12">
        <f t="shared" si="4"/>
        <v>-5.1252847380410027E-2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12129368.103966432</v>
      </c>
      <c r="G24" s="1">
        <f>VLOOKUP(A:A,MASTER!A:K,11,0)</f>
        <v>11323368.874365836</v>
      </c>
      <c r="H24" s="12">
        <f t="shared" si="0"/>
        <v>-6.6450224174252281E-2</v>
      </c>
      <c r="I24" s="2">
        <f>VLOOKUP(A:A,MASTER!A:E,5,0)</f>
        <v>837</v>
      </c>
      <c r="J24" s="2">
        <f>VLOOKUP(A:A,MASTER!A:J,10,0)</f>
        <v>769</v>
      </c>
      <c r="K24" s="12">
        <f t="shared" si="1"/>
        <v>-8.1242532855436034E-2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5</v>
      </c>
      <c r="P24" s="1">
        <f>VLOOKUP(A:A,MASTER!A:H,8,0)</f>
        <v>1</v>
      </c>
      <c r="Q24" s="12">
        <f t="shared" si="3"/>
        <v>-0.8</v>
      </c>
      <c r="R24" s="1">
        <f>VLOOKUP(A:A,MASTER!A:B,2,0)</f>
        <v>888</v>
      </c>
      <c r="S24">
        <f>VLOOKUP(A:A,MASTER!A:G,7,0)</f>
        <v>871</v>
      </c>
      <c r="T24" s="12">
        <f t="shared" si="4"/>
        <v>-1.9144144144144115E-2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2536402.8153050868</v>
      </c>
      <c r="G25" s="1">
        <f>VLOOKUP(A:A,MASTER!A:K,11,0)</f>
        <v>2808535.7045010701</v>
      </c>
      <c r="H25" s="12">
        <f t="shared" si="0"/>
        <v>0.10729087964809336</v>
      </c>
      <c r="I25" s="2">
        <f>VLOOKUP(A:A,MASTER!A:E,5,0)</f>
        <v>176</v>
      </c>
      <c r="J25" s="2">
        <f>VLOOKUP(A:A,MASTER!A:J,10,0)</f>
        <v>235</v>
      </c>
      <c r="K25" s="12">
        <f t="shared" si="1"/>
        <v>0.33522727272727271</v>
      </c>
      <c r="L25" s="2">
        <f>VLOOKUP(A:A,MASTER!A:D,4,0)</f>
        <v>2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0</v>
      </c>
      <c r="Q25" s="12">
        <f t="shared" si="3"/>
        <v>-1</v>
      </c>
      <c r="R25" s="1">
        <f>VLOOKUP(A:A,MASTER!A:B,2,0)</f>
        <v>231</v>
      </c>
      <c r="S25">
        <f>VLOOKUP(A:A,MASTER!A:G,7,0)</f>
        <v>219</v>
      </c>
      <c r="T25" s="12">
        <f t="shared" si="4"/>
        <v>-5.1948051948051965E-2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22511788.425732885</v>
      </c>
      <c r="G26" s="1">
        <f>VLOOKUP(A:A,MASTER!A:K,11,0)</f>
        <v>22367217.405995153</v>
      </c>
      <c r="H26" s="12">
        <f t="shared" si="0"/>
        <v>-6.422013969022311E-3</v>
      </c>
      <c r="I26" s="2">
        <f>VLOOKUP(A:A,MASTER!A:E,5,0)</f>
        <v>1297</v>
      </c>
      <c r="J26" s="2">
        <f>VLOOKUP(A:A,MASTER!A:J,10,0)</f>
        <v>1485</v>
      </c>
      <c r="K26" s="12">
        <f t="shared" si="1"/>
        <v>0.14494988434849643</v>
      </c>
      <c r="L26" s="2">
        <f>VLOOKUP(A:A,MASTER!A:D,4,0)</f>
        <v>6</v>
      </c>
      <c r="M26" s="2">
        <f>VLOOKUP(A:A,MASTER!A:I,9,0)</f>
        <v>5</v>
      </c>
      <c r="N26" s="12">
        <f t="shared" si="2"/>
        <v>-0.16666666666666663</v>
      </c>
      <c r="O26" s="1">
        <f>VLOOKUP(A:A,MASTER!A:C,3,0)</f>
        <v>9</v>
      </c>
      <c r="P26" s="1">
        <f>VLOOKUP(A:A,MASTER!A:H,8,0)</f>
        <v>2</v>
      </c>
      <c r="Q26" s="12">
        <f t="shared" si="3"/>
        <v>-0.77777777777777779</v>
      </c>
      <c r="R26" s="1">
        <f>VLOOKUP(A:A,MASTER!A:B,2,0)</f>
        <v>1663</v>
      </c>
      <c r="S26">
        <f>VLOOKUP(A:A,MASTER!A:G,7,0)</f>
        <v>1639</v>
      </c>
      <c r="T26" s="12">
        <f t="shared" si="4"/>
        <v>-1.4431749849669218E-2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18118545.915352695</v>
      </c>
      <c r="G27" s="1">
        <f>VLOOKUP(A:A,MASTER!A:K,11,0)</f>
        <v>20204926.878771558</v>
      </c>
      <c r="H27" s="12">
        <f t="shared" si="0"/>
        <v>0.11515167790870984</v>
      </c>
      <c r="I27" s="2">
        <f>VLOOKUP(A:A,MASTER!A:E,5,0)</f>
        <v>624</v>
      </c>
      <c r="J27" s="2">
        <f>VLOOKUP(A:A,MASTER!A:J,10,0)</f>
        <v>689</v>
      </c>
      <c r="K27" s="12">
        <f t="shared" si="1"/>
        <v>0.10416666666666674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1</v>
      </c>
      <c r="P27" s="1">
        <f>VLOOKUP(A:A,MASTER!A:H,8,0)</f>
        <v>3</v>
      </c>
      <c r="Q27" s="12">
        <f t="shared" si="3"/>
        <v>2</v>
      </c>
      <c r="R27" s="1">
        <f>VLOOKUP(A:A,MASTER!A:B,2,0)</f>
        <v>870</v>
      </c>
      <c r="S27">
        <f>VLOOKUP(A:A,MASTER!A:G,7,0)</f>
        <v>899</v>
      </c>
      <c r="T27" s="12">
        <f t="shared" si="4"/>
        <v>3.3333333333333437E-2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17752317.438190568</v>
      </c>
      <c r="G28" s="1">
        <f>VLOOKUP(A:A,MASTER!A:K,11,0)</f>
        <v>19114856.538799368</v>
      </c>
      <c r="H28" s="12">
        <f t="shared" si="0"/>
        <v>7.6752745400866296E-2</v>
      </c>
      <c r="I28" s="2">
        <f>VLOOKUP(A:A,MASTER!A:E,5,0)</f>
        <v>827</v>
      </c>
      <c r="J28" s="2">
        <f>VLOOKUP(A:A,MASTER!A:J,10,0)</f>
        <v>911</v>
      </c>
      <c r="K28" s="12">
        <f t="shared" si="1"/>
        <v>0.10157194679564685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2</v>
      </c>
      <c r="P28" s="1">
        <f>VLOOKUP(A:A,MASTER!A:H,8,0)</f>
        <v>1</v>
      </c>
      <c r="Q28" s="12">
        <f t="shared" si="3"/>
        <v>-0.5</v>
      </c>
      <c r="R28" s="1">
        <f>VLOOKUP(A:A,MASTER!A:B,2,0)</f>
        <v>1065</v>
      </c>
      <c r="S28">
        <f>VLOOKUP(A:A,MASTER!A:G,7,0)</f>
        <v>1011</v>
      </c>
      <c r="T28" s="12">
        <f t="shared" si="4"/>
        <v>-5.070422535211272E-2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24186906.744684663</v>
      </c>
      <c r="G29" s="1">
        <f>VLOOKUP(A:A,MASTER!A:K,11,0)</f>
        <v>25226309.632355992</v>
      </c>
      <c r="H29" s="12">
        <f t="shared" si="0"/>
        <v>4.2973783239138141E-2</v>
      </c>
      <c r="I29" s="2">
        <f>VLOOKUP(A:A,MASTER!A:E,5,0)</f>
        <v>832</v>
      </c>
      <c r="J29" s="2">
        <f>VLOOKUP(A:A,MASTER!A:J,10,0)</f>
        <v>812</v>
      </c>
      <c r="K29" s="12">
        <f t="shared" si="1"/>
        <v>-2.4038461538461564E-2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2</v>
      </c>
      <c r="P29" s="1">
        <f>VLOOKUP(A:A,MASTER!A:H,8,0)</f>
        <v>1</v>
      </c>
      <c r="Q29" s="12">
        <f t="shared" si="3"/>
        <v>-0.5</v>
      </c>
      <c r="R29" s="1">
        <f>VLOOKUP(A:A,MASTER!A:B,2,0)</f>
        <v>1117</v>
      </c>
      <c r="S29">
        <f>VLOOKUP(A:A,MASTER!A:G,7,0)</f>
        <v>1145</v>
      </c>
      <c r="T29" s="12">
        <f t="shared" si="4"/>
        <v>2.5067144136078801E-2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34394456.147691317</v>
      </c>
      <c r="G30" s="1">
        <f>VLOOKUP(A:A,MASTER!A:K,11,0)</f>
        <v>35006468.816651084</v>
      </c>
      <c r="H30" s="12">
        <f t="shared" si="0"/>
        <v>1.7793933601733869E-2</v>
      </c>
      <c r="I30" s="2">
        <f>VLOOKUP(A:A,MASTER!A:E,5,0)</f>
        <v>1185</v>
      </c>
      <c r="J30" s="2">
        <f>VLOOKUP(A:A,MASTER!A:J,10,0)</f>
        <v>1169</v>
      </c>
      <c r="K30" s="12">
        <f t="shared" si="1"/>
        <v>-1.3502109704641385E-2</v>
      </c>
      <c r="L30" s="2">
        <f>VLOOKUP(A:A,MASTER!A:D,4,0)</f>
        <v>5</v>
      </c>
      <c r="M30" s="2">
        <f>VLOOKUP(A:A,MASTER!A:I,9,0)</f>
        <v>2</v>
      </c>
      <c r="N30" s="12">
        <f t="shared" si="2"/>
        <v>-0.6</v>
      </c>
      <c r="O30" s="1">
        <f>VLOOKUP(A:A,MASTER!A:C,3,0)</f>
        <v>4</v>
      </c>
      <c r="P30" s="1">
        <f>VLOOKUP(A:A,MASTER!A:H,8,0)</f>
        <v>2</v>
      </c>
      <c r="Q30" s="12">
        <f t="shared" si="3"/>
        <v>-0.5</v>
      </c>
      <c r="R30" s="1">
        <f>VLOOKUP(A:A,MASTER!A:B,2,0)</f>
        <v>1459</v>
      </c>
      <c r="S30">
        <f>VLOOKUP(A:A,MASTER!A:G,7,0)</f>
        <v>1448</v>
      </c>
      <c r="T30" s="12">
        <f t="shared" si="4"/>
        <v>-7.5394105551748192E-3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14133878.193473892</v>
      </c>
      <c r="G31" s="1">
        <f>VLOOKUP(A:A,MASTER!A:K,11,0)</f>
        <v>13924727.038236933</v>
      </c>
      <c r="H31" s="12">
        <f t="shared" si="0"/>
        <v>-1.4797860316465128E-2</v>
      </c>
      <c r="I31" s="2">
        <f>VLOOKUP(A:A,MASTER!A:E,5,0)</f>
        <v>520</v>
      </c>
      <c r="J31" s="2">
        <f>VLOOKUP(A:A,MASTER!A:J,10,0)</f>
        <v>612</v>
      </c>
      <c r="K31" s="12">
        <f t="shared" si="1"/>
        <v>0.17692307692307696</v>
      </c>
      <c r="L31" s="2">
        <f>VLOOKUP(A:A,MASTER!A:D,4,0)</f>
        <v>5</v>
      </c>
      <c r="M31" s="2">
        <f>VLOOKUP(A:A,MASTER!A:I,9,0)</f>
        <v>5</v>
      </c>
      <c r="N31" s="12">
        <f t="shared" si="2"/>
        <v>0</v>
      </c>
      <c r="O31" s="1">
        <f>VLOOKUP(A:A,MASTER!A:C,3,0)</f>
        <v>0</v>
      </c>
      <c r="P31" s="1">
        <f>VLOOKUP(A:A,MASTER!A:H,8,0)</f>
        <v>3</v>
      </c>
      <c r="Q31" s="12">
        <f t="shared" si="3"/>
        <v>0</v>
      </c>
      <c r="R31" s="1">
        <f>VLOOKUP(A:A,MASTER!A:B,2,0)</f>
        <v>679</v>
      </c>
      <c r="S31">
        <f>VLOOKUP(A:A,MASTER!A:G,7,0)</f>
        <v>686</v>
      </c>
      <c r="T31" s="12">
        <f t="shared" si="4"/>
        <v>1.0309278350515427E-2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43001448.166093811</v>
      </c>
      <c r="G32" s="1">
        <f>VLOOKUP(A:A,MASTER!A:K,11,0)</f>
        <v>26036926.729291752</v>
      </c>
      <c r="H32" s="12">
        <f t="shared" si="0"/>
        <v>-0.39451046790973909</v>
      </c>
      <c r="I32" s="2">
        <f>VLOOKUP(A:A,MASTER!A:E,5,0)</f>
        <v>1571</v>
      </c>
      <c r="J32" s="2">
        <f>VLOOKUP(A:A,MASTER!A:J,10,0)</f>
        <v>1707</v>
      </c>
      <c r="K32" s="12">
        <f t="shared" si="1"/>
        <v>8.6569064290261011E-2</v>
      </c>
      <c r="L32" s="2">
        <f>VLOOKUP(A:A,MASTER!A:D,4,0)</f>
        <v>11</v>
      </c>
      <c r="M32" s="2">
        <f>VLOOKUP(A:A,MASTER!A:I,9,0)</f>
        <v>6</v>
      </c>
      <c r="N32" s="12">
        <f t="shared" si="2"/>
        <v>-0.45454545454545459</v>
      </c>
      <c r="O32" s="1">
        <f>VLOOKUP(A:A,MASTER!A:C,3,0)</f>
        <v>6</v>
      </c>
      <c r="P32" s="1">
        <f>VLOOKUP(A:A,MASTER!A:H,8,0)</f>
        <v>2</v>
      </c>
      <c r="Q32" s="12">
        <f t="shared" si="3"/>
        <v>-0.66666666666666674</v>
      </c>
      <c r="R32" s="1">
        <f>VLOOKUP(A:A,MASTER!A:B,2,0)</f>
        <v>1943</v>
      </c>
      <c r="S32">
        <f>VLOOKUP(A:A,MASTER!A:G,7,0)</f>
        <v>1855</v>
      </c>
      <c r="T32" s="12">
        <f t="shared" si="4"/>
        <v>-4.52907874420998E-2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14132076.933236703</v>
      </c>
      <c r="G33" s="1">
        <f>VLOOKUP(A:A,MASTER!A:K,11,0)</f>
        <v>14724372.928554051</v>
      </c>
      <c r="H33" s="12">
        <f t="shared" si="0"/>
        <v>4.1911461288775431E-2</v>
      </c>
      <c r="I33" s="2">
        <f>VLOOKUP(A:A,MASTER!A:E,5,0)</f>
        <v>887</v>
      </c>
      <c r="J33" s="2">
        <f>VLOOKUP(A:A,MASTER!A:J,10,0)</f>
        <v>670</v>
      </c>
      <c r="K33" s="12">
        <f t="shared" si="1"/>
        <v>-0.24464487034949267</v>
      </c>
      <c r="L33" s="2">
        <f>VLOOKUP(A:A,MASTER!A:D,4,0)</f>
        <v>2</v>
      </c>
      <c r="M33" s="2">
        <f>VLOOKUP(A:A,MASTER!A:I,9,0)</f>
        <v>3</v>
      </c>
      <c r="N33" s="12">
        <f t="shared" si="2"/>
        <v>0.5</v>
      </c>
      <c r="O33" s="1">
        <f>VLOOKUP(A:A,MASTER!A:C,3,0)</f>
        <v>1</v>
      </c>
      <c r="P33" s="1">
        <f>VLOOKUP(A:A,MASTER!A:H,8,0)</f>
        <v>2</v>
      </c>
      <c r="Q33" s="12">
        <f t="shared" si="3"/>
        <v>1</v>
      </c>
      <c r="R33" s="1">
        <f>VLOOKUP(A:A,MASTER!A:B,2,0)</f>
        <v>840</v>
      </c>
      <c r="S33">
        <f>VLOOKUP(A:A,MASTER!A:G,7,0)</f>
        <v>851</v>
      </c>
      <c r="T33" s="12">
        <f t="shared" si="4"/>
        <v>1.3095238095238049E-2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13627139.337142861</v>
      </c>
      <c r="G34" s="1">
        <f>VLOOKUP(A:A,MASTER!A:K,11,0)</f>
        <v>13006674.485248519</v>
      </c>
      <c r="H34" s="12">
        <f t="shared" si="0"/>
        <v>-4.553155556303512E-2</v>
      </c>
      <c r="I34" s="2">
        <f>VLOOKUP(A:A,MASTER!A:E,5,0)</f>
        <v>746</v>
      </c>
      <c r="J34" s="2">
        <f>VLOOKUP(A:A,MASTER!A:J,10,0)</f>
        <v>594</v>
      </c>
      <c r="K34" s="12">
        <f t="shared" si="1"/>
        <v>-0.20375335120643434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1</v>
      </c>
      <c r="P34" s="1">
        <f>VLOOKUP(A:A,MASTER!A:H,8,0)</f>
        <v>1</v>
      </c>
      <c r="Q34" s="12">
        <f t="shared" si="3"/>
        <v>0</v>
      </c>
      <c r="R34" s="1">
        <f>VLOOKUP(A:A,MASTER!A:B,2,0)</f>
        <v>745</v>
      </c>
      <c r="S34">
        <f>VLOOKUP(A:A,MASTER!A:G,7,0)</f>
        <v>732</v>
      </c>
      <c r="T34" s="12">
        <f t="shared" si="4"/>
        <v>-1.7449664429530221E-2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20545921.86789586</v>
      </c>
      <c r="G35" s="1">
        <f>VLOOKUP(A:A,MASTER!A:K,11,0)</f>
        <v>22932126.399725944</v>
      </c>
      <c r="H35" s="12">
        <f t="shared" si="0"/>
        <v>0.11614005675543138</v>
      </c>
      <c r="I35" s="2">
        <f>VLOOKUP(A:A,MASTER!A:E,5,0)</f>
        <v>465</v>
      </c>
      <c r="J35" s="2">
        <f>VLOOKUP(A:A,MASTER!A:J,10,0)</f>
        <v>908</v>
      </c>
      <c r="K35" s="12">
        <f t="shared" si="1"/>
        <v>0.95268817204301071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7</v>
      </c>
      <c r="P35" s="1">
        <f>VLOOKUP(A:A,MASTER!A:H,8,0)</f>
        <v>5</v>
      </c>
      <c r="Q35" s="12">
        <f t="shared" si="3"/>
        <v>-0.2857142857142857</v>
      </c>
      <c r="R35" s="1">
        <f>VLOOKUP(A:A,MASTER!A:B,2,0)</f>
        <v>1164</v>
      </c>
      <c r="S35">
        <f>VLOOKUP(A:A,MASTER!A:G,7,0)</f>
        <v>1191</v>
      </c>
      <c r="T35" s="12">
        <f t="shared" si="4"/>
        <v>2.3195876288659711E-2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19120041.93568055</v>
      </c>
      <c r="G36" s="1">
        <f>VLOOKUP(A:A,MASTER!A:K,11,0)</f>
        <v>21141554.628010023</v>
      </c>
      <c r="H36" s="12">
        <f t="shared" si="0"/>
        <v>0.10572741938170438</v>
      </c>
      <c r="I36" s="2">
        <f>VLOOKUP(A:A,MASTER!A:E,5,0)</f>
        <v>811</v>
      </c>
      <c r="J36" s="2">
        <f>VLOOKUP(A:A,MASTER!A:J,10,0)</f>
        <v>858</v>
      </c>
      <c r="K36" s="12">
        <f t="shared" si="1"/>
        <v>5.7953144266337908E-2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120</v>
      </c>
      <c r="P36" s="1">
        <f>VLOOKUP(A:A,MASTER!A:H,8,0)</f>
        <v>317</v>
      </c>
      <c r="Q36" s="12">
        <f t="shared" si="3"/>
        <v>1.6416666666666666</v>
      </c>
      <c r="R36" s="1">
        <f>VLOOKUP(A:A,MASTER!A:B,2,0)</f>
        <v>1335</v>
      </c>
      <c r="S36">
        <f>VLOOKUP(A:A,MASTER!A:G,7,0)</f>
        <v>1452</v>
      </c>
      <c r="T36" s="12">
        <f t="shared" si="4"/>
        <v>8.764044943820215E-2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34901512.498659305</v>
      </c>
      <c r="G37" s="1">
        <f>VLOOKUP(A:A,MASTER!A:K,11,0)</f>
        <v>35002790.497653201</v>
      </c>
      <c r="H37" s="12">
        <f t="shared" si="0"/>
        <v>2.9018226358465959E-3</v>
      </c>
      <c r="I37" s="2">
        <f>VLOOKUP(A:A,MASTER!A:E,5,0)</f>
        <v>1575</v>
      </c>
      <c r="J37" s="2">
        <f>VLOOKUP(A:A,MASTER!A:J,10,0)</f>
        <v>1484</v>
      </c>
      <c r="K37" s="12">
        <f t="shared" si="1"/>
        <v>-5.7777777777777817E-2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69</v>
      </c>
      <c r="P37" s="1">
        <f>VLOOKUP(A:A,MASTER!A:H,8,0)</f>
        <v>235</v>
      </c>
      <c r="Q37" s="12">
        <f t="shared" si="3"/>
        <v>2.4057971014492754</v>
      </c>
      <c r="R37" s="1">
        <f>VLOOKUP(A:A,MASTER!A:B,2,0)</f>
        <v>2418</v>
      </c>
      <c r="S37">
        <f>VLOOKUP(A:A,MASTER!A:G,7,0)</f>
        <v>2265</v>
      </c>
      <c r="T37" s="12">
        <f t="shared" si="4"/>
        <v>-6.3275434243176165E-2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12522131.034147704</v>
      </c>
      <c r="G38" s="1">
        <f>VLOOKUP(A:A,MASTER!A:K,11,0)</f>
        <v>12972219.559267271</v>
      </c>
      <c r="H38" s="12">
        <f t="shared" si="0"/>
        <v>3.5943444761293408E-2</v>
      </c>
      <c r="I38" s="2">
        <f>VLOOKUP(A:A,MASTER!A:E,5,0)</f>
        <v>447</v>
      </c>
      <c r="J38" s="2">
        <f>VLOOKUP(A:A,MASTER!A:J,10,0)</f>
        <v>462</v>
      </c>
      <c r="K38" s="12">
        <f t="shared" si="1"/>
        <v>3.3557046979865834E-2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1</v>
      </c>
      <c r="P38" s="1">
        <f>VLOOKUP(A:A,MASTER!A:H,8,0)</f>
        <v>4</v>
      </c>
      <c r="Q38" s="12">
        <f t="shared" si="3"/>
        <v>3</v>
      </c>
      <c r="R38" s="1">
        <f>VLOOKUP(A:A,MASTER!A:B,2,0)</f>
        <v>621</v>
      </c>
      <c r="S38">
        <f>VLOOKUP(A:A,MASTER!A:G,7,0)</f>
        <v>596</v>
      </c>
      <c r="T38" s="12">
        <f t="shared" si="4"/>
        <v>-4.0257648953301084E-2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41927511.893101111</v>
      </c>
      <c r="G39" s="1">
        <f>VLOOKUP(A:A,MASTER!A:K,11,0)</f>
        <v>40159357.461528517</v>
      </c>
      <c r="H39" s="12">
        <f t="shared" si="0"/>
        <v>-4.2171699481731717E-2</v>
      </c>
      <c r="I39" s="2">
        <f>VLOOKUP(A:A,MASTER!A:E,5,0)</f>
        <v>1950</v>
      </c>
      <c r="J39" s="2">
        <f>VLOOKUP(A:A,MASTER!A:J,10,0)</f>
        <v>1850</v>
      </c>
      <c r="K39" s="12">
        <f t="shared" si="1"/>
        <v>-5.1282051282051322E-2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2</v>
      </c>
      <c r="P39" s="1">
        <f>VLOOKUP(A:A,MASTER!A:H,8,0)</f>
        <v>4</v>
      </c>
      <c r="Q39" s="12">
        <f t="shared" si="3"/>
        <v>1</v>
      </c>
      <c r="R39" s="1">
        <f>VLOOKUP(A:A,MASTER!A:B,2,0)</f>
        <v>2064</v>
      </c>
      <c r="S39">
        <f>VLOOKUP(A:A,MASTER!A:G,7,0)</f>
        <v>2040</v>
      </c>
      <c r="T39" s="12">
        <f t="shared" si="4"/>
        <v>-1.1627906976744207E-2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27163671.010994777</v>
      </c>
      <c r="G40" s="1">
        <f>VLOOKUP(A:A,MASTER!A:K,11,0)</f>
        <v>31332334.071481273</v>
      </c>
      <c r="H40" s="12">
        <f t="shared" si="0"/>
        <v>0.15346464249251079</v>
      </c>
      <c r="I40" s="2">
        <f>VLOOKUP(A:A,MASTER!A:E,5,0)</f>
        <v>803</v>
      </c>
      <c r="J40" s="2">
        <f>VLOOKUP(A:A,MASTER!A:J,10,0)</f>
        <v>819</v>
      </c>
      <c r="K40" s="12">
        <f t="shared" si="1"/>
        <v>1.9925280199252882E-2</v>
      </c>
      <c r="L40" s="2">
        <f>VLOOKUP(A:A,MASTER!A:D,4,0)</f>
        <v>2</v>
      </c>
      <c r="M40" s="2">
        <f>VLOOKUP(A:A,MASTER!A:I,9,0)</f>
        <v>4</v>
      </c>
      <c r="N40" s="12">
        <f t="shared" si="2"/>
        <v>1</v>
      </c>
      <c r="O40" s="1">
        <f>VLOOKUP(A:A,MASTER!A:C,3,0)</f>
        <v>3</v>
      </c>
      <c r="P40" s="1">
        <f>VLOOKUP(A:A,MASTER!A:H,8,0)</f>
        <v>5</v>
      </c>
      <c r="Q40" s="12">
        <f t="shared" si="3"/>
        <v>0.66666666666666674</v>
      </c>
      <c r="R40" s="1">
        <f>VLOOKUP(A:A,MASTER!A:B,2,0)</f>
        <v>900</v>
      </c>
      <c r="S40">
        <f>VLOOKUP(A:A,MASTER!A:G,7,0)</f>
        <v>931</v>
      </c>
      <c r="T40" s="12">
        <f t="shared" si="4"/>
        <v>3.44444444444445E-2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14178492.832121568</v>
      </c>
      <c r="G41" s="1">
        <f>VLOOKUP(A:A,MASTER!A:K,11,0)</f>
        <v>22149087.91487515</v>
      </c>
      <c r="H41" s="12">
        <f t="shared" si="0"/>
        <v>0.5621609558313625</v>
      </c>
      <c r="I41" s="2">
        <f>VLOOKUP(A:A,MASTER!A:E,5,0)</f>
        <v>919</v>
      </c>
      <c r="J41" s="2">
        <f>VLOOKUP(A:A,MASTER!A:J,10,0)</f>
        <v>944</v>
      </c>
      <c r="K41" s="12">
        <f t="shared" si="1"/>
        <v>2.7203482045701888E-2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0</v>
      </c>
      <c r="P41" s="1">
        <f>VLOOKUP(A:A,MASTER!A:H,8,0)</f>
        <v>5</v>
      </c>
      <c r="Q41" s="12">
        <f t="shared" si="3"/>
        <v>0</v>
      </c>
      <c r="R41" s="1">
        <f>VLOOKUP(A:A,MASTER!A:B,2,0)</f>
        <v>1082</v>
      </c>
      <c r="S41">
        <f>VLOOKUP(A:A,MASTER!A:G,7,0)</f>
        <v>1052</v>
      </c>
      <c r="T41" s="12">
        <f t="shared" si="4"/>
        <v>-2.7726432532347522E-2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21673565.670844473</v>
      </c>
      <c r="G42" s="1">
        <f>VLOOKUP(A:A,MASTER!A:K,11,0)</f>
        <v>22463428.205046136</v>
      </c>
      <c r="H42" s="12">
        <f t="shared" si="0"/>
        <v>3.6443589679578947E-2</v>
      </c>
      <c r="I42" s="2">
        <f>VLOOKUP(A:A,MASTER!A:E,5,0)</f>
        <v>651</v>
      </c>
      <c r="J42" s="2">
        <f>VLOOKUP(A:A,MASTER!A:J,10,0)</f>
        <v>635</v>
      </c>
      <c r="K42" s="12">
        <f t="shared" si="1"/>
        <v>-2.457757296466978E-2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3</v>
      </c>
      <c r="P42" s="1">
        <f>VLOOKUP(A:A,MASTER!A:H,8,0)</f>
        <v>2</v>
      </c>
      <c r="Q42" s="12">
        <f t="shared" si="3"/>
        <v>-0.33333333333333337</v>
      </c>
      <c r="R42" s="1">
        <f>VLOOKUP(A:A,MASTER!A:B,2,0)</f>
        <v>825</v>
      </c>
      <c r="S42">
        <f>VLOOKUP(A:A,MASTER!A:G,7,0)</f>
        <v>835</v>
      </c>
      <c r="T42" s="12">
        <f t="shared" si="4"/>
        <v>1.2121212121212199E-2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13895483.106158944</v>
      </c>
      <c r="G43" s="1">
        <f>VLOOKUP(A:A,MASTER!A:K,11,0)</f>
        <v>13423472.227419101</v>
      </c>
      <c r="H43" s="12">
        <f t="shared" si="0"/>
        <v>-3.3968655507244039E-2</v>
      </c>
      <c r="I43" s="2">
        <f>VLOOKUP(A:A,MASTER!A:E,5,0)</f>
        <v>560</v>
      </c>
      <c r="J43" s="2">
        <f>VLOOKUP(A:A,MASTER!A:J,10,0)</f>
        <v>563</v>
      </c>
      <c r="K43" s="12">
        <f t="shared" si="1"/>
        <v>5.3571428571428381E-3</v>
      </c>
      <c r="L43" s="2">
        <f>VLOOKUP(A:A,MASTER!A:D,4,0)</f>
        <v>10</v>
      </c>
      <c r="M43" s="2">
        <f>VLOOKUP(A:A,MASTER!A:I,9,0)</f>
        <v>9</v>
      </c>
      <c r="N43" s="12">
        <f t="shared" si="2"/>
        <v>-9.9999999999999978E-2</v>
      </c>
      <c r="O43" s="1">
        <f>VLOOKUP(A:A,MASTER!A:C,3,0)</f>
        <v>2</v>
      </c>
      <c r="P43" s="1">
        <f>VLOOKUP(A:A,MASTER!A:H,8,0)</f>
        <v>0</v>
      </c>
      <c r="Q43" s="12">
        <f t="shared" si="3"/>
        <v>-1</v>
      </c>
      <c r="R43" s="1">
        <f>VLOOKUP(A:A,MASTER!A:B,2,0)</f>
        <v>707</v>
      </c>
      <c r="S43">
        <f>VLOOKUP(A:A,MASTER!A:G,7,0)</f>
        <v>715</v>
      </c>
      <c r="T43" s="12">
        <f t="shared" si="4"/>
        <v>1.1315417256011262E-2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12161003.483174358</v>
      </c>
      <c r="G44" s="1">
        <f>VLOOKUP(A:A,MASTER!A:K,11,0)</f>
        <v>12527683.802709805</v>
      </c>
      <c r="H44" s="12">
        <f t="shared" si="0"/>
        <v>3.0152143286758859E-2</v>
      </c>
      <c r="I44" s="2">
        <f>VLOOKUP(A:A,MASTER!A:E,5,0)</f>
        <v>713</v>
      </c>
      <c r="J44" s="2">
        <f>VLOOKUP(A:A,MASTER!A:J,10,0)</f>
        <v>768</v>
      </c>
      <c r="K44" s="12">
        <f t="shared" si="1"/>
        <v>7.7138849929873743E-2</v>
      </c>
      <c r="L44" s="2">
        <f>VLOOKUP(A:A,MASTER!A:D,4,0)</f>
        <v>2</v>
      </c>
      <c r="M44" s="2">
        <f>VLOOKUP(A:A,MASTER!A:I,9,0)</f>
        <v>1</v>
      </c>
      <c r="N44" s="12">
        <f t="shared" si="2"/>
        <v>-0.5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688</v>
      </c>
      <c r="S44">
        <f>VLOOKUP(A:A,MASTER!A:G,7,0)</f>
        <v>703</v>
      </c>
      <c r="T44" s="12">
        <f t="shared" si="4"/>
        <v>2.1802325581395277E-2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37273755.084821194</v>
      </c>
      <c r="G45" s="1">
        <f>VLOOKUP(A:A,MASTER!A:K,11,0)</f>
        <v>41936647.835470937</v>
      </c>
      <c r="H45" s="12">
        <f t="shared" si="0"/>
        <v>0.1250985509787983</v>
      </c>
      <c r="I45" s="2">
        <f>VLOOKUP(A:A,MASTER!A:E,5,0)</f>
        <v>1078</v>
      </c>
      <c r="J45" s="2">
        <f>VLOOKUP(A:A,MASTER!A:J,10,0)</f>
        <v>1196</v>
      </c>
      <c r="K45" s="12">
        <f t="shared" si="1"/>
        <v>0.10946196660482377</v>
      </c>
      <c r="L45" s="2">
        <f>VLOOKUP(A:A,MASTER!A:D,4,0)</f>
        <v>4</v>
      </c>
      <c r="M45" s="2">
        <f>VLOOKUP(A:A,MASTER!A:I,9,0)</f>
        <v>6</v>
      </c>
      <c r="N45" s="12">
        <f t="shared" si="2"/>
        <v>0.5</v>
      </c>
      <c r="O45" s="1">
        <f>VLOOKUP(A:A,MASTER!A:C,3,0)</f>
        <v>0</v>
      </c>
      <c r="P45" s="1">
        <f>VLOOKUP(A:A,MASTER!A:H,8,0)</f>
        <v>2</v>
      </c>
      <c r="Q45" s="12">
        <f t="shared" si="3"/>
        <v>0</v>
      </c>
      <c r="R45" s="1">
        <f>VLOOKUP(A:A,MASTER!A:B,2,0)</f>
        <v>1242</v>
      </c>
      <c r="S45">
        <f>VLOOKUP(A:A,MASTER!A:G,7,0)</f>
        <v>1281</v>
      </c>
      <c r="T45" s="12">
        <f t="shared" si="4"/>
        <v>3.1400966183574797E-2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17874087.659617409</v>
      </c>
      <c r="G46" s="1">
        <f>VLOOKUP(A:A,MASTER!A:K,11,0)</f>
        <v>17870643.858846333</v>
      </c>
      <c r="H46" s="12">
        <f t="shared" si="0"/>
        <v>-1.926700168790596E-4</v>
      </c>
      <c r="I46" s="2">
        <f>VLOOKUP(A:A,MASTER!A:E,5,0)</f>
        <v>881</v>
      </c>
      <c r="J46" s="2">
        <f>VLOOKUP(A:A,MASTER!A:J,10,0)</f>
        <v>899</v>
      </c>
      <c r="K46" s="12">
        <f t="shared" si="1"/>
        <v>2.0431328036322416E-2</v>
      </c>
      <c r="L46" s="2">
        <f>VLOOKUP(A:A,MASTER!A:D,4,0)</f>
        <v>7</v>
      </c>
      <c r="M46" s="2">
        <f>VLOOKUP(A:A,MASTER!A:I,9,0)</f>
        <v>4</v>
      </c>
      <c r="N46" s="12">
        <f t="shared" si="2"/>
        <v>-0.4285714285714286</v>
      </c>
      <c r="O46" s="1">
        <f>VLOOKUP(A:A,MASTER!A:C,3,0)</f>
        <v>2</v>
      </c>
      <c r="P46" s="1">
        <f>VLOOKUP(A:A,MASTER!A:H,8,0)</f>
        <v>1</v>
      </c>
      <c r="Q46" s="12">
        <f t="shared" si="3"/>
        <v>-0.5</v>
      </c>
      <c r="R46" s="1">
        <f>VLOOKUP(A:A,MASTER!A:B,2,0)</f>
        <v>914</v>
      </c>
      <c r="S46">
        <f>VLOOKUP(A:A,MASTER!A:G,7,0)</f>
        <v>879</v>
      </c>
      <c r="T46" s="12">
        <f t="shared" si="4"/>
        <v>-3.8293216630196913E-2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32056870.004816383</v>
      </c>
      <c r="G47" s="1">
        <f>VLOOKUP(A:A,MASTER!A:K,11,0)</f>
        <v>32663997.039998908</v>
      </c>
      <c r="H47" s="12">
        <f t="shared" si="0"/>
        <v>1.8939061583096217E-2</v>
      </c>
      <c r="I47" s="2">
        <f>VLOOKUP(A:A,MASTER!A:E,5,0)</f>
        <v>1045</v>
      </c>
      <c r="J47" s="2">
        <f>VLOOKUP(A:A,MASTER!A:J,10,0)</f>
        <v>1014</v>
      </c>
      <c r="K47" s="12">
        <f t="shared" si="1"/>
        <v>-2.966507177033495E-2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3</v>
      </c>
      <c r="P47" s="1">
        <f>VLOOKUP(A:A,MASTER!A:H,8,0)</f>
        <v>1</v>
      </c>
      <c r="Q47" s="12">
        <f t="shared" si="3"/>
        <v>-0.66666666666666674</v>
      </c>
      <c r="R47" s="1">
        <f>VLOOKUP(A:A,MASTER!A:B,2,0)</f>
        <v>1356</v>
      </c>
      <c r="S47">
        <f>VLOOKUP(A:A,MASTER!A:G,7,0)</f>
        <v>1417</v>
      </c>
      <c r="T47" s="12">
        <f t="shared" si="4"/>
        <v>4.4985250737463067E-2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16539048.45741608</v>
      </c>
      <c r="G48" s="1">
        <f>VLOOKUP(A:A,MASTER!A:K,11,0)</f>
        <v>15061140.755258827</v>
      </c>
      <c r="H48" s="12">
        <f t="shared" si="0"/>
        <v>-8.9358689888508147E-2</v>
      </c>
      <c r="I48" s="2">
        <f>VLOOKUP(A:A,MASTER!A:E,5,0)</f>
        <v>360</v>
      </c>
      <c r="J48" s="2">
        <f>VLOOKUP(A:A,MASTER!A:J,10,0)</f>
        <v>514</v>
      </c>
      <c r="K48" s="12">
        <f t="shared" si="1"/>
        <v>0.42777777777777781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1</v>
      </c>
      <c r="P48" s="1">
        <f>VLOOKUP(A:A,MASTER!A:H,8,0)</f>
        <v>3</v>
      </c>
      <c r="Q48" s="12">
        <f t="shared" si="3"/>
        <v>2</v>
      </c>
      <c r="R48" s="1">
        <f>VLOOKUP(A:A,MASTER!A:B,2,0)</f>
        <v>483</v>
      </c>
      <c r="S48">
        <f>VLOOKUP(A:A,MASTER!A:G,7,0)</f>
        <v>491</v>
      </c>
      <c r="T48" s="12">
        <f t="shared" si="4"/>
        <v>1.6563146997929712E-2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12081136.709517296</v>
      </c>
      <c r="G49" s="1">
        <f>VLOOKUP(A:A,MASTER!A:K,11,0)</f>
        <v>13095908.736033432</v>
      </c>
      <c r="H49" s="12">
        <f t="shared" si="0"/>
        <v>8.3996402897809963E-2</v>
      </c>
      <c r="I49" s="2">
        <f>VLOOKUP(A:A,MASTER!A:E,5,0)</f>
        <v>305</v>
      </c>
      <c r="J49" s="2">
        <f>VLOOKUP(A:A,MASTER!A:J,10,0)</f>
        <v>385</v>
      </c>
      <c r="K49" s="12">
        <f t="shared" si="1"/>
        <v>0.26229508196721318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0</v>
      </c>
      <c r="P49" s="1">
        <f>VLOOKUP(A:A,MASTER!A:H,8,0)</f>
        <v>1</v>
      </c>
      <c r="Q49" s="12">
        <f t="shared" si="3"/>
        <v>0</v>
      </c>
      <c r="R49" s="1">
        <f>VLOOKUP(A:A,MASTER!A:B,2,0)</f>
        <v>456</v>
      </c>
      <c r="S49">
        <f>VLOOKUP(A:A,MASTER!A:G,7,0)</f>
        <v>457</v>
      </c>
      <c r="T49" s="12">
        <f t="shared" si="4"/>
        <v>2.1929824561404132E-3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10520584.106780592</v>
      </c>
      <c r="G50" s="1">
        <f>VLOOKUP(A:A,MASTER!A:K,11,0)</f>
        <v>5501887.3312636809</v>
      </c>
      <c r="H50" s="12">
        <f t="shared" si="0"/>
        <v>-0.4770359444474499</v>
      </c>
      <c r="I50" s="2">
        <f>VLOOKUP(A:A,MASTER!A:E,5,0)</f>
        <v>332</v>
      </c>
      <c r="J50" s="2">
        <f>VLOOKUP(A:A,MASTER!A:J,10,0)</f>
        <v>5</v>
      </c>
      <c r="K50" s="12">
        <f t="shared" si="1"/>
        <v>-0.98493975903614461</v>
      </c>
      <c r="L50" s="2">
        <f>VLOOKUP(A:A,MASTER!A:D,4,0)</f>
        <v>4</v>
      </c>
      <c r="M50" s="2">
        <f>VLOOKUP(A:A,MASTER!A:I,9,0)</f>
        <v>2</v>
      </c>
      <c r="N50" s="12">
        <f t="shared" si="2"/>
        <v>-0.5</v>
      </c>
      <c r="O50" s="1">
        <f>VLOOKUP(A:A,MASTER!A:C,3,0)</f>
        <v>1</v>
      </c>
      <c r="P50" s="1">
        <f>VLOOKUP(A:A,MASTER!A:H,8,0)</f>
        <v>0</v>
      </c>
      <c r="Q50" s="12">
        <f t="shared" si="3"/>
        <v>-1</v>
      </c>
      <c r="R50" s="1">
        <f>VLOOKUP(A:A,MASTER!A:B,2,0)</f>
        <v>431</v>
      </c>
      <c r="S50">
        <f>VLOOKUP(A:A,MASTER!A:G,7,0)</f>
        <v>401</v>
      </c>
      <c r="T50" s="12">
        <f t="shared" si="4"/>
        <v>-6.9605568445475607E-2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24723580.217376906</v>
      </c>
      <c r="G51" s="1">
        <f>VLOOKUP(A:A,MASTER!A:K,11,0)</f>
        <v>26527780.340592857</v>
      </c>
      <c r="H51" s="12">
        <f t="shared" si="0"/>
        <v>7.2974872868447838E-2</v>
      </c>
      <c r="I51" s="2">
        <f>VLOOKUP(A:A,MASTER!A:E,5,0)</f>
        <v>925</v>
      </c>
      <c r="J51" s="2">
        <f>VLOOKUP(A:A,MASTER!A:J,10,0)</f>
        <v>962</v>
      </c>
      <c r="K51" s="12">
        <f t="shared" si="1"/>
        <v>4.0000000000000036E-2</v>
      </c>
      <c r="L51" s="2">
        <f>VLOOKUP(A:A,MASTER!A:D,4,0)</f>
        <v>0</v>
      </c>
      <c r="M51" s="2">
        <f>VLOOKUP(A:A,MASTER!A:I,9,0)</f>
        <v>0</v>
      </c>
      <c r="N51" s="12">
        <f t="shared" si="2"/>
        <v>0</v>
      </c>
      <c r="O51" s="1">
        <f>VLOOKUP(A:A,MASTER!A:C,3,0)</f>
        <v>2</v>
      </c>
      <c r="P51" s="1">
        <f>VLOOKUP(A:A,MASTER!A:H,8,0)</f>
        <v>2</v>
      </c>
      <c r="Q51" s="12">
        <f t="shared" si="3"/>
        <v>0</v>
      </c>
      <c r="R51" s="1">
        <f>VLOOKUP(A:A,MASTER!A:B,2,0)</f>
        <v>1104</v>
      </c>
      <c r="S51">
        <f>VLOOKUP(A:A,MASTER!A:G,7,0)</f>
        <v>1099</v>
      </c>
      <c r="T51" s="12">
        <f t="shared" si="4"/>
        <v>-4.5289855072463414E-3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23331162.81574592</v>
      </c>
      <c r="G52" s="1">
        <f>VLOOKUP(A:A,MASTER!A:K,11,0)</f>
        <v>26543308.271027669</v>
      </c>
      <c r="H52" s="12">
        <f t="shared" si="0"/>
        <v>0.13767618359398326</v>
      </c>
      <c r="I52" s="2">
        <f>VLOOKUP(A:A,MASTER!A:E,5,0)</f>
        <v>889</v>
      </c>
      <c r="J52" s="2">
        <f>VLOOKUP(A:A,MASTER!A:J,10,0)</f>
        <v>960</v>
      </c>
      <c r="K52" s="12">
        <f t="shared" si="1"/>
        <v>7.9865016872890937E-2</v>
      </c>
      <c r="L52" s="2">
        <f>VLOOKUP(A:A,MASTER!A:D,4,0)</f>
        <v>1</v>
      </c>
      <c r="M52" s="2">
        <f>VLOOKUP(A:A,MASTER!A:I,9,0)</f>
        <v>2</v>
      </c>
      <c r="N52" s="12">
        <f t="shared" si="2"/>
        <v>1</v>
      </c>
      <c r="O52" s="1">
        <f>VLOOKUP(A:A,MASTER!A:C,3,0)</f>
        <v>4</v>
      </c>
      <c r="P52" s="1">
        <f>VLOOKUP(A:A,MASTER!A:H,8,0)</f>
        <v>5</v>
      </c>
      <c r="Q52" s="12">
        <f t="shared" si="3"/>
        <v>0.25</v>
      </c>
      <c r="R52" s="1">
        <f>VLOOKUP(A:A,MASTER!A:B,2,0)</f>
        <v>995</v>
      </c>
      <c r="S52">
        <f>VLOOKUP(A:A,MASTER!A:G,7,0)</f>
        <v>937</v>
      </c>
      <c r="T52" s="12">
        <f t="shared" si="4"/>
        <v>-5.8291457286432147E-2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46692177.299890816</v>
      </c>
      <c r="G53" s="1">
        <f>VLOOKUP(A:A,MASTER!A:K,11,0)</f>
        <v>48360579.666022353</v>
      </c>
      <c r="H53" s="12">
        <f t="shared" si="0"/>
        <v>3.5731946176248197E-2</v>
      </c>
      <c r="I53" s="2">
        <f>VLOOKUP(A:A,MASTER!A:E,5,0)</f>
        <v>1445</v>
      </c>
      <c r="J53" s="2">
        <f>VLOOKUP(A:A,MASTER!A:J,10,0)</f>
        <v>1627</v>
      </c>
      <c r="K53" s="12">
        <f t="shared" si="1"/>
        <v>0.12595155709342554</v>
      </c>
      <c r="L53" s="2">
        <f>VLOOKUP(A:A,MASTER!A:D,4,0)</f>
        <v>8</v>
      </c>
      <c r="M53" s="2">
        <f>VLOOKUP(A:A,MASTER!A:I,9,0)</f>
        <v>9</v>
      </c>
      <c r="N53" s="12">
        <f t="shared" si="2"/>
        <v>0.125</v>
      </c>
      <c r="O53" s="1">
        <f>VLOOKUP(A:A,MASTER!A:C,3,0)</f>
        <v>6</v>
      </c>
      <c r="P53" s="1">
        <f>VLOOKUP(A:A,MASTER!A:H,8,0)</f>
        <v>11</v>
      </c>
      <c r="Q53" s="12">
        <f t="shared" si="3"/>
        <v>0.83333333333333326</v>
      </c>
      <c r="R53" s="1">
        <f>VLOOKUP(A:A,MASTER!A:B,2,0)</f>
        <v>2076</v>
      </c>
      <c r="S53">
        <f>VLOOKUP(A:A,MASTER!A:G,7,0)</f>
        <v>2103</v>
      </c>
      <c r="T53" s="12">
        <f t="shared" si="4"/>
        <v>1.3005780346820872E-2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11101958.599655284</v>
      </c>
      <c r="G54" s="1">
        <f>VLOOKUP(A:A,MASTER!A:K,11,0)</f>
        <v>12869337.990031293</v>
      </c>
      <c r="H54" s="12">
        <f t="shared" si="0"/>
        <v>0.15919527842869874</v>
      </c>
      <c r="I54" s="2">
        <f>VLOOKUP(A:A,MASTER!A:E,5,0)</f>
        <v>534</v>
      </c>
      <c r="J54" s="2">
        <f>VLOOKUP(A:A,MASTER!A:J,10,0)</f>
        <v>586</v>
      </c>
      <c r="K54" s="12">
        <f t="shared" si="1"/>
        <v>9.7378277153558068E-2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3</v>
      </c>
      <c r="P54" s="1">
        <f>VLOOKUP(A:A,MASTER!A:H,8,0)</f>
        <v>2</v>
      </c>
      <c r="Q54" s="12">
        <f t="shared" si="3"/>
        <v>-0.33333333333333337</v>
      </c>
      <c r="R54" s="1">
        <f>VLOOKUP(A:A,MASTER!A:B,2,0)</f>
        <v>682</v>
      </c>
      <c r="S54">
        <f>VLOOKUP(A:A,MASTER!A:G,7,0)</f>
        <v>654</v>
      </c>
      <c r="T54" s="12">
        <f t="shared" si="4"/>
        <v>-4.1055718475073277E-2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19744310.44305547</v>
      </c>
      <c r="G55" s="1">
        <f>VLOOKUP(A:A,MASTER!A:K,11,0)</f>
        <v>22427850.574070819</v>
      </c>
      <c r="H55" s="12">
        <f t="shared" si="0"/>
        <v>0.13591460379206155</v>
      </c>
      <c r="I55" s="2">
        <f>VLOOKUP(A:A,MASTER!A:E,5,0)</f>
        <v>695</v>
      </c>
      <c r="J55" s="2">
        <f>VLOOKUP(A:A,MASTER!A:J,10,0)</f>
        <v>807</v>
      </c>
      <c r="K55" s="12">
        <f t="shared" si="1"/>
        <v>0.16115107913669058</v>
      </c>
      <c r="L55" s="2">
        <f>VLOOKUP(A:A,MASTER!A:D,4,0)</f>
        <v>5</v>
      </c>
      <c r="M55" s="2">
        <f>VLOOKUP(A:A,MASTER!A:I,9,0)</f>
        <v>6</v>
      </c>
      <c r="N55" s="12">
        <f t="shared" si="2"/>
        <v>0.19999999999999996</v>
      </c>
      <c r="O55" s="1">
        <f>VLOOKUP(A:A,MASTER!A:C,3,0)</f>
        <v>4</v>
      </c>
      <c r="P55" s="1">
        <f>VLOOKUP(A:A,MASTER!A:H,8,0)</f>
        <v>6</v>
      </c>
      <c r="Q55" s="12">
        <f t="shared" si="3"/>
        <v>0.5</v>
      </c>
      <c r="R55" s="1">
        <f>VLOOKUP(A:A,MASTER!A:B,2,0)</f>
        <v>867</v>
      </c>
      <c r="S55">
        <f>VLOOKUP(A:A,MASTER!A:G,7,0)</f>
        <v>904</v>
      </c>
      <c r="T55" s="12">
        <f t="shared" si="4"/>
        <v>4.2675893886966465E-2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12108515.79752842</v>
      </c>
      <c r="G56" s="1">
        <f>VLOOKUP(A:A,MASTER!A:K,11,0)</f>
        <v>12081050.832576821</v>
      </c>
      <c r="H56" s="12">
        <f t="shared" si="0"/>
        <v>-2.2682354642676872E-3</v>
      </c>
      <c r="I56" s="2">
        <f>VLOOKUP(A:A,MASTER!A:E,5,0)</f>
        <v>636</v>
      </c>
      <c r="J56" s="2">
        <f>VLOOKUP(A:A,MASTER!A:J,10,0)</f>
        <v>632</v>
      </c>
      <c r="K56" s="12">
        <f t="shared" si="1"/>
        <v>-6.2893081761006275E-3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3</v>
      </c>
      <c r="P56" s="1">
        <f>VLOOKUP(A:A,MASTER!A:H,8,0)</f>
        <v>0</v>
      </c>
      <c r="Q56" s="12">
        <f t="shared" si="3"/>
        <v>-1</v>
      </c>
      <c r="R56" s="1">
        <f>VLOOKUP(A:A,MASTER!A:B,2,0)</f>
        <v>750</v>
      </c>
      <c r="S56">
        <f>VLOOKUP(A:A,MASTER!A:G,7,0)</f>
        <v>675</v>
      </c>
      <c r="T56" s="12">
        <f t="shared" si="4"/>
        <v>-9.9999999999999978E-2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25953478.849800728</v>
      </c>
      <c r="G57" s="1">
        <f>VLOOKUP(A:A,MASTER!A:K,11,0)</f>
        <v>28241591.85484669</v>
      </c>
      <c r="H57" s="12">
        <f t="shared" si="0"/>
        <v>8.816209257679275E-2</v>
      </c>
      <c r="I57" s="2">
        <f>VLOOKUP(A:A,MASTER!A:E,5,0)</f>
        <v>986</v>
      </c>
      <c r="J57" s="2">
        <f>VLOOKUP(A:A,MASTER!A:J,10,0)</f>
        <v>1112</v>
      </c>
      <c r="K57" s="12">
        <f t="shared" si="1"/>
        <v>0.12778904665314395</v>
      </c>
      <c r="L57" s="2">
        <f>VLOOKUP(A:A,MASTER!A:D,4,0)</f>
        <v>0</v>
      </c>
      <c r="M57" s="2">
        <f>VLOOKUP(A:A,MASTER!A:I,9,0)</f>
        <v>1</v>
      </c>
      <c r="N57" s="12">
        <f t="shared" si="2"/>
        <v>0</v>
      </c>
      <c r="O57" s="1">
        <f>VLOOKUP(A:A,MASTER!A:C,3,0)</f>
        <v>4</v>
      </c>
      <c r="P57" s="1">
        <f>VLOOKUP(A:A,MASTER!A:H,8,0)</f>
        <v>4</v>
      </c>
      <c r="Q57" s="12">
        <f t="shared" si="3"/>
        <v>0</v>
      </c>
      <c r="R57" s="1">
        <f>VLOOKUP(A:A,MASTER!A:B,2,0)</f>
        <v>1104</v>
      </c>
      <c r="S57">
        <f>VLOOKUP(A:A,MASTER!A:G,7,0)</f>
        <v>1109</v>
      </c>
      <c r="T57" s="12">
        <f t="shared" si="4"/>
        <v>4.5289855072463414E-3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31393322.515753064</v>
      </c>
      <c r="G58" s="1">
        <f>VLOOKUP(A:A,MASTER!A:K,11,0)</f>
        <v>38769776.034656703</v>
      </c>
      <c r="H58" s="12">
        <f t="shared" si="0"/>
        <v>0.23496887005834322</v>
      </c>
      <c r="I58" s="2">
        <f>VLOOKUP(A:A,MASTER!A:E,5,0)</f>
        <v>1510</v>
      </c>
      <c r="J58" s="2">
        <f>VLOOKUP(A:A,MASTER!A:J,10,0)</f>
        <v>1633</v>
      </c>
      <c r="K58" s="12">
        <f t="shared" si="1"/>
        <v>8.1456953642384144E-2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3</v>
      </c>
      <c r="P58" s="1">
        <f>VLOOKUP(A:A,MASTER!A:H,8,0)</f>
        <v>6</v>
      </c>
      <c r="Q58" s="12">
        <f t="shared" si="3"/>
        <v>1</v>
      </c>
      <c r="R58" s="1">
        <f>VLOOKUP(A:A,MASTER!A:B,2,0)</f>
        <v>1425</v>
      </c>
      <c r="S58">
        <f>VLOOKUP(A:A,MASTER!A:G,7,0)</f>
        <v>1597</v>
      </c>
      <c r="T58" s="12">
        <f t="shared" si="4"/>
        <v>0.12070175438596498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17452043.978152473</v>
      </c>
      <c r="G59" s="1">
        <f>VLOOKUP(A:A,MASTER!A:K,11,0)</f>
        <v>15455780.272549629</v>
      </c>
      <c r="H59" s="12">
        <f t="shared" si="0"/>
        <v>-0.11438566783935955</v>
      </c>
      <c r="I59" s="2">
        <f>VLOOKUP(A:A,MASTER!A:E,5,0)</f>
        <v>685</v>
      </c>
      <c r="J59" s="2">
        <f>VLOOKUP(A:A,MASTER!A:J,10,0)</f>
        <v>812</v>
      </c>
      <c r="K59" s="12">
        <f t="shared" si="1"/>
        <v>0.18540145985401457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1</v>
      </c>
      <c r="P59" s="1">
        <f>VLOOKUP(A:A,MASTER!A:H,8,0)</f>
        <v>4</v>
      </c>
      <c r="Q59" s="12">
        <f t="shared" si="3"/>
        <v>3</v>
      </c>
      <c r="R59" s="1">
        <f>VLOOKUP(A:A,MASTER!A:B,2,0)</f>
        <v>771</v>
      </c>
      <c r="S59">
        <f>VLOOKUP(A:A,MASTER!A:G,7,0)</f>
        <v>803</v>
      </c>
      <c r="T59" s="12">
        <f t="shared" si="4"/>
        <v>4.1504539559014342E-2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19453163.939775139</v>
      </c>
      <c r="G60" s="1">
        <f>VLOOKUP(A:A,MASTER!A:K,11,0)</f>
        <v>20408682.048246805</v>
      </c>
      <c r="H60" s="12">
        <f t="shared" si="0"/>
        <v>4.9118904843954647E-2</v>
      </c>
      <c r="I60" s="2">
        <f>VLOOKUP(A:A,MASTER!A:E,5,0)</f>
        <v>458</v>
      </c>
      <c r="J60" s="2">
        <f>VLOOKUP(A:A,MASTER!A:J,10,0)</f>
        <v>478</v>
      </c>
      <c r="K60" s="12">
        <f t="shared" si="1"/>
        <v>4.366812227074246E-2</v>
      </c>
      <c r="L60" s="2">
        <f>VLOOKUP(A:A,MASTER!A:D,4,0)</f>
        <v>5</v>
      </c>
      <c r="M60" s="2">
        <f>VLOOKUP(A:A,MASTER!A:I,9,0)</f>
        <v>7</v>
      </c>
      <c r="N60" s="12">
        <f t="shared" si="2"/>
        <v>0.39999999999999991</v>
      </c>
      <c r="O60" s="1">
        <f>VLOOKUP(A:A,MASTER!A:C,3,0)</f>
        <v>6</v>
      </c>
      <c r="P60" s="1">
        <f>VLOOKUP(A:A,MASTER!A:H,8,0)</f>
        <v>3</v>
      </c>
      <c r="Q60" s="12">
        <f t="shared" si="3"/>
        <v>-0.5</v>
      </c>
      <c r="R60" s="1">
        <f>VLOOKUP(A:A,MASTER!A:B,2,0)</f>
        <v>651</v>
      </c>
      <c r="S60">
        <f>VLOOKUP(A:A,MASTER!A:G,7,0)</f>
        <v>641</v>
      </c>
      <c r="T60" s="12">
        <f t="shared" si="4"/>
        <v>-1.5360983102918557E-2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62712300.78279233</v>
      </c>
      <c r="G61" s="1">
        <f>VLOOKUP(A:A,MASTER!A:K,11,0)</f>
        <v>65608445.879055992</v>
      </c>
      <c r="H61" s="12">
        <f t="shared" si="0"/>
        <v>4.6181451806315055E-2</v>
      </c>
      <c r="I61" s="2">
        <f>VLOOKUP(A:A,MASTER!A:E,5,0)</f>
        <v>1606</v>
      </c>
      <c r="J61" s="2">
        <f>VLOOKUP(A:A,MASTER!A:J,10,0)</f>
        <v>1794</v>
      </c>
      <c r="K61" s="12">
        <f t="shared" si="1"/>
        <v>0.11706102117061024</v>
      </c>
      <c r="L61" s="2">
        <f>VLOOKUP(A:A,MASTER!A:D,4,0)</f>
        <v>10</v>
      </c>
      <c r="M61" s="2">
        <f>VLOOKUP(A:A,MASTER!A:I,9,0)</f>
        <v>13</v>
      </c>
      <c r="N61" s="12">
        <f t="shared" si="2"/>
        <v>0.30000000000000004</v>
      </c>
      <c r="O61" s="1">
        <f>VLOOKUP(A:A,MASTER!A:C,3,0)</f>
        <v>4</v>
      </c>
      <c r="P61" s="1">
        <f>VLOOKUP(A:A,MASTER!A:H,8,0)</f>
        <v>12</v>
      </c>
      <c r="Q61" s="12">
        <f t="shared" si="3"/>
        <v>2</v>
      </c>
      <c r="R61" s="1">
        <f>VLOOKUP(A:A,MASTER!A:B,2,0)</f>
        <v>1970</v>
      </c>
      <c r="S61">
        <f>VLOOKUP(A:A,MASTER!A:G,7,0)</f>
        <v>1971</v>
      </c>
      <c r="T61" s="12">
        <f t="shared" si="4"/>
        <v>5.0761421319789335E-4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45460845.578881703</v>
      </c>
      <c r="G62" s="1">
        <f>VLOOKUP(A:A,MASTER!A:K,11,0)</f>
        <v>46716196.328422241</v>
      </c>
      <c r="H62" s="12">
        <f t="shared" si="0"/>
        <v>2.761388912932361E-2</v>
      </c>
      <c r="I62" s="2">
        <f>VLOOKUP(A:A,MASTER!A:E,5,0)</f>
        <v>1219</v>
      </c>
      <c r="J62" s="2">
        <f>VLOOKUP(A:A,MASTER!A:J,10,0)</f>
        <v>1265</v>
      </c>
      <c r="K62" s="12">
        <f t="shared" si="1"/>
        <v>3.7735849056603765E-2</v>
      </c>
      <c r="L62" s="2">
        <f>VLOOKUP(A:A,MASTER!A:D,4,0)</f>
        <v>6</v>
      </c>
      <c r="M62" s="2">
        <f>VLOOKUP(A:A,MASTER!A:I,9,0)</f>
        <v>6</v>
      </c>
      <c r="N62" s="12">
        <f t="shared" si="2"/>
        <v>0</v>
      </c>
      <c r="O62" s="1">
        <f>VLOOKUP(A:A,MASTER!A:C,3,0)</f>
        <v>8</v>
      </c>
      <c r="P62" s="1">
        <f>VLOOKUP(A:A,MASTER!A:H,8,0)</f>
        <v>12</v>
      </c>
      <c r="Q62" s="12">
        <f t="shared" si="3"/>
        <v>0.5</v>
      </c>
      <c r="R62" s="1">
        <f>VLOOKUP(A:A,MASTER!A:B,2,0)</f>
        <v>1581</v>
      </c>
      <c r="S62">
        <f>VLOOKUP(A:A,MASTER!A:G,7,0)</f>
        <v>1606</v>
      </c>
      <c r="T62" s="12">
        <f t="shared" si="4"/>
        <v>1.5812776723592714E-2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30167393.236838799</v>
      </c>
      <c r="G63" s="1">
        <f>VLOOKUP(A:A,MASTER!A:K,11,0)</f>
        <v>31840007.43950006</v>
      </c>
      <c r="H63" s="12">
        <f t="shared" si="0"/>
        <v>5.5444439283496072E-2</v>
      </c>
      <c r="I63" s="2">
        <f>VLOOKUP(A:A,MASTER!A:E,5,0)</f>
        <v>730</v>
      </c>
      <c r="J63" s="2">
        <f>VLOOKUP(A:A,MASTER!A:J,10,0)</f>
        <v>711</v>
      </c>
      <c r="K63" s="12">
        <f t="shared" si="1"/>
        <v>-2.6027397260273921E-2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3</v>
      </c>
      <c r="P63" s="1">
        <f>VLOOKUP(A:A,MASTER!A:H,8,0)</f>
        <v>1</v>
      </c>
      <c r="Q63" s="12">
        <f t="shared" si="3"/>
        <v>-0.66666666666666674</v>
      </c>
      <c r="R63" s="1">
        <f>VLOOKUP(A:A,MASTER!A:B,2,0)</f>
        <v>883</v>
      </c>
      <c r="S63">
        <f>VLOOKUP(A:A,MASTER!A:G,7,0)</f>
        <v>894</v>
      </c>
      <c r="T63" s="12">
        <f t="shared" si="4"/>
        <v>1.2457531143827749E-2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45486578.400095366</v>
      </c>
      <c r="G64" s="1">
        <f>VLOOKUP(A:A,MASTER!A:K,11,0)</f>
        <v>41636311.204481982</v>
      </c>
      <c r="H64" s="12">
        <f t="shared" si="0"/>
        <v>-8.464622600862215E-2</v>
      </c>
      <c r="I64" s="2">
        <f>VLOOKUP(A:A,MASTER!A:E,5,0)</f>
        <v>1437</v>
      </c>
      <c r="J64" s="2">
        <f>VLOOKUP(A:A,MASTER!A:J,10,0)</f>
        <v>1292</v>
      </c>
      <c r="K64" s="12">
        <f t="shared" si="1"/>
        <v>-0.10090466249130137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366</v>
      </c>
      <c r="P64" s="1">
        <f>VLOOKUP(A:A,MASTER!A:H,8,0)</f>
        <v>372</v>
      </c>
      <c r="Q64" s="12">
        <f t="shared" si="3"/>
        <v>1.6393442622950838E-2</v>
      </c>
      <c r="R64" s="1">
        <f>VLOOKUP(A:A,MASTER!A:B,2,0)</f>
        <v>2335</v>
      </c>
      <c r="S64">
        <f>VLOOKUP(A:A,MASTER!A:G,7,0)</f>
        <v>2338</v>
      </c>
      <c r="T64" s="12">
        <f t="shared" si="4"/>
        <v>1.2847965738758127E-3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1088870.296364038</v>
      </c>
      <c r="G65" s="1">
        <f>VLOOKUP(A:A,MASTER!A:K,11,0)</f>
        <v>3332193.916553128</v>
      </c>
      <c r="H65" s="12">
        <f t="shared" si="0"/>
        <v>2.0602303393526382</v>
      </c>
      <c r="I65" s="2">
        <f>VLOOKUP(A:A,MASTER!A:E,5,0)</f>
        <v>415</v>
      </c>
      <c r="J65" s="2">
        <f>VLOOKUP(A:A,MASTER!A:J,10,0)</f>
        <v>265</v>
      </c>
      <c r="K65" s="12">
        <f t="shared" si="1"/>
        <v>-0.36144578313253017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0</v>
      </c>
      <c r="P65" s="1">
        <f>VLOOKUP(A:A,MASTER!A:H,8,0)</f>
        <v>2</v>
      </c>
      <c r="Q65" s="12">
        <f t="shared" si="3"/>
        <v>0</v>
      </c>
      <c r="R65" s="1">
        <f>VLOOKUP(A:A,MASTER!A:B,2,0)</f>
        <v>247</v>
      </c>
      <c r="S65">
        <f>VLOOKUP(A:A,MASTER!A:G,7,0)</f>
        <v>243</v>
      </c>
      <c r="T65" s="12">
        <f t="shared" si="4"/>
        <v>-1.619433198380571E-2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32343585.173141804</v>
      </c>
      <c r="G66" s="1">
        <f>VLOOKUP(A:A,MASTER!A:K,11,0)</f>
        <v>31714020.902646456</v>
      </c>
      <c r="H66" s="12">
        <f t="shared" si="0"/>
        <v>-1.9464888234410727E-2</v>
      </c>
      <c r="I66" s="2">
        <f>VLOOKUP(A:A,MASTER!A:E,5,0)</f>
        <v>1542</v>
      </c>
      <c r="J66" s="2">
        <f>VLOOKUP(A:A,MASTER!A:J,10,0)</f>
        <v>1458</v>
      </c>
      <c r="K66" s="12">
        <f t="shared" si="1"/>
        <v>-5.4474708171206254E-2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6</v>
      </c>
      <c r="P66" s="1">
        <f>VLOOKUP(A:A,MASTER!A:H,8,0)</f>
        <v>14</v>
      </c>
      <c r="Q66" s="12">
        <f t="shared" si="3"/>
        <v>1.3333333333333335</v>
      </c>
      <c r="R66" s="1">
        <f>VLOOKUP(A:A,MASTER!A:B,2,0)</f>
        <v>1674</v>
      </c>
      <c r="S66">
        <f>VLOOKUP(A:A,MASTER!A:G,7,0)</f>
        <v>1625</v>
      </c>
      <c r="T66" s="12">
        <f t="shared" si="4"/>
        <v>-2.9271206690561491E-2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15328774.192921566</v>
      </c>
      <c r="G67" s="1">
        <f>VLOOKUP(A:A,MASTER!A:K,11,0)</f>
        <v>14576827.875886289</v>
      </c>
      <c r="H67" s="12">
        <f t="shared" ref="H67:H85" si="5">IFERROR(G67/F67-1,0)</f>
        <v>-4.9054562848378724E-2</v>
      </c>
      <c r="I67" s="2">
        <f>VLOOKUP(A:A,MASTER!A:E,5,0)</f>
        <v>614</v>
      </c>
      <c r="J67" s="2">
        <f>VLOOKUP(A:A,MASTER!A:J,10,0)</f>
        <v>602</v>
      </c>
      <c r="K67" s="12">
        <f t="shared" ref="K67:K85" si="6">IFERROR(J67/I67-1,0)</f>
        <v>-1.9543973941368087E-2</v>
      </c>
      <c r="L67" s="2">
        <f>VLOOKUP(A:A,MASTER!A:D,4,0)</f>
        <v>3</v>
      </c>
      <c r="M67" s="2">
        <f>VLOOKUP(A:A,MASTER!A:I,9,0)</f>
        <v>4</v>
      </c>
      <c r="N67" s="12">
        <f t="shared" ref="N67:N85" si="7">IFERROR(M67/L67-1,0)</f>
        <v>0.33333333333333326</v>
      </c>
      <c r="O67" s="1">
        <f>VLOOKUP(A:A,MASTER!A:C,3,0)</f>
        <v>1</v>
      </c>
      <c r="P67" s="1">
        <f>VLOOKUP(A:A,MASTER!A:H,8,0)</f>
        <v>2</v>
      </c>
      <c r="Q67" s="12">
        <f t="shared" ref="Q67:Q85" si="8">IFERROR(P67/O67-1,0)</f>
        <v>1</v>
      </c>
      <c r="R67" s="1">
        <f>VLOOKUP(A:A,MASTER!A:B,2,0)</f>
        <v>732</v>
      </c>
      <c r="S67">
        <f>VLOOKUP(A:A,MASTER!A:G,7,0)</f>
        <v>787</v>
      </c>
      <c r="T67" s="12">
        <f t="shared" ref="T67:T85" si="9">IFERROR(S67/R67-1,0)</f>
        <v>7.5136612021857951E-2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21872709.188291144</v>
      </c>
      <c r="G68" s="1">
        <f>VLOOKUP(A:A,MASTER!A:K,11,0)</f>
        <v>23086254.829625059</v>
      </c>
      <c r="H68" s="12">
        <f t="shared" si="5"/>
        <v>5.5482182425922177E-2</v>
      </c>
      <c r="I68" s="2">
        <f>VLOOKUP(A:A,MASTER!A:E,5,0)</f>
        <v>859</v>
      </c>
      <c r="J68" s="2">
        <f>VLOOKUP(A:A,MASTER!A:J,10,0)</f>
        <v>889</v>
      </c>
      <c r="K68" s="12">
        <f t="shared" si="6"/>
        <v>3.4924330616996402E-2</v>
      </c>
      <c r="L68" s="2">
        <f>VLOOKUP(A:A,MASTER!A:D,4,0)</f>
        <v>4</v>
      </c>
      <c r="M68" s="2">
        <f>VLOOKUP(A:A,MASTER!A:I,9,0)</f>
        <v>5</v>
      </c>
      <c r="N68" s="12">
        <f t="shared" si="7"/>
        <v>0.25</v>
      </c>
      <c r="O68" s="1">
        <f>VLOOKUP(A:A,MASTER!A:C,3,0)</f>
        <v>19</v>
      </c>
      <c r="P68" s="1">
        <f>VLOOKUP(A:A,MASTER!A:H,8,0)</f>
        <v>1</v>
      </c>
      <c r="Q68" s="12">
        <f t="shared" si="8"/>
        <v>-0.94736842105263164</v>
      </c>
      <c r="R68" s="1">
        <f>VLOOKUP(A:A,MASTER!A:B,2,0)</f>
        <v>1369</v>
      </c>
      <c r="S68">
        <f>VLOOKUP(A:A,MASTER!A:G,7,0)</f>
        <v>1477</v>
      </c>
      <c r="T68" s="12">
        <f t="shared" si="9"/>
        <v>7.8889700511322047E-2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14513828.217951603</v>
      </c>
      <c r="G69" s="1">
        <f>VLOOKUP(A:A,MASTER!A:K,11,0)</f>
        <v>18591108.258868024</v>
      </c>
      <c r="H69" s="12">
        <f t="shared" si="5"/>
        <v>0.28092381828478485</v>
      </c>
      <c r="I69" s="2">
        <f>VLOOKUP(A:A,MASTER!A:E,5,0)</f>
        <v>597</v>
      </c>
      <c r="J69" s="2">
        <f>VLOOKUP(A:A,MASTER!A:J,10,0)</f>
        <v>1361</v>
      </c>
      <c r="K69" s="12">
        <f t="shared" si="6"/>
        <v>1.2797319932998326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2</v>
      </c>
      <c r="P69" s="1">
        <f>VLOOKUP(A:A,MASTER!A:H,8,0)</f>
        <v>2</v>
      </c>
      <c r="Q69" s="12">
        <f t="shared" si="8"/>
        <v>0</v>
      </c>
      <c r="R69" s="1">
        <f>VLOOKUP(A:A,MASTER!A:B,2,0)</f>
        <v>1287</v>
      </c>
      <c r="S69">
        <f>VLOOKUP(A:A,MASTER!A:G,7,0)</f>
        <v>1314</v>
      </c>
      <c r="T69" s="12">
        <f t="shared" si="9"/>
        <v>2.0979020979021046E-2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39840425.618532181</v>
      </c>
      <c r="G70" s="1">
        <f>VLOOKUP(A:A,MASTER!A:K,11,0)</f>
        <v>41382219.443157539</v>
      </c>
      <c r="H70" s="12">
        <f t="shared" si="5"/>
        <v>3.8699230760932846E-2</v>
      </c>
      <c r="I70" s="2">
        <f>VLOOKUP(A:A,MASTER!A:E,5,0)</f>
        <v>1229</v>
      </c>
      <c r="J70" s="2">
        <f>VLOOKUP(A:A,MASTER!A:J,10,0)</f>
        <v>1266</v>
      </c>
      <c r="K70" s="12">
        <f t="shared" si="6"/>
        <v>3.0105777054515892E-2</v>
      </c>
      <c r="L70" s="2">
        <f>VLOOKUP(A:A,MASTER!A:D,4,0)</f>
        <v>4</v>
      </c>
      <c r="M70" s="2">
        <f>VLOOKUP(A:A,MASTER!A:I,9,0)</f>
        <v>7</v>
      </c>
      <c r="N70" s="12">
        <f t="shared" si="7"/>
        <v>0.75</v>
      </c>
      <c r="O70" s="1">
        <f>VLOOKUP(A:A,MASTER!A:C,3,0)</f>
        <v>8</v>
      </c>
      <c r="P70" s="1">
        <f>VLOOKUP(A:A,MASTER!A:H,8,0)</f>
        <v>8</v>
      </c>
      <c r="Q70" s="12">
        <f t="shared" si="8"/>
        <v>0</v>
      </c>
      <c r="R70" s="1">
        <f>VLOOKUP(A:A,MASTER!A:B,2,0)</f>
        <v>1737</v>
      </c>
      <c r="S70">
        <f>VLOOKUP(A:A,MASTER!A:G,7,0)</f>
        <v>1777</v>
      </c>
      <c r="T70" s="12">
        <f t="shared" si="9"/>
        <v>2.3028209556706924E-2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8058967.8740208512</v>
      </c>
      <c r="G71" s="1">
        <f>VLOOKUP(A:A,MASTER!A:K,11,0)</f>
        <v>7736582.7318614321</v>
      </c>
      <c r="H71" s="12">
        <f t="shared" si="5"/>
        <v>-4.0003279228680189E-2</v>
      </c>
      <c r="I71" s="2">
        <f>VLOOKUP(A:A,MASTER!A:E,5,0)</f>
        <v>433</v>
      </c>
      <c r="J71" s="2">
        <f>VLOOKUP(A:A,MASTER!A:J,10,0)</f>
        <v>473</v>
      </c>
      <c r="K71" s="12">
        <f t="shared" si="6"/>
        <v>9.2378752886836057E-2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2</v>
      </c>
      <c r="P71" s="1">
        <f>VLOOKUP(A:A,MASTER!A:H,8,0)</f>
        <v>2</v>
      </c>
      <c r="Q71" s="12">
        <f t="shared" si="8"/>
        <v>0</v>
      </c>
      <c r="R71" s="1">
        <f>VLOOKUP(A:A,MASTER!A:B,2,0)</f>
        <v>517</v>
      </c>
      <c r="S71">
        <f>VLOOKUP(A:A,MASTER!A:G,7,0)</f>
        <v>488</v>
      </c>
      <c r="T71" s="12">
        <f t="shared" si="9"/>
        <v>-5.6092843326885911E-2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12600460.760555159</v>
      </c>
      <c r="G72" s="1">
        <f>VLOOKUP(A:A,MASTER!A:K,11,0)</f>
        <v>15138195.546056001</v>
      </c>
      <c r="H72" s="12">
        <f t="shared" si="5"/>
        <v>0.20140015779780351</v>
      </c>
      <c r="I72" s="2">
        <f>VLOOKUP(A:A,MASTER!A:E,5,0)</f>
        <v>999</v>
      </c>
      <c r="J72" s="2">
        <f>VLOOKUP(A:A,MASTER!A:J,10,0)</f>
        <v>812</v>
      </c>
      <c r="K72" s="12">
        <f t="shared" si="6"/>
        <v>-0.18718718718718719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3</v>
      </c>
      <c r="P72" s="1">
        <f>VLOOKUP(A:A,MASTER!A:H,8,0)</f>
        <v>1</v>
      </c>
      <c r="Q72" s="12">
        <f t="shared" si="8"/>
        <v>-0.66666666666666674</v>
      </c>
      <c r="R72" s="1">
        <f>VLOOKUP(A:A,MASTER!A:B,2,0)</f>
        <v>890</v>
      </c>
      <c r="S72">
        <f>VLOOKUP(A:A,MASTER!A:G,7,0)</f>
        <v>895</v>
      </c>
      <c r="T72" s="12">
        <f t="shared" si="9"/>
        <v>5.6179775280897903E-3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12247960.588351307</v>
      </c>
      <c r="G73" s="1">
        <f>VLOOKUP(A:A,MASTER!A:K,11,0)</f>
        <v>13531617.314519268</v>
      </c>
      <c r="H73" s="12">
        <f t="shared" si="5"/>
        <v>0.10480575250942681</v>
      </c>
      <c r="I73" s="2">
        <f>VLOOKUP(A:A,MASTER!A:E,5,0)</f>
        <v>493</v>
      </c>
      <c r="J73" s="2">
        <f>VLOOKUP(A:A,MASTER!A:J,10,0)</f>
        <v>513</v>
      </c>
      <c r="K73" s="12">
        <f t="shared" si="6"/>
        <v>4.0567951318458473E-2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0</v>
      </c>
      <c r="P73" s="1">
        <f>VLOOKUP(A:A,MASTER!A:H,8,0)</f>
        <v>2</v>
      </c>
      <c r="Q73" s="12">
        <f t="shared" si="8"/>
        <v>0</v>
      </c>
      <c r="R73" s="1">
        <f>VLOOKUP(A:A,MASTER!A:B,2,0)</f>
        <v>654</v>
      </c>
      <c r="S73">
        <f>VLOOKUP(A:A,MASTER!A:G,7,0)</f>
        <v>628</v>
      </c>
      <c r="T73" s="12">
        <f t="shared" si="9"/>
        <v>-3.9755351681957207E-2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10279087.37903594</v>
      </c>
      <c r="G74" s="1">
        <f>VLOOKUP(A:A,MASTER!A:K,11,0)</f>
        <v>8513336.6178804133</v>
      </c>
      <c r="H74" s="12">
        <f t="shared" si="5"/>
        <v>-0.17178088832640448</v>
      </c>
      <c r="I74" s="2">
        <f>VLOOKUP(A:A,MASTER!A:E,5,0)</f>
        <v>732</v>
      </c>
      <c r="J74" s="2">
        <f>VLOOKUP(A:A,MASTER!A:J,10,0)</f>
        <v>1095</v>
      </c>
      <c r="K74" s="12">
        <f t="shared" si="6"/>
        <v>0.49590163934426235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5</v>
      </c>
      <c r="P74" s="1">
        <f>VLOOKUP(A:A,MASTER!A:H,8,0)</f>
        <v>2</v>
      </c>
      <c r="Q74" s="12">
        <f t="shared" si="8"/>
        <v>-0.6</v>
      </c>
      <c r="R74" s="1">
        <f>VLOOKUP(A:A,MASTER!A:B,2,0)</f>
        <v>599</v>
      </c>
      <c r="S74">
        <f>VLOOKUP(A:A,MASTER!A:G,7,0)</f>
        <v>606</v>
      </c>
      <c r="T74" s="12">
        <f t="shared" si="9"/>
        <v>1.1686143572620988E-2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11214438.848868918</v>
      </c>
      <c r="G75" s="1">
        <f>VLOOKUP(A:A,MASTER!A:K,11,0)</f>
        <v>9194851.3412616476</v>
      </c>
      <c r="H75" s="12">
        <f t="shared" si="5"/>
        <v>-0.18008814661385975</v>
      </c>
      <c r="I75" s="2">
        <f>VLOOKUP(A:A,MASTER!A:E,5,0)</f>
        <v>480</v>
      </c>
      <c r="J75" s="2">
        <f>VLOOKUP(A:A,MASTER!A:J,10,0)</f>
        <v>463</v>
      </c>
      <c r="K75" s="12">
        <f t="shared" si="6"/>
        <v>-3.5416666666666652E-2</v>
      </c>
      <c r="L75" s="2">
        <f>VLOOKUP(A:A,MASTER!A:D,4,0)</f>
        <v>7</v>
      </c>
      <c r="M75" s="2">
        <f>VLOOKUP(A:A,MASTER!A:I,9,0)</f>
        <v>7</v>
      </c>
      <c r="N75" s="12">
        <f t="shared" si="7"/>
        <v>0</v>
      </c>
      <c r="O75" s="1">
        <f>VLOOKUP(A:A,MASTER!A:C,3,0)</f>
        <v>0</v>
      </c>
      <c r="P75" s="1">
        <f>VLOOKUP(A:A,MASTER!A:H,8,0)</f>
        <v>2</v>
      </c>
      <c r="Q75" s="12">
        <f t="shared" si="8"/>
        <v>0</v>
      </c>
      <c r="R75" s="1">
        <f>VLOOKUP(A:A,MASTER!A:B,2,0)</f>
        <v>449</v>
      </c>
      <c r="S75">
        <f>VLOOKUP(A:A,MASTER!A:G,7,0)</f>
        <v>436</v>
      </c>
      <c r="T75" s="12">
        <f t="shared" si="9"/>
        <v>-2.8953229398663738E-2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29020876.322520785</v>
      </c>
      <c r="G76" s="1">
        <f>VLOOKUP(A:A,MASTER!A:K,11,0)</f>
        <v>22449998.135948103</v>
      </c>
      <c r="H76" s="12">
        <f t="shared" si="5"/>
        <v>-0.22641901345596338</v>
      </c>
      <c r="I76" s="2">
        <f>VLOOKUP(A:A,MASTER!A:E,5,0)</f>
        <v>755</v>
      </c>
      <c r="J76" s="2">
        <f>VLOOKUP(A:A,MASTER!A:J,10,0)</f>
        <v>539</v>
      </c>
      <c r="K76" s="12">
        <f t="shared" si="6"/>
        <v>-0.28609271523178803</v>
      </c>
      <c r="L76" s="2">
        <f>VLOOKUP(A:A,MASTER!A:D,4,0)</f>
        <v>3</v>
      </c>
      <c r="M76" s="2">
        <f>VLOOKUP(A:A,MASTER!A:I,9,0)</f>
        <v>2</v>
      </c>
      <c r="N76" s="12">
        <f t="shared" si="7"/>
        <v>-0.33333333333333337</v>
      </c>
      <c r="O76" s="1">
        <f>VLOOKUP(A:A,MASTER!A:C,3,0)</f>
        <v>4</v>
      </c>
      <c r="P76" s="1">
        <f>VLOOKUP(A:A,MASTER!A:H,8,0)</f>
        <v>4</v>
      </c>
      <c r="Q76" s="12">
        <f t="shared" si="8"/>
        <v>0</v>
      </c>
      <c r="R76" s="1">
        <f>VLOOKUP(A:A,MASTER!A:B,2,0)</f>
        <v>953</v>
      </c>
      <c r="S76">
        <f>VLOOKUP(A:A,MASTER!A:G,7,0)</f>
        <v>846</v>
      </c>
      <c r="T76" s="12">
        <f t="shared" si="9"/>
        <v>-0.11227701993704098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17509810.325102132</v>
      </c>
      <c r="G77" s="1">
        <f>VLOOKUP(A:A,MASTER!A:K,11,0)</f>
        <v>17291531.897691596</v>
      </c>
      <c r="H77" s="12">
        <f t="shared" si="5"/>
        <v>-1.2466064643636421E-2</v>
      </c>
      <c r="I77" s="2">
        <f>VLOOKUP(A:A,MASTER!A:E,5,0)</f>
        <v>721</v>
      </c>
      <c r="J77" s="2">
        <f>VLOOKUP(A:A,MASTER!A:J,10,0)</f>
        <v>705</v>
      </c>
      <c r="K77" s="12">
        <f t="shared" si="6"/>
        <v>-2.2191400832177521E-2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2</v>
      </c>
      <c r="P77" s="1">
        <f>VLOOKUP(A:A,MASTER!A:H,8,0)</f>
        <v>3</v>
      </c>
      <c r="Q77" s="12">
        <f t="shared" si="8"/>
        <v>0.5</v>
      </c>
      <c r="R77" s="1">
        <f>VLOOKUP(A:A,MASTER!A:B,2,0)</f>
        <v>772</v>
      </c>
      <c r="S77">
        <f>VLOOKUP(A:A,MASTER!A:G,7,0)</f>
        <v>774</v>
      </c>
      <c r="T77" s="12">
        <f t="shared" si="9"/>
        <v>2.5906735751295429E-3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14022555.382335631</v>
      </c>
      <c r="G78" s="1">
        <f>VLOOKUP(A:A,MASTER!A:K,11,0)</f>
        <v>14540962.879546613</v>
      </c>
      <c r="H78" s="12">
        <f t="shared" si="5"/>
        <v>3.6969545355764799E-2</v>
      </c>
      <c r="I78" s="2">
        <f>VLOOKUP(A:A,MASTER!A:E,5,0)</f>
        <v>791</v>
      </c>
      <c r="J78" s="2">
        <f>VLOOKUP(A:A,MASTER!A:J,10,0)</f>
        <v>924</v>
      </c>
      <c r="K78" s="12">
        <f t="shared" si="6"/>
        <v>0.16814159292035402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1</v>
      </c>
      <c r="P78" s="1">
        <f>VLOOKUP(A:A,MASTER!A:H,8,0)</f>
        <v>2</v>
      </c>
      <c r="Q78" s="12">
        <f t="shared" si="8"/>
        <v>1</v>
      </c>
      <c r="R78" s="1">
        <f>VLOOKUP(A:A,MASTER!A:B,2,0)</f>
        <v>964</v>
      </c>
      <c r="S78">
        <f>VLOOKUP(A:A,MASTER!A:G,7,0)</f>
        <v>953</v>
      </c>
      <c r="T78" s="12">
        <f t="shared" si="9"/>
        <v>-1.1410788381742698E-2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13097969.624595124</v>
      </c>
      <c r="G79" s="1">
        <f>VLOOKUP(A:A,MASTER!A:K,11,0)</f>
        <v>17335025.564646862</v>
      </c>
      <c r="H79" s="12">
        <f t="shared" si="5"/>
        <v>0.3234895225360328</v>
      </c>
      <c r="I79" s="2">
        <f>VLOOKUP(A:A,MASTER!A:E,5,0)</f>
        <v>891</v>
      </c>
      <c r="J79" s="2">
        <f>VLOOKUP(A:A,MASTER!A:J,10,0)</f>
        <v>905</v>
      </c>
      <c r="K79" s="12">
        <f t="shared" si="6"/>
        <v>1.5712682379348974E-2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2</v>
      </c>
      <c r="P79" s="1">
        <f>VLOOKUP(A:A,MASTER!A:H,8,0)</f>
        <v>1</v>
      </c>
      <c r="Q79" s="12">
        <f t="shared" si="8"/>
        <v>-0.5</v>
      </c>
      <c r="R79" s="1">
        <f>VLOOKUP(A:A,MASTER!A:B,2,0)</f>
        <v>999</v>
      </c>
      <c r="S79">
        <f>VLOOKUP(A:A,MASTER!A:G,7,0)</f>
        <v>978</v>
      </c>
      <c r="T79" s="12">
        <f t="shared" si="9"/>
        <v>-2.1021021021020991E-2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18310243.092242092</v>
      </c>
      <c r="G80" s="1">
        <f>VLOOKUP(A:A,MASTER!A:K,11,0)</f>
        <v>20062269.907639056</v>
      </c>
      <c r="H80" s="12">
        <f t="shared" si="5"/>
        <v>9.5685611958875816E-2</v>
      </c>
      <c r="I80" s="2">
        <f>VLOOKUP(A:A,MASTER!A:E,5,0)</f>
        <v>749</v>
      </c>
      <c r="J80" s="2">
        <f>VLOOKUP(A:A,MASTER!A:J,10,0)</f>
        <v>769</v>
      </c>
      <c r="K80" s="12">
        <f t="shared" si="6"/>
        <v>2.6702269692923997E-2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2</v>
      </c>
      <c r="P80" s="1">
        <f>VLOOKUP(A:A,MASTER!A:H,8,0)</f>
        <v>2</v>
      </c>
      <c r="Q80" s="12">
        <f t="shared" si="8"/>
        <v>0</v>
      </c>
      <c r="R80" s="1">
        <f>VLOOKUP(A:A,MASTER!A:B,2,0)</f>
        <v>746</v>
      </c>
      <c r="S80">
        <f>VLOOKUP(A:A,MASTER!A:G,7,0)</f>
        <v>768</v>
      </c>
      <c r="T80" s="12">
        <f t="shared" si="9"/>
        <v>2.9490616621983934E-2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8670745.7737258058</v>
      </c>
      <c r="G81" s="1">
        <f>VLOOKUP(A:A,MASTER!A:K,11,0)</f>
        <v>8159419.8209574521</v>
      </c>
      <c r="H81" s="12">
        <f t="shared" si="5"/>
        <v>-5.8971392555157043E-2</v>
      </c>
      <c r="I81" s="2">
        <f>VLOOKUP(A:A,MASTER!A:E,5,0)</f>
        <v>540</v>
      </c>
      <c r="J81" s="2">
        <f>VLOOKUP(A:A,MASTER!A:J,10,0)</f>
        <v>522</v>
      </c>
      <c r="K81" s="12">
        <f t="shared" si="6"/>
        <v>-3.3333333333333326E-2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1</v>
      </c>
      <c r="P81" s="1">
        <f>VLOOKUP(A:A,MASTER!A:H,8,0)</f>
        <v>4</v>
      </c>
      <c r="Q81" s="12">
        <f t="shared" si="8"/>
        <v>3</v>
      </c>
      <c r="R81" s="1">
        <f>VLOOKUP(A:A,MASTER!A:B,2,0)</f>
        <v>568</v>
      </c>
      <c r="S81">
        <f>VLOOKUP(A:A,MASTER!A:G,7,0)</f>
        <v>545</v>
      </c>
      <c r="T81" s="12">
        <f t="shared" si="9"/>
        <v>-4.0492957746478875E-2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35310344.073664188</v>
      </c>
      <c r="G82" s="1">
        <f>VLOOKUP(A:A,MASTER!A:K,11,0)</f>
        <v>42702965.826996572</v>
      </c>
      <c r="H82" s="12">
        <f t="shared" si="5"/>
        <v>0.20936136271880978</v>
      </c>
      <c r="I82" s="2">
        <f>VLOOKUP(A:A,MASTER!A:E,5,0)</f>
        <v>1290</v>
      </c>
      <c r="J82" s="2">
        <f>VLOOKUP(A:A,MASTER!A:J,10,0)</f>
        <v>1388</v>
      </c>
      <c r="K82" s="12">
        <f t="shared" si="6"/>
        <v>7.5968992248061973E-2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0</v>
      </c>
      <c r="P82" s="1">
        <f>VLOOKUP(A:A,MASTER!A:H,8,0)</f>
        <v>2</v>
      </c>
      <c r="Q82" s="12">
        <f t="shared" si="8"/>
        <v>0</v>
      </c>
      <c r="R82" s="1">
        <f>VLOOKUP(A:A,MASTER!A:B,2,0)</f>
        <v>1754</v>
      </c>
      <c r="S82">
        <f>VLOOKUP(A:A,MASTER!A:G,7,0)</f>
        <v>1778</v>
      </c>
      <c r="T82" s="12">
        <f t="shared" si="9"/>
        <v>1.36830102622576E-2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7539509.8299834495</v>
      </c>
      <c r="G83" s="1">
        <f>VLOOKUP(A:A,MASTER!A:K,11,0)</f>
        <v>8983939.4270911943</v>
      </c>
      <c r="H83" s="12">
        <f t="shared" si="5"/>
        <v>0.19158136665111503</v>
      </c>
      <c r="I83" s="2">
        <f>VLOOKUP(A:A,MASTER!A:E,5,0)</f>
        <v>872</v>
      </c>
      <c r="J83" s="2">
        <f>VLOOKUP(A:A,MASTER!A:J,10,0)</f>
        <v>628</v>
      </c>
      <c r="K83" s="12">
        <f t="shared" si="6"/>
        <v>-0.27981651376146788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2</v>
      </c>
      <c r="Q83" s="12">
        <f t="shared" si="8"/>
        <v>0</v>
      </c>
      <c r="R83" s="1">
        <f>VLOOKUP(A:A,MASTER!A:B,2,0)</f>
        <v>561</v>
      </c>
      <c r="S83">
        <f>VLOOKUP(A:A,MASTER!A:G,7,0)</f>
        <v>629</v>
      </c>
      <c r="T83" s="12">
        <f t="shared" si="9"/>
        <v>0.1212121212121211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16488973.74900602</v>
      </c>
      <c r="G84" s="1">
        <f>VLOOKUP(A:A,MASTER!A:K,11,0)</f>
        <v>17466134.791588984</v>
      </c>
      <c r="H84" s="12">
        <f t="shared" si="5"/>
        <v>5.9261483307405216E-2</v>
      </c>
      <c r="I84" s="2">
        <f>VLOOKUP(A:A,MASTER!A:E,5,0)</f>
        <v>580</v>
      </c>
      <c r="J84" s="2">
        <f>VLOOKUP(A:A,MASTER!A:J,10,0)</f>
        <v>816</v>
      </c>
      <c r="K84" s="12">
        <f t="shared" si="6"/>
        <v>0.40689655172413786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4</v>
      </c>
      <c r="P84" s="1">
        <f>VLOOKUP(A:A,MASTER!A:H,8,0)</f>
        <v>5</v>
      </c>
      <c r="Q84" s="12">
        <f t="shared" si="8"/>
        <v>0.25</v>
      </c>
      <c r="R84" s="1">
        <f>VLOOKUP(A:A,MASTER!A:B,2,0)</f>
        <v>631</v>
      </c>
      <c r="S84">
        <f>VLOOKUP(A:A,MASTER!A:G,7,0)</f>
        <v>666</v>
      </c>
      <c r="T84" s="12">
        <f t="shared" si="9"/>
        <v>5.5467511885895382E-2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4056251.955859642</v>
      </c>
      <c r="G85" s="1">
        <f>VLOOKUP(A:A,MASTER!A:K,11,0)</f>
        <v>4177272.1257785661</v>
      </c>
      <c r="H85" s="12">
        <f t="shared" si="5"/>
        <v>2.9835466641587427E-2</v>
      </c>
      <c r="I85" s="2">
        <f>VLOOKUP(A:A,MASTER!A:E,5,0)</f>
        <v>309</v>
      </c>
      <c r="J85" s="2">
        <f>VLOOKUP(A:A,MASTER!A:J,10,0)</f>
        <v>68</v>
      </c>
      <c r="K85" s="12">
        <f t="shared" si="6"/>
        <v>-0.7799352750809061</v>
      </c>
      <c r="L85" s="2">
        <f>VLOOKUP(A:A,MASTER!A:D,4,0)</f>
        <v>0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366</v>
      </c>
      <c r="S85">
        <f>VLOOKUP(A:A,MASTER!A:G,7,0)</f>
        <v>380</v>
      </c>
      <c r="T85" s="12">
        <f t="shared" si="9"/>
        <v>3.8251366120218622E-2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84861</v>
      </c>
      <c r="C3" s="11">
        <f t="shared" si="0"/>
        <v>963</v>
      </c>
      <c r="D3" s="11">
        <f t="shared" si="0"/>
        <v>315</v>
      </c>
      <c r="E3" s="11">
        <f t="shared" si="0"/>
        <v>70217</v>
      </c>
      <c r="F3" s="11">
        <f t="shared" si="0"/>
        <v>1652684078.2688403</v>
      </c>
      <c r="G3" s="11">
        <f t="shared" si="0"/>
        <v>84687</v>
      </c>
      <c r="H3" s="11">
        <f t="shared" si="0"/>
        <v>1272</v>
      </c>
      <c r="I3" s="11">
        <f t="shared" si="0"/>
        <v>313</v>
      </c>
      <c r="J3" s="11">
        <f t="shared" si="0"/>
        <v>71131</v>
      </c>
      <c r="K3" s="11">
        <f t="shared" si="0"/>
        <v>1715218317.2305956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418</v>
      </c>
      <c r="C6" s="10">
        <v>0</v>
      </c>
      <c r="D6" s="10">
        <v>2</v>
      </c>
      <c r="E6" s="10">
        <v>339</v>
      </c>
      <c r="F6" s="10">
        <v>7384820.0516374568</v>
      </c>
      <c r="G6" s="10">
        <v>425</v>
      </c>
      <c r="H6" s="10">
        <v>1</v>
      </c>
      <c r="I6" s="10">
        <v>2</v>
      </c>
      <c r="J6" s="10">
        <v>357</v>
      </c>
      <c r="K6" s="10">
        <v>7794403.2465877896</v>
      </c>
    </row>
    <row r="7" spans="1:11" x14ac:dyDescent="0.35">
      <c r="A7" s="9" t="s">
        <v>127</v>
      </c>
      <c r="B7" s="10">
        <v>649</v>
      </c>
      <c r="C7" s="10">
        <v>2</v>
      </c>
      <c r="D7" s="10">
        <v>2</v>
      </c>
      <c r="E7" s="10">
        <v>495</v>
      </c>
      <c r="F7" s="10">
        <v>8808432.9749075994</v>
      </c>
      <c r="G7" s="10">
        <v>557</v>
      </c>
      <c r="H7" s="10">
        <v>5</v>
      </c>
      <c r="I7" s="10">
        <v>3</v>
      </c>
      <c r="J7" s="10">
        <v>515</v>
      </c>
      <c r="K7" s="10">
        <v>8190359.7394492216</v>
      </c>
    </row>
    <row r="8" spans="1:11" x14ac:dyDescent="0.35">
      <c r="A8" s="9" t="s">
        <v>119</v>
      </c>
      <c r="B8" s="10">
        <v>733</v>
      </c>
      <c r="C8" s="10">
        <v>5</v>
      </c>
      <c r="D8" s="10">
        <v>1</v>
      </c>
      <c r="E8" s="10">
        <v>690</v>
      </c>
      <c r="F8" s="10">
        <v>10477595.383566588</v>
      </c>
      <c r="G8" s="10">
        <v>778</v>
      </c>
      <c r="H8" s="10">
        <v>4</v>
      </c>
      <c r="I8" s="10">
        <v>1</v>
      </c>
      <c r="J8" s="10">
        <v>295</v>
      </c>
      <c r="K8" s="10">
        <v>11063906.54678895</v>
      </c>
    </row>
    <row r="9" spans="1:11" x14ac:dyDescent="0.35">
      <c r="A9" s="9" t="s">
        <v>121</v>
      </c>
      <c r="B9" s="10">
        <v>1215</v>
      </c>
      <c r="C9" s="10">
        <v>4</v>
      </c>
      <c r="D9" s="10">
        <v>3</v>
      </c>
      <c r="E9" s="10">
        <v>1021</v>
      </c>
      <c r="F9" s="10">
        <v>19011434.547334105</v>
      </c>
      <c r="G9" s="10">
        <v>1226</v>
      </c>
      <c r="H9" s="10">
        <v>4</v>
      </c>
      <c r="I9" s="10">
        <v>2</v>
      </c>
      <c r="J9" s="10">
        <v>968</v>
      </c>
      <c r="K9" s="10">
        <v>19871487.575189549</v>
      </c>
    </row>
    <row r="10" spans="1:11" x14ac:dyDescent="0.35">
      <c r="A10" s="9" t="s">
        <v>123</v>
      </c>
      <c r="B10" s="10">
        <v>405</v>
      </c>
      <c r="C10" s="10">
        <v>1</v>
      </c>
      <c r="D10" s="10">
        <v>1</v>
      </c>
      <c r="E10" s="10">
        <v>363</v>
      </c>
      <c r="F10" s="10">
        <v>8381329.5959949316</v>
      </c>
      <c r="G10" s="10">
        <v>392</v>
      </c>
      <c r="H10" s="10">
        <v>3</v>
      </c>
      <c r="I10" s="10">
        <v>1</v>
      </c>
      <c r="J10" s="10">
        <v>377</v>
      </c>
      <c r="K10" s="10">
        <v>8985930.6731321104</v>
      </c>
    </row>
    <row r="11" spans="1:11" x14ac:dyDescent="0.35">
      <c r="A11" s="9" t="s">
        <v>125</v>
      </c>
      <c r="B11" s="10">
        <v>383</v>
      </c>
      <c r="C11" s="10">
        <v>2</v>
      </c>
      <c r="D11" s="10">
        <v>2</v>
      </c>
      <c r="E11" s="10">
        <v>283</v>
      </c>
      <c r="F11" s="10">
        <v>7145519.7571021039</v>
      </c>
      <c r="G11" s="10">
        <v>384</v>
      </c>
      <c r="H11" s="10">
        <v>1</v>
      </c>
      <c r="I11" s="10">
        <v>2</v>
      </c>
      <c r="J11" s="10">
        <v>261</v>
      </c>
      <c r="K11" s="10">
        <v>5498928.2696352452</v>
      </c>
    </row>
    <row r="12" spans="1:11" x14ac:dyDescent="0.35">
      <c r="A12" s="9" t="s">
        <v>131</v>
      </c>
      <c r="B12" s="10">
        <v>603</v>
      </c>
      <c r="C12" s="10">
        <v>1</v>
      </c>
      <c r="D12" s="10">
        <v>3</v>
      </c>
      <c r="E12" s="10">
        <v>501</v>
      </c>
      <c r="F12" s="10">
        <v>8340069.6906619277</v>
      </c>
      <c r="G12" s="10">
        <v>638</v>
      </c>
      <c r="H12" s="10">
        <v>3</v>
      </c>
      <c r="I12" s="10">
        <v>0</v>
      </c>
      <c r="J12" s="10">
        <v>489</v>
      </c>
      <c r="K12" s="10">
        <v>8715775.2807155531</v>
      </c>
    </row>
    <row r="13" spans="1:11" x14ac:dyDescent="0.35">
      <c r="A13" s="9" t="s">
        <v>133</v>
      </c>
      <c r="B13" s="10">
        <v>167</v>
      </c>
      <c r="C13" s="10">
        <v>0</v>
      </c>
      <c r="D13" s="10">
        <v>1</v>
      </c>
      <c r="E13" s="10">
        <v>131</v>
      </c>
      <c r="F13" s="10">
        <v>3747444.9194353758</v>
      </c>
      <c r="G13" s="10">
        <v>178</v>
      </c>
      <c r="H13" s="10">
        <v>0</v>
      </c>
      <c r="I13" s="10">
        <v>1</v>
      </c>
      <c r="J13" s="10">
        <v>126</v>
      </c>
      <c r="K13" s="10">
        <v>3950550.299179432</v>
      </c>
    </row>
    <row r="14" spans="1:11" x14ac:dyDescent="0.35">
      <c r="A14" s="9" t="s">
        <v>141</v>
      </c>
      <c r="B14" s="10">
        <v>183</v>
      </c>
      <c r="C14" s="10">
        <v>0</v>
      </c>
      <c r="D14" s="10">
        <v>1</v>
      </c>
      <c r="E14" s="10">
        <v>130</v>
      </c>
      <c r="F14" s="10">
        <v>586599.09295351198</v>
      </c>
      <c r="G14" s="10">
        <v>205</v>
      </c>
      <c r="H14" s="10">
        <v>0</v>
      </c>
      <c r="I14" s="10">
        <v>1</v>
      </c>
      <c r="J14" s="10">
        <v>175</v>
      </c>
      <c r="K14" s="10">
        <v>3899890.5906057432</v>
      </c>
    </row>
    <row r="15" spans="1:11" x14ac:dyDescent="0.35">
      <c r="A15" s="9" t="s">
        <v>135</v>
      </c>
      <c r="B15" s="10">
        <v>369</v>
      </c>
      <c r="C15" s="10">
        <v>1</v>
      </c>
      <c r="D15" s="10">
        <v>1</v>
      </c>
      <c r="E15" s="10">
        <v>329</v>
      </c>
      <c r="F15" s="10">
        <v>7940043.156108438</v>
      </c>
      <c r="G15" s="10">
        <v>359</v>
      </c>
      <c r="H15" s="10">
        <v>4</v>
      </c>
      <c r="I15" s="10">
        <v>1</v>
      </c>
      <c r="J15" s="10">
        <v>359</v>
      </c>
      <c r="K15" s="10">
        <v>6730366.9863225957</v>
      </c>
    </row>
    <row r="16" spans="1:11" x14ac:dyDescent="0.35">
      <c r="A16" s="9" t="s">
        <v>143</v>
      </c>
      <c r="B16" s="10">
        <v>205</v>
      </c>
      <c r="C16" s="10">
        <v>0</v>
      </c>
      <c r="D16" s="10">
        <v>2</v>
      </c>
      <c r="E16" s="10">
        <v>253</v>
      </c>
      <c r="F16" s="10">
        <v>3605945.15739296</v>
      </c>
      <c r="G16" s="10">
        <v>235</v>
      </c>
      <c r="H16" s="10">
        <v>0</v>
      </c>
      <c r="I16" s="10">
        <v>2</v>
      </c>
      <c r="J16" s="10">
        <v>208</v>
      </c>
      <c r="K16" s="10">
        <v>3309685.3118176642</v>
      </c>
    </row>
    <row r="17" spans="1:11" x14ac:dyDescent="0.35">
      <c r="A17" s="9" t="s">
        <v>145</v>
      </c>
      <c r="B17" s="10">
        <v>242</v>
      </c>
      <c r="C17" s="10">
        <v>1</v>
      </c>
      <c r="D17" s="10">
        <v>2</v>
      </c>
      <c r="E17" s="10">
        <v>1029</v>
      </c>
      <c r="F17" s="10">
        <v>3977027.8671158012</v>
      </c>
      <c r="G17" s="10">
        <v>246</v>
      </c>
      <c r="H17" s="10">
        <v>0</v>
      </c>
      <c r="I17" s="10">
        <v>0</v>
      </c>
      <c r="J17" s="10">
        <v>220</v>
      </c>
      <c r="K17" s="10">
        <v>4053726.7902464792</v>
      </c>
    </row>
    <row r="18" spans="1:11" x14ac:dyDescent="0.35">
      <c r="A18" s="9" t="s">
        <v>20</v>
      </c>
      <c r="B18" s="10">
        <v>1430</v>
      </c>
      <c r="C18" s="10">
        <v>2</v>
      </c>
      <c r="D18" s="10">
        <v>3</v>
      </c>
      <c r="E18" s="10">
        <v>1622</v>
      </c>
      <c r="F18" s="10">
        <v>13399000.366042772</v>
      </c>
      <c r="G18" s="10">
        <v>1409</v>
      </c>
      <c r="H18" s="10">
        <v>4</v>
      </c>
      <c r="I18" s="10">
        <v>5</v>
      </c>
      <c r="J18" s="10">
        <v>1328</v>
      </c>
      <c r="K18" s="10">
        <v>22834765.983763617</v>
      </c>
    </row>
    <row r="19" spans="1:11" x14ac:dyDescent="0.35">
      <c r="A19" s="9" t="s">
        <v>45</v>
      </c>
      <c r="B19" s="10">
        <v>1235</v>
      </c>
      <c r="C19" s="10">
        <v>1</v>
      </c>
      <c r="D19" s="10">
        <v>3</v>
      </c>
      <c r="E19" s="10">
        <v>881</v>
      </c>
      <c r="F19" s="10">
        <v>26643248.081871454</v>
      </c>
      <c r="G19" s="10">
        <v>1253</v>
      </c>
      <c r="H19" s="10">
        <v>0</v>
      </c>
      <c r="I19" s="10">
        <v>2</v>
      </c>
      <c r="J19" s="10">
        <v>944</v>
      </c>
      <c r="K19" s="10">
        <v>33008994.284924474</v>
      </c>
    </row>
    <row r="20" spans="1:11" x14ac:dyDescent="0.35">
      <c r="A20" s="9" t="s">
        <v>47</v>
      </c>
      <c r="B20" s="10">
        <v>1030</v>
      </c>
      <c r="C20" s="10">
        <v>2</v>
      </c>
      <c r="D20" s="10">
        <v>5</v>
      </c>
      <c r="E20" s="10">
        <v>966</v>
      </c>
      <c r="F20" s="10">
        <v>15828242.32627888</v>
      </c>
      <c r="G20" s="10">
        <v>1016</v>
      </c>
      <c r="H20" s="10">
        <v>4</v>
      </c>
      <c r="I20" s="10">
        <v>5</v>
      </c>
      <c r="J20" s="10">
        <v>961</v>
      </c>
      <c r="K20" s="10">
        <v>15843798.763286391</v>
      </c>
    </row>
    <row r="21" spans="1:11" x14ac:dyDescent="0.35">
      <c r="A21" s="9" t="s">
        <v>49</v>
      </c>
      <c r="B21" s="10">
        <v>911</v>
      </c>
      <c r="C21" s="10">
        <v>3</v>
      </c>
      <c r="D21" s="10">
        <v>3</v>
      </c>
      <c r="E21" s="10">
        <v>657</v>
      </c>
      <c r="F21" s="10">
        <v>10913566.119168691</v>
      </c>
      <c r="G21" s="10">
        <v>905</v>
      </c>
      <c r="H21" s="10">
        <v>0</v>
      </c>
      <c r="I21" s="10">
        <v>3</v>
      </c>
      <c r="J21" s="10">
        <v>649</v>
      </c>
      <c r="K21" s="10">
        <v>14999077.867172075</v>
      </c>
    </row>
    <row r="22" spans="1:11" x14ac:dyDescent="0.35">
      <c r="A22" s="9" t="s">
        <v>51</v>
      </c>
      <c r="B22" s="10">
        <v>2902</v>
      </c>
      <c r="C22" s="10">
        <v>171</v>
      </c>
      <c r="D22" s="10">
        <v>10</v>
      </c>
      <c r="E22" s="10">
        <v>2097</v>
      </c>
      <c r="F22" s="10">
        <v>58775003.547264457</v>
      </c>
      <c r="G22" s="10">
        <v>2812</v>
      </c>
      <c r="H22" s="10">
        <v>103</v>
      </c>
      <c r="I22" s="10">
        <v>12</v>
      </c>
      <c r="J22" s="10">
        <v>2243</v>
      </c>
      <c r="K22" s="10">
        <v>53555984.147053935</v>
      </c>
    </row>
    <row r="23" spans="1:11" x14ac:dyDescent="0.35">
      <c r="A23" s="9" t="s">
        <v>53</v>
      </c>
      <c r="B23" s="10">
        <v>1368</v>
      </c>
      <c r="C23" s="10">
        <v>3</v>
      </c>
      <c r="D23" s="10">
        <v>1</v>
      </c>
      <c r="E23" s="10">
        <v>1135</v>
      </c>
      <c r="F23" s="10">
        <v>11584685.638031436</v>
      </c>
      <c r="G23" s="10">
        <v>1368</v>
      </c>
      <c r="H23" s="10">
        <v>5</v>
      </c>
      <c r="I23" s="10">
        <v>2</v>
      </c>
      <c r="J23" s="10">
        <v>1190</v>
      </c>
      <c r="K23" s="10">
        <v>28439991.090680379</v>
      </c>
    </row>
    <row r="24" spans="1:11" x14ac:dyDescent="0.35">
      <c r="A24" s="9" t="s">
        <v>55</v>
      </c>
      <c r="B24" s="10">
        <v>2969</v>
      </c>
      <c r="C24" s="10">
        <v>14</v>
      </c>
      <c r="D24" s="10">
        <v>10</v>
      </c>
      <c r="E24" s="10">
        <v>2229</v>
      </c>
      <c r="F24" s="10">
        <v>57592953.799537219</v>
      </c>
      <c r="G24" s="10">
        <v>2775</v>
      </c>
      <c r="H24" s="10">
        <v>4</v>
      </c>
      <c r="I24" s="10">
        <v>10</v>
      </c>
      <c r="J24" s="10">
        <v>2139</v>
      </c>
      <c r="K24" s="10">
        <v>48206739.535607196</v>
      </c>
    </row>
    <row r="25" spans="1:11" x14ac:dyDescent="0.35">
      <c r="A25" s="9" t="s">
        <v>67</v>
      </c>
      <c r="B25" s="10">
        <v>544</v>
      </c>
      <c r="C25" s="10">
        <v>4</v>
      </c>
      <c r="D25" s="10">
        <v>1</v>
      </c>
      <c r="E25" s="10">
        <v>501</v>
      </c>
      <c r="F25" s="10">
        <v>9055980.6224311255</v>
      </c>
      <c r="G25" s="10">
        <v>534</v>
      </c>
      <c r="H25" s="10">
        <v>2</v>
      </c>
      <c r="I25" s="10">
        <v>1</v>
      </c>
      <c r="J25" s="10">
        <v>486</v>
      </c>
      <c r="K25" s="10">
        <v>7894030.6329214247</v>
      </c>
    </row>
    <row r="26" spans="1:11" x14ac:dyDescent="0.35">
      <c r="A26" s="9" t="s">
        <v>74</v>
      </c>
      <c r="B26" s="10">
        <v>1739</v>
      </c>
      <c r="C26" s="10">
        <v>11</v>
      </c>
      <c r="D26" s="10">
        <v>2</v>
      </c>
      <c r="E26" s="10">
        <v>1298</v>
      </c>
      <c r="F26" s="10">
        <v>23687070.811500505</v>
      </c>
      <c r="G26" s="10">
        <v>1728</v>
      </c>
      <c r="H26" s="10">
        <v>12</v>
      </c>
      <c r="I26" s="10">
        <v>1</v>
      </c>
      <c r="J26" s="10">
        <v>1446</v>
      </c>
      <c r="K26" s="10">
        <v>21540252.204000156</v>
      </c>
    </row>
    <row r="27" spans="1:11" x14ac:dyDescent="0.35">
      <c r="A27" s="9" t="s">
        <v>70</v>
      </c>
      <c r="B27" s="10">
        <v>878</v>
      </c>
      <c r="C27" s="10">
        <v>8</v>
      </c>
      <c r="D27" s="10">
        <v>1</v>
      </c>
      <c r="E27" s="10">
        <v>740</v>
      </c>
      <c r="F27" s="10">
        <v>9478921.5549611673</v>
      </c>
      <c r="G27" s="10">
        <v>833</v>
      </c>
      <c r="H27" s="10">
        <v>4</v>
      </c>
      <c r="I27" s="10">
        <v>0</v>
      </c>
      <c r="J27" s="10">
        <v>824</v>
      </c>
      <c r="K27" s="10">
        <v>9013330.2175357286</v>
      </c>
    </row>
    <row r="28" spans="1:11" x14ac:dyDescent="0.35">
      <c r="A28" s="9" t="s">
        <v>72</v>
      </c>
      <c r="B28" s="10">
        <v>888</v>
      </c>
      <c r="C28" s="10">
        <v>5</v>
      </c>
      <c r="D28" s="10">
        <v>1</v>
      </c>
      <c r="E28" s="10">
        <v>837</v>
      </c>
      <c r="F28" s="10">
        <v>12129368.103966432</v>
      </c>
      <c r="G28" s="10">
        <v>871</v>
      </c>
      <c r="H28" s="10">
        <v>1</v>
      </c>
      <c r="I28" s="10">
        <v>0</v>
      </c>
      <c r="J28" s="10">
        <v>769</v>
      </c>
      <c r="K28" s="10">
        <v>11323368.874365836</v>
      </c>
    </row>
    <row r="29" spans="1:11" x14ac:dyDescent="0.35">
      <c r="A29" s="9" t="s">
        <v>79</v>
      </c>
      <c r="B29" s="10">
        <v>231</v>
      </c>
      <c r="C29" s="10">
        <v>1</v>
      </c>
      <c r="D29" s="10">
        <v>2</v>
      </c>
      <c r="E29" s="10">
        <v>176</v>
      </c>
      <c r="F29" s="10">
        <v>2536402.8153050868</v>
      </c>
      <c r="G29" s="10">
        <v>219</v>
      </c>
      <c r="H29" s="10">
        <v>0</v>
      </c>
      <c r="I29" s="10">
        <v>0</v>
      </c>
      <c r="J29" s="10">
        <v>235</v>
      </c>
      <c r="K29" s="10">
        <v>2808535.7045010701</v>
      </c>
    </row>
    <row r="30" spans="1:11" x14ac:dyDescent="0.35">
      <c r="A30" s="9" t="s">
        <v>109</v>
      </c>
      <c r="B30" s="10">
        <v>1663</v>
      </c>
      <c r="C30" s="10">
        <v>9</v>
      </c>
      <c r="D30" s="10">
        <v>6</v>
      </c>
      <c r="E30" s="10">
        <v>1297</v>
      </c>
      <c r="F30" s="10">
        <v>22511788.425732885</v>
      </c>
      <c r="G30" s="10">
        <v>1639</v>
      </c>
      <c r="H30" s="10">
        <v>2</v>
      </c>
      <c r="I30" s="10">
        <v>5</v>
      </c>
      <c r="J30" s="10">
        <v>1485</v>
      </c>
      <c r="K30" s="10">
        <v>22367217.405995153</v>
      </c>
    </row>
    <row r="31" spans="1:11" x14ac:dyDescent="0.35">
      <c r="A31" s="9" t="s">
        <v>111</v>
      </c>
      <c r="B31" s="10">
        <v>870</v>
      </c>
      <c r="C31" s="10">
        <v>1</v>
      </c>
      <c r="D31" s="10">
        <v>1</v>
      </c>
      <c r="E31" s="10">
        <v>624</v>
      </c>
      <c r="F31" s="10">
        <v>18118545.915352695</v>
      </c>
      <c r="G31" s="10">
        <v>899</v>
      </c>
      <c r="H31" s="10">
        <v>3</v>
      </c>
      <c r="I31" s="10">
        <v>1</v>
      </c>
      <c r="J31" s="10">
        <v>689</v>
      </c>
      <c r="K31" s="10">
        <v>20204926.878771558</v>
      </c>
    </row>
    <row r="32" spans="1:11" x14ac:dyDescent="0.35">
      <c r="A32" s="9" t="s">
        <v>113</v>
      </c>
      <c r="B32" s="10">
        <v>1065</v>
      </c>
      <c r="C32" s="10">
        <v>2</v>
      </c>
      <c r="D32" s="10">
        <v>1</v>
      </c>
      <c r="E32" s="10">
        <v>827</v>
      </c>
      <c r="F32" s="10">
        <v>17752317.438190568</v>
      </c>
      <c r="G32" s="10">
        <v>1011</v>
      </c>
      <c r="H32" s="10">
        <v>1</v>
      </c>
      <c r="I32" s="10">
        <v>2</v>
      </c>
      <c r="J32" s="10">
        <v>911</v>
      </c>
      <c r="K32" s="10">
        <v>19114856.538799368</v>
      </c>
    </row>
    <row r="33" spans="1:11" x14ac:dyDescent="0.35">
      <c r="A33" s="9" t="s">
        <v>115</v>
      </c>
      <c r="B33" s="10">
        <v>1117</v>
      </c>
      <c r="C33" s="10">
        <v>2</v>
      </c>
      <c r="D33" s="10">
        <v>2</v>
      </c>
      <c r="E33" s="10">
        <v>832</v>
      </c>
      <c r="F33" s="10">
        <v>24186906.744684663</v>
      </c>
      <c r="G33" s="10">
        <v>1145</v>
      </c>
      <c r="H33" s="10">
        <v>1</v>
      </c>
      <c r="I33" s="10">
        <v>3</v>
      </c>
      <c r="J33" s="10">
        <v>812</v>
      </c>
      <c r="K33" s="10">
        <v>25226309.632355992</v>
      </c>
    </row>
    <row r="34" spans="1:11" x14ac:dyDescent="0.35">
      <c r="A34" s="9" t="s">
        <v>16</v>
      </c>
      <c r="B34" s="10">
        <v>1459</v>
      </c>
      <c r="C34" s="10">
        <v>4</v>
      </c>
      <c r="D34" s="10">
        <v>5</v>
      </c>
      <c r="E34" s="10">
        <v>1185</v>
      </c>
      <c r="F34" s="10">
        <v>34394456.147691317</v>
      </c>
      <c r="G34" s="10">
        <v>1448</v>
      </c>
      <c r="H34" s="10">
        <v>2</v>
      </c>
      <c r="I34" s="10">
        <v>2</v>
      </c>
      <c r="J34" s="10">
        <v>1169</v>
      </c>
      <c r="K34" s="10">
        <v>35006468.816651084</v>
      </c>
    </row>
    <row r="35" spans="1:11" x14ac:dyDescent="0.35">
      <c r="A35" s="9" t="s">
        <v>18</v>
      </c>
      <c r="B35" s="10">
        <v>679</v>
      </c>
      <c r="C35" s="10">
        <v>0</v>
      </c>
      <c r="D35" s="10">
        <v>5</v>
      </c>
      <c r="E35" s="10">
        <v>520</v>
      </c>
      <c r="F35" s="10">
        <v>14133878.193473892</v>
      </c>
      <c r="G35" s="10">
        <v>686</v>
      </c>
      <c r="H35" s="10">
        <v>3</v>
      </c>
      <c r="I35" s="10">
        <v>5</v>
      </c>
      <c r="J35" s="10">
        <v>612</v>
      </c>
      <c r="K35" s="10">
        <v>13924727.038236933</v>
      </c>
    </row>
    <row r="36" spans="1:11" x14ac:dyDescent="0.35">
      <c r="A36" s="9" t="s">
        <v>43</v>
      </c>
      <c r="B36" s="10">
        <v>1943</v>
      </c>
      <c r="C36" s="10">
        <v>6</v>
      </c>
      <c r="D36" s="10">
        <v>11</v>
      </c>
      <c r="E36" s="10">
        <v>1571</v>
      </c>
      <c r="F36" s="10">
        <v>43001448.166093811</v>
      </c>
      <c r="G36" s="10">
        <v>1855</v>
      </c>
      <c r="H36" s="10">
        <v>2</v>
      </c>
      <c r="I36" s="10">
        <v>6</v>
      </c>
      <c r="J36" s="10">
        <v>1707</v>
      </c>
      <c r="K36" s="10">
        <v>26036926.729291752</v>
      </c>
    </row>
    <row r="37" spans="1:11" x14ac:dyDescent="0.35">
      <c r="A37" s="9" t="s">
        <v>152</v>
      </c>
      <c r="B37" s="10">
        <v>840</v>
      </c>
      <c r="C37" s="10">
        <v>1</v>
      </c>
      <c r="D37" s="10">
        <v>2</v>
      </c>
      <c r="E37" s="10">
        <v>887</v>
      </c>
      <c r="F37" s="10">
        <v>14132076.933236703</v>
      </c>
      <c r="G37" s="10">
        <v>851</v>
      </c>
      <c r="H37" s="10">
        <v>2</v>
      </c>
      <c r="I37" s="10">
        <v>3</v>
      </c>
      <c r="J37" s="10">
        <v>670</v>
      </c>
      <c r="K37" s="10">
        <v>14724372.928554051</v>
      </c>
    </row>
    <row r="38" spans="1:11" x14ac:dyDescent="0.35">
      <c r="A38" s="9" t="s">
        <v>149</v>
      </c>
      <c r="B38" s="10">
        <v>745</v>
      </c>
      <c r="C38" s="10">
        <v>1</v>
      </c>
      <c r="D38" s="10">
        <v>1</v>
      </c>
      <c r="E38" s="10">
        <v>746</v>
      </c>
      <c r="F38" s="10">
        <v>13627139.337142861</v>
      </c>
      <c r="G38" s="10">
        <v>732</v>
      </c>
      <c r="H38" s="10">
        <v>1</v>
      </c>
      <c r="I38" s="10">
        <v>1</v>
      </c>
      <c r="J38" s="10">
        <v>594</v>
      </c>
      <c r="K38" s="10">
        <v>13006674.485248519</v>
      </c>
    </row>
    <row r="39" spans="1:11" x14ac:dyDescent="0.35">
      <c r="A39" s="9" t="s">
        <v>154</v>
      </c>
      <c r="B39" s="10">
        <v>1164</v>
      </c>
      <c r="C39" s="10">
        <v>7</v>
      </c>
      <c r="D39" s="10">
        <v>1</v>
      </c>
      <c r="E39" s="10">
        <v>465</v>
      </c>
      <c r="F39" s="10">
        <v>20545921.86789586</v>
      </c>
      <c r="G39" s="10">
        <v>1191</v>
      </c>
      <c r="H39" s="10">
        <v>5</v>
      </c>
      <c r="I39" s="10">
        <v>2</v>
      </c>
      <c r="J39" s="10">
        <v>908</v>
      </c>
      <c r="K39" s="10">
        <v>22932126.399725944</v>
      </c>
    </row>
    <row r="40" spans="1:11" x14ac:dyDescent="0.35">
      <c r="A40" s="9" t="s">
        <v>2</v>
      </c>
      <c r="B40" s="10">
        <v>1335</v>
      </c>
      <c r="C40" s="10">
        <v>120</v>
      </c>
      <c r="D40" s="10">
        <v>1</v>
      </c>
      <c r="E40" s="10">
        <v>811</v>
      </c>
      <c r="F40" s="10">
        <v>19120041.93568055</v>
      </c>
      <c r="G40" s="10">
        <v>1452</v>
      </c>
      <c r="H40" s="10">
        <v>317</v>
      </c>
      <c r="I40" s="10">
        <v>1</v>
      </c>
      <c r="J40" s="10">
        <v>858</v>
      </c>
      <c r="K40" s="10">
        <v>21141554.628010023</v>
      </c>
    </row>
    <row r="41" spans="1:11" x14ac:dyDescent="0.35">
      <c r="A41" s="9" t="s">
        <v>156</v>
      </c>
      <c r="B41" s="10">
        <v>2418</v>
      </c>
      <c r="C41" s="10">
        <v>69</v>
      </c>
      <c r="D41" s="10">
        <v>5</v>
      </c>
      <c r="E41" s="10">
        <v>1575</v>
      </c>
      <c r="F41" s="10">
        <v>34901512.498659305</v>
      </c>
      <c r="G41" s="10">
        <v>2265</v>
      </c>
      <c r="H41" s="10">
        <v>235</v>
      </c>
      <c r="I41" s="10">
        <v>5</v>
      </c>
      <c r="J41" s="10">
        <v>1484</v>
      </c>
      <c r="K41" s="10">
        <v>35002790.497653201</v>
      </c>
    </row>
    <row r="42" spans="1:11" x14ac:dyDescent="0.35">
      <c r="A42" s="9" t="s">
        <v>14</v>
      </c>
      <c r="B42" s="10">
        <v>621</v>
      </c>
      <c r="C42" s="10">
        <v>1</v>
      </c>
      <c r="D42" s="10">
        <v>6</v>
      </c>
      <c r="E42" s="10">
        <v>447</v>
      </c>
      <c r="F42" s="10">
        <v>12522131.034147704</v>
      </c>
      <c r="G42" s="10">
        <v>596</v>
      </c>
      <c r="H42" s="10">
        <v>4</v>
      </c>
      <c r="I42" s="10">
        <v>7</v>
      </c>
      <c r="J42" s="10">
        <v>462</v>
      </c>
      <c r="K42" s="10">
        <v>12972219.559267271</v>
      </c>
    </row>
    <row r="43" spans="1:11" x14ac:dyDescent="0.35">
      <c r="A43" s="9" t="s">
        <v>8</v>
      </c>
      <c r="B43" s="10">
        <v>2064</v>
      </c>
      <c r="C43" s="10">
        <v>2</v>
      </c>
      <c r="D43" s="10">
        <v>6</v>
      </c>
      <c r="E43" s="10">
        <v>1950</v>
      </c>
      <c r="F43" s="10">
        <v>41927511.893101111</v>
      </c>
      <c r="G43" s="10">
        <v>2040</v>
      </c>
      <c r="H43" s="10">
        <v>4</v>
      </c>
      <c r="I43" s="10">
        <v>5</v>
      </c>
      <c r="J43" s="10">
        <v>1850</v>
      </c>
      <c r="K43" s="10">
        <v>40159357.461528517</v>
      </c>
    </row>
    <row r="44" spans="1:11" x14ac:dyDescent="0.35">
      <c r="A44" s="9" t="s">
        <v>39</v>
      </c>
      <c r="B44" s="10">
        <v>900</v>
      </c>
      <c r="C44" s="10">
        <v>3</v>
      </c>
      <c r="D44" s="10">
        <v>2</v>
      </c>
      <c r="E44" s="10">
        <v>803</v>
      </c>
      <c r="F44" s="10">
        <v>27163671.010994777</v>
      </c>
      <c r="G44" s="10">
        <v>931</v>
      </c>
      <c r="H44" s="10">
        <v>5</v>
      </c>
      <c r="I44" s="10">
        <v>4</v>
      </c>
      <c r="J44" s="10">
        <v>819</v>
      </c>
      <c r="K44" s="10">
        <v>31332334.071481273</v>
      </c>
    </row>
    <row r="45" spans="1:11" x14ac:dyDescent="0.35">
      <c r="A45" s="9" t="s">
        <v>6</v>
      </c>
      <c r="B45" s="10">
        <v>1082</v>
      </c>
      <c r="C45" s="10">
        <v>0</v>
      </c>
      <c r="D45" s="10">
        <v>3</v>
      </c>
      <c r="E45" s="10">
        <v>919</v>
      </c>
      <c r="F45" s="10">
        <v>14178492.832121568</v>
      </c>
      <c r="G45" s="10">
        <v>1052</v>
      </c>
      <c r="H45" s="10">
        <v>5</v>
      </c>
      <c r="I45" s="10">
        <v>3</v>
      </c>
      <c r="J45" s="10">
        <v>944</v>
      </c>
      <c r="K45" s="10">
        <v>22149087.91487515</v>
      </c>
    </row>
    <row r="46" spans="1:11" x14ac:dyDescent="0.35">
      <c r="A46" s="9" t="s">
        <v>41</v>
      </c>
      <c r="B46" s="10">
        <v>825</v>
      </c>
      <c r="C46" s="10">
        <v>3</v>
      </c>
      <c r="D46" s="10">
        <v>4</v>
      </c>
      <c r="E46" s="10">
        <v>651</v>
      </c>
      <c r="F46" s="10">
        <v>21673565.670844473</v>
      </c>
      <c r="G46" s="10">
        <v>835</v>
      </c>
      <c r="H46" s="10">
        <v>2</v>
      </c>
      <c r="I46" s="10">
        <v>4</v>
      </c>
      <c r="J46" s="10">
        <v>635</v>
      </c>
      <c r="K46" s="10">
        <v>22463428.205046136</v>
      </c>
    </row>
    <row r="47" spans="1:11" x14ac:dyDescent="0.35">
      <c r="A47" s="9" t="s">
        <v>158</v>
      </c>
      <c r="B47" s="10">
        <v>707</v>
      </c>
      <c r="C47" s="10">
        <v>2</v>
      </c>
      <c r="D47" s="10">
        <v>10</v>
      </c>
      <c r="E47" s="10">
        <v>560</v>
      </c>
      <c r="F47" s="10">
        <v>13895483.106158944</v>
      </c>
      <c r="G47" s="10">
        <v>715</v>
      </c>
      <c r="H47" s="10">
        <v>0</v>
      </c>
      <c r="I47" s="10">
        <v>9</v>
      </c>
      <c r="J47" s="10">
        <v>563</v>
      </c>
      <c r="K47" s="10">
        <v>13423472.227419101</v>
      </c>
    </row>
    <row r="48" spans="1:11" x14ac:dyDescent="0.35">
      <c r="A48" s="9" t="s">
        <v>160</v>
      </c>
      <c r="B48" s="10">
        <v>688</v>
      </c>
      <c r="C48" s="10">
        <v>0</v>
      </c>
      <c r="D48" s="10">
        <v>2</v>
      </c>
      <c r="E48" s="10">
        <v>713</v>
      </c>
      <c r="F48" s="10">
        <v>12161003.483174358</v>
      </c>
      <c r="G48" s="10">
        <v>703</v>
      </c>
      <c r="H48" s="10">
        <v>0</v>
      </c>
      <c r="I48" s="10">
        <v>1</v>
      </c>
      <c r="J48" s="10">
        <v>768</v>
      </c>
      <c r="K48" s="10">
        <v>12527683.802709805</v>
      </c>
    </row>
    <row r="49" spans="1:11" x14ac:dyDescent="0.35">
      <c r="A49" s="9" t="s">
        <v>83</v>
      </c>
      <c r="B49" s="10">
        <v>1242</v>
      </c>
      <c r="C49" s="10">
        <v>0</v>
      </c>
      <c r="D49" s="10">
        <v>4</v>
      </c>
      <c r="E49" s="10">
        <v>1078</v>
      </c>
      <c r="F49" s="10">
        <v>37273755.084821194</v>
      </c>
      <c r="G49" s="10">
        <v>1281</v>
      </c>
      <c r="H49" s="10">
        <v>2</v>
      </c>
      <c r="I49" s="10">
        <v>6</v>
      </c>
      <c r="J49" s="10">
        <v>1196</v>
      </c>
      <c r="K49" s="10">
        <v>41936647.835470937</v>
      </c>
    </row>
    <row r="50" spans="1:11" x14ac:dyDescent="0.35">
      <c r="A50" s="9" t="s">
        <v>201</v>
      </c>
      <c r="B50" s="10">
        <v>434</v>
      </c>
      <c r="C50" s="10">
        <v>0</v>
      </c>
      <c r="D50" s="10">
        <v>1</v>
      </c>
      <c r="E50" s="10">
        <v>484</v>
      </c>
      <c r="F50" s="10">
        <v>6162776.9085115492</v>
      </c>
      <c r="G50" s="10">
        <v>445</v>
      </c>
      <c r="H50" s="10">
        <v>1</v>
      </c>
      <c r="I50" s="10">
        <v>1</v>
      </c>
      <c r="J50" s="10">
        <v>482</v>
      </c>
      <c r="K50" s="10">
        <v>6384247.944338074</v>
      </c>
    </row>
    <row r="51" spans="1:11" x14ac:dyDescent="0.35">
      <c r="A51" s="9" t="s">
        <v>31</v>
      </c>
      <c r="B51" s="10">
        <v>914</v>
      </c>
      <c r="C51" s="10">
        <v>2</v>
      </c>
      <c r="D51" s="10">
        <v>7</v>
      </c>
      <c r="E51" s="10">
        <v>881</v>
      </c>
      <c r="F51" s="10">
        <v>17874087.659617409</v>
      </c>
      <c r="G51" s="10">
        <v>879</v>
      </c>
      <c r="H51" s="10">
        <v>1</v>
      </c>
      <c r="I51" s="10">
        <v>4</v>
      </c>
      <c r="J51" s="10">
        <v>899</v>
      </c>
      <c r="K51" s="10">
        <v>17870643.858846333</v>
      </c>
    </row>
    <row r="52" spans="1:11" x14ac:dyDescent="0.35">
      <c r="A52" s="9" t="s">
        <v>33</v>
      </c>
      <c r="B52" s="10">
        <v>1356</v>
      </c>
      <c r="C52" s="10">
        <v>3</v>
      </c>
      <c r="D52" s="10">
        <v>12</v>
      </c>
      <c r="E52" s="10">
        <v>1045</v>
      </c>
      <c r="F52" s="10">
        <v>32056870.004816383</v>
      </c>
      <c r="G52" s="10">
        <v>1417</v>
      </c>
      <c r="H52" s="10">
        <v>1</v>
      </c>
      <c r="I52" s="10">
        <v>11</v>
      </c>
      <c r="J52" s="10">
        <v>1014</v>
      </c>
      <c r="K52" s="10">
        <v>32663997.039998908</v>
      </c>
    </row>
    <row r="53" spans="1:11" x14ac:dyDescent="0.35">
      <c r="A53" s="9" t="s">
        <v>85</v>
      </c>
      <c r="B53" s="10">
        <v>483</v>
      </c>
      <c r="C53" s="10">
        <v>1</v>
      </c>
      <c r="D53" s="10">
        <v>6</v>
      </c>
      <c r="E53" s="10">
        <v>360</v>
      </c>
      <c r="F53" s="10">
        <v>16539048.45741608</v>
      </c>
      <c r="G53" s="10">
        <v>491</v>
      </c>
      <c r="H53" s="10">
        <v>3</v>
      </c>
      <c r="I53" s="10">
        <v>6</v>
      </c>
      <c r="J53" s="10">
        <v>514</v>
      </c>
      <c r="K53" s="10">
        <v>15061140.755258827</v>
      </c>
    </row>
    <row r="54" spans="1:11" x14ac:dyDescent="0.35">
      <c r="A54" s="9" t="s">
        <v>81</v>
      </c>
      <c r="B54" s="10">
        <v>456</v>
      </c>
      <c r="C54" s="10">
        <v>0</v>
      </c>
      <c r="D54" s="10">
        <v>4</v>
      </c>
      <c r="E54" s="10">
        <v>305</v>
      </c>
      <c r="F54" s="10">
        <v>12081136.709517296</v>
      </c>
      <c r="G54" s="10">
        <v>457</v>
      </c>
      <c r="H54" s="10">
        <v>1</v>
      </c>
      <c r="I54" s="10">
        <v>3</v>
      </c>
      <c r="J54" s="10">
        <v>385</v>
      </c>
      <c r="K54" s="10">
        <v>13095908.736033432</v>
      </c>
    </row>
    <row r="55" spans="1:11" x14ac:dyDescent="0.35">
      <c r="A55" s="9" t="s">
        <v>87</v>
      </c>
      <c r="B55" s="10">
        <v>431</v>
      </c>
      <c r="C55" s="10">
        <v>1</v>
      </c>
      <c r="D55" s="10">
        <v>4</v>
      </c>
      <c r="E55" s="10">
        <v>332</v>
      </c>
      <c r="F55" s="10">
        <v>10520584.106780592</v>
      </c>
      <c r="G55" s="10">
        <v>401</v>
      </c>
      <c r="H55" s="10">
        <v>0</v>
      </c>
      <c r="I55" s="10">
        <v>2</v>
      </c>
      <c r="J55" s="10">
        <v>5</v>
      </c>
      <c r="K55" s="10">
        <v>5501887.3312636809</v>
      </c>
    </row>
    <row r="56" spans="1:11" x14ac:dyDescent="0.35">
      <c r="A56" s="9" t="s">
        <v>166</v>
      </c>
      <c r="B56" s="10">
        <v>1104</v>
      </c>
      <c r="C56" s="10">
        <v>2</v>
      </c>
      <c r="D56" s="10">
        <v>0</v>
      </c>
      <c r="E56" s="10">
        <v>925</v>
      </c>
      <c r="F56" s="10">
        <v>24723580.217376906</v>
      </c>
      <c r="G56" s="10">
        <v>1099</v>
      </c>
      <c r="H56" s="10">
        <v>2</v>
      </c>
      <c r="I56" s="10">
        <v>0</v>
      </c>
      <c r="J56" s="10">
        <v>962</v>
      </c>
      <c r="K56" s="10">
        <v>26527780.340592857</v>
      </c>
    </row>
    <row r="57" spans="1:11" x14ac:dyDescent="0.35">
      <c r="A57" s="9" t="s">
        <v>93</v>
      </c>
      <c r="B57" s="10">
        <v>995</v>
      </c>
      <c r="C57" s="10">
        <v>4</v>
      </c>
      <c r="D57" s="10">
        <v>1</v>
      </c>
      <c r="E57" s="10">
        <v>889</v>
      </c>
      <c r="F57" s="10">
        <v>23331162.81574592</v>
      </c>
      <c r="G57" s="10">
        <v>937</v>
      </c>
      <c r="H57" s="10">
        <v>5</v>
      </c>
      <c r="I57" s="10">
        <v>2</v>
      </c>
      <c r="J57" s="10">
        <v>960</v>
      </c>
      <c r="K57" s="10">
        <v>26543308.271027669</v>
      </c>
    </row>
    <row r="58" spans="1:11" x14ac:dyDescent="0.35">
      <c r="A58" s="9" t="s">
        <v>95</v>
      </c>
      <c r="B58" s="10">
        <v>2076</v>
      </c>
      <c r="C58" s="10">
        <v>6</v>
      </c>
      <c r="D58" s="10">
        <v>8</v>
      </c>
      <c r="E58" s="10">
        <v>1445</v>
      </c>
      <c r="F58" s="10">
        <v>46692177.299890816</v>
      </c>
      <c r="G58" s="10">
        <v>2103</v>
      </c>
      <c r="H58" s="10">
        <v>11</v>
      </c>
      <c r="I58" s="10">
        <v>9</v>
      </c>
      <c r="J58" s="10">
        <v>1627</v>
      </c>
      <c r="K58" s="10">
        <v>48360579.666022353</v>
      </c>
    </row>
    <row r="59" spans="1:11" x14ac:dyDescent="0.35">
      <c r="A59" s="9" t="s">
        <v>174</v>
      </c>
      <c r="B59" s="10">
        <v>682</v>
      </c>
      <c r="C59" s="10">
        <v>3</v>
      </c>
      <c r="D59" s="10">
        <v>0</v>
      </c>
      <c r="E59" s="10">
        <v>534</v>
      </c>
      <c r="F59" s="10">
        <v>11101958.599655284</v>
      </c>
      <c r="G59" s="10">
        <v>654</v>
      </c>
      <c r="H59" s="10">
        <v>2</v>
      </c>
      <c r="I59" s="10">
        <v>0</v>
      </c>
      <c r="J59" s="10">
        <v>586</v>
      </c>
      <c r="K59" s="10">
        <v>12869337.990031293</v>
      </c>
    </row>
    <row r="60" spans="1:11" x14ac:dyDescent="0.35">
      <c r="A60" s="9" t="s">
        <v>99</v>
      </c>
      <c r="B60" s="10">
        <v>867</v>
      </c>
      <c r="C60" s="10">
        <v>4</v>
      </c>
      <c r="D60" s="10">
        <v>5</v>
      </c>
      <c r="E60" s="10">
        <v>695</v>
      </c>
      <c r="F60" s="10">
        <v>19744310.44305547</v>
      </c>
      <c r="G60" s="10">
        <v>904</v>
      </c>
      <c r="H60" s="10">
        <v>6</v>
      </c>
      <c r="I60" s="10">
        <v>6</v>
      </c>
      <c r="J60" s="10">
        <v>807</v>
      </c>
      <c r="K60" s="10">
        <v>22427850.574070819</v>
      </c>
    </row>
    <row r="61" spans="1:11" x14ac:dyDescent="0.35">
      <c r="A61" s="9" t="s">
        <v>172</v>
      </c>
      <c r="B61" s="10">
        <v>750</v>
      </c>
      <c r="C61" s="10">
        <v>3</v>
      </c>
      <c r="D61" s="10">
        <v>1</v>
      </c>
      <c r="E61" s="10">
        <v>636</v>
      </c>
      <c r="F61" s="10">
        <v>12108515.79752842</v>
      </c>
      <c r="G61" s="10">
        <v>675</v>
      </c>
      <c r="H61" s="10">
        <v>0</v>
      </c>
      <c r="I61" s="10">
        <v>0</v>
      </c>
      <c r="J61" s="10">
        <v>632</v>
      </c>
      <c r="K61" s="10">
        <v>12081050.832576821</v>
      </c>
    </row>
    <row r="62" spans="1:11" x14ac:dyDescent="0.35">
      <c r="A62" s="9" t="s">
        <v>168</v>
      </c>
      <c r="B62" s="10">
        <v>1104</v>
      </c>
      <c r="C62" s="10">
        <v>4</v>
      </c>
      <c r="D62" s="10">
        <v>0</v>
      </c>
      <c r="E62" s="10">
        <v>986</v>
      </c>
      <c r="F62" s="10">
        <v>25953478.849800728</v>
      </c>
      <c r="G62" s="10">
        <v>1109</v>
      </c>
      <c r="H62" s="10">
        <v>4</v>
      </c>
      <c r="I62" s="10">
        <v>1</v>
      </c>
      <c r="J62" s="10">
        <v>1112</v>
      </c>
      <c r="K62" s="10">
        <v>28241591.85484669</v>
      </c>
    </row>
    <row r="63" spans="1:11" x14ac:dyDescent="0.35">
      <c r="A63" s="9" t="s">
        <v>101</v>
      </c>
      <c r="B63" s="10">
        <v>1425</v>
      </c>
      <c r="C63" s="10">
        <v>3</v>
      </c>
      <c r="D63" s="10">
        <v>4</v>
      </c>
      <c r="E63" s="10">
        <v>1510</v>
      </c>
      <c r="F63" s="10">
        <v>31393322.515753064</v>
      </c>
      <c r="G63" s="10">
        <v>1597</v>
      </c>
      <c r="H63" s="10">
        <v>6</v>
      </c>
      <c r="I63" s="10">
        <v>5</v>
      </c>
      <c r="J63" s="10">
        <v>1633</v>
      </c>
      <c r="K63" s="10">
        <v>38769776.034656703</v>
      </c>
    </row>
    <row r="64" spans="1:11" x14ac:dyDescent="0.35">
      <c r="A64" s="9" t="s">
        <v>103</v>
      </c>
      <c r="B64" s="10">
        <v>771</v>
      </c>
      <c r="C64" s="10">
        <v>1</v>
      </c>
      <c r="D64" s="10">
        <v>4</v>
      </c>
      <c r="E64" s="10">
        <v>685</v>
      </c>
      <c r="F64" s="10">
        <v>17452043.978152473</v>
      </c>
      <c r="G64" s="10">
        <v>803</v>
      </c>
      <c r="H64" s="10">
        <v>4</v>
      </c>
      <c r="I64" s="10">
        <v>5</v>
      </c>
      <c r="J64" s="10">
        <v>812</v>
      </c>
      <c r="K64" s="10">
        <v>15455780.272549629</v>
      </c>
    </row>
    <row r="65" spans="1:11" x14ac:dyDescent="0.35">
      <c r="A65" s="9" t="s">
        <v>105</v>
      </c>
      <c r="B65" s="10">
        <v>651</v>
      </c>
      <c r="C65" s="10">
        <v>6</v>
      </c>
      <c r="D65" s="10">
        <v>5</v>
      </c>
      <c r="E65" s="10">
        <v>458</v>
      </c>
      <c r="F65" s="10">
        <v>19453163.939775139</v>
      </c>
      <c r="G65" s="10">
        <v>641</v>
      </c>
      <c r="H65" s="10">
        <v>3</v>
      </c>
      <c r="I65" s="10">
        <v>7</v>
      </c>
      <c r="J65" s="10">
        <v>478</v>
      </c>
      <c r="K65" s="10">
        <v>20408682.048246805</v>
      </c>
    </row>
    <row r="66" spans="1:11" x14ac:dyDescent="0.35">
      <c r="A66" s="9" t="s">
        <v>24</v>
      </c>
      <c r="B66" s="10">
        <v>1970</v>
      </c>
      <c r="C66" s="10">
        <v>4</v>
      </c>
      <c r="D66" s="10">
        <v>10</v>
      </c>
      <c r="E66" s="10">
        <v>1606</v>
      </c>
      <c r="F66" s="10">
        <v>62712300.78279233</v>
      </c>
      <c r="G66" s="10">
        <v>1971</v>
      </c>
      <c r="H66" s="10">
        <v>12</v>
      </c>
      <c r="I66" s="10">
        <v>13</v>
      </c>
      <c r="J66" s="10">
        <v>1794</v>
      </c>
      <c r="K66" s="10">
        <v>65608445.879055992</v>
      </c>
    </row>
    <row r="67" spans="1:11" x14ac:dyDescent="0.35">
      <c r="A67" s="9" t="s">
        <v>27</v>
      </c>
      <c r="B67" s="10">
        <v>1581</v>
      </c>
      <c r="C67" s="10">
        <v>8</v>
      </c>
      <c r="D67" s="10">
        <v>6</v>
      </c>
      <c r="E67" s="10">
        <v>1219</v>
      </c>
      <c r="F67" s="10">
        <v>45460845.578881703</v>
      </c>
      <c r="G67" s="10">
        <v>1606</v>
      </c>
      <c r="H67" s="10">
        <v>12</v>
      </c>
      <c r="I67" s="10">
        <v>6</v>
      </c>
      <c r="J67" s="10">
        <v>1265</v>
      </c>
      <c r="K67" s="10">
        <v>46716196.328422241</v>
      </c>
    </row>
    <row r="68" spans="1:11" x14ac:dyDescent="0.35">
      <c r="A68" s="9" t="s">
        <v>29</v>
      </c>
      <c r="B68" s="10">
        <v>883</v>
      </c>
      <c r="C68" s="10">
        <v>3</v>
      </c>
      <c r="D68" s="10">
        <v>1</v>
      </c>
      <c r="E68" s="10">
        <v>730</v>
      </c>
      <c r="F68" s="10">
        <v>30167393.236838799</v>
      </c>
      <c r="G68" s="10">
        <v>894</v>
      </c>
      <c r="H68" s="10">
        <v>1</v>
      </c>
      <c r="I68" s="10">
        <v>1</v>
      </c>
      <c r="J68" s="10">
        <v>711</v>
      </c>
      <c r="K68" s="10">
        <v>31840007.43950006</v>
      </c>
    </row>
    <row r="69" spans="1:11" x14ac:dyDescent="0.35">
      <c r="A69" s="9" t="s">
        <v>57</v>
      </c>
      <c r="B69" s="10">
        <v>2335</v>
      </c>
      <c r="C69" s="10">
        <v>366</v>
      </c>
      <c r="D69" s="10">
        <v>12</v>
      </c>
      <c r="E69" s="10">
        <v>1437</v>
      </c>
      <c r="F69" s="10">
        <v>45486578.400095366</v>
      </c>
      <c r="G69" s="10">
        <v>2338</v>
      </c>
      <c r="H69" s="10">
        <v>372</v>
      </c>
      <c r="I69" s="10">
        <v>13</v>
      </c>
      <c r="J69" s="10">
        <v>1292</v>
      </c>
      <c r="K69" s="10">
        <v>41636311.204481982</v>
      </c>
    </row>
    <row r="70" spans="1:11" x14ac:dyDescent="0.35">
      <c r="A70" s="9" t="s">
        <v>137</v>
      </c>
      <c r="B70" s="10">
        <v>247</v>
      </c>
      <c r="C70" s="10">
        <v>0</v>
      </c>
      <c r="D70" s="10">
        <v>1</v>
      </c>
      <c r="E70" s="10">
        <v>415</v>
      </c>
      <c r="F70" s="10">
        <v>1088870.296364038</v>
      </c>
      <c r="G70" s="10">
        <v>243</v>
      </c>
      <c r="H70" s="10">
        <v>2</v>
      </c>
      <c r="I70" s="10">
        <v>0</v>
      </c>
      <c r="J70" s="10">
        <v>265</v>
      </c>
      <c r="K70" s="10">
        <v>3332193.916553128</v>
      </c>
    </row>
    <row r="71" spans="1:11" x14ac:dyDescent="0.35">
      <c r="A71" s="9" t="s">
        <v>10</v>
      </c>
      <c r="B71" s="10">
        <v>1674</v>
      </c>
      <c r="C71" s="10">
        <v>6</v>
      </c>
      <c r="D71" s="10">
        <v>6</v>
      </c>
      <c r="E71" s="10">
        <v>1542</v>
      </c>
      <c r="F71" s="10">
        <v>32343585.173141804</v>
      </c>
      <c r="G71" s="10">
        <v>1625</v>
      </c>
      <c r="H71" s="10">
        <v>14</v>
      </c>
      <c r="I71" s="10">
        <v>8</v>
      </c>
      <c r="J71" s="10">
        <v>1458</v>
      </c>
      <c r="K71" s="10">
        <v>31714020.902646456</v>
      </c>
    </row>
    <row r="72" spans="1:11" x14ac:dyDescent="0.35">
      <c r="A72" s="9" t="s">
        <v>12</v>
      </c>
      <c r="B72" s="10">
        <v>732</v>
      </c>
      <c r="C72" s="10">
        <v>1</v>
      </c>
      <c r="D72" s="10">
        <v>3</v>
      </c>
      <c r="E72" s="10">
        <v>614</v>
      </c>
      <c r="F72" s="10">
        <v>15328774.192921566</v>
      </c>
      <c r="G72" s="10">
        <v>787</v>
      </c>
      <c r="H72" s="10">
        <v>2</v>
      </c>
      <c r="I72" s="10">
        <v>4</v>
      </c>
      <c r="J72" s="10">
        <v>602</v>
      </c>
      <c r="K72" s="10">
        <v>14576827.875886289</v>
      </c>
    </row>
    <row r="73" spans="1:11" x14ac:dyDescent="0.35">
      <c r="A73" s="9" t="s">
        <v>162</v>
      </c>
      <c r="B73" s="10">
        <v>1369</v>
      </c>
      <c r="C73" s="10">
        <v>19</v>
      </c>
      <c r="D73" s="10">
        <v>4</v>
      </c>
      <c r="E73" s="10">
        <v>859</v>
      </c>
      <c r="F73" s="10">
        <v>21872709.188291144</v>
      </c>
      <c r="G73" s="10">
        <v>1477</v>
      </c>
      <c r="H73" s="10">
        <v>1</v>
      </c>
      <c r="I73" s="10">
        <v>5</v>
      </c>
      <c r="J73" s="10">
        <v>889</v>
      </c>
      <c r="K73" s="10">
        <v>23086254.829625059</v>
      </c>
    </row>
    <row r="74" spans="1:11" x14ac:dyDescent="0.35">
      <c r="A74" s="9" t="s">
        <v>63</v>
      </c>
      <c r="B74" s="10">
        <v>1287</v>
      </c>
      <c r="C74" s="10">
        <v>2</v>
      </c>
      <c r="D74" s="10">
        <v>5</v>
      </c>
      <c r="E74" s="10">
        <v>597</v>
      </c>
      <c r="F74" s="10">
        <v>14513828.217951603</v>
      </c>
      <c r="G74" s="10">
        <v>1314</v>
      </c>
      <c r="H74" s="10">
        <v>2</v>
      </c>
      <c r="I74" s="10">
        <v>4</v>
      </c>
      <c r="J74" s="10">
        <v>1361</v>
      </c>
      <c r="K74" s="10">
        <v>18591108.258868024</v>
      </c>
    </row>
    <row r="75" spans="1:11" x14ac:dyDescent="0.35">
      <c r="A75" s="9" t="s">
        <v>59</v>
      </c>
      <c r="B75" s="10">
        <v>1737</v>
      </c>
      <c r="C75" s="10">
        <v>8</v>
      </c>
      <c r="D75" s="10">
        <v>4</v>
      </c>
      <c r="E75" s="10">
        <v>1229</v>
      </c>
      <c r="F75" s="10">
        <v>39840425.618532181</v>
      </c>
      <c r="G75" s="10">
        <v>1777</v>
      </c>
      <c r="H75" s="10">
        <v>8</v>
      </c>
      <c r="I75" s="10">
        <v>7</v>
      </c>
      <c r="J75" s="10">
        <v>1266</v>
      </c>
      <c r="K75" s="10">
        <v>41382219.443157539</v>
      </c>
    </row>
    <row r="76" spans="1:11" x14ac:dyDescent="0.35">
      <c r="A76" s="9" t="s">
        <v>139</v>
      </c>
      <c r="B76" s="10">
        <v>517</v>
      </c>
      <c r="C76" s="10">
        <v>2</v>
      </c>
      <c r="D76" s="10">
        <v>1</v>
      </c>
      <c r="E76" s="10">
        <v>433</v>
      </c>
      <c r="F76" s="10">
        <v>8058967.8740208512</v>
      </c>
      <c r="G76" s="10">
        <v>488</v>
      </c>
      <c r="H76" s="10">
        <v>2</v>
      </c>
      <c r="I76" s="10">
        <v>1</v>
      </c>
      <c r="J76" s="10">
        <v>473</v>
      </c>
      <c r="K76" s="10">
        <v>7736582.7318614321</v>
      </c>
    </row>
    <row r="77" spans="1:11" x14ac:dyDescent="0.35">
      <c r="A77" s="9" t="s">
        <v>170</v>
      </c>
      <c r="B77" s="10">
        <v>890</v>
      </c>
      <c r="C77" s="10">
        <v>3</v>
      </c>
      <c r="D77" s="10">
        <v>1</v>
      </c>
      <c r="E77" s="10">
        <v>999</v>
      </c>
      <c r="F77" s="10">
        <v>12600460.760555159</v>
      </c>
      <c r="G77" s="10">
        <v>895</v>
      </c>
      <c r="H77" s="10">
        <v>1</v>
      </c>
      <c r="I77" s="10">
        <v>0</v>
      </c>
      <c r="J77" s="10">
        <v>812</v>
      </c>
      <c r="K77" s="10">
        <v>15138195.546056001</v>
      </c>
    </row>
    <row r="78" spans="1:11" x14ac:dyDescent="0.35">
      <c r="A78" s="9" t="s">
        <v>61</v>
      </c>
      <c r="B78" s="10">
        <v>654</v>
      </c>
      <c r="C78" s="10">
        <v>0</v>
      </c>
      <c r="D78" s="10">
        <v>3</v>
      </c>
      <c r="E78" s="10">
        <v>493</v>
      </c>
      <c r="F78" s="10">
        <v>12247960.588351307</v>
      </c>
      <c r="G78" s="10">
        <v>628</v>
      </c>
      <c r="H78" s="10">
        <v>2</v>
      </c>
      <c r="I78" s="10">
        <v>3</v>
      </c>
      <c r="J78" s="10">
        <v>513</v>
      </c>
      <c r="K78" s="10">
        <v>13531617.314519268</v>
      </c>
    </row>
    <row r="79" spans="1:11" x14ac:dyDescent="0.35">
      <c r="A79" s="9" t="s">
        <v>129</v>
      </c>
      <c r="B79" s="10">
        <v>599</v>
      </c>
      <c r="C79" s="10">
        <v>5</v>
      </c>
      <c r="D79" s="10">
        <v>1</v>
      </c>
      <c r="E79" s="10">
        <v>732</v>
      </c>
      <c r="F79" s="10">
        <v>10279087.37903594</v>
      </c>
      <c r="G79" s="10">
        <v>606</v>
      </c>
      <c r="H79" s="10">
        <v>2</v>
      </c>
      <c r="I79" s="10">
        <v>1</v>
      </c>
      <c r="J79" s="10">
        <v>1095</v>
      </c>
      <c r="K79" s="10">
        <v>8513336.6178804133</v>
      </c>
    </row>
    <row r="80" spans="1:11" x14ac:dyDescent="0.35">
      <c r="A80" s="9" t="s">
        <v>35</v>
      </c>
      <c r="B80" s="10">
        <v>449</v>
      </c>
      <c r="C80" s="10">
        <v>0</v>
      </c>
      <c r="D80" s="10">
        <v>7</v>
      </c>
      <c r="E80" s="10">
        <v>480</v>
      </c>
      <c r="F80" s="10">
        <v>11214438.848868918</v>
      </c>
      <c r="G80" s="10">
        <v>436</v>
      </c>
      <c r="H80" s="10">
        <v>2</v>
      </c>
      <c r="I80" s="10">
        <v>7</v>
      </c>
      <c r="J80" s="10">
        <v>463</v>
      </c>
      <c r="K80" s="10">
        <v>9194851.3412616476</v>
      </c>
    </row>
    <row r="81" spans="1:11" x14ac:dyDescent="0.35">
      <c r="A81" s="9" t="s">
        <v>107</v>
      </c>
      <c r="B81" s="10">
        <v>953</v>
      </c>
      <c r="C81" s="10">
        <v>4</v>
      </c>
      <c r="D81" s="10">
        <v>3</v>
      </c>
      <c r="E81" s="10">
        <v>755</v>
      </c>
      <c r="F81" s="10">
        <v>29020876.322520785</v>
      </c>
      <c r="G81" s="10">
        <v>846</v>
      </c>
      <c r="H81" s="10">
        <v>4</v>
      </c>
      <c r="I81" s="10">
        <v>2</v>
      </c>
      <c r="J81" s="10">
        <v>539</v>
      </c>
      <c r="K81" s="10">
        <v>22449998.135948103</v>
      </c>
    </row>
    <row r="82" spans="1:11" x14ac:dyDescent="0.35">
      <c r="A82" s="9" t="s">
        <v>37</v>
      </c>
      <c r="B82" s="10">
        <v>772</v>
      </c>
      <c r="C82" s="10">
        <v>2</v>
      </c>
      <c r="D82" s="10">
        <v>10</v>
      </c>
      <c r="E82" s="10">
        <v>721</v>
      </c>
      <c r="F82" s="10">
        <v>17509810.325102132</v>
      </c>
      <c r="G82" s="10">
        <v>774</v>
      </c>
      <c r="H82" s="10">
        <v>3</v>
      </c>
      <c r="I82" s="10">
        <v>9</v>
      </c>
      <c r="J82" s="10">
        <v>705</v>
      </c>
      <c r="K82" s="10">
        <v>17291531.897691596</v>
      </c>
    </row>
    <row r="83" spans="1:11" x14ac:dyDescent="0.35">
      <c r="A83" s="9" t="s">
        <v>76</v>
      </c>
      <c r="B83" s="10">
        <v>964</v>
      </c>
      <c r="C83" s="10">
        <v>1</v>
      </c>
      <c r="D83" s="10">
        <v>2</v>
      </c>
      <c r="E83" s="10">
        <v>791</v>
      </c>
      <c r="F83" s="10">
        <v>14022555.382335631</v>
      </c>
      <c r="G83" s="10">
        <v>953</v>
      </c>
      <c r="H83" s="10">
        <v>2</v>
      </c>
      <c r="I83" s="10">
        <v>2</v>
      </c>
      <c r="J83" s="10">
        <v>924</v>
      </c>
      <c r="K83" s="10">
        <v>14540962.879546613</v>
      </c>
    </row>
    <row r="84" spans="1:11" x14ac:dyDescent="0.35">
      <c r="A84" s="9" t="s">
        <v>65</v>
      </c>
      <c r="B84" s="10">
        <v>999</v>
      </c>
      <c r="C84" s="10">
        <v>2</v>
      </c>
      <c r="D84" s="10">
        <v>5</v>
      </c>
      <c r="E84" s="10">
        <v>891</v>
      </c>
      <c r="F84" s="10">
        <v>13097969.624595124</v>
      </c>
      <c r="G84" s="10">
        <v>978</v>
      </c>
      <c r="H84" s="10">
        <v>1</v>
      </c>
      <c r="I84" s="10">
        <v>4</v>
      </c>
      <c r="J84" s="10">
        <v>905</v>
      </c>
      <c r="K84" s="10">
        <v>17335025.564646862</v>
      </c>
    </row>
    <row r="85" spans="1:11" x14ac:dyDescent="0.35">
      <c r="A85" s="9" t="s">
        <v>89</v>
      </c>
      <c r="B85" s="10">
        <v>746</v>
      </c>
      <c r="C85" s="10">
        <v>2</v>
      </c>
      <c r="D85" s="10">
        <v>6</v>
      </c>
      <c r="E85" s="10">
        <v>749</v>
      </c>
      <c r="F85" s="10">
        <v>18310243.092242092</v>
      </c>
      <c r="G85" s="10">
        <v>768</v>
      </c>
      <c r="H85" s="10">
        <v>2</v>
      </c>
      <c r="I85" s="10">
        <v>7</v>
      </c>
      <c r="J85" s="10">
        <v>769</v>
      </c>
      <c r="K85" s="10">
        <v>20062269.907639056</v>
      </c>
    </row>
    <row r="86" spans="1:11" x14ac:dyDescent="0.35">
      <c r="A86" s="9" t="s">
        <v>147</v>
      </c>
      <c r="B86" s="10">
        <v>568</v>
      </c>
      <c r="C86" s="10">
        <v>1</v>
      </c>
      <c r="D86" s="10">
        <v>1</v>
      </c>
      <c r="E86" s="10">
        <v>540</v>
      </c>
      <c r="F86" s="10">
        <v>8670745.7737258058</v>
      </c>
      <c r="G86" s="10">
        <v>545</v>
      </c>
      <c r="H86" s="10">
        <v>4</v>
      </c>
      <c r="I86" s="10">
        <v>1</v>
      </c>
      <c r="J86" s="10">
        <v>522</v>
      </c>
      <c r="K86" s="10">
        <v>8159419.8209574521</v>
      </c>
    </row>
    <row r="87" spans="1:11" x14ac:dyDescent="0.35">
      <c r="A87" s="9" t="s">
        <v>164</v>
      </c>
      <c r="B87" s="10">
        <v>1754</v>
      </c>
      <c r="C87" s="10">
        <v>0</v>
      </c>
      <c r="D87" s="10">
        <v>10</v>
      </c>
      <c r="E87" s="10">
        <v>1290</v>
      </c>
      <c r="F87" s="10">
        <v>35310344.073664188</v>
      </c>
      <c r="G87" s="10">
        <v>1778</v>
      </c>
      <c r="H87" s="10">
        <v>2</v>
      </c>
      <c r="I87" s="10">
        <v>9</v>
      </c>
      <c r="J87" s="10">
        <v>1388</v>
      </c>
      <c r="K87" s="10">
        <v>42702965.826996572</v>
      </c>
    </row>
    <row r="88" spans="1:11" x14ac:dyDescent="0.35">
      <c r="A88" s="9" t="s">
        <v>91</v>
      </c>
      <c r="B88" s="10">
        <v>561</v>
      </c>
      <c r="C88" s="10">
        <v>0</v>
      </c>
      <c r="D88" s="10">
        <v>3</v>
      </c>
      <c r="E88" s="10">
        <v>872</v>
      </c>
      <c r="F88" s="10">
        <v>7539509.8299834495</v>
      </c>
      <c r="G88" s="10">
        <v>629</v>
      </c>
      <c r="H88" s="10">
        <v>2</v>
      </c>
      <c r="I88" s="10">
        <v>3</v>
      </c>
      <c r="J88" s="10">
        <v>628</v>
      </c>
      <c r="K88" s="10">
        <v>8983939.4270911943</v>
      </c>
    </row>
    <row r="89" spans="1:11" x14ac:dyDescent="0.35">
      <c r="A89" s="9" t="s">
        <v>97</v>
      </c>
      <c r="B89" s="10">
        <v>631</v>
      </c>
      <c r="C89" s="10">
        <v>4</v>
      </c>
      <c r="D89" s="10">
        <v>7</v>
      </c>
      <c r="E89" s="10">
        <v>580</v>
      </c>
      <c r="F89" s="10">
        <v>16488973.74900602</v>
      </c>
      <c r="G89" s="10">
        <v>666</v>
      </c>
      <c r="H89" s="10">
        <v>5</v>
      </c>
      <c r="I89" s="10">
        <v>8</v>
      </c>
      <c r="J89" s="10">
        <v>816</v>
      </c>
      <c r="K89" s="10">
        <v>17466134.791588984</v>
      </c>
    </row>
    <row r="90" spans="1:11" x14ac:dyDescent="0.35">
      <c r="A90" s="9" t="s">
        <v>78</v>
      </c>
      <c r="B90" s="10">
        <v>366</v>
      </c>
      <c r="C90" s="10">
        <v>2</v>
      </c>
      <c r="D90" s="10">
        <v>0</v>
      </c>
      <c r="E90" s="10">
        <v>309</v>
      </c>
      <c r="F90" s="10">
        <v>4056251.955859642</v>
      </c>
      <c r="G90" s="10">
        <v>380</v>
      </c>
      <c r="H90" s="10">
        <v>2</v>
      </c>
      <c r="I90" s="10">
        <v>1</v>
      </c>
      <c r="J90" s="10">
        <v>68</v>
      </c>
      <c r="K90" s="10">
        <v>4177272.1257785661</v>
      </c>
    </row>
    <row r="91" spans="1:11" x14ac:dyDescent="0.35">
      <c r="A91" s="14" t="s">
        <v>203</v>
      </c>
      <c r="B91" s="13">
        <v>84861</v>
      </c>
      <c r="C91" s="13">
        <v>963</v>
      </c>
      <c r="D91" s="13">
        <v>315</v>
      </c>
      <c r="E91" s="13">
        <v>70217</v>
      </c>
      <c r="F91" s="13">
        <v>1652684078.2688403</v>
      </c>
      <c r="G91" s="13">
        <v>84687</v>
      </c>
      <c r="H91" s="13">
        <v>1272</v>
      </c>
      <c r="I91" s="13">
        <v>313</v>
      </c>
      <c r="J91" s="13">
        <v>71131</v>
      </c>
      <c r="K91" s="13">
        <v>1715218317.2305956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2026-09-13T13:53:26Z</dcterms:modified>
</cp:coreProperties>
</file>