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<sst xmlns="http://schemas.openxmlformats.org/spreadsheetml/2006/main" count="540" uniqueCount="205">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</sst>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L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6133161.9322233526</v>
      </c>
      <c r="G2" s="1">
        <f>VLOOKUP(A:A,MASTER!A:K,11,0)</f>
        <v>6426890.2879607258</v>
      </c>
      <c r="H2" s="12">
        <f>IFERROR(G2/F2-1,0)</f>
        <v>4.7891831160390197E-2</v>
      </c>
      <c r="I2" s="2">
        <f>VLOOKUP(A:A,MASTER!A:E,5,0)</f>
        <v>336</v>
      </c>
      <c r="J2" s="2">
        <f>VLOOKUP(A:A,MASTER!A:J,10,0)</f>
        <v>365</v>
      </c>
      <c r="K2" s="12">
        <f>IFERROR(J2/I2-1,0)</f>
        <v>8.6309523809523725E-2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0</v>
      </c>
      <c r="P2" s="1">
        <f>VLOOKUP(A:A,MASTER!A:H,8,0)</f>
        <v>1</v>
      </c>
      <c r="Q2" s="12">
        <f>IFERROR(P2/O2-1,0)</f>
        <v>0</v>
      </c>
      <c r="R2" s="1">
        <f>VLOOKUP(A:A,MASTER!A:B,2,0)</f>
        <v>417</v>
      </c>
      <c r="S2">
        <f>VLOOKUP(A:A,MASTER!A:G,7,0)</f>
        <v>437</v>
      </c>
      <c r="T2" s="12">
        <f>IFERROR(S2/R2-1,0)</f>
        <v>4.7961630695443569E-2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7408856.1091459207</v>
      </c>
      <c r="G3" s="1">
        <f>VLOOKUP(A:A,MASTER!A:K,11,0)</f>
        <v>6694035.2704439107</v>
      </c>
      <c r="H3" s="12">
        <f t="shared" ref="H3:H66" si="0">IFERROR(G3/F3-1,0)</f>
        <v>-9.648194379421049E-2</v>
      </c>
      <c r="I3" s="2">
        <f>VLOOKUP(A:A,MASTER!A:E,5,0)</f>
        <v>487</v>
      </c>
      <c r="J3" s="2">
        <f>VLOOKUP(A:A,MASTER!A:J,10,0)</f>
        <v>487</v>
      </c>
      <c r="K3" s="12">
        <f t="shared" ref="K3:K66" si="1">IFERROR(J3/I3-1,0)</f>
        <v>0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1</v>
      </c>
      <c r="P3" s="1">
        <f>VLOOKUP(A:A,MASTER!A:H,8,0)</f>
        <v>4</v>
      </c>
      <c r="Q3" s="12">
        <f t="shared" ref="Q3:Q66" si="3">IFERROR(P3/O3-1,0)</f>
        <v>3</v>
      </c>
      <c r="R3" s="1">
        <f>VLOOKUP(A:A,MASTER!A:B,2,0)</f>
        <v>638</v>
      </c>
      <c r="S3">
        <f>VLOOKUP(A:A,MASTER!A:G,7,0)</f>
        <v>568</v>
      </c>
      <c r="T3" s="12">
        <f t="shared" ref="T3:T66" si="4">IFERROR(S3/R3-1,0)</f>
        <v>-0.10971786833855801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7914319.7785731563</v>
      </c>
      <c r="G4" s="1">
        <f>VLOOKUP(A:A,MASTER!A:K,11,0)</f>
        <v>10142443.009948455</v>
      </c>
      <c r="H4" s="12">
        <f t="shared" si="0"/>
        <v>0.28153060448828593</v>
      </c>
      <c r="I4" s="2">
        <f>VLOOKUP(A:A,MASTER!A:E,5,0)</f>
        <v>703</v>
      </c>
      <c r="J4" s="2">
        <f>VLOOKUP(A:A,MASTER!A:J,10,0)</f>
        <v>582</v>
      </c>
      <c r="K4" s="12">
        <f t="shared" si="1"/>
        <v>-0.17211948790896159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4</v>
      </c>
      <c r="P4" s="1">
        <f>VLOOKUP(A:A,MASTER!A:H,8,0)</f>
        <v>3</v>
      </c>
      <c r="Q4" s="12">
        <f t="shared" si="3"/>
        <v>-0.25</v>
      </c>
      <c r="R4" s="1">
        <f>VLOOKUP(A:A,MASTER!A:B,2,0)</f>
        <v>734</v>
      </c>
      <c r="S4">
        <f>VLOOKUP(A:A,MASTER!A:G,7,0)</f>
        <v>783</v>
      </c>
      <c r="T4" s="12">
        <f t="shared" si="4"/>
        <v>6.675749318801083E-2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15676332.964186031</v>
      </c>
      <c r="G5" s="1">
        <f>VLOOKUP(A:A,MASTER!A:K,11,0)</f>
        <v>16412847.693510678</v>
      </c>
      <c r="H5" s="12">
        <f t="shared" si="0"/>
        <v>4.6982590316707373E-2</v>
      </c>
      <c r="I5" s="2">
        <f>VLOOKUP(A:A,MASTER!A:E,5,0)</f>
        <v>1029</v>
      </c>
      <c r="J5" s="2">
        <f>VLOOKUP(A:A,MASTER!A:J,10,0)</f>
        <v>965</v>
      </c>
      <c r="K5" s="12">
        <f t="shared" si="1"/>
        <v>-6.2196307094266268E-2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2</v>
      </c>
      <c r="P5" s="1">
        <f>VLOOKUP(A:A,MASTER!A:H,8,0)</f>
        <v>3</v>
      </c>
      <c r="Q5" s="12">
        <f t="shared" si="3"/>
        <v>0.5</v>
      </c>
      <c r="R5" s="1">
        <f>VLOOKUP(A:A,MASTER!A:B,2,0)</f>
        <v>1208</v>
      </c>
      <c r="S5">
        <f>VLOOKUP(A:A,MASTER!A:G,7,0)</f>
        <v>1233</v>
      </c>
      <c r="T5" s="12">
        <f t="shared" si="4"/>
        <v>2.0695364238410674E-2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6756366.5511118118</v>
      </c>
      <c r="G6" s="1">
        <f>VLOOKUP(A:A,MASTER!A:K,11,0)</f>
        <v>7361194.2484042142</v>
      </c>
      <c r="H6" s="12">
        <f t="shared" si="0"/>
        <v>8.9519668999141766E-2</v>
      </c>
      <c r="I6" s="2">
        <f>VLOOKUP(A:A,MASTER!A:E,5,0)</f>
        <v>356</v>
      </c>
      <c r="J6" s="2">
        <f>VLOOKUP(A:A,MASTER!A:J,10,0)</f>
        <v>352</v>
      </c>
      <c r="K6" s="12">
        <f t="shared" si="1"/>
        <v>-1.1235955056179803E-2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3</v>
      </c>
      <c r="Q6" s="12">
        <f t="shared" si="3"/>
        <v>2</v>
      </c>
      <c r="R6" s="1">
        <f>VLOOKUP(A:A,MASTER!A:B,2,0)</f>
        <v>409</v>
      </c>
      <c r="S6">
        <f>VLOOKUP(A:A,MASTER!A:G,7,0)</f>
        <v>396</v>
      </c>
      <c r="T6" s="12">
        <f t="shared" si="4"/>
        <v>-3.1784841075794601E-2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5974812.4305151608</v>
      </c>
      <c r="G7" s="1">
        <f>VLOOKUP(A:A,MASTER!A:K,11,0)</f>
        <v>4574358.0257645678</v>
      </c>
      <c r="H7" s="12">
        <f t="shared" si="0"/>
        <v>-0.23439303259095667</v>
      </c>
      <c r="I7" s="2">
        <f>VLOOKUP(A:A,MASTER!A:E,5,0)</f>
        <v>291</v>
      </c>
      <c r="J7" s="2">
        <f>VLOOKUP(A:A,MASTER!A:J,10,0)</f>
        <v>253</v>
      </c>
      <c r="K7" s="12">
        <f t="shared" si="1"/>
        <v>-0.13058419243986252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2</v>
      </c>
      <c r="P7" s="1">
        <f>VLOOKUP(A:A,MASTER!A:H,8,0)</f>
        <v>0</v>
      </c>
      <c r="Q7" s="12">
        <f t="shared" si="3"/>
        <v>-1</v>
      </c>
      <c r="R7" s="1">
        <f>VLOOKUP(A:A,MASTER!A:B,2,0)</f>
        <v>379</v>
      </c>
      <c r="S7">
        <f>VLOOKUP(A:A,MASTER!A:G,7,0)</f>
        <v>380</v>
      </c>
      <c r="T7" s="12">
        <f t="shared" si="4"/>
        <v>2.6385224274405594E-3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6850963.5922380947</v>
      </c>
      <c r="G8" s="1">
        <f>VLOOKUP(A:A,MASTER!A:K,11,0)</f>
        <v>7142647.5146417981</v>
      </c>
      <c r="H8" s="12">
        <f t="shared" si="0"/>
        <v>4.2575605384061799E-2</v>
      </c>
      <c r="I8" s="2">
        <f>VLOOKUP(A:A,MASTER!A:E,5,0)</f>
        <v>512</v>
      </c>
      <c r="J8" s="2">
        <f>VLOOKUP(A:A,MASTER!A:J,10,0)</f>
        <v>461</v>
      </c>
      <c r="K8" s="12">
        <f t="shared" si="1"/>
        <v>-9.9609375E-2</v>
      </c>
      <c r="L8" s="2">
        <f>VLOOKUP(A:A,MASTER!A:D,4,0)</f>
        <v>4</v>
      </c>
      <c r="M8" s="2">
        <f>VLOOKUP(A:A,MASTER!A:I,9,0)</f>
        <v>0</v>
      </c>
      <c r="N8" s="12">
        <f t="shared" si="2"/>
        <v>-1</v>
      </c>
      <c r="O8" s="1">
        <f>VLOOKUP(A:A,MASTER!A:C,3,0)</f>
        <v>0</v>
      </c>
      <c r="P8" s="1">
        <f>VLOOKUP(A:A,MASTER!A:H,8,0)</f>
        <v>2</v>
      </c>
      <c r="Q8" s="12">
        <f t="shared" si="3"/>
        <v>0</v>
      </c>
      <c r="R8" s="1">
        <f>VLOOKUP(A:A,MASTER!A:B,2,0)</f>
        <v>591</v>
      </c>
      <c r="S8">
        <f>VLOOKUP(A:A,MASTER!A:G,7,0)</f>
        <v>637</v>
      </c>
      <c r="T8" s="12">
        <f t="shared" si="4"/>
        <v>7.7834179357022082E-2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3088581.578316391</v>
      </c>
      <c r="G9" s="1">
        <f>VLOOKUP(A:A,MASTER!A:K,11,0)</f>
        <v>3323110.0629795291</v>
      </c>
      <c r="H9" s="12">
        <f t="shared" si="0"/>
        <v>7.5934042445134686E-2</v>
      </c>
      <c r="I9" s="2">
        <f>VLOOKUP(A:A,MASTER!A:E,5,0)</f>
        <v>146</v>
      </c>
      <c r="J9" s="2">
        <f>VLOOKUP(A:A,MASTER!A:J,10,0)</f>
        <v>127</v>
      </c>
      <c r="K9" s="12">
        <f t="shared" si="1"/>
        <v>-0.13013698630136983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168</v>
      </c>
      <c r="S9">
        <f>VLOOKUP(A:A,MASTER!A:G,7,0)</f>
        <v>182</v>
      </c>
      <c r="T9" s="12">
        <f t="shared" si="4"/>
        <v>8.3333333333333259E-2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268469.072030415</v>
      </c>
      <c r="G10" s="1">
        <f>VLOOKUP(A:A,MASTER!A:K,11,0)</f>
        <v>3241022.5148599562</v>
      </c>
      <c r="H10" s="12">
        <f t="shared" si="0"/>
        <v>11.072237931722649</v>
      </c>
      <c r="I10" s="2">
        <f>VLOOKUP(A:A,MASTER!A:E,5,0)</f>
        <v>1</v>
      </c>
      <c r="J10" s="2">
        <f>VLOOKUP(A:A,MASTER!A:J,10,0)</f>
        <v>179</v>
      </c>
      <c r="K10" s="12">
        <f t="shared" si="1"/>
        <v>178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0</v>
      </c>
      <c r="P10" s="1">
        <f>VLOOKUP(A:A,MASTER!A:H,8,0)</f>
        <v>0</v>
      </c>
      <c r="Q10" s="12">
        <f t="shared" si="3"/>
        <v>0</v>
      </c>
      <c r="R10" s="1">
        <f>VLOOKUP(A:A,MASTER!A:B,2,0)</f>
        <v>180</v>
      </c>
      <c r="S10">
        <f>VLOOKUP(A:A,MASTER!A:G,7,0)</f>
        <v>201</v>
      </c>
      <c r="T10" s="12">
        <f t="shared" si="4"/>
        <v>0.1166666666666667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6790088.2390767578</v>
      </c>
      <c r="G11" s="1">
        <f>VLOOKUP(A:A,MASTER!A:K,11,0)</f>
        <v>5541699.3345496301</v>
      </c>
      <c r="H11" s="12">
        <f t="shared" si="0"/>
        <v>-0.18385459224854939</v>
      </c>
      <c r="I11" s="2">
        <f>VLOOKUP(A:A,MASTER!A:E,5,0)</f>
        <v>509</v>
      </c>
      <c r="J11" s="2">
        <f>VLOOKUP(A:A,MASTER!A:J,10,0)</f>
        <v>354</v>
      </c>
      <c r="K11" s="12">
        <f t="shared" si="1"/>
        <v>-0.30451866404715122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1</v>
      </c>
      <c r="P11" s="1">
        <f>VLOOKUP(A:A,MASTER!A:H,8,0)</f>
        <v>3</v>
      </c>
      <c r="Q11" s="12">
        <f t="shared" si="3"/>
        <v>2</v>
      </c>
      <c r="R11" s="1">
        <f>VLOOKUP(A:A,MASTER!A:B,2,0)</f>
        <v>383</v>
      </c>
      <c r="S11">
        <f>VLOOKUP(A:A,MASTER!A:G,7,0)</f>
        <v>363</v>
      </c>
      <c r="T11" s="12">
        <f t="shared" si="4"/>
        <v>-5.2219321148825104E-2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2950606.2866052231</v>
      </c>
      <c r="G12" s="1">
        <f>VLOOKUP(A:A,MASTER!A:K,11,0)</f>
        <v>2806071.7254887219</v>
      </c>
      <c r="H12" s="12">
        <f t="shared" si="0"/>
        <v>-4.8984699101550899E-2</v>
      </c>
      <c r="I12" s="2">
        <f>VLOOKUP(A:A,MASTER!A:E,5,0)</f>
        <v>273</v>
      </c>
      <c r="J12" s="2">
        <f>VLOOKUP(A:A,MASTER!A:J,10,0)</f>
        <v>209</v>
      </c>
      <c r="K12" s="12">
        <f t="shared" si="1"/>
        <v>-0.23443223443223449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201</v>
      </c>
      <c r="S12">
        <f>VLOOKUP(A:A,MASTER!A:G,7,0)</f>
        <v>235</v>
      </c>
      <c r="T12" s="12">
        <f t="shared" si="4"/>
        <v>0.16915422885572129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3308609.7061486649</v>
      </c>
      <c r="G13" s="1">
        <f>VLOOKUP(A:A,MASTER!A:K,11,0)</f>
        <v>3322773.159289625</v>
      </c>
      <c r="H13" s="12">
        <f t="shared" si="0"/>
        <v>4.2807869162200252E-3</v>
      </c>
      <c r="I13" s="2">
        <f>VLOOKUP(A:A,MASTER!A:E,5,0)</f>
        <v>219</v>
      </c>
      <c r="J13" s="2">
        <f>VLOOKUP(A:A,MASTER!A:J,10,0)</f>
        <v>210</v>
      </c>
      <c r="K13" s="12">
        <f t="shared" si="1"/>
        <v>-4.1095890410958957E-2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0</v>
      </c>
      <c r="P13" s="1">
        <f>VLOOKUP(A:A,MASTER!A:H,8,0)</f>
        <v>0</v>
      </c>
      <c r="Q13" s="12">
        <f t="shared" si="3"/>
        <v>0</v>
      </c>
      <c r="R13" s="1">
        <f>VLOOKUP(A:A,MASTER!A:B,2,0)</f>
        <v>246</v>
      </c>
      <c r="S13">
        <f>VLOOKUP(A:A,MASTER!A:G,7,0)</f>
        <v>246</v>
      </c>
      <c r="T13" s="12">
        <f t="shared" si="4"/>
        <v>0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9953290.1160668265</v>
      </c>
      <c r="G14" s="1">
        <f>VLOOKUP(A:A,MASTER!A:K,11,0)</f>
        <v>18811440.518050212</v>
      </c>
      <c r="H14" s="12">
        <f t="shared" si="0"/>
        <v>0.88997208949876372</v>
      </c>
      <c r="I14" s="2">
        <f>VLOOKUP(A:A,MASTER!A:E,5,0)</f>
        <v>867</v>
      </c>
      <c r="J14" s="2">
        <f>VLOOKUP(A:A,MASTER!A:J,10,0)</f>
        <v>1283</v>
      </c>
      <c r="K14" s="12">
        <f t="shared" si="1"/>
        <v>0.4798154555940024</v>
      </c>
      <c r="L14" s="2">
        <f>VLOOKUP(A:A,MASTER!A:D,4,0)</f>
        <v>3</v>
      </c>
      <c r="M14" s="2">
        <f>VLOOKUP(A:A,MASTER!A:I,9,0)</f>
        <v>5</v>
      </c>
      <c r="N14" s="12">
        <f t="shared" si="2"/>
        <v>0.66666666666666674</v>
      </c>
      <c r="O14" s="1">
        <f>VLOOKUP(A:A,MASTER!A:C,3,0)</f>
        <v>2</v>
      </c>
      <c r="P14" s="1">
        <f>VLOOKUP(A:A,MASTER!A:H,8,0)</f>
        <v>2</v>
      </c>
      <c r="Q14" s="12">
        <f t="shared" si="3"/>
        <v>0</v>
      </c>
      <c r="R14" s="1">
        <f>VLOOKUP(A:A,MASTER!A:B,2,0)</f>
        <v>1426</v>
      </c>
      <c r="S14">
        <f>VLOOKUP(A:A,MASTER!A:G,7,0)</f>
        <v>1404</v>
      </c>
      <c r="T14" s="12">
        <f t="shared" si="4"/>
        <v>-1.5427769985974726E-2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21779025.984482516</v>
      </c>
      <c r="G15" s="1">
        <f>VLOOKUP(A:A,MASTER!A:K,11,0)</f>
        <v>27426455.115565561</v>
      </c>
      <c r="H15" s="12">
        <f t="shared" si="0"/>
        <v>0.25930586313211701</v>
      </c>
      <c r="I15" s="2">
        <f>VLOOKUP(A:A,MASTER!A:E,5,0)</f>
        <v>896</v>
      </c>
      <c r="J15" s="2">
        <f>VLOOKUP(A:A,MASTER!A:J,10,0)</f>
        <v>946</v>
      </c>
      <c r="K15" s="12">
        <f t="shared" si="1"/>
        <v>5.5803571428571397E-2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1</v>
      </c>
      <c r="P15" s="1">
        <f>VLOOKUP(A:A,MASTER!A:H,8,0)</f>
        <v>0</v>
      </c>
      <c r="Q15" s="12">
        <f t="shared" si="3"/>
        <v>-1</v>
      </c>
      <c r="R15" s="1">
        <f>VLOOKUP(A:A,MASTER!A:B,2,0)</f>
        <v>1234</v>
      </c>
      <c r="S15">
        <f>VLOOKUP(A:A,MASTER!A:G,7,0)</f>
        <v>1251</v>
      </c>
      <c r="T15" s="12">
        <f t="shared" si="4"/>
        <v>1.3776337115072979E-2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12905524.417407267</v>
      </c>
      <c r="G16" s="1">
        <f>VLOOKUP(A:A,MASTER!A:K,11,0)</f>
        <v>13166622.355437858</v>
      </c>
      <c r="H16" s="12">
        <f t="shared" si="0"/>
        <v>2.0231486112909591E-2</v>
      </c>
      <c r="I16" s="2">
        <f>VLOOKUP(A:A,MASTER!A:E,5,0)</f>
        <v>943</v>
      </c>
      <c r="J16" s="2">
        <f>VLOOKUP(A:A,MASTER!A:J,10,0)</f>
        <v>907</v>
      </c>
      <c r="K16" s="12">
        <f t="shared" si="1"/>
        <v>-3.8176033934252396E-2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2</v>
      </c>
      <c r="P16" s="1">
        <f>VLOOKUP(A:A,MASTER!A:H,8,0)</f>
        <v>4</v>
      </c>
      <c r="Q16" s="12">
        <f t="shared" si="3"/>
        <v>1</v>
      </c>
      <c r="R16" s="1">
        <f>VLOOKUP(A:A,MASTER!A:B,2,0)</f>
        <v>1026</v>
      </c>
      <c r="S16">
        <f>VLOOKUP(A:A,MASTER!A:G,7,0)</f>
        <v>1007</v>
      </c>
      <c r="T16" s="12">
        <f t="shared" si="4"/>
        <v>-1.851851851851849E-2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8546617.3825953603</v>
      </c>
      <c r="G17" s="1">
        <f>VLOOKUP(A:A,MASTER!A:K,11,0)</f>
        <v>12639179.227718508</v>
      </c>
      <c r="H17" s="12">
        <f t="shared" si="0"/>
        <v>0.47885165111724648</v>
      </c>
      <c r="I17" s="2">
        <f>VLOOKUP(A:A,MASTER!A:E,5,0)</f>
        <v>726</v>
      </c>
      <c r="J17" s="2">
        <f>VLOOKUP(A:A,MASTER!A:J,10,0)</f>
        <v>703</v>
      </c>
      <c r="K17" s="12">
        <f t="shared" si="1"/>
        <v>-3.1680440771349905E-2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3</v>
      </c>
      <c r="P17" s="1">
        <f>VLOOKUP(A:A,MASTER!A:H,8,0)</f>
        <v>0</v>
      </c>
      <c r="Q17" s="12">
        <f t="shared" si="3"/>
        <v>-1</v>
      </c>
      <c r="R17" s="1">
        <f>VLOOKUP(A:A,MASTER!A:B,2,0)</f>
        <v>917</v>
      </c>
      <c r="S17">
        <f>VLOOKUP(A:A,MASTER!A:G,7,0)</f>
        <v>913</v>
      </c>
      <c r="T17" s="12">
        <f t="shared" si="4"/>
        <v>-4.362050163576936E-3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48912893.789661609</v>
      </c>
      <c r="G18" s="1">
        <f>VLOOKUP(A:A,MASTER!A:K,11,0)</f>
        <v>44334164.274636917</v>
      </c>
      <c r="H18" s="12">
        <f t="shared" si="0"/>
        <v>-9.3609867670361946E-2</v>
      </c>
      <c r="I18" s="2">
        <f>VLOOKUP(A:A,MASTER!A:E,5,0)</f>
        <v>2900</v>
      </c>
      <c r="J18" s="2">
        <f>VLOOKUP(A:A,MASTER!A:J,10,0)</f>
        <v>2455</v>
      </c>
      <c r="K18" s="12">
        <f t="shared" si="1"/>
        <v>-0.15344827586206899</v>
      </c>
      <c r="L18" s="2">
        <f>VLOOKUP(A:A,MASTER!A:D,4,0)</f>
        <v>10</v>
      </c>
      <c r="M18" s="2">
        <f>VLOOKUP(A:A,MASTER!A:I,9,0)</f>
        <v>12</v>
      </c>
      <c r="N18" s="12">
        <f t="shared" si="2"/>
        <v>0.19999999999999996</v>
      </c>
      <c r="O18" s="1">
        <f>VLOOKUP(A:A,MASTER!A:C,3,0)</f>
        <v>168</v>
      </c>
      <c r="P18" s="1">
        <f>VLOOKUP(A:A,MASTER!A:H,8,0)</f>
        <v>67</v>
      </c>
      <c r="Q18" s="12">
        <f t="shared" si="3"/>
        <v>-0.60119047619047616</v>
      </c>
      <c r="R18" s="1">
        <f>VLOOKUP(A:A,MASTER!A:B,2,0)</f>
        <v>2942</v>
      </c>
      <c r="S18">
        <f>VLOOKUP(A:A,MASTER!A:G,7,0)</f>
        <v>2775</v>
      </c>
      <c r="T18" s="12">
        <f t="shared" si="4"/>
        <v>-5.6764106050305907E-2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8067116.1734909713</v>
      </c>
      <c r="G19" s="1">
        <f>VLOOKUP(A:A,MASTER!A:K,11,0)</f>
        <v>23636147.164518557</v>
      </c>
      <c r="H19" s="12">
        <f t="shared" si="0"/>
        <v>1.9299376203591017</v>
      </c>
      <c r="I19" s="2">
        <f>VLOOKUP(A:A,MASTER!A:E,5,0)</f>
        <v>9</v>
      </c>
      <c r="J19" s="2">
        <f>VLOOKUP(A:A,MASTER!A:J,10,0)</f>
        <v>1243</v>
      </c>
      <c r="K19" s="12">
        <f t="shared" si="1"/>
        <v>137.11111111111111</v>
      </c>
      <c r="L19" s="2">
        <f>VLOOKUP(A:A,MASTER!A:D,4,0)</f>
        <v>1</v>
      </c>
      <c r="M19" s="2">
        <f>VLOOKUP(A:A,MASTER!A:I,9,0)</f>
        <v>2</v>
      </c>
      <c r="N19" s="12">
        <f t="shared" si="2"/>
        <v>1</v>
      </c>
      <c r="O19" s="1">
        <f>VLOOKUP(A:A,MASTER!A:C,3,0)</f>
        <v>2</v>
      </c>
      <c r="P19" s="1">
        <f>VLOOKUP(A:A,MASTER!A:H,8,0)</f>
        <v>4</v>
      </c>
      <c r="Q19" s="12">
        <f t="shared" si="3"/>
        <v>1</v>
      </c>
      <c r="R19" s="1">
        <f>VLOOKUP(A:A,MASTER!A:B,2,0)</f>
        <v>1367</v>
      </c>
      <c r="S19">
        <f>VLOOKUP(A:A,MASTER!A:G,7,0)</f>
        <v>1358</v>
      </c>
      <c r="T19" s="12">
        <f t="shared" si="4"/>
        <v>-6.5837600585223477E-3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47589497.746377259</v>
      </c>
      <c r="G20" s="1">
        <f>VLOOKUP(A:A,MASTER!A:K,11,0)</f>
        <v>38442880.37404453</v>
      </c>
      <c r="H20" s="12">
        <f t="shared" si="0"/>
        <v>-0.19219823291850169</v>
      </c>
      <c r="I20" s="2">
        <f>VLOOKUP(A:A,MASTER!A:E,5,0)</f>
        <v>2214</v>
      </c>
      <c r="J20" s="2">
        <f>VLOOKUP(A:A,MASTER!A:J,10,0)</f>
        <v>1710</v>
      </c>
      <c r="K20" s="12">
        <f t="shared" si="1"/>
        <v>-0.22764227642276424</v>
      </c>
      <c r="L20" s="2">
        <f>VLOOKUP(A:A,MASTER!A:D,4,0)</f>
        <v>10</v>
      </c>
      <c r="M20" s="2">
        <f>VLOOKUP(A:A,MASTER!A:I,9,0)</f>
        <v>10</v>
      </c>
      <c r="N20" s="12">
        <f t="shared" si="2"/>
        <v>0</v>
      </c>
      <c r="O20" s="1">
        <f>VLOOKUP(A:A,MASTER!A:C,3,0)</f>
        <v>10</v>
      </c>
      <c r="P20" s="1">
        <f>VLOOKUP(A:A,MASTER!A:H,8,0)</f>
        <v>3</v>
      </c>
      <c r="Q20" s="12">
        <f t="shared" si="3"/>
        <v>-0.7</v>
      </c>
      <c r="R20" s="1">
        <f>VLOOKUP(A:A,MASTER!A:B,2,0)</f>
        <v>2962</v>
      </c>
      <c r="S20">
        <f>VLOOKUP(A:A,MASTER!A:G,7,0)</f>
        <v>2783</v>
      </c>
      <c r="T20" s="12">
        <f t="shared" si="4"/>
        <v>-6.0432140445644822E-2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7103110.1359766154</v>
      </c>
      <c r="G21" s="1">
        <f>VLOOKUP(A:A,MASTER!A:K,11,0)</f>
        <v>6614407.9173041824</v>
      </c>
      <c r="H21" s="12">
        <f t="shared" si="0"/>
        <v>-6.8801160240666959E-2</v>
      </c>
      <c r="I21" s="2">
        <f>VLOOKUP(A:A,MASTER!A:E,5,0)</f>
        <v>515</v>
      </c>
      <c r="J21" s="2">
        <f>VLOOKUP(A:A,MASTER!A:J,10,0)</f>
        <v>505</v>
      </c>
      <c r="K21" s="12">
        <f t="shared" si="1"/>
        <v>-1.9417475728155331E-2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4</v>
      </c>
      <c r="P21" s="1">
        <f>VLOOKUP(A:A,MASTER!A:H,8,0)</f>
        <v>2</v>
      </c>
      <c r="Q21" s="12">
        <f t="shared" si="3"/>
        <v>-0.5</v>
      </c>
      <c r="R21" s="1">
        <f>VLOOKUP(A:A,MASTER!A:B,2,0)</f>
        <v>533</v>
      </c>
      <c r="S21">
        <f>VLOOKUP(A:A,MASTER!A:G,7,0)</f>
        <v>531</v>
      </c>
      <c r="T21" s="12">
        <f t="shared" si="4"/>
        <v>-3.7523452157598447E-3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19250463.316177037</v>
      </c>
      <c r="G22" s="1">
        <f>VLOOKUP(A:A,MASTER!A:K,11,0)</f>
        <v>17836490.49011419</v>
      </c>
      <c r="H22" s="12">
        <f t="shared" si="0"/>
        <v>-7.3451365966585414E-2</v>
      </c>
      <c r="I22" s="2">
        <f>VLOOKUP(A:A,MASTER!A:E,5,0)</f>
        <v>1334</v>
      </c>
      <c r="J22" s="2">
        <f>VLOOKUP(A:A,MASTER!A:J,10,0)</f>
        <v>1505</v>
      </c>
      <c r="K22" s="12">
        <f t="shared" si="1"/>
        <v>0.12818590704647681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8</v>
      </c>
      <c r="P22" s="1">
        <f>VLOOKUP(A:A,MASTER!A:H,8,0)</f>
        <v>11</v>
      </c>
      <c r="Q22" s="12">
        <f t="shared" si="3"/>
        <v>0.375</v>
      </c>
      <c r="R22" s="1">
        <f>VLOOKUP(A:A,MASTER!A:B,2,0)</f>
        <v>1732</v>
      </c>
      <c r="S22">
        <f>VLOOKUP(A:A,MASTER!A:G,7,0)</f>
        <v>1728</v>
      </c>
      <c r="T22" s="12">
        <f t="shared" si="4"/>
        <v>-2.3094688221708681E-3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7823262.2443494322</v>
      </c>
      <c r="G23" s="1">
        <f>VLOOKUP(A:A,MASTER!A:K,11,0)</f>
        <v>7264698.4773071362</v>
      </c>
      <c r="H23" s="12">
        <f t="shared" si="0"/>
        <v>-7.1397806898999772E-2</v>
      </c>
      <c r="I23" s="2">
        <f>VLOOKUP(A:A,MASTER!A:E,5,0)</f>
        <v>766</v>
      </c>
      <c r="J23" s="2">
        <f>VLOOKUP(A:A,MASTER!A:J,10,0)</f>
        <v>789</v>
      </c>
      <c r="K23" s="12">
        <f t="shared" si="1"/>
        <v>3.0026109660574507E-2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7</v>
      </c>
      <c r="P23" s="1">
        <f>VLOOKUP(A:A,MASTER!A:H,8,0)</f>
        <v>3</v>
      </c>
      <c r="Q23" s="12">
        <f t="shared" si="3"/>
        <v>-0.5714285714285714</v>
      </c>
      <c r="R23" s="1">
        <f>VLOOKUP(A:A,MASTER!A:B,2,0)</f>
        <v>886</v>
      </c>
      <c r="S23">
        <f>VLOOKUP(A:A,MASTER!A:G,7,0)</f>
        <v>838</v>
      </c>
      <c r="T23" s="12">
        <f t="shared" si="4"/>
        <v>-5.4176072234762951E-2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9933707.18830988</v>
      </c>
      <c r="G24" s="1">
        <f>VLOOKUP(A:A,MASTER!A:K,11,0)</f>
        <v>9164224.2770352941</v>
      </c>
      <c r="H24" s="12">
        <f t="shared" si="0"/>
        <v>-7.7461807227429014E-2</v>
      </c>
      <c r="I24" s="2">
        <f>VLOOKUP(A:A,MASTER!A:E,5,0)</f>
        <v>757</v>
      </c>
      <c r="J24" s="2">
        <f>VLOOKUP(A:A,MASTER!A:J,10,0)</f>
        <v>669</v>
      </c>
      <c r="K24" s="12">
        <f t="shared" si="1"/>
        <v>-0.11624834874504619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4</v>
      </c>
      <c r="P24" s="1">
        <f>VLOOKUP(A:A,MASTER!A:H,8,0)</f>
        <v>1</v>
      </c>
      <c r="Q24" s="12">
        <f t="shared" si="3"/>
        <v>-0.75</v>
      </c>
      <c r="R24" s="1">
        <f>VLOOKUP(A:A,MASTER!A:B,2,0)</f>
        <v>880</v>
      </c>
      <c r="S24">
        <f>VLOOKUP(A:A,MASTER!A:G,7,0)</f>
        <v>867</v>
      </c>
      <c r="T24" s="12">
        <f t="shared" si="4"/>
        <v>-1.4772727272727271E-2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2051568.491111354</v>
      </c>
      <c r="G25" s="1">
        <f>VLOOKUP(A:A,MASTER!A:K,11,0)</f>
        <v>2229968.7390251779</v>
      </c>
      <c r="H25" s="12">
        <f t="shared" si="0"/>
        <v>8.6957978096642963E-2</v>
      </c>
      <c r="I25" s="2">
        <f>VLOOKUP(A:A,MASTER!A:E,5,0)</f>
        <v>146</v>
      </c>
      <c r="J25" s="2">
        <f>VLOOKUP(A:A,MASTER!A:J,10,0)</f>
        <v>161</v>
      </c>
      <c r="K25" s="12">
        <f t="shared" si="1"/>
        <v>0.10273972602739723</v>
      </c>
      <c r="L25" s="2">
        <f>VLOOKUP(A:A,MASTER!A:D,4,0)</f>
        <v>2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0</v>
      </c>
      <c r="Q25" s="12">
        <f t="shared" si="3"/>
        <v>-1</v>
      </c>
      <c r="R25" s="1">
        <f>VLOOKUP(A:A,MASTER!A:B,2,0)</f>
        <v>235</v>
      </c>
      <c r="S25">
        <f>VLOOKUP(A:A,MASTER!A:G,7,0)</f>
        <v>218</v>
      </c>
      <c r="T25" s="12">
        <f t="shared" si="4"/>
        <v>-7.2340425531914887E-2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18618927.923217751</v>
      </c>
      <c r="G26" s="1">
        <f>VLOOKUP(A:A,MASTER!A:K,11,0)</f>
        <v>19277893.993381854</v>
      </c>
      <c r="H26" s="12">
        <f t="shared" si="0"/>
        <v>3.5392267099459307E-2</v>
      </c>
      <c r="I26" s="2">
        <f>VLOOKUP(A:A,MASTER!A:E,5,0)</f>
        <v>1398</v>
      </c>
      <c r="J26" s="2">
        <f>VLOOKUP(A:A,MASTER!A:J,10,0)</f>
        <v>1486</v>
      </c>
      <c r="K26" s="12">
        <f t="shared" si="1"/>
        <v>6.2947067238912746E-2</v>
      </c>
      <c r="L26" s="2">
        <f>VLOOKUP(A:A,MASTER!A:D,4,0)</f>
        <v>6</v>
      </c>
      <c r="M26" s="2">
        <f>VLOOKUP(A:A,MASTER!A:I,9,0)</f>
        <v>6</v>
      </c>
      <c r="N26" s="12">
        <f t="shared" si="2"/>
        <v>0</v>
      </c>
      <c r="O26" s="1">
        <f>VLOOKUP(A:A,MASTER!A:C,3,0)</f>
        <v>9</v>
      </c>
      <c r="P26" s="1">
        <f>VLOOKUP(A:A,MASTER!A:H,8,0)</f>
        <v>2</v>
      </c>
      <c r="Q26" s="12">
        <f t="shared" si="3"/>
        <v>-0.77777777777777779</v>
      </c>
      <c r="R26" s="1">
        <f>VLOOKUP(A:A,MASTER!A:B,2,0)</f>
        <v>1661</v>
      </c>
      <c r="S26">
        <f>VLOOKUP(A:A,MASTER!A:G,7,0)</f>
        <v>1646</v>
      </c>
      <c r="T26" s="12">
        <f t="shared" si="4"/>
        <v>-9.0307043949428012E-3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14506889.258832024</v>
      </c>
      <c r="G27" s="1">
        <f>VLOOKUP(A:A,MASTER!A:K,11,0)</f>
        <v>16063145.378722521</v>
      </c>
      <c r="H27" s="12">
        <f t="shared" si="0"/>
        <v>0.10727703866237359</v>
      </c>
      <c r="I27" s="2">
        <f>VLOOKUP(A:A,MASTER!A:E,5,0)</f>
        <v>617</v>
      </c>
      <c r="J27" s="2">
        <f>VLOOKUP(A:A,MASTER!A:J,10,0)</f>
        <v>690</v>
      </c>
      <c r="K27" s="12">
        <f t="shared" si="1"/>
        <v>0.11831442463533226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1</v>
      </c>
      <c r="P27" s="1">
        <f>VLOOKUP(A:A,MASTER!A:H,8,0)</f>
        <v>2</v>
      </c>
      <c r="Q27" s="12">
        <f t="shared" si="3"/>
        <v>1</v>
      </c>
      <c r="R27" s="1">
        <f>VLOOKUP(A:A,MASTER!A:B,2,0)</f>
        <v>863</v>
      </c>
      <c r="S27">
        <f>VLOOKUP(A:A,MASTER!A:G,7,0)</f>
        <v>891</v>
      </c>
      <c r="T27" s="12">
        <f t="shared" si="4"/>
        <v>3.2444959443800769E-2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14387241.825953936</v>
      </c>
      <c r="G28" s="1">
        <f>VLOOKUP(A:A,MASTER!A:K,11,0)</f>
        <v>15559954.107234888</v>
      </c>
      <c r="H28" s="12">
        <f t="shared" si="0"/>
        <v>8.1510569952708556E-2</v>
      </c>
      <c r="I28" s="2">
        <f>VLOOKUP(A:A,MASTER!A:E,5,0)</f>
        <v>826</v>
      </c>
      <c r="J28" s="2">
        <f>VLOOKUP(A:A,MASTER!A:J,10,0)</f>
        <v>664</v>
      </c>
      <c r="K28" s="12">
        <f t="shared" si="1"/>
        <v>-0.19612590799031482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</v>
      </c>
      <c r="P28" s="1">
        <f>VLOOKUP(A:A,MASTER!A:H,8,0)</f>
        <v>1</v>
      </c>
      <c r="Q28" s="12">
        <f t="shared" si="3"/>
        <v>0</v>
      </c>
      <c r="R28" s="1">
        <f>VLOOKUP(A:A,MASTER!A:B,2,0)</f>
        <v>1066</v>
      </c>
      <c r="S28">
        <f>VLOOKUP(A:A,MASTER!A:G,7,0)</f>
        <v>1024</v>
      </c>
      <c r="T28" s="12">
        <f t="shared" si="4"/>
        <v>-3.9399624765478425E-2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19992124.091455083</v>
      </c>
      <c r="G29" s="1">
        <f>VLOOKUP(A:A,MASTER!A:K,11,0)</f>
        <v>21918944.083954044</v>
      </c>
      <c r="H29" s="12">
        <f t="shared" si="0"/>
        <v>9.6378953216007313E-2</v>
      </c>
      <c r="I29" s="2">
        <f>VLOOKUP(A:A,MASTER!A:E,5,0)</f>
        <v>864</v>
      </c>
      <c r="J29" s="2">
        <f>VLOOKUP(A:A,MASTER!A:J,10,0)</f>
        <v>936</v>
      </c>
      <c r="K29" s="12">
        <f t="shared" si="1"/>
        <v>8.3333333333333259E-2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2</v>
      </c>
      <c r="P29" s="1">
        <f>VLOOKUP(A:A,MASTER!A:H,8,0)</f>
        <v>1</v>
      </c>
      <c r="Q29" s="12">
        <f t="shared" si="3"/>
        <v>-0.5</v>
      </c>
      <c r="R29" s="1">
        <f>VLOOKUP(A:A,MASTER!A:B,2,0)</f>
        <v>1116</v>
      </c>
      <c r="S29">
        <f>VLOOKUP(A:A,MASTER!A:G,7,0)</f>
        <v>1146</v>
      </c>
      <c r="T29" s="12">
        <f t="shared" si="4"/>
        <v>2.6881720430107503E-2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28204861.723208327</v>
      </c>
      <c r="G30" s="1">
        <f>VLOOKUP(A:A,MASTER!A:K,11,0)</f>
        <v>30169389.89326692</v>
      </c>
      <c r="H30" s="12">
        <f t="shared" si="0"/>
        <v>6.9652111374901127E-2</v>
      </c>
      <c r="I30" s="2">
        <f>VLOOKUP(A:A,MASTER!A:E,5,0)</f>
        <v>1146</v>
      </c>
      <c r="J30" s="2">
        <f>VLOOKUP(A:A,MASTER!A:J,10,0)</f>
        <v>1204</v>
      </c>
      <c r="K30" s="12">
        <f t="shared" si="1"/>
        <v>5.0610820244328059E-2</v>
      </c>
      <c r="L30" s="2">
        <f>VLOOKUP(A:A,MASTER!A:D,4,0)</f>
        <v>5</v>
      </c>
      <c r="M30" s="2">
        <f>VLOOKUP(A:A,MASTER!A:I,9,0)</f>
        <v>2</v>
      </c>
      <c r="N30" s="12">
        <f t="shared" si="2"/>
        <v>-0.6</v>
      </c>
      <c r="O30" s="1">
        <f>VLOOKUP(A:A,MASTER!A:C,3,0)</f>
        <v>3</v>
      </c>
      <c r="P30" s="1">
        <f>VLOOKUP(A:A,MASTER!A:H,8,0)</f>
        <v>2</v>
      </c>
      <c r="Q30" s="12">
        <f t="shared" si="3"/>
        <v>-0.33333333333333337</v>
      </c>
      <c r="R30" s="1">
        <f>VLOOKUP(A:A,MASTER!A:B,2,0)</f>
        <v>1478</v>
      </c>
      <c r="S30">
        <f>VLOOKUP(A:A,MASTER!A:G,7,0)</f>
        <v>1443</v>
      </c>
      <c r="T30" s="12">
        <f t="shared" si="4"/>
        <v>-2.3680649526387043E-2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11521977.507242309</v>
      </c>
      <c r="G31" s="1">
        <f>VLOOKUP(A:A,MASTER!A:K,11,0)</f>
        <v>10852281.281489624</v>
      </c>
      <c r="H31" s="12">
        <f t="shared" si="0"/>
        <v>-5.8123375551786816E-2</v>
      </c>
      <c r="I31" s="2">
        <f>VLOOKUP(A:A,MASTER!A:E,5,0)</f>
        <v>528</v>
      </c>
      <c r="J31" s="2">
        <f>VLOOKUP(A:A,MASTER!A:J,10,0)</f>
        <v>679</v>
      </c>
      <c r="K31" s="12">
        <f t="shared" si="1"/>
        <v>0.2859848484848484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0</v>
      </c>
      <c r="P31" s="1">
        <f>VLOOKUP(A:A,MASTER!A:H,8,0)</f>
        <v>0</v>
      </c>
      <c r="Q31" s="12">
        <f t="shared" si="3"/>
        <v>0</v>
      </c>
      <c r="R31" s="1">
        <f>VLOOKUP(A:A,MASTER!A:B,2,0)</f>
        <v>678</v>
      </c>
      <c r="S31">
        <f>VLOOKUP(A:A,MASTER!A:G,7,0)</f>
        <v>682</v>
      </c>
      <c r="T31" s="12">
        <f t="shared" si="4"/>
        <v>5.8997050147493457E-3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35178724.13029144</v>
      </c>
      <c r="G32" s="1">
        <f>VLOOKUP(A:A,MASTER!A:K,11,0)</f>
        <v>19349044.074072417</v>
      </c>
      <c r="H32" s="12">
        <f t="shared" si="0"/>
        <v>-0.44997879961736642</v>
      </c>
      <c r="I32" s="2">
        <f>VLOOKUP(A:A,MASTER!A:E,5,0)</f>
        <v>1579</v>
      </c>
      <c r="J32" s="2">
        <f>VLOOKUP(A:A,MASTER!A:J,10,0)</f>
        <v>1669</v>
      </c>
      <c r="K32" s="12">
        <f t="shared" si="1"/>
        <v>5.6998100063331281E-2</v>
      </c>
      <c r="L32" s="2">
        <f>VLOOKUP(A:A,MASTER!A:D,4,0)</f>
        <v>11</v>
      </c>
      <c r="M32" s="2">
        <f>VLOOKUP(A:A,MASTER!A:I,9,0)</f>
        <v>6</v>
      </c>
      <c r="N32" s="12">
        <f t="shared" si="2"/>
        <v>-0.45454545454545459</v>
      </c>
      <c r="O32" s="1">
        <f>VLOOKUP(A:A,MASTER!A:C,3,0)</f>
        <v>6</v>
      </c>
      <c r="P32" s="1">
        <f>VLOOKUP(A:A,MASTER!A:H,8,0)</f>
        <v>2</v>
      </c>
      <c r="Q32" s="12">
        <f t="shared" si="3"/>
        <v>-0.66666666666666674</v>
      </c>
      <c r="R32" s="1">
        <f>VLOOKUP(A:A,MASTER!A:B,2,0)</f>
        <v>1937</v>
      </c>
      <c r="S32">
        <f>VLOOKUP(A:A,MASTER!A:G,7,0)</f>
        <v>1855</v>
      </c>
      <c r="T32" s="12">
        <f t="shared" si="4"/>
        <v>-4.2333505420753759E-2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11496843.696313253</v>
      </c>
      <c r="G33" s="1">
        <f>VLOOKUP(A:A,MASTER!A:K,11,0)</f>
        <v>12468667.542720955</v>
      </c>
      <c r="H33" s="12">
        <f t="shared" si="0"/>
        <v>8.452962152728416E-2</v>
      </c>
      <c r="I33" s="2">
        <f>VLOOKUP(A:A,MASTER!A:E,5,0)</f>
        <v>696</v>
      </c>
      <c r="J33" s="2">
        <f>VLOOKUP(A:A,MASTER!A:J,10,0)</f>
        <v>644</v>
      </c>
      <c r="K33" s="12">
        <f t="shared" si="1"/>
        <v>-7.4712643678160884E-2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1</v>
      </c>
      <c r="P33" s="1">
        <f>VLOOKUP(A:A,MASTER!A:H,8,0)</f>
        <v>2</v>
      </c>
      <c r="Q33" s="12">
        <f t="shared" si="3"/>
        <v>1</v>
      </c>
      <c r="R33" s="1">
        <f>VLOOKUP(A:A,MASTER!A:B,2,0)</f>
        <v>839</v>
      </c>
      <c r="S33">
        <f>VLOOKUP(A:A,MASTER!A:G,7,0)</f>
        <v>856</v>
      </c>
      <c r="T33" s="12">
        <f t="shared" si="4"/>
        <v>2.0262216924910703E-2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11081479.212508269</v>
      </c>
      <c r="G34" s="1">
        <f>VLOOKUP(A:A,MASTER!A:K,11,0)</f>
        <v>10864601.777345827</v>
      </c>
      <c r="H34" s="12">
        <f t="shared" si="0"/>
        <v>-1.957116292901051E-2</v>
      </c>
      <c r="I34" s="2">
        <f>VLOOKUP(A:A,MASTER!A:E,5,0)</f>
        <v>557</v>
      </c>
      <c r="J34" s="2">
        <f>VLOOKUP(A:A,MASTER!A:J,10,0)</f>
        <v>565</v>
      </c>
      <c r="K34" s="12">
        <f t="shared" si="1"/>
        <v>1.4362657091562037E-2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0</v>
      </c>
      <c r="P34" s="1">
        <f>VLOOKUP(A:A,MASTER!A:H,8,0)</f>
        <v>1</v>
      </c>
      <c r="Q34" s="12">
        <f t="shared" si="3"/>
        <v>0</v>
      </c>
      <c r="R34" s="1">
        <f>VLOOKUP(A:A,MASTER!A:B,2,0)</f>
        <v>732</v>
      </c>
      <c r="S34">
        <f>VLOOKUP(A:A,MASTER!A:G,7,0)</f>
        <v>739</v>
      </c>
      <c r="T34" s="12">
        <f t="shared" si="4"/>
        <v>9.5628415300545999E-3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17141886.430531561</v>
      </c>
      <c r="G35" s="1">
        <f>VLOOKUP(A:A,MASTER!A:K,11,0)</f>
        <v>19206431.863842171</v>
      </c>
      <c r="H35" s="12">
        <f t="shared" si="0"/>
        <v>0.12043863676715483</v>
      </c>
      <c r="I35" s="2">
        <f>VLOOKUP(A:A,MASTER!A:E,5,0)</f>
        <v>836</v>
      </c>
      <c r="J35" s="2">
        <f>VLOOKUP(A:A,MASTER!A:J,10,0)</f>
        <v>817</v>
      </c>
      <c r="K35" s="12">
        <f t="shared" si="1"/>
        <v>-2.2727272727272707E-2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6</v>
      </c>
      <c r="P35" s="1">
        <f>VLOOKUP(A:A,MASTER!A:H,8,0)</f>
        <v>5</v>
      </c>
      <c r="Q35" s="12">
        <f t="shared" si="3"/>
        <v>-0.16666666666666663</v>
      </c>
      <c r="R35" s="1">
        <f>VLOOKUP(A:A,MASTER!A:B,2,0)</f>
        <v>1176</v>
      </c>
      <c r="S35">
        <f>VLOOKUP(A:A,MASTER!A:G,7,0)</f>
        <v>1184</v>
      </c>
      <c r="T35" s="12">
        <f t="shared" si="4"/>
        <v>6.8027210884353817E-3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15596539.676497009</v>
      </c>
      <c r="G36" s="1">
        <f>VLOOKUP(A:A,MASTER!A:K,11,0)</f>
        <v>17745440.702579733</v>
      </c>
      <c r="H36" s="12">
        <f t="shared" si="0"/>
        <v>0.13778062766839105</v>
      </c>
      <c r="I36" s="2">
        <f>VLOOKUP(A:A,MASTER!A:E,5,0)</f>
        <v>769</v>
      </c>
      <c r="J36" s="2">
        <f>VLOOKUP(A:A,MASTER!A:J,10,0)</f>
        <v>1028</v>
      </c>
      <c r="K36" s="12">
        <f t="shared" si="1"/>
        <v>0.33680104031209357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120</v>
      </c>
      <c r="P36" s="1">
        <f>VLOOKUP(A:A,MASTER!A:H,8,0)</f>
        <v>233</v>
      </c>
      <c r="Q36" s="12">
        <f t="shared" si="3"/>
        <v>0.94166666666666665</v>
      </c>
      <c r="R36" s="1">
        <f>VLOOKUP(A:A,MASTER!A:B,2,0)</f>
        <v>1365</v>
      </c>
      <c r="S36">
        <f>VLOOKUP(A:A,MASTER!A:G,7,0)</f>
        <v>1381</v>
      </c>
      <c r="T36" s="12">
        <f t="shared" si="4"/>
        <v>1.172161172161168E-2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28549586.631023839</v>
      </c>
      <c r="G37" s="1">
        <f>VLOOKUP(A:A,MASTER!A:K,11,0)</f>
        <v>29255931.280371618</v>
      </c>
      <c r="H37" s="12">
        <f t="shared" si="0"/>
        <v>2.4740976409802773E-2</v>
      </c>
      <c r="I37" s="2">
        <f>VLOOKUP(A:A,MASTER!A:E,5,0)</f>
        <v>1439</v>
      </c>
      <c r="J37" s="2">
        <f>VLOOKUP(A:A,MASTER!A:J,10,0)</f>
        <v>1714</v>
      </c>
      <c r="K37" s="12">
        <f t="shared" si="1"/>
        <v>0.19110493398193196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68</v>
      </c>
      <c r="P37" s="1">
        <f>VLOOKUP(A:A,MASTER!A:H,8,0)</f>
        <v>118</v>
      </c>
      <c r="Q37" s="12">
        <f t="shared" si="3"/>
        <v>0.73529411764705888</v>
      </c>
      <c r="R37" s="1">
        <f>VLOOKUP(A:A,MASTER!A:B,2,0)</f>
        <v>2469</v>
      </c>
      <c r="S37">
        <f>VLOOKUP(A:A,MASTER!A:G,7,0)</f>
        <v>2195</v>
      </c>
      <c r="T37" s="12">
        <f t="shared" si="4"/>
        <v>-0.11097610368570276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10313879.042900581</v>
      </c>
      <c r="G38" s="1">
        <f>VLOOKUP(A:A,MASTER!A:K,11,0)</f>
        <v>10916359.854945768</v>
      </c>
      <c r="H38" s="12">
        <f t="shared" si="0"/>
        <v>5.8414570263929599E-2</v>
      </c>
      <c r="I38" s="2">
        <f>VLOOKUP(A:A,MASTER!A:E,5,0)</f>
        <v>466</v>
      </c>
      <c r="J38" s="2">
        <f>VLOOKUP(A:A,MASTER!A:J,10,0)</f>
        <v>439</v>
      </c>
      <c r="K38" s="12">
        <f t="shared" si="1"/>
        <v>-5.7939914163090078E-2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0</v>
      </c>
      <c r="P38" s="1">
        <f>VLOOKUP(A:A,MASTER!A:H,8,0)</f>
        <v>3</v>
      </c>
      <c r="Q38" s="12">
        <f t="shared" si="3"/>
        <v>0</v>
      </c>
      <c r="R38" s="1">
        <f>VLOOKUP(A:A,MASTER!A:B,2,0)</f>
        <v>624</v>
      </c>
      <c r="S38">
        <f>VLOOKUP(A:A,MASTER!A:G,7,0)</f>
        <v>598</v>
      </c>
      <c r="T38" s="12">
        <f t="shared" si="4"/>
        <v>-4.166666666666663E-2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34467171.240222543</v>
      </c>
      <c r="G39" s="1">
        <f>VLOOKUP(A:A,MASTER!A:K,11,0)</f>
        <v>33435528.542818047</v>
      </c>
      <c r="H39" s="12">
        <f t="shared" si="0"/>
        <v>-2.9931168131389629E-2</v>
      </c>
      <c r="I39" s="2">
        <f>VLOOKUP(A:A,MASTER!A:E,5,0)</f>
        <v>1934</v>
      </c>
      <c r="J39" s="2">
        <f>VLOOKUP(A:A,MASTER!A:J,10,0)</f>
        <v>1987</v>
      </c>
      <c r="K39" s="12">
        <f t="shared" si="1"/>
        <v>2.7404343329886283E-2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2</v>
      </c>
      <c r="P39" s="1">
        <f>VLOOKUP(A:A,MASTER!A:H,8,0)</f>
        <v>4</v>
      </c>
      <c r="Q39" s="12">
        <f t="shared" si="3"/>
        <v>1</v>
      </c>
      <c r="R39" s="1">
        <f>VLOOKUP(A:A,MASTER!A:B,2,0)</f>
        <v>2049</v>
      </c>
      <c r="S39">
        <f>VLOOKUP(A:A,MASTER!A:G,7,0)</f>
        <v>2047</v>
      </c>
      <c r="T39" s="12">
        <f t="shared" si="4"/>
        <v>-9.7608589555875369E-4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22237665.004112385</v>
      </c>
      <c r="G40" s="1">
        <f>VLOOKUP(A:A,MASTER!A:K,11,0)</f>
        <v>26120332.746377055</v>
      </c>
      <c r="H40" s="12">
        <f t="shared" si="0"/>
        <v>0.17459871535732963</v>
      </c>
      <c r="I40" s="2">
        <f>VLOOKUP(A:A,MASTER!A:E,5,0)</f>
        <v>797</v>
      </c>
      <c r="J40" s="2">
        <f>VLOOKUP(A:A,MASTER!A:J,10,0)</f>
        <v>812</v>
      </c>
      <c r="K40" s="12">
        <f t="shared" si="1"/>
        <v>1.8820577164366359E-2</v>
      </c>
      <c r="L40" s="2">
        <f>VLOOKUP(A:A,MASTER!A:D,4,0)</f>
        <v>2</v>
      </c>
      <c r="M40" s="2">
        <f>VLOOKUP(A:A,MASTER!A:I,9,0)</f>
        <v>5</v>
      </c>
      <c r="N40" s="12">
        <f t="shared" si="2"/>
        <v>1.5</v>
      </c>
      <c r="O40" s="1">
        <f>VLOOKUP(A:A,MASTER!A:C,3,0)</f>
        <v>2</v>
      </c>
      <c r="P40" s="1">
        <f>VLOOKUP(A:A,MASTER!A:H,8,0)</f>
        <v>5</v>
      </c>
      <c r="Q40" s="12">
        <f t="shared" si="3"/>
        <v>1.5</v>
      </c>
      <c r="R40" s="1">
        <f>VLOOKUP(A:A,MASTER!A:B,2,0)</f>
        <v>899</v>
      </c>
      <c r="S40">
        <f>VLOOKUP(A:A,MASTER!A:G,7,0)</f>
        <v>929</v>
      </c>
      <c r="T40" s="12">
        <f t="shared" si="4"/>
        <v>3.3370411568409253E-2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10362877.114542577</v>
      </c>
      <c r="G41" s="1">
        <f>VLOOKUP(A:A,MASTER!A:K,11,0)</f>
        <v>18743763.672474202</v>
      </c>
      <c r="H41" s="12">
        <f t="shared" si="0"/>
        <v>0.80874128538786216</v>
      </c>
      <c r="I41" s="2">
        <f>VLOOKUP(A:A,MASTER!A:E,5,0)</f>
        <v>925</v>
      </c>
      <c r="J41" s="2">
        <f>VLOOKUP(A:A,MASTER!A:J,10,0)</f>
        <v>1019</v>
      </c>
      <c r="K41" s="12">
        <f t="shared" si="1"/>
        <v>0.10162162162162169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0</v>
      </c>
      <c r="P41" s="1">
        <f>VLOOKUP(A:A,MASTER!A:H,8,0)</f>
        <v>4</v>
      </c>
      <c r="Q41" s="12">
        <f t="shared" si="3"/>
        <v>0</v>
      </c>
      <c r="R41" s="1">
        <f>VLOOKUP(A:A,MASTER!A:B,2,0)</f>
        <v>1085</v>
      </c>
      <c r="S41">
        <f>VLOOKUP(A:A,MASTER!A:G,7,0)</f>
        <v>1043</v>
      </c>
      <c r="T41" s="12">
        <f t="shared" si="4"/>
        <v>-3.8709677419354827E-2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17698698.547770157</v>
      </c>
      <c r="G42" s="1">
        <f>VLOOKUP(A:A,MASTER!A:K,11,0)</f>
        <v>18394155.295887496</v>
      </c>
      <c r="H42" s="12">
        <f t="shared" si="0"/>
        <v>3.929423094247575E-2</v>
      </c>
      <c r="I42" s="2">
        <f>VLOOKUP(A:A,MASTER!A:E,5,0)</f>
        <v>645</v>
      </c>
      <c r="J42" s="2">
        <f>VLOOKUP(A:A,MASTER!A:J,10,0)</f>
        <v>788</v>
      </c>
      <c r="K42" s="12">
        <f t="shared" si="1"/>
        <v>0.22170542635658919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3</v>
      </c>
      <c r="P42" s="1">
        <f>VLOOKUP(A:A,MASTER!A:H,8,0)</f>
        <v>2</v>
      </c>
      <c r="Q42" s="12">
        <f t="shared" si="3"/>
        <v>-0.33333333333333337</v>
      </c>
      <c r="R42" s="1">
        <f>VLOOKUP(A:A,MASTER!A:B,2,0)</f>
        <v>819</v>
      </c>
      <c r="S42">
        <f>VLOOKUP(A:A,MASTER!A:G,7,0)</f>
        <v>842</v>
      </c>
      <c r="T42" s="12">
        <f t="shared" si="4"/>
        <v>2.8083028083027983E-2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11326902.340657758</v>
      </c>
      <c r="G43" s="1">
        <f>VLOOKUP(A:A,MASTER!A:K,11,0)</f>
        <v>11180304.84275686</v>
      </c>
      <c r="H43" s="12">
        <f t="shared" si="0"/>
        <v>-1.2942417396386352E-2</v>
      </c>
      <c r="I43" s="2">
        <f>VLOOKUP(A:A,MASTER!A:E,5,0)</f>
        <v>708</v>
      </c>
      <c r="J43" s="2">
        <f>VLOOKUP(A:A,MASTER!A:J,10,0)</f>
        <v>595</v>
      </c>
      <c r="K43" s="12">
        <f t="shared" si="1"/>
        <v>-0.15960451977401124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1</v>
      </c>
      <c r="P43" s="1">
        <f>VLOOKUP(A:A,MASTER!A:H,8,0)</f>
        <v>0</v>
      </c>
      <c r="Q43" s="12">
        <f t="shared" si="3"/>
        <v>-1</v>
      </c>
      <c r="R43" s="1">
        <f>VLOOKUP(A:A,MASTER!A:B,2,0)</f>
        <v>692</v>
      </c>
      <c r="S43">
        <f>VLOOKUP(A:A,MASTER!A:G,7,0)</f>
        <v>721</v>
      </c>
      <c r="T43" s="12">
        <f t="shared" si="4"/>
        <v>4.1907514450867156E-2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9749315.3487538137</v>
      </c>
      <c r="G44" s="1">
        <f>VLOOKUP(A:A,MASTER!A:K,11,0)</f>
        <v>10329690.532225767</v>
      </c>
      <c r="H44" s="12">
        <f t="shared" si="0"/>
        <v>5.9529840066783635E-2</v>
      </c>
      <c r="I44" s="2">
        <f>VLOOKUP(A:A,MASTER!A:E,5,0)</f>
        <v>744</v>
      </c>
      <c r="J44" s="2">
        <f>VLOOKUP(A:A,MASTER!A:J,10,0)</f>
        <v>778</v>
      </c>
      <c r="K44" s="12">
        <f t="shared" si="1"/>
        <v>4.5698924731182755E-2</v>
      </c>
      <c r="L44" s="2">
        <f>VLOOKUP(A:A,MASTER!A:D,4,0)</f>
        <v>2</v>
      </c>
      <c r="M44" s="2">
        <f>VLOOKUP(A:A,MASTER!A:I,9,0)</f>
        <v>2</v>
      </c>
      <c r="N44" s="12">
        <f t="shared" si="2"/>
        <v>0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688</v>
      </c>
      <c r="S44">
        <f>VLOOKUP(A:A,MASTER!A:G,7,0)</f>
        <v>706</v>
      </c>
      <c r="T44" s="12">
        <f t="shared" si="4"/>
        <v>2.6162790697674465E-2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30643816.421466332</v>
      </c>
      <c r="G45" s="1">
        <f>VLOOKUP(A:A,MASTER!A:K,11,0)</f>
        <v>34833280.631897286</v>
      </c>
      <c r="H45" s="12">
        <f t="shared" si="0"/>
        <v>0.13671483188680722</v>
      </c>
      <c r="I45" s="2">
        <f>VLOOKUP(A:A,MASTER!A:E,5,0)</f>
        <v>1127</v>
      </c>
      <c r="J45" s="2">
        <f>VLOOKUP(A:A,MASTER!A:J,10,0)</f>
        <v>1201</v>
      </c>
      <c r="K45" s="12">
        <f t="shared" si="1"/>
        <v>6.5661047027506747E-2</v>
      </c>
      <c r="L45" s="2">
        <f>VLOOKUP(A:A,MASTER!A:D,4,0)</f>
        <v>4</v>
      </c>
      <c r="M45" s="2">
        <f>VLOOKUP(A:A,MASTER!A:I,9,0)</f>
        <v>6</v>
      </c>
      <c r="N45" s="12">
        <f t="shared" si="2"/>
        <v>0.5</v>
      </c>
      <c r="O45" s="1">
        <f>VLOOKUP(A:A,MASTER!A:C,3,0)</f>
        <v>0</v>
      </c>
      <c r="P45" s="1">
        <f>VLOOKUP(A:A,MASTER!A:H,8,0)</f>
        <v>1</v>
      </c>
      <c r="Q45" s="12">
        <f t="shared" si="3"/>
        <v>0</v>
      </c>
      <c r="R45" s="1">
        <f>VLOOKUP(A:A,MASTER!A:B,2,0)</f>
        <v>1243</v>
      </c>
      <c r="S45">
        <f>VLOOKUP(A:A,MASTER!A:G,7,0)</f>
        <v>1278</v>
      </c>
      <c r="T45" s="12">
        <f t="shared" si="4"/>
        <v>2.8157683024939706E-2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14694364.793953007</v>
      </c>
      <c r="G46" s="1">
        <f>VLOOKUP(A:A,MASTER!A:K,11,0)</f>
        <v>14864008.548044087</v>
      </c>
      <c r="H46" s="12">
        <f t="shared" si="0"/>
        <v>1.1544817109814254E-2</v>
      </c>
      <c r="I46" s="2">
        <f>VLOOKUP(A:A,MASTER!A:E,5,0)</f>
        <v>3212</v>
      </c>
      <c r="J46" s="2">
        <f>VLOOKUP(A:A,MASTER!A:J,10,0)</f>
        <v>925</v>
      </c>
      <c r="K46" s="12">
        <f t="shared" si="1"/>
        <v>-0.71201743462017442</v>
      </c>
      <c r="L46" s="2">
        <f>VLOOKUP(A:A,MASTER!A:D,4,0)</f>
        <v>8</v>
      </c>
      <c r="M46" s="2">
        <f>VLOOKUP(A:A,MASTER!A:I,9,0)</f>
        <v>4</v>
      </c>
      <c r="N46" s="12">
        <f t="shared" si="2"/>
        <v>-0.5</v>
      </c>
      <c r="O46" s="1">
        <f>VLOOKUP(A:A,MASTER!A:C,3,0)</f>
        <v>2</v>
      </c>
      <c r="P46" s="1">
        <f>VLOOKUP(A:A,MASTER!A:H,8,0)</f>
        <v>1</v>
      </c>
      <c r="Q46" s="12">
        <f t="shared" si="3"/>
        <v>-0.5</v>
      </c>
      <c r="R46" s="1">
        <f>VLOOKUP(A:A,MASTER!A:B,2,0)</f>
        <v>914</v>
      </c>
      <c r="S46">
        <f>VLOOKUP(A:A,MASTER!A:G,7,0)</f>
        <v>886</v>
      </c>
      <c r="T46" s="12">
        <f t="shared" si="4"/>
        <v>-3.0634573304157531E-2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26326685.795884985</v>
      </c>
      <c r="G47" s="1">
        <f>VLOOKUP(A:A,MASTER!A:K,11,0)</f>
        <v>26740693.628350247</v>
      </c>
      <c r="H47" s="12">
        <f t="shared" si="0"/>
        <v>1.5725786210810222E-2</v>
      </c>
      <c r="I47" s="2">
        <f>VLOOKUP(A:A,MASTER!A:E,5,0)</f>
        <v>1033</v>
      </c>
      <c r="J47" s="2">
        <f>VLOOKUP(A:A,MASTER!A:J,10,0)</f>
        <v>1050</v>
      </c>
      <c r="K47" s="12">
        <f t="shared" si="1"/>
        <v>1.6456921587608919E-2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3</v>
      </c>
      <c r="P47" s="1">
        <f>VLOOKUP(A:A,MASTER!A:H,8,0)</f>
        <v>1</v>
      </c>
      <c r="Q47" s="12">
        <f t="shared" si="3"/>
        <v>-0.66666666666666674</v>
      </c>
      <c r="R47" s="1">
        <f>VLOOKUP(A:A,MASTER!A:B,2,0)</f>
        <v>1363</v>
      </c>
      <c r="S47">
        <f>VLOOKUP(A:A,MASTER!A:G,7,0)</f>
        <v>1402</v>
      </c>
      <c r="T47" s="12">
        <f t="shared" si="4"/>
        <v>2.8613352898019029E-2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13634364.861858128</v>
      </c>
      <c r="G48" s="1">
        <f>VLOOKUP(A:A,MASTER!A:K,11,0)</f>
        <v>12304766.659372153</v>
      </c>
      <c r="H48" s="12">
        <f t="shared" si="0"/>
        <v>-9.7518162082159021E-2</v>
      </c>
      <c r="I48" s="2">
        <f>VLOOKUP(A:A,MASTER!A:E,5,0)</f>
        <v>373</v>
      </c>
      <c r="J48" s="2">
        <f>VLOOKUP(A:A,MASTER!A:J,10,0)</f>
        <v>385</v>
      </c>
      <c r="K48" s="12">
        <f t="shared" si="1"/>
        <v>3.2171581769437019E-2</v>
      </c>
      <c r="L48" s="2">
        <f>VLOOKUP(A:A,MASTER!A:D,4,0)</f>
        <v>6</v>
      </c>
      <c r="M48" s="2">
        <f>VLOOKUP(A:A,MASTER!A:I,9,0)</f>
        <v>7</v>
      </c>
      <c r="N48" s="12">
        <f t="shared" si="2"/>
        <v>0.16666666666666674</v>
      </c>
      <c r="O48" s="1">
        <f>VLOOKUP(A:A,MASTER!A:C,3,0)</f>
        <v>0</v>
      </c>
      <c r="P48" s="1">
        <f>VLOOKUP(A:A,MASTER!A:H,8,0)</f>
        <v>3</v>
      </c>
      <c r="Q48" s="12">
        <f t="shared" si="3"/>
        <v>0</v>
      </c>
      <c r="R48" s="1">
        <f>VLOOKUP(A:A,MASTER!A:B,2,0)</f>
        <v>483</v>
      </c>
      <c r="S48">
        <f>VLOOKUP(A:A,MASTER!A:G,7,0)</f>
        <v>489</v>
      </c>
      <c r="T48" s="12">
        <f t="shared" si="4"/>
        <v>1.2422360248447228E-2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10085942.515286084</v>
      </c>
      <c r="G49" s="1">
        <f>VLOOKUP(A:A,MASTER!A:K,11,0)</f>
        <v>10771677.970238339</v>
      </c>
      <c r="H49" s="12">
        <f t="shared" si="0"/>
        <v>6.7989228960304571E-2</v>
      </c>
      <c r="I49" s="2">
        <f>VLOOKUP(A:A,MASTER!A:E,5,0)</f>
        <v>312</v>
      </c>
      <c r="J49" s="2">
        <f>VLOOKUP(A:A,MASTER!A:J,10,0)</f>
        <v>340</v>
      </c>
      <c r="K49" s="12">
        <f t="shared" si="1"/>
        <v>8.9743589743589647E-2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1</v>
      </c>
      <c r="Q49" s="12">
        <f t="shared" si="3"/>
        <v>0</v>
      </c>
      <c r="R49" s="1">
        <f>VLOOKUP(A:A,MASTER!A:B,2,0)</f>
        <v>454</v>
      </c>
      <c r="S49">
        <f>VLOOKUP(A:A,MASTER!A:G,7,0)</f>
        <v>456</v>
      </c>
      <c r="T49" s="12">
        <f t="shared" si="4"/>
        <v>4.405286343612369E-3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8794364.8169755638</v>
      </c>
      <c r="G50" s="1">
        <f>VLOOKUP(A:A,MASTER!A:K,11,0)</f>
        <v>5287043.4016682496</v>
      </c>
      <c r="H50" s="12">
        <f t="shared" si="0"/>
        <v>-0.39881463736155354</v>
      </c>
      <c r="I50" s="2">
        <f>VLOOKUP(A:A,MASTER!A:E,5,0)</f>
        <v>346</v>
      </c>
      <c r="J50" s="2">
        <f>VLOOKUP(A:A,MASTER!A:J,10,0)</f>
        <v>319</v>
      </c>
      <c r="K50" s="12">
        <f t="shared" si="1"/>
        <v>-7.80346820809249E-2</v>
      </c>
      <c r="L50" s="2">
        <f>VLOOKUP(A:A,MASTER!A:D,4,0)</f>
        <v>3</v>
      </c>
      <c r="M50" s="2">
        <f>VLOOKUP(A:A,MASTER!A:I,9,0)</f>
        <v>2</v>
      </c>
      <c r="N50" s="12">
        <f t="shared" si="2"/>
        <v>-0.33333333333333337</v>
      </c>
      <c r="O50" s="1">
        <f>VLOOKUP(A:A,MASTER!A:C,3,0)</f>
        <v>1</v>
      </c>
      <c r="P50" s="1">
        <f>VLOOKUP(A:A,MASTER!A:H,8,0)</f>
        <v>0</v>
      </c>
      <c r="Q50" s="12">
        <f t="shared" si="3"/>
        <v>-1</v>
      </c>
      <c r="R50" s="1">
        <f>VLOOKUP(A:A,MASTER!A:B,2,0)</f>
        <v>429</v>
      </c>
      <c r="S50">
        <f>VLOOKUP(A:A,MASTER!A:G,7,0)</f>
        <v>402</v>
      </c>
      <c r="T50" s="12">
        <f t="shared" si="4"/>
        <v>-6.2937062937062915E-2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20589581.956771232</v>
      </c>
      <c r="G51" s="1">
        <f>VLOOKUP(A:A,MASTER!A:K,11,0)</f>
        <v>21708708.646214969</v>
      </c>
      <c r="H51" s="12">
        <f t="shared" si="0"/>
        <v>5.4354026798280497E-2</v>
      </c>
      <c r="I51" s="2">
        <f>VLOOKUP(A:A,MASTER!A:E,5,0)</f>
        <v>931</v>
      </c>
      <c r="J51" s="2">
        <f>VLOOKUP(A:A,MASTER!A:J,10,0)</f>
        <v>940</v>
      </c>
      <c r="K51" s="12">
        <f t="shared" si="1"/>
        <v>9.6670247046186653E-3</v>
      </c>
      <c r="L51" s="2">
        <f>VLOOKUP(A:A,MASTER!A:D,4,0)</f>
        <v>0</v>
      </c>
      <c r="M51" s="2">
        <f>VLOOKUP(A:A,MASTER!A:I,9,0)</f>
        <v>0</v>
      </c>
      <c r="N51" s="12">
        <f t="shared" si="2"/>
        <v>0</v>
      </c>
      <c r="O51" s="1">
        <f>VLOOKUP(A:A,MASTER!A:C,3,0)</f>
        <v>1</v>
      </c>
      <c r="P51" s="1">
        <f>VLOOKUP(A:A,MASTER!A:H,8,0)</f>
        <v>2</v>
      </c>
      <c r="Q51" s="12">
        <f t="shared" si="3"/>
        <v>1</v>
      </c>
      <c r="R51" s="1">
        <f>VLOOKUP(A:A,MASTER!A:B,2,0)</f>
        <v>1101</v>
      </c>
      <c r="S51">
        <f>VLOOKUP(A:A,MASTER!A:G,7,0)</f>
        <v>1098</v>
      </c>
      <c r="T51" s="12">
        <f t="shared" si="4"/>
        <v>-2.7247956403270157E-3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18172569.992024127</v>
      </c>
      <c r="G52" s="1">
        <f>VLOOKUP(A:A,MASTER!A:K,11,0)</f>
        <v>21711269.083108783</v>
      </c>
      <c r="H52" s="12">
        <f t="shared" si="0"/>
        <v>0.19472749823705593</v>
      </c>
      <c r="I52" s="2">
        <f>VLOOKUP(A:A,MASTER!A:E,5,0)</f>
        <v>891</v>
      </c>
      <c r="J52" s="2">
        <f>VLOOKUP(A:A,MASTER!A:J,10,0)</f>
        <v>805</v>
      </c>
      <c r="K52" s="12">
        <f t="shared" si="1"/>
        <v>-9.6520763187429859E-2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2</v>
      </c>
      <c r="P52" s="1">
        <f>VLOOKUP(A:A,MASTER!A:H,8,0)</f>
        <v>4</v>
      </c>
      <c r="Q52" s="12">
        <f t="shared" si="3"/>
        <v>1</v>
      </c>
      <c r="R52" s="1">
        <f>VLOOKUP(A:A,MASTER!A:B,2,0)</f>
        <v>973</v>
      </c>
      <c r="S52">
        <f>VLOOKUP(A:A,MASTER!A:G,7,0)</f>
        <v>932</v>
      </c>
      <c r="T52" s="12">
        <f t="shared" si="4"/>
        <v>-4.213771839671121E-2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39084951.029873677</v>
      </c>
      <c r="G53" s="1">
        <f>VLOOKUP(A:A,MASTER!A:K,11,0)</f>
        <v>40331079.886328921</v>
      </c>
      <c r="H53" s="12">
        <f t="shared" si="0"/>
        <v>3.1882574331557834E-2</v>
      </c>
      <c r="I53" s="2">
        <f>VLOOKUP(A:A,MASTER!A:E,5,0)</f>
        <v>1631</v>
      </c>
      <c r="J53" s="2">
        <f>VLOOKUP(A:A,MASTER!A:J,10,0)</f>
        <v>1802</v>
      </c>
      <c r="K53" s="12">
        <f t="shared" si="1"/>
        <v>0.1048436541998774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6</v>
      </c>
      <c r="P53" s="1">
        <f>VLOOKUP(A:A,MASTER!A:H,8,0)</f>
        <v>9</v>
      </c>
      <c r="Q53" s="12">
        <f t="shared" si="3"/>
        <v>0.5</v>
      </c>
      <c r="R53" s="1">
        <f>VLOOKUP(A:A,MASTER!A:B,2,0)</f>
        <v>2075</v>
      </c>
      <c r="S53">
        <f>VLOOKUP(A:A,MASTER!A:G,7,0)</f>
        <v>2110</v>
      </c>
      <c r="T53" s="12">
        <f t="shared" si="4"/>
        <v>1.6867469879518149E-2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8843951.5906833</v>
      </c>
      <c r="G54" s="1">
        <f>VLOOKUP(A:A,MASTER!A:K,11,0)</f>
        <v>10725083.805626824</v>
      </c>
      <c r="H54" s="12">
        <f t="shared" si="0"/>
        <v>0.2127026811097894</v>
      </c>
      <c r="I54" s="2">
        <f>VLOOKUP(A:A,MASTER!A:E,5,0)</f>
        <v>520</v>
      </c>
      <c r="J54" s="2">
        <f>VLOOKUP(A:A,MASTER!A:J,10,0)</f>
        <v>573</v>
      </c>
      <c r="K54" s="12">
        <f t="shared" si="1"/>
        <v>0.10192307692307701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0</v>
      </c>
      <c r="P54" s="1">
        <f>VLOOKUP(A:A,MASTER!A:H,8,0)</f>
        <v>2</v>
      </c>
      <c r="Q54" s="12">
        <f t="shared" si="3"/>
        <v>0</v>
      </c>
      <c r="R54" s="1">
        <f>VLOOKUP(A:A,MASTER!A:B,2,0)</f>
        <v>681</v>
      </c>
      <c r="S54">
        <f>VLOOKUP(A:A,MASTER!A:G,7,0)</f>
        <v>652</v>
      </c>
      <c r="T54" s="12">
        <f t="shared" si="4"/>
        <v>-4.2584434654919234E-2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15871422.260580655</v>
      </c>
      <c r="G55" s="1">
        <f>VLOOKUP(A:A,MASTER!A:K,11,0)</f>
        <v>18384833.519360822</v>
      </c>
      <c r="H55" s="12">
        <f t="shared" si="0"/>
        <v>0.15836080834561672</v>
      </c>
      <c r="I55" s="2">
        <f>VLOOKUP(A:A,MASTER!A:E,5,0)</f>
        <v>758</v>
      </c>
      <c r="J55" s="2">
        <f>VLOOKUP(A:A,MASTER!A:J,10,0)</f>
        <v>856</v>
      </c>
      <c r="K55" s="12">
        <f t="shared" si="1"/>
        <v>0.12928759894459096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4</v>
      </c>
      <c r="P55" s="1">
        <f>VLOOKUP(A:A,MASTER!A:H,8,0)</f>
        <v>5</v>
      </c>
      <c r="Q55" s="12">
        <f t="shared" si="3"/>
        <v>0.25</v>
      </c>
      <c r="R55" s="1">
        <f>VLOOKUP(A:A,MASTER!A:B,2,0)</f>
        <v>867</v>
      </c>
      <c r="S55">
        <f>VLOOKUP(A:A,MASTER!A:G,7,0)</f>
        <v>895</v>
      </c>
      <c r="T55" s="12">
        <f t="shared" si="4"/>
        <v>3.2295271049596286E-2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9791521.9231825955</v>
      </c>
      <c r="G56" s="1">
        <f>VLOOKUP(A:A,MASTER!A:K,11,0)</f>
        <v>10484385.024936249</v>
      </c>
      <c r="H56" s="12">
        <f t="shared" si="0"/>
        <v>7.0761533006755251E-2</v>
      </c>
      <c r="I56" s="2">
        <f>VLOOKUP(A:A,MASTER!A:E,5,0)</f>
        <v>639</v>
      </c>
      <c r="J56" s="2">
        <f>VLOOKUP(A:A,MASTER!A:J,10,0)</f>
        <v>562</v>
      </c>
      <c r="K56" s="12">
        <f t="shared" si="1"/>
        <v>-0.12050078247261342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2</v>
      </c>
      <c r="P56" s="1">
        <f>VLOOKUP(A:A,MASTER!A:H,8,0)</f>
        <v>0</v>
      </c>
      <c r="Q56" s="12">
        <f t="shared" si="3"/>
        <v>-1</v>
      </c>
      <c r="R56" s="1">
        <f>VLOOKUP(A:A,MASTER!A:B,2,0)</f>
        <v>742</v>
      </c>
      <c r="S56">
        <f>VLOOKUP(A:A,MASTER!A:G,7,0)</f>
        <v>681</v>
      </c>
      <c r="T56" s="12">
        <f t="shared" si="4"/>
        <v>-8.2210242587601123E-2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21348622.992430314</v>
      </c>
      <c r="G57" s="1">
        <f>VLOOKUP(A:A,MASTER!A:K,11,0)</f>
        <v>23099376.1903781</v>
      </c>
      <c r="H57" s="12">
        <f t="shared" si="0"/>
        <v>8.2007780950019926E-2</v>
      </c>
      <c r="I57" s="2">
        <f>VLOOKUP(A:A,MASTER!A:E,5,0)</f>
        <v>999</v>
      </c>
      <c r="J57" s="2">
        <f>VLOOKUP(A:A,MASTER!A:J,10,0)</f>
        <v>1147</v>
      </c>
      <c r="K57" s="12">
        <f t="shared" si="1"/>
        <v>0.14814814814814814</v>
      </c>
      <c r="L57" s="2">
        <f>VLOOKUP(A:A,MASTER!A:D,4,0)</f>
        <v>0</v>
      </c>
      <c r="M57" s="2">
        <f>VLOOKUP(A:A,MASTER!A:I,9,0)</f>
        <v>0</v>
      </c>
      <c r="N57" s="12">
        <f t="shared" si="2"/>
        <v>0</v>
      </c>
      <c r="O57" s="1">
        <f>VLOOKUP(A:A,MASTER!A:C,3,0)</f>
        <v>4</v>
      </c>
      <c r="P57" s="1">
        <f>VLOOKUP(A:A,MASTER!A:H,8,0)</f>
        <v>4</v>
      </c>
      <c r="Q57" s="12">
        <f t="shared" si="3"/>
        <v>0</v>
      </c>
      <c r="R57" s="1">
        <f>VLOOKUP(A:A,MASTER!A:B,2,0)</f>
        <v>1103</v>
      </c>
      <c r="S57">
        <f>VLOOKUP(A:A,MASTER!A:G,7,0)</f>
        <v>1109</v>
      </c>
      <c r="T57" s="12">
        <f t="shared" si="4"/>
        <v>5.4397098821397094E-3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24991750.938691661</v>
      </c>
      <c r="G58" s="1">
        <f>VLOOKUP(A:A,MASTER!A:K,11,0)</f>
        <v>31747644.601805378</v>
      </c>
      <c r="H58" s="12">
        <f t="shared" si="0"/>
        <v>0.2703249436058679</v>
      </c>
      <c r="I58" s="2">
        <f>VLOOKUP(A:A,MASTER!A:E,5,0)</f>
        <v>1429</v>
      </c>
      <c r="J58" s="2">
        <f>VLOOKUP(A:A,MASTER!A:J,10,0)</f>
        <v>1600</v>
      </c>
      <c r="K58" s="12">
        <f t="shared" si="1"/>
        <v>0.11966410076976897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</v>
      </c>
      <c r="P58" s="1">
        <f>VLOOKUP(A:A,MASTER!A:H,8,0)</f>
        <v>5</v>
      </c>
      <c r="Q58" s="12">
        <f t="shared" si="3"/>
        <v>4</v>
      </c>
      <c r="R58" s="1">
        <f>VLOOKUP(A:A,MASTER!A:B,2,0)</f>
        <v>1399</v>
      </c>
      <c r="S58">
        <f>VLOOKUP(A:A,MASTER!A:G,7,0)</f>
        <v>1593</v>
      </c>
      <c r="T58" s="12">
        <f t="shared" si="4"/>
        <v>0.13867047891350959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14329352.807133865</v>
      </c>
      <c r="G59" s="1">
        <f>VLOOKUP(A:A,MASTER!A:K,11,0)</f>
        <v>12337857.407070264</v>
      </c>
      <c r="H59" s="12">
        <f t="shared" si="0"/>
        <v>-0.13898013586992808</v>
      </c>
      <c r="I59" s="2">
        <f>VLOOKUP(A:A,MASTER!A:E,5,0)</f>
        <v>688</v>
      </c>
      <c r="J59" s="2">
        <f>VLOOKUP(A:A,MASTER!A:J,10,0)</f>
        <v>769</v>
      </c>
      <c r="K59" s="12">
        <f t="shared" si="1"/>
        <v>0.11773255813953498</v>
      </c>
      <c r="L59" s="2">
        <f>VLOOKUP(A:A,MASTER!A:D,4,0)</f>
        <v>3</v>
      </c>
      <c r="M59" s="2">
        <f>VLOOKUP(A:A,MASTER!A:I,9,0)</f>
        <v>5</v>
      </c>
      <c r="N59" s="12">
        <f t="shared" si="2"/>
        <v>0.66666666666666674</v>
      </c>
      <c r="O59" s="1">
        <f>VLOOKUP(A:A,MASTER!A:C,3,0)</f>
        <v>1</v>
      </c>
      <c r="P59" s="1">
        <f>VLOOKUP(A:A,MASTER!A:H,8,0)</f>
        <v>2</v>
      </c>
      <c r="Q59" s="12">
        <f t="shared" si="3"/>
        <v>1</v>
      </c>
      <c r="R59" s="1">
        <f>VLOOKUP(A:A,MASTER!A:B,2,0)</f>
        <v>773</v>
      </c>
      <c r="S59">
        <f>VLOOKUP(A:A,MASTER!A:G,7,0)</f>
        <v>795</v>
      </c>
      <c r="T59" s="12">
        <f t="shared" si="4"/>
        <v>2.8460543337645472E-2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15913750.060137004</v>
      </c>
      <c r="G60" s="1">
        <f>VLOOKUP(A:A,MASTER!A:K,11,0)</f>
        <v>16570255.383356037</v>
      </c>
      <c r="H60" s="12">
        <f t="shared" si="0"/>
        <v>4.1253967213142229E-2</v>
      </c>
      <c r="I60" s="2">
        <f>VLOOKUP(A:A,MASTER!A:E,5,0)</f>
        <v>478</v>
      </c>
      <c r="J60" s="2">
        <f>VLOOKUP(A:A,MASTER!A:J,10,0)</f>
        <v>485</v>
      </c>
      <c r="K60" s="12">
        <f t="shared" si="1"/>
        <v>1.4644351464435212E-2</v>
      </c>
      <c r="L60" s="2">
        <f>VLOOKUP(A:A,MASTER!A:D,4,0)</f>
        <v>5</v>
      </c>
      <c r="M60" s="2">
        <f>VLOOKUP(A:A,MASTER!A:I,9,0)</f>
        <v>7</v>
      </c>
      <c r="N60" s="12">
        <f t="shared" si="2"/>
        <v>0.39999999999999991</v>
      </c>
      <c r="O60" s="1">
        <f>VLOOKUP(A:A,MASTER!A:C,3,0)</f>
        <v>4</v>
      </c>
      <c r="P60" s="1">
        <f>VLOOKUP(A:A,MASTER!A:H,8,0)</f>
        <v>3</v>
      </c>
      <c r="Q60" s="12">
        <f t="shared" si="3"/>
        <v>-0.25</v>
      </c>
      <c r="R60" s="1">
        <f>VLOOKUP(A:A,MASTER!A:B,2,0)</f>
        <v>648</v>
      </c>
      <c r="S60">
        <f>VLOOKUP(A:A,MASTER!A:G,7,0)</f>
        <v>637</v>
      </c>
      <c r="T60" s="12">
        <f t="shared" si="4"/>
        <v>-1.6975308641975273E-2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51156826.689083554</v>
      </c>
      <c r="G61" s="1">
        <f>VLOOKUP(A:A,MASTER!A:K,11,0)</f>
        <v>53725402.89775309</v>
      </c>
      <c r="H61" s="12">
        <f t="shared" si="0"/>
        <v>5.0209842457207055E-2</v>
      </c>
      <c r="I61" s="2">
        <f>VLOOKUP(A:A,MASTER!A:E,5,0)</f>
        <v>1633</v>
      </c>
      <c r="J61" s="2">
        <f>VLOOKUP(A:A,MASTER!A:J,10,0)</f>
        <v>1785</v>
      </c>
      <c r="K61" s="12">
        <f t="shared" si="1"/>
        <v>9.3080220453153784E-2</v>
      </c>
      <c r="L61" s="2">
        <f>VLOOKUP(A:A,MASTER!A:D,4,0)</f>
        <v>11</v>
      </c>
      <c r="M61" s="2">
        <f>VLOOKUP(A:A,MASTER!A:I,9,0)</f>
        <v>12</v>
      </c>
      <c r="N61" s="12">
        <f t="shared" si="2"/>
        <v>9.0909090909090828E-2</v>
      </c>
      <c r="O61" s="1">
        <f>VLOOKUP(A:A,MASTER!A:C,3,0)</f>
        <v>2</v>
      </c>
      <c r="P61" s="1">
        <f>VLOOKUP(A:A,MASTER!A:H,8,0)</f>
        <v>10</v>
      </c>
      <c r="Q61" s="12">
        <f t="shared" si="3"/>
        <v>4</v>
      </c>
      <c r="R61" s="1">
        <f>VLOOKUP(A:A,MASTER!A:B,2,0)</f>
        <v>2000</v>
      </c>
      <c r="S61">
        <f>VLOOKUP(A:A,MASTER!A:G,7,0)</f>
        <v>1984</v>
      </c>
      <c r="T61" s="12">
        <f t="shared" si="4"/>
        <v>-8.0000000000000071E-3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36192720.881001942</v>
      </c>
      <c r="G62" s="1">
        <f>VLOOKUP(A:A,MASTER!A:K,11,0)</f>
        <v>38409566.627921052</v>
      </c>
      <c r="H62" s="12">
        <f t="shared" si="0"/>
        <v>6.1251149207816713E-2</v>
      </c>
      <c r="I62" s="2">
        <f>VLOOKUP(A:A,MASTER!A:E,5,0)</f>
        <v>1195</v>
      </c>
      <c r="J62" s="2">
        <f>VLOOKUP(A:A,MASTER!A:J,10,0)</f>
        <v>1313</v>
      </c>
      <c r="K62" s="12">
        <f t="shared" si="1"/>
        <v>9.8744769874477001E-2</v>
      </c>
      <c r="L62" s="2">
        <f>VLOOKUP(A:A,MASTER!A:D,4,0)</f>
        <v>6</v>
      </c>
      <c r="M62" s="2">
        <f>VLOOKUP(A:A,MASTER!A:I,9,0)</f>
        <v>6</v>
      </c>
      <c r="N62" s="12">
        <f t="shared" si="2"/>
        <v>0</v>
      </c>
      <c r="O62" s="1">
        <f>VLOOKUP(A:A,MASTER!A:C,3,0)</f>
        <v>5</v>
      </c>
      <c r="P62" s="1">
        <f>VLOOKUP(A:A,MASTER!A:H,8,0)</f>
        <v>9</v>
      </c>
      <c r="Q62" s="12">
        <f t="shared" si="3"/>
        <v>0.8</v>
      </c>
      <c r="R62" s="1">
        <f>VLOOKUP(A:A,MASTER!A:B,2,0)</f>
        <v>1581</v>
      </c>
      <c r="S62">
        <f>VLOOKUP(A:A,MASTER!A:G,7,0)</f>
        <v>1599</v>
      </c>
      <c r="T62" s="12">
        <f t="shared" si="4"/>
        <v>1.1385199240986799E-2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24480721.503467716</v>
      </c>
      <c r="G63" s="1">
        <f>VLOOKUP(A:A,MASTER!A:K,11,0)</f>
        <v>26258051.197483271</v>
      </c>
      <c r="H63" s="12">
        <f t="shared" si="0"/>
        <v>7.260119738561599E-2</v>
      </c>
      <c r="I63" s="2">
        <f>VLOOKUP(A:A,MASTER!A:E,5,0)</f>
        <v>743</v>
      </c>
      <c r="J63" s="2">
        <f>VLOOKUP(A:A,MASTER!A:J,10,0)</f>
        <v>724</v>
      </c>
      <c r="K63" s="12">
        <f t="shared" si="1"/>
        <v>-2.5572005383580065E-2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3</v>
      </c>
      <c r="P63" s="1">
        <f>VLOOKUP(A:A,MASTER!A:H,8,0)</f>
        <v>0</v>
      </c>
      <c r="Q63" s="12">
        <f t="shared" si="3"/>
        <v>-1</v>
      </c>
      <c r="R63" s="1">
        <f>VLOOKUP(A:A,MASTER!A:B,2,0)</f>
        <v>886</v>
      </c>
      <c r="S63">
        <f>VLOOKUP(A:A,MASTER!A:G,7,0)</f>
        <v>894</v>
      </c>
      <c r="T63" s="12">
        <f t="shared" si="4"/>
        <v>9.0293453724605843E-3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36777108.621974111</v>
      </c>
      <c r="G64" s="1">
        <f>VLOOKUP(A:A,MASTER!A:K,11,0)</f>
        <v>34416120.328050949</v>
      </c>
      <c r="H64" s="12">
        <f t="shared" si="0"/>
        <v>-6.4197224371044914E-2</v>
      </c>
      <c r="I64" s="2">
        <f>VLOOKUP(A:A,MASTER!A:E,5,0)</f>
        <v>1387</v>
      </c>
      <c r="J64" s="2">
        <f>VLOOKUP(A:A,MASTER!A:J,10,0)</f>
        <v>1470</v>
      </c>
      <c r="K64" s="12">
        <f t="shared" si="1"/>
        <v>5.9841384282624421E-2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108</v>
      </c>
      <c r="P64" s="1">
        <f>VLOOKUP(A:A,MASTER!A:H,8,0)</f>
        <v>355</v>
      </c>
      <c r="Q64" s="12">
        <f t="shared" si="3"/>
        <v>2.2870370370370372</v>
      </c>
      <c r="R64" s="1">
        <f>VLOOKUP(A:A,MASTER!A:B,2,0)</f>
        <v>2104</v>
      </c>
      <c r="S64">
        <f>VLOOKUP(A:A,MASTER!A:G,7,0)</f>
        <v>2362</v>
      </c>
      <c r="T64" s="12">
        <f t="shared" si="4"/>
        <v>0.12262357414448677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622601.72598268196</v>
      </c>
      <c r="G65" s="1">
        <f>VLOOKUP(A:A,MASTER!A:K,11,0)</f>
        <v>2808305.1556609101</v>
      </c>
      <c r="H65" s="12">
        <f t="shared" si="0"/>
        <v>3.5105964832147363</v>
      </c>
      <c r="I65" s="2">
        <f>VLOOKUP(A:A,MASTER!A:E,5,0)</f>
        <v>254</v>
      </c>
      <c r="J65" s="2">
        <f>VLOOKUP(A:A,MASTER!A:J,10,0)</f>
        <v>250</v>
      </c>
      <c r="K65" s="12">
        <f t="shared" si="1"/>
        <v>-1.5748031496062964E-2</v>
      </c>
      <c r="L65" s="2">
        <f>VLOOKUP(A:A,MASTER!A:D,4,0)</f>
        <v>0</v>
      </c>
      <c r="M65" s="2">
        <f>VLOOKUP(A:A,MASTER!A:I,9,0)</f>
        <v>0</v>
      </c>
      <c r="N65" s="12">
        <f t="shared" si="2"/>
        <v>0</v>
      </c>
      <c r="O65" s="1">
        <f>VLOOKUP(A:A,MASTER!A:C,3,0)</f>
        <v>0</v>
      </c>
      <c r="P65" s="1">
        <f>VLOOKUP(A:A,MASTER!A:H,8,0)</f>
        <v>2</v>
      </c>
      <c r="Q65" s="12">
        <f t="shared" si="3"/>
        <v>0</v>
      </c>
      <c r="R65" s="1">
        <f>VLOOKUP(A:A,MASTER!A:B,2,0)</f>
        <v>249</v>
      </c>
      <c r="S65">
        <f>VLOOKUP(A:A,MASTER!A:G,7,0)</f>
        <v>243</v>
      </c>
      <c r="T65" s="12">
        <f t="shared" si="4"/>
        <v>-2.4096385542168641E-2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26797354.943077229</v>
      </c>
      <c r="G66" s="1">
        <f>VLOOKUP(A:A,MASTER!A:K,11,0)</f>
        <v>26291966.492786366</v>
      </c>
      <c r="H66" s="12">
        <f t="shared" si="0"/>
        <v>-1.8859639369796177E-2</v>
      </c>
      <c r="I66" s="2">
        <f>VLOOKUP(A:A,MASTER!A:E,5,0)</f>
        <v>1623</v>
      </c>
      <c r="J66" s="2">
        <f>VLOOKUP(A:A,MASTER!A:J,10,0)</f>
        <v>1558</v>
      </c>
      <c r="K66" s="12">
        <f t="shared" si="1"/>
        <v>-4.0049291435613088E-2</v>
      </c>
      <c r="L66" s="2">
        <f>VLOOKUP(A:A,MASTER!A:D,4,0)</f>
        <v>5</v>
      </c>
      <c r="M66" s="2">
        <f>VLOOKUP(A:A,MASTER!A:I,9,0)</f>
        <v>7</v>
      </c>
      <c r="N66" s="12">
        <f t="shared" si="2"/>
        <v>0.39999999999999991</v>
      </c>
      <c r="O66" s="1">
        <f>VLOOKUP(A:A,MASTER!A:C,3,0)</f>
        <v>4</v>
      </c>
      <c r="P66" s="1">
        <f>VLOOKUP(A:A,MASTER!A:H,8,0)</f>
        <v>10</v>
      </c>
      <c r="Q66" s="12">
        <f t="shared" si="3"/>
        <v>1.5</v>
      </c>
      <c r="R66" s="1">
        <f>VLOOKUP(A:A,MASTER!A:B,2,0)</f>
        <v>1674</v>
      </c>
      <c r="S66">
        <f>VLOOKUP(A:A,MASTER!A:G,7,0)</f>
        <v>1607</v>
      </c>
      <c r="T66" s="12">
        <f t="shared" si="4"/>
        <v>-4.0023894862604492E-2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12442434.197569257</v>
      </c>
      <c r="G67" s="1">
        <f>VLOOKUP(A:A,MASTER!A:K,11,0)</f>
        <v>12151901.567606615</v>
      </c>
      <c r="H67" s="12">
        <f t="shared" ref="H67:H85" si="5">IFERROR(G67/F67-1,0)</f>
        <v>-2.335014397901336E-2</v>
      </c>
      <c r="I67" s="2">
        <f>VLOOKUP(A:A,MASTER!A:E,5,0)</f>
        <v>582</v>
      </c>
      <c r="J67" s="2">
        <f>VLOOKUP(A:A,MASTER!A:J,10,0)</f>
        <v>597</v>
      </c>
      <c r="K67" s="12">
        <f t="shared" ref="K67:K85" si="6">IFERROR(J67/I67-1,0)</f>
        <v>2.5773195876288568E-2</v>
      </c>
      <c r="L67" s="2">
        <f>VLOOKUP(A:A,MASTER!A:D,4,0)</f>
        <v>3</v>
      </c>
      <c r="M67" s="2">
        <f>VLOOKUP(A:A,MASTER!A:I,9,0)</f>
        <v>4</v>
      </c>
      <c r="N67" s="12">
        <f t="shared" ref="N67:N85" si="7">IFERROR(M67/L67-1,0)</f>
        <v>0.33333333333333326</v>
      </c>
      <c r="O67" s="1">
        <f>VLOOKUP(A:A,MASTER!A:C,3,0)</f>
        <v>1</v>
      </c>
      <c r="P67" s="1">
        <f>VLOOKUP(A:A,MASTER!A:H,8,0)</f>
        <v>1</v>
      </c>
      <c r="Q67" s="12">
        <f t="shared" ref="Q67:Q85" si="8">IFERROR(P67/O67-1,0)</f>
        <v>0</v>
      </c>
      <c r="R67" s="1">
        <f>VLOOKUP(A:A,MASTER!A:B,2,0)</f>
        <v>721</v>
      </c>
      <c r="S67">
        <f>VLOOKUP(A:A,MASTER!A:G,7,0)</f>
        <v>782</v>
      </c>
      <c r="T67" s="12">
        <f t="shared" ref="T67:T85" si="9">IFERROR(S67/R67-1,0)</f>
        <v>8.46047156726768E-2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17684885.685970344</v>
      </c>
      <c r="G68" s="1">
        <f>VLOOKUP(A:A,MASTER!A:K,11,0)</f>
        <v>19240732.411861435</v>
      </c>
      <c r="H68" s="12">
        <f t="shared" si="5"/>
        <v>8.7976069142780222E-2</v>
      </c>
      <c r="I68" s="2">
        <f>VLOOKUP(A:A,MASTER!A:E,5,0)</f>
        <v>946</v>
      </c>
      <c r="J68" s="2">
        <f>VLOOKUP(A:A,MASTER!A:J,10,0)</f>
        <v>842</v>
      </c>
      <c r="K68" s="12">
        <f t="shared" si="6"/>
        <v>-0.10993657505285415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19</v>
      </c>
      <c r="P68" s="1">
        <f>VLOOKUP(A:A,MASTER!A:H,8,0)</f>
        <v>1</v>
      </c>
      <c r="Q68" s="12">
        <f t="shared" si="8"/>
        <v>-0.94736842105263164</v>
      </c>
      <c r="R68" s="1">
        <f>VLOOKUP(A:A,MASTER!A:B,2,0)</f>
        <v>1365</v>
      </c>
      <c r="S68">
        <f>VLOOKUP(A:A,MASTER!A:G,7,0)</f>
        <v>1515</v>
      </c>
      <c r="T68" s="12">
        <f t="shared" si="9"/>
        <v>0.10989010989010994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12901963.149557795</v>
      </c>
      <c r="G69" s="1">
        <f>VLOOKUP(A:A,MASTER!A:K,11,0)</f>
        <v>15409388.827121716</v>
      </c>
      <c r="H69" s="12">
        <f t="shared" si="5"/>
        <v>0.19434450776972345</v>
      </c>
      <c r="I69" s="2">
        <f>VLOOKUP(A:A,MASTER!A:E,5,0)</f>
        <v>1218</v>
      </c>
      <c r="J69" s="2">
        <f>VLOOKUP(A:A,MASTER!A:J,10,0)</f>
        <v>1426</v>
      </c>
      <c r="K69" s="12">
        <f t="shared" si="6"/>
        <v>0.17077175697865354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1</v>
      </c>
      <c r="P69" s="1">
        <f>VLOOKUP(A:A,MASTER!A:H,8,0)</f>
        <v>1</v>
      </c>
      <c r="Q69" s="12">
        <f t="shared" si="8"/>
        <v>0</v>
      </c>
      <c r="R69" s="1">
        <f>VLOOKUP(A:A,MASTER!A:B,2,0)</f>
        <v>1296</v>
      </c>
      <c r="S69">
        <f>VLOOKUP(A:A,MASTER!A:G,7,0)</f>
        <v>1293</v>
      </c>
      <c r="T69" s="12">
        <f t="shared" si="9"/>
        <v>-2.3148148148147696E-3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32750863.538609803</v>
      </c>
      <c r="G70" s="1">
        <f>VLOOKUP(A:A,MASTER!A:K,11,0)</f>
        <v>33955011.525192656</v>
      </c>
      <c r="H70" s="12">
        <f t="shared" si="5"/>
        <v>3.6766907998114107E-2</v>
      </c>
      <c r="I70" s="2">
        <f>VLOOKUP(A:A,MASTER!A:E,5,0)</f>
        <v>1175</v>
      </c>
      <c r="J70" s="2">
        <f>VLOOKUP(A:A,MASTER!A:J,10,0)</f>
        <v>1330</v>
      </c>
      <c r="K70" s="12">
        <f t="shared" si="6"/>
        <v>0.13191489361702136</v>
      </c>
      <c r="L70" s="2">
        <f>VLOOKUP(A:A,MASTER!A:D,4,0)</f>
        <v>4</v>
      </c>
      <c r="M70" s="2">
        <f>VLOOKUP(A:A,MASTER!A:I,9,0)</f>
        <v>7</v>
      </c>
      <c r="N70" s="12">
        <f t="shared" si="7"/>
        <v>0.75</v>
      </c>
      <c r="O70" s="1">
        <f>VLOOKUP(A:A,MASTER!A:C,3,0)</f>
        <v>6</v>
      </c>
      <c r="P70" s="1">
        <f>VLOOKUP(A:A,MASTER!A:H,8,0)</f>
        <v>6</v>
      </c>
      <c r="Q70" s="12">
        <f t="shared" si="8"/>
        <v>0</v>
      </c>
      <c r="R70" s="1">
        <f>VLOOKUP(A:A,MASTER!A:B,2,0)</f>
        <v>1728</v>
      </c>
      <c r="S70">
        <f>VLOOKUP(A:A,MASTER!A:G,7,0)</f>
        <v>1781</v>
      </c>
      <c r="T70" s="12">
        <f t="shared" si="9"/>
        <v>3.067129629629628E-2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6739342.6329431906</v>
      </c>
      <c r="G71" s="1">
        <f>VLOOKUP(A:A,MASTER!A:K,11,0)</f>
        <v>6439608.1652408363</v>
      </c>
      <c r="H71" s="12">
        <f t="shared" si="5"/>
        <v>-4.4475327050029323E-2</v>
      </c>
      <c r="I71" s="2">
        <f>VLOOKUP(A:A,MASTER!A:E,5,0)</f>
        <v>473</v>
      </c>
      <c r="J71" s="2">
        <f>VLOOKUP(A:A,MASTER!A:J,10,0)</f>
        <v>433</v>
      </c>
      <c r="K71" s="12">
        <f t="shared" si="6"/>
        <v>-8.456659619450313E-2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2</v>
      </c>
      <c r="P71" s="1">
        <f>VLOOKUP(A:A,MASTER!A:H,8,0)</f>
        <v>1</v>
      </c>
      <c r="Q71" s="12">
        <f t="shared" si="8"/>
        <v>-0.5</v>
      </c>
      <c r="R71" s="1">
        <f>VLOOKUP(A:A,MASTER!A:B,2,0)</f>
        <v>512</v>
      </c>
      <c r="S71">
        <f>VLOOKUP(A:A,MASTER!A:G,7,0)</f>
        <v>489</v>
      </c>
      <c r="T71" s="12">
        <f t="shared" si="9"/>
        <v>-4.4921875E-2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10301292.77501234</v>
      </c>
      <c r="G72" s="1">
        <f>VLOOKUP(A:A,MASTER!A:K,11,0)</f>
        <v>12293560.868492804</v>
      </c>
      <c r="H72" s="12">
        <f t="shared" si="5"/>
        <v>0.1933998127218628</v>
      </c>
      <c r="I72" s="2">
        <f>VLOOKUP(A:A,MASTER!A:E,5,0)</f>
        <v>879</v>
      </c>
      <c r="J72" s="2">
        <f>VLOOKUP(A:A,MASTER!A:J,10,0)</f>
        <v>780</v>
      </c>
      <c r="K72" s="12">
        <f t="shared" si="6"/>
        <v>-0.11262798634812288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3</v>
      </c>
      <c r="P72" s="1">
        <f>VLOOKUP(A:A,MASTER!A:H,8,0)</f>
        <v>1</v>
      </c>
      <c r="Q72" s="12">
        <f t="shared" si="8"/>
        <v>-0.66666666666666674</v>
      </c>
      <c r="R72" s="1">
        <f>VLOOKUP(A:A,MASTER!A:B,2,0)</f>
        <v>894</v>
      </c>
      <c r="S72">
        <f>VLOOKUP(A:A,MASTER!A:G,7,0)</f>
        <v>886</v>
      </c>
      <c r="T72" s="12">
        <f t="shared" si="9"/>
        <v>-8.9485458612975632E-3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9995696.629863428</v>
      </c>
      <c r="G73" s="1">
        <f>VLOOKUP(A:A,MASTER!A:K,11,0)</f>
        <v>10923169.481146952</v>
      </c>
      <c r="H73" s="12">
        <f t="shared" si="5"/>
        <v>9.2787214901318693E-2</v>
      </c>
      <c r="I73" s="2">
        <f>VLOOKUP(A:A,MASTER!A:E,5,0)</f>
        <v>437</v>
      </c>
      <c r="J73" s="2">
        <f>VLOOKUP(A:A,MASTER!A:J,10,0)</f>
        <v>465</v>
      </c>
      <c r="K73" s="12">
        <f t="shared" si="6"/>
        <v>6.4073226544622441E-2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0</v>
      </c>
      <c r="P73" s="1">
        <f>VLOOKUP(A:A,MASTER!A:H,8,0)</f>
        <v>2</v>
      </c>
      <c r="Q73" s="12">
        <f t="shared" si="8"/>
        <v>0</v>
      </c>
      <c r="R73" s="1">
        <f>VLOOKUP(A:A,MASTER!A:B,2,0)</f>
        <v>655</v>
      </c>
      <c r="S73">
        <f>VLOOKUP(A:A,MASTER!A:G,7,0)</f>
        <v>626</v>
      </c>
      <c r="T73" s="12">
        <f t="shared" si="9"/>
        <v>-4.4274809160305351E-2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8664072.1058999225</v>
      </c>
      <c r="G74" s="1">
        <f>VLOOKUP(A:A,MASTER!A:K,11,0)</f>
        <v>6517199.5900564799</v>
      </c>
      <c r="H74" s="12">
        <f t="shared" si="5"/>
        <v>-0.24779024107861469</v>
      </c>
      <c r="I74" s="2">
        <f>VLOOKUP(A:A,MASTER!A:E,5,0)</f>
        <v>710</v>
      </c>
      <c r="J74" s="2">
        <f>VLOOKUP(A:A,MASTER!A:J,10,0)</f>
        <v>778</v>
      </c>
      <c r="K74" s="12">
        <f t="shared" si="6"/>
        <v>9.5774647887324038E-2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4</v>
      </c>
      <c r="P74" s="1">
        <f>VLOOKUP(A:A,MASTER!A:H,8,0)</f>
        <v>2</v>
      </c>
      <c r="Q74" s="12">
        <f t="shared" si="8"/>
        <v>-0.5</v>
      </c>
      <c r="R74" s="1">
        <f>VLOOKUP(A:A,MASTER!A:B,2,0)</f>
        <v>589</v>
      </c>
      <c r="S74">
        <f>VLOOKUP(A:A,MASTER!A:G,7,0)</f>
        <v>587</v>
      </c>
      <c r="T74" s="12">
        <f t="shared" si="9"/>
        <v>-3.3955857385399302E-3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9280196.177744668</v>
      </c>
      <c r="G75" s="1">
        <f>VLOOKUP(A:A,MASTER!A:K,11,0)</f>
        <v>7529202.7045356091</v>
      </c>
      <c r="H75" s="12">
        <f t="shared" si="5"/>
        <v>-0.18868065283018576</v>
      </c>
      <c r="I75" s="2">
        <f>VLOOKUP(A:A,MASTER!A:E,5,0)</f>
        <v>452</v>
      </c>
      <c r="J75" s="2">
        <f>VLOOKUP(A:A,MASTER!A:J,10,0)</f>
        <v>426</v>
      </c>
      <c r="K75" s="12">
        <f t="shared" si="6"/>
        <v>-5.7522123893805288E-2</v>
      </c>
      <c r="L75" s="2">
        <f>VLOOKUP(A:A,MASTER!A:D,4,0)</f>
        <v>7</v>
      </c>
      <c r="M75" s="2">
        <f>VLOOKUP(A:A,MASTER!A:I,9,0)</f>
        <v>7</v>
      </c>
      <c r="N75" s="12">
        <f t="shared" si="7"/>
        <v>0</v>
      </c>
      <c r="O75" s="1">
        <f>VLOOKUP(A:A,MASTER!A:C,3,0)</f>
        <v>0</v>
      </c>
      <c r="P75" s="1">
        <f>VLOOKUP(A:A,MASTER!A:H,8,0)</f>
        <v>1</v>
      </c>
      <c r="Q75" s="12">
        <f t="shared" si="8"/>
        <v>0</v>
      </c>
      <c r="R75" s="1">
        <f>VLOOKUP(A:A,MASTER!A:B,2,0)</f>
        <v>440</v>
      </c>
      <c r="S75">
        <f>VLOOKUP(A:A,MASTER!A:G,7,0)</f>
        <v>441</v>
      </c>
      <c r="T75" s="12">
        <f t="shared" si="9"/>
        <v>2.2727272727272041E-3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23425680.163103808</v>
      </c>
      <c r="G76" s="1">
        <f>VLOOKUP(A:A,MASTER!A:K,11,0)</f>
        <v>19142013.66925722</v>
      </c>
      <c r="H76" s="12">
        <f t="shared" si="5"/>
        <v>-0.18286199009040938</v>
      </c>
      <c r="I76" s="2">
        <f>VLOOKUP(A:A,MASTER!A:E,5,0)</f>
        <v>747</v>
      </c>
      <c r="J76" s="2">
        <f>VLOOKUP(A:A,MASTER!A:J,10,0)</f>
        <v>534</v>
      </c>
      <c r="K76" s="12">
        <f t="shared" si="6"/>
        <v>-0.28514056224899598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4</v>
      </c>
      <c r="P76" s="1">
        <f>VLOOKUP(A:A,MASTER!A:H,8,0)</f>
        <v>3</v>
      </c>
      <c r="Q76" s="12">
        <f t="shared" si="8"/>
        <v>-0.25</v>
      </c>
      <c r="R76" s="1">
        <f>VLOOKUP(A:A,MASTER!A:B,2,0)</f>
        <v>950</v>
      </c>
      <c r="S76">
        <f>VLOOKUP(A:A,MASTER!A:G,7,0)</f>
        <v>840</v>
      </c>
      <c r="T76" s="12">
        <f t="shared" si="9"/>
        <v>-0.11578947368421055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14576040.191355832</v>
      </c>
      <c r="G77" s="1">
        <f>VLOOKUP(A:A,MASTER!A:K,11,0)</f>
        <v>14255558.120859461</v>
      </c>
      <c r="H77" s="12">
        <f t="shared" si="5"/>
        <v>-2.1986909084295014E-2</v>
      </c>
      <c r="I77" s="2">
        <f>VLOOKUP(A:A,MASTER!A:E,5,0)</f>
        <v>734</v>
      </c>
      <c r="J77" s="2">
        <f>VLOOKUP(A:A,MASTER!A:J,10,0)</f>
        <v>750</v>
      </c>
      <c r="K77" s="12">
        <f t="shared" si="6"/>
        <v>2.1798365122615904E-2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2</v>
      </c>
      <c r="P77" s="1">
        <f>VLOOKUP(A:A,MASTER!A:H,8,0)</f>
        <v>3</v>
      </c>
      <c r="Q77" s="12">
        <f t="shared" si="8"/>
        <v>0.5</v>
      </c>
      <c r="R77" s="1">
        <f>VLOOKUP(A:A,MASTER!A:B,2,0)</f>
        <v>777</v>
      </c>
      <c r="S77">
        <f>VLOOKUP(A:A,MASTER!A:G,7,0)</f>
        <v>781</v>
      </c>
      <c r="T77" s="12">
        <f t="shared" si="9"/>
        <v>5.1480051480050637E-3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12932652.057971435</v>
      </c>
      <c r="G78" s="1">
        <f>VLOOKUP(A:A,MASTER!A:K,11,0)</f>
        <v>12141154.944297301</v>
      </c>
      <c r="H78" s="12">
        <f t="shared" si="5"/>
        <v>-6.1201454282245993E-2</v>
      </c>
      <c r="I78" s="2">
        <f>VLOOKUP(A:A,MASTER!A:E,5,0)</f>
        <v>1182</v>
      </c>
      <c r="J78" s="2">
        <f>VLOOKUP(A:A,MASTER!A:J,10,0)</f>
        <v>884</v>
      </c>
      <c r="K78" s="12">
        <f t="shared" si="6"/>
        <v>-0.25211505922165822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1</v>
      </c>
      <c r="P78" s="1">
        <f>VLOOKUP(A:A,MASTER!A:H,8,0)</f>
        <v>2</v>
      </c>
      <c r="Q78" s="12">
        <f t="shared" si="8"/>
        <v>1</v>
      </c>
      <c r="R78" s="1">
        <f>VLOOKUP(A:A,MASTER!A:B,2,0)</f>
        <v>971</v>
      </c>
      <c r="S78">
        <f>VLOOKUP(A:A,MASTER!A:G,7,0)</f>
        <v>961</v>
      </c>
      <c r="T78" s="12">
        <f t="shared" si="9"/>
        <v>-1.0298661174047319E-2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9981637.0205054078</v>
      </c>
      <c r="G79" s="1">
        <f>VLOOKUP(A:A,MASTER!A:K,11,0)</f>
        <v>14297155.155265316</v>
      </c>
      <c r="H79" s="12">
        <f t="shared" si="5"/>
        <v>0.43234572905170587</v>
      </c>
      <c r="I79" s="2">
        <f>VLOOKUP(A:A,MASTER!A:E,5,0)</f>
        <v>844</v>
      </c>
      <c r="J79" s="2">
        <f>VLOOKUP(A:A,MASTER!A:J,10,0)</f>
        <v>838</v>
      </c>
      <c r="K79" s="12">
        <f t="shared" si="6"/>
        <v>-7.1090047393365108E-3</v>
      </c>
      <c r="L79" s="2">
        <f>VLOOKUP(A:A,MASTER!A:D,4,0)</f>
        <v>4</v>
      </c>
      <c r="M79" s="2">
        <f>VLOOKUP(A:A,MASTER!A:I,9,0)</f>
        <v>4</v>
      </c>
      <c r="N79" s="12">
        <f t="shared" si="7"/>
        <v>0</v>
      </c>
      <c r="O79" s="1">
        <f>VLOOKUP(A:A,MASTER!A:C,3,0)</f>
        <v>1</v>
      </c>
      <c r="P79" s="1">
        <f>VLOOKUP(A:A,MASTER!A:H,8,0)</f>
        <v>1</v>
      </c>
      <c r="Q79" s="12">
        <f t="shared" si="8"/>
        <v>0</v>
      </c>
      <c r="R79" s="1">
        <f>VLOOKUP(A:A,MASTER!A:B,2,0)</f>
        <v>1007</v>
      </c>
      <c r="S79">
        <f>VLOOKUP(A:A,MASTER!A:G,7,0)</f>
        <v>978</v>
      </c>
      <c r="T79" s="12">
        <f t="shared" si="9"/>
        <v>-2.8798411122144985E-2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14505794.519231632</v>
      </c>
      <c r="G80" s="1">
        <f>VLOOKUP(A:A,MASTER!A:K,11,0)</f>
        <v>16606259.866167733</v>
      </c>
      <c r="H80" s="12">
        <f t="shared" si="5"/>
        <v>0.14480181310657092</v>
      </c>
      <c r="I80" s="2">
        <f>VLOOKUP(A:A,MASTER!A:E,5,0)</f>
        <v>756</v>
      </c>
      <c r="J80" s="2">
        <f>VLOOKUP(A:A,MASTER!A:J,10,0)</f>
        <v>711</v>
      </c>
      <c r="K80" s="12">
        <f t="shared" si="6"/>
        <v>-5.9523809523809534E-2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2</v>
      </c>
      <c r="P80" s="1">
        <f>VLOOKUP(A:A,MASTER!A:H,8,0)</f>
        <v>1</v>
      </c>
      <c r="Q80" s="12">
        <f t="shared" si="8"/>
        <v>-0.5</v>
      </c>
      <c r="R80" s="1">
        <f>VLOOKUP(A:A,MASTER!A:B,2,0)</f>
        <v>745</v>
      </c>
      <c r="S80">
        <f>VLOOKUP(A:A,MASTER!A:G,7,0)</f>
        <v>772</v>
      </c>
      <c r="T80" s="12">
        <f t="shared" si="9"/>
        <v>3.6241610738255048E-2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7293208.2181321681</v>
      </c>
      <c r="G81" s="1">
        <f>VLOOKUP(A:A,MASTER!A:K,11,0)</f>
        <v>6774648.0106049767</v>
      </c>
      <c r="H81" s="12">
        <f t="shared" si="5"/>
        <v>-7.1101796632922376E-2</v>
      </c>
      <c r="I81" s="2">
        <f>VLOOKUP(A:A,MASTER!A:E,5,0)</f>
        <v>599</v>
      </c>
      <c r="J81" s="2">
        <f>VLOOKUP(A:A,MASTER!A:J,10,0)</f>
        <v>517</v>
      </c>
      <c r="K81" s="12">
        <f t="shared" si="6"/>
        <v>-0.13689482470784642</v>
      </c>
      <c r="L81" s="2">
        <f>VLOOKUP(A:A,MASTER!A:D,4,0)</f>
        <v>1</v>
      </c>
      <c r="M81" s="2">
        <f>VLOOKUP(A:A,MASTER!A:I,9,0)</f>
        <v>0</v>
      </c>
      <c r="N81" s="12">
        <f t="shared" si="7"/>
        <v>-1</v>
      </c>
      <c r="O81" s="1">
        <f>VLOOKUP(A:A,MASTER!A:C,3,0)</f>
        <v>1</v>
      </c>
      <c r="P81" s="1">
        <f>VLOOKUP(A:A,MASTER!A:H,8,0)</f>
        <v>3</v>
      </c>
      <c r="Q81" s="12">
        <f t="shared" si="8"/>
        <v>2</v>
      </c>
      <c r="R81" s="1">
        <f>VLOOKUP(A:A,MASTER!A:B,2,0)</f>
        <v>572</v>
      </c>
      <c r="S81">
        <f>VLOOKUP(A:A,MASTER!A:G,7,0)</f>
        <v>558</v>
      </c>
      <c r="T81" s="12">
        <f t="shared" si="9"/>
        <v>-2.4475524475524479E-2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28428762.025288314</v>
      </c>
      <c r="G82" s="1">
        <f>VLOOKUP(A:A,MASTER!A:K,11,0)</f>
        <v>35222545.764984086</v>
      </c>
      <c r="H82" s="12">
        <f t="shared" si="5"/>
        <v>0.23897571528624706</v>
      </c>
      <c r="I82" s="2">
        <f>VLOOKUP(A:A,MASTER!A:E,5,0)</f>
        <v>1277</v>
      </c>
      <c r="J82" s="2">
        <f>VLOOKUP(A:A,MASTER!A:J,10,0)</f>
        <v>1383</v>
      </c>
      <c r="K82" s="12">
        <f t="shared" si="6"/>
        <v>8.3007047768206776E-2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0</v>
      </c>
      <c r="P82" s="1">
        <f>VLOOKUP(A:A,MASTER!A:H,8,0)</f>
        <v>2</v>
      </c>
      <c r="Q82" s="12">
        <f t="shared" si="8"/>
        <v>0</v>
      </c>
      <c r="R82" s="1">
        <f>VLOOKUP(A:A,MASTER!A:B,2,0)</f>
        <v>1750</v>
      </c>
      <c r="S82">
        <f>VLOOKUP(A:A,MASTER!A:G,7,0)</f>
        <v>1782</v>
      </c>
      <c r="T82" s="12">
        <f t="shared" si="9"/>
        <v>1.8285714285714239E-2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5928454.9220199343</v>
      </c>
      <c r="G83" s="1">
        <f>VLOOKUP(A:A,MASTER!A:K,11,0)</f>
        <v>7643312.6360125961</v>
      </c>
      <c r="H83" s="12">
        <f t="shared" si="5"/>
        <v>0.2892587928134871</v>
      </c>
      <c r="I83" s="2">
        <f>VLOOKUP(A:A,MASTER!A:E,5,0)</f>
        <v>692</v>
      </c>
      <c r="J83" s="2">
        <f>VLOOKUP(A:A,MASTER!A:J,10,0)</f>
        <v>701</v>
      </c>
      <c r="K83" s="12">
        <f t="shared" si="6"/>
        <v>1.3005780346820872E-2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572</v>
      </c>
      <c r="S83">
        <f>VLOOKUP(A:A,MASTER!A:G,7,0)</f>
        <v>629</v>
      </c>
      <c r="T83" s="12">
        <f t="shared" si="9"/>
        <v>9.9650349650349579E-2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13656288.42308018</v>
      </c>
      <c r="G84" s="1">
        <f>VLOOKUP(A:A,MASTER!A:K,11,0)</f>
        <v>14040647.878120376</v>
      </c>
      <c r="H84" s="12">
        <f t="shared" si="5"/>
        <v>2.8145235596415796E-2</v>
      </c>
      <c r="I84" s="2">
        <f>VLOOKUP(A:A,MASTER!A:E,5,0)</f>
        <v>548</v>
      </c>
      <c r="J84" s="2">
        <f>VLOOKUP(A:A,MASTER!A:J,10,0)</f>
        <v>607</v>
      </c>
      <c r="K84" s="12">
        <f t="shared" si="6"/>
        <v>0.10766423357664223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3</v>
      </c>
      <c r="P84" s="1">
        <f>VLOOKUP(A:A,MASTER!A:H,8,0)</f>
        <v>3</v>
      </c>
      <c r="Q84" s="12">
        <f t="shared" si="8"/>
        <v>0</v>
      </c>
      <c r="R84" s="1">
        <f>VLOOKUP(A:A,MASTER!A:B,2,0)</f>
        <v>634</v>
      </c>
      <c r="S84">
        <f>VLOOKUP(A:A,MASTER!A:G,7,0)</f>
        <v>657</v>
      </c>
      <c r="T84" s="12">
        <f t="shared" si="9"/>
        <v>3.6277602523659302E-2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3441098.5518438071</v>
      </c>
      <c r="G85" s="1">
        <f>VLOOKUP(A:A,MASTER!A:K,11,0)</f>
        <v>3736480.5201603561</v>
      </c>
      <c r="H85" s="12">
        <f t="shared" si="5"/>
        <v>8.5839438733388729E-2</v>
      </c>
      <c r="I85" s="2">
        <f>VLOOKUP(A:A,MASTER!A:E,5,0)</f>
        <v>330</v>
      </c>
      <c r="J85" s="2">
        <f>VLOOKUP(A:A,MASTER!A:J,10,0)</f>
        <v>348</v>
      </c>
      <c r="K85" s="12">
        <f t="shared" si="6"/>
        <v>5.4545454545454453E-2</v>
      </c>
      <c r="L85" s="2">
        <f>VLOOKUP(A:A,MASTER!A:D,4,0)</f>
        <v>0</v>
      </c>
      <c r="M85" s="2">
        <f>VLOOKUP(A:A,MASTER!A:I,9,0)</f>
        <v>1</v>
      </c>
      <c r="N85" s="12">
        <f t="shared" si="7"/>
        <v>0</v>
      </c>
      <c r="O85" s="1">
        <f>VLOOKUP(A:A,MASTER!A:C,3,0)</f>
        <v>1</v>
      </c>
      <c r="P85" s="1">
        <f>VLOOKUP(A:A,MASTER!A:H,8,0)</f>
        <v>2</v>
      </c>
      <c r="Q85" s="12">
        <f t="shared" si="8"/>
        <v>1</v>
      </c>
      <c r="R85" s="1">
        <f>VLOOKUP(A:A,MASTER!A:B,2,0)</f>
        <v>361</v>
      </c>
      <c r="S85">
        <f>VLOOKUP(A:A,MASTER!A:G,7,0)</f>
        <v>376</v>
      </c>
      <c r="T85" s="12">
        <f t="shared" si="9"/>
        <v>4.1551246537396169E-2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84646</v>
      </c>
      <c r="C3" s="11">
        <f t="shared" si="0"/>
        <v>652</v>
      </c>
      <c r="D3" s="11">
        <f t="shared" si="0"/>
        <v>312</v>
      </c>
      <c r="E3" s="11">
        <f t="shared" si="0"/>
        <v>71621</v>
      </c>
      <c r="F3" s="11">
        <f t="shared" si="0"/>
        <v>1348656223.5730584</v>
      </c>
      <c r="G3" s="11">
        <f t="shared" si="0"/>
        <v>84547</v>
      </c>
      <c r="H3" s="11">
        <f t="shared" si="0"/>
        <v>971</v>
      </c>
      <c r="I3" s="11">
        <f t="shared" si="0"/>
        <v>313</v>
      </c>
      <c r="J3" s="11">
        <f t="shared" si="0"/>
        <v>71605</v>
      </c>
      <c r="K3" s="11">
        <f t="shared" si="0"/>
        <v>1417866992.8139043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417</v>
      </c>
      <c r="C6" s="10">
        <v>0</v>
      </c>
      <c r="D6" s="10">
        <v>2</v>
      </c>
      <c r="E6" s="10">
        <v>336</v>
      </c>
      <c r="F6" s="10">
        <v>6133161.9322233526</v>
      </c>
      <c r="G6" s="10">
        <v>437</v>
      </c>
      <c r="H6" s="10">
        <v>1</v>
      </c>
      <c r="I6" s="10">
        <v>2</v>
      </c>
      <c r="J6" s="10">
        <v>365</v>
      </c>
      <c r="K6" s="10">
        <v>6426890.2879607258</v>
      </c>
    </row>
    <row r="7" spans="1:11" x14ac:dyDescent="0.35">
      <c r="A7" s="9" t="s">
        <v>127</v>
      </c>
      <c r="B7" s="10">
        <v>638</v>
      </c>
      <c r="C7" s="10">
        <v>1</v>
      </c>
      <c r="D7" s="10">
        <v>2</v>
      </c>
      <c r="E7" s="10">
        <v>487</v>
      </c>
      <c r="F7" s="10">
        <v>7408856.1091459207</v>
      </c>
      <c r="G7" s="10">
        <v>568</v>
      </c>
      <c r="H7" s="10">
        <v>4</v>
      </c>
      <c r="I7" s="10">
        <v>3</v>
      </c>
      <c r="J7" s="10">
        <v>487</v>
      </c>
      <c r="K7" s="10">
        <v>6694035.2704439107</v>
      </c>
    </row>
    <row r="8" spans="1:11" x14ac:dyDescent="0.35">
      <c r="A8" s="9" t="s">
        <v>119</v>
      </c>
      <c r="B8" s="10">
        <v>734</v>
      </c>
      <c r="C8" s="10">
        <v>4</v>
      </c>
      <c r="D8" s="10">
        <v>1</v>
      </c>
      <c r="E8" s="10">
        <v>703</v>
      </c>
      <c r="F8" s="10">
        <v>7914319.7785731563</v>
      </c>
      <c r="G8" s="10">
        <v>783</v>
      </c>
      <c r="H8" s="10">
        <v>3</v>
      </c>
      <c r="I8" s="10">
        <v>1</v>
      </c>
      <c r="J8" s="10">
        <v>582</v>
      </c>
      <c r="K8" s="10">
        <v>10142443.009948455</v>
      </c>
    </row>
    <row r="9" spans="1:11" x14ac:dyDescent="0.35">
      <c r="A9" s="9" t="s">
        <v>121</v>
      </c>
      <c r="B9" s="10">
        <v>1208</v>
      </c>
      <c r="C9" s="10">
        <v>2</v>
      </c>
      <c r="D9" s="10">
        <v>3</v>
      </c>
      <c r="E9" s="10">
        <v>1029</v>
      </c>
      <c r="F9" s="10">
        <v>15676332.964186031</v>
      </c>
      <c r="G9" s="10">
        <v>1233</v>
      </c>
      <c r="H9" s="10">
        <v>3</v>
      </c>
      <c r="I9" s="10">
        <v>2</v>
      </c>
      <c r="J9" s="10">
        <v>965</v>
      </c>
      <c r="K9" s="10">
        <v>16412847.693510678</v>
      </c>
    </row>
    <row r="10" spans="1:11" x14ac:dyDescent="0.35">
      <c r="A10" s="9" t="s">
        <v>123</v>
      </c>
      <c r="B10" s="10">
        <v>409</v>
      </c>
      <c r="C10" s="10">
        <v>1</v>
      </c>
      <c r="D10" s="10">
        <v>1</v>
      </c>
      <c r="E10" s="10">
        <v>356</v>
      </c>
      <c r="F10" s="10">
        <v>6756366.5511118118</v>
      </c>
      <c r="G10" s="10">
        <v>396</v>
      </c>
      <c r="H10" s="10">
        <v>3</v>
      </c>
      <c r="I10" s="10">
        <v>1</v>
      </c>
      <c r="J10" s="10">
        <v>352</v>
      </c>
      <c r="K10" s="10">
        <v>7361194.2484042142</v>
      </c>
    </row>
    <row r="11" spans="1:11" x14ac:dyDescent="0.35">
      <c r="A11" s="9" t="s">
        <v>125</v>
      </c>
      <c r="B11" s="10">
        <v>379</v>
      </c>
      <c r="C11" s="10">
        <v>2</v>
      </c>
      <c r="D11" s="10">
        <v>2</v>
      </c>
      <c r="E11" s="10">
        <v>291</v>
      </c>
      <c r="F11" s="10">
        <v>5974812.4305151608</v>
      </c>
      <c r="G11" s="10">
        <v>380</v>
      </c>
      <c r="H11" s="10">
        <v>0</v>
      </c>
      <c r="I11" s="10">
        <v>2</v>
      </c>
      <c r="J11" s="10">
        <v>253</v>
      </c>
      <c r="K11" s="10">
        <v>4574358.0257645678</v>
      </c>
    </row>
    <row r="12" spans="1:11" x14ac:dyDescent="0.35">
      <c r="A12" s="9" t="s">
        <v>131</v>
      </c>
      <c r="B12" s="10">
        <v>591</v>
      </c>
      <c r="C12" s="10">
        <v>0</v>
      </c>
      <c r="D12" s="10">
        <v>4</v>
      </c>
      <c r="E12" s="10">
        <v>512</v>
      </c>
      <c r="F12" s="10">
        <v>6850963.5922380947</v>
      </c>
      <c r="G12" s="10">
        <v>637</v>
      </c>
      <c r="H12" s="10">
        <v>2</v>
      </c>
      <c r="I12" s="10">
        <v>0</v>
      </c>
      <c r="J12" s="10">
        <v>461</v>
      </c>
      <c r="K12" s="10">
        <v>7142647.5146417981</v>
      </c>
    </row>
    <row r="13" spans="1:11" x14ac:dyDescent="0.35">
      <c r="A13" s="9" t="s">
        <v>133</v>
      </c>
      <c r="B13" s="10">
        <v>168</v>
      </c>
      <c r="C13" s="10">
        <v>0</v>
      </c>
      <c r="D13" s="10">
        <v>1</v>
      </c>
      <c r="E13" s="10">
        <v>146</v>
      </c>
      <c r="F13" s="10">
        <v>3088581.578316391</v>
      </c>
      <c r="G13" s="10">
        <v>182</v>
      </c>
      <c r="H13" s="10">
        <v>0</v>
      </c>
      <c r="I13" s="10">
        <v>1</v>
      </c>
      <c r="J13" s="10">
        <v>127</v>
      </c>
      <c r="K13" s="10">
        <v>3323110.0629795291</v>
      </c>
    </row>
    <row r="14" spans="1:11" x14ac:dyDescent="0.35">
      <c r="A14" s="9" t="s">
        <v>141</v>
      </c>
      <c r="B14" s="10">
        <v>180</v>
      </c>
      <c r="C14" s="10">
        <v>0</v>
      </c>
      <c r="D14" s="10">
        <v>1</v>
      </c>
      <c r="E14" s="10">
        <v>1</v>
      </c>
      <c r="F14" s="10">
        <v>268469.072030415</v>
      </c>
      <c r="G14" s="10">
        <v>201</v>
      </c>
      <c r="H14" s="10">
        <v>0</v>
      </c>
      <c r="I14" s="10">
        <v>1</v>
      </c>
      <c r="J14" s="10">
        <v>179</v>
      </c>
      <c r="K14" s="10">
        <v>3241022.5148599562</v>
      </c>
    </row>
    <row r="15" spans="1:11" x14ac:dyDescent="0.35">
      <c r="A15" s="9" t="s">
        <v>135</v>
      </c>
      <c r="B15" s="10">
        <v>383</v>
      </c>
      <c r="C15" s="10">
        <v>1</v>
      </c>
      <c r="D15" s="10">
        <v>1</v>
      </c>
      <c r="E15" s="10">
        <v>509</v>
      </c>
      <c r="F15" s="10">
        <v>6790088.2390767578</v>
      </c>
      <c r="G15" s="10">
        <v>363</v>
      </c>
      <c r="H15" s="10">
        <v>3</v>
      </c>
      <c r="I15" s="10">
        <v>1</v>
      </c>
      <c r="J15" s="10">
        <v>354</v>
      </c>
      <c r="K15" s="10">
        <v>5541699.3345496301</v>
      </c>
    </row>
    <row r="16" spans="1:11" x14ac:dyDescent="0.35">
      <c r="A16" s="9" t="s">
        <v>143</v>
      </c>
      <c r="B16" s="10">
        <v>201</v>
      </c>
      <c r="C16" s="10">
        <v>0</v>
      </c>
      <c r="D16" s="10">
        <v>2</v>
      </c>
      <c r="E16" s="10">
        <v>273</v>
      </c>
      <c r="F16" s="10">
        <v>2950606.2866052231</v>
      </c>
      <c r="G16" s="10">
        <v>235</v>
      </c>
      <c r="H16" s="10">
        <v>0</v>
      </c>
      <c r="I16" s="10">
        <v>2</v>
      </c>
      <c r="J16" s="10">
        <v>209</v>
      </c>
      <c r="K16" s="10">
        <v>2806071.7254887219</v>
      </c>
    </row>
    <row r="17" spans="1:11" x14ac:dyDescent="0.35">
      <c r="A17" s="9" t="s">
        <v>145</v>
      </c>
      <c r="B17" s="10">
        <v>246</v>
      </c>
      <c r="C17" s="10">
        <v>0</v>
      </c>
      <c r="D17" s="10">
        <v>1</v>
      </c>
      <c r="E17" s="10">
        <v>219</v>
      </c>
      <c r="F17" s="10">
        <v>3308609.7061486649</v>
      </c>
      <c r="G17" s="10">
        <v>246</v>
      </c>
      <c r="H17" s="10">
        <v>0</v>
      </c>
      <c r="I17" s="10">
        <v>0</v>
      </c>
      <c r="J17" s="10">
        <v>210</v>
      </c>
      <c r="K17" s="10">
        <v>3322773.159289625</v>
      </c>
    </row>
    <row r="18" spans="1:11" x14ac:dyDescent="0.35">
      <c r="A18" s="9" t="s">
        <v>20</v>
      </c>
      <c r="B18" s="10">
        <v>1426</v>
      </c>
      <c r="C18" s="10">
        <v>2</v>
      </c>
      <c r="D18" s="10">
        <v>3</v>
      </c>
      <c r="E18" s="10">
        <v>867</v>
      </c>
      <c r="F18" s="10">
        <v>9953290.1160668265</v>
      </c>
      <c r="G18" s="10">
        <v>1404</v>
      </c>
      <c r="H18" s="10">
        <v>2</v>
      </c>
      <c r="I18" s="10">
        <v>5</v>
      </c>
      <c r="J18" s="10">
        <v>1283</v>
      </c>
      <c r="K18" s="10">
        <v>18811440.518050212</v>
      </c>
    </row>
    <row r="19" spans="1:11" x14ac:dyDescent="0.35">
      <c r="A19" s="9" t="s">
        <v>45</v>
      </c>
      <c r="B19" s="10">
        <v>1234</v>
      </c>
      <c r="C19" s="10">
        <v>1</v>
      </c>
      <c r="D19" s="10">
        <v>3</v>
      </c>
      <c r="E19" s="10">
        <v>896</v>
      </c>
      <c r="F19" s="10">
        <v>21779025.984482516</v>
      </c>
      <c r="G19" s="10">
        <v>1251</v>
      </c>
      <c r="H19" s="10">
        <v>0</v>
      </c>
      <c r="I19" s="10">
        <v>2</v>
      </c>
      <c r="J19" s="10">
        <v>946</v>
      </c>
      <c r="K19" s="10">
        <v>27426455.115565561</v>
      </c>
    </row>
    <row r="20" spans="1:11" x14ac:dyDescent="0.35">
      <c r="A20" s="9" t="s">
        <v>47</v>
      </c>
      <c r="B20" s="10">
        <v>1026</v>
      </c>
      <c r="C20" s="10">
        <v>2</v>
      </c>
      <c r="D20" s="10">
        <v>5</v>
      </c>
      <c r="E20" s="10">
        <v>943</v>
      </c>
      <c r="F20" s="10">
        <v>12905524.417407267</v>
      </c>
      <c r="G20" s="10">
        <v>1007</v>
      </c>
      <c r="H20" s="10">
        <v>4</v>
      </c>
      <c r="I20" s="10">
        <v>5</v>
      </c>
      <c r="J20" s="10">
        <v>907</v>
      </c>
      <c r="K20" s="10">
        <v>13166622.355437858</v>
      </c>
    </row>
    <row r="21" spans="1:11" x14ac:dyDescent="0.35">
      <c r="A21" s="9" t="s">
        <v>49</v>
      </c>
      <c r="B21" s="10">
        <v>917</v>
      </c>
      <c r="C21" s="10">
        <v>3</v>
      </c>
      <c r="D21" s="10">
        <v>3</v>
      </c>
      <c r="E21" s="10">
        <v>726</v>
      </c>
      <c r="F21" s="10">
        <v>8546617.3825953603</v>
      </c>
      <c r="G21" s="10">
        <v>913</v>
      </c>
      <c r="H21" s="10">
        <v>0</v>
      </c>
      <c r="I21" s="10">
        <v>3</v>
      </c>
      <c r="J21" s="10">
        <v>703</v>
      </c>
      <c r="K21" s="10">
        <v>12639179.227718508</v>
      </c>
    </row>
    <row r="22" spans="1:11" x14ac:dyDescent="0.35">
      <c r="A22" s="9" t="s">
        <v>51</v>
      </c>
      <c r="B22" s="10">
        <v>2942</v>
      </c>
      <c r="C22" s="10">
        <v>168</v>
      </c>
      <c r="D22" s="10">
        <v>10</v>
      </c>
      <c r="E22" s="10">
        <v>2900</v>
      </c>
      <c r="F22" s="10">
        <v>48912893.789661609</v>
      </c>
      <c r="G22" s="10">
        <v>2775</v>
      </c>
      <c r="H22" s="10">
        <v>67</v>
      </c>
      <c r="I22" s="10">
        <v>12</v>
      </c>
      <c r="J22" s="10">
        <v>2455</v>
      </c>
      <c r="K22" s="10">
        <v>44334164.274636917</v>
      </c>
    </row>
    <row r="23" spans="1:11" x14ac:dyDescent="0.35">
      <c r="A23" s="9" t="s">
        <v>53</v>
      </c>
      <c r="B23" s="10">
        <v>1367</v>
      </c>
      <c r="C23" s="10">
        <v>2</v>
      </c>
      <c r="D23" s="10">
        <v>1</v>
      </c>
      <c r="E23" s="10">
        <v>9</v>
      </c>
      <c r="F23" s="10">
        <v>8067116.1734909713</v>
      </c>
      <c r="G23" s="10">
        <v>1358</v>
      </c>
      <c r="H23" s="10">
        <v>4</v>
      </c>
      <c r="I23" s="10">
        <v>2</v>
      </c>
      <c r="J23" s="10">
        <v>1243</v>
      </c>
      <c r="K23" s="10">
        <v>23636147.164518557</v>
      </c>
    </row>
    <row r="24" spans="1:11" x14ac:dyDescent="0.35">
      <c r="A24" s="9" t="s">
        <v>55</v>
      </c>
      <c r="B24" s="10">
        <v>2962</v>
      </c>
      <c r="C24" s="10">
        <v>10</v>
      </c>
      <c r="D24" s="10">
        <v>10</v>
      </c>
      <c r="E24" s="10">
        <v>2214</v>
      </c>
      <c r="F24" s="10">
        <v>47589497.746377259</v>
      </c>
      <c r="G24" s="10">
        <v>2783</v>
      </c>
      <c r="H24" s="10">
        <v>3</v>
      </c>
      <c r="I24" s="10">
        <v>10</v>
      </c>
      <c r="J24" s="10">
        <v>1710</v>
      </c>
      <c r="K24" s="10">
        <v>38442880.37404453</v>
      </c>
    </row>
    <row r="25" spans="1:11" x14ac:dyDescent="0.35">
      <c r="A25" s="9" t="s">
        <v>67</v>
      </c>
      <c r="B25" s="10">
        <v>533</v>
      </c>
      <c r="C25" s="10">
        <v>4</v>
      </c>
      <c r="D25" s="10">
        <v>1</v>
      </c>
      <c r="E25" s="10">
        <v>515</v>
      </c>
      <c r="F25" s="10">
        <v>7103110.1359766154</v>
      </c>
      <c r="G25" s="10">
        <v>531</v>
      </c>
      <c r="H25" s="10">
        <v>2</v>
      </c>
      <c r="I25" s="10">
        <v>1</v>
      </c>
      <c r="J25" s="10">
        <v>505</v>
      </c>
      <c r="K25" s="10">
        <v>6614407.9173041824</v>
      </c>
    </row>
    <row r="26" spans="1:11" x14ac:dyDescent="0.35">
      <c r="A26" s="9" t="s">
        <v>74</v>
      </c>
      <c r="B26" s="10">
        <v>1732</v>
      </c>
      <c r="C26" s="10">
        <v>8</v>
      </c>
      <c r="D26" s="10">
        <v>2</v>
      </c>
      <c r="E26" s="10">
        <v>1334</v>
      </c>
      <c r="F26" s="10">
        <v>19250463.316177037</v>
      </c>
      <c r="G26" s="10">
        <v>1728</v>
      </c>
      <c r="H26" s="10">
        <v>11</v>
      </c>
      <c r="I26" s="10">
        <v>1</v>
      </c>
      <c r="J26" s="10">
        <v>1505</v>
      </c>
      <c r="K26" s="10">
        <v>17836490.49011419</v>
      </c>
    </row>
    <row r="27" spans="1:11" x14ac:dyDescent="0.35">
      <c r="A27" s="9" t="s">
        <v>70</v>
      </c>
      <c r="B27" s="10">
        <v>886</v>
      </c>
      <c r="C27" s="10">
        <v>7</v>
      </c>
      <c r="D27" s="10">
        <v>1</v>
      </c>
      <c r="E27" s="10">
        <v>766</v>
      </c>
      <c r="F27" s="10">
        <v>7823262.2443494322</v>
      </c>
      <c r="G27" s="10">
        <v>838</v>
      </c>
      <c r="H27" s="10">
        <v>3</v>
      </c>
      <c r="I27" s="10">
        <v>0</v>
      </c>
      <c r="J27" s="10">
        <v>789</v>
      </c>
      <c r="K27" s="10">
        <v>7264698.4773071362</v>
      </c>
    </row>
    <row r="28" spans="1:11" x14ac:dyDescent="0.35">
      <c r="A28" s="9" t="s">
        <v>72</v>
      </c>
      <c r="B28" s="10">
        <v>880</v>
      </c>
      <c r="C28" s="10">
        <v>4</v>
      </c>
      <c r="D28" s="10">
        <v>1</v>
      </c>
      <c r="E28" s="10">
        <v>757</v>
      </c>
      <c r="F28" s="10">
        <v>9933707.18830988</v>
      </c>
      <c r="G28" s="10">
        <v>867</v>
      </c>
      <c r="H28" s="10">
        <v>1</v>
      </c>
      <c r="I28" s="10">
        <v>0</v>
      </c>
      <c r="J28" s="10">
        <v>669</v>
      </c>
      <c r="K28" s="10">
        <v>9164224.2770352941</v>
      </c>
    </row>
    <row r="29" spans="1:11" x14ac:dyDescent="0.35">
      <c r="A29" s="9" t="s">
        <v>79</v>
      </c>
      <c r="B29" s="10">
        <v>235</v>
      </c>
      <c r="C29" s="10">
        <v>1</v>
      </c>
      <c r="D29" s="10">
        <v>2</v>
      </c>
      <c r="E29" s="10">
        <v>146</v>
      </c>
      <c r="F29" s="10">
        <v>2051568.491111354</v>
      </c>
      <c r="G29" s="10">
        <v>218</v>
      </c>
      <c r="H29" s="10">
        <v>0</v>
      </c>
      <c r="I29" s="10">
        <v>0</v>
      </c>
      <c r="J29" s="10">
        <v>161</v>
      </c>
      <c r="K29" s="10">
        <v>2229968.7390251779</v>
      </c>
    </row>
    <row r="30" spans="1:11" x14ac:dyDescent="0.35">
      <c r="A30" s="9" t="s">
        <v>109</v>
      </c>
      <c r="B30" s="10">
        <v>1661</v>
      </c>
      <c r="C30" s="10">
        <v>9</v>
      </c>
      <c r="D30" s="10">
        <v>6</v>
      </c>
      <c r="E30" s="10">
        <v>1398</v>
      </c>
      <c r="F30" s="10">
        <v>18618927.923217751</v>
      </c>
      <c r="G30" s="10">
        <v>1646</v>
      </c>
      <c r="H30" s="10">
        <v>2</v>
      </c>
      <c r="I30" s="10">
        <v>6</v>
      </c>
      <c r="J30" s="10">
        <v>1486</v>
      </c>
      <c r="K30" s="10">
        <v>19277893.993381854</v>
      </c>
    </row>
    <row r="31" spans="1:11" x14ac:dyDescent="0.35">
      <c r="A31" s="9" t="s">
        <v>111</v>
      </c>
      <c r="B31" s="10">
        <v>863</v>
      </c>
      <c r="C31" s="10">
        <v>1</v>
      </c>
      <c r="D31" s="10">
        <v>1</v>
      </c>
      <c r="E31" s="10">
        <v>617</v>
      </c>
      <c r="F31" s="10">
        <v>14506889.258832024</v>
      </c>
      <c r="G31" s="10">
        <v>891</v>
      </c>
      <c r="H31" s="10">
        <v>2</v>
      </c>
      <c r="I31" s="10">
        <v>1</v>
      </c>
      <c r="J31" s="10">
        <v>690</v>
      </c>
      <c r="K31" s="10">
        <v>16063145.378722521</v>
      </c>
    </row>
    <row r="32" spans="1:11" x14ac:dyDescent="0.35">
      <c r="A32" s="9" t="s">
        <v>113</v>
      </c>
      <c r="B32" s="10">
        <v>1066</v>
      </c>
      <c r="C32" s="10">
        <v>1</v>
      </c>
      <c r="D32" s="10">
        <v>1</v>
      </c>
      <c r="E32" s="10">
        <v>826</v>
      </c>
      <c r="F32" s="10">
        <v>14387241.825953936</v>
      </c>
      <c r="G32" s="10">
        <v>1024</v>
      </c>
      <c r="H32" s="10">
        <v>1</v>
      </c>
      <c r="I32" s="10">
        <v>2</v>
      </c>
      <c r="J32" s="10">
        <v>664</v>
      </c>
      <c r="K32" s="10">
        <v>15559954.107234888</v>
      </c>
    </row>
    <row r="33" spans="1:11" x14ac:dyDescent="0.35">
      <c r="A33" s="9" t="s">
        <v>115</v>
      </c>
      <c r="B33" s="10">
        <v>1116</v>
      </c>
      <c r="C33" s="10">
        <v>2</v>
      </c>
      <c r="D33" s="10">
        <v>2</v>
      </c>
      <c r="E33" s="10">
        <v>864</v>
      </c>
      <c r="F33" s="10">
        <v>19992124.091455083</v>
      </c>
      <c r="G33" s="10">
        <v>1146</v>
      </c>
      <c r="H33" s="10">
        <v>1</v>
      </c>
      <c r="I33" s="10">
        <v>3</v>
      </c>
      <c r="J33" s="10">
        <v>936</v>
      </c>
      <c r="K33" s="10">
        <v>21918944.083954044</v>
      </c>
    </row>
    <row r="34" spans="1:11" x14ac:dyDescent="0.35">
      <c r="A34" s="9" t="s">
        <v>16</v>
      </c>
      <c r="B34" s="10">
        <v>1478</v>
      </c>
      <c r="C34" s="10">
        <v>3</v>
      </c>
      <c r="D34" s="10">
        <v>5</v>
      </c>
      <c r="E34" s="10">
        <v>1146</v>
      </c>
      <c r="F34" s="10">
        <v>28204861.723208327</v>
      </c>
      <c r="G34" s="10">
        <v>1443</v>
      </c>
      <c r="H34" s="10">
        <v>2</v>
      </c>
      <c r="I34" s="10">
        <v>2</v>
      </c>
      <c r="J34" s="10">
        <v>1204</v>
      </c>
      <c r="K34" s="10">
        <v>30169389.89326692</v>
      </c>
    </row>
    <row r="35" spans="1:11" x14ac:dyDescent="0.35">
      <c r="A35" s="9" t="s">
        <v>18</v>
      </c>
      <c r="B35" s="10">
        <v>678</v>
      </c>
      <c r="C35" s="10">
        <v>0</v>
      </c>
      <c r="D35" s="10">
        <v>5</v>
      </c>
      <c r="E35" s="10">
        <v>528</v>
      </c>
      <c r="F35" s="10">
        <v>11521977.507242309</v>
      </c>
      <c r="G35" s="10">
        <v>682</v>
      </c>
      <c r="H35" s="10">
        <v>0</v>
      </c>
      <c r="I35" s="10">
        <v>5</v>
      </c>
      <c r="J35" s="10">
        <v>679</v>
      </c>
      <c r="K35" s="10">
        <v>10852281.281489624</v>
      </c>
    </row>
    <row r="36" spans="1:11" x14ac:dyDescent="0.35">
      <c r="A36" s="9" t="s">
        <v>43</v>
      </c>
      <c r="B36" s="10">
        <v>1937</v>
      </c>
      <c r="C36" s="10">
        <v>6</v>
      </c>
      <c r="D36" s="10">
        <v>11</v>
      </c>
      <c r="E36" s="10">
        <v>1579</v>
      </c>
      <c r="F36" s="10">
        <v>35178724.13029144</v>
      </c>
      <c r="G36" s="10">
        <v>1855</v>
      </c>
      <c r="H36" s="10">
        <v>2</v>
      </c>
      <c r="I36" s="10">
        <v>6</v>
      </c>
      <c r="J36" s="10">
        <v>1669</v>
      </c>
      <c r="K36" s="10">
        <v>19349044.074072417</v>
      </c>
    </row>
    <row r="37" spans="1:11" x14ac:dyDescent="0.35">
      <c r="A37" s="9" t="s">
        <v>152</v>
      </c>
      <c r="B37" s="10">
        <v>839</v>
      </c>
      <c r="C37" s="10">
        <v>1</v>
      </c>
      <c r="D37" s="10">
        <v>2</v>
      </c>
      <c r="E37" s="10">
        <v>696</v>
      </c>
      <c r="F37" s="10">
        <v>11496843.696313253</v>
      </c>
      <c r="G37" s="10">
        <v>856</v>
      </c>
      <c r="H37" s="10">
        <v>2</v>
      </c>
      <c r="I37" s="10">
        <v>2</v>
      </c>
      <c r="J37" s="10">
        <v>644</v>
      </c>
      <c r="K37" s="10">
        <v>12468667.542720955</v>
      </c>
    </row>
    <row r="38" spans="1:11" x14ac:dyDescent="0.35">
      <c r="A38" s="9" t="s">
        <v>149</v>
      </c>
      <c r="B38" s="10">
        <v>732</v>
      </c>
      <c r="C38" s="10">
        <v>0</v>
      </c>
      <c r="D38" s="10">
        <v>1</v>
      </c>
      <c r="E38" s="10">
        <v>557</v>
      </c>
      <c r="F38" s="10">
        <v>11081479.212508269</v>
      </c>
      <c r="G38" s="10">
        <v>739</v>
      </c>
      <c r="H38" s="10">
        <v>1</v>
      </c>
      <c r="I38" s="10">
        <v>1</v>
      </c>
      <c r="J38" s="10">
        <v>565</v>
      </c>
      <c r="K38" s="10">
        <v>10864601.777345827</v>
      </c>
    </row>
    <row r="39" spans="1:11" x14ac:dyDescent="0.35">
      <c r="A39" s="9" t="s">
        <v>154</v>
      </c>
      <c r="B39" s="10">
        <v>1176</v>
      </c>
      <c r="C39" s="10">
        <v>6</v>
      </c>
      <c r="D39" s="10">
        <v>1</v>
      </c>
      <c r="E39" s="10">
        <v>836</v>
      </c>
      <c r="F39" s="10">
        <v>17141886.430531561</v>
      </c>
      <c r="G39" s="10">
        <v>1184</v>
      </c>
      <c r="H39" s="10">
        <v>5</v>
      </c>
      <c r="I39" s="10">
        <v>2</v>
      </c>
      <c r="J39" s="10">
        <v>817</v>
      </c>
      <c r="K39" s="10">
        <v>19206431.863842171</v>
      </c>
    </row>
    <row r="40" spans="1:11" x14ac:dyDescent="0.35">
      <c r="A40" s="9" t="s">
        <v>2</v>
      </c>
      <c r="B40" s="10">
        <v>1365</v>
      </c>
      <c r="C40" s="10">
        <v>120</v>
      </c>
      <c r="D40" s="10">
        <v>1</v>
      </c>
      <c r="E40" s="10">
        <v>769</v>
      </c>
      <c r="F40" s="10">
        <v>15596539.676497009</v>
      </c>
      <c r="G40" s="10">
        <v>1381</v>
      </c>
      <c r="H40" s="10">
        <v>233</v>
      </c>
      <c r="I40" s="10">
        <v>1</v>
      </c>
      <c r="J40" s="10">
        <v>1028</v>
      </c>
      <c r="K40" s="10">
        <v>17745440.702579733</v>
      </c>
    </row>
    <row r="41" spans="1:11" x14ac:dyDescent="0.35">
      <c r="A41" s="9" t="s">
        <v>156</v>
      </c>
      <c r="B41" s="10">
        <v>2469</v>
      </c>
      <c r="C41" s="10">
        <v>68</v>
      </c>
      <c r="D41" s="10">
        <v>5</v>
      </c>
      <c r="E41" s="10">
        <v>1439</v>
      </c>
      <c r="F41" s="10">
        <v>28549586.631023839</v>
      </c>
      <c r="G41" s="10">
        <v>2195</v>
      </c>
      <c r="H41" s="10">
        <v>118</v>
      </c>
      <c r="I41" s="10">
        <v>5</v>
      </c>
      <c r="J41" s="10">
        <v>1714</v>
      </c>
      <c r="K41" s="10">
        <v>29255931.280371618</v>
      </c>
    </row>
    <row r="42" spans="1:11" x14ac:dyDescent="0.35">
      <c r="A42" s="9" t="s">
        <v>14</v>
      </c>
      <c r="B42" s="10">
        <v>624</v>
      </c>
      <c r="C42" s="10">
        <v>0</v>
      </c>
      <c r="D42" s="10">
        <v>6</v>
      </c>
      <c r="E42" s="10">
        <v>466</v>
      </c>
      <c r="F42" s="10">
        <v>10313879.042900581</v>
      </c>
      <c r="G42" s="10">
        <v>598</v>
      </c>
      <c r="H42" s="10">
        <v>3</v>
      </c>
      <c r="I42" s="10">
        <v>7</v>
      </c>
      <c r="J42" s="10">
        <v>439</v>
      </c>
      <c r="K42" s="10">
        <v>10916359.854945768</v>
      </c>
    </row>
    <row r="43" spans="1:11" x14ac:dyDescent="0.35">
      <c r="A43" s="9" t="s">
        <v>8</v>
      </c>
      <c r="B43" s="10">
        <v>2049</v>
      </c>
      <c r="C43" s="10">
        <v>2</v>
      </c>
      <c r="D43" s="10">
        <v>6</v>
      </c>
      <c r="E43" s="10">
        <v>1934</v>
      </c>
      <c r="F43" s="10">
        <v>34467171.240222543</v>
      </c>
      <c r="G43" s="10">
        <v>2047</v>
      </c>
      <c r="H43" s="10">
        <v>4</v>
      </c>
      <c r="I43" s="10">
        <v>5</v>
      </c>
      <c r="J43" s="10">
        <v>1987</v>
      </c>
      <c r="K43" s="10">
        <v>33435528.542818047</v>
      </c>
    </row>
    <row r="44" spans="1:11" x14ac:dyDescent="0.35">
      <c r="A44" s="9" t="s">
        <v>39</v>
      </c>
      <c r="B44" s="10">
        <v>899</v>
      </c>
      <c r="C44" s="10">
        <v>2</v>
      </c>
      <c r="D44" s="10">
        <v>2</v>
      </c>
      <c r="E44" s="10">
        <v>797</v>
      </c>
      <c r="F44" s="10">
        <v>22237665.004112385</v>
      </c>
      <c r="G44" s="10">
        <v>929</v>
      </c>
      <c r="H44" s="10">
        <v>5</v>
      </c>
      <c r="I44" s="10">
        <v>5</v>
      </c>
      <c r="J44" s="10">
        <v>812</v>
      </c>
      <c r="K44" s="10">
        <v>26120332.746377055</v>
      </c>
    </row>
    <row r="45" spans="1:11" x14ac:dyDescent="0.35">
      <c r="A45" s="9" t="s">
        <v>6</v>
      </c>
      <c r="B45" s="10">
        <v>1085</v>
      </c>
      <c r="C45" s="10">
        <v>0</v>
      </c>
      <c r="D45" s="10">
        <v>3</v>
      </c>
      <c r="E45" s="10">
        <v>925</v>
      </c>
      <c r="F45" s="10">
        <v>10362877.114542577</v>
      </c>
      <c r="G45" s="10">
        <v>1043</v>
      </c>
      <c r="H45" s="10">
        <v>4</v>
      </c>
      <c r="I45" s="10">
        <v>3</v>
      </c>
      <c r="J45" s="10">
        <v>1019</v>
      </c>
      <c r="K45" s="10">
        <v>18743763.672474202</v>
      </c>
    </row>
    <row r="46" spans="1:11" x14ac:dyDescent="0.35">
      <c r="A46" s="9" t="s">
        <v>41</v>
      </c>
      <c r="B46" s="10">
        <v>819</v>
      </c>
      <c r="C46" s="10">
        <v>3</v>
      </c>
      <c r="D46" s="10">
        <v>4</v>
      </c>
      <c r="E46" s="10">
        <v>645</v>
      </c>
      <c r="F46" s="10">
        <v>17698698.547770157</v>
      </c>
      <c r="G46" s="10">
        <v>842</v>
      </c>
      <c r="H46" s="10">
        <v>2</v>
      </c>
      <c r="I46" s="10">
        <v>4</v>
      </c>
      <c r="J46" s="10">
        <v>788</v>
      </c>
      <c r="K46" s="10">
        <v>18394155.295887496</v>
      </c>
    </row>
    <row r="47" spans="1:11" x14ac:dyDescent="0.35">
      <c r="A47" s="9" t="s">
        <v>158</v>
      </c>
      <c r="B47" s="10">
        <v>692</v>
      </c>
      <c r="C47" s="10">
        <v>1</v>
      </c>
      <c r="D47" s="10">
        <v>10</v>
      </c>
      <c r="E47" s="10">
        <v>708</v>
      </c>
      <c r="F47" s="10">
        <v>11326902.340657758</v>
      </c>
      <c r="G47" s="10">
        <v>721</v>
      </c>
      <c r="H47" s="10">
        <v>0</v>
      </c>
      <c r="I47" s="10">
        <v>9</v>
      </c>
      <c r="J47" s="10">
        <v>595</v>
      </c>
      <c r="K47" s="10">
        <v>11180304.84275686</v>
      </c>
    </row>
    <row r="48" spans="1:11" x14ac:dyDescent="0.35">
      <c r="A48" s="9" t="s">
        <v>160</v>
      </c>
      <c r="B48" s="10">
        <v>688</v>
      </c>
      <c r="C48" s="10">
        <v>0</v>
      </c>
      <c r="D48" s="10">
        <v>2</v>
      </c>
      <c r="E48" s="10">
        <v>744</v>
      </c>
      <c r="F48" s="10">
        <v>9749315.3487538137</v>
      </c>
      <c r="G48" s="10">
        <v>706</v>
      </c>
      <c r="H48" s="10">
        <v>0</v>
      </c>
      <c r="I48" s="10">
        <v>2</v>
      </c>
      <c r="J48" s="10">
        <v>778</v>
      </c>
      <c r="K48" s="10">
        <v>10329690.532225767</v>
      </c>
    </row>
    <row r="49" spans="1:11" x14ac:dyDescent="0.35">
      <c r="A49" s="9" t="s">
        <v>83</v>
      </c>
      <c r="B49" s="10">
        <v>1243</v>
      </c>
      <c r="C49" s="10">
        <v>0</v>
      </c>
      <c r="D49" s="10">
        <v>4</v>
      </c>
      <c r="E49" s="10">
        <v>1127</v>
      </c>
      <c r="F49" s="10">
        <v>30643816.421466332</v>
      </c>
      <c r="G49" s="10">
        <v>1278</v>
      </c>
      <c r="H49" s="10">
        <v>1</v>
      </c>
      <c r="I49" s="10">
        <v>6</v>
      </c>
      <c r="J49" s="10">
        <v>1201</v>
      </c>
      <c r="K49" s="10">
        <v>34833280.631897286</v>
      </c>
    </row>
    <row r="50" spans="1:11" x14ac:dyDescent="0.35">
      <c r="A50" s="9" t="s">
        <v>201</v>
      </c>
      <c r="B50" s="10">
        <v>435</v>
      </c>
      <c r="C50" s="10">
        <v>0</v>
      </c>
      <c r="D50" s="10">
        <v>1</v>
      </c>
      <c r="E50" s="10">
        <v>429</v>
      </c>
      <c r="F50" s="10">
        <v>5110675.4936231552</v>
      </c>
      <c r="G50" s="10">
        <v>447</v>
      </c>
      <c r="H50" s="10">
        <v>1</v>
      </c>
      <c r="I50" s="10">
        <v>1</v>
      </c>
      <c r="J50" s="10">
        <v>462</v>
      </c>
      <c r="K50" s="10">
        <v>5328430.7744395826</v>
      </c>
    </row>
    <row r="51" spans="1:11" x14ac:dyDescent="0.35">
      <c r="A51" s="9" t="s">
        <v>31</v>
      </c>
      <c r="B51" s="10">
        <v>914</v>
      </c>
      <c r="C51" s="10">
        <v>2</v>
      </c>
      <c r="D51" s="10">
        <v>8</v>
      </c>
      <c r="E51" s="10">
        <v>3212</v>
      </c>
      <c r="F51" s="10">
        <v>14694364.793953007</v>
      </c>
      <c r="G51" s="10">
        <v>886</v>
      </c>
      <c r="H51" s="10">
        <v>1</v>
      </c>
      <c r="I51" s="10">
        <v>4</v>
      </c>
      <c r="J51" s="10">
        <v>925</v>
      </c>
      <c r="K51" s="10">
        <v>14864008.548044087</v>
      </c>
    </row>
    <row r="52" spans="1:11" x14ac:dyDescent="0.35">
      <c r="A52" s="9" t="s">
        <v>33</v>
      </c>
      <c r="B52" s="10">
        <v>1363</v>
      </c>
      <c r="C52" s="10">
        <v>3</v>
      </c>
      <c r="D52" s="10">
        <v>12</v>
      </c>
      <c r="E52" s="10">
        <v>1033</v>
      </c>
      <c r="F52" s="10">
        <v>26326685.795884985</v>
      </c>
      <c r="G52" s="10">
        <v>1402</v>
      </c>
      <c r="H52" s="10">
        <v>1</v>
      </c>
      <c r="I52" s="10">
        <v>12</v>
      </c>
      <c r="J52" s="10">
        <v>1050</v>
      </c>
      <c r="K52" s="10">
        <v>26740693.628350247</v>
      </c>
    </row>
    <row r="53" spans="1:11" x14ac:dyDescent="0.35">
      <c r="A53" s="9" t="s">
        <v>85</v>
      </c>
      <c r="B53" s="10">
        <v>483</v>
      </c>
      <c r="C53" s="10">
        <v>0</v>
      </c>
      <c r="D53" s="10">
        <v>6</v>
      </c>
      <c r="E53" s="10">
        <v>373</v>
      </c>
      <c r="F53" s="10">
        <v>13634364.861858128</v>
      </c>
      <c r="G53" s="10">
        <v>489</v>
      </c>
      <c r="H53" s="10">
        <v>3</v>
      </c>
      <c r="I53" s="10">
        <v>7</v>
      </c>
      <c r="J53" s="10">
        <v>385</v>
      </c>
      <c r="K53" s="10">
        <v>12304766.659372153</v>
      </c>
    </row>
    <row r="54" spans="1:11" x14ac:dyDescent="0.35">
      <c r="A54" s="9" t="s">
        <v>81</v>
      </c>
      <c r="B54" s="10">
        <v>454</v>
      </c>
      <c r="C54" s="10">
        <v>0</v>
      </c>
      <c r="D54" s="10">
        <v>4</v>
      </c>
      <c r="E54" s="10">
        <v>312</v>
      </c>
      <c r="F54" s="10">
        <v>10085942.515286084</v>
      </c>
      <c r="G54" s="10">
        <v>456</v>
      </c>
      <c r="H54" s="10">
        <v>1</v>
      </c>
      <c r="I54" s="10">
        <v>3</v>
      </c>
      <c r="J54" s="10">
        <v>340</v>
      </c>
      <c r="K54" s="10">
        <v>10771677.970238339</v>
      </c>
    </row>
    <row r="55" spans="1:11" x14ac:dyDescent="0.35">
      <c r="A55" s="9" t="s">
        <v>87</v>
      </c>
      <c r="B55" s="10">
        <v>429</v>
      </c>
      <c r="C55" s="10">
        <v>1</v>
      </c>
      <c r="D55" s="10">
        <v>3</v>
      </c>
      <c r="E55" s="10">
        <v>346</v>
      </c>
      <c r="F55" s="10">
        <v>8794364.8169755638</v>
      </c>
      <c r="G55" s="10">
        <v>402</v>
      </c>
      <c r="H55" s="10">
        <v>0</v>
      </c>
      <c r="I55" s="10">
        <v>2</v>
      </c>
      <c r="J55" s="10">
        <v>319</v>
      </c>
      <c r="K55" s="10">
        <v>5287043.4016682496</v>
      </c>
    </row>
    <row r="56" spans="1:11" x14ac:dyDescent="0.35">
      <c r="A56" s="9" t="s">
        <v>166</v>
      </c>
      <c r="B56" s="10">
        <v>1101</v>
      </c>
      <c r="C56" s="10">
        <v>1</v>
      </c>
      <c r="D56" s="10">
        <v>0</v>
      </c>
      <c r="E56" s="10">
        <v>931</v>
      </c>
      <c r="F56" s="10">
        <v>20589581.956771232</v>
      </c>
      <c r="G56" s="10">
        <v>1098</v>
      </c>
      <c r="H56" s="10">
        <v>2</v>
      </c>
      <c r="I56" s="10">
        <v>0</v>
      </c>
      <c r="J56" s="10">
        <v>940</v>
      </c>
      <c r="K56" s="10">
        <v>21708708.646214969</v>
      </c>
    </row>
    <row r="57" spans="1:11" x14ac:dyDescent="0.35">
      <c r="A57" s="9" t="s">
        <v>93</v>
      </c>
      <c r="B57" s="10">
        <v>973</v>
      </c>
      <c r="C57" s="10">
        <v>2</v>
      </c>
      <c r="D57" s="10">
        <v>1</v>
      </c>
      <c r="E57" s="10">
        <v>891</v>
      </c>
      <c r="F57" s="10">
        <v>18172569.992024127</v>
      </c>
      <c r="G57" s="10">
        <v>932</v>
      </c>
      <c r="H57" s="10">
        <v>4</v>
      </c>
      <c r="I57" s="10">
        <v>2</v>
      </c>
      <c r="J57" s="10">
        <v>805</v>
      </c>
      <c r="K57" s="10">
        <v>21711269.083108783</v>
      </c>
    </row>
    <row r="58" spans="1:11" x14ac:dyDescent="0.35">
      <c r="A58" s="9" t="s">
        <v>95</v>
      </c>
      <c r="B58" s="10">
        <v>2075</v>
      </c>
      <c r="C58" s="10">
        <v>6</v>
      </c>
      <c r="D58" s="10">
        <v>8</v>
      </c>
      <c r="E58" s="10">
        <v>1631</v>
      </c>
      <c r="F58" s="10">
        <v>39084951.029873677</v>
      </c>
      <c r="G58" s="10">
        <v>2110</v>
      </c>
      <c r="H58" s="10">
        <v>9</v>
      </c>
      <c r="I58" s="10">
        <v>9</v>
      </c>
      <c r="J58" s="10">
        <v>1802</v>
      </c>
      <c r="K58" s="10">
        <v>40331079.886328921</v>
      </c>
    </row>
    <row r="59" spans="1:11" x14ac:dyDescent="0.35">
      <c r="A59" s="9" t="s">
        <v>174</v>
      </c>
      <c r="B59" s="10">
        <v>681</v>
      </c>
      <c r="C59" s="10">
        <v>0</v>
      </c>
      <c r="D59" s="10">
        <v>0</v>
      </c>
      <c r="E59" s="10">
        <v>520</v>
      </c>
      <c r="F59" s="10">
        <v>8843951.5906833</v>
      </c>
      <c r="G59" s="10">
        <v>652</v>
      </c>
      <c r="H59" s="10">
        <v>2</v>
      </c>
      <c r="I59" s="10">
        <v>0</v>
      </c>
      <c r="J59" s="10">
        <v>573</v>
      </c>
      <c r="K59" s="10">
        <v>10725083.805626824</v>
      </c>
    </row>
    <row r="60" spans="1:11" x14ac:dyDescent="0.35">
      <c r="A60" s="9" t="s">
        <v>99</v>
      </c>
      <c r="B60" s="10">
        <v>867</v>
      </c>
      <c r="C60" s="10">
        <v>4</v>
      </c>
      <c r="D60" s="10">
        <v>5</v>
      </c>
      <c r="E60" s="10">
        <v>758</v>
      </c>
      <c r="F60" s="10">
        <v>15871422.260580655</v>
      </c>
      <c r="G60" s="10">
        <v>895</v>
      </c>
      <c r="H60" s="10">
        <v>5</v>
      </c>
      <c r="I60" s="10">
        <v>5</v>
      </c>
      <c r="J60" s="10">
        <v>856</v>
      </c>
      <c r="K60" s="10">
        <v>18384833.519360822</v>
      </c>
    </row>
    <row r="61" spans="1:11" x14ac:dyDescent="0.35">
      <c r="A61" s="9" t="s">
        <v>172</v>
      </c>
      <c r="B61" s="10">
        <v>742</v>
      </c>
      <c r="C61" s="10">
        <v>2</v>
      </c>
      <c r="D61" s="10">
        <v>1</v>
      </c>
      <c r="E61" s="10">
        <v>639</v>
      </c>
      <c r="F61" s="10">
        <v>9791521.9231825955</v>
      </c>
      <c r="G61" s="10">
        <v>681</v>
      </c>
      <c r="H61" s="10">
        <v>0</v>
      </c>
      <c r="I61" s="10">
        <v>0</v>
      </c>
      <c r="J61" s="10">
        <v>562</v>
      </c>
      <c r="K61" s="10">
        <v>10484385.024936249</v>
      </c>
    </row>
    <row r="62" spans="1:11" x14ac:dyDescent="0.35">
      <c r="A62" s="9" t="s">
        <v>168</v>
      </c>
      <c r="B62" s="10">
        <v>1103</v>
      </c>
      <c r="C62" s="10">
        <v>4</v>
      </c>
      <c r="D62" s="10">
        <v>0</v>
      </c>
      <c r="E62" s="10">
        <v>999</v>
      </c>
      <c r="F62" s="10">
        <v>21348622.992430314</v>
      </c>
      <c r="G62" s="10">
        <v>1109</v>
      </c>
      <c r="H62" s="10">
        <v>4</v>
      </c>
      <c r="I62" s="10">
        <v>0</v>
      </c>
      <c r="J62" s="10">
        <v>1147</v>
      </c>
      <c r="K62" s="10">
        <v>23099376.1903781</v>
      </c>
    </row>
    <row r="63" spans="1:11" x14ac:dyDescent="0.35">
      <c r="A63" s="9" t="s">
        <v>101</v>
      </c>
      <c r="B63" s="10">
        <v>1399</v>
      </c>
      <c r="C63" s="10">
        <v>1</v>
      </c>
      <c r="D63" s="10">
        <v>4</v>
      </c>
      <c r="E63" s="10">
        <v>1429</v>
      </c>
      <c r="F63" s="10">
        <v>24991750.938691661</v>
      </c>
      <c r="G63" s="10">
        <v>1593</v>
      </c>
      <c r="H63" s="10">
        <v>5</v>
      </c>
      <c r="I63" s="10">
        <v>5</v>
      </c>
      <c r="J63" s="10">
        <v>1600</v>
      </c>
      <c r="K63" s="10">
        <v>31747644.601805378</v>
      </c>
    </row>
    <row r="64" spans="1:11" x14ac:dyDescent="0.35">
      <c r="A64" s="9" t="s">
        <v>103</v>
      </c>
      <c r="B64" s="10">
        <v>773</v>
      </c>
      <c r="C64" s="10">
        <v>1</v>
      </c>
      <c r="D64" s="10">
        <v>3</v>
      </c>
      <c r="E64" s="10">
        <v>688</v>
      </c>
      <c r="F64" s="10">
        <v>14329352.807133865</v>
      </c>
      <c r="G64" s="10">
        <v>795</v>
      </c>
      <c r="H64" s="10">
        <v>2</v>
      </c>
      <c r="I64" s="10">
        <v>5</v>
      </c>
      <c r="J64" s="10">
        <v>769</v>
      </c>
      <c r="K64" s="10">
        <v>12337857.407070264</v>
      </c>
    </row>
    <row r="65" spans="1:11" x14ac:dyDescent="0.35">
      <c r="A65" s="9" t="s">
        <v>105</v>
      </c>
      <c r="B65" s="10">
        <v>648</v>
      </c>
      <c r="C65" s="10">
        <v>4</v>
      </c>
      <c r="D65" s="10">
        <v>5</v>
      </c>
      <c r="E65" s="10">
        <v>478</v>
      </c>
      <c r="F65" s="10">
        <v>15913750.060137004</v>
      </c>
      <c r="G65" s="10">
        <v>637</v>
      </c>
      <c r="H65" s="10">
        <v>3</v>
      </c>
      <c r="I65" s="10">
        <v>7</v>
      </c>
      <c r="J65" s="10">
        <v>485</v>
      </c>
      <c r="K65" s="10">
        <v>16570255.383356037</v>
      </c>
    </row>
    <row r="66" spans="1:11" x14ac:dyDescent="0.35">
      <c r="A66" s="9" t="s">
        <v>24</v>
      </c>
      <c r="B66" s="10">
        <v>2000</v>
      </c>
      <c r="C66" s="10">
        <v>2</v>
      </c>
      <c r="D66" s="10">
        <v>11</v>
      </c>
      <c r="E66" s="10">
        <v>1633</v>
      </c>
      <c r="F66" s="10">
        <v>51156826.689083554</v>
      </c>
      <c r="G66" s="10">
        <v>1984</v>
      </c>
      <c r="H66" s="10">
        <v>10</v>
      </c>
      <c r="I66" s="10">
        <v>12</v>
      </c>
      <c r="J66" s="10">
        <v>1785</v>
      </c>
      <c r="K66" s="10">
        <v>53725402.89775309</v>
      </c>
    </row>
    <row r="67" spans="1:11" x14ac:dyDescent="0.35">
      <c r="A67" s="9" t="s">
        <v>27</v>
      </c>
      <c r="B67" s="10">
        <v>1581</v>
      </c>
      <c r="C67" s="10">
        <v>5</v>
      </c>
      <c r="D67" s="10">
        <v>6</v>
      </c>
      <c r="E67" s="10">
        <v>1195</v>
      </c>
      <c r="F67" s="10">
        <v>36192720.881001942</v>
      </c>
      <c r="G67" s="10">
        <v>1599</v>
      </c>
      <c r="H67" s="10">
        <v>9</v>
      </c>
      <c r="I67" s="10">
        <v>6</v>
      </c>
      <c r="J67" s="10">
        <v>1313</v>
      </c>
      <c r="K67" s="10">
        <v>38409566.627921052</v>
      </c>
    </row>
    <row r="68" spans="1:11" x14ac:dyDescent="0.35">
      <c r="A68" s="9" t="s">
        <v>29</v>
      </c>
      <c r="B68" s="10">
        <v>886</v>
      </c>
      <c r="C68" s="10">
        <v>3</v>
      </c>
      <c r="D68" s="10">
        <v>1</v>
      </c>
      <c r="E68" s="10">
        <v>743</v>
      </c>
      <c r="F68" s="10">
        <v>24480721.503467716</v>
      </c>
      <c r="G68" s="10">
        <v>894</v>
      </c>
      <c r="H68" s="10">
        <v>0</v>
      </c>
      <c r="I68" s="10">
        <v>1</v>
      </c>
      <c r="J68" s="10">
        <v>724</v>
      </c>
      <c r="K68" s="10">
        <v>26258051.197483271</v>
      </c>
    </row>
    <row r="69" spans="1:11" x14ac:dyDescent="0.35">
      <c r="A69" s="9" t="s">
        <v>57</v>
      </c>
      <c r="B69" s="10">
        <v>2104</v>
      </c>
      <c r="C69" s="10">
        <v>108</v>
      </c>
      <c r="D69" s="10">
        <v>12</v>
      </c>
      <c r="E69" s="10">
        <v>1387</v>
      </c>
      <c r="F69" s="10">
        <v>36777108.621974111</v>
      </c>
      <c r="G69" s="10">
        <v>2362</v>
      </c>
      <c r="H69" s="10">
        <v>355</v>
      </c>
      <c r="I69" s="10">
        <v>13</v>
      </c>
      <c r="J69" s="10">
        <v>1470</v>
      </c>
      <c r="K69" s="10">
        <v>34416120.328050949</v>
      </c>
    </row>
    <row r="70" spans="1:11" x14ac:dyDescent="0.35">
      <c r="A70" s="9" t="s">
        <v>137</v>
      </c>
      <c r="B70" s="10">
        <v>249</v>
      </c>
      <c r="C70" s="10">
        <v>0</v>
      </c>
      <c r="D70" s="10">
        <v>0</v>
      </c>
      <c r="E70" s="10">
        <v>254</v>
      </c>
      <c r="F70" s="10">
        <v>622601.72598268196</v>
      </c>
      <c r="G70" s="10">
        <v>243</v>
      </c>
      <c r="H70" s="10">
        <v>2</v>
      </c>
      <c r="I70" s="10">
        <v>0</v>
      </c>
      <c r="J70" s="10">
        <v>250</v>
      </c>
      <c r="K70" s="10">
        <v>2808305.1556609101</v>
      </c>
    </row>
    <row r="71" spans="1:11" x14ac:dyDescent="0.35">
      <c r="A71" s="9" t="s">
        <v>10</v>
      </c>
      <c r="B71" s="10">
        <v>1674</v>
      </c>
      <c r="C71" s="10">
        <v>4</v>
      </c>
      <c r="D71" s="10">
        <v>5</v>
      </c>
      <c r="E71" s="10">
        <v>1623</v>
      </c>
      <c r="F71" s="10">
        <v>26797354.943077229</v>
      </c>
      <c r="G71" s="10">
        <v>1607</v>
      </c>
      <c r="H71" s="10">
        <v>10</v>
      </c>
      <c r="I71" s="10">
        <v>7</v>
      </c>
      <c r="J71" s="10">
        <v>1558</v>
      </c>
      <c r="K71" s="10">
        <v>26291966.492786366</v>
      </c>
    </row>
    <row r="72" spans="1:11" x14ac:dyDescent="0.35">
      <c r="A72" s="9" t="s">
        <v>12</v>
      </c>
      <c r="B72" s="10">
        <v>721</v>
      </c>
      <c r="C72" s="10">
        <v>1</v>
      </c>
      <c r="D72" s="10">
        <v>3</v>
      </c>
      <c r="E72" s="10">
        <v>582</v>
      </c>
      <c r="F72" s="10">
        <v>12442434.197569257</v>
      </c>
      <c r="G72" s="10">
        <v>782</v>
      </c>
      <c r="H72" s="10">
        <v>1</v>
      </c>
      <c r="I72" s="10">
        <v>4</v>
      </c>
      <c r="J72" s="10">
        <v>597</v>
      </c>
      <c r="K72" s="10">
        <v>12151901.567606615</v>
      </c>
    </row>
    <row r="73" spans="1:11" x14ac:dyDescent="0.35">
      <c r="A73" s="9" t="s">
        <v>162</v>
      </c>
      <c r="B73" s="10">
        <v>1365</v>
      </c>
      <c r="C73" s="10">
        <v>19</v>
      </c>
      <c r="D73" s="10">
        <v>4</v>
      </c>
      <c r="E73" s="10">
        <v>946</v>
      </c>
      <c r="F73" s="10">
        <v>17684885.685970344</v>
      </c>
      <c r="G73" s="10">
        <v>1515</v>
      </c>
      <c r="H73" s="10">
        <v>1</v>
      </c>
      <c r="I73" s="10">
        <v>5</v>
      </c>
      <c r="J73" s="10">
        <v>842</v>
      </c>
      <c r="K73" s="10">
        <v>19240732.411861435</v>
      </c>
    </row>
    <row r="74" spans="1:11" x14ac:dyDescent="0.35">
      <c r="A74" s="9" t="s">
        <v>63</v>
      </c>
      <c r="B74" s="10">
        <v>1296</v>
      </c>
      <c r="C74" s="10">
        <v>1</v>
      </c>
      <c r="D74" s="10">
        <v>5</v>
      </c>
      <c r="E74" s="10">
        <v>1218</v>
      </c>
      <c r="F74" s="10">
        <v>12901963.149557795</v>
      </c>
      <c r="G74" s="10">
        <v>1293</v>
      </c>
      <c r="H74" s="10">
        <v>1</v>
      </c>
      <c r="I74" s="10">
        <v>4</v>
      </c>
      <c r="J74" s="10">
        <v>1426</v>
      </c>
      <c r="K74" s="10">
        <v>15409388.827121716</v>
      </c>
    </row>
    <row r="75" spans="1:11" x14ac:dyDescent="0.35">
      <c r="A75" s="9" t="s">
        <v>59</v>
      </c>
      <c r="B75" s="10">
        <v>1728</v>
      </c>
      <c r="C75" s="10">
        <v>6</v>
      </c>
      <c r="D75" s="10">
        <v>4</v>
      </c>
      <c r="E75" s="10">
        <v>1175</v>
      </c>
      <c r="F75" s="10">
        <v>32750863.538609803</v>
      </c>
      <c r="G75" s="10">
        <v>1781</v>
      </c>
      <c r="H75" s="10">
        <v>6</v>
      </c>
      <c r="I75" s="10">
        <v>7</v>
      </c>
      <c r="J75" s="10">
        <v>1330</v>
      </c>
      <c r="K75" s="10">
        <v>33955011.525192656</v>
      </c>
    </row>
    <row r="76" spans="1:11" x14ac:dyDescent="0.35">
      <c r="A76" s="9" t="s">
        <v>139</v>
      </c>
      <c r="B76" s="10">
        <v>512</v>
      </c>
      <c r="C76" s="10">
        <v>2</v>
      </c>
      <c r="D76" s="10">
        <v>1</v>
      </c>
      <c r="E76" s="10">
        <v>473</v>
      </c>
      <c r="F76" s="10">
        <v>6739342.6329431906</v>
      </c>
      <c r="G76" s="10">
        <v>489</v>
      </c>
      <c r="H76" s="10">
        <v>1</v>
      </c>
      <c r="I76" s="10">
        <v>1</v>
      </c>
      <c r="J76" s="10">
        <v>433</v>
      </c>
      <c r="K76" s="10">
        <v>6439608.1652408363</v>
      </c>
    </row>
    <row r="77" spans="1:11" x14ac:dyDescent="0.35">
      <c r="A77" s="9" t="s">
        <v>170</v>
      </c>
      <c r="B77" s="10">
        <v>894</v>
      </c>
      <c r="C77" s="10">
        <v>3</v>
      </c>
      <c r="D77" s="10">
        <v>1</v>
      </c>
      <c r="E77" s="10">
        <v>879</v>
      </c>
      <c r="F77" s="10">
        <v>10301292.77501234</v>
      </c>
      <c r="G77" s="10">
        <v>886</v>
      </c>
      <c r="H77" s="10">
        <v>1</v>
      </c>
      <c r="I77" s="10">
        <v>0</v>
      </c>
      <c r="J77" s="10">
        <v>780</v>
      </c>
      <c r="K77" s="10">
        <v>12293560.868492804</v>
      </c>
    </row>
    <row r="78" spans="1:11" x14ac:dyDescent="0.35">
      <c r="A78" s="9" t="s">
        <v>61</v>
      </c>
      <c r="B78" s="10">
        <v>655</v>
      </c>
      <c r="C78" s="10">
        <v>0</v>
      </c>
      <c r="D78" s="10">
        <v>3</v>
      </c>
      <c r="E78" s="10">
        <v>437</v>
      </c>
      <c r="F78" s="10">
        <v>9995696.629863428</v>
      </c>
      <c r="G78" s="10">
        <v>626</v>
      </c>
      <c r="H78" s="10">
        <v>2</v>
      </c>
      <c r="I78" s="10">
        <v>3</v>
      </c>
      <c r="J78" s="10">
        <v>465</v>
      </c>
      <c r="K78" s="10">
        <v>10923169.481146952</v>
      </c>
    </row>
    <row r="79" spans="1:11" x14ac:dyDescent="0.35">
      <c r="A79" s="9" t="s">
        <v>129</v>
      </c>
      <c r="B79" s="10">
        <v>589</v>
      </c>
      <c r="C79" s="10">
        <v>4</v>
      </c>
      <c r="D79" s="10">
        <v>1</v>
      </c>
      <c r="E79" s="10">
        <v>710</v>
      </c>
      <c r="F79" s="10">
        <v>8664072.1058999225</v>
      </c>
      <c r="G79" s="10">
        <v>587</v>
      </c>
      <c r="H79" s="10">
        <v>2</v>
      </c>
      <c r="I79" s="10">
        <v>1</v>
      </c>
      <c r="J79" s="10">
        <v>778</v>
      </c>
      <c r="K79" s="10">
        <v>6517199.5900564799</v>
      </c>
    </row>
    <row r="80" spans="1:11" x14ac:dyDescent="0.35">
      <c r="A80" s="9" t="s">
        <v>35</v>
      </c>
      <c r="B80" s="10">
        <v>440</v>
      </c>
      <c r="C80" s="10">
        <v>0</v>
      </c>
      <c r="D80" s="10">
        <v>7</v>
      </c>
      <c r="E80" s="10">
        <v>452</v>
      </c>
      <c r="F80" s="10">
        <v>9280196.177744668</v>
      </c>
      <c r="G80" s="10">
        <v>441</v>
      </c>
      <c r="H80" s="10">
        <v>1</v>
      </c>
      <c r="I80" s="10">
        <v>7</v>
      </c>
      <c r="J80" s="10">
        <v>426</v>
      </c>
      <c r="K80" s="10">
        <v>7529202.7045356091</v>
      </c>
    </row>
    <row r="81" spans="1:11" x14ac:dyDescent="0.35">
      <c r="A81" s="9" t="s">
        <v>107</v>
      </c>
      <c r="B81" s="10">
        <v>950</v>
      </c>
      <c r="C81" s="10">
        <v>4</v>
      </c>
      <c r="D81" s="10">
        <v>3</v>
      </c>
      <c r="E81" s="10">
        <v>747</v>
      </c>
      <c r="F81" s="10">
        <v>23425680.163103808</v>
      </c>
      <c r="G81" s="10">
        <v>840</v>
      </c>
      <c r="H81" s="10">
        <v>3</v>
      </c>
      <c r="I81" s="10">
        <v>3</v>
      </c>
      <c r="J81" s="10">
        <v>534</v>
      </c>
      <c r="K81" s="10">
        <v>19142013.66925722</v>
      </c>
    </row>
    <row r="82" spans="1:11" x14ac:dyDescent="0.35">
      <c r="A82" s="9" t="s">
        <v>37</v>
      </c>
      <c r="B82" s="10">
        <v>777</v>
      </c>
      <c r="C82" s="10">
        <v>2</v>
      </c>
      <c r="D82" s="10">
        <v>10</v>
      </c>
      <c r="E82" s="10">
        <v>734</v>
      </c>
      <c r="F82" s="10">
        <v>14576040.191355832</v>
      </c>
      <c r="G82" s="10">
        <v>781</v>
      </c>
      <c r="H82" s="10">
        <v>3</v>
      </c>
      <c r="I82" s="10">
        <v>9</v>
      </c>
      <c r="J82" s="10">
        <v>750</v>
      </c>
      <c r="K82" s="10">
        <v>14255558.120859461</v>
      </c>
    </row>
    <row r="83" spans="1:11" x14ac:dyDescent="0.35">
      <c r="A83" s="9" t="s">
        <v>76</v>
      </c>
      <c r="B83" s="10">
        <v>971</v>
      </c>
      <c r="C83" s="10">
        <v>1</v>
      </c>
      <c r="D83" s="10">
        <v>2</v>
      </c>
      <c r="E83" s="10">
        <v>1182</v>
      </c>
      <c r="F83" s="10">
        <v>12932652.057971435</v>
      </c>
      <c r="G83" s="10">
        <v>961</v>
      </c>
      <c r="H83" s="10">
        <v>2</v>
      </c>
      <c r="I83" s="10">
        <v>2</v>
      </c>
      <c r="J83" s="10">
        <v>884</v>
      </c>
      <c r="K83" s="10">
        <v>12141154.944297301</v>
      </c>
    </row>
    <row r="84" spans="1:11" x14ac:dyDescent="0.35">
      <c r="A84" s="9" t="s">
        <v>65</v>
      </c>
      <c r="B84" s="10">
        <v>1007</v>
      </c>
      <c r="C84" s="10">
        <v>1</v>
      </c>
      <c r="D84" s="10">
        <v>4</v>
      </c>
      <c r="E84" s="10">
        <v>844</v>
      </c>
      <c r="F84" s="10">
        <v>9981637.0205054078</v>
      </c>
      <c r="G84" s="10">
        <v>978</v>
      </c>
      <c r="H84" s="10">
        <v>1</v>
      </c>
      <c r="I84" s="10">
        <v>4</v>
      </c>
      <c r="J84" s="10">
        <v>838</v>
      </c>
      <c r="K84" s="10">
        <v>14297155.155265316</v>
      </c>
    </row>
    <row r="85" spans="1:11" x14ac:dyDescent="0.35">
      <c r="A85" s="9" t="s">
        <v>89</v>
      </c>
      <c r="B85" s="10">
        <v>745</v>
      </c>
      <c r="C85" s="10">
        <v>2</v>
      </c>
      <c r="D85" s="10">
        <v>6</v>
      </c>
      <c r="E85" s="10">
        <v>756</v>
      </c>
      <c r="F85" s="10">
        <v>14505794.519231632</v>
      </c>
      <c r="G85" s="10">
        <v>772</v>
      </c>
      <c r="H85" s="10">
        <v>1</v>
      </c>
      <c r="I85" s="10">
        <v>7</v>
      </c>
      <c r="J85" s="10">
        <v>711</v>
      </c>
      <c r="K85" s="10">
        <v>16606259.866167733</v>
      </c>
    </row>
    <row r="86" spans="1:11" x14ac:dyDescent="0.35">
      <c r="A86" s="9" t="s">
        <v>147</v>
      </c>
      <c r="B86" s="10">
        <v>572</v>
      </c>
      <c r="C86" s="10">
        <v>1</v>
      </c>
      <c r="D86" s="10">
        <v>1</v>
      </c>
      <c r="E86" s="10">
        <v>599</v>
      </c>
      <c r="F86" s="10">
        <v>7293208.2181321681</v>
      </c>
      <c r="G86" s="10">
        <v>558</v>
      </c>
      <c r="H86" s="10">
        <v>3</v>
      </c>
      <c r="I86" s="10">
        <v>0</v>
      </c>
      <c r="J86" s="10">
        <v>517</v>
      </c>
      <c r="K86" s="10">
        <v>6774648.0106049767</v>
      </c>
    </row>
    <row r="87" spans="1:11" x14ac:dyDescent="0.35">
      <c r="A87" s="9" t="s">
        <v>164</v>
      </c>
      <c r="B87" s="10">
        <v>1750</v>
      </c>
      <c r="C87" s="10">
        <v>0</v>
      </c>
      <c r="D87" s="10">
        <v>10</v>
      </c>
      <c r="E87" s="10">
        <v>1277</v>
      </c>
      <c r="F87" s="10">
        <v>28428762.025288314</v>
      </c>
      <c r="G87" s="10">
        <v>1782</v>
      </c>
      <c r="H87" s="10">
        <v>2</v>
      </c>
      <c r="I87" s="10">
        <v>9</v>
      </c>
      <c r="J87" s="10">
        <v>1383</v>
      </c>
      <c r="K87" s="10">
        <v>35222545.764984086</v>
      </c>
    </row>
    <row r="88" spans="1:11" x14ac:dyDescent="0.35">
      <c r="A88" s="9" t="s">
        <v>91</v>
      </c>
      <c r="B88" s="10">
        <v>572</v>
      </c>
      <c r="C88" s="10">
        <v>0</v>
      </c>
      <c r="D88" s="10">
        <v>3</v>
      </c>
      <c r="E88" s="10">
        <v>692</v>
      </c>
      <c r="F88" s="10">
        <v>5928454.9220199343</v>
      </c>
      <c r="G88" s="10">
        <v>629</v>
      </c>
      <c r="H88" s="10">
        <v>2</v>
      </c>
      <c r="I88" s="10">
        <v>3</v>
      </c>
      <c r="J88" s="10">
        <v>701</v>
      </c>
      <c r="K88" s="10">
        <v>7643312.6360125961</v>
      </c>
    </row>
    <row r="89" spans="1:11" x14ac:dyDescent="0.35">
      <c r="A89" s="9" t="s">
        <v>97</v>
      </c>
      <c r="B89" s="10">
        <v>634</v>
      </c>
      <c r="C89" s="10">
        <v>3</v>
      </c>
      <c r="D89" s="10">
        <v>7</v>
      </c>
      <c r="E89" s="10">
        <v>548</v>
      </c>
      <c r="F89" s="10">
        <v>13656288.42308018</v>
      </c>
      <c r="G89" s="10">
        <v>657</v>
      </c>
      <c r="H89" s="10">
        <v>3</v>
      </c>
      <c r="I89" s="10">
        <v>8</v>
      </c>
      <c r="J89" s="10">
        <v>607</v>
      </c>
      <c r="K89" s="10">
        <v>14040647.878120376</v>
      </c>
    </row>
    <row r="90" spans="1:11" x14ac:dyDescent="0.35">
      <c r="A90" s="9" t="s">
        <v>78</v>
      </c>
      <c r="B90" s="10">
        <v>361</v>
      </c>
      <c r="C90" s="10">
        <v>1</v>
      </c>
      <c r="D90" s="10">
        <v>0</v>
      </c>
      <c r="E90" s="10">
        <v>330</v>
      </c>
      <c r="F90" s="10">
        <v>3441098.5518438071</v>
      </c>
      <c r="G90" s="10">
        <v>376</v>
      </c>
      <c r="H90" s="10">
        <v>2</v>
      </c>
      <c r="I90" s="10">
        <v>1</v>
      </c>
      <c r="J90" s="10">
        <v>348</v>
      </c>
      <c r="K90" s="10">
        <v>3736480.5201603561</v>
      </c>
    </row>
    <row r="91" spans="1:11" x14ac:dyDescent="0.35">
      <c r="A91" s="14" t="s">
        <v>203</v>
      </c>
      <c r="B91" s="13">
        <v>84646</v>
      </c>
      <c r="C91" s="13">
        <v>652</v>
      </c>
      <c r="D91" s="13">
        <v>312</v>
      </c>
      <c r="E91" s="13">
        <v>71621</v>
      </c>
      <c r="F91" s="13">
        <v>1348656223.5730584</v>
      </c>
      <c r="G91" s="13">
        <v>84547</v>
      </c>
      <c r="H91" s="13">
        <v>971</v>
      </c>
      <c r="I91" s="13">
        <v>313</v>
      </c>
      <c r="J91" s="13">
        <v>71605</v>
      </c>
      <c r="K91" s="13">
        <v>1417866992.8139043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2026-09-11T06:50:19Z</dcterms:modified>
</cp:coreProperties>
</file>