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N5" i="3" s="1"/>
  <c r="O5" i="3"/>
  <c r="P5" i="3"/>
  <c r="S5" i="3"/>
  <c r="T5" i="3" s="1"/>
  <c r="F6" i="3"/>
  <c r="G6" i="3"/>
  <c r="I6" i="3"/>
  <c r="J6" i="3"/>
  <c r="K6" i="3" s="1"/>
  <c r="L6" i="3"/>
  <c r="M6" i="3"/>
  <c r="N6" i="3" s="1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N9" i="3" s="1"/>
  <c r="O9" i="3"/>
  <c r="P9" i="3"/>
  <c r="S9" i="3"/>
  <c r="T9" i="3" s="1"/>
  <c r="F10" i="3"/>
  <c r="G10" i="3"/>
  <c r="I10" i="3"/>
  <c r="J10" i="3"/>
  <c r="K10" i="3" s="1"/>
  <c r="L10" i="3"/>
  <c r="M10" i="3"/>
  <c r="N10" i="3" s="1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N13" i="3" s="1"/>
  <c r="O13" i="3"/>
  <c r="P13" i="3"/>
  <c r="S13" i="3"/>
  <c r="T13" i="3" s="1"/>
  <c r="F14" i="3"/>
  <c r="G14" i="3"/>
  <c r="I14" i="3"/>
  <c r="J14" i="3"/>
  <c r="K14" i="3" s="1"/>
  <c r="L14" i="3"/>
  <c r="M14" i="3"/>
  <c r="N14" i="3" s="1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K18" i="3" s="1"/>
  <c r="L18" i="3"/>
  <c r="M18" i="3"/>
  <c r="N18" i="3" s="1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K22" i="3" s="1"/>
  <c r="L22" i="3"/>
  <c r="M22" i="3"/>
  <c r="N22" i="3" s="1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K26" i="3" s="1"/>
  <c r="L26" i="3"/>
  <c r="M26" i="3"/>
  <c r="N26" i="3" s="1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K30" i="3" s="1"/>
  <c r="L30" i="3"/>
  <c r="M30" i="3"/>
  <c r="N30" i="3" s="1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K34" i="3" s="1"/>
  <c r="L34" i="3"/>
  <c r="M34" i="3"/>
  <c r="N34" i="3" s="1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K38" i="3" s="1"/>
  <c r="L38" i="3"/>
  <c r="M38" i="3"/>
  <c r="N38" i="3" s="1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K42" i="3" s="1"/>
  <c r="L42" i="3"/>
  <c r="M42" i="3"/>
  <c r="N42" i="3" s="1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K46" i="3" s="1"/>
  <c r="L46" i="3"/>
  <c r="M46" i="3"/>
  <c r="N46" i="3" s="1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K50" i="3" s="1"/>
  <c r="L50" i="3"/>
  <c r="M50" i="3"/>
  <c r="N50" i="3" s="1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K54" i="3" s="1"/>
  <c r="L54" i="3"/>
  <c r="M54" i="3"/>
  <c r="N54" i="3" s="1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Q57" i="3" s="1"/>
  <c r="S57" i="3"/>
  <c r="T57" i="3" s="1"/>
  <c r="F58" i="3"/>
  <c r="G58" i="3"/>
  <c r="I58" i="3"/>
  <c r="J58" i="3"/>
  <c r="K58" i="3" s="1"/>
  <c r="L58" i="3"/>
  <c r="M58" i="3"/>
  <c r="N58" i="3" s="1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Q61" i="3" s="1"/>
  <c r="S61" i="3"/>
  <c r="T61" i="3" s="1"/>
  <c r="F62" i="3"/>
  <c r="G62" i="3"/>
  <c r="I62" i="3"/>
  <c r="J62" i="3"/>
  <c r="K62" i="3" s="1"/>
  <c r="L62" i="3"/>
  <c r="M62" i="3"/>
  <c r="N62" i="3" s="1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Q65" i="3" s="1"/>
  <c r="S65" i="3"/>
  <c r="T65" i="3" s="1"/>
  <c r="F66" i="3"/>
  <c r="G66" i="3"/>
  <c r="I66" i="3"/>
  <c r="J66" i="3"/>
  <c r="K66" i="3" s="1"/>
  <c r="L66" i="3"/>
  <c r="M66" i="3"/>
  <c r="N66" i="3" s="1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Q69" i="3" s="1"/>
  <c r="S69" i="3"/>
  <c r="T69" i="3" s="1"/>
  <c r="F70" i="3"/>
  <c r="G70" i="3"/>
  <c r="I70" i="3"/>
  <c r="J70" i="3"/>
  <c r="K70" i="3" s="1"/>
  <c r="L70" i="3"/>
  <c r="M70" i="3"/>
  <c r="N70" i="3" s="1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Q73" i="3" s="1"/>
  <c r="S73" i="3"/>
  <c r="T73" i="3" s="1"/>
  <c r="F74" i="3"/>
  <c r="G74" i="3"/>
  <c r="I74" i="3"/>
  <c r="J74" i="3"/>
  <c r="K74" i="3" s="1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Q77" i="3" s="1"/>
  <c r="S77" i="3"/>
  <c r="T77" i="3" s="1"/>
  <c r="F78" i="3"/>
  <c r="G78" i="3"/>
  <c r="I78" i="3"/>
  <c r="J78" i="3"/>
  <c r="K78" i="3" s="1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K82" i="3" s="1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64" i="3" l="1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<sst xmlns="http://schemas.openxmlformats.org/spreadsheetml/2006/main" count="539" uniqueCount="204">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</sst>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sqref="A1:C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10081819.681227973</v>
      </c>
      <c r="G2" s="1">
        <f>VLOOKUP(A:A,MASTER!A:K,11,0)</f>
        <v>9328903.5811648574</v>
      </c>
      <c r="H2" s="12">
        <f>IFERROR(G2/F2-1,0)</f>
        <v>-7.4680575914784608E-2</v>
      </c>
      <c r="I2" s="2">
        <f>VLOOKUP(A:A,MASTER!A:E,5,0)</f>
        <v>288</v>
      </c>
      <c r="J2" s="2">
        <f>VLOOKUP(A:A,MASTER!A:J,10,0)</f>
        <v>386</v>
      </c>
      <c r="K2" s="12">
        <f>IFERROR(J2/I2-1,0)</f>
        <v>0.34027777777777768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0</v>
      </c>
      <c r="Q2" s="12">
        <f>IFERROR(P2/O2-1,0)</f>
        <v>-1</v>
      </c>
      <c r="R2" s="1">
        <f>VLOOKUP(A:A,MASTER!A:B,2,0)</f>
        <v>408</v>
      </c>
      <c r="S2">
        <f>VLOOKUP(A:A,MASTER!A:G,7,0)</f>
        <v>416</v>
      </c>
      <c r="T2" s="12">
        <f>IFERROR(S2/R2-1,0)</f>
        <v>1.9607843137254832E-2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12646261.849610392</v>
      </c>
      <c r="G3" s="1">
        <f>VLOOKUP(A:A,MASTER!A:K,11,0)</f>
        <v>10997989.293437231</v>
      </c>
      <c r="H3" s="12">
        <f t="shared" ref="H3:H66" si="0">IFERROR(G3/F3-1,0)</f>
        <v>-0.13033674106818693</v>
      </c>
      <c r="I3" s="2">
        <f>VLOOKUP(A:A,MASTER!A:E,5,0)</f>
        <v>550</v>
      </c>
      <c r="J3" s="2">
        <f>VLOOKUP(A:A,MASTER!A:J,10,0)</f>
        <v>1204</v>
      </c>
      <c r="K3" s="12">
        <f t="shared" ref="K3:K66" si="1">IFERROR(J3/I3-1,0)</f>
        <v>1.189090909090909</v>
      </c>
      <c r="L3" s="2">
        <f>VLOOKUP(A:A,MASTER!A:D,4,0)</f>
        <v>1</v>
      </c>
      <c r="M3" s="2">
        <f>VLOOKUP(A:A,MASTER!A:I,9,0)</f>
        <v>3</v>
      </c>
      <c r="N3" s="12">
        <f t="shared" ref="N3:N66" si="2">IFERROR(M3/L3-1,0)</f>
        <v>2</v>
      </c>
      <c r="O3" s="1">
        <f>VLOOKUP(A:A,MASTER!A:C,3,0)</f>
        <v>1</v>
      </c>
      <c r="P3" s="1">
        <f>VLOOKUP(A:A,MASTER!A:H,8,0)</f>
        <v>4</v>
      </c>
      <c r="Q3" s="12">
        <f t="shared" ref="Q3:Q66" si="3">IFERROR(P3/O3-1,0)</f>
        <v>3</v>
      </c>
      <c r="R3" s="1">
        <f>VLOOKUP(A:A,MASTER!A:B,2,0)</f>
        <v>675</v>
      </c>
      <c r="S3">
        <f>VLOOKUP(A:A,MASTER!A:G,7,0)</f>
        <v>648</v>
      </c>
      <c r="T3" s="12">
        <f t="shared" ref="T3:T66" si="4">IFERROR(S3/R3-1,0)</f>
        <v>-4.0000000000000036E-2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12713958.118884431</v>
      </c>
      <c r="G4" s="1">
        <f>VLOOKUP(A:A,MASTER!A:K,11,0)</f>
        <v>14219634.224562662</v>
      </c>
      <c r="H4" s="12">
        <f t="shared" si="0"/>
        <v>0.1184270147501747</v>
      </c>
      <c r="I4" s="2">
        <f>VLOOKUP(A:A,MASTER!A:E,5,0)</f>
        <v>658</v>
      </c>
      <c r="J4" s="2">
        <f>VLOOKUP(A:A,MASTER!A:J,10,0)</f>
        <v>737</v>
      </c>
      <c r="K4" s="12">
        <f t="shared" si="1"/>
        <v>0.12006079027355621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3</v>
      </c>
      <c r="P4" s="1">
        <f>VLOOKUP(A:A,MASTER!A:H,8,0)</f>
        <v>6</v>
      </c>
      <c r="Q4" s="12">
        <f t="shared" si="3"/>
        <v>1</v>
      </c>
      <c r="R4" s="1">
        <f>VLOOKUP(A:A,MASTER!A:B,2,0)</f>
        <v>681</v>
      </c>
      <c r="S4">
        <f>VLOOKUP(A:A,MASTER!A:G,7,0)</f>
        <v>743</v>
      </c>
      <c r="T4" s="12">
        <f t="shared" si="4"/>
        <v>9.1042584434654961E-2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23642031.302799549</v>
      </c>
      <c r="G5" s="1">
        <f>VLOOKUP(A:A,MASTER!A:K,11,0)</f>
        <v>23896411.194066271</v>
      </c>
      <c r="H5" s="12">
        <f t="shared" si="0"/>
        <v>1.0759646157671776E-2</v>
      </c>
      <c r="I5" s="2">
        <f>VLOOKUP(A:A,MASTER!A:E,5,0)</f>
        <v>1981</v>
      </c>
      <c r="J5" s="2">
        <f>VLOOKUP(A:A,MASTER!A:J,10,0)</f>
        <v>1071</v>
      </c>
      <c r="K5" s="12">
        <f t="shared" si="1"/>
        <v>-0.45936395759717319</v>
      </c>
      <c r="L5" s="2">
        <f>VLOOKUP(A:A,MASTER!A:D,4,0)</f>
        <v>3</v>
      </c>
      <c r="M5" s="2">
        <f>VLOOKUP(A:A,MASTER!A:I,9,0)</f>
        <v>4</v>
      </c>
      <c r="N5" s="12">
        <f t="shared" si="2"/>
        <v>0.33333333333333326</v>
      </c>
      <c r="O5" s="1">
        <f>VLOOKUP(A:A,MASTER!A:C,3,0)</f>
        <v>4</v>
      </c>
      <c r="P5" s="1">
        <f>VLOOKUP(A:A,MASTER!A:H,8,0)</f>
        <v>4</v>
      </c>
      <c r="Q5" s="12">
        <f t="shared" si="3"/>
        <v>0</v>
      </c>
      <c r="R5" s="1">
        <f>VLOOKUP(A:A,MASTER!A:B,2,0)</f>
        <v>1190</v>
      </c>
      <c r="S5">
        <f>VLOOKUP(A:A,MASTER!A:G,7,0)</f>
        <v>1212</v>
      </c>
      <c r="T5" s="12">
        <f t="shared" si="4"/>
        <v>1.8487394957983128E-2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9596873.4474547114</v>
      </c>
      <c r="G6" s="1">
        <f>VLOOKUP(A:A,MASTER!A:K,11,0)</f>
        <v>10735578.1970079</v>
      </c>
      <c r="H6" s="12">
        <f t="shared" si="0"/>
        <v>0.11865372152585762</v>
      </c>
      <c r="I6" s="2">
        <f>VLOOKUP(A:A,MASTER!A:E,5,0)</f>
        <v>328</v>
      </c>
      <c r="J6" s="2">
        <f>VLOOKUP(A:A,MASTER!A:J,10,0)</f>
        <v>361</v>
      </c>
      <c r="K6" s="12">
        <f t="shared" si="1"/>
        <v>0.10060975609756095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407</v>
      </c>
      <c r="S6">
        <f>VLOOKUP(A:A,MASTER!A:G,7,0)</f>
        <v>407</v>
      </c>
      <c r="T6" s="12">
        <f t="shared" si="4"/>
        <v>0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8856040.2209448274</v>
      </c>
      <c r="G7" s="1">
        <f>VLOOKUP(A:A,MASTER!A:K,11,0)</f>
        <v>8947473.0958644543</v>
      </c>
      <c r="H7" s="12">
        <f t="shared" si="0"/>
        <v>1.0324351813961297E-2</v>
      </c>
      <c r="I7" s="2">
        <f>VLOOKUP(A:A,MASTER!A:E,5,0)</f>
        <v>313</v>
      </c>
      <c r="J7" s="2">
        <f>VLOOKUP(A:A,MASTER!A:J,10,0)</f>
        <v>274</v>
      </c>
      <c r="K7" s="12">
        <f t="shared" si="1"/>
        <v>-0.12460063897763574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3</v>
      </c>
      <c r="Q7" s="12">
        <f t="shared" si="3"/>
        <v>0.5</v>
      </c>
      <c r="R7" s="1">
        <f>VLOOKUP(A:A,MASTER!A:B,2,0)</f>
        <v>367</v>
      </c>
      <c r="S7">
        <f>VLOOKUP(A:A,MASTER!A:G,7,0)</f>
        <v>381</v>
      </c>
      <c r="T7" s="12">
        <f t="shared" si="4"/>
        <v>3.8147138964577554E-2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10119494.23898562</v>
      </c>
      <c r="G8" s="1">
        <f>VLOOKUP(A:A,MASTER!A:K,11,0)</f>
        <v>10567198.582857665</v>
      </c>
      <c r="H8" s="12">
        <f t="shared" si="0"/>
        <v>4.4241770714908979E-2</v>
      </c>
      <c r="I8" s="2">
        <f>VLOOKUP(A:A,MASTER!A:E,5,0)</f>
        <v>481</v>
      </c>
      <c r="J8" s="2">
        <f>VLOOKUP(A:A,MASTER!A:J,10,0)</f>
        <v>516</v>
      </c>
      <c r="K8" s="12">
        <f t="shared" si="1"/>
        <v>7.2765072765072825E-2</v>
      </c>
      <c r="L8" s="2">
        <f>VLOOKUP(A:A,MASTER!A:D,4,0)</f>
        <v>1</v>
      </c>
      <c r="M8" s="2">
        <f>VLOOKUP(A:A,MASTER!A:I,9,0)</f>
        <v>3</v>
      </c>
      <c r="N8" s="12">
        <f t="shared" si="2"/>
        <v>2</v>
      </c>
      <c r="O8" s="1">
        <f>VLOOKUP(A:A,MASTER!A:C,3,0)</f>
        <v>0</v>
      </c>
      <c r="P8" s="1">
        <f>VLOOKUP(A:A,MASTER!A:H,8,0)</f>
        <v>1</v>
      </c>
      <c r="Q8" s="12">
        <f t="shared" si="3"/>
        <v>0</v>
      </c>
      <c r="R8" s="1">
        <f>VLOOKUP(A:A,MASTER!A:B,2,0)</f>
        <v>597</v>
      </c>
      <c r="S8">
        <f>VLOOKUP(A:A,MASTER!A:G,7,0)</f>
        <v>595</v>
      </c>
      <c r="T8" s="12">
        <f t="shared" si="4"/>
        <v>-3.3500837520937798E-3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4689917.3020850392</v>
      </c>
      <c r="G9" s="1">
        <f>VLOOKUP(A:A,MASTER!A:K,11,0)</f>
        <v>4719781.875237532</v>
      </c>
      <c r="H9" s="12">
        <f t="shared" si="0"/>
        <v>6.3678251083907345E-3</v>
      </c>
      <c r="I9" s="2">
        <f>VLOOKUP(A:A,MASTER!A:E,5,0)</f>
        <v>140</v>
      </c>
      <c r="J9" s="2">
        <f>VLOOKUP(A:A,MASTER!A:J,10,0)</f>
        <v>146</v>
      </c>
      <c r="K9" s="12">
        <f t="shared" si="1"/>
        <v>4.2857142857142927E-2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169</v>
      </c>
      <c r="S9">
        <f>VLOOKUP(A:A,MASTER!A:G,7,0)</f>
        <v>168</v>
      </c>
      <c r="T9" s="12">
        <f t="shared" si="4"/>
        <v>-5.9171597633136397E-3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4570511.2464642841</v>
      </c>
      <c r="G10" s="1">
        <f>VLOOKUP(A:A,MASTER!A:K,11,0)</f>
        <v>1301677.642551824</v>
      </c>
      <c r="H10" s="12">
        <f t="shared" si="0"/>
        <v>-0.7152008665203935</v>
      </c>
      <c r="I10" s="2">
        <f>VLOOKUP(A:A,MASTER!A:E,5,0)</f>
        <v>135</v>
      </c>
      <c r="J10" s="2">
        <f>VLOOKUP(A:A,MASTER!A:J,10,0)</f>
        <v>137</v>
      </c>
      <c r="K10" s="12">
        <f t="shared" si="1"/>
        <v>1.4814814814814836E-2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202</v>
      </c>
      <c r="S10">
        <f>VLOOKUP(A:A,MASTER!A:G,7,0)</f>
        <v>184</v>
      </c>
      <c r="T10" s="12">
        <f t="shared" si="4"/>
        <v>-8.9108910891089077E-2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7208654.6195380623</v>
      </c>
      <c r="G11" s="1">
        <f>VLOOKUP(A:A,MASTER!A:K,11,0)</f>
        <v>9475751.8262754045</v>
      </c>
      <c r="H11" s="12">
        <f t="shared" si="0"/>
        <v>0.31449657757117233</v>
      </c>
      <c r="I11" s="2">
        <f>VLOOKUP(A:A,MASTER!A:E,5,0)</f>
        <v>339</v>
      </c>
      <c r="J11" s="2">
        <f>VLOOKUP(A:A,MASTER!A:J,10,0)</f>
        <v>356</v>
      </c>
      <c r="K11" s="12">
        <f t="shared" si="1"/>
        <v>5.0147492625368661E-2</v>
      </c>
      <c r="L11" s="2">
        <f>VLOOKUP(A:A,MASTER!A:D,4,0)</f>
        <v>0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1</v>
      </c>
      <c r="Q11" s="12">
        <f t="shared" si="3"/>
        <v>0</v>
      </c>
      <c r="R11" s="1">
        <f>VLOOKUP(A:A,MASTER!A:B,2,0)</f>
        <v>345</v>
      </c>
      <c r="S11">
        <f>VLOOKUP(A:A,MASTER!A:G,7,0)</f>
        <v>374</v>
      </c>
      <c r="T11" s="12">
        <f t="shared" si="4"/>
        <v>8.405797101449286E-2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3398341.1812919341</v>
      </c>
      <c r="G12" s="1">
        <f>VLOOKUP(A:A,MASTER!A:K,11,0)</f>
        <v>4599522.8086553616</v>
      </c>
      <c r="H12" s="12">
        <f t="shared" si="0"/>
        <v>0.35346116333933808</v>
      </c>
      <c r="I12" s="2">
        <f>VLOOKUP(A:A,MASTER!A:E,5,0)</f>
        <v>227</v>
      </c>
      <c r="J12" s="2">
        <f>VLOOKUP(A:A,MASTER!A:J,10,0)</f>
        <v>424</v>
      </c>
      <c r="K12" s="12">
        <f t="shared" si="1"/>
        <v>0.86784140969163004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213</v>
      </c>
      <c r="S12">
        <f>VLOOKUP(A:A,MASTER!A:G,7,0)</f>
        <v>213</v>
      </c>
      <c r="T12" s="12">
        <f t="shared" si="4"/>
        <v>0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4634949.7732747439</v>
      </c>
      <c r="G13" s="1">
        <f>VLOOKUP(A:A,MASTER!A:K,11,0)</f>
        <v>4996010.6418833202</v>
      </c>
      <c r="H13" s="12">
        <f t="shared" si="0"/>
        <v>7.7899629180549823E-2</v>
      </c>
      <c r="I13" s="2">
        <f>VLOOKUP(A:A,MASTER!A:E,5,0)</f>
        <v>197</v>
      </c>
      <c r="J13" s="2">
        <f>VLOOKUP(A:A,MASTER!A:J,10,0)</f>
        <v>227</v>
      </c>
      <c r="K13" s="12">
        <f t="shared" si="1"/>
        <v>0.15228426395939088</v>
      </c>
      <c r="L13" s="2">
        <f>VLOOKUP(A:A,MASTER!A:D,4,0)</f>
        <v>0</v>
      </c>
      <c r="M13" s="2">
        <f>VLOOKUP(A:A,MASTER!A:I,9,0)</f>
        <v>2</v>
      </c>
      <c r="N13" s="12">
        <f t="shared" si="2"/>
        <v>0</v>
      </c>
      <c r="O13" s="1">
        <f>VLOOKUP(A:A,MASTER!A:C,3,0)</f>
        <v>7</v>
      </c>
      <c r="P13" s="1">
        <f>VLOOKUP(A:A,MASTER!A:H,8,0)</f>
        <v>1</v>
      </c>
      <c r="Q13" s="12">
        <f t="shared" si="3"/>
        <v>-0.85714285714285721</v>
      </c>
      <c r="R13" s="1">
        <f>VLOOKUP(A:A,MASTER!A:B,2,0)</f>
        <v>251</v>
      </c>
      <c r="S13">
        <f>VLOOKUP(A:A,MASTER!A:G,7,0)</f>
        <v>246</v>
      </c>
      <c r="T13" s="12">
        <f t="shared" si="4"/>
        <v>-1.9920318725099584E-2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8173457.9071941637</v>
      </c>
      <c r="G14" s="1">
        <f>VLOOKUP(A:A,MASTER!A:K,11,0)</f>
        <v>19523999.849815324</v>
      </c>
      <c r="H14" s="12">
        <f t="shared" si="0"/>
        <v>1.3887074566849571</v>
      </c>
      <c r="I14" s="2">
        <f>VLOOKUP(A:A,MASTER!A:E,5,0)</f>
        <v>999</v>
      </c>
      <c r="J14" s="2">
        <f>VLOOKUP(A:A,MASTER!A:J,10,0)</f>
        <v>1223</v>
      </c>
      <c r="K14" s="12">
        <f t="shared" si="1"/>
        <v>0.22422422422422428</v>
      </c>
      <c r="L14" s="2">
        <f>VLOOKUP(A:A,MASTER!A:D,4,0)</f>
        <v>1</v>
      </c>
      <c r="M14" s="2">
        <f>VLOOKUP(A:A,MASTER!A:I,9,0)</f>
        <v>3</v>
      </c>
      <c r="N14" s="12">
        <f t="shared" si="2"/>
        <v>2</v>
      </c>
      <c r="O14" s="1">
        <f>VLOOKUP(A:A,MASTER!A:C,3,0)</f>
        <v>0</v>
      </c>
      <c r="P14" s="1">
        <f>VLOOKUP(A:A,MASTER!A:H,8,0)</f>
        <v>3</v>
      </c>
      <c r="Q14" s="12">
        <f t="shared" si="3"/>
        <v>0</v>
      </c>
      <c r="R14" s="1">
        <f>VLOOKUP(A:A,MASTER!A:B,2,0)</f>
        <v>1419</v>
      </c>
      <c r="S14">
        <f>VLOOKUP(A:A,MASTER!A:G,7,0)</f>
        <v>1432</v>
      </c>
      <c r="T14" s="12">
        <f t="shared" si="4"/>
        <v>9.1613812544044659E-3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33256265.103515387</v>
      </c>
      <c r="G15" s="1">
        <f>VLOOKUP(A:A,MASTER!A:K,11,0)</f>
        <v>34614044.554706417</v>
      </c>
      <c r="H15" s="12">
        <f t="shared" si="0"/>
        <v>4.0827779276016996E-2</v>
      </c>
      <c r="I15" s="2">
        <f>VLOOKUP(A:A,MASTER!A:E,5,0)</f>
        <v>922</v>
      </c>
      <c r="J15" s="2">
        <f>VLOOKUP(A:A,MASTER!A:J,10,0)</f>
        <v>1013</v>
      </c>
      <c r="K15" s="12">
        <f t="shared" si="1"/>
        <v>9.8698481561822149E-2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0</v>
      </c>
      <c r="P15" s="1">
        <f>VLOOKUP(A:A,MASTER!A:H,8,0)</f>
        <v>1</v>
      </c>
      <c r="Q15" s="12">
        <f t="shared" si="3"/>
        <v>0</v>
      </c>
      <c r="R15" s="1">
        <f>VLOOKUP(A:A,MASTER!A:B,2,0)</f>
        <v>1294</v>
      </c>
      <c r="S15">
        <f>VLOOKUP(A:A,MASTER!A:G,7,0)</f>
        <v>1234</v>
      </c>
      <c r="T15" s="12">
        <f t="shared" si="4"/>
        <v>-4.6367851622874823E-2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19360881.193097025</v>
      </c>
      <c r="G16" s="1">
        <f>VLOOKUP(A:A,MASTER!A:K,11,0)</f>
        <v>19707768.173094597</v>
      </c>
      <c r="H16" s="12">
        <f t="shared" si="0"/>
        <v>1.7916900400238633E-2</v>
      </c>
      <c r="I16" s="2">
        <f>VLOOKUP(A:A,MASTER!A:E,5,0)</f>
        <v>910</v>
      </c>
      <c r="J16" s="2">
        <f>VLOOKUP(A:A,MASTER!A:J,10,0)</f>
        <v>918</v>
      </c>
      <c r="K16" s="12">
        <f t="shared" si="1"/>
        <v>8.79120879120876E-3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2</v>
      </c>
      <c r="P16" s="1">
        <f>VLOOKUP(A:A,MASTER!A:H,8,0)</f>
        <v>3</v>
      </c>
      <c r="Q16" s="12">
        <f t="shared" si="3"/>
        <v>0.5</v>
      </c>
      <c r="R16" s="1">
        <f>VLOOKUP(A:A,MASTER!A:B,2,0)</f>
        <v>1021</v>
      </c>
      <c r="S16">
        <f>VLOOKUP(A:A,MASTER!A:G,7,0)</f>
        <v>1024</v>
      </c>
      <c r="T16" s="12">
        <f t="shared" si="4"/>
        <v>2.9382957884427352E-3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19456613.387876816</v>
      </c>
      <c r="G17" s="1">
        <f>VLOOKUP(A:A,MASTER!A:K,11,0)</f>
        <v>14701576.182038048</v>
      </c>
      <c r="H17" s="12">
        <f t="shared" si="0"/>
        <v>-0.24439182251529834</v>
      </c>
      <c r="I17" s="2">
        <f>VLOOKUP(A:A,MASTER!A:E,5,0)</f>
        <v>633</v>
      </c>
      <c r="J17" s="2">
        <f>VLOOKUP(A:A,MASTER!A:J,10,0)</f>
        <v>654</v>
      </c>
      <c r="K17" s="12">
        <f t="shared" si="1"/>
        <v>3.3175355450236976E-2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949</v>
      </c>
      <c r="S17">
        <f>VLOOKUP(A:A,MASTER!A:G,7,0)</f>
        <v>912</v>
      </c>
      <c r="T17" s="12">
        <f t="shared" si="4"/>
        <v>-3.8988408851422518E-2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66752926.934528187</v>
      </c>
      <c r="G18" s="1">
        <f>VLOOKUP(A:A,MASTER!A:K,11,0)</f>
        <v>72814817.405791759</v>
      </c>
      <c r="H18" s="12">
        <f t="shared" si="0"/>
        <v>9.0810856536809537E-2</v>
      </c>
      <c r="I18" s="2">
        <f>VLOOKUP(A:A,MASTER!A:E,5,0)</f>
        <v>2123</v>
      </c>
      <c r="J18" s="2">
        <f>VLOOKUP(A:A,MASTER!A:J,10,0)</f>
        <v>2002</v>
      </c>
      <c r="K18" s="12">
        <f t="shared" si="1"/>
        <v>-5.6994818652849721E-2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118</v>
      </c>
      <c r="P18" s="1">
        <f>VLOOKUP(A:A,MASTER!A:H,8,0)</f>
        <v>175</v>
      </c>
      <c r="Q18" s="12">
        <f t="shared" si="3"/>
        <v>0.48305084745762716</v>
      </c>
      <c r="R18" s="1">
        <f>VLOOKUP(A:A,MASTER!A:B,2,0)</f>
        <v>2745</v>
      </c>
      <c r="S18">
        <f>VLOOKUP(A:A,MASTER!A:G,7,0)</f>
        <v>2837</v>
      </c>
      <c r="T18" s="12">
        <f t="shared" si="4"/>
        <v>3.3515482695810617E-2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36794577.136621326</v>
      </c>
      <c r="G19" s="1">
        <f>VLOOKUP(A:A,MASTER!A:K,11,0)</f>
        <v>18253988.933064144</v>
      </c>
      <c r="H19" s="12">
        <f t="shared" si="0"/>
        <v>-0.50389458573513246</v>
      </c>
      <c r="I19" s="2">
        <f>VLOOKUP(A:A,MASTER!A:E,5,0)</f>
        <v>1169</v>
      </c>
      <c r="J19" s="2">
        <f>VLOOKUP(A:A,MASTER!A:J,10,0)</f>
        <v>1176</v>
      </c>
      <c r="K19" s="12">
        <f t="shared" si="1"/>
        <v>5.9880239520957446E-3</v>
      </c>
      <c r="L19" s="2">
        <f>VLOOKUP(A:A,MASTER!A:D,4,0)</f>
        <v>2</v>
      </c>
      <c r="M19" s="2">
        <f>VLOOKUP(A:A,MASTER!A:I,9,0)</f>
        <v>1</v>
      </c>
      <c r="N19" s="12">
        <f t="shared" si="2"/>
        <v>-0.5</v>
      </c>
      <c r="O19" s="1">
        <f>VLOOKUP(A:A,MASTER!A:C,3,0)</f>
        <v>0</v>
      </c>
      <c r="P19" s="1">
        <f>VLOOKUP(A:A,MASTER!A:H,8,0)</f>
        <v>5</v>
      </c>
      <c r="Q19" s="12">
        <f t="shared" si="3"/>
        <v>0</v>
      </c>
      <c r="R19" s="1">
        <f>VLOOKUP(A:A,MASTER!A:B,2,0)</f>
        <v>1452</v>
      </c>
      <c r="S19">
        <f>VLOOKUP(A:A,MASTER!A:G,7,0)</f>
        <v>1375</v>
      </c>
      <c r="T19" s="12">
        <f t="shared" si="4"/>
        <v>-5.3030303030302983E-2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73829830.108036533</v>
      </c>
      <c r="G20" s="1">
        <f>VLOOKUP(A:A,MASTER!A:K,11,0)</f>
        <v>72601988.544970065</v>
      </c>
      <c r="H20" s="12">
        <f t="shared" si="0"/>
        <v>-1.6630697392500338E-2</v>
      </c>
      <c r="I20" s="2">
        <f>VLOOKUP(A:A,MASTER!A:E,5,0)</f>
        <v>2398</v>
      </c>
      <c r="J20" s="2">
        <f>VLOOKUP(A:A,MASTER!A:J,10,0)</f>
        <v>2168</v>
      </c>
      <c r="K20" s="12">
        <f t="shared" si="1"/>
        <v>-9.591326105087572E-2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12</v>
      </c>
      <c r="P20" s="1">
        <f>VLOOKUP(A:A,MASTER!A:H,8,0)</f>
        <v>16</v>
      </c>
      <c r="Q20" s="12">
        <f t="shared" si="3"/>
        <v>0.33333333333333326</v>
      </c>
      <c r="R20" s="1">
        <f>VLOOKUP(A:A,MASTER!A:B,2,0)</f>
        <v>3017</v>
      </c>
      <c r="S20">
        <f>VLOOKUP(A:A,MASTER!A:G,7,0)</f>
        <v>2967</v>
      </c>
      <c r="T20" s="12">
        <f t="shared" si="4"/>
        <v>-1.6572754391779965E-2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10266236.082020912</v>
      </c>
      <c r="G21" s="1">
        <f>VLOOKUP(A:A,MASTER!A:K,11,0)</f>
        <v>10855173.82160108</v>
      </c>
      <c r="H21" s="12">
        <f t="shared" si="0"/>
        <v>5.7366471496945737E-2</v>
      </c>
      <c r="I21" s="2">
        <f>VLOOKUP(A:A,MASTER!A:E,5,0)</f>
        <v>475</v>
      </c>
      <c r="J21" s="2">
        <f>VLOOKUP(A:A,MASTER!A:J,10,0)</f>
        <v>475</v>
      </c>
      <c r="K21" s="12">
        <f t="shared" si="1"/>
        <v>0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5</v>
      </c>
      <c r="P21" s="1">
        <f>VLOOKUP(A:A,MASTER!A:H,8,0)</f>
        <v>4</v>
      </c>
      <c r="Q21" s="12">
        <f t="shared" si="3"/>
        <v>-0.19999999999999996</v>
      </c>
      <c r="R21" s="1">
        <f>VLOOKUP(A:A,MASTER!A:B,2,0)</f>
        <v>551</v>
      </c>
      <c r="S21">
        <f>VLOOKUP(A:A,MASTER!A:G,7,0)</f>
        <v>536</v>
      </c>
      <c r="T21" s="12">
        <f t="shared" si="4"/>
        <v>-2.722323049001818E-2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28739105.010453988</v>
      </c>
      <c r="G22" s="1">
        <f>VLOOKUP(A:A,MASTER!A:K,11,0)</f>
        <v>29878204.248217441</v>
      </c>
      <c r="H22" s="12">
        <f t="shared" si="0"/>
        <v>3.9635863307124541E-2</v>
      </c>
      <c r="I22" s="2">
        <f>VLOOKUP(A:A,MASTER!A:E,5,0)</f>
        <v>1251</v>
      </c>
      <c r="J22" s="2">
        <f>VLOOKUP(A:A,MASTER!A:J,10,0)</f>
        <v>1281</v>
      </c>
      <c r="K22" s="12">
        <f t="shared" si="1"/>
        <v>2.3980815347721895E-2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10</v>
      </c>
      <c r="P22" s="1">
        <f>VLOOKUP(A:A,MASTER!A:H,8,0)</f>
        <v>14</v>
      </c>
      <c r="Q22" s="12">
        <f t="shared" si="3"/>
        <v>0.39999999999999991</v>
      </c>
      <c r="R22" s="1">
        <f>VLOOKUP(A:A,MASTER!A:B,2,0)</f>
        <v>1702</v>
      </c>
      <c r="S22">
        <f>VLOOKUP(A:A,MASTER!A:G,7,0)</f>
        <v>1717</v>
      </c>
      <c r="T22" s="12">
        <f t="shared" si="4"/>
        <v>8.8131609870740757E-3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12792800.080579426</v>
      </c>
      <c r="G23" s="1">
        <f>VLOOKUP(A:A,MASTER!A:K,11,0)</f>
        <v>12026624.385429287</v>
      </c>
      <c r="H23" s="12">
        <f t="shared" si="0"/>
        <v>-5.9891164586653667E-2</v>
      </c>
      <c r="I23" s="2">
        <f>VLOOKUP(A:A,MASTER!A:E,5,0)</f>
        <v>754</v>
      </c>
      <c r="J23" s="2">
        <f>VLOOKUP(A:A,MASTER!A:J,10,0)</f>
        <v>833</v>
      </c>
      <c r="K23" s="12">
        <f t="shared" si="1"/>
        <v>0.10477453580901863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7</v>
      </c>
      <c r="P23" s="1">
        <f>VLOOKUP(A:A,MASTER!A:H,8,0)</f>
        <v>9</v>
      </c>
      <c r="Q23" s="12">
        <f t="shared" si="3"/>
        <v>0.28571428571428581</v>
      </c>
      <c r="R23" s="1">
        <f>VLOOKUP(A:A,MASTER!A:B,2,0)</f>
        <v>859</v>
      </c>
      <c r="S23">
        <f>VLOOKUP(A:A,MASTER!A:G,7,0)</f>
        <v>877</v>
      </c>
      <c r="T23" s="12">
        <f t="shared" si="4"/>
        <v>2.0954598370197974E-2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14116105.390142018</v>
      </c>
      <c r="G24" s="1">
        <f>VLOOKUP(A:A,MASTER!A:K,11,0)</f>
        <v>15041764.988150029</v>
      </c>
      <c r="H24" s="12">
        <f t="shared" si="0"/>
        <v>6.5574715718291987E-2</v>
      </c>
      <c r="I24" s="2">
        <f>VLOOKUP(A:A,MASTER!A:E,5,0)</f>
        <v>716</v>
      </c>
      <c r="J24" s="2">
        <f>VLOOKUP(A:A,MASTER!A:J,10,0)</f>
        <v>668</v>
      </c>
      <c r="K24" s="12">
        <f t="shared" si="1"/>
        <v>-6.7039106145251437E-2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1</v>
      </c>
      <c r="P24" s="1">
        <f>VLOOKUP(A:A,MASTER!A:H,8,0)</f>
        <v>5</v>
      </c>
      <c r="Q24" s="12">
        <f t="shared" si="3"/>
        <v>4</v>
      </c>
      <c r="R24" s="1">
        <f>VLOOKUP(A:A,MASTER!A:B,2,0)</f>
        <v>903</v>
      </c>
      <c r="S24">
        <f>VLOOKUP(A:A,MASTER!A:G,7,0)</f>
        <v>886</v>
      </c>
      <c r="T24" s="12">
        <f t="shared" si="4"/>
        <v>-1.8826135105204922E-2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4085296.183992228</v>
      </c>
      <c r="G25" s="1">
        <f>VLOOKUP(A:A,MASTER!A:K,11,0)</f>
        <v>3252983.6141009722</v>
      </c>
      <c r="H25" s="12">
        <f t="shared" si="0"/>
        <v>-0.20373371535522411</v>
      </c>
      <c r="I25" s="2">
        <f>VLOOKUP(A:A,MASTER!A:E,5,0)</f>
        <v>193</v>
      </c>
      <c r="J25" s="2">
        <f>VLOOKUP(A:A,MASTER!A:J,10,0)</f>
        <v>182</v>
      </c>
      <c r="K25" s="12">
        <f t="shared" si="1"/>
        <v>-5.6994818652849721E-2</v>
      </c>
      <c r="L25" s="2">
        <f>VLOOKUP(A:A,MASTER!A:D,4,0)</f>
        <v>0</v>
      </c>
      <c r="M25" s="2">
        <f>VLOOKUP(A:A,MASTER!A:I,9,0)</f>
        <v>2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224</v>
      </c>
      <c r="S25">
        <f>VLOOKUP(A:A,MASTER!A:G,7,0)</f>
        <v>226</v>
      </c>
      <c r="T25" s="12">
        <f t="shared" si="4"/>
        <v>8.9285714285713969E-3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32881334.951630816</v>
      </c>
      <c r="G26" s="1">
        <f>VLOOKUP(A:A,MASTER!A:K,11,0)</f>
        <v>28162389.603792943</v>
      </c>
      <c r="H26" s="12">
        <f t="shared" si="0"/>
        <v>-0.14351440885169497</v>
      </c>
      <c r="I26" s="2">
        <f>VLOOKUP(A:A,MASTER!A:E,5,0)</f>
        <v>1346</v>
      </c>
      <c r="J26" s="2">
        <f>VLOOKUP(A:A,MASTER!A:J,10,0)</f>
        <v>1478</v>
      </c>
      <c r="K26" s="12">
        <f t="shared" si="1"/>
        <v>9.8068350668647941E-2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2</v>
      </c>
      <c r="P26" s="1">
        <f>VLOOKUP(A:A,MASTER!A:H,8,0)</f>
        <v>10</v>
      </c>
      <c r="Q26" s="12">
        <f t="shared" si="3"/>
        <v>4</v>
      </c>
      <c r="R26" s="1">
        <f>VLOOKUP(A:A,MASTER!A:B,2,0)</f>
        <v>1664</v>
      </c>
      <c r="S26">
        <f>VLOOKUP(A:A,MASTER!A:G,7,0)</f>
        <v>1644</v>
      </c>
      <c r="T26" s="12">
        <f t="shared" si="4"/>
        <v>-1.2019230769230727E-2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22398496.405254211</v>
      </c>
      <c r="G27" s="1">
        <f>VLOOKUP(A:A,MASTER!A:K,11,0)</f>
        <v>23291306.937544983</v>
      </c>
      <c r="H27" s="12">
        <f t="shared" si="0"/>
        <v>3.9860288661221821E-2</v>
      </c>
      <c r="I27" s="2">
        <f>VLOOKUP(A:A,MASTER!A:E,5,0)</f>
        <v>634</v>
      </c>
      <c r="J27" s="2">
        <f>VLOOKUP(A:A,MASTER!A:J,10,0)</f>
        <v>646</v>
      </c>
      <c r="K27" s="12">
        <f t="shared" si="1"/>
        <v>1.8927444794952786E-2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3</v>
      </c>
      <c r="P27" s="1">
        <f>VLOOKUP(A:A,MASTER!A:H,8,0)</f>
        <v>1</v>
      </c>
      <c r="Q27" s="12">
        <f t="shared" si="3"/>
        <v>-0.66666666666666674</v>
      </c>
      <c r="R27" s="1">
        <f>VLOOKUP(A:A,MASTER!A:B,2,0)</f>
        <v>865</v>
      </c>
      <c r="S27">
        <f>VLOOKUP(A:A,MASTER!A:G,7,0)</f>
        <v>874</v>
      </c>
      <c r="T27" s="12">
        <f t="shared" si="4"/>
        <v>1.0404624277456698E-2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24190546.883645892</v>
      </c>
      <c r="G28" s="1">
        <f>VLOOKUP(A:A,MASTER!A:K,11,0)</f>
        <v>22608286.960778888</v>
      </c>
      <c r="H28" s="12">
        <f t="shared" si="0"/>
        <v>-6.5408191492218659E-2</v>
      </c>
      <c r="I28" s="2">
        <f>VLOOKUP(A:A,MASTER!A:E,5,0)</f>
        <v>726</v>
      </c>
      <c r="J28" s="2">
        <f>VLOOKUP(A:A,MASTER!A:J,10,0)</f>
        <v>787</v>
      </c>
      <c r="K28" s="12">
        <f t="shared" si="1"/>
        <v>8.4022038567493018E-2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2</v>
      </c>
      <c r="Q28" s="12">
        <f t="shared" si="3"/>
        <v>1</v>
      </c>
      <c r="R28" s="1">
        <f>VLOOKUP(A:A,MASTER!A:B,2,0)</f>
        <v>1132</v>
      </c>
      <c r="S28">
        <f>VLOOKUP(A:A,MASTER!A:G,7,0)</f>
        <v>1057</v>
      </c>
      <c r="T28" s="12">
        <f t="shared" si="4"/>
        <v>-6.6254416961130769E-2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31449964.011454657</v>
      </c>
      <c r="G29" s="1">
        <f>VLOOKUP(A:A,MASTER!A:K,11,0)</f>
        <v>30719241.13553416</v>
      </c>
      <c r="H29" s="12">
        <f t="shared" si="0"/>
        <v>-2.3234458254208334E-2</v>
      </c>
      <c r="I29" s="2">
        <f>VLOOKUP(A:A,MASTER!A:E,5,0)</f>
        <v>976</v>
      </c>
      <c r="J29" s="2">
        <f>VLOOKUP(A:A,MASTER!A:J,10,0)</f>
        <v>869</v>
      </c>
      <c r="K29" s="12">
        <f t="shared" si="1"/>
        <v>-0.10963114754098358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1</v>
      </c>
      <c r="P29" s="1">
        <f>VLOOKUP(A:A,MASTER!A:H,8,0)</f>
        <v>2</v>
      </c>
      <c r="Q29" s="12">
        <f t="shared" si="3"/>
        <v>1</v>
      </c>
      <c r="R29" s="1">
        <f>VLOOKUP(A:A,MASTER!A:B,2,0)</f>
        <v>1114</v>
      </c>
      <c r="S29">
        <f>VLOOKUP(A:A,MASTER!A:G,7,0)</f>
        <v>1120</v>
      </c>
      <c r="T29" s="12">
        <f t="shared" si="4"/>
        <v>5.3859964093356805E-3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46108166.034123458</v>
      </c>
      <c r="G30" s="1">
        <f>VLOOKUP(A:A,MASTER!A:K,11,0)</f>
        <v>43751923.266922899</v>
      </c>
      <c r="H30" s="12">
        <f t="shared" si="0"/>
        <v>-5.1102504607465127E-2</v>
      </c>
      <c r="I30" s="2">
        <f>VLOOKUP(A:A,MASTER!A:E,5,0)</f>
        <v>1168</v>
      </c>
      <c r="J30" s="2">
        <f>VLOOKUP(A:A,MASTER!A:J,10,0)</f>
        <v>1162</v>
      </c>
      <c r="K30" s="12">
        <f t="shared" si="1"/>
        <v>-5.136986301369828E-3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1</v>
      </c>
      <c r="P30" s="1">
        <f>VLOOKUP(A:A,MASTER!A:H,8,0)</f>
        <v>4</v>
      </c>
      <c r="Q30" s="12">
        <f t="shared" si="3"/>
        <v>3</v>
      </c>
      <c r="R30" s="1">
        <f>VLOOKUP(A:A,MASTER!A:B,2,0)</f>
        <v>1508</v>
      </c>
      <c r="S30">
        <f>VLOOKUP(A:A,MASTER!A:G,7,0)</f>
        <v>1447</v>
      </c>
      <c r="T30" s="12">
        <f t="shared" si="4"/>
        <v>-4.0450928381962847E-2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17087525.954022851</v>
      </c>
      <c r="G31" s="1">
        <f>VLOOKUP(A:A,MASTER!A:K,11,0)</f>
        <v>17886223.967067465</v>
      </c>
      <c r="H31" s="12">
        <f t="shared" si="0"/>
        <v>4.6741583023409028E-2</v>
      </c>
      <c r="I31" s="2">
        <f>VLOOKUP(A:A,MASTER!A:E,5,0)</f>
        <v>542</v>
      </c>
      <c r="J31" s="2">
        <f>VLOOKUP(A:A,MASTER!A:J,10,0)</f>
        <v>537</v>
      </c>
      <c r="K31" s="12">
        <f t="shared" si="1"/>
        <v>-9.2250922509224953E-3</v>
      </c>
      <c r="L31" s="2">
        <f>VLOOKUP(A:A,MASTER!A:D,4,0)</f>
        <v>2</v>
      </c>
      <c r="M31" s="2">
        <f>VLOOKUP(A:A,MASTER!A:I,9,0)</f>
        <v>5</v>
      </c>
      <c r="N31" s="12">
        <f t="shared" si="2"/>
        <v>1.5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692</v>
      </c>
      <c r="S31">
        <f>VLOOKUP(A:A,MASTER!A:G,7,0)</f>
        <v>680</v>
      </c>
      <c r="T31" s="12">
        <f t="shared" si="4"/>
        <v>-1.7341040462427793E-2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54279827.871796161</v>
      </c>
      <c r="G32" s="1">
        <f>VLOOKUP(A:A,MASTER!A:K,11,0)</f>
        <v>46525766.431750014</v>
      </c>
      <c r="H32" s="12">
        <f t="shared" si="0"/>
        <v>-0.14285346405962285</v>
      </c>
      <c r="I32" s="2">
        <f>VLOOKUP(A:A,MASTER!A:E,5,0)</f>
        <v>1654</v>
      </c>
      <c r="J32" s="2">
        <f>VLOOKUP(A:A,MASTER!A:J,10,0)</f>
        <v>52</v>
      </c>
      <c r="K32" s="12">
        <f t="shared" si="1"/>
        <v>-0.96856106408706166</v>
      </c>
      <c r="L32" s="2">
        <f>VLOOKUP(A:A,MASTER!A:D,4,0)</f>
        <v>10</v>
      </c>
      <c r="M32" s="2">
        <f>VLOOKUP(A:A,MASTER!A:I,9,0)</f>
        <v>9</v>
      </c>
      <c r="N32" s="12">
        <f t="shared" si="2"/>
        <v>-9.9999999999999978E-2</v>
      </c>
      <c r="O32" s="1">
        <f>VLOOKUP(A:A,MASTER!A:C,3,0)</f>
        <v>13</v>
      </c>
      <c r="P32" s="1">
        <f>VLOOKUP(A:A,MASTER!A:H,8,0)</f>
        <v>6</v>
      </c>
      <c r="Q32" s="12">
        <f t="shared" si="3"/>
        <v>-0.53846153846153844</v>
      </c>
      <c r="R32" s="1">
        <f>VLOOKUP(A:A,MASTER!A:B,2,0)</f>
        <v>1974</v>
      </c>
      <c r="S32">
        <f>VLOOKUP(A:A,MASTER!A:G,7,0)</f>
        <v>1922</v>
      </c>
      <c r="T32" s="12">
        <f t="shared" si="4"/>
        <v>-2.634245187436679E-2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18746377.997059025</v>
      </c>
      <c r="G33" s="1">
        <f>VLOOKUP(A:A,MASTER!A:K,11,0)</f>
        <v>18249413.325665232</v>
      </c>
      <c r="H33" s="12">
        <f t="shared" si="0"/>
        <v>-2.6509903484916331E-2</v>
      </c>
      <c r="I33" s="2">
        <f>VLOOKUP(A:A,MASTER!A:E,5,0)</f>
        <v>723</v>
      </c>
      <c r="J33" s="2">
        <f>VLOOKUP(A:A,MASTER!A:J,10,0)</f>
        <v>695</v>
      </c>
      <c r="K33" s="12">
        <f t="shared" si="1"/>
        <v>-3.8727524204702601E-2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2</v>
      </c>
      <c r="Q33" s="12">
        <f t="shared" si="3"/>
        <v>0</v>
      </c>
      <c r="R33" s="1">
        <f>VLOOKUP(A:A,MASTER!A:B,2,0)</f>
        <v>848</v>
      </c>
      <c r="S33">
        <f>VLOOKUP(A:A,MASTER!A:G,7,0)</f>
        <v>849</v>
      </c>
      <c r="T33" s="12">
        <f t="shared" si="4"/>
        <v>1.179245283018826E-3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15180363.769693863</v>
      </c>
      <c r="G34" s="1">
        <f>VLOOKUP(A:A,MASTER!A:K,11,0)</f>
        <v>17338354.810338959</v>
      </c>
      <c r="H34" s="12">
        <f t="shared" si="0"/>
        <v>0.14215674099676834</v>
      </c>
      <c r="I34" s="2">
        <f>VLOOKUP(A:A,MASTER!A:E,5,0)</f>
        <v>572</v>
      </c>
      <c r="J34" s="2">
        <f>VLOOKUP(A:A,MASTER!A:J,10,0)</f>
        <v>534</v>
      </c>
      <c r="K34" s="12">
        <f t="shared" si="1"/>
        <v>-6.643356643356646E-2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2</v>
      </c>
      <c r="Q34" s="12">
        <f t="shared" si="3"/>
        <v>0</v>
      </c>
      <c r="R34" s="1">
        <f>VLOOKUP(A:A,MASTER!A:B,2,0)</f>
        <v>690</v>
      </c>
      <c r="S34">
        <f>VLOOKUP(A:A,MASTER!A:G,7,0)</f>
        <v>743</v>
      </c>
      <c r="T34" s="12">
        <f t="shared" si="4"/>
        <v>7.6811594202898625E-2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27075611.243230514</v>
      </c>
      <c r="G35" s="1">
        <f>VLOOKUP(A:A,MASTER!A:K,11,0)</f>
        <v>25902505.08937801</v>
      </c>
      <c r="H35" s="12">
        <f t="shared" si="0"/>
        <v>-4.3327042308077379E-2</v>
      </c>
      <c r="I35" s="2">
        <f>VLOOKUP(A:A,MASTER!A:E,5,0)</f>
        <v>869</v>
      </c>
      <c r="J35" s="2">
        <f>VLOOKUP(A:A,MASTER!A:J,10,0)</f>
        <v>832</v>
      </c>
      <c r="K35" s="12">
        <f t="shared" si="1"/>
        <v>-4.2577675489067879E-2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10</v>
      </c>
      <c r="P35" s="1">
        <f>VLOOKUP(A:A,MASTER!A:H,8,0)</f>
        <v>15</v>
      </c>
      <c r="Q35" s="12">
        <f t="shared" si="3"/>
        <v>0.5</v>
      </c>
      <c r="R35" s="1">
        <f>VLOOKUP(A:A,MASTER!A:B,2,0)</f>
        <v>1102</v>
      </c>
      <c r="S35">
        <f>VLOOKUP(A:A,MASTER!A:G,7,0)</f>
        <v>1163</v>
      </c>
      <c r="T35" s="12">
        <f t="shared" si="4"/>
        <v>5.5353901996370247E-2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26511431.303062446</v>
      </c>
      <c r="G36" s="1">
        <f>VLOOKUP(A:A,MASTER!A:K,11,0)</f>
        <v>24107934.363502286</v>
      </c>
      <c r="H36" s="12">
        <f t="shared" si="0"/>
        <v>-9.0658890200414066E-2</v>
      </c>
      <c r="I36" s="2">
        <f>VLOOKUP(A:A,MASTER!A:E,5,0)</f>
        <v>789</v>
      </c>
      <c r="J36" s="2">
        <f>VLOOKUP(A:A,MASTER!A:J,10,0)</f>
        <v>791</v>
      </c>
      <c r="K36" s="12">
        <f t="shared" si="1"/>
        <v>2.5348542458809575E-3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40</v>
      </c>
      <c r="P36" s="1">
        <f>VLOOKUP(A:A,MASTER!A:H,8,0)</f>
        <v>120</v>
      </c>
      <c r="Q36" s="12">
        <f t="shared" si="3"/>
        <v>2</v>
      </c>
      <c r="R36" s="1">
        <f>VLOOKUP(A:A,MASTER!A:B,2,0)</f>
        <v>1109</v>
      </c>
      <c r="S36">
        <f>VLOOKUP(A:A,MASTER!A:G,7,0)</f>
        <v>1324</v>
      </c>
      <c r="T36" s="12">
        <f t="shared" si="4"/>
        <v>0.19386834986474311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41714812.457557224</v>
      </c>
      <c r="G37" s="1">
        <f>VLOOKUP(A:A,MASTER!A:K,11,0)</f>
        <v>44580467.56550619</v>
      </c>
      <c r="H37" s="12">
        <f t="shared" si="0"/>
        <v>6.8696344035218404E-2</v>
      </c>
      <c r="I37" s="2">
        <f>VLOOKUP(A:A,MASTER!A:E,5,0)</f>
        <v>1437</v>
      </c>
      <c r="J37" s="2">
        <f>VLOOKUP(A:A,MASTER!A:J,10,0)</f>
        <v>1447</v>
      </c>
      <c r="K37" s="12">
        <f t="shared" si="1"/>
        <v>6.9589422407794199E-3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50</v>
      </c>
      <c r="P37" s="1">
        <f>VLOOKUP(A:A,MASTER!A:H,8,0)</f>
        <v>70</v>
      </c>
      <c r="Q37" s="12">
        <f t="shared" si="3"/>
        <v>0.39999999999999991</v>
      </c>
      <c r="R37" s="1">
        <f>VLOOKUP(A:A,MASTER!A:B,2,0)</f>
        <v>1793</v>
      </c>
      <c r="S37">
        <f>VLOOKUP(A:A,MASTER!A:G,7,0)</f>
        <v>2349</v>
      </c>
      <c r="T37" s="12">
        <f t="shared" si="4"/>
        <v>0.31009481316229781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17457645.379634544</v>
      </c>
      <c r="G38" s="1">
        <f>VLOOKUP(A:A,MASTER!A:K,11,0)</f>
        <v>15995398.494616931</v>
      </c>
      <c r="H38" s="12">
        <f t="shared" si="0"/>
        <v>-8.375968541115042E-2</v>
      </c>
      <c r="I38" s="2">
        <f>VLOOKUP(A:A,MASTER!A:E,5,0)</f>
        <v>482</v>
      </c>
      <c r="J38" s="2">
        <f>VLOOKUP(A:A,MASTER!A:J,10,0)</f>
        <v>697</v>
      </c>
      <c r="K38" s="12">
        <f t="shared" si="1"/>
        <v>0.44605809128630702</v>
      </c>
      <c r="L38" s="2">
        <f>VLOOKUP(A:A,MASTER!A:D,4,0)</f>
        <v>6</v>
      </c>
      <c r="M38" s="2">
        <f>VLOOKUP(A:A,MASTER!A:I,9,0)</f>
        <v>6</v>
      </c>
      <c r="N38" s="12">
        <f t="shared" si="2"/>
        <v>0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632</v>
      </c>
      <c r="S38">
        <f>VLOOKUP(A:A,MASTER!A:G,7,0)</f>
        <v>621</v>
      </c>
      <c r="T38" s="12">
        <f t="shared" si="4"/>
        <v>-1.7405063291139222E-2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48793911.539376937</v>
      </c>
      <c r="G39" s="1">
        <f>VLOOKUP(A:A,MASTER!A:K,11,0)</f>
        <v>52343763.076205544</v>
      </c>
      <c r="H39" s="12">
        <f t="shared" si="0"/>
        <v>7.2751936150145635E-2</v>
      </c>
      <c r="I39" s="2">
        <f>VLOOKUP(A:A,MASTER!A:E,5,0)</f>
        <v>1985</v>
      </c>
      <c r="J39" s="2">
        <f>VLOOKUP(A:A,MASTER!A:J,10,0)</f>
        <v>1780</v>
      </c>
      <c r="K39" s="12">
        <f t="shared" si="1"/>
        <v>-0.10327455919395467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4</v>
      </c>
      <c r="P39" s="1">
        <f>VLOOKUP(A:A,MASTER!A:H,8,0)</f>
        <v>2</v>
      </c>
      <c r="Q39" s="12">
        <f t="shared" si="3"/>
        <v>-0.5</v>
      </c>
      <c r="R39" s="1">
        <f>VLOOKUP(A:A,MASTER!A:B,2,0)</f>
        <v>2017</v>
      </c>
      <c r="S39">
        <f>VLOOKUP(A:A,MASTER!A:G,7,0)</f>
        <v>2057</v>
      </c>
      <c r="T39" s="12">
        <f t="shared" si="4"/>
        <v>1.98314328210214E-2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33739920.607283264</v>
      </c>
      <c r="G40" s="1">
        <f>VLOOKUP(A:A,MASTER!A:K,11,0)</f>
        <v>35711327.025523543</v>
      </c>
      <c r="H40" s="12">
        <f t="shared" si="0"/>
        <v>5.8429491912163067E-2</v>
      </c>
      <c r="I40" s="2">
        <f>VLOOKUP(A:A,MASTER!A:E,5,0)</f>
        <v>762</v>
      </c>
      <c r="J40" s="2">
        <f>VLOOKUP(A:A,MASTER!A:J,10,0)</f>
        <v>2065</v>
      </c>
      <c r="K40" s="12">
        <f t="shared" si="1"/>
        <v>1.7099737532808401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4</v>
      </c>
      <c r="P40" s="1">
        <f>VLOOKUP(A:A,MASTER!A:H,8,0)</f>
        <v>3</v>
      </c>
      <c r="Q40" s="12">
        <f t="shared" si="3"/>
        <v>-0.25</v>
      </c>
      <c r="R40" s="1">
        <f>VLOOKUP(A:A,MASTER!A:B,2,0)</f>
        <v>875</v>
      </c>
      <c r="S40">
        <f>VLOOKUP(A:A,MASTER!A:G,7,0)</f>
        <v>904</v>
      </c>
      <c r="T40" s="12">
        <f t="shared" si="4"/>
        <v>3.3142857142857141E-2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28381796.030693352</v>
      </c>
      <c r="G41" s="1">
        <f>VLOOKUP(A:A,MASTER!A:K,11,0)</f>
        <v>19475103.312340401</v>
      </c>
      <c r="H41" s="12">
        <f t="shared" si="0"/>
        <v>-0.31381709278443315</v>
      </c>
      <c r="I41" s="2">
        <f>VLOOKUP(A:A,MASTER!A:E,5,0)</f>
        <v>955</v>
      </c>
      <c r="J41" s="2">
        <f>VLOOKUP(A:A,MASTER!A:J,10,0)</f>
        <v>854</v>
      </c>
      <c r="K41" s="12">
        <f t="shared" si="1"/>
        <v>-0.10575916230366489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1</v>
      </c>
      <c r="P41" s="1">
        <f>VLOOKUP(A:A,MASTER!A:H,8,0)</f>
        <v>1</v>
      </c>
      <c r="Q41" s="12">
        <f t="shared" si="3"/>
        <v>0</v>
      </c>
      <c r="R41" s="1">
        <f>VLOOKUP(A:A,MASTER!A:B,2,0)</f>
        <v>1151</v>
      </c>
      <c r="S41">
        <f>VLOOKUP(A:A,MASTER!A:G,7,0)</f>
        <v>1093</v>
      </c>
      <c r="T41" s="12">
        <f t="shared" si="4"/>
        <v>-5.0390964378801084E-2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27882962.771981161</v>
      </c>
      <c r="G42" s="1">
        <f>VLOOKUP(A:A,MASTER!A:K,11,0)</f>
        <v>27090027.561345614</v>
      </c>
      <c r="H42" s="12">
        <f t="shared" si="0"/>
        <v>-2.843798261755548E-2</v>
      </c>
      <c r="I42" s="2">
        <f>VLOOKUP(A:A,MASTER!A:E,5,0)</f>
        <v>611</v>
      </c>
      <c r="J42" s="2">
        <f>VLOOKUP(A:A,MASTER!A:J,10,0)</f>
        <v>982</v>
      </c>
      <c r="K42" s="12">
        <f t="shared" si="1"/>
        <v>0.60720130932896899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4</v>
      </c>
      <c r="Q42" s="12">
        <f t="shared" si="3"/>
        <v>0</v>
      </c>
      <c r="R42" s="1">
        <f>VLOOKUP(A:A,MASTER!A:B,2,0)</f>
        <v>856</v>
      </c>
      <c r="S42">
        <f>VLOOKUP(A:A,MASTER!A:G,7,0)</f>
        <v>834</v>
      </c>
      <c r="T42" s="12">
        <f t="shared" si="4"/>
        <v>-2.5700934579439227E-2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17023761.506318234</v>
      </c>
      <c r="G43" s="1">
        <f>VLOOKUP(A:A,MASTER!A:K,11,0)</f>
        <v>17462894.453000762</v>
      </c>
      <c r="H43" s="12">
        <f t="shared" si="0"/>
        <v>2.5795294801301605E-2</v>
      </c>
      <c r="I43" s="2">
        <f>VLOOKUP(A:A,MASTER!A:E,5,0)</f>
        <v>571</v>
      </c>
      <c r="J43" s="2">
        <f>VLOOKUP(A:A,MASTER!A:J,10,0)</f>
        <v>778</v>
      </c>
      <c r="K43" s="12">
        <f t="shared" si="1"/>
        <v>0.36252189141856395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3</v>
      </c>
      <c r="P43" s="1">
        <f>VLOOKUP(A:A,MASTER!A:H,8,0)</f>
        <v>2</v>
      </c>
      <c r="Q43" s="12">
        <f t="shared" si="3"/>
        <v>-0.33333333333333337</v>
      </c>
      <c r="R43" s="1">
        <f>VLOOKUP(A:A,MASTER!A:B,2,0)</f>
        <v>661</v>
      </c>
      <c r="S43">
        <f>VLOOKUP(A:A,MASTER!A:G,7,0)</f>
        <v>697</v>
      </c>
      <c r="T43" s="12">
        <f t="shared" si="4"/>
        <v>5.4462934947050012E-2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16200048.119271619</v>
      </c>
      <c r="G44" s="1">
        <f>VLOOKUP(A:A,MASTER!A:K,11,0)</f>
        <v>15508561.952835817</v>
      </c>
      <c r="H44" s="12">
        <f t="shared" si="0"/>
        <v>-4.2684204475492149E-2</v>
      </c>
      <c r="I44" s="2">
        <f>VLOOKUP(A:A,MASTER!A:E,5,0)</f>
        <v>2510</v>
      </c>
      <c r="J44" s="2">
        <f>VLOOKUP(A:A,MASTER!A:J,10,0)</f>
        <v>697</v>
      </c>
      <c r="K44" s="12">
        <f t="shared" si="1"/>
        <v>-0.72231075697211156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1</v>
      </c>
      <c r="P44" s="1">
        <f>VLOOKUP(A:A,MASTER!A:H,8,0)</f>
        <v>0</v>
      </c>
      <c r="Q44" s="12">
        <f t="shared" si="3"/>
        <v>-1</v>
      </c>
      <c r="R44" s="1">
        <f>VLOOKUP(A:A,MASTER!A:B,2,0)</f>
        <v>694</v>
      </c>
      <c r="S44">
        <f>VLOOKUP(A:A,MASTER!A:G,7,0)</f>
        <v>689</v>
      </c>
      <c r="T44" s="12">
        <f t="shared" si="4"/>
        <v>-7.2046109510086609E-3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53212406.534532376</v>
      </c>
      <c r="G45" s="1">
        <f>VLOOKUP(A:A,MASTER!A:K,11,0)</f>
        <v>47059692.469827741</v>
      </c>
      <c r="H45" s="12">
        <f t="shared" si="0"/>
        <v>-0.11562555549356346</v>
      </c>
      <c r="I45" s="2">
        <f>VLOOKUP(A:A,MASTER!A:E,5,0)</f>
        <v>1159</v>
      </c>
      <c r="J45" s="2">
        <f>VLOOKUP(A:A,MASTER!A:J,10,0)</f>
        <v>1133</v>
      </c>
      <c r="K45" s="12">
        <f t="shared" si="1"/>
        <v>-2.2433132010353796E-2</v>
      </c>
      <c r="L45" s="2">
        <f>VLOOKUP(A:A,MASTER!A:D,4,0)</f>
        <v>6</v>
      </c>
      <c r="M45" s="2">
        <f>VLOOKUP(A:A,MASTER!A:I,9,0)</f>
        <v>5</v>
      </c>
      <c r="N45" s="12">
        <f t="shared" si="2"/>
        <v>-0.16666666666666663</v>
      </c>
      <c r="O45" s="1">
        <f>VLOOKUP(A:A,MASTER!A:C,3,0)</f>
        <v>8</v>
      </c>
      <c r="P45" s="1">
        <f>VLOOKUP(A:A,MASTER!A:H,8,0)</f>
        <v>2</v>
      </c>
      <c r="Q45" s="12">
        <f t="shared" si="3"/>
        <v>-0.75</v>
      </c>
      <c r="R45" s="1">
        <f>VLOOKUP(A:A,MASTER!A:B,2,0)</f>
        <v>1292</v>
      </c>
      <c r="S45">
        <f>VLOOKUP(A:A,MASTER!A:G,7,0)</f>
        <v>1234</v>
      </c>
      <c r="T45" s="12">
        <f t="shared" si="4"/>
        <v>-4.4891640866873028E-2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23670122.597009651</v>
      </c>
      <c r="G46" s="1">
        <f>VLOOKUP(A:A,MASTER!A:K,11,0)</f>
        <v>22653838.112997834</v>
      </c>
      <c r="H46" s="12">
        <f t="shared" si="0"/>
        <v>-4.2935328274987916E-2</v>
      </c>
      <c r="I46" s="2">
        <f>VLOOKUP(A:A,MASTER!A:E,5,0)</f>
        <v>930</v>
      </c>
      <c r="J46" s="2">
        <f>VLOOKUP(A:A,MASTER!A:J,10,0)</f>
        <v>922</v>
      </c>
      <c r="K46" s="12">
        <f t="shared" si="1"/>
        <v>-8.6021505376343566E-3</v>
      </c>
      <c r="L46" s="2">
        <f>VLOOKUP(A:A,MASTER!A:D,4,0)</f>
        <v>5</v>
      </c>
      <c r="M46" s="2">
        <f>VLOOKUP(A:A,MASTER!A:I,9,0)</f>
        <v>7</v>
      </c>
      <c r="N46" s="12">
        <f t="shared" si="2"/>
        <v>0.39999999999999991</v>
      </c>
      <c r="O46" s="1">
        <f>VLOOKUP(A:A,MASTER!A:C,3,0)</f>
        <v>1</v>
      </c>
      <c r="P46" s="1">
        <f>VLOOKUP(A:A,MASTER!A:H,8,0)</f>
        <v>2</v>
      </c>
      <c r="Q46" s="12">
        <f t="shared" si="3"/>
        <v>1</v>
      </c>
      <c r="R46" s="1">
        <f>VLOOKUP(A:A,MASTER!A:B,2,0)</f>
        <v>865</v>
      </c>
      <c r="S46">
        <f>VLOOKUP(A:A,MASTER!A:G,7,0)</f>
        <v>905</v>
      </c>
      <c r="T46" s="12">
        <f t="shared" si="4"/>
        <v>4.6242774566473965E-2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33891083.600854926</v>
      </c>
      <c r="G47" s="1">
        <f>VLOOKUP(A:A,MASTER!A:K,11,0)</f>
        <v>39599121.530364431</v>
      </c>
      <c r="H47" s="12">
        <f t="shared" si="0"/>
        <v>0.16842299870770483</v>
      </c>
      <c r="I47" s="2">
        <f>VLOOKUP(A:A,MASTER!A:E,5,0)</f>
        <v>1021</v>
      </c>
      <c r="J47" s="2">
        <f>VLOOKUP(A:A,MASTER!A:J,10,0)</f>
        <v>1015</v>
      </c>
      <c r="K47" s="12">
        <f t="shared" si="1"/>
        <v>-5.8765915768853594E-3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9</v>
      </c>
      <c r="P47" s="1">
        <f>VLOOKUP(A:A,MASTER!A:H,8,0)</f>
        <v>4</v>
      </c>
      <c r="Q47" s="12">
        <f t="shared" si="3"/>
        <v>-0.55555555555555558</v>
      </c>
      <c r="R47" s="1">
        <f>VLOOKUP(A:A,MASTER!A:B,2,0)</f>
        <v>1310</v>
      </c>
      <c r="S47">
        <f>VLOOKUP(A:A,MASTER!A:G,7,0)</f>
        <v>1346</v>
      </c>
      <c r="T47" s="12">
        <f t="shared" si="4"/>
        <v>2.7480916030534264E-2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17681002.320624005</v>
      </c>
      <c r="G48" s="1">
        <f>VLOOKUP(A:A,MASTER!A:K,11,0)</f>
        <v>20476254.373544708</v>
      </c>
      <c r="H48" s="12">
        <f t="shared" si="0"/>
        <v>0.15809352898846574</v>
      </c>
      <c r="I48" s="2">
        <f>VLOOKUP(A:A,MASTER!A:E,5,0)</f>
        <v>356</v>
      </c>
      <c r="J48" s="2">
        <f>VLOOKUP(A:A,MASTER!A:J,10,0)</f>
        <v>393</v>
      </c>
      <c r="K48" s="12">
        <f t="shared" si="1"/>
        <v>0.10393258426966301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3</v>
      </c>
      <c r="P48" s="1">
        <f>VLOOKUP(A:A,MASTER!A:H,8,0)</f>
        <v>1</v>
      </c>
      <c r="Q48" s="12">
        <f t="shared" si="3"/>
        <v>-0.66666666666666674</v>
      </c>
      <c r="R48" s="1">
        <f>VLOOKUP(A:A,MASTER!A:B,2,0)</f>
        <v>478</v>
      </c>
      <c r="S48">
        <f>VLOOKUP(A:A,MASTER!A:G,7,0)</f>
        <v>490</v>
      </c>
      <c r="T48" s="12">
        <f t="shared" si="4"/>
        <v>2.5104602510460206E-2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18461149.150816448</v>
      </c>
      <c r="G49" s="1">
        <f>VLOOKUP(A:A,MASTER!A:K,11,0)</f>
        <v>14867632.890376093</v>
      </c>
      <c r="H49" s="12">
        <f t="shared" si="0"/>
        <v>-0.19465290221553899</v>
      </c>
      <c r="I49" s="2">
        <f>VLOOKUP(A:A,MASTER!A:E,5,0)</f>
        <v>301</v>
      </c>
      <c r="J49" s="2">
        <f>VLOOKUP(A:A,MASTER!A:J,10,0)</f>
        <v>312</v>
      </c>
      <c r="K49" s="12">
        <f t="shared" si="1"/>
        <v>3.6544850498338777E-2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0</v>
      </c>
      <c r="P49" s="1">
        <f>VLOOKUP(A:A,MASTER!A:H,8,0)</f>
        <v>0</v>
      </c>
      <c r="Q49" s="12">
        <f t="shared" si="3"/>
        <v>0</v>
      </c>
      <c r="R49" s="1">
        <f>VLOOKUP(A:A,MASTER!A:B,2,0)</f>
        <v>440</v>
      </c>
      <c r="S49">
        <f>VLOOKUP(A:A,MASTER!A:G,7,0)</f>
        <v>457</v>
      </c>
      <c r="T49" s="12">
        <f t="shared" si="4"/>
        <v>3.863636363636358E-2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15175187.024739441</v>
      </c>
      <c r="G50" s="1">
        <f>VLOOKUP(A:A,MASTER!A:K,11,0)</f>
        <v>12944386.16594301</v>
      </c>
      <c r="H50" s="12">
        <f t="shared" si="0"/>
        <v>-0.14700318718706096</v>
      </c>
      <c r="I50" s="2">
        <f>VLOOKUP(A:A,MASTER!A:E,5,0)</f>
        <v>349</v>
      </c>
      <c r="J50" s="2">
        <f>VLOOKUP(A:A,MASTER!A:J,10,0)</f>
        <v>324</v>
      </c>
      <c r="K50" s="12">
        <f t="shared" si="1"/>
        <v>-7.1633237822349538E-2</v>
      </c>
      <c r="L50" s="2">
        <f>VLOOKUP(A:A,MASTER!A:D,4,0)</f>
        <v>2</v>
      </c>
      <c r="M50" s="2">
        <f>VLOOKUP(A:A,MASTER!A:I,9,0)</f>
        <v>4</v>
      </c>
      <c r="N50" s="12">
        <f t="shared" si="2"/>
        <v>1</v>
      </c>
      <c r="O50" s="1">
        <f>VLOOKUP(A:A,MASTER!A:C,3,0)</f>
        <v>10</v>
      </c>
      <c r="P50" s="1">
        <f>VLOOKUP(A:A,MASTER!A:H,8,0)</f>
        <v>1</v>
      </c>
      <c r="Q50" s="12">
        <f t="shared" si="3"/>
        <v>-0.9</v>
      </c>
      <c r="R50" s="1">
        <f>VLOOKUP(A:A,MASTER!A:B,2,0)</f>
        <v>428</v>
      </c>
      <c r="S50">
        <f>VLOOKUP(A:A,MASTER!A:G,7,0)</f>
        <v>423</v>
      </c>
      <c r="T50" s="12">
        <f t="shared" si="4"/>
        <v>-1.1682242990654235E-2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32732404.044502798</v>
      </c>
      <c r="G51" s="1">
        <f>VLOOKUP(A:A,MASTER!A:K,11,0)</f>
        <v>30650599.292324264</v>
      </c>
      <c r="H51" s="12">
        <f t="shared" si="0"/>
        <v>-6.3600728786927019E-2</v>
      </c>
      <c r="I51" s="2">
        <f>VLOOKUP(A:A,MASTER!A:E,5,0)</f>
        <v>967</v>
      </c>
      <c r="J51" s="2">
        <f>VLOOKUP(A:A,MASTER!A:J,10,0)</f>
        <v>938</v>
      </c>
      <c r="K51" s="12">
        <f t="shared" si="1"/>
        <v>-2.9989658738366121E-2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1</v>
      </c>
      <c r="P51" s="1">
        <f>VLOOKUP(A:A,MASTER!A:H,8,0)</f>
        <v>5</v>
      </c>
      <c r="Q51" s="12">
        <f t="shared" si="3"/>
        <v>4</v>
      </c>
      <c r="R51" s="1">
        <f>VLOOKUP(A:A,MASTER!A:B,2,0)</f>
        <v>1127</v>
      </c>
      <c r="S51">
        <f>VLOOKUP(A:A,MASTER!A:G,7,0)</f>
        <v>1108</v>
      </c>
      <c r="T51" s="12">
        <f t="shared" si="4"/>
        <v>-1.685891748003554E-2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34854256.338008754</v>
      </c>
      <c r="G52" s="1">
        <f>VLOOKUP(A:A,MASTER!A:K,11,0)</f>
        <v>29971764.592281073</v>
      </c>
      <c r="H52" s="12">
        <f t="shared" si="0"/>
        <v>-0.14008308478535225</v>
      </c>
      <c r="I52" s="2">
        <f>VLOOKUP(A:A,MASTER!A:E,5,0)</f>
        <v>1018</v>
      </c>
      <c r="J52" s="2">
        <f>VLOOKUP(A:A,MASTER!A:J,10,0)</f>
        <v>943</v>
      </c>
      <c r="K52" s="12">
        <f t="shared" si="1"/>
        <v>-7.3673870333988201E-2</v>
      </c>
      <c r="L52" s="2">
        <f>VLOOKUP(A:A,MASTER!A:D,4,0)</f>
        <v>3</v>
      </c>
      <c r="M52" s="2">
        <f>VLOOKUP(A:A,MASTER!A:I,9,0)</f>
        <v>1</v>
      </c>
      <c r="N52" s="12">
        <f t="shared" si="2"/>
        <v>-0.66666666666666674</v>
      </c>
      <c r="O52" s="1">
        <f>VLOOKUP(A:A,MASTER!A:C,3,0)</f>
        <v>10</v>
      </c>
      <c r="P52" s="1">
        <f>VLOOKUP(A:A,MASTER!A:H,8,0)</f>
        <v>6</v>
      </c>
      <c r="Q52" s="12">
        <f t="shared" si="3"/>
        <v>-0.4</v>
      </c>
      <c r="R52" s="1">
        <f>VLOOKUP(A:A,MASTER!A:B,2,0)</f>
        <v>950</v>
      </c>
      <c r="S52">
        <f>VLOOKUP(A:A,MASTER!A:G,7,0)</f>
        <v>1004</v>
      </c>
      <c r="T52" s="12">
        <f t="shared" si="4"/>
        <v>5.6842105263157805E-2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46006855.693857841</v>
      </c>
      <c r="G53" s="1">
        <f>VLOOKUP(A:A,MASTER!A:K,11,0)</f>
        <v>57135591.312040411</v>
      </c>
      <c r="H53" s="12">
        <f t="shared" si="0"/>
        <v>0.24189298421600913</v>
      </c>
      <c r="I53" s="2">
        <f>VLOOKUP(A:A,MASTER!A:E,5,0)</f>
        <v>1410</v>
      </c>
      <c r="J53" s="2">
        <f>VLOOKUP(A:A,MASTER!A:J,10,0)</f>
        <v>1660</v>
      </c>
      <c r="K53" s="12">
        <f t="shared" si="1"/>
        <v>0.17730496453900702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35</v>
      </c>
      <c r="P53" s="1">
        <f>VLOOKUP(A:A,MASTER!A:H,8,0)</f>
        <v>8</v>
      </c>
      <c r="Q53" s="12">
        <f t="shared" si="3"/>
        <v>-0.77142857142857146</v>
      </c>
      <c r="R53" s="1">
        <f>VLOOKUP(A:A,MASTER!A:B,2,0)</f>
        <v>2212</v>
      </c>
      <c r="S53">
        <f>VLOOKUP(A:A,MASTER!A:G,7,0)</f>
        <v>2065</v>
      </c>
      <c r="T53" s="12">
        <f t="shared" si="4"/>
        <v>-6.6455696202531667E-2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15925948.807056723</v>
      </c>
      <c r="G54" s="1">
        <f>VLOOKUP(A:A,MASTER!A:K,11,0)</f>
        <v>14278357.522577465</v>
      </c>
      <c r="H54" s="12">
        <f t="shared" si="0"/>
        <v>-0.10345325760115576</v>
      </c>
      <c r="I54" s="2">
        <f>VLOOKUP(A:A,MASTER!A:E,5,0)</f>
        <v>570</v>
      </c>
      <c r="J54" s="2">
        <f>VLOOKUP(A:A,MASTER!A:J,10,0)</f>
        <v>528</v>
      </c>
      <c r="K54" s="12">
        <f t="shared" si="1"/>
        <v>-7.3684210526315796E-2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4</v>
      </c>
      <c r="Q54" s="12">
        <f t="shared" si="3"/>
        <v>0.33333333333333326</v>
      </c>
      <c r="R54" s="1">
        <f>VLOOKUP(A:A,MASTER!A:B,2,0)</f>
        <v>684</v>
      </c>
      <c r="S54">
        <f>VLOOKUP(A:A,MASTER!A:G,7,0)</f>
        <v>677</v>
      </c>
      <c r="T54" s="12">
        <f t="shared" si="4"/>
        <v>-1.0233918128654929E-2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23907515.938926905</v>
      </c>
      <c r="G55" s="1">
        <f>VLOOKUP(A:A,MASTER!A:K,11,0)</f>
        <v>24722818.188481327</v>
      </c>
      <c r="H55" s="12">
        <f t="shared" si="0"/>
        <v>3.4102340520745011E-2</v>
      </c>
      <c r="I55" s="2">
        <f>VLOOKUP(A:A,MASTER!A:E,5,0)</f>
        <v>642</v>
      </c>
      <c r="J55" s="2">
        <f>VLOOKUP(A:A,MASTER!A:J,10,0)</f>
        <v>701</v>
      </c>
      <c r="K55" s="12">
        <f t="shared" si="1"/>
        <v>9.1900311526479816E-2</v>
      </c>
      <c r="L55" s="2">
        <f>VLOOKUP(A:A,MASTER!A:D,4,0)</f>
        <v>6</v>
      </c>
      <c r="M55" s="2">
        <f>VLOOKUP(A:A,MASTER!A:I,9,0)</f>
        <v>5</v>
      </c>
      <c r="N55" s="12">
        <f t="shared" si="2"/>
        <v>-0.16666666666666663</v>
      </c>
      <c r="O55" s="1">
        <f>VLOOKUP(A:A,MASTER!A:C,3,0)</f>
        <v>5</v>
      </c>
      <c r="P55" s="1">
        <f>VLOOKUP(A:A,MASTER!A:H,8,0)</f>
        <v>6</v>
      </c>
      <c r="Q55" s="12">
        <f t="shared" si="3"/>
        <v>0.19999999999999996</v>
      </c>
      <c r="R55" s="1">
        <f>VLOOKUP(A:A,MASTER!A:B,2,0)</f>
        <v>883</v>
      </c>
      <c r="S55">
        <f>VLOOKUP(A:A,MASTER!A:G,7,0)</f>
        <v>872</v>
      </c>
      <c r="T55" s="12">
        <f t="shared" si="4"/>
        <v>-1.245753114382786E-2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19219152.45467395</v>
      </c>
      <c r="G56" s="1">
        <f>VLOOKUP(A:A,MASTER!A:K,11,0)</f>
        <v>15491777.19412148</v>
      </c>
      <c r="H56" s="12">
        <f t="shared" si="0"/>
        <v>-0.19394066774500252</v>
      </c>
      <c r="I56" s="2">
        <f>VLOOKUP(A:A,MASTER!A:E,5,0)</f>
        <v>636</v>
      </c>
      <c r="J56" s="2">
        <f>VLOOKUP(A:A,MASTER!A:J,10,0)</f>
        <v>631</v>
      </c>
      <c r="K56" s="12">
        <f t="shared" si="1"/>
        <v>-7.8616352201258399E-3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2</v>
      </c>
      <c r="P56" s="1">
        <f>VLOOKUP(A:A,MASTER!A:H,8,0)</f>
        <v>4</v>
      </c>
      <c r="Q56" s="12">
        <f t="shared" si="3"/>
        <v>1</v>
      </c>
      <c r="R56" s="1">
        <f>VLOOKUP(A:A,MASTER!A:B,2,0)</f>
        <v>794</v>
      </c>
      <c r="S56">
        <f>VLOOKUP(A:A,MASTER!A:G,7,0)</f>
        <v>746</v>
      </c>
      <c r="T56" s="12">
        <f t="shared" si="4"/>
        <v>-6.0453400503778343E-2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32693040.576812342</v>
      </c>
      <c r="G57" s="1">
        <f>VLOOKUP(A:A,MASTER!A:K,11,0)</f>
        <v>32144751.183899943</v>
      </c>
      <c r="H57" s="12">
        <f t="shared" si="0"/>
        <v>-1.6770828997204834E-2</v>
      </c>
      <c r="I57" s="2">
        <f>VLOOKUP(A:A,MASTER!A:E,5,0)</f>
        <v>1019</v>
      </c>
      <c r="J57" s="2">
        <f>VLOOKUP(A:A,MASTER!A:J,10,0)</f>
        <v>937</v>
      </c>
      <c r="K57" s="12">
        <f t="shared" si="1"/>
        <v>-8.0471050049067738E-2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5</v>
      </c>
      <c r="P57" s="1">
        <f>VLOOKUP(A:A,MASTER!A:H,8,0)</f>
        <v>6</v>
      </c>
      <c r="Q57" s="12">
        <f t="shared" si="3"/>
        <v>0.19999999999999996</v>
      </c>
      <c r="R57" s="1">
        <f>VLOOKUP(A:A,MASTER!A:B,2,0)</f>
        <v>1082</v>
      </c>
      <c r="S57">
        <f>VLOOKUP(A:A,MASTER!A:G,7,0)</f>
        <v>1108</v>
      </c>
      <c r="T57" s="12">
        <f t="shared" si="4"/>
        <v>2.4029574861367919E-2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41135039.004691504</v>
      </c>
      <c r="G58" s="1">
        <f>VLOOKUP(A:A,MASTER!A:K,11,0)</f>
        <v>40223865.983752102</v>
      </c>
      <c r="H58" s="12">
        <f t="shared" si="0"/>
        <v>-2.2150775664403377E-2</v>
      </c>
      <c r="I58" s="2">
        <f>VLOOKUP(A:A,MASTER!A:E,5,0)</f>
        <v>1444</v>
      </c>
      <c r="J58" s="2">
        <f>VLOOKUP(A:A,MASTER!A:J,10,0)</f>
        <v>1524</v>
      </c>
      <c r="K58" s="12">
        <f t="shared" si="1"/>
        <v>5.5401662049861411E-2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9</v>
      </c>
      <c r="P58" s="1">
        <f>VLOOKUP(A:A,MASTER!A:H,8,0)</f>
        <v>5</v>
      </c>
      <c r="Q58" s="12">
        <f t="shared" si="3"/>
        <v>-0.44444444444444442</v>
      </c>
      <c r="R58" s="1">
        <f>VLOOKUP(A:A,MASTER!A:B,2,0)</f>
        <v>1349</v>
      </c>
      <c r="S58">
        <f>VLOOKUP(A:A,MASTER!A:G,7,0)</f>
        <v>1462</v>
      </c>
      <c r="T58" s="12">
        <f t="shared" si="4"/>
        <v>8.3765752409191929E-2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21181066.675294984</v>
      </c>
      <c r="G59" s="1">
        <f>VLOOKUP(A:A,MASTER!A:K,11,0)</f>
        <v>21499850.705537871</v>
      </c>
      <c r="H59" s="12">
        <f t="shared" si="0"/>
        <v>1.5050423811502789E-2</v>
      </c>
      <c r="I59" s="2">
        <f>VLOOKUP(A:A,MASTER!A:E,5,0)</f>
        <v>717</v>
      </c>
      <c r="J59" s="2">
        <f>VLOOKUP(A:A,MASTER!A:J,10,0)</f>
        <v>726</v>
      </c>
      <c r="K59" s="12">
        <f t="shared" si="1"/>
        <v>1.2552301255230214E-2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4</v>
      </c>
      <c r="P59" s="1">
        <f>VLOOKUP(A:A,MASTER!A:H,8,0)</f>
        <v>1</v>
      </c>
      <c r="Q59" s="12">
        <f t="shared" si="3"/>
        <v>-0.75</v>
      </c>
      <c r="R59" s="1">
        <f>VLOOKUP(A:A,MASTER!A:B,2,0)</f>
        <v>773</v>
      </c>
      <c r="S59">
        <f>VLOOKUP(A:A,MASTER!A:G,7,0)</f>
        <v>769</v>
      </c>
      <c r="T59" s="12">
        <f t="shared" si="4"/>
        <v>-5.1746442432082373E-3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24380650.130268615</v>
      </c>
      <c r="G60" s="1">
        <f>VLOOKUP(A:A,MASTER!A:K,11,0)</f>
        <v>24041232.874499574</v>
      </c>
      <c r="H60" s="12">
        <f t="shared" si="0"/>
        <v>-1.3921583467032095E-2</v>
      </c>
      <c r="I60" s="2">
        <f>VLOOKUP(A:A,MASTER!A:E,5,0)</f>
        <v>453</v>
      </c>
      <c r="J60" s="2">
        <f>VLOOKUP(A:A,MASTER!A:J,10,0)</f>
        <v>485</v>
      </c>
      <c r="K60" s="12">
        <f t="shared" si="1"/>
        <v>7.0640176600441418E-2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4</v>
      </c>
      <c r="P60" s="1">
        <f>VLOOKUP(A:A,MASTER!A:H,8,0)</f>
        <v>7</v>
      </c>
      <c r="Q60" s="12">
        <f t="shared" si="3"/>
        <v>0.75</v>
      </c>
      <c r="R60" s="1">
        <f>VLOOKUP(A:A,MASTER!A:B,2,0)</f>
        <v>693</v>
      </c>
      <c r="S60">
        <f>VLOOKUP(A:A,MASTER!A:G,7,0)</f>
        <v>642</v>
      </c>
      <c r="T60" s="12">
        <f t="shared" si="4"/>
        <v>-7.3593073593073544E-2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61721106.397677347</v>
      </c>
      <c r="G61" s="1">
        <f>VLOOKUP(A:A,MASTER!A:K,11,0)</f>
        <v>78146220.43496713</v>
      </c>
      <c r="H61" s="12">
        <f t="shared" si="0"/>
        <v>0.26611826968007635</v>
      </c>
      <c r="I61" s="2">
        <f>VLOOKUP(A:A,MASTER!A:E,5,0)</f>
        <v>1673</v>
      </c>
      <c r="J61" s="2">
        <f>VLOOKUP(A:A,MASTER!A:J,10,0)</f>
        <v>1781</v>
      </c>
      <c r="K61" s="12">
        <f t="shared" si="1"/>
        <v>6.4554692169754846E-2</v>
      </c>
      <c r="L61" s="2">
        <f>VLOOKUP(A:A,MASTER!A:D,4,0)</f>
        <v>9</v>
      </c>
      <c r="M61" s="2">
        <f>VLOOKUP(A:A,MASTER!A:I,9,0)</f>
        <v>10</v>
      </c>
      <c r="N61" s="12">
        <f t="shared" si="2"/>
        <v>0.11111111111111116</v>
      </c>
      <c r="O61" s="1">
        <f>VLOOKUP(A:A,MASTER!A:C,3,0)</f>
        <v>10</v>
      </c>
      <c r="P61" s="1">
        <f>VLOOKUP(A:A,MASTER!A:H,8,0)</f>
        <v>11</v>
      </c>
      <c r="Q61" s="12">
        <f t="shared" si="3"/>
        <v>0.10000000000000009</v>
      </c>
      <c r="R61" s="1">
        <f>VLOOKUP(A:A,MASTER!A:B,2,0)</f>
        <v>2023</v>
      </c>
      <c r="S61">
        <f>VLOOKUP(A:A,MASTER!A:G,7,0)</f>
        <v>1992</v>
      </c>
      <c r="T61" s="12">
        <f t="shared" si="4"/>
        <v>-1.5323776569451275E-2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58992955.728539579</v>
      </c>
      <c r="G62" s="1">
        <f>VLOOKUP(A:A,MASTER!A:K,11,0)</f>
        <v>57962386.104648069</v>
      </c>
      <c r="H62" s="12">
        <f t="shared" si="0"/>
        <v>-1.7469367506075639E-2</v>
      </c>
      <c r="I62" s="2">
        <f>VLOOKUP(A:A,MASTER!A:E,5,0)</f>
        <v>1192</v>
      </c>
      <c r="J62" s="2">
        <f>VLOOKUP(A:A,MASTER!A:J,10,0)</f>
        <v>1183</v>
      </c>
      <c r="K62" s="12">
        <f t="shared" si="1"/>
        <v>-7.5503355704698016E-3</v>
      </c>
      <c r="L62" s="2">
        <f>VLOOKUP(A:A,MASTER!A:D,4,0)</f>
        <v>8</v>
      </c>
      <c r="M62" s="2">
        <f>VLOOKUP(A:A,MASTER!A:I,9,0)</f>
        <v>6</v>
      </c>
      <c r="N62" s="12">
        <f t="shared" si="2"/>
        <v>-0.25</v>
      </c>
      <c r="O62" s="1">
        <f>VLOOKUP(A:A,MASTER!A:C,3,0)</f>
        <v>17</v>
      </c>
      <c r="P62" s="1">
        <f>VLOOKUP(A:A,MASTER!A:H,8,0)</f>
        <v>14</v>
      </c>
      <c r="Q62" s="12">
        <f t="shared" si="3"/>
        <v>-0.17647058823529416</v>
      </c>
      <c r="R62" s="1">
        <f>VLOOKUP(A:A,MASTER!A:B,2,0)</f>
        <v>1624</v>
      </c>
      <c r="S62">
        <f>VLOOKUP(A:A,MASTER!A:G,7,0)</f>
        <v>1584</v>
      </c>
      <c r="T62" s="12">
        <f t="shared" si="4"/>
        <v>-2.4630541871921152E-2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37368994.644287363</v>
      </c>
      <c r="G63" s="1">
        <f>VLOOKUP(A:A,MASTER!A:K,11,0)</f>
        <v>37583945.764142759</v>
      </c>
      <c r="H63" s="12">
        <f t="shared" si="0"/>
        <v>5.7521247735321523E-3</v>
      </c>
      <c r="I63" s="2">
        <f>VLOOKUP(A:A,MASTER!A:E,5,0)</f>
        <v>777</v>
      </c>
      <c r="J63" s="2">
        <f>VLOOKUP(A:A,MASTER!A:J,10,0)</f>
        <v>731</v>
      </c>
      <c r="K63" s="12">
        <f t="shared" si="1"/>
        <v>-5.9202059202059232E-2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5</v>
      </c>
      <c r="Q63" s="12">
        <f t="shared" si="3"/>
        <v>1.5</v>
      </c>
      <c r="R63" s="1">
        <f>VLOOKUP(A:A,MASTER!A:B,2,0)</f>
        <v>858</v>
      </c>
      <c r="S63">
        <f>VLOOKUP(A:A,MASTER!A:G,7,0)</f>
        <v>889</v>
      </c>
      <c r="T63" s="12">
        <f t="shared" si="4"/>
        <v>3.6130536130536184E-2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53896987.492598519</v>
      </c>
      <c r="G64" s="1">
        <f>VLOOKUP(A:A,MASTER!A:K,11,0)</f>
        <v>56760340.422445491</v>
      </c>
      <c r="H64" s="12">
        <f t="shared" si="0"/>
        <v>5.3126400250852246E-2</v>
      </c>
      <c r="I64" s="2">
        <f>VLOOKUP(A:A,MASTER!A:E,5,0)</f>
        <v>1261</v>
      </c>
      <c r="J64" s="2">
        <f>VLOOKUP(A:A,MASTER!A:J,10,0)</f>
        <v>1296</v>
      </c>
      <c r="K64" s="12">
        <f t="shared" si="1"/>
        <v>2.7755749405233843E-2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45</v>
      </c>
      <c r="P64" s="1">
        <f>VLOOKUP(A:A,MASTER!A:H,8,0)</f>
        <v>372</v>
      </c>
      <c r="Q64" s="12">
        <f t="shared" si="3"/>
        <v>7.2666666666666675</v>
      </c>
      <c r="R64" s="1">
        <f>VLOOKUP(A:A,MASTER!A:B,2,0)</f>
        <v>1847</v>
      </c>
      <c r="S64">
        <f>VLOOKUP(A:A,MASTER!A:G,7,0)</f>
        <v>2294</v>
      </c>
      <c r="T64" s="12">
        <f t="shared" si="4"/>
        <v>0.2420140768814294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4177676.11918703</v>
      </c>
      <c r="G65" s="1">
        <f>VLOOKUP(A:A,MASTER!A:K,11,0)</f>
        <v>1830061.480065604</v>
      </c>
      <c r="H65" s="12">
        <f t="shared" si="0"/>
        <v>-0.56194270980926797</v>
      </c>
      <c r="I65" s="2">
        <f>VLOOKUP(A:A,MASTER!A:E,5,0)</f>
        <v>243</v>
      </c>
      <c r="J65" s="2">
        <f>VLOOKUP(A:A,MASTER!A:J,10,0)</f>
        <v>227</v>
      </c>
      <c r="K65" s="12">
        <f t="shared" si="1"/>
        <v>-6.5843621399176988E-2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1</v>
      </c>
      <c r="P65" s="1">
        <f>VLOOKUP(A:A,MASTER!A:H,8,0)</f>
        <v>0</v>
      </c>
      <c r="Q65" s="12">
        <f t="shared" si="3"/>
        <v>-1</v>
      </c>
      <c r="R65" s="1">
        <f>VLOOKUP(A:A,MASTER!A:B,2,0)</f>
        <v>261</v>
      </c>
      <c r="S65">
        <f>VLOOKUP(A:A,MASTER!A:G,7,0)</f>
        <v>243</v>
      </c>
      <c r="T65" s="12">
        <f t="shared" si="4"/>
        <v>-6.8965517241379337E-2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42837442.990329213</v>
      </c>
      <c r="G66" s="1">
        <f>VLOOKUP(A:A,MASTER!A:K,11,0)</f>
        <v>40358257.639780559</v>
      </c>
      <c r="H66" s="12">
        <f t="shared" si="0"/>
        <v>-5.7874260868192917E-2</v>
      </c>
      <c r="I66" s="2">
        <f>VLOOKUP(A:A,MASTER!A:E,5,0)</f>
        <v>1639</v>
      </c>
      <c r="J66" s="2">
        <f>VLOOKUP(A:A,MASTER!A:J,10,0)</f>
        <v>1413</v>
      </c>
      <c r="K66" s="12">
        <f t="shared" si="1"/>
        <v>-0.13788895668090295</v>
      </c>
      <c r="L66" s="2">
        <f>VLOOKUP(A:A,MASTER!A:D,4,0)</f>
        <v>8</v>
      </c>
      <c r="M66" s="2">
        <f>VLOOKUP(A:A,MASTER!A:I,9,0)</f>
        <v>6</v>
      </c>
      <c r="N66" s="12">
        <f t="shared" si="2"/>
        <v>-0.25</v>
      </c>
      <c r="O66" s="1">
        <f>VLOOKUP(A:A,MASTER!A:C,3,0)</f>
        <v>5</v>
      </c>
      <c r="P66" s="1">
        <f>VLOOKUP(A:A,MASTER!A:H,8,0)</f>
        <v>8</v>
      </c>
      <c r="Q66" s="12">
        <f t="shared" si="3"/>
        <v>0.60000000000000009</v>
      </c>
      <c r="R66" s="1">
        <f>VLOOKUP(A:A,MASTER!A:B,2,0)</f>
        <v>1737</v>
      </c>
      <c r="S66">
        <f>VLOOKUP(A:A,MASTER!A:G,7,0)</f>
        <v>1660</v>
      </c>
      <c r="T66" s="12">
        <f t="shared" si="4"/>
        <v>-4.4329303396660857E-2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17129997.41105824</v>
      </c>
      <c r="G67" s="1">
        <f>VLOOKUP(A:A,MASTER!A:K,11,0)</f>
        <v>19545247.766959641</v>
      </c>
      <c r="H67" s="12">
        <f t="shared" ref="H67:H85" si="5">IFERROR(G67/F67-1,0)</f>
        <v>0.14099537191653289</v>
      </c>
      <c r="I67" s="2">
        <f>VLOOKUP(A:A,MASTER!A:E,5,0)</f>
        <v>590</v>
      </c>
      <c r="J67" s="2">
        <f>VLOOKUP(A:A,MASTER!A:J,10,0)</f>
        <v>578</v>
      </c>
      <c r="K67" s="12">
        <f t="shared" ref="K67:K85" si="6">IFERROR(J67/I67-1,0)</f>
        <v>-2.033898305084747E-2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2</v>
      </c>
      <c r="P67" s="1">
        <f>VLOOKUP(A:A,MASTER!A:H,8,0)</f>
        <v>1</v>
      </c>
      <c r="Q67" s="12">
        <f t="shared" ref="Q67:Q85" si="8">IFERROR(P67/O67-1,0)</f>
        <v>-0.5</v>
      </c>
      <c r="R67" s="1">
        <f>VLOOKUP(A:A,MASTER!A:B,2,0)</f>
        <v>665</v>
      </c>
      <c r="S67">
        <f>VLOOKUP(A:A,MASTER!A:G,7,0)</f>
        <v>738</v>
      </c>
      <c r="T67" s="12">
        <f t="shared" ref="T67:T85" si="9">IFERROR(S67/R67-1,0)</f>
        <v>0.10977443609022552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28510903.990744784</v>
      </c>
      <c r="G68" s="1">
        <f>VLOOKUP(A:A,MASTER!A:K,11,0)</f>
        <v>27871659.032617167</v>
      </c>
      <c r="H68" s="12">
        <f t="shared" si="5"/>
        <v>-2.2421069438385066E-2</v>
      </c>
      <c r="I68" s="2">
        <f>VLOOKUP(A:A,MASTER!A:E,5,0)</f>
        <v>885</v>
      </c>
      <c r="J68" s="2">
        <f>VLOOKUP(A:A,MASTER!A:J,10,0)</f>
        <v>984</v>
      </c>
      <c r="K68" s="12">
        <f t="shared" si="6"/>
        <v>0.11186440677966103</v>
      </c>
      <c r="L68" s="2">
        <f>VLOOKUP(A:A,MASTER!A:D,4,0)</f>
        <v>5</v>
      </c>
      <c r="M68" s="2">
        <f>VLOOKUP(A:A,MASTER!A:I,9,0)</f>
        <v>4</v>
      </c>
      <c r="N68" s="12">
        <f t="shared" si="7"/>
        <v>-0.19999999999999996</v>
      </c>
      <c r="O68" s="1">
        <f>VLOOKUP(A:A,MASTER!A:C,3,0)</f>
        <v>22</v>
      </c>
      <c r="P68" s="1">
        <f>VLOOKUP(A:A,MASTER!A:H,8,0)</f>
        <v>21</v>
      </c>
      <c r="Q68" s="12">
        <f t="shared" si="8"/>
        <v>-4.5454545454545414E-2</v>
      </c>
      <c r="R68" s="1">
        <f>VLOOKUP(A:A,MASTER!A:B,2,0)</f>
        <v>1307</v>
      </c>
      <c r="S68">
        <f>VLOOKUP(A:A,MASTER!A:G,7,0)</f>
        <v>1369</v>
      </c>
      <c r="T68" s="12">
        <f t="shared" si="9"/>
        <v>4.7436878347360434E-2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15593757.28553294</v>
      </c>
      <c r="G69" s="1">
        <f>VLOOKUP(A:A,MASTER!A:K,11,0)</f>
        <v>17271089.170965463</v>
      </c>
      <c r="H69" s="12">
        <f t="shared" si="5"/>
        <v>0.10756431915152742</v>
      </c>
      <c r="I69" s="2">
        <f>VLOOKUP(A:A,MASTER!A:E,5,0)</f>
        <v>1312</v>
      </c>
      <c r="J69" s="2">
        <f>VLOOKUP(A:A,MASTER!A:J,10,0)</f>
        <v>1190</v>
      </c>
      <c r="K69" s="12">
        <f t="shared" si="6"/>
        <v>-9.2987804878048808E-2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7</v>
      </c>
      <c r="P69" s="1">
        <f>VLOOKUP(A:A,MASTER!A:H,8,0)</f>
        <v>2</v>
      </c>
      <c r="Q69" s="12">
        <f t="shared" si="8"/>
        <v>-0.7142857142857143</v>
      </c>
      <c r="R69" s="1">
        <f>VLOOKUP(A:A,MASTER!A:B,2,0)</f>
        <v>1386</v>
      </c>
      <c r="S69">
        <f>VLOOKUP(A:A,MASTER!A:G,7,0)</f>
        <v>1265</v>
      </c>
      <c r="T69" s="12">
        <f t="shared" si="9"/>
        <v>-8.7301587301587324E-2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50258291.499809645</v>
      </c>
      <c r="G70" s="1">
        <f>VLOOKUP(A:A,MASTER!A:K,11,0)</f>
        <v>50078251.351593465</v>
      </c>
      <c r="H70" s="12">
        <f t="shared" si="5"/>
        <v>-3.5822974248311823E-3</v>
      </c>
      <c r="I70" s="2">
        <f>VLOOKUP(A:A,MASTER!A:E,5,0)</f>
        <v>1364</v>
      </c>
      <c r="J70" s="2">
        <f>VLOOKUP(A:A,MASTER!A:J,10,0)</f>
        <v>1198</v>
      </c>
      <c r="K70" s="12">
        <f t="shared" si="6"/>
        <v>-0.1217008797653959</v>
      </c>
      <c r="L70" s="2">
        <f>VLOOKUP(A:A,MASTER!A:D,4,0)</f>
        <v>5</v>
      </c>
      <c r="M70" s="2">
        <f>VLOOKUP(A:A,MASTER!A:I,9,0)</f>
        <v>4</v>
      </c>
      <c r="N70" s="12">
        <f t="shared" si="7"/>
        <v>-0.19999999999999996</v>
      </c>
      <c r="O70" s="1">
        <f>VLOOKUP(A:A,MASTER!A:C,3,0)</f>
        <v>5</v>
      </c>
      <c r="P70" s="1">
        <f>VLOOKUP(A:A,MASTER!A:H,8,0)</f>
        <v>10</v>
      </c>
      <c r="Q70" s="12">
        <f t="shared" si="8"/>
        <v>1</v>
      </c>
      <c r="R70" s="1">
        <f>VLOOKUP(A:A,MASTER!A:B,2,0)</f>
        <v>1740</v>
      </c>
      <c r="S70">
        <f>VLOOKUP(A:A,MASTER!A:G,7,0)</f>
        <v>1753</v>
      </c>
      <c r="T70" s="12">
        <f t="shared" si="9"/>
        <v>7.4712643678160884E-3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11124898.409664072</v>
      </c>
      <c r="G71" s="1">
        <f>VLOOKUP(A:A,MASTER!A:K,11,0)</f>
        <v>10184693.362073636</v>
      </c>
      <c r="H71" s="12">
        <f t="shared" si="5"/>
        <v>-8.451358502057793E-2</v>
      </c>
      <c r="I71" s="2">
        <f>VLOOKUP(A:A,MASTER!A:E,5,0)</f>
        <v>515</v>
      </c>
      <c r="J71" s="2">
        <f>VLOOKUP(A:A,MASTER!A:J,10,0)</f>
        <v>432</v>
      </c>
      <c r="K71" s="12">
        <f t="shared" si="6"/>
        <v>-0.16116504854368929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2</v>
      </c>
      <c r="P71" s="1">
        <f>VLOOKUP(A:A,MASTER!A:H,8,0)</f>
        <v>2</v>
      </c>
      <c r="Q71" s="12">
        <f t="shared" si="8"/>
        <v>0</v>
      </c>
      <c r="R71" s="1">
        <f>VLOOKUP(A:A,MASTER!A:B,2,0)</f>
        <v>495</v>
      </c>
      <c r="S71">
        <f>VLOOKUP(A:A,MASTER!A:G,7,0)</f>
        <v>515</v>
      </c>
      <c r="T71" s="12">
        <f t="shared" si="9"/>
        <v>4.0404040404040442E-2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16955552.557962589</v>
      </c>
      <c r="G72" s="1">
        <f>VLOOKUP(A:A,MASTER!A:K,11,0)</f>
        <v>15810033.870585823</v>
      </c>
      <c r="H72" s="12">
        <f t="shared" si="5"/>
        <v>-6.7560091802423283E-2</v>
      </c>
      <c r="I72" s="2">
        <f>VLOOKUP(A:A,MASTER!A:E,5,0)</f>
        <v>806</v>
      </c>
      <c r="J72" s="2">
        <f>VLOOKUP(A:A,MASTER!A:J,10,0)</f>
        <v>1000</v>
      </c>
      <c r="K72" s="12">
        <f t="shared" si="6"/>
        <v>0.2406947890818858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3</v>
      </c>
      <c r="P72" s="1">
        <f>VLOOKUP(A:A,MASTER!A:H,8,0)</f>
        <v>2</v>
      </c>
      <c r="Q72" s="12">
        <f t="shared" si="8"/>
        <v>-0.33333333333333337</v>
      </c>
      <c r="R72" s="1">
        <f>VLOOKUP(A:A,MASTER!A:B,2,0)</f>
        <v>897</v>
      </c>
      <c r="S72">
        <f>VLOOKUP(A:A,MASTER!A:G,7,0)</f>
        <v>885</v>
      </c>
      <c r="T72" s="12">
        <f t="shared" si="9"/>
        <v>-1.3377926421404673E-2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12369088.577015188</v>
      </c>
      <c r="G73" s="1">
        <f>VLOOKUP(A:A,MASTER!A:K,11,0)</f>
        <v>15807488.14342864</v>
      </c>
      <c r="H73" s="12">
        <f t="shared" si="5"/>
        <v>0.2779832600441432</v>
      </c>
      <c r="I73" s="2">
        <f>VLOOKUP(A:A,MASTER!A:E,5,0)</f>
        <v>528</v>
      </c>
      <c r="J73" s="2">
        <f>VLOOKUP(A:A,MASTER!A:J,10,0)</f>
        <v>510</v>
      </c>
      <c r="K73" s="12">
        <f t="shared" si="6"/>
        <v>-3.4090909090909061E-2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1</v>
      </c>
      <c r="P73" s="1">
        <f>VLOOKUP(A:A,MASTER!A:H,8,0)</f>
        <v>0</v>
      </c>
      <c r="Q73" s="12">
        <f t="shared" si="8"/>
        <v>-1</v>
      </c>
      <c r="R73" s="1">
        <f>VLOOKUP(A:A,MASTER!A:B,2,0)</f>
        <v>684</v>
      </c>
      <c r="S73">
        <f>VLOOKUP(A:A,MASTER!A:G,7,0)</f>
        <v>650</v>
      </c>
      <c r="T73" s="12">
        <f t="shared" si="9"/>
        <v>-4.9707602339181256E-2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11378936.90622247</v>
      </c>
      <c r="G74" s="1">
        <f>VLOOKUP(A:A,MASTER!A:K,11,0)</f>
        <v>12568715.058400322</v>
      </c>
      <c r="H74" s="12">
        <f t="shared" si="5"/>
        <v>0.10455969322821645</v>
      </c>
      <c r="I74" s="2">
        <f>VLOOKUP(A:A,MASTER!A:E,5,0)</f>
        <v>736</v>
      </c>
      <c r="J74" s="2">
        <f>VLOOKUP(A:A,MASTER!A:J,10,0)</f>
        <v>702</v>
      </c>
      <c r="K74" s="12">
        <f t="shared" si="6"/>
        <v>-4.6195652173913082E-2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4</v>
      </c>
      <c r="P74" s="1">
        <f>VLOOKUP(A:A,MASTER!A:H,8,0)</f>
        <v>6</v>
      </c>
      <c r="Q74" s="12">
        <f t="shared" si="8"/>
        <v>0.5</v>
      </c>
      <c r="R74" s="1">
        <f>VLOOKUP(A:A,MASTER!A:B,2,0)</f>
        <v>599</v>
      </c>
      <c r="S74">
        <f>VLOOKUP(A:A,MASTER!A:G,7,0)</f>
        <v>612</v>
      </c>
      <c r="T74" s="12">
        <f t="shared" si="9"/>
        <v>2.1702838063438978E-2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12943551.285408163</v>
      </c>
      <c r="G75" s="1">
        <f>VLOOKUP(A:A,MASTER!A:K,11,0)</f>
        <v>13584670.070504978</v>
      </c>
      <c r="H75" s="12">
        <f t="shared" si="5"/>
        <v>4.9531907508225892E-2</v>
      </c>
      <c r="I75" s="2">
        <f>VLOOKUP(A:A,MASTER!A:E,5,0)</f>
        <v>425</v>
      </c>
      <c r="J75" s="2">
        <f>VLOOKUP(A:A,MASTER!A:J,10,0)</f>
        <v>463</v>
      </c>
      <c r="K75" s="12">
        <f t="shared" si="6"/>
        <v>8.9411764705882302E-2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5</v>
      </c>
      <c r="P75" s="1">
        <f>VLOOKUP(A:A,MASTER!A:H,8,0)</f>
        <v>1</v>
      </c>
      <c r="Q75" s="12">
        <f t="shared" si="8"/>
        <v>-0.8</v>
      </c>
      <c r="R75" s="1">
        <f>VLOOKUP(A:A,MASTER!A:B,2,0)</f>
        <v>441</v>
      </c>
      <c r="S75">
        <f>VLOOKUP(A:A,MASTER!A:G,7,0)</f>
        <v>444</v>
      </c>
      <c r="T75" s="12">
        <f t="shared" si="9"/>
        <v>6.8027210884353817E-3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36997824.771402493</v>
      </c>
      <c r="G76" s="1">
        <f>VLOOKUP(A:A,MASTER!A:K,11,0)</f>
        <v>36158999.173775911</v>
      </c>
      <c r="H76" s="12">
        <f t="shared" si="5"/>
        <v>-2.2672295001379461E-2</v>
      </c>
      <c r="I76" s="2">
        <f>VLOOKUP(A:A,MASTER!A:E,5,0)</f>
        <v>784</v>
      </c>
      <c r="J76" s="2">
        <f>VLOOKUP(A:A,MASTER!A:J,10,0)</f>
        <v>562</v>
      </c>
      <c r="K76" s="12">
        <f t="shared" si="6"/>
        <v>-0.28316326530612246</v>
      </c>
      <c r="L76" s="2">
        <f>VLOOKUP(A:A,MASTER!A:D,4,0)</f>
        <v>4</v>
      </c>
      <c r="M76" s="2">
        <f>VLOOKUP(A:A,MASTER!A:I,9,0)</f>
        <v>3</v>
      </c>
      <c r="N76" s="12">
        <f t="shared" si="7"/>
        <v>-0.25</v>
      </c>
      <c r="O76" s="1">
        <f>VLOOKUP(A:A,MASTER!A:C,3,0)</f>
        <v>6</v>
      </c>
      <c r="P76" s="1">
        <f>VLOOKUP(A:A,MASTER!A:H,8,0)</f>
        <v>5</v>
      </c>
      <c r="Q76" s="12">
        <f t="shared" si="8"/>
        <v>-0.16666666666666663</v>
      </c>
      <c r="R76" s="1">
        <f>VLOOKUP(A:A,MASTER!A:B,2,0)</f>
        <v>972</v>
      </c>
      <c r="S76">
        <f>VLOOKUP(A:A,MASTER!A:G,7,0)</f>
        <v>928</v>
      </c>
      <c r="T76" s="12">
        <f t="shared" si="9"/>
        <v>-4.5267489711934172E-2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21724320.235075474</v>
      </c>
      <c r="G77" s="1">
        <f>VLOOKUP(A:A,MASTER!A:K,11,0)</f>
        <v>21556780.627003729</v>
      </c>
      <c r="H77" s="12">
        <f t="shared" si="5"/>
        <v>-7.7120759710234132E-3</v>
      </c>
      <c r="I77" s="2">
        <f>VLOOKUP(A:A,MASTER!A:E,5,0)</f>
        <v>730</v>
      </c>
      <c r="J77" s="2">
        <f>VLOOKUP(A:A,MASTER!A:J,10,0)</f>
        <v>715</v>
      </c>
      <c r="K77" s="12">
        <f t="shared" si="6"/>
        <v>-2.0547945205479423E-2</v>
      </c>
      <c r="L77" s="2">
        <f>VLOOKUP(A:A,MASTER!A:D,4,0)</f>
        <v>9</v>
      </c>
      <c r="M77" s="2">
        <f>VLOOKUP(A:A,MASTER!A:I,9,0)</f>
        <v>10</v>
      </c>
      <c r="N77" s="12">
        <f t="shared" si="7"/>
        <v>0.11111111111111116</v>
      </c>
      <c r="O77" s="1">
        <f>VLOOKUP(A:A,MASTER!A:C,3,0)</f>
        <v>2</v>
      </c>
      <c r="P77" s="1">
        <f>VLOOKUP(A:A,MASTER!A:H,8,0)</f>
        <v>2</v>
      </c>
      <c r="Q77" s="12">
        <f t="shared" si="8"/>
        <v>0</v>
      </c>
      <c r="R77" s="1">
        <f>VLOOKUP(A:A,MASTER!A:B,2,0)</f>
        <v>788</v>
      </c>
      <c r="S77">
        <f>VLOOKUP(A:A,MASTER!A:G,7,0)</f>
        <v>772</v>
      </c>
      <c r="T77" s="12">
        <f t="shared" si="9"/>
        <v>-2.0304568527918732E-2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18436711.83211863</v>
      </c>
      <c r="G78" s="1">
        <f>VLOOKUP(A:A,MASTER!A:K,11,0)</f>
        <v>17554926.06836798</v>
      </c>
      <c r="H78" s="12">
        <f t="shared" si="5"/>
        <v>-4.7827713085718981E-2</v>
      </c>
      <c r="I78" s="2">
        <f>VLOOKUP(A:A,MASTER!A:E,5,0)</f>
        <v>918</v>
      </c>
      <c r="J78" s="2">
        <f>VLOOKUP(A:A,MASTER!A:J,10,0)</f>
        <v>866</v>
      </c>
      <c r="K78" s="12">
        <f t="shared" si="6"/>
        <v>-5.6644880174291923E-2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0</v>
      </c>
      <c r="P78" s="1">
        <f>VLOOKUP(A:A,MASTER!A:H,8,0)</f>
        <v>2</v>
      </c>
      <c r="Q78" s="12">
        <f t="shared" si="8"/>
        <v>0</v>
      </c>
      <c r="R78" s="1">
        <f>VLOOKUP(A:A,MASTER!A:B,2,0)</f>
        <v>941</v>
      </c>
      <c r="S78">
        <f>VLOOKUP(A:A,MASTER!A:G,7,0)</f>
        <v>958</v>
      </c>
      <c r="T78" s="12">
        <f t="shared" si="9"/>
        <v>1.8065887353878818E-2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20675882.787564185</v>
      </c>
      <c r="G79" s="1">
        <f>VLOOKUP(A:A,MASTER!A:K,11,0)</f>
        <v>17375063.532339539</v>
      </c>
      <c r="H79" s="12">
        <f t="shared" si="5"/>
        <v>-0.15964586804535241</v>
      </c>
      <c r="I79" s="2">
        <f>VLOOKUP(A:A,MASTER!A:E,5,0)</f>
        <v>796</v>
      </c>
      <c r="J79" s="2">
        <f>VLOOKUP(A:A,MASTER!A:J,10,0)</f>
        <v>790</v>
      </c>
      <c r="K79" s="12">
        <f t="shared" si="6"/>
        <v>-7.5376884422110324E-3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5</v>
      </c>
      <c r="P79" s="1">
        <f>VLOOKUP(A:A,MASTER!A:H,8,0)</f>
        <v>1</v>
      </c>
      <c r="Q79" s="12">
        <f t="shared" si="8"/>
        <v>-0.8</v>
      </c>
      <c r="R79" s="1">
        <f>VLOOKUP(A:A,MASTER!A:B,2,0)</f>
        <v>1018</v>
      </c>
      <c r="S79">
        <f>VLOOKUP(A:A,MASTER!A:G,7,0)</f>
        <v>994</v>
      </c>
      <c r="T79" s="12">
        <f t="shared" si="9"/>
        <v>-2.3575638506876273E-2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21557213.686589696</v>
      </c>
      <c r="G80" s="1">
        <f>VLOOKUP(A:A,MASTER!A:K,11,0)</f>
        <v>23095754.28563593</v>
      </c>
      <c r="H80" s="12">
        <f t="shared" si="5"/>
        <v>7.1370104755390074E-2</v>
      </c>
      <c r="I80" s="2">
        <f>VLOOKUP(A:A,MASTER!A:E,5,0)</f>
        <v>715</v>
      </c>
      <c r="J80" s="2">
        <f>VLOOKUP(A:A,MASTER!A:J,10,0)</f>
        <v>796</v>
      </c>
      <c r="K80" s="12">
        <f t="shared" si="6"/>
        <v>0.11328671328671325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4</v>
      </c>
      <c r="P80" s="1">
        <f>VLOOKUP(A:A,MASTER!A:H,8,0)</f>
        <v>2</v>
      </c>
      <c r="Q80" s="12">
        <f t="shared" si="8"/>
        <v>-0.5</v>
      </c>
      <c r="R80" s="1">
        <f>VLOOKUP(A:A,MASTER!A:B,2,0)</f>
        <v>747</v>
      </c>
      <c r="S80">
        <f>VLOOKUP(A:A,MASTER!A:G,7,0)</f>
        <v>762</v>
      </c>
      <c r="T80" s="12">
        <f t="shared" si="9"/>
        <v>2.008032128514059E-2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9879876.8658112064</v>
      </c>
      <c r="G81" s="1">
        <f>VLOOKUP(A:A,MASTER!A:K,11,0)</f>
        <v>10738264.072177881</v>
      </c>
      <c r="H81" s="12">
        <f t="shared" si="5"/>
        <v>8.6882379003839549E-2</v>
      </c>
      <c r="I81" s="2">
        <f>VLOOKUP(A:A,MASTER!A:E,5,0)</f>
        <v>531</v>
      </c>
      <c r="J81" s="2">
        <f>VLOOKUP(A:A,MASTER!A:J,10,0)</f>
        <v>510</v>
      </c>
      <c r="K81" s="12">
        <f t="shared" si="6"/>
        <v>-3.9548022598870025E-2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1</v>
      </c>
      <c r="Q81" s="12">
        <f t="shared" si="8"/>
        <v>0</v>
      </c>
      <c r="R81" s="1">
        <f>VLOOKUP(A:A,MASTER!A:B,2,0)</f>
        <v>565</v>
      </c>
      <c r="S81">
        <f>VLOOKUP(A:A,MASTER!A:G,7,0)</f>
        <v>566</v>
      </c>
      <c r="T81" s="12">
        <f t="shared" si="9"/>
        <v>1.7699115044247371E-3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41733546.900617406</v>
      </c>
      <c r="G82" s="1">
        <f>VLOOKUP(A:A,MASTER!A:K,11,0)</f>
        <v>45577456.506966852</v>
      </c>
      <c r="H82" s="12">
        <f t="shared" si="5"/>
        <v>9.2105988870372801E-2</v>
      </c>
      <c r="I82" s="2">
        <f>VLOOKUP(A:A,MASTER!A:E,5,0)</f>
        <v>1295</v>
      </c>
      <c r="J82" s="2">
        <f>VLOOKUP(A:A,MASTER!A:J,10,0)</f>
        <v>1232</v>
      </c>
      <c r="K82" s="12">
        <f t="shared" si="6"/>
        <v>-4.8648648648648596E-2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7</v>
      </c>
      <c r="P82" s="1">
        <f>VLOOKUP(A:A,MASTER!A:H,8,0)</f>
        <v>1</v>
      </c>
      <c r="Q82" s="12">
        <f t="shared" si="8"/>
        <v>-0.85714285714285721</v>
      </c>
      <c r="R82" s="1">
        <f>VLOOKUP(A:A,MASTER!A:B,2,0)</f>
        <v>1715</v>
      </c>
      <c r="S82">
        <f>VLOOKUP(A:A,MASTER!A:G,7,0)</f>
        <v>1765</v>
      </c>
      <c r="T82" s="12">
        <f t="shared" si="9"/>
        <v>2.9154518950437414E-2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11696048.467407828</v>
      </c>
      <c r="G83" s="1">
        <f>VLOOKUP(A:A,MASTER!A:K,11,0)</f>
        <v>10779677.36682423</v>
      </c>
      <c r="H83" s="12">
        <f t="shared" si="5"/>
        <v>-7.8348777635211975E-2</v>
      </c>
      <c r="I83" s="2">
        <f>VLOOKUP(A:A,MASTER!A:E,5,0)</f>
        <v>901</v>
      </c>
      <c r="J83" s="2">
        <f>VLOOKUP(A:A,MASTER!A:J,10,0)</f>
        <v>636</v>
      </c>
      <c r="K83" s="12">
        <f t="shared" si="6"/>
        <v>-0.29411764705882348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5</v>
      </c>
      <c r="P83" s="1">
        <f>VLOOKUP(A:A,MASTER!A:H,8,0)</f>
        <v>0</v>
      </c>
      <c r="Q83" s="12">
        <f t="shared" si="8"/>
        <v>-1</v>
      </c>
      <c r="R83" s="1">
        <f>VLOOKUP(A:A,MASTER!A:B,2,0)</f>
        <v>645</v>
      </c>
      <c r="S83">
        <f>VLOOKUP(A:A,MASTER!A:G,7,0)</f>
        <v>556</v>
      </c>
      <c r="T83" s="12">
        <f t="shared" si="9"/>
        <v>-0.13798449612403096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19852232.268611159</v>
      </c>
      <c r="G84" s="1">
        <f>VLOOKUP(A:A,MASTER!A:K,11,0)</f>
        <v>19960572.610525478</v>
      </c>
      <c r="H84" s="12">
        <f t="shared" si="5"/>
        <v>5.4573380186377918E-3</v>
      </c>
      <c r="I84" s="2">
        <f>VLOOKUP(A:A,MASTER!A:E,5,0)</f>
        <v>551</v>
      </c>
      <c r="J84" s="2">
        <f>VLOOKUP(A:A,MASTER!A:J,10,0)</f>
        <v>569</v>
      </c>
      <c r="K84" s="12">
        <f t="shared" si="6"/>
        <v>3.2667876588021727E-2</v>
      </c>
      <c r="L84" s="2">
        <f>VLOOKUP(A:A,MASTER!A:D,4,0)</f>
        <v>7</v>
      </c>
      <c r="M84" s="2">
        <f>VLOOKUP(A:A,MASTER!A:I,9,0)</f>
        <v>7</v>
      </c>
      <c r="N84" s="12">
        <f t="shared" si="7"/>
        <v>0</v>
      </c>
      <c r="O84" s="1">
        <f>VLOOKUP(A:A,MASTER!A:C,3,0)</f>
        <v>10</v>
      </c>
      <c r="P84" s="1">
        <f>VLOOKUP(A:A,MASTER!A:H,8,0)</f>
        <v>4</v>
      </c>
      <c r="Q84" s="12">
        <f t="shared" si="8"/>
        <v>-0.6</v>
      </c>
      <c r="R84" s="1">
        <f>VLOOKUP(A:A,MASTER!A:B,2,0)</f>
        <v>622</v>
      </c>
      <c r="S84">
        <f>VLOOKUP(A:A,MASTER!A:G,7,0)</f>
        <v>646</v>
      </c>
      <c r="T84" s="12">
        <f t="shared" si="9"/>
        <v>3.8585209003215493E-2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5664274.1859372323</v>
      </c>
      <c r="G85" s="1">
        <f>VLOOKUP(A:A,MASTER!A:K,11,0)</f>
        <v>4924927.4812102551</v>
      </c>
      <c r="H85" s="12">
        <f t="shared" si="5"/>
        <v>-0.13052805716265692</v>
      </c>
      <c r="I85" s="2">
        <f>VLOOKUP(A:A,MASTER!A:E,5,0)</f>
        <v>311</v>
      </c>
      <c r="J85" s="2">
        <f>VLOOKUP(A:A,MASTER!A:J,10,0)</f>
        <v>301</v>
      </c>
      <c r="K85" s="12">
        <f t="shared" si="6"/>
        <v>-3.2154340836012874E-2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356</v>
      </c>
      <c r="S85">
        <f>VLOOKUP(A:A,MASTER!A:G,7,0)</f>
        <v>355</v>
      </c>
      <c r="T85" s="12">
        <f t="shared" si="9"/>
        <v>-2.8089887640448952E-3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83741</v>
      </c>
      <c r="C3" s="11">
        <f t="shared" si="0"/>
        <v>600</v>
      </c>
      <c r="D3" s="11">
        <f t="shared" si="0"/>
        <v>310</v>
      </c>
      <c r="E3" s="11">
        <f t="shared" si="0"/>
        <v>72428</v>
      </c>
      <c r="F3" s="11">
        <f t="shared" si="0"/>
        <v>2094137380.8293059</v>
      </c>
      <c r="G3" s="11">
        <f t="shared" si="0"/>
        <v>84619</v>
      </c>
      <c r="H3" s="11">
        <f t="shared" si="0"/>
        <v>1046</v>
      </c>
      <c r="I3" s="11">
        <f t="shared" si="0"/>
        <v>317</v>
      </c>
      <c r="J3" s="11">
        <f t="shared" si="0"/>
        <v>70425</v>
      </c>
      <c r="K3" s="11">
        <f t="shared" si="0"/>
        <v>2082336634.7778966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408</v>
      </c>
      <c r="C6" s="10">
        <v>3</v>
      </c>
      <c r="D6" s="10">
        <v>2</v>
      </c>
      <c r="E6" s="10">
        <v>288</v>
      </c>
      <c r="F6" s="10">
        <v>10081819.681227973</v>
      </c>
      <c r="G6" s="10">
        <v>416</v>
      </c>
      <c r="H6" s="10">
        <v>0</v>
      </c>
      <c r="I6" s="10">
        <v>2</v>
      </c>
      <c r="J6" s="10">
        <v>386</v>
      </c>
      <c r="K6" s="10">
        <v>9328903.5811648574</v>
      </c>
    </row>
    <row r="7" spans="1:11" x14ac:dyDescent="0.35">
      <c r="A7" s="9" t="s">
        <v>127</v>
      </c>
      <c r="B7" s="10">
        <v>675</v>
      </c>
      <c r="C7" s="10">
        <v>1</v>
      </c>
      <c r="D7" s="10">
        <v>1</v>
      </c>
      <c r="E7" s="10">
        <v>550</v>
      </c>
      <c r="F7" s="10">
        <v>12646261.849610392</v>
      </c>
      <c r="G7" s="10">
        <v>648</v>
      </c>
      <c r="H7" s="10">
        <v>4</v>
      </c>
      <c r="I7" s="10">
        <v>3</v>
      </c>
      <c r="J7" s="10">
        <v>1204</v>
      </c>
      <c r="K7" s="10">
        <v>10997989.293437231</v>
      </c>
    </row>
    <row r="8" spans="1:11" x14ac:dyDescent="0.35">
      <c r="A8" s="9" t="s">
        <v>119</v>
      </c>
      <c r="B8" s="10">
        <v>681</v>
      </c>
      <c r="C8" s="10">
        <v>3</v>
      </c>
      <c r="D8" s="10">
        <v>2</v>
      </c>
      <c r="E8" s="10">
        <v>658</v>
      </c>
      <c r="F8" s="10">
        <v>12713958.118884431</v>
      </c>
      <c r="G8" s="10">
        <v>743</v>
      </c>
      <c r="H8" s="10">
        <v>6</v>
      </c>
      <c r="I8" s="10">
        <v>1</v>
      </c>
      <c r="J8" s="10">
        <v>737</v>
      </c>
      <c r="K8" s="10">
        <v>14219634.224562662</v>
      </c>
    </row>
    <row r="9" spans="1:11" x14ac:dyDescent="0.35">
      <c r="A9" s="9" t="s">
        <v>121</v>
      </c>
      <c r="B9" s="10">
        <v>1190</v>
      </c>
      <c r="C9" s="10">
        <v>4</v>
      </c>
      <c r="D9" s="10">
        <v>3</v>
      </c>
      <c r="E9" s="10">
        <v>1981</v>
      </c>
      <c r="F9" s="10">
        <v>23642031.302799549</v>
      </c>
      <c r="G9" s="10">
        <v>1212</v>
      </c>
      <c r="H9" s="10">
        <v>4</v>
      </c>
      <c r="I9" s="10">
        <v>4</v>
      </c>
      <c r="J9" s="10">
        <v>1071</v>
      </c>
      <c r="K9" s="10">
        <v>23896411.194066271</v>
      </c>
    </row>
    <row r="10" spans="1:11" x14ac:dyDescent="0.35">
      <c r="A10" s="9" t="s">
        <v>123</v>
      </c>
      <c r="B10" s="10">
        <v>407</v>
      </c>
      <c r="C10" s="10">
        <v>1</v>
      </c>
      <c r="D10" s="10">
        <v>1</v>
      </c>
      <c r="E10" s="10">
        <v>328</v>
      </c>
      <c r="F10" s="10">
        <v>9596873.4474547114</v>
      </c>
      <c r="G10" s="10">
        <v>407</v>
      </c>
      <c r="H10" s="10">
        <v>1</v>
      </c>
      <c r="I10" s="10">
        <v>1</v>
      </c>
      <c r="J10" s="10">
        <v>361</v>
      </c>
      <c r="K10" s="10">
        <v>10735578.1970079</v>
      </c>
    </row>
    <row r="11" spans="1:11" x14ac:dyDescent="0.35">
      <c r="A11" s="9" t="s">
        <v>125</v>
      </c>
      <c r="B11" s="10">
        <v>367</v>
      </c>
      <c r="C11" s="10">
        <v>2</v>
      </c>
      <c r="D11" s="10">
        <v>2</v>
      </c>
      <c r="E11" s="10">
        <v>313</v>
      </c>
      <c r="F11" s="10">
        <v>8856040.2209448274</v>
      </c>
      <c r="G11" s="10">
        <v>381</v>
      </c>
      <c r="H11" s="10">
        <v>3</v>
      </c>
      <c r="I11" s="10">
        <v>2</v>
      </c>
      <c r="J11" s="10">
        <v>274</v>
      </c>
      <c r="K11" s="10">
        <v>8947473.0958644543</v>
      </c>
    </row>
    <row r="12" spans="1:11" x14ac:dyDescent="0.35">
      <c r="A12" s="9" t="s">
        <v>131</v>
      </c>
      <c r="B12" s="10">
        <v>597</v>
      </c>
      <c r="C12" s="10">
        <v>0</v>
      </c>
      <c r="D12" s="10">
        <v>1</v>
      </c>
      <c r="E12" s="10">
        <v>481</v>
      </c>
      <c r="F12" s="10">
        <v>10119494.23898562</v>
      </c>
      <c r="G12" s="10">
        <v>595</v>
      </c>
      <c r="H12" s="10">
        <v>1</v>
      </c>
      <c r="I12" s="10">
        <v>3</v>
      </c>
      <c r="J12" s="10">
        <v>516</v>
      </c>
      <c r="K12" s="10">
        <v>10567198.582857665</v>
      </c>
    </row>
    <row r="13" spans="1:11" x14ac:dyDescent="0.35">
      <c r="A13" s="9" t="s">
        <v>133</v>
      </c>
      <c r="B13" s="10">
        <v>169</v>
      </c>
      <c r="C13" s="10">
        <v>0</v>
      </c>
      <c r="D13" s="10">
        <v>1</v>
      </c>
      <c r="E13" s="10">
        <v>140</v>
      </c>
      <c r="F13" s="10">
        <v>4689917.3020850392</v>
      </c>
      <c r="G13" s="10">
        <v>168</v>
      </c>
      <c r="H13" s="10">
        <v>0</v>
      </c>
      <c r="I13" s="10">
        <v>1</v>
      </c>
      <c r="J13" s="10">
        <v>146</v>
      </c>
      <c r="K13" s="10">
        <v>4719781.875237532</v>
      </c>
    </row>
    <row r="14" spans="1:11" x14ac:dyDescent="0.35">
      <c r="A14" s="9" t="s">
        <v>141</v>
      </c>
      <c r="B14" s="10">
        <v>202</v>
      </c>
      <c r="C14" s="10">
        <v>1</v>
      </c>
      <c r="D14" s="10">
        <v>0</v>
      </c>
      <c r="E14" s="10">
        <v>135</v>
      </c>
      <c r="F14" s="10">
        <v>4570511.2464642841</v>
      </c>
      <c r="G14" s="10">
        <v>184</v>
      </c>
      <c r="H14" s="10">
        <v>1</v>
      </c>
      <c r="I14" s="10">
        <v>1</v>
      </c>
      <c r="J14" s="10">
        <v>137</v>
      </c>
      <c r="K14" s="10">
        <v>1301677.642551824</v>
      </c>
    </row>
    <row r="15" spans="1:11" x14ac:dyDescent="0.35">
      <c r="A15" s="9" t="s">
        <v>135</v>
      </c>
      <c r="B15" s="10">
        <v>345</v>
      </c>
      <c r="C15" s="10">
        <v>0</v>
      </c>
      <c r="D15" s="10">
        <v>0</v>
      </c>
      <c r="E15" s="10">
        <v>339</v>
      </c>
      <c r="F15" s="10">
        <v>7208654.6195380623</v>
      </c>
      <c r="G15" s="10">
        <v>374</v>
      </c>
      <c r="H15" s="10">
        <v>1</v>
      </c>
      <c r="I15" s="10">
        <v>1</v>
      </c>
      <c r="J15" s="10">
        <v>356</v>
      </c>
      <c r="K15" s="10">
        <v>9475751.8262754045</v>
      </c>
    </row>
    <row r="16" spans="1:11" x14ac:dyDescent="0.35">
      <c r="A16" s="9" t="s">
        <v>143</v>
      </c>
      <c r="B16" s="10">
        <v>213</v>
      </c>
      <c r="C16" s="10">
        <v>0</v>
      </c>
      <c r="D16" s="10">
        <v>2</v>
      </c>
      <c r="E16" s="10">
        <v>227</v>
      </c>
      <c r="F16" s="10">
        <v>3398341.1812919341</v>
      </c>
      <c r="G16" s="10">
        <v>213</v>
      </c>
      <c r="H16" s="10">
        <v>0</v>
      </c>
      <c r="I16" s="10">
        <v>2</v>
      </c>
      <c r="J16" s="10">
        <v>424</v>
      </c>
      <c r="K16" s="10">
        <v>4599522.8086553616</v>
      </c>
    </row>
    <row r="17" spans="1:11" x14ac:dyDescent="0.35">
      <c r="A17" s="9" t="s">
        <v>145</v>
      </c>
      <c r="B17" s="10">
        <v>251</v>
      </c>
      <c r="C17" s="10">
        <v>7</v>
      </c>
      <c r="D17" s="10">
        <v>0</v>
      </c>
      <c r="E17" s="10">
        <v>197</v>
      </c>
      <c r="F17" s="10">
        <v>4634949.7732747439</v>
      </c>
      <c r="G17" s="10">
        <v>246</v>
      </c>
      <c r="H17" s="10">
        <v>1</v>
      </c>
      <c r="I17" s="10">
        <v>2</v>
      </c>
      <c r="J17" s="10">
        <v>227</v>
      </c>
      <c r="K17" s="10">
        <v>4996010.6418833202</v>
      </c>
    </row>
    <row r="18" spans="1:11" x14ac:dyDescent="0.35">
      <c r="A18" s="9" t="s">
        <v>20</v>
      </c>
      <c r="B18" s="10">
        <v>1419</v>
      </c>
      <c r="C18" s="10">
        <v>0</v>
      </c>
      <c r="D18" s="10">
        <v>1</v>
      </c>
      <c r="E18" s="10">
        <v>999</v>
      </c>
      <c r="F18" s="10">
        <v>8173457.9071941637</v>
      </c>
      <c r="G18" s="10">
        <v>1432</v>
      </c>
      <c r="H18" s="10">
        <v>3</v>
      </c>
      <c r="I18" s="10">
        <v>3</v>
      </c>
      <c r="J18" s="10">
        <v>1223</v>
      </c>
      <c r="K18" s="10">
        <v>19523999.849815324</v>
      </c>
    </row>
    <row r="19" spans="1:11" x14ac:dyDescent="0.35">
      <c r="A19" s="9" t="s">
        <v>45</v>
      </c>
      <c r="B19" s="10">
        <v>1294</v>
      </c>
      <c r="C19" s="10">
        <v>0</v>
      </c>
      <c r="D19" s="10">
        <v>2</v>
      </c>
      <c r="E19" s="10">
        <v>922</v>
      </c>
      <c r="F19" s="10">
        <v>33256265.103515387</v>
      </c>
      <c r="G19" s="10">
        <v>1234</v>
      </c>
      <c r="H19" s="10">
        <v>1</v>
      </c>
      <c r="I19" s="10">
        <v>3</v>
      </c>
      <c r="J19" s="10">
        <v>1013</v>
      </c>
      <c r="K19" s="10">
        <v>34614044.554706417</v>
      </c>
    </row>
    <row r="20" spans="1:11" x14ac:dyDescent="0.35">
      <c r="A20" s="9" t="s">
        <v>47</v>
      </c>
      <c r="B20" s="10">
        <v>1021</v>
      </c>
      <c r="C20" s="10">
        <v>2</v>
      </c>
      <c r="D20" s="10">
        <v>4</v>
      </c>
      <c r="E20" s="10">
        <v>910</v>
      </c>
      <c r="F20" s="10">
        <v>19360881.193097025</v>
      </c>
      <c r="G20" s="10">
        <v>1024</v>
      </c>
      <c r="H20" s="10">
        <v>3</v>
      </c>
      <c r="I20" s="10">
        <v>5</v>
      </c>
      <c r="J20" s="10">
        <v>918</v>
      </c>
      <c r="K20" s="10">
        <v>19707768.173094597</v>
      </c>
    </row>
    <row r="21" spans="1:11" x14ac:dyDescent="0.35">
      <c r="A21" s="9" t="s">
        <v>49</v>
      </c>
      <c r="B21" s="10">
        <v>949</v>
      </c>
      <c r="C21" s="10">
        <v>1</v>
      </c>
      <c r="D21" s="10">
        <v>3</v>
      </c>
      <c r="E21" s="10">
        <v>633</v>
      </c>
      <c r="F21" s="10">
        <v>19456613.387876816</v>
      </c>
      <c r="G21" s="10">
        <v>912</v>
      </c>
      <c r="H21" s="10">
        <v>4</v>
      </c>
      <c r="I21" s="10">
        <v>3</v>
      </c>
      <c r="J21" s="10">
        <v>654</v>
      </c>
      <c r="K21" s="10">
        <v>14701576.182038048</v>
      </c>
    </row>
    <row r="22" spans="1:11" x14ac:dyDescent="0.35">
      <c r="A22" s="9" t="s">
        <v>51</v>
      </c>
      <c r="B22" s="10">
        <v>2745</v>
      </c>
      <c r="C22" s="10">
        <v>118</v>
      </c>
      <c r="D22" s="10">
        <v>10</v>
      </c>
      <c r="E22" s="10">
        <v>2123</v>
      </c>
      <c r="F22" s="10">
        <v>66752926.934528187</v>
      </c>
      <c r="G22" s="10">
        <v>2837</v>
      </c>
      <c r="H22" s="10">
        <v>175</v>
      </c>
      <c r="I22" s="10">
        <v>10</v>
      </c>
      <c r="J22" s="10">
        <v>2002</v>
      </c>
      <c r="K22" s="10">
        <v>72814817.405791759</v>
      </c>
    </row>
    <row r="23" spans="1:11" x14ac:dyDescent="0.35">
      <c r="A23" s="9" t="s">
        <v>53</v>
      </c>
      <c r="B23" s="10">
        <v>1452</v>
      </c>
      <c r="C23" s="10">
        <v>0</v>
      </c>
      <c r="D23" s="10">
        <v>2</v>
      </c>
      <c r="E23" s="10">
        <v>1169</v>
      </c>
      <c r="F23" s="10">
        <v>36794577.136621326</v>
      </c>
      <c r="G23" s="10">
        <v>1375</v>
      </c>
      <c r="H23" s="10">
        <v>5</v>
      </c>
      <c r="I23" s="10">
        <v>1</v>
      </c>
      <c r="J23" s="10">
        <v>1176</v>
      </c>
      <c r="K23" s="10">
        <v>18253988.933064144</v>
      </c>
    </row>
    <row r="24" spans="1:11" x14ac:dyDescent="0.35">
      <c r="A24" s="9" t="s">
        <v>55</v>
      </c>
      <c r="B24" s="10">
        <v>3017</v>
      </c>
      <c r="C24" s="10">
        <v>12</v>
      </c>
      <c r="D24" s="10">
        <v>11</v>
      </c>
      <c r="E24" s="10">
        <v>2398</v>
      </c>
      <c r="F24" s="10">
        <v>73829830.108036533</v>
      </c>
      <c r="G24" s="10">
        <v>2967</v>
      </c>
      <c r="H24" s="10">
        <v>16</v>
      </c>
      <c r="I24" s="10">
        <v>10</v>
      </c>
      <c r="J24" s="10">
        <v>2168</v>
      </c>
      <c r="K24" s="10">
        <v>72601988.544970065</v>
      </c>
    </row>
    <row r="25" spans="1:11" x14ac:dyDescent="0.35">
      <c r="A25" s="9" t="s">
        <v>67</v>
      </c>
      <c r="B25" s="10">
        <v>551</v>
      </c>
      <c r="C25" s="10">
        <v>5</v>
      </c>
      <c r="D25" s="10">
        <v>1</v>
      </c>
      <c r="E25" s="10">
        <v>475</v>
      </c>
      <c r="F25" s="10">
        <v>10266236.082020912</v>
      </c>
      <c r="G25" s="10">
        <v>536</v>
      </c>
      <c r="H25" s="10">
        <v>4</v>
      </c>
      <c r="I25" s="10">
        <v>1</v>
      </c>
      <c r="J25" s="10">
        <v>475</v>
      </c>
      <c r="K25" s="10">
        <v>10855173.82160108</v>
      </c>
    </row>
    <row r="26" spans="1:11" x14ac:dyDescent="0.35">
      <c r="A26" s="9" t="s">
        <v>74</v>
      </c>
      <c r="B26" s="10">
        <v>1702</v>
      </c>
      <c r="C26" s="10">
        <v>10</v>
      </c>
      <c r="D26" s="10">
        <v>1</v>
      </c>
      <c r="E26" s="10">
        <v>1251</v>
      </c>
      <c r="F26" s="10">
        <v>28739105.010453988</v>
      </c>
      <c r="G26" s="10">
        <v>1717</v>
      </c>
      <c r="H26" s="10">
        <v>14</v>
      </c>
      <c r="I26" s="10">
        <v>1</v>
      </c>
      <c r="J26" s="10">
        <v>1281</v>
      </c>
      <c r="K26" s="10">
        <v>29878204.248217441</v>
      </c>
    </row>
    <row r="27" spans="1:11" x14ac:dyDescent="0.35">
      <c r="A27" s="9" t="s">
        <v>70</v>
      </c>
      <c r="B27" s="10">
        <v>859</v>
      </c>
      <c r="C27" s="10">
        <v>7</v>
      </c>
      <c r="D27" s="10">
        <v>1</v>
      </c>
      <c r="E27" s="10">
        <v>754</v>
      </c>
      <c r="F27" s="10">
        <v>12792800.080579426</v>
      </c>
      <c r="G27" s="10">
        <v>877</v>
      </c>
      <c r="H27" s="10">
        <v>9</v>
      </c>
      <c r="I27" s="10">
        <v>1</v>
      </c>
      <c r="J27" s="10">
        <v>833</v>
      </c>
      <c r="K27" s="10">
        <v>12026624.385429287</v>
      </c>
    </row>
    <row r="28" spans="1:11" x14ac:dyDescent="0.35">
      <c r="A28" s="9" t="s">
        <v>72</v>
      </c>
      <c r="B28" s="10">
        <v>903</v>
      </c>
      <c r="C28" s="10">
        <v>1</v>
      </c>
      <c r="D28" s="10">
        <v>1</v>
      </c>
      <c r="E28" s="10">
        <v>716</v>
      </c>
      <c r="F28" s="10">
        <v>14116105.390142018</v>
      </c>
      <c r="G28" s="10">
        <v>886</v>
      </c>
      <c r="H28" s="10">
        <v>5</v>
      </c>
      <c r="I28" s="10">
        <v>1</v>
      </c>
      <c r="J28" s="10">
        <v>668</v>
      </c>
      <c r="K28" s="10">
        <v>15041764.988150029</v>
      </c>
    </row>
    <row r="29" spans="1:11" x14ac:dyDescent="0.35">
      <c r="A29" s="9" t="s">
        <v>79</v>
      </c>
      <c r="B29" s="10">
        <v>224</v>
      </c>
      <c r="C29" s="10">
        <v>1</v>
      </c>
      <c r="D29" s="10">
        <v>0</v>
      </c>
      <c r="E29" s="10">
        <v>193</v>
      </c>
      <c r="F29" s="10">
        <v>4085296.183992228</v>
      </c>
      <c r="G29" s="10">
        <v>226</v>
      </c>
      <c r="H29" s="10">
        <v>1</v>
      </c>
      <c r="I29" s="10">
        <v>2</v>
      </c>
      <c r="J29" s="10">
        <v>182</v>
      </c>
      <c r="K29" s="10">
        <v>3252983.6141009722</v>
      </c>
    </row>
    <row r="30" spans="1:11" x14ac:dyDescent="0.35">
      <c r="A30" s="9" t="s">
        <v>109</v>
      </c>
      <c r="B30" s="10">
        <v>1664</v>
      </c>
      <c r="C30" s="10">
        <v>2</v>
      </c>
      <c r="D30" s="10">
        <v>5</v>
      </c>
      <c r="E30" s="10">
        <v>1346</v>
      </c>
      <c r="F30" s="10">
        <v>32881334.951630816</v>
      </c>
      <c r="G30" s="10">
        <v>1644</v>
      </c>
      <c r="H30" s="10">
        <v>10</v>
      </c>
      <c r="I30" s="10">
        <v>5</v>
      </c>
      <c r="J30" s="10">
        <v>1478</v>
      </c>
      <c r="K30" s="10">
        <v>28162389.603792943</v>
      </c>
    </row>
    <row r="31" spans="1:11" x14ac:dyDescent="0.35">
      <c r="A31" s="9" t="s">
        <v>111</v>
      </c>
      <c r="B31" s="10">
        <v>865</v>
      </c>
      <c r="C31" s="10">
        <v>3</v>
      </c>
      <c r="D31" s="10">
        <v>1</v>
      </c>
      <c r="E31" s="10">
        <v>634</v>
      </c>
      <c r="F31" s="10">
        <v>22398496.405254211</v>
      </c>
      <c r="G31" s="10">
        <v>874</v>
      </c>
      <c r="H31" s="10">
        <v>1</v>
      </c>
      <c r="I31" s="10">
        <v>1</v>
      </c>
      <c r="J31" s="10">
        <v>646</v>
      </c>
      <c r="K31" s="10">
        <v>23291306.937544983</v>
      </c>
    </row>
    <row r="32" spans="1:11" x14ac:dyDescent="0.35">
      <c r="A32" s="9" t="s">
        <v>113</v>
      </c>
      <c r="B32" s="10">
        <v>1132</v>
      </c>
      <c r="C32" s="10">
        <v>1</v>
      </c>
      <c r="D32" s="10">
        <v>1</v>
      </c>
      <c r="E32" s="10">
        <v>726</v>
      </c>
      <c r="F32" s="10">
        <v>24190546.883645892</v>
      </c>
      <c r="G32" s="10">
        <v>1057</v>
      </c>
      <c r="H32" s="10">
        <v>2</v>
      </c>
      <c r="I32" s="10">
        <v>2</v>
      </c>
      <c r="J32" s="10">
        <v>787</v>
      </c>
      <c r="K32" s="10">
        <v>22608286.960778888</v>
      </c>
    </row>
    <row r="33" spans="1:11" x14ac:dyDescent="0.35">
      <c r="A33" s="9" t="s">
        <v>115</v>
      </c>
      <c r="B33" s="10">
        <v>1114</v>
      </c>
      <c r="C33" s="10">
        <v>1</v>
      </c>
      <c r="D33" s="10">
        <v>2</v>
      </c>
      <c r="E33" s="10">
        <v>976</v>
      </c>
      <c r="F33" s="10">
        <v>31449964.011454657</v>
      </c>
      <c r="G33" s="10">
        <v>1120</v>
      </c>
      <c r="H33" s="10">
        <v>2</v>
      </c>
      <c r="I33" s="10">
        <v>2</v>
      </c>
      <c r="J33" s="10">
        <v>869</v>
      </c>
      <c r="K33" s="10">
        <v>30719241.13553416</v>
      </c>
    </row>
    <row r="34" spans="1:11" x14ac:dyDescent="0.35">
      <c r="A34" s="9" t="s">
        <v>16</v>
      </c>
      <c r="B34" s="10">
        <v>1508</v>
      </c>
      <c r="C34" s="10">
        <v>1</v>
      </c>
      <c r="D34" s="10">
        <v>5</v>
      </c>
      <c r="E34" s="10">
        <v>1168</v>
      </c>
      <c r="F34" s="10">
        <v>46108166.034123458</v>
      </c>
      <c r="G34" s="10">
        <v>1447</v>
      </c>
      <c r="H34" s="10">
        <v>4</v>
      </c>
      <c r="I34" s="10">
        <v>4</v>
      </c>
      <c r="J34" s="10">
        <v>1162</v>
      </c>
      <c r="K34" s="10">
        <v>43751923.266922899</v>
      </c>
    </row>
    <row r="35" spans="1:11" x14ac:dyDescent="0.35">
      <c r="A35" s="9" t="s">
        <v>18</v>
      </c>
      <c r="B35" s="10">
        <v>692</v>
      </c>
      <c r="C35" s="10">
        <v>0</v>
      </c>
      <c r="D35" s="10">
        <v>2</v>
      </c>
      <c r="E35" s="10">
        <v>542</v>
      </c>
      <c r="F35" s="10">
        <v>17087525.954022851</v>
      </c>
      <c r="G35" s="10">
        <v>680</v>
      </c>
      <c r="H35" s="10">
        <v>0</v>
      </c>
      <c r="I35" s="10">
        <v>5</v>
      </c>
      <c r="J35" s="10">
        <v>537</v>
      </c>
      <c r="K35" s="10">
        <v>17886223.967067465</v>
      </c>
    </row>
    <row r="36" spans="1:11" x14ac:dyDescent="0.35">
      <c r="A36" s="9" t="s">
        <v>43</v>
      </c>
      <c r="B36" s="10">
        <v>1974</v>
      </c>
      <c r="C36" s="10">
        <v>13</v>
      </c>
      <c r="D36" s="10">
        <v>10</v>
      </c>
      <c r="E36" s="10">
        <v>1654</v>
      </c>
      <c r="F36" s="10">
        <v>54279827.871796161</v>
      </c>
      <c r="G36" s="10">
        <v>1922</v>
      </c>
      <c r="H36" s="10">
        <v>6</v>
      </c>
      <c r="I36" s="10">
        <v>9</v>
      </c>
      <c r="J36" s="10">
        <v>52</v>
      </c>
      <c r="K36" s="10">
        <v>46525766.431750014</v>
      </c>
    </row>
    <row r="37" spans="1:11" x14ac:dyDescent="0.35">
      <c r="A37" s="9" t="s">
        <v>152</v>
      </c>
      <c r="B37" s="10">
        <v>848</v>
      </c>
      <c r="C37" s="10">
        <v>2</v>
      </c>
      <c r="D37" s="10">
        <v>2</v>
      </c>
      <c r="E37" s="10">
        <v>723</v>
      </c>
      <c r="F37" s="10">
        <v>18746377.997059025</v>
      </c>
      <c r="G37" s="10">
        <v>849</v>
      </c>
      <c r="H37" s="10">
        <v>2</v>
      </c>
      <c r="I37" s="10">
        <v>2</v>
      </c>
      <c r="J37" s="10">
        <v>695</v>
      </c>
      <c r="K37" s="10">
        <v>18249413.325665232</v>
      </c>
    </row>
    <row r="38" spans="1:11" x14ac:dyDescent="0.35">
      <c r="A38" s="9" t="s">
        <v>149</v>
      </c>
      <c r="B38" s="10">
        <v>690</v>
      </c>
      <c r="C38" s="10">
        <v>0</v>
      </c>
      <c r="D38" s="10">
        <v>1</v>
      </c>
      <c r="E38" s="10">
        <v>572</v>
      </c>
      <c r="F38" s="10">
        <v>15180363.769693863</v>
      </c>
      <c r="G38" s="10">
        <v>743</v>
      </c>
      <c r="H38" s="10">
        <v>2</v>
      </c>
      <c r="I38" s="10">
        <v>1</v>
      </c>
      <c r="J38" s="10">
        <v>534</v>
      </c>
      <c r="K38" s="10">
        <v>17338354.810338959</v>
      </c>
    </row>
    <row r="39" spans="1:11" x14ac:dyDescent="0.35">
      <c r="A39" s="9" t="s">
        <v>154</v>
      </c>
      <c r="B39" s="10">
        <v>1102</v>
      </c>
      <c r="C39" s="10">
        <v>10</v>
      </c>
      <c r="D39" s="10">
        <v>2</v>
      </c>
      <c r="E39" s="10">
        <v>869</v>
      </c>
      <c r="F39" s="10">
        <v>27075611.243230514</v>
      </c>
      <c r="G39" s="10">
        <v>1163</v>
      </c>
      <c r="H39" s="10">
        <v>15</v>
      </c>
      <c r="I39" s="10">
        <v>1</v>
      </c>
      <c r="J39" s="10">
        <v>832</v>
      </c>
      <c r="K39" s="10">
        <v>25902505.08937801</v>
      </c>
    </row>
    <row r="40" spans="1:11" x14ac:dyDescent="0.35">
      <c r="A40" s="9" t="s">
        <v>2</v>
      </c>
      <c r="B40" s="10">
        <v>1109</v>
      </c>
      <c r="C40" s="10">
        <v>40</v>
      </c>
      <c r="D40" s="10">
        <v>1</v>
      </c>
      <c r="E40" s="10">
        <v>789</v>
      </c>
      <c r="F40" s="10">
        <v>26511431.303062446</v>
      </c>
      <c r="G40" s="10">
        <v>1324</v>
      </c>
      <c r="H40" s="10">
        <v>120</v>
      </c>
      <c r="I40" s="10">
        <v>1</v>
      </c>
      <c r="J40" s="10">
        <v>791</v>
      </c>
      <c r="K40" s="10">
        <v>24107934.363502286</v>
      </c>
    </row>
    <row r="41" spans="1:11" x14ac:dyDescent="0.35">
      <c r="A41" s="9" t="s">
        <v>156</v>
      </c>
      <c r="B41" s="10">
        <v>1793</v>
      </c>
      <c r="C41" s="10">
        <v>50</v>
      </c>
      <c r="D41" s="10">
        <v>4</v>
      </c>
      <c r="E41" s="10">
        <v>1437</v>
      </c>
      <c r="F41" s="10">
        <v>41714812.457557224</v>
      </c>
      <c r="G41" s="10">
        <v>2349</v>
      </c>
      <c r="H41" s="10">
        <v>70</v>
      </c>
      <c r="I41" s="10">
        <v>5</v>
      </c>
      <c r="J41" s="10">
        <v>1447</v>
      </c>
      <c r="K41" s="10">
        <v>44580467.56550619</v>
      </c>
    </row>
    <row r="42" spans="1:11" x14ac:dyDescent="0.35">
      <c r="A42" s="9" t="s">
        <v>14</v>
      </c>
      <c r="B42" s="10">
        <v>632</v>
      </c>
      <c r="C42" s="10">
        <v>2</v>
      </c>
      <c r="D42" s="10">
        <v>6</v>
      </c>
      <c r="E42" s="10">
        <v>482</v>
      </c>
      <c r="F42" s="10">
        <v>17457645.379634544</v>
      </c>
      <c r="G42" s="10">
        <v>621</v>
      </c>
      <c r="H42" s="10">
        <v>1</v>
      </c>
      <c r="I42" s="10">
        <v>6</v>
      </c>
      <c r="J42" s="10">
        <v>697</v>
      </c>
      <c r="K42" s="10">
        <v>15995398.494616931</v>
      </c>
    </row>
    <row r="43" spans="1:11" x14ac:dyDescent="0.35">
      <c r="A43" s="9" t="s">
        <v>8</v>
      </c>
      <c r="B43" s="10">
        <v>2017</v>
      </c>
      <c r="C43" s="10">
        <v>4</v>
      </c>
      <c r="D43" s="10">
        <v>5</v>
      </c>
      <c r="E43" s="10">
        <v>1985</v>
      </c>
      <c r="F43" s="10">
        <v>48793911.539376937</v>
      </c>
      <c r="G43" s="10">
        <v>2057</v>
      </c>
      <c r="H43" s="10">
        <v>2</v>
      </c>
      <c r="I43" s="10">
        <v>6</v>
      </c>
      <c r="J43" s="10">
        <v>1780</v>
      </c>
      <c r="K43" s="10">
        <v>52343763.076205544</v>
      </c>
    </row>
    <row r="44" spans="1:11" x14ac:dyDescent="0.35">
      <c r="A44" s="9" t="s">
        <v>39</v>
      </c>
      <c r="B44" s="10">
        <v>875</v>
      </c>
      <c r="C44" s="10">
        <v>4</v>
      </c>
      <c r="D44" s="10">
        <v>4</v>
      </c>
      <c r="E44" s="10">
        <v>762</v>
      </c>
      <c r="F44" s="10">
        <v>33739920.607283264</v>
      </c>
      <c r="G44" s="10">
        <v>904</v>
      </c>
      <c r="H44" s="10">
        <v>3</v>
      </c>
      <c r="I44" s="10">
        <v>4</v>
      </c>
      <c r="J44" s="10">
        <v>2065</v>
      </c>
      <c r="K44" s="10">
        <v>35711327.025523543</v>
      </c>
    </row>
    <row r="45" spans="1:11" x14ac:dyDescent="0.35">
      <c r="A45" s="9" t="s">
        <v>6</v>
      </c>
      <c r="B45" s="10">
        <v>1151</v>
      </c>
      <c r="C45" s="10">
        <v>1</v>
      </c>
      <c r="D45" s="10">
        <v>3</v>
      </c>
      <c r="E45" s="10">
        <v>955</v>
      </c>
      <c r="F45" s="10">
        <v>28381796.030693352</v>
      </c>
      <c r="G45" s="10">
        <v>1093</v>
      </c>
      <c r="H45" s="10">
        <v>1</v>
      </c>
      <c r="I45" s="10">
        <v>3</v>
      </c>
      <c r="J45" s="10">
        <v>854</v>
      </c>
      <c r="K45" s="10">
        <v>19475103.312340401</v>
      </c>
    </row>
    <row r="46" spans="1:11" x14ac:dyDescent="0.35">
      <c r="A46" s="9" t="s">
        <v>41</v>
      </c>
      <c r="B46" s="10">
        <v>856</v>
      </c>
      <c r="C46" s="10">
        <v>0</v>
      </c>
      <c r="D46" s="10">
        <v>5</v>
      </c>
      <c r="E46" s="10">
        <v>611</v>
      </c>
      <c r="F46" s="10">
        <v>27882962.771981161</v>
      </c>
      <c r="G46" s="10">
        <v>834</v>
      </c>
      <c r="H46" s="10">
        <v>4</v>
      </c>
      <c r="I46" s="10">
        <v>4</v>
      </c>
      <c r="J46" s="10">
        <v>982</v>
      </c>
      <c r="K46" s="10">
        <v>27090027.561345614</v>
      </c>
    </row>
    <row r="47" spans="1:11" x14ac:dyDescent="0.35">
      <c r="A47" s="9" t="s">
        <v>158</v>
      </c>
      <c r="B47" s="10">
        <v>661</v>
      </c>
      <c r="C47" s="10">
        <v>3</v>
      </c>
      <c r="D47" s="10">
        <v>10</v>
      </c>
      <c r="E47" s="10">
        <v>571</v>
      </c>
      <c r="F47" s="10">
        <v>17023761.506318234</v>
      </c>
      <c r="G47" s="10">
        <v>697</v>
      </c>
      <c r="H47" s="10">
        <v>2</v>
      </c>
      <c r="I47" s="10">
        <v>10</v>
      </c>
      <c r="J47" s="10">
        <v>778</v>
      </c>
      <c r="K47" s="10">
        <v>17462894.453000762</v>
      </c>
    </row>
    <row r="48" spans="1:11" x14ac:dyDescent="0.35">
      <c r="A48" s="9" t="s">
        <v>160</v>
      </c>
      <c r="B48" s="10">
        <v>694</v>
      </c>
      <c r="C48" s="10">
        <v>1</v>
      </c>
      <c r="D48" s="10">
        <v>1</v>
      </c>
      <c r="E48" s="10">
        <v>2510</v>
      </c>
      <c r="F48" s="10">
        <v>16200048.119271619</v>
      </c>
      <c r="G48" s="10">
        <v>689</v>
      </c>
      <c r="H48" s="10">
        <v>0</v>
      </c>
      <c r="I48" s="10">
        <v>2</v>
      </c>
      <c r="J48" s="10">
        <v>697</v>
      </c>
      <c r="K48" s="10">
        <v>15508561.952835817</v>
      </c>
    </row>
    <row r="49" spans="1:11" x14ac:dyDescent="0.35">
      <c r="A49" s="9" t="s">
        <v>83</v>
      </c>
      <c r="B49" s="10">
        <v>1292</v>
      </c>
      <c r="C49" s="10">
        <v>8</v>
      </c>
      <c r="D49" s="10">
        <v>6</v>
      </c>
      <c r="E49" s="10">
        <v>1159</v>
      </c>
      <c r="F49" s="10">
        <v>53212406.534532376</v>
      </c>
      <c r="G49" s="10">
        <v>1234</v>
      </c>
      <c r="H49" s="10">
        <v>2</v>
      </c>
      <c r="I49" s="10">
        <v>5</v>
      </c>
      <c r="J49" s="10">
        <v>1133</v>
      </c>
      <c r="K49" s="10">
        <v>47059692.469827741</v>
      </c>
    </row>
    <row r="50" spans="1:11" x14ac:dyDescent="0.35">
      <c r="A50" s="9" t="s">
        <v>202</v>
      </c>
      <c r="B50" s="10">
        <v>430</v>
      </c>
      <c r="C50" s="10">
        <v>1</v>
      </c>
      <c r="D50" s="10">
        <v>2</v>
      </c>
      <c r="E50" s="10">
        <v>466</v>
      </c>
      <c r="F50" s="10">
        <v>9644974.3017519489</v>
      </c>
      <c r="G50" s="10">
        <v>439</v>
      </c>
      <c r="H50" s="10">
        <v>0</v>
      </c>
      <c r="I50" s="10">
        <v>1</v>
      </c>
      <c r="J50" s="10">
        <v>473</v>
      </c>
      <c r="K50" s="10">
        <v>7719861.9891268816</v>
      </c>
    </row>
    <row r="51" spans="1:11" x14ac:dyDescent="0.35">
      <c r="A51" s="9" t="s">
        <v>31</v>
      </c>
      <c r="B51" s="10">
        <v>865</v>
      </c>
      <c r="C51" s="10">
        <v>1</v>
      </c>
      <c r="D51" s="10">
        <v>5</v>
      </c>
      <c r="E51" s="10">
        <v>930</v>
      </c>
      <c r="F51" s="10">
        <v>23670122.597009651</v>
      </c>
      <c r="G51" s="10">
        <v>905</v>
      </c>
      <c r="H51" s="10">
        <v>2</v>
      </c>
      <c r="I51" s="10">
        <v>7</v>
      </c>
      <c r="J51" s="10">
        <v>922</v>
      </c>
      <c r="K51" s="10">
        <v>22653838.112997834</v>
      </c>
    </row>
    <row r="52" spans="1:11" x14ac:dyDescent="0.35">
      <c r="A52" s="9" t="s">
        <v>33</v>
      </c>
      <c r="B52" s="10">
        <v>1310</v>
      </c>
      <c r="C52" s="10">
        <v>9</v>
      </c>
      <c r="D52" s="10">
        <v>12</v>
      </c>
      <c r="E52" s="10">
        <v>1021</v>
      </c>
      <c r="F52" s="10">
        <v>33891083.600854926</v>
      </c>
      <c r="G52" s="10">
        <v>1346</v>
      </c>
      <c r="H52" s="10">
        <v>4</v>
      </c>
      <c r="I52" s="10">
        <v>12</v>
      </c>
      <c r="J52" s="10">
        <v>1015</v>
      </c>
      <c r="K52" s="10">
        <v>39599121.530364431</v>
      </c>
    </row>
    <row r="53" spans="1:11" x14ac:dyDescent="0.35">
      <c r="A53" s="9" t="s">
        <v>85</v>
      </c>
      <c r="B53" s="10">
        <v>478</v>
      </c>
      <c r="C53" s="10">
        <v>3</v>
      </c>
      <c r="D53" s="10">
        <v>5</v>
      </c>
      <c r="E53" s="10">
        <v>356</v>
      </c>
      <c r="F53" s="10">
        <v>17681002.320624005</v>
      </c>
      <c r="G53" s="10">
        <v>490</v>
      </c>
      <c r="H53" s="10">
        <v>1</v>
      </c>
      <c r="I53" s="10">
        <v>6</v>
      </c>
      <c r="J53" s="10">
        <v>393</v>
      </c>
      <c r="K53" s="10">
        <v>20476254.373544708</v>
      </c>
    </row>
    <row r="54" spans="1:11" x14ac:dyDescent="0.35">
      <c r="A54" s="9" t="s">
        <v>81</v>
      </c>
      <c r="B54" s="10">
        <v>440</v>
      </c>
      <c r="C54" s="10">
        <v>0</v>
      </c>
      <c r="D54" s="10">
        <v>6</v>
      </c>
      <c r="E54" s="10">
        <v>301</v>
      </c>
      <c r="F54" s="10">
        <v>18461149.150816448</v>
      </c>
      <c r="G54" s="10">
        <v>457</v>
      </c>
      <c r="H54" s="10">
        <v>0</v>
      </c>
      <c r="I54" s="10">
        <v>4</v>
      </c>
      <c r="J54" s="10">
        <v>312</v>
      </c>
      <c r="K54" s="10">
        <v>14867632.890376093</v>
      </c>
    </row>
    <row r="55" spans="1:11" x14ac:dyDescent="0.35">
      <c r="A55" s="9" t="s">
        <v>87</v>
      </c>
      <c r="B55" s="10">
        <v>428</v>
      </c>
      <c r="C55" s="10">
        <v>10</v>
      </c>
      <c r="D55" s="10">
        <v>2</v>
      </c>
      <c r="E55" s="10">
        <v>349</v>
      </c>
      <c r="F55" s="10">
        <v>15175187.024739441</v>
      </c>
      <c r="G55" s="10">
        <v>423</v>
      </c>
      <c r="H55" s="10">
        <v>1</v>
      </c>
      <c r="I55" s="10">
        <v>4</v>
      </c>
      <c r="J55" s="10">
        <v>324</v>
      </c>
      <c r="K55" s="10">
        <v>12944386.16594301</v>
      </c>
    </row>
    <row r="56" spans="1:11" x14ac:dyDescent="0.35">
      <c r="A56" s="9" t="s">
        <v>166</v>
      </c>
      <c r="B56" s="10">
        <v>1127</v>
      </c>
      <c r="C56" s="10">
        <v>1</v>
      </c>
      <c r="D56" s="10">
        <v>1</v>
      </c>
      <c r="E56" s="10">
        <v>967</v>
      </c>
      <c r="F56" s="10">
        <v>32732404.044502798</v>
      </c>
      <c r="G56" s="10">
        <v>1108</v>
      </c>
      <c r="H56" s="10">
        <v>5</v>
      </c>
      <c r="I56" s="10">
        <v>0</v>
      </c>
      <c r="J56" s="10">
        <v>938</v>
      </c>
      <c r="K56" s="10">
        <v>30650599.292324264</v>
      </c>
    </row>
    <row r="57" spans="1:11" x14ac:dyDescent="0.35">
      <c r="A57" s="9" t="s">
        <v>93</v>
      </c>
      <c r="B57" s="10">
        <v>950</v>
      </c>
      <c r="C57" s="10">
        <v>10</v>
      </c>
      <c r="D57" s="10">
        <v>3</v>
      </c>
      <c r="E57" s="10">
        <v>1018</v>
      </c>
      <c r="F57" s="10">
        <v>34854256.338008754</v>
      </c>
      <c r="G57" s="10">
        <v>1004</v>
      </c>
      <c r="H57" s="10">
        <v>6</v>
      </c>
      <c r="I57" s="10">
        <v>1</v>
      </c>
      <c r="J57" s="10">
        <v>943</v>
      </c>
      <c r="K57" s="10">
        <v>29971764.592281073</v>
      </c>
    </row>
    <row r="58" spans="1:11" x14ac:dyDescent="0.35">
      <c r="A58" s="9" t="s">
        <v>95</v>
      </c>
      <c r="B58" s="10">
        <v>2212</v>
      </c>
      <c r="C58" s="10">
        <v>35</v>
      </c>
      <c r="D58" s="10">
        <v>7</v>
      </c>
      <c r="E58" s="10">
        <v>1410</v>
      </c>
      <c r="F58" s="10">
        <v>46006855.693857841</v>
      </c>
      <c r="G58" s="10">
        <v>2065</v>
      </c>
      <c r="H58" s="10">
        <v>8</v>
      </c>
      <c r="I58" s="10">
        <v>8</v>
      </c>
      <c r="J58" s="10">
        <v>1660</v>
      </c>
      <c r="K58" s="10">
        <v>57135591.312040411</v>
      </c>
    </row>
    <row r="59" spans="1:11" x14ac:dyDescent="0.35">
      <c r="A59" s="9" t="s">
        <v>174</v>
      </c>
      <c r="B59" s="10">
        <v>684</v>
      </c>
      <c r="C59" s="10">
        <v>3</v>
      </c>
      <c r="D59" s="10">
        <v>0</v>
      </c>
      <c r="E59" s="10">
        <v>570</v>
      </c>
      <c r="F59" s="10">
        <v>15925948.807056723</v>
      </c>
      <c r="G59" s="10">
        <v>677</v>
      </c>
      <c r="H59" s="10">
        <v>4</v>
      </c>
      <c r="I59" s="10">
        <v>0</v>
      </c>
      <c r="J59" s="10">
        <v>528</v>
      </c>
      <c r="K59" s="10">
        <v>14278357.522577465</v>
      </c>
    </row>
    <row r="60" spans="1:11" x14ac:dyDescent="0.35">
      <c r="A60" s="9" t="s">
        <v>99</v>
      </c>
      <c r="B60" s="10">
        <v>883</v>
      </c>
      <c r="C60" s="10">
        <v>5</v>
      </c>
      <c r="D60" s="10">
        <v>6</v>
      </c>
      <c r="E60" s="10">
        <v>642</v>
      </c>
      <c r="F60" s="10">
        <v>23907515.938926905</v>
      </c>
      <c r="G60" s="10">
        <v>872</v>
      </c>
      <c r="H60" s="10">
        <v>6</v>
      </c>
      <c r="I60" s="10">
        <v>5</v>
      </c>
      <c r="J60" s="10">
        <v>701</v>
      </c>
      <c r="K60" s="10">
        <v>24722818.188481327</v>
      </c>
    </row>
    <row r="61" spans="1:11" x14ac:dyDescent="0.35">
      <c r="A61" s="9" t="s">
        <v>172</v>
      </c>
      <c r="B61" s="10">
        <v>794</v>
      </c>
      <c r="C61" s="10">
        <v>2</v>
      </c>
      <c r="D61" s="10">
        <v>1</v>
      </c>
      <c r="E61" s="10">
        <v>636</v>
      </c>
      <c r="F61" s="10">
        <v>19219152.45467395</v>
      </c>
      <c r="G61" s="10">
        <v>746</v>
      </c>
      <c r="H61" s="10">
        <v>4</v>
      </c>
      <c r="I61" s="10">
        <v>1</v>
      </c>
      <c r="J61" s="10">
        <v>631</v>
      </c>
      <c r="K61" s="10">
        <v>15491777.19412148</v>
      </c>
    </row>
    <row r="62" spans="1:11" x14ac:dyDescent="0.35">
      <c r="A62" s="9" t="s">
        <v>168</v>
      </c>
      <c r="B62" s="10">
        <v>1082</v>
      </c>
      <c r="C62" s="10">
        <v>5</v>
      </c>
      <c r="D62" s="10">
        <v>1</v>
      </c>
      <c r="E62" s="10">
        <v>1019</v>
      </c>
      <c r="F62" s="10">
        <v>32693040.576812342</v>
      </c>
      <c r="G62" s="10">
        <v>1108</v>
      </c>
      <c r="H62" s="10">
        <v>6</v>
      </c>
      <c r="I62" s="10">
        <v>0</v>
      </c>
      <c r="J62" s="10">
        <v>937</v>
      </c>
      <c r="K62" s="10">
        <v>32144751.183899943</v>
      </c>
    </row>
    <row r="63" spans="1:11" x14ac:dyDescent="0.35">
      <c r="A63" s="9" t="s">
        <v>101</v>
      </c>
      <c r="B63" s="10">
        <v>1349</v>
      </c>
      <c r="C63" s="10">
        <v>9</v>
      </c>
      <c r="D63" s="10">
        <v>4</v>
      </c>
      <c r="E63" s="10">
        <v>1444</v>
      </c>
      <c r="F63" s="10">
        <v>41135039.004691504</v>
      </c>
      <c r="G63" s="10">
        <v>1462</v>
      </c>
      <c r="H63" s="10">
        <v>5</v>
      </c>
      <c r="I63" s="10">
        <v>4</v>
      </c>
      <c r="J63" s="10">
        <v>1524</v>
      </c>
      <c r="K63" s="10">
        <v>40223865.983752102</v>
      </c>
    </row>
    <row r="64" spans="1:11" x14ac:dyDescent="0.35">
      <c r="A64" s="9" t="s">
        <v>103</v>
      </c>
      <c r="B64" s="10">
        <v>773</v>
      </c>
      <c r="C64" s="10">
        <v>4</v>
      </c>
      <c r="D64" s="10">
        <v>5</v>
      </c>
      <c r="E64" s="10">
        <v>717</v>
      </c>
      <c r="F64" s="10">
        <v>21181066.675294984</v>
      </c>
      <c r="G64" s="10">
        <v>769</v>
      </c>
      <c r="H64" s="10">
        <v>1</v>
      </c>
      <c r="I64" s="10">
        <v>4</v>
      </c>
      <c r="J64" s="10">
        <v>726</v>
      </c>
      <c r="K64" s="10">
        <v>21499850.705537871</v>
      </c>
    </row>
    <row r="65" spans="1:11" x14ac:dyDescent="0.35">
      <c r="A65" s="9" t="s">
        <v>105</v>
      </c>
      <c r="B65" s="10">
        <v>693</v>
      </c>
      <c r="C65" s="10">
        <v>4</v>
      </c>
      <c r="D65" s="10">
        <v>5</v>
      </c>
      <c r="E65" s="10">
        <v>453</v>
      </c>
      <c r="F65" s="10">
        <v>24380650.130268615</v>
      </c>
      <c r="G65" s="10">
        <v>642</v>
      </c>
      <c r="H65" s="10">
        <v>7</v>
      </c>
      <c r="I65" s="10">
        <v>5</v>
      </c>
      <c r="J65" s="10">
        <v>485</v>
      </c>
      <c r="K65" s="10">
        <v>24041232.874499574</v>
      </c>
    </row>
    <row r="66" spans="1:11" x14ac:dyDescent="0.35">
      <c r="A66" s="9" t="s">
        <v>24</v>
      </c>
      <c r="B66" s="10">
        <v>2023</v>
      </c>
      <c r="C66" s="10">
        <v>10</v>
      </c>
      <c r="D66" s="10">
        <v>9</v>
      </c>
      <c r="E66" s="10">
        <v>1673</v>
      </c>
      <c r="F66" s="10">
        <v>61721106.397677347</v>
      </c>
      <c r="G66" s="10">
        <v>1992</v>
      </c>
      <c r="H66" s="10">
        <v>11</v>
      </c>
      <c r="I66" s="10">
        <v>10</v>
      </c>
      <c r="J66" s="10">
        <v>1781</v>
      </c>
      <c r="K66" s="10">
        <v>78146220.43496713</v>
      </c>
    </row>
    <row r="67" spans="1:11" x14ac:dyDescent="0.35">
      <c r="A67" s="9" t="s">
        <v>27</v>
      </c>
      <c r="B67" s="10">
        <v>1624</v>
      </c>
      <c r="C67" s="10">
        <v>17</v>
      </c>
      <c r="D67" s="10">
        <v>8</v>
      </c>
      <c r="E67" s="10">
        <v>1192</v>
      </c>
      <c r="F67" s="10">
        <v>58992955.728539579</v>
      </c>
      <c r="G67" s="10">
        <v>1584</v>
      </c>
      <c r="H67" s="10">
        <v>14</v>
      </c>
      <c r="I67" s="10">
        <v>6</v>
      </c>
      <c r="J67" s="10">
        <v>1183</v>
      </c>
      <c r="K67" s="10">
        <v>57962386.104648069</v>
      </c>
    </row>
    <row r="68" spans="1:11" x14ac:dyDescent="0.35">
      <c r="A68" s="9" t="s">
        <v>29</v>
      </c>
      <c r="B68" s="10">
        <v>858</v>
      </c>
      <c r="C68" s="10">
        <v>2</v>
      </c>
      <c r="D68" s="10">
        <v>1</v>
      </c>
      <c r="E68" s="10">
        <v>777</v>
      </c>
      <c r="F68" s="10">
        <v>37368994.644287363</v>
      </c>
      <c r="G68" s="10">
        <v>889</v>
      </c>
      <c r="H68" s="10">
        <v>5</v>
      </c>
      <c r="I68" s="10">
        <v>1</v>
      </c>
      <c r="J68" s="10">
        <v>731</v>
      </c>
      <c r="K68" s="10">
        <v>37583945.764142759</v>
      </c>
    </row>
    <row r="69" spans="1:11" x14ac:dyDescent="0.35">
      <c r="A69" s="9" t="s">
        <v>57</v>
      </c>
      <c r="B69" s="10">
        <v>1847</v>
      </c>
      <c r="C69" s="10">
        <v>45</v>
      </c>
      <c r="D69" s="10">
        <v>13</v>
      </c>
      <c r="E69" s="10">
        <v>1261</v>
      </c>
      <c r="F69" s="10">
        <v>53896987.492598519</v>
      </c>
      <c r="G69" s="10">
        <v>2294</v>
      </c>
      <c r="H69" s="10">
        <v>372</v>
      </c>
      <c r="I69" s="10">
        <v>12</v>
      </c>
      <c r="J69" s="10">
        <v>1296</v>
      </c>
      <c r="K69" s="10">
        <v>56760340.422445491</v>
      </c>
    </row>
    <row r="70" spans="1:11" x14ac:dyDescent="0.35">
      <c r="A70" s="9" t="s">
        <v>137</v>
      </c>
      <c r="B70" s="10">
        <v>261</v>
      </c>
      <c r="C70" s="10">
        <v>1</v>
      </c>
      <c r="D70" s="10">
        <v>1</v>
      </c>
      <c r="E70" s="10">
        <v>243</v>
      </c>
      <c r="F70" s="10">
        <v>4177676.11918703</v>
      </c>
      <c r="G70" s="10">
        <v>243</v>
      </c>
      <c r="H70" s="10">
        <v>0</v>
      </c>
      <c r="I70" s="10">
        <v>1</v>
      </c>
      <c r="J70" s="10">
        <v>227</v>
      </c>
      <c r="K70" s="10">
        <v>1830061.480065604</v>
      </c>
    </row>
    <row r="71" spans="1:11" x14ac:dyDescent="0.35">
      <c r="A71" s="9" t="s">
        <v>10</v>
      </c>
      <c r="B71" s="10">
        <v>1737</v>
      </c>
      <c r="C71" s="10">
        <v>5</v>
      </c>
      <c r="D71" s="10">
        <v>8</v>
      </c>
      <c r="E71" s="10">
        <v>1639</v>
      </c>
      <c r="F71" s="10">
        <v>42837442.990329213</v>
      </c>
      <c r="G71" s="10">
        <v>1660</v>
      </c>
      <c r="H71" s="10">
        <v>8</v>
      </c>
      <c r="I71" s="10">
        <v>6</v>
      </c>
      <c r="J71" s="10">
        <v>1413</v>
      </c>
      <c r="K71" s="10">
        <v>40358257.639780559</v>
      </c>
    </row>
    <row r="72" spans="1:11" x14ac:dyDescent="0.35">
      <c r="A72" s="9" t="s">
        <v>12</v>
      </c>
      <c r="B72" s="10">
        <v>665</v>
      </c>
      <c r="C72" s="10">
        <v>2</v>
      </c>
      <c r="D72" s="10">
        <v>2</v>
      </c>
      <c r="E72" s="10">
        <v>590</v>
      </c>
      <c r="F72" s="10">
        <v>17129997.41105824</v>
      </c>
      <c r="G72" s="10">
        <v>738</v>
      </c>
      <c r="H72" s="10">
        <v>1</v>
      </c>
      <c r="I72" s="10">
        <v>3</v>
      </c>
      <c r="J72" s="10">
        <v>578</v>
      </c>
      <c r="K72" s="10">
        <v>19545247.766959641</v>
      </c>
    </row>
    <row r="73" spans="1:11" x14ac:dyDescent="0.35">
      <c r="A73" s="9" t="s">
        <v>162</v>
      </c>
      <c r="B73" s="10">
        <v>1307</v>
      </c>
      <c r="C73" s="10">
        <v>22</v>
      </c>
      <c r="D73" s="10">
        <v>5</v>
      </c>
      <c r="E73" s="10">
        <v>885</v>
      </c>
      <c r="F73" s="10">
        <v>28510903.990744784</v>
      </c>
      <c r="G73" s="10">
        <v>1369</v>
      </c>
      <c r="H73" s="10">
        <v>21</v>
      </c>
      <c r="I73" s="10">
        <v>4</v>
      </c>
      <c r="J73" s="10">
        <v>984</v>
      </c>
      <c r="K73" s="10">
        <v>27871659.032617167</v>
      </c>
    </row>
    <row r="74" spans="1:11" x14ac:dyDescent="0.35">
      <c r="A74" s="9" t="s">
        <v>63</v>
      </c>
      <c r="B74" s="10">
        <v>1386</v>
      </c>
      <c r="C74" s="10">
        <v>7</v>
      </c>
      <c r="D74" s="10">
        <v>5</v>
      </c>
      <c r="E74" s="10">
        <v>1312</v>
      </c>
      <c r="F74" s="10">
        <v>15593757.28553294</v>
      </c>
      <c r="G74" s="10">
        <v>1265</v>
      </c>
      <c r="H74" s="10">
        <v>2</v>
      </c>
      <c r="I74" s="10">
        <v>5</v>
      </c>
      <c r="J74" s="10">
        <v>1190</v>
      </c>
      <c r="K74" s="10">
        <v>17271089.170965463</v>
      </c>
    </row>
    <row r="75" spans="1:11" x14ac:dyDescent="0.35">
      <c r="A75" s="9" t="s">
        <v>59</v>
      </c>
      <c r="B75" s="10">
        <v>1740</v>
      </c>
      <c r="C75" s="10">
        <v>5</v>
      </c>
      <c r="D75" s="10">
        <v>5</v>
      </c>
      <c r="E75" s="10">
        <v>1364</v>
      </c>
      <c r="F75" s="10">
        <v>50258291.499809645</v>
      </c>
      <c r="G75" s="10">
        <v>1753</v>
      </c>
      <c r="H75" s="10">
        <v>10</v>
      </c>
      <c r="I75" s="10">
        <v>4</v>
      </c>
      <c r="J75" s="10">
        <v>1198</v>
      </c>
      <c r="K75" s="10">
        <v>50078251.351593465</v>
      </c>
    </row>
    <row r="76" spans="1:11" x14ac:dyDescent="0.35">
      <c r="A76" s="9" t="s">
        <v>139</v>
      </c>
      <c r="B76" s="10">
        <v>495</v>
      </c>
      <c r="C76" s="10">
        <v>2</v>
      </c>
      <c r="D76" s="10">
        <v>2</v>
      </c>
      <c r="E76" s="10">
        <v>515</v>
      </c>
      <c r="F76" s="10">
        <v>11124898.409664072</v>
      </c>
      <c r="G76" s="10">
        <v>515</v>
      </c>
      <c r="H76" s="10">
        <v>2</v>
      </c>
      <c r="I76" s="10">
        <v>1</v>
      </c>
      <c r="J76" s="10">
        <v>432</v>
      </c>
      <c r="K76" s="10">
        <v>10184693.362073636</v>
      </c>
    </row>
    <row r="77" spans="1:11" x14ac:dyDescent="0.35">
      <c r="A77" s="9" t="s">
        <v>170</v>
      </c>
      <c r="B77" s="10">
        <v>897</v>
      </c>
      <c r="C77" s="10">
        <v>3</v>
      </c>
      <c r="D77" s="10">
        <v>1</v>
      </c>
      <c r="E77" s="10">
        <v>806</v>
      </c>
      <c r="F77" s="10">
        <v>16955552.557962589</v>
      </c>
      <c r="G77" s="10">
        <v>885</v>
      </c>
      <c r="H77" s="10">
        <v>2</v>
      </c>
      <c r="I77" s="10">
        <v>1</v>
      </c>
      <c r="J77" s="10">
        <v>1000</v>
      </c>
      <c r="K77" s="10">
        <v>15810033.870585823</v>
      </c>
    </row>
    <row r="78" spans="1:11" x14ac:dyDescent="0.35">
      <c r="A78" s="9" t="s">
        <v>61</v>
      </c>
      <c r="B78" s="10">
        <v>684</v>
      </c>
      <c r="C78" s="10">
        <v>1</v>
      </c>
      <c r="D78" s="10">
        <v>4</v>
      </c>
      <c r="E78" s="10">
        <v>528</v>
      </c>
      <c r="F78" s="10">
        <v>12369088.577015188</v>
      </c>
      <c r="G78" s="10">
        <v>650</v>
      </c>
      <c r="H78" s="10">
        <v>0</v>
      </c>
      <c r="I78" s="10">
        <v>3</v>
      </c>
      <c r="J78" s="10">
        <v>510</v>
      </c>
      <c r="K78" s="10">
        <v>15807488.14342864</v>
      </c>
    </row>
    <row r="79" spans="1:11" x14ac:dyDescent="0.35">
      <c r="A79" s="9" t="s">
        <v>129</v>
      </c>
      <c r="B79" s="10">
        <v>599</v>
      </c>
      <c r="C79" s="10">
        <v>4</v>
      </c>
      <c r="D79" s="10">
        <v>1</v>
      </c>
      <c r="E79" s="10">
        <v>736</v>
      </c>
      <c r="F79" s="10">
        <v>11378936.90622247</v>
      </c>
      <c r="G79" s="10">
        <v>612</v>
      </c>
      <c r="H79" s="10">
        <v>6</v>
      </c>
      <c r="I79" s="10">
        <v>1</v>
      </c>
      <c r="J79" s="10">
        <v>702</v>
      </c>
      <c r="K79" s="10">
        <v>12568715.058400322</v>
      </c>
    </row>
    <row r="80" spans="1:11" x14ac:dyDescent="0.35">
      <c r="A80" s="9" t="s">
        <v>35</v>
      </c>
      <c r="B80" s="10">
        <v>441</v>
      </c>
      <c r="C80" s="10">
        <v>5</v>
      </c>
      <c r="D80" s="10">
        <v>6</v>
      </c>
      <c r="E80" s="10">
        <v>425</v>
      </c>
      <c r="F80" s="10">
        <v>12943551.285408163</v>
      </c>
      <c r="G80" s="10">
        <v>444</v>
      </c>
      <c r="H80" s="10">
        <v>1</v>
      </c>
      <c r="I80" s="10">
        <v>7</v>
      </c>
      <c r="J80" s="10">
        <v>463</v>
      </c>
      <c r="K80" s="10">
        <v>13584670.070504978</v>
      </c>
    </row>
    <row r="81" spans="1:11" x14ac:dyDescent="0.35">
      <c r="A81" s="9" t="s">
        <v>107</v>
      </c>
      <c r="B81" s="10">
        <v>972</v>
      </c>
      <c r="C81" s="10">
        <v>6</v>
      </c>
      <c r="D81" s="10">
        <v>4</v>
      </c>
      <c r="E81" s="10">
        <v>784</v>
      </c>
      <c r="F81" s="10">
        <v>36997824.771402493</v>
      </c>
      <c r="G81" s="10">
        <v>928</v>
      </c>
      <c r="H81" s="10">
        <v>5</v>
      </c>
      <c r="I81" s="10">
        <v>3</v>
      </c>
      <c r="J81" s="10">
        <v>562</v>
      </c>
      <c r="K81" s="10">
        <v>36158999.173775911</v>
      </c>
    </row>
    <row r="82" spans="1:11" x14ac:dyDescent="0.35">
      <c r="A82" s="9" t="s">
        <v>37</v>
      </c>
      <c r="B82" s="10">
        <v>788</v>
      </c>
      <c r="C82" s="10">
        <v>2</v>
      </c>
      <c r="D82" s="10">
        <v>9</v>
      </c>
      <c r="E82" s="10">
        <v>730</v>
      </c>
      <c r="F82" s="10">
        <v>21724320.235075474</v>
      </c>
      <c r="G82" s="10">
        <v>772</v>
      </c>
      <c r="H82" s="10">
        <v>2</v>
      </c>
      <c r="I82" s="10">
        <v>10</v>
      </c>
      <c r="J82" s="10">
        <v>715</v>
      </c>
      <c r="K82" s="10">
        <v>21556780.627003729</v>
      </c>
    </row>
    <row r="83" spans="1:11" x14ac:dyDescent="0.35">
      <c r="A83" s="9" t="s">
        <v>76</v>
      </c>
      <c r="B83" s="10">
        <v>941</v>
      </c>
      <c r="C83" s="10">
        <v>0</v>
      </c>
      <c r="D83" s="10">
        <v>2</v>
      </c>
      <c r="E83" s="10">
        <v>918</v>
      </c>
      <c r="F83" s="10">
        <v>18436711.83211863</v>
      </c>
      <c r="G83" s="10">
        <v>958</v>
      </c>
      <c r="H83" s="10">
        <v>2</v>
      </c>
      <c r="I83" s="10">
        <v>2</v>
      </c>
      <c r="J83" s="10">
        <v>866</v>
      </c>
      <c r="K83" s="10">
        <v>17554926.06836798</v>
      </c>
    </row>
    <row r="84" spans="1:11" x14ac:dyDescent="0.35">
      <c r="A84" s="9" t="s">
        <v>65</v>
      </c>
      <c r="B84" s="10">
        <v>1018</v>
      </c>
      <c r="C84" s="10">
        <v>5</v>
      </c>
      <c r="D84" s="10">
        <v>4</v>
      </c>
      <c r="E84" s="10">
        <v>796</v>
      </c>
      <c r="F84" s="10">
        <v>20675882.787564185</v>
      </c>
      <c r="G84" s="10">
        <v>994</v>
      </c>
      <c r="H84" s="10">
        <v>1</v>
      </c>
      <c r="I84" s="10">
        <v>5</v>
      </c>
      <c r="J84" s="10">
        <v>790</v>
      </c>
      <c r="K84" s="10">
        <v>17375063.532339539</v>
      </c>
    </row>
    <row r="85" spans="1:11" x14ac:dyDescent="0.35">
      <c r="A85" s="9" t="s">
        <v>89</v>
      </c>
      <c r="B85" s="10">
        <v>747</v>
      </c>
      <c r="C85" s="10">
        <v>4</v>
      </c>
      <c r="D85" s="10">
        <v>5</v>
      </c>
      <c r="E85" s="10">
        <v>715</v>
      </c>
      <c r="F85" s="10">
        <v>21557213.686589696</v>
      </c>
      <c r="G85" s="10">
        <v>762</v>
      </c>
      <c r="H85" s="10">
        <v>2</v>
      </c>
      <c r="I85" s="10">
        <v>6</v>
      </c>
      <c r="J85" s="10">
        <v>796</v>
      </c>
      <c r="K85" s="10">
        <v>23095754.28563593</v>
      </c>
    </row>
    <row r="86" spans="1:11" x14ac:dyDescent="0.35">
      <c r="A86" s="9" t="s">
        <v>147</v>
      </c>
      <c r="B86" s="10">
        <v>565</v>
      </c>
      <c r="C86" s="10">
        <v>1</v>
      </c>
      <c r="D86" s="10">
        <v>1</v>
      </c>
      <c r="E86" s="10">
        <v>531</v>
      </c>
      <c r="F86" s="10">
        <v>9879876.8658112064</v>
      </c>
      <c r="G86" s="10">
        <v>566</v>
      </c>
      <c r="H86" s="10">
        <v>1</v>
      </c>
      <c r="I86" s="10">
        <v>1</v>
      </c>
      <c r="J86" s="10">
        <v>510</v>
      </c>
      <c r="K86" s="10">
        <v>10738264.072177881</v>
      </c>
    </row>
    <row r="87" spans="1:11" x14ac:dyDescent="0.35">
      <c r="A87" s="9" t="s">
        <v>164</v>
      </c>
      <c r="B87" s="10">
        <v>1715</v>
      </c>
      <c r="C87" s="10">
        <v>7</v>
      </c>
      <c r="D87" s="10">
        <v>10</v>
      </c>
      <c r="E87" s="10">
        <v>1295</v>
      </c>
      <c r="F87" s="10">
        <v>41733546.900617406</v>
      </c>
      <c r="G87" s="10">
        <v>1765</v>
      </c>
      <c r="H87" s="10">
        <v>1</v>
      </c>
      <c r="I87" s="10">
        <v>10</v>
      </c>
      <c r="J87" s="10">
        <v>1232</v>
      </c>
      <c r="K87" s="10">
        <v>45577456.506966852</v>
      </c>
    </row>
    <row r="88" spans="1:11" x14ac:dyDescent="0.35">
      <c r="A88" s="9" t="s">
        <v>91</v>
      </c>
      <c r="B88" s="10">
        <v>645</v>
      </c>
      <c r="C88" s="10">
        <v>5</v>
      </c>
      <c r="D88" s="10">
        <v>3</v>
      </c>
      <c r="E88" s="10">
        <v>901</v>
      </c>
      <c r="F88" s="10">
        <v>11696048.467407828</v>
      </c>
      <c r="G88" s="10">
        <v>556</v>
      </c>
      <c r="H88" s="10">
        <v>0</v>
      </c>
      <c r="I88" s="10">
        <v>3</v>
      </c>
      <c r="J88" s="10">
        <v>636</v>
      </c>
      <c r="K88" s="10">
        <v>10779677.36682423</v>
      </c>
    </row>
    <row r="89" spans="1:11" x14ac:dyDescent="0.35">
      <c r="A89" s="9" t="s">
        <v>97</v>
      </c>
      <c r="B89" s="10">
        <v>622</v>
      </c>
      <c r="C89" s="10">
        <v>10</v>
      </c>
      <c r="D89" s="10">
        <v>7</v>
      </c>
      <c r="E89" s="10">
        <v>551</v>
      </c>
      <c r="F89" s="10">
        <v>19852232.268611159</v>
      </c>
      <c r="G89" s="10">
        <v>646</v>
      </c>
      <c r="H89" s="10">
        <v>4</v>
      </c>
      <c r="I89" s="10">
        <v>7</v>
      </c>
      <c r="J89" s="10">
        <v>569</v>
      </c>
      <c r="K89" s="10">
        <v>19960572.610525478</v>
      </c>
    </row>
    <row r="90" spans="1:11" x14ac:dyDescent="0.35">
      <c r="A90" s="9" t="s">
        <v>78</v>
      </c>
      <c r="B90" s="10">
        <v>356</v>
      </c>
      <c r="C90" s="10">
        <v>2</v>
      </c>
      <c r="D90" s="10">
        <v>1</v>
      </c>
      <c r="E90" s="10">
        <v>311</v>
      </c>
      <c r="F90" s="10">
        <v>5664274.1859372323</v>
      </c>
      <c r="G90" s="10">
        <v>355</v>
      </c>
      <c r="H90" s="10">
        <v>2</v>
      </c>
      <c r="I90" s="10">
        <v>1</v>
      </c>
      <c r="J90" s="10">
        <v>301</v>
      </c>
      <c r="K90" s="10">
        <v>4924927.4812102551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2026-08-16T14:20:53Z</dcterms:modified>
</cp:coreProperties>
</file>