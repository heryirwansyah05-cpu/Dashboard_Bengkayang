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<sst xmlns="http://schemas.openxmlformats.org/spreadsheetml/2006/main" count="683" uniqueCount="502">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</sst>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M27" activePane="bottomRight" state="frozen"/>
      <selection pane="topRight" activeCell="C1" sqref="C1"/>
      <selection pane="bottomLeft" activeCell="A2" sqref="A2"/>
      <selection pane="bottomRight" activeCell="P1" sqref="P1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72666126.391155049</v>
      </c>
      <c r="G2" s="1">
        <f>VLOOKUP(A:A,MASTER!A:K,11,0)</f>
        <v>78687538.248016536</v>
      </c>
      <c r="H2" s="12">
        <f t="shared" ref="H2:H36" si="0">IFERROR(G2/F2-1,0)</f>
        <v>8.2864082013244911E-2</v>
      </c>
      <c r="I2" s="2">
        <f>VLOOKUP(A:A,MASTER!A:E,5,0)</f>
        <v>1280</v>
      </c>
      <c r="J2" s="2">
        <f>VLOOKUP(A:A,MASTER!A:J,10,0)</f>
        <v>1299</v>
      </c>
      <c r="K2" s="12">
        <f t="shared" ref="K2:K36" si="1">IFERROR(J2/I2-1,0)</f>
        <v>1.4843750000000044E-2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7</v>
      </c>
      <c r="P2" s="1">
        <f>VLOOKUP(A:A,MASTER!A:H,8,0)</f>
        <v>9</v>
      </c>
      <c r="Q2" s="12">
        <f t="shared" ref="Q2:Q36" si="3">IFERROR(P2/O2-1,0)</f>
        <v>0.28571428571428581</v>
      </c>
      <c r="R2" s="1">
        <f>VLOOKUP(A:A,MASTER!A:B,2,0)</f>
        <v>1471</v>
      </c>
      <c r="S2">
        <f>VLOOKUP(A:A,MASTER!A:G,7,0)</f>
        <v>1545</v>
      </c>
      <c r="T2" s="12">
        <f t="shared" ref="T2:T36" si="4">IFERROR(S2/R2-1,0)</f>
        <v>5.0305914343983682E-2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35715707.163814791</v>
      </c>
      <c r="G3" s="1">
        <f>VLOOKUP(A:A,MASTER!A:K,11,0)</f>
        <v>19475585.584991194</v>
      </c>
      <c r="H3" s="12">
        <f t="shared" si="0"/>
        <v>-0.45470530666902775</v>
      </c>
      <c r="I3" s="2">
        <f>VLOOKUP(A:A,MASTER!A:E,5,0)</f>
        <v>754</v>
      </c>
      <c r="J3" s="2">
        <f>VLOOKUP(A:A,MASTER!A:J,10,0)</f>
        <v>644</v>
      </c>
      <c r="K3" s="12">
        <f t="shared" si="1"/>
        <v>-0.14588859416445621</v>
      </c>
      <c r="L3" s="2">
        <f>VLOOKUP(A:A,MASTER!A:D,4,0)</f>
        <v>4</v>
      </c>
      <c r="M3" s="2">
        <f>VLOOKUP(A:A,MASTER!A:I,9,0)</f>
        <v>2</v>
      </c>
      <c r="N3" s="12">
        <f t="shared" si="2"/>
        <v>-0.5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863</v>
      </c>
      <c r="S3">
        <f>VLOOKUP(A:A,MASTER!A:G,7,0)</f>
        <v>703</v>
      </c>
      <c r="T3" s="12">
        <f t="shared" si="4"/>
        <v>-0.1853997682502897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75920708.875520036</v>
      </c>
      <c r="G4" s="1">
        <f>VLOOKUP(A:A,MASTER!A:K,11,0)</f>
        <v>85212326.087076664</v>
      </c>
      <c r="H4" s="12">
        <f t="shared" si="0"/>
        <v>0.12238580683949096</v>
      </c>
      <c r="I4" s="2">
        <f>VLOOKUP(A:A,MASTER!A:E,5,0)</f>
        <v>1746</v>
      </c>
      <c r="J4" s="2">
        <f>VLOOKUP(A:A,MASTER!A:J,10,0)</f>
        <v>1635</v>
      </c>
      <c r="K4" s="12">
        <f t="shared" si="1"/>
        <v>-6.3573883161512024E-2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5</v>
      </c>
      <c r="P4" s="1">
        <f>VLOOKUP(A:A,MASTER!A:H,8,0)</f>
        <v>11</v>
      </c>
      <c r="Q4" s="12">
        <f t="shared" si="3"/>
        <v>1.2000000000000002</v>
      </c>
      <c r="R4" s="1">
        <f>VLOOKUP(A:A,MASTER!A:B,2,0)</f>
        <v>1995</v>
      </c>
      <c r="S4">
        <f>VLOOKUP(A:A,MASTER!A:G,7,0)</f>
        <v>1834</v>
      </c>
      <c r="T4" s="12">
        <f t="shared" si="4"/>
        <v>-8.0701754385964941E-2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48579440.269867823</v>
      </c>
      <c r="G5" s="1">
        <f>VLOOKUP(A:A,MASTER!A:K,11,0)</f>
        <v>46864871.635133006</v>
      </c>
      <c r="H5" s="12">
        <f t="shared" si="0"/>
        <v>-3.5294120829924558E-2</v>
      </c>
      <c r="I5" s="2">
        <f>VLOOKUP(A:A,MASTER!A:E,5,0)</f>
        <v>1036</v>
      </c>
      <c r="J5" s="2">
        <f>VLOOKUP(A:A,MASTER!A:J,10,0)</f>
        <v>986</v>
      </c>
      <c r="K5" s="12">
        <f t="shared" si="1"/>
        <v>-4.8262548262548277E-2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8</v>
      </c>
      <c r="P5" s="1">
        <f>VLOOKUP(A:A,MASTER!A:H,8,0)</f>
        <v>3</v>
      </c>
      <c r="Q5" s="12">
        <f t="shared" si="3"/>
        <v>-0.625</v>
      </c>
      <c r="R5" s="1">
        <f>VLOOKUP(A:A,MASTER!A:B,2,0)</f>
        <v>1148</v>
      </c>
      <c r="S5">
        <f>VLOOKUP(A:A,MASTER!A:G,7,0)</f>
        <v>1140</v>
      </c>
      <c r="T5" s="12">
        <f t="shared" si="4"/>
        <v>-6.9686411149826322E-3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54931145.1113635</v>
      </c>
      <c r="G6" s="1">
        <f>VLOOKUP(A:A,MASTER!A:K,11,0)</f>
        <v>50902671.796492927</v>
      </c>
      <c r="H6" s="12">
        <f t="shared" si="0"/>
        <v>-7.3336780194615203E-2</v>
      </c>
      <c r="I6" s="2">
        <f>VLOOKUP(A:A,MASTER!A:E,5,0)</f>
        <v>631</v>
      </c>
      <c r="J6" s="2">
        <f>VLOOKUP(A:A,MASTER!A:J,10,0)</f>
        <v>1064</v>
      </c>
      <c r="K6" s="12">
        <f t="shared" si="1"/>
        <v>0.68621236133122032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9</v>
      </c>
      <c r="P6" s="1">
        <f>VLOOKUP(A:A,MASTER!A:H,8,0)</f>
        <v>11</v>
      </c>
      <c r="Q6" s="12">
        <f t="shared" si="3"/>
        <v>0.22222222222222232</v>
      </c>
      <c r="R6" s="1">
        <f>VLOOKUP(A:A,MASTER!A:B,2,0)</f>
        <v>1325</v>
      </c>
      <c r="S6">
        <f>VLOOKUP(A:A,MASTER!A:G,7,0)</f>
        <v>1359</v>
      </c>
      <c r="T6" s="12">
        <f t="shared" si="4"/>
        <v>2.5660377358490472E-2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95805096.528354242</v>
      </c>
      <c r="G7" s="1">
        <f>VLOOKUP(A:A,MASTER!A:K,11,0)</f>
        <v>94800040.72511813</v>
      </c>
      <c r="H7" s="12">
        <f t="shared" si="0"/>
        <v>-1.0490629827178966E-2</v>
      </c>
      <c r="I7" s="2">
        <f>VLOOKUP(A:A,MASTER!A:E,5,0)</f>
        <v>1942</v>
      </c>
      <c r="J7" s="2">
        <f>VLOOKUP(A:A,MASTER!A:J,10,0)</f>
        <v>1815</v>
      </c>
      <c r="K7" s="12">
        <f t="shared" si="1"/>
        <v>-6.5396498455200791E-2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15</v>
      </c>
      <c r="P7" s="1">
        <f>VLOOKUP(A:A,MASTER!A:H,8,0)</f>
        <v>22</v>
      </c>
      <c r="Q7" s="12">
        <f t="shared" si="3"/>
        <v>0.46666666666666656</v>
      </c>
      <c r="R7" s="1">
        <f>VLOOKUP(A:A,MASTER!A:B,2,0)</f>
        <v>2363</v>
      </c>
      <c r="S7">
        <f>VLOOKUP(A:A,MASTER!A:G,7,0)</f>
        <v>2099</v>
      </c>
      <c r="T7" s="12">
        <f t="shared" si="4"/>
        <v>-0.11172238679644519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67823187.525844708</v>
      </c>
      <c r="G8" s="1">
        <f>VLOOKUP(A:A,MASTER!A:K,11,0)</f>
        <v>68421270.241600722</v>
      </c>
      <c r="H8" s="12">
        <f t="shared" si="0"/>
        <v>8.8182631570965508E-3</v>
      </c>
      <c r="I8" s="2">
        <f>VLOOKUP(A:A,MASTER!A:E,5,0)</f>
        <v>1321</v>
      </c>
      <c r="J8" s="2">
        <f>VLOOKUP(A:A,MASTER!A:J,10,0)</f>
        <v>1219</v>
      </c>
      <c r="K8" s="12">
        <f t="shared" si="1"/>
        <v>-7.7214231642694919E-2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894</v>
      </c>
      <c r="P8" s="1">
        <f>VLOOKUP(A:A,MASTER!A:H,8,0)</f>
        <v>906</v>
      </c>
      <c r="Q8" s="12">
        <f t="shared" si="3"/>
        <v>1.3422818791946289E-2</v>
      </c>
      <c r="R8" s="1">
        <f>VLOOKUP(A:A,MASTER!A:B,2,0)</f>
        <v>2116</v>
      </c>
      <c r="S8">
        <f>VLOOKUP(A:A,MASTER!A:G,7,0)</f>
        <v>2186</v>
      </c>
      <c r="T8" s="12">
        <f t="shared" si="4"/>
        <v>3.3081285444234387E-2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131090723.7392053</v>
      </c>
      <c r="G9" s="1">
        <f>VLOOKUP(A:A,MASTER!A:K,11,0)</f>
        <v>128078182.38848519</v>
      </c>
      <c r="H9" s="12">
        <f t="shared" si="0"/>
        <v>-2.2980583711730174E-2</v>
      </c>
      <c r="I9" s="2">
        <f>VLOOKUP(A:A,MASTER!A:E,5,0)</f>
        <v>2915</v>
      </c>
      <c r="J9" s="2">
        <f>VLOOKUP(A:A,MASTER!A:J,10,0)</f>
        <v>2629</v>
      </c>
      <c r="K9" s="12">
        <f t="shared" si="1"/>
        <v>-9.811320754716979E-2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707</v>
      </c>
      <c r="P9" s="1">
        <f>VLOOKUP(A:A,MASTER!A:H,8,0)</f>
        <v>790</v>
      </c>
      <c r="Q9" s="12">
        <f t="shared" si="3"/>
        <v>0.11739745403111734</v>
      </c>
      <c r="R9" s="1">
        <f>VLOOKUP(A:A,MASTER!A:B,2,0)</f>
        <v>3815</v>
      </c>
      <c r="S9">
        <f>VLOOKUP(A:A,MASTER!A:G,7,0)</f>
        <v>3629</v>
      </c>
      <c r="T9" s="12">
        <f t="shared" si="4"/>
        <v>-4.8754914809960637E-2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33727460.590201229</v>
      </c>
      <c r="G10" s="1">
        <f>VLOOKUP(A:A,MASTER!A:K,11,0)</f>
        <v>29052831.458383631</v>
      </c>
      <c r="H10" s="12">
        <f t="shared" si="0"/>
        <v>-0.13860009173580379</v>
      </c>
      <c r="I10" s="2">
        <f>VLOOKUP(A:A,MASTER!A:E,5,0)</f>
        <v>526</v>
      </c>
      <c r="J10" s="2">
        <f>VLOOKUP(A:A,MASTER!A:J,10,0)</f>
        <v>513</v>
      </c>
      <c r="K10" s="12">
        <f t="shared" si="1"/>
        <v>-2.4714828897338448E-2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8</v>
      </c>
      <c r="Q10" s="12">
        <f t="shared" si="3"/>
        <v>7</v>
      </c>
      <c r="R10" s="1">
        <f>VLOOKUP(A:A,MASTER!A:B,2,0)</f>
        <v>592</v>
      </c>
      <c r="S10">
        <f>VLOOKUP(A:A,MASTER!A:G,7,0)</f>
        <v>640</v>
      </c>
      <c r="T10" s="12">
        <f t="shared" si="4"/>
        <v>8.1081081081081141E-2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117334174.36398043</v>
      </c>
      <c r="G11" s="1">
        <f>VLOOKUP(A:A,MASTER!A:K,11,0)</f>
        <v>126999585.98153727</v>
      </c>
      <c r="H11" s="12">
        <f t="shared" si="0"/>
        <v>8.2375076740847319E-2</v>
      </c>
      <c r="I11" s="2">
        <f>VLOOKUP(A:A,MASTER!A:E,5,0)</f>
        <v>2600</v>
      </c>
      <c r="J11" s="2">
        <f>VLOOKUP(A:A,MASTER!A:J,10,0)</f>
        <v>2751</v>
      </c>
      <c r="K11" s="12">
        <f t="shared" si="1"/>
        <v>5.8076923076923137E-2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11</v>
      </c>
      <c r="P11" s="1">
        <f>VLOOKUP(A:A,MASTER!A:H,8,0)</f>
        <v>10</v>
      </c>
      <c r="Q11" s="12">
        <f t="shared" si="3"/>
        <v>-9.0909090909090939E-2</v>
      </c>
      <c r="R11" s="1">
        <f>VLOOKUP(A:A,MASTER!A:B,2,0)</f>
        <v>3016</v>
      </c>
      <c r="S11">
        <f>VLOOKUP(A:A,MASTER!A:G,7,0)</f>
        <v>2859</v>
      </c>
      <c r="T11" s="12">
        <f t="shared" si="4"/>
        <v>-5.205570291777184E-2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73126815.193005607</v>
      </c>
      <c r="G12" s="1">
        <f>VLOOKUP(A:A,MASTER!A:K,11,0)</f>
        <v>72651029.713535532</v>
      </c>
      <c r="H12" s="12">
        <f t="shared" si="0"/>
        <v>-6.5063065882784432E-3</v>
      </c>
      <c r="I12" s="2">
        <f>VLOOKUP(A:A,MASTER!A:E,5,0)</f>
        <v>899</v>
      </c>
      <c r="J12" s="2">
        <f>VLOOKUP(A:A,MASTER!A:J,10,0)</f>
        <v>1137</v>
      </c>
      <c r="K12" s="12">
        <f t="shared" si="1"/>
        <v>0.26473859844271419</v>
      </c>
      <c r="L12" s="2">
        <f>VLOOKUP(A:A,MASTER!A:D,4,0)</f>
        <v>7</v>
      </c>
      <c r="M12" s="2">
        <f>VLOOKUP(A:A,MASTER!A:I,9,0)</f>
        <v>7</v>
      </c>
      <c r="N12" s="12">
        <f t="shared" si="2"/>
        <v>0</v>
      </c>
      <c r="O12" s="1">
        <f>VLOOKUP(A:A,MASTER!A:C,3,0)</f>
        <v>7</v>
      </c>
      <c r="P12" s="1">
        <f>VLOOKUP(A:A,MASTER!A:H,8,0)</f>
        <v>12</v>
      </c>
      <c r="Q12" s="12">
        <f t="shared" si="3"/>
        <v>0.71428571428571419</v>
      </c>
      <c r="R12" s="1">
        <f>VLOOKUP(A:A,MASTER!A:B,2,0)</f>
        <v>1055</v>
      </c>
      <c r="S12">
        <f>VLOOKUP(A:A,MASTER!A:G,7,0)</f>
        <v>1080</v>
      </c>
      <c r="T12" s="12">
        <f t="shared" si="4"/>
        <v>2.3696682464454888E-2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66937170.743653879</v>
      </c>
      <c r="G13" s="1">
        <f>VLOOKUP(A:A,MASTER!A:K,11,0)</f>
        <v>65956819.700045258</v>
      </c>
      <c r="H13" s="12">
        <f t="shared" si="0"/>
        <v>-1.4645839265645444E-2</v>
      </c>
      <c r="I13" s="2">
        <f>VLOOKUP(A:A,MASTER!A:E,5,0)</f>
        <v>1361</v>
      </c>
      <c r="J13" s="2">
        <f>VLOOKUP(A:A,MASTER!A:J,10,0)</f>
        <v>1309</v>
      </c>
      <c r="K13" s="12">
        <f t="shared" si="1"/>
        <v>-3.8207200587803136E-2</v>
      </c>
      <c r="L13" s="2">
        <f>VLOOKUP(A:A,MASTER!A:D,4,0)</f>
        <v>9</v>
      </c>
      <c r="M13" s="2">
        <f>VLOOKUP(A:A,MASTER!A:I,9,0)</f>
        <v>11</v>
      </c>
      <c r="N13" s="12">
        <f t="shared" si="2"/>
        <v>0.22222222222222232</v>
      </c>
      <c r="O13" s="1">
        <f>VLOOKUP(A:A,MASTER!A:C,3,0)</f>
        <v>8</v>
      </c>
      <c r="P13" s="1">
        <f>VLOOKUP(A:A,MASTER!A:H,8,0)</f>
        <v>5</v>
      </c>
      <c r="Q13" s="12">
        <f t="shared" si="3"/>
        <v>-0.375</v>
      </c>
      <c r="R13" s="1">
        <f>VLOOKUP(A:A,MASTER!A:B,2,0)</f>
        <v>1494</v>
      </c>
      <c r="S13">
        <f>VLOOKUP(A:A,MASTER!A:G,7,0)</f>
        <v>1439</v>
      </c>
      <c r="T13" s="12">
        <f t="shared" si="4"/>
        <v>-3.6813922356091044E-2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52481056.370182104</v>
      </c>
      <c r="G14" s="1">
        <f>VLOOKUP(A:A,MASTER!A:K,11,0)</f>
        <v>51510666.321065687</v>
      </c>
      <c r="H14" s="12">
        <f t="shared" si="0"/>
        <v>-1.8490291854486363E-2</v>
      </c>
      <c r="I14" s="2">
        <f>VLOOKUP(A:A,MASTER!A:E,5,0)</f>
        <v>680</v>
      </c>
      <c r="J14" s="2">
        <f>VLOOKUP(A:A,MASTER!A:J,10,0)</f>
        <v>647</v>
      </c>
      <c r="K14" s="12">
        <f t="shared" si="1"/>
        <v>-4.8529411764705932E-2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4</v>
      </c>
      <c r="P14" s="1">
        <f>VLOOKUP(A:A,MASTER!A:H,8,0)</f>
        <v>9</v>
      </c>
      <c r="Q14" s="12">
        <f t="shared" si="3"/>
        <v>1.25</v>
      </c>
      <c r="R14" s="1">
        <f>VLOOKUP(A:A,MASTER!A:B,2,0)</f>
        <v>782</v>
      </c>
      <c r="S14">
        <f>VLOOKUP(A:A,MASTER!A:G,7,0)</f>
        <v>839</v>
      </c>
      <c r="T14" s="12">
        <f t="shared" si="4"/>
        <v>7.2890025575447659E-2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49182166.915348545</v>
      </c>
      <c r="G15" s="1">
        <f>VLOOKUP(A:A,MASTER!A:K,11,0)</f>
        <v>34308325.596141554</v>
      </c>
      <c r="H15" s="12">
        <f t="shared" si="0"/>
        <v>-0.30242346468400993</v>
      </c>
      <c r="I15" s="2">
        <f>VLOOKUP(A:A,MASTER!A:E,5,0)</f>
        <v>1124</v>
      </c>
      <c r="J15" s="2">
        <f>VLOOKUP(A:A,MASTER!A:J,10,0)</f>
        <v>880</v>
      </c>
      <c r="K15" s="12">
        <f t="shared" si="1"/>
        <v>-0.2170818505338078</v>
      </c>
      <c r="L15" s="2">
        <f>VLOOKUP(A:A,MASTER!A:D,4,0)</f>
        <v>10</v>
      </c>
      <c r="M15" s="2">
        <f>VLOOKUP(A:A,MASTER!A:I,9,0)</f>
        <v>8</v>
      </c>
      <c r="N15" s="12">
        <f t="shared" si="2"/>
        <v>-0.19999999999999996</v>
      </c>
      <c r="O15" s="1">
        <f>VLOOKUP(A:A,MASTER!A:C,3,0)</f>
        <v>3</v>
      </c>
      <c r="P15" s="1">
        <f>VLOOKUP(A:A,MASTER!A:H,8,0)</f>
        <v>4</v>
      </c>
      <c r="Q15" s="12">
        <f t="shared" si="3"/>
        <v>0.33333333333333326</v>
      </c>
      <c r="R15" s="1">
        <f>VLOOKUP(A:A,MASTER!A:B,2,0)</f>
        <v>1252</v>
      </c>
      <c r="S15">
        <f>VLOOKUP(A:A,MASTER!A:G,7,0)</f>
        <v>1169</v>
      </c>
      <c r="T15" s="12">
        <f t="shared" si="4"/>
        <v>-6.6293929712460065E-2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29748326.466609821</v>
      </c>
      <c r="G16" s="1">
        <f>VLOOKUP(A:A,MASTER!A:K,11,0)</f>
        <v>28016630.455517586</v>
      </c>
      <c r="H16" s="12">
        <f t="shared" si="0"/>
        <v>-5.8211543867381144E-2</v>
      </c>
      <c r="I16" s="2">
        <f>VLOOKUP(A:A,MASTER!A:E,5,0)</f>
        <v>923</v>
      </c>
      <c r="J16" s="2">
        <f>VLOOKUP(A:A,MASTER!A:J,10,0)</f>
        <v>919</v>
      </c>
      <c r="K16" s="12">
        <f t="shared" si="1"/>
        <v>-4.3336944745395733E-3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2</v>
      </c>
      <c r="P16" s="1">
        <f>VLOOKUP(A:A,MASTER!A:H,8,0)</f>
        <v>1</v>
      </c>
      <c r="Q16" s="12">
        <f t="shared" si="3"/>
        <v>-0.5</v>
      </c>
      <c r="R16" s="1">
        <f>VLOOKUP(A:A,MASTER!A:B,2,0)</f>
        <v>864</v>
      </c>
      <c r="S16">
        <f>VLOOKUP(A:A,MASTER!A:G,7,0)</f>
        <v>737</v>
      </c>
      <c r="T16" s="12">
        <f t="shared" si="4"/>
        <v>-0.1469907407407407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92981109.894457206</v>
      </c>
      <c r="G17" s="1">
        <f>VLOOKUP(A:A,MASTER!A:K,11,0)</f>
        <v>89962933.300273716</v>
      </c>
      <c r="H17" s="12">
        <f t="shared" si="0"/>
        <v>-3.2460105042942833E-2</v>
      </c>
      <c r="I17" s="2">
        <f>VLOOKUP(A:A,MASTER!A:E,5,0)</f>
        <v>1099</v>
      </c>
      <c r="J17" s="2">
        <f>VLOOKUP(A:A,MASTER!A:J,10,0)</f>
        <v>1176</v>
      </c>
      <c r="K17" s="12">
        <f t="shared" si="1"/>
        <v>7.0063694267515908E-2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10</v>
      </c>
      <c r="P17" s="1">
        <f>VLOOKUP(A:A,MASTER!A:H,8,0)</f>
        <v>10</v>
      </c>
      <c r="Q17" s="12">
        <f t="shared" si="3"/>
        <v>0</v>
      </c>
      <c r="R17" s="1">
        <f>VLOOKUP(A:A,MASTER!A:B,2,0)</f>
        <v>1277</v>
      </c>
      <c r="S17">
        <f>VLOOKUP(A:A,MASTER!A:G,7,0)</f>
        <v>1343</v>
      </c>
      <c r="T17" s="12">
        <f t="shared" si="4"/>
        <v>5.1683633516053318E-2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37264287.563416779</v>
      </c>
      <c r="G18" s="1">
        <f>VLOOKUP(A:A,MASTER!A:K,11,0)</f>
        <v>35935006.420883521</v>
      </c>
      <c r="H18" s="12">
        <f t="shared" si="0"/>
        <v>-3.5671717600157304E-2</v>
      </c>
      <c r="I18" s="2">
        <f>VLOOKUP(A:A,MASTER!A:E,5,0)</f>
        <v>100</v>
      </c>
      <c r="J18" s="2">
        <f>VLOOKUP(A:A,MASTER!A:J,10,0)</f>
        <v>1051</v>
      </c>
      <c r="K18" s="12">
        <f t="shared" si="1"/>
        <v>9.51</v>
      </c>
      <c r="L18" s="2">
        <f>VLOOKUP(A:A,MASTER!A:D,4,0)</f>
        <v>5</v>
      </c>
      <c r="M18" s="2">
        <f>VLOOKUP(A:A,MASTER!A:I,9,0)</f>
        <v>5</v>
      </c>
      <c r="N18" s="12">
        <f t="shared" si="2"/>
        <v>0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370</v>
      </c>
      <c r="S18">
        <f>VLOOKUP(A:A,MASTER!A:G,7,0)</f>
        <v>944</v>
      </c>
      <c r="T18" s="12">
        <f t="shared" si="4"/>
        <v>1.5513513513513515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124260731.80528501</v>
      </c>
      <c r="G19" s="1">
        <f>VLOOKUP(A:A,MASTER!A:K,11,0)</f>
        <v>118816380.48639078</v>
      </c>
      <c r="H19" s="12">
        <f t="shared" si="0"/>
        <v>-4.3813932525566091E-2</v>
      </c>
      <c r="I19" s="2">
        <f>VLOOKUP(A:A,MASTER!A:E,5,0)</f>
        <v>2269</v>
      </c>
      <c r="J19" s="2">
        <f>VLOOKUP(A:A,MASTER!A:J,10,0)</f>
        <v>1770</v>
      </c>
      <c r="K19" s="12">
        <f t="shared" si="1"/>
        <v>-0.21992066989863379</v>
      </c>
      <c r="L19" s="2">
        <f>VLOOKUP(A:A,MASTER!A:D,4,0)</f>
        <v>20</v>
      </c>
      <c r="M19" s="2">
        <f>VLOOKUP(A:A,MASTER!A:I,9,0)</f>
        <v>18</v>
      </c>
      <c r="N19" s="12">
        <f t="shared" si="2"/>
        <v>-9.9999999999999978E-2</v>
      </c>
      <c r="O19" s="1">
        <f>VLOOKUP(A:A,MASTER!A:C,3,0)</f>
        <v>11</v>
      </c>
      <c r="P19" s="1">
        <f>VLOOKUP(A:A,MASTER!A:H,8,0)</f>
        <v>6</v>
      </c>
      <c r="Q19" s="12">
        <f t="shared" si="3"/>
        <v>-0.45454545454545459</v>
      </c>
      <c r="R19" s="1">
        <f>VLOOKUP(A:A,MASTER!A:B,2,0)</f>
        <v>2711</v>
      </c>
      <c r="S19">
        <f>VLOOKUP(A:A,MASTER!A:G,7,0)</f>
        <v>2275</v>
      </c>
      <c r="T19" s="12">
        <f t="shared" si="4"/>
        <v>-0.16082626337144967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40917695.769526795</v>
      </c>
      <c r="G20" s="1">
        <f>VLOOKUP(A:A,MASTER!A:K,11,0)</f>
        <v>39600996.832696363</v>
      </c>
      <c r="H20" s="12">
        <f t="shared" si="0"/>
        <v>-3.2179205404108679E-2</v>
      </c>
      <c r="I20" s="2">
        <f>VLOOKUP(A:A,MASTER!A:E,5,0)</f>
        <v>478</v>
      </c>
      <c r="J20" s="2">
        <f>VLOOKUP(A:A,MASTER!A:J,10,0)</f>
        <v>420</v>
      </c>
      <c r="K20" s="12">
        <f t="shared" si="1"/>
        <v>-0.12133891213389125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561</v>
      </c>
      <c r="S20">
        <f>VLOOKUP(A:A,MASTER!A:G,7,0)</f>
        <v>552</v>
      </c>
      <c r="T20" s="12">
        <f t="shared" si="4"/>
        <v>-1.6042780748663055E-2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35101632.596217252</v>
      </c>
      <c r="G21" s="1">
        <f>VLOOKUP(A:A,MASTER!A:K,11,0)</f>
        <v>32904084.873672038</v>
      </c>
      <c r="H21" s="12">
        <f t="shared" si="0"/>
        <v>-6.2605285281859935E-2</v>
      </c>
      <c r="I21" s="2">
        <f>VLOOKUP(A:A,MASTER!A:E,5,0)</f>
        <v>402</v>
      </c>
      <c r="J21" s="2">
        <f>VLOOKUP(A:A,MASTER!A:J,10,0)</f>
        <v>427</v>
      </c>
      <c r="K21" s="12">
        <f t="shared" si="1"/>
        <v>6.2189054726368154E-2</v>
      </c>
      <c r="L21" s="2">
        <f>VLOOKUP(A:A,MASTER!A:D,4,0)</f>
        <v>4</v>
      </c>
      <c r="M21" s="2">
        <f>VLOOKUP(A:A,MASTER!A:I,9,0)</f>
        <v>5</v>
      </c>
      <c r="N21" s="12">
        <f t="shared" si="2"/>
        <v>0.25</v>
      </c>
      <c r="O21" s="1">
        <f>VLOOKUP(A:A,MASTER!A:C,3,0)</f>
        <v>3</v>
      </c>
      <c r="P21" s="1">
        <f>VLOOKUP(A:A,MASTER!A:H,8,0)</f>
        <v>3</v>
      </c>
      <c r="Q21" s="12">
        <f t="shared" si="3"/>
        <v>0</v>
      </c>
      <c r="R21" s="1">
        <f>VLOOKUP(A:A,MASTER!A:B,2,0)</f>
        <v>454</v>
      </c>
      <c r="S21">
        <f>VLOOKUP(A:A,MASTER!A:G,7,0)</f>
        <v>516</v>
      </c>
      <c r="T21" s="12">
        <f t="shared" si="4"/>
        <v>0.13656387665198233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25561273.681866869</v>
      </c>
      <c r="G22" s="1">
        <f>VLOOKUP(A:A,MASTER!A:K,11,0)</f>
        <v>40741881.76310119</v>
      </c>
      <c r="H22" s="12">
        <f t="shared" si="0"/>
        <v>0.59389090974771808</v>
      </c>
      <c r="I22" s="2">
        <f>VLOOKUP(A:A,MASTER!A:E,5,0)</f>
        <v>456</v>
      </c>
      <c r="J22" s="2">
        <f>VLOOKUP(A:A,MASTER!A:J,10,0)</f>
        <v>557</v>
      </c>
      <c r="K22" s="12">
        <f t="shared" si="1"/>
        <v>0.22149122807017552</v>
      </c>
      <c r="L22" s="2">
        <f>VLOOKUP(A:A,MASTER!A:D,4,0)</f>
        <v>2</v>
      </c>
      <c r="M22" s="2">
        <f>VLOOKUP(A:A,MASTER!A:I,9,0)</f>
        <v>5</v>
      </c>
      <c r="N22" s="12">
        <f t="shared" si="2"/>
        <v>1.5</v>
      </c>
      <c r="O22" s="1">
        <f>VLOOKUP(A:A,MASTER!A:C,3,0)</f>
        <v>3</v>
      </c>
      <c r="P22" s="1">
        <f>VLOOKUP(A:A,MASTER!A:H,8,0)</f>
        <v>8</v>
      </c>
      <c r="Q22" s="12">
        <f t="shared" si="3"/>
        <v>1.6666666666666665</v>
      </c>
      <c r="R22" s="1">
        <f>VLOOKUP(A:A,MASTER!A:B,2,0)</f>
        <v>651</v>
      </c>
      <c r="S22">
        <f>VLOOKUP(A:A,MASTER!A:G,7,0)</f>
        <v>630</v>
      </c>
      <c r="T22" s="12">
        <f t="shared" si="4"/>
        <v>-3.2258064516129004E-2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61369922.125036985</v>
      </c>
      <c r="G23" s="1">
        <f>VLOOKUP(A:A,MASTER!A:K,11,0)</f>
        <v>62841099.699467473</v>
      </c>
      <c r="H23" s="12">
        <f t="shared" si="0"/>
        <v>2.3972290064717239E-2</v>
      </c>
      <c r="I23" s="2">
        <f>VLOOKUP(A:A,MASTER!A:E,5,0)</f>
        <v>1023</v>
      </c>
      <c r="J23" s="2">
        <f>VLOOKUP(A:A,MASTER!A:J,10,0)</f>
        <v>1000</v>
      </c>
      <c r="K23" s="12">
        <f t="shared" si="1"/>
        <v>-2.2482893450635366E-2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6</v>
      </c>
      <c r="P23" s="1">
        <f>VLOOKUP(A:A,MASTER!A:H,8,0)</f>
        <v>10</v>
      </c>
      <c r="Q23" s="12">
        <f t="shared" si="3"/>
        <v>0.66666666666666674</v>
      </c>
      <c r="R23" s="1">
        <f>VLOOKUP(A:A,MASTER!A:B,2,0)</f>
        <v>1045</v>
      </c>
      <c r="S23">
        <f>VLOOKUP(A:A,MASTER!A:G,7,0)</f>
        <v>1121</v>
      </c>
      <c r="T23" s="12">
        <f t="shared" si="4"/>
        <v>7.2727272727272751E-2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114613751.79104382</v>
      </c>
      <c r="G24" s="1">
        <f>VLOOKUP(A:A,MASTER!A:K,11,0)</f>
        <v>108266390.96178317</v>
      </c>
      <c r="H24" s="12">
        <f t="shared" si="0"/>
        <v>-5.5380447198279836E-2</v>
      </c>
      <c r="I24" s="2">
        <f>VLOOKUP(A:A,MASTER!A:E,5,0)</f>
        <v>2017</v>
      </c>
      <c r="J24" s="2">
        <f>VLOOKUP(A:A,MASTER!A:J,10,0)</f>
        <v>1631</v>
      </c>
      <c r="K24" s="12">
        <f t="shared" si="1"/>
        <v>-0.19137332672285567</v>
      </c>
      <c r="L24" s="2">
        <f>VLOOKUP(A:A,MASTER!A:D,4,0)</f>
        <v>5</v>
      </c>
      <c r="M24" s="2">
        <f>VLOOKUP(A:A,MASTER!A:I,9,0)</f>
        <v>5</v>
      </c>
      <c r="N24" s="12">
        <f t="shared" si="2"/>
        <v>0</v>
      </c>
      <c r="O24" s="1">
        <f>VLOOKUP(A:A,MASTER!A:C,3,0)</f>
        <v>28</v>
      </c>
      <c r="P24" s="1">
        <f>VLOOKUP(A:A,MASTER!A:H,8,0)</f>
        <v>140</v>
      </c>
      <c r="Q24" s="12">
        <f t="shared" si="3"/>
        <v>4</v>
      </c>
      <c r="R24" s="1">
        <f>VLOOKUP(A:A,MASTER!A:B,2,0)</f>
        <v>2309</v>
      </c>
      <c r="S24">
        <f>VLOOKUP(A:A,MASTER!A:G,7,0)</f>
        <v>1626</v>
      </c>
      <c r="T24" s="12">
        <f t="shared" si="4"/>
        <v>-0.2957990472065829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126842614.27089219</v>
      </c>
      <c r="G25" s="1">
        <f>VLOOKUP(A:A,MASTER!A:K,11,0)</f>
        <v>137911456.24385685</v>
      </c>
      <c r="H25" s="12">
        <f t="shared" si="0"/>
        <v>8.726437906211415E-2</v>
      </c>
      <c r="I25" s="2">
        <f>VLOOKUP(A:A,MASTER!A:E,5,0)</f>
        <v>1311</v>
      </c>
      <c r="J25" s="2">
        <f>VLOOKUP(A:A,MASTER!A:J,10,0)</f>
        <v>2216</v>
      </c>
      <c r="K25" s="12">
        <f t="shared" si="1"/>
        <v>0.69031273836765839</v>
      </c>
      <c r="L25" s="2">
        <f>VLOOKUP(A:A,MASTER!A:D,4,0)</f>
        <v>10</v>
      </c>
      <c r="M25" s="2">
        <f>VLOOKUP(A:A,MASTER!A:I,9,0)</f>
        <v>10</v>
      </c>
      <c r="N25" s="12">
        <f t="shared" si="2"/>
        <v>0</v>
      </c>
      <c r="O25" s="1">
        <f>VLOOKUP(A:A,MASTER!A:C,3,0)</f>
        <v>35</v>
      </c>
      <c r="P25" s="1">
        <f>VLOOKUP(A:A,MASTER!A:H,8,0)</f>
        <v>44</v>
      </c>
      <c r="Q25" s="12">
        <f t="shared" si="3"/>
        <v>0.25714285714285712</v>
      </c>
      <c r="R25" s="1">
        <f>VLOOKUP(A:A,MASTER!A:B,2,0)</f>
        <v>1499</v>
      </c>
      <c r="S25">
        <f>VLOOKUP(A:A,MASTER!A:G,7,0)</f>
        <v>2733</v>
      </c>
      <c r="T25" s="12">
        <f t="shared" si="4"/>
        <v>0.82321547698465647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29209126.182045158</v>
      </c>
      <c r="G26" s="1">
        <f>VLOOKUP(A:A,MASTER!A:K,11,0)</f>
        <v>31112670.735154763</v>
      </c>
      <c r="H26" s="12">
        <f t="shared" si="0"/>
        <v>6.5169513844604898E-2</v>
      </c>
      <c r="I26" s="2">
        <f>VLOOKUP(A:A,MASTER!A:E,5,0)</f>
        <v>546</v>
      </c>
      <c r="J26" s="2">
        <f>VLOOKUP(A:A,MASTER!A:J,10,0)</f>
        <v>567</v>
      </c>
      <c r="K26" s="12">
        <f t="shared" si="1"/>
        <v>3.8461538461538547E-2</v>
      </c>
      <c r="L26" s="2">
        <f>VLOOKUP(A:A,MASTER!A:D,4,0)</f>
        <v>1</v>
      </c>
      <c r="M26" s="2">
        <f>VLOOKUP(A:A,MASTER!A:I,9,0)</f>
        <v>1</v>
      </c>
      <c r="N26" s="12">
        <f t="shared" si="2"/>
        <v>0</v>
      </c>
      <c r="O26" s="1">
        <f>VLOOKUP(A:A,MASTER!A:C,3,0)</f>
        <v>3</v>
      </c>
      <c r="P26" s="1">
        <f>VLOOKUP(A:A,MASTER!A:H,8,0)</f>
        <v>1</v>
      </c>
      <c r="Q26" s="12">
        <f t="shared" si="3"/>
        <v>-0.66666666666666674</v>
      </c>
      <c r="R26" s="1">
        <f>VLOOKUP(A:A,MASTER!A:B,2,0)</f>
        <v>572</v>
      </c>
      <c r="S26">
        <f>VLOOKUP(A:A,MASTER!A:G,7,0)</f>
        <v>682</v>
      </c>
      <c r="T26" s="12">
        <f t="shared" si="4"/>
        <v>0.19230769230769229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55518862.418120876</v>
      </c>
      <c r="G27" s="1">
        <f>VLOOKUP(A:A,MASTER!A:K,11,0)</f>
        <v>56417422.041072004</v>
      </c>
      <c r="H27" s="12">
        <f t="shared" si="0"/>
        <v>1.618476286822923E-2</v>
      </c>
      <c r="I27" s="2">
        <f>VLOOKUP(A:A,MASTER!A:E,5,0)</f>
        <v>962</v>
      </c>
      <c r="J27" s="2">
        <f>VLOOKUP(A:A,MASTER!A:J,10,0)</f>
        <v>885</v>
      </c>
      <c r="K27" s="12">
        <f t="shared" si="1"/>
        <v>-8.0041580041580018E-2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16</v>
      </c>
      <c r="P27" s="1">
        <f>VLOOKUP(A:A,MASTER!A:H,8,0)</f>
        <v>7</v>
      </c>
      <c r="Q27" s="12">
        <f t="shared" si="3"/>
        <v>-0.5625</v>
      </c>
      <c r="R27" s="1">
        <f>VLOOKUP(A:A,MASTER!A:B,2,0)</f>
        <v>1101</v>
      </c>
      <c r="S27">
        <f>VLOOKUP(A:A,MASTER!A:G,7,0)</f>
        <v>1024</v>
      </c>
      <c r="T27" s="12">
        <f t="shared" si="4"/>
        <v>-6.9936421435059071E-2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27671371.384354323</v>
      </c>
      <c r="G28" s="1">
        <f>VLOOKUP(A:A,MASTER!A:K,11,0)</f>
        <v>26870085.954289634</v>
      </c>
      <c r="H28" s="12">
        <f t="shared" si="0"/>
        <v>-2.8957199805346279E-2</v>
      </c>
      <c r="I28" s="2">
        <f>VLOOKUP(A:A,MASTER!A:E,5,0)</f>
        <v>651</v>
      </c>
      <c r="J28" s="2">
        <f>VLOOKUP(A:A,MASTER!A:J,10,0)</f>
        <v>677</v>
      </c>
      <c r="K28" s="12">
        <f t="shared" si="1"/>
        <v>3.9938556067588227E-2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60</v>
      </c>
      <c r="Q28" s="12">
        <f t="shared" si="3"/>
        <v>19</v>
      </c>
      <c r="R28" s="1">
        <f>VLOOKUP(A:A,MASTER!A:B,2,0)</f>
        <v>748</v>
      </c>
      <c r="S28">
        <f>VLOOKUP(A:A,MASTER!A:G,7,0)</f>
        <v>738</v>
      </c>
      <c r="T28" s="12">
        <f t="shared" si="4"/>
        <v>-1.3368983957219305E-2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66092841.081973642</v>
      </c>
      <c r="G29" s="1">
        <f>VLOOKUP(A:A,MASTER!A:K,11,0)</f>
        <v>69082384.474612534</v>
      </c>
      <c r="H29" s="12">
        <f t="shared" si="0"/>
        <v>4.5232484240328219E-2</v>
      </c>
      <c r="I29" s="2">
        <f>VLOOKUP(A:A,MASTER!A:E,5,0)</f>
        <v>1278</v>
      </c>
      <c r="J29" s="2">
        <f>VLOOKUP(A:A,MASTER!A:J,10,0)</f>
        <v>1175</v>
      </c>
      <c r="K29" s="12">
        <f t="shared" si="1"/>
        <v>-8.0594679186228535E-2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7</v>
      </c>
      <c r="P29" s="1">
        <f>VLOOKUP(A:A,MASTER!A:H,8,0)</f>
        <v>12</v>
      </c>
      <c r="Q29" s="12">
        <f t="shared" si="3"/>
        <v>0.71428571428571419</v>
      </c>
      <c r="R29" s="1">
        <f>VLOOKUP(A:A,MASTER!A:B,2,0)</f>
        <v>1300</v>
      </c>
      <c r="S29">
        <f>VLOOKUP(A:A,MASTER!A:G,7,0)</f>
        <v>1167</v>
      </c>
      <c r="T29" s="12">
        <f t="shared" si="4"/>
        <v>-0.10230769230769232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91760505.300973713</v>
      </c>
      <c r="G30" s="1">
        <f>VLOOKUP(A:A,MASTER!A:K,11,0)</f>
        <v>88491791.638845026</v>
      </c>
      <c r="H30" s="12">
        <f t="shared" si="0"/>
        <v>-3.5622228227790709E-2</v>
      </c>
      <c r="I30" s="2">
        <f>VLOOKUP(A:A,MASTER!A:E,5,0)</f>
        <v>1899</v>
      </c>
      <c r="J30" s="2">
        <f>VLOOKUP(A:A,MASTER!A:J,10,0)</f>
        <v>1708</v>
      </c>
      <c r="K30" s="12">
        <f t="shared" si="1"/>
        <v>-0.10057925223802</v>
      </c>
      <c r="L30" s="2">
        <f>VLOOKUP(A:A,MASTER!A:D,4,0)</f>
        <v>8</v>
      </c>
      <c r="M30" s="2">
        <f>VLOOKUP(A:A,MASTER!A:I,9,0)</f>
        <v>9</v>
      </c>
      <c r="N30" s="12">
        <f t="shared" si="2"/>
        <v>0.125</v>
      </c>
      <c r="O30" s="1">
        <f>VLOOKUP(A:A,MASTER!A:C,3,0)</f>
        <v>26</v>
      </c>
      <c r="P30" s="1">
        <f>VLOOKUP(A:A,MASTER!A:H,8,0)</f>
        <v>10</v>
      </c>
      <c r="Q30" s="12">
        <f t="shared" si="3"/>
        <v>-0.61538461538461542</v>
      </c>
      <c r="R30" s="1">
        <f>VLOOKUP(A:A,MASTER!A:B,2,0)</f>
        <v>2011</v>
      </c>
      <c r="S30">
        <f>VLOOKUP(A:A,MASTER!A:G,7,0)</f>
        <v>1774</v>
      </c>
      <c r="T30" s="12">
        <f t="shared" si="4"/>
        <v>-0.11785181501740427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36130609.335181259</v>
      </c>
      <c r="G31" s="1">
        <f>VLOOKUP(A:A,MASTER!A:K,11,0)</f>
        <v>40282542.095777914</v>
      </c>
      <c r="H31" s="12">
        <f t="shared" si="0"/>
        <v>0.11491455131795458</v>
      </c>
      <c r="I31" s="2">
        <f>VLOOKUP(A:A,MASTER!A:E,5,0)</f>
        <v>597</v>
      </c>
      <c r="J31" s="2">
        <f>VLOOKUP(A:A,MASTER!A:J,10,0)</f>
        <v>774</v>
      </c>
      <c r="K31" s="12">
        <f t="shared" si="1"/>
        <v>0.29648241206030157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4</v>
      </c>
      <c r="Q31" s="12">
        <f t="shared" si="3"/>
        <v>-0.33333333333333337</v>
      </c>
      <c r="R31" s="1">
        <f>VLOOKUP(A:A,MASTER!A:B,2,0)</f>
        <v>607</v>
      </c>
      <c r="S31">
        <f>VLOOKUP(A:A,MASTER!A:G,7,0)</f>
        <v>842</v>
      </c>
      <c r="T31" s="12">
        <f t="shared" si="4"/>
        <v>0.38714991762767714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47407916.208337717</v>
      </c>
      <c r="G32" s="1">
        <f>VLOOKUP(A:A,MASTER!A:K,11,0)</f>
        <v>44776110.491447076</v>
      </c>
      <c r="H32" s="12">
        <f t="shared" si="0"/>
        <v>-5.5514056034966175E-2</v>
      </c>
      <c r="I32" s="2">
        <f>VLOOKUP(A:A,MASTER!A:E,5,0)</f>
        <v>585</v>
      </c>
      <c r="J32" s="2">
        <f>VLOOKUP(A:A,MASTER!A:J,10,0)</f>
        <v>485</v>
      </c>
      <c r="K32" s="12">
        <f t="shared" si="1"/>
        <v>-0.17094017094017089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8</v>
      </c>
      <c r="P32" s="1">
        <f>VLOOKUP(A:A,MASTER!A:H,8,0)</f>
        <v>2</v>
      </c>
      <c r="Q32" s="12">
        <f t="shared" si="3"/>
        <v>-0.75</v>
      </c>
      <c r="R32" s="1">
        <f>VLOOKUP(A:A,MASTER!A:B,2,0)</f>
        <v>733</v>
      </c>
      <c r="S32">
        <f>VLOOKUP(A:A,MASTER!A:G,7,0)</f>
        <v>648</v>
      </c>
      <c r="T32" s="12">
        <f t="shared" si="4"/>
        <v>-0.1159618008185539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150646627.42580181</v>
      </c>
      <c r="G33" s="1">
        <f>VLOOKUP(A:A,MASTER!A:K,11,0)</f>
        <v>136177751.72039899</v>
      </c>
      <c r="H33" s="12">
        <f t="shared" si="0"/>
        <v>-9.6045135245587887E-2</v>
      </c>
      <c r="I33" s="2">
        <f>VLOOKUP(A:A,MASTER!A:E,5,0)</f>
        <v>2316</v>
      </c>
      <c r="J33" s="2">
        <f>VLOOKUP(A:A,MASTER!A:J,10,0)</f>
        <v>1718</v>
      </c>
      <c r="K33" s="12">
        <f t="shared" si="1"/>
        <v>-0.25820379965457685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29</v>
      </c>
      <c r="P33" s="1">
        <f>VLOOKUP(A:A,MASTER!A:H,8,0)</f>
        <v>20</v>
      </c>
      <c r="Q33" s="12">
        <f t="shared" si="3"/>
        <v>-0.31034482758620685</v>
      </c>
      <c r="R33" s="1">
        <f>VLOOKUP(A:A,MASTER!A:B,2,0)</f>
        <v>2554</v>
      </c>
      <c r="S33">
        <f>VLOOKUP(A:A,MASTER!A:G,7,0)</f>
        <v>1984</v>
      </c>
      <c r="T33" s="12">
        <f t="shared" si="4"/>
        <v>-0.22317932654659356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117996554.06542628</v>
      </c>
      <c r="G34" s="1">
        <f>VLOOKUP(A:A,MASTER!A:K,11,0)</f>
        <v>119195933.51350243</v>
      </c>
      <c r="H34" s="12">
        <f t="shared" si="0"/>
        <v>1.0164529443894788E-2</v>
      </c>
      <c r="I34" s="2">
        <f>VLOOKUP(A:A,MASTER!A:E,5,0)</f>
        <v>1510</v>
      </c>
      <c r="J34" s="2">
        <f>VLOOKUP(A:A,MASTER!A:J,10,0)</f>
        <v>1499</v>
      </c>
      <c r="K34" s="12">
        <f t="shared" si="1"/>
        <v>-7.2847682119204782E-3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28</v>
      </c>
      <c r="P34" s="1">
        <f>VLOOKUP(A:A,MASTER!A:H,8,0)</f>
        <v>18</v>
      </c>
      <c r="Q34" s="12">
        <f t="shared" si="3"/>
        <v>-0.3571428571428571</v>
      </c>
      <c r="R34" s="1">
        <f>VLOOKUP(A:A,MASTER!A:B,2,0)</f>
        <v>1948</v>
      </c>
      <c r="S34">
        <f>VLOOKUP(A:A,MASTER!A:G,7,0)</f>
        <v>1875</v>
      </c>
      <c r="T34" s="12">
        <f t="shared" si="4"/>
        <v>-3.7474332648870678E-2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70084989.845665172</v>
      </c>
      <c r="G35" s="1">
        <f>VLOOKUP(A:A,MASTER!A:K,11,0)</f>
        <v>70114888.165622056</v>
      </c>
      <c r="H35" s="12">
        <f t="shared" si="0"/>
        <v>4.2660090302826248E-4</v>
      </c>
      <c r="I35" s="2">
        <f>VLOOKUP(A:A,MASTER!A:E,5,0)</f>
        <v>807</v>
      </c>
      <c r="J35" s="2">
        <f>VLOOKUP(A:A,MASTER!A:J,10,0)</f>
        <v>818</v>
      </c>
      <c r="K35" s="12">
        <f t="shared" si="1"/>
        <v>1.3630731102850069E-2</v>
      </c>
      <c r="L35" s="2">
        <f>VLOOKUP(A:A,MASTER!A:D,4,0)</f>
        <v>2</v>
      </c>
      <c r="M35" s="2">
        <f>VLOOKUP(A:A,MASTER!A:I,9,0)</f>
        <v>3</v>
      </c>
      <c r="N35" s="12">
        <f t="shared" si="2"/>
        <v>0.5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956</v>
      </c>
      <c r="S35">
        <f>VLOOKUP(A:A,MASTER!A:G,7,0)</f>
        <v>966</v>
      </c>
      <c r="T35" s="12">
        <f t="shared" si="4"/>
        <v>1.0460251046025215E-2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90121499.645696864</v>
      </c>
      <c r="G36" s="1">
        <f>VLOOKUP(A:A,MASTER!A:K,11,0)</f>
        <v>92155190.948158041</v>
      </c>
      <c r="H36" s="12">
        <f t="shared" si="0"/>
        <v>2.2566105873253584E-2</v>
      </c>
      <c r="I36" s="2">
        <f>VLOOKUP(A:A,MASTER!A:E,5,0)</f>
        <v>1968</v>
      </c>
      <c r="J36" s="2">
        <f>VLOOKUP(A:A,MASTER!A:J,10,0)</f>
        <v>2089</v>
      </c>
      <c r="K36" s="12">
        <f t="shared" si="1"/>
        <v>6.148373983739841E-2</v>
      </c>
      <c r="L36" s="2">
        <f>VLOOKUP(A:A,MASTER!A:D,4,0)</f>
        <v>11</v>
      </c>
      <c r="M36" s="2">
        <f>VLOOKUP(A:A,MASTER!A:I,9,0)</f>
        <v>13</v>
      </c>
      <c r="N36" s="12">
        <f t="shared" si="2"/>
        <v>0.18181818181818188</v>
      </c>
      <c r="O36" s="1">
        <f>VLOOKUP(A:A,MASTER!A:C,3,0)</f>
        <v>10</v>
      </c>
      <c r="P36" s="1">
        <f>VLOOKUP(A:A,MASTER!A:H,8,0)</f>
        <v>13</v>
      </c>
      <c r="Q36" s="12">
        <f t="shared" si="3"/>
        <v>0.30000000000000004</v>
      </c>
      <c r="R36" s="1">
        <f>VLOOKUP(A:A,MASTER!A:B,2,0)</f>
        <v>2074</v>
      </c>
      <c r="S36">
        <f>VLOOKUP(A:A,MASTER!A:G,7,0)</f>
        <v>1952</v>
      </c>
      <c r="T36" s="12">
        <f t="shared" si="4"/>
        <v>-5.8823529411764719E-2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41133499.655449986</v>
      </c>
      <c r="G37" s="1">
        <f>VLOOKUP(A:A,MASTER!A:K,11,0)</f>
        <v>38158225.69611045</v>
      </c>
      <c r="H37" s="12">
        <f t="shared" ref="H37:H46" si="5">IFERROR(G37/F37-1,0)</f>
        <v>-7.2332137655720441E-2</v>
      </c>
      <c r="I37" s="2">
        <f>VLOOKUP(A:A,MASTER!A:E,5,0)</f>
        <v>695</v>
      </c>
      <c r="J37" s="2">
        <f>VLOOKUP(A:A,MASTER!A:J,10,0)</f>
        <v>742</v>
      </c>
      <c r="K37" s="12">
        <f t="shared" ref="K37:K46" si="6">IFERROR(J37/I37-1,0)</f>
        <v>6.7625899280575608E-2</v>
      </c>
      <c r="L37" s="2">
        <f>VLOOKUP(A:A,MASTER!A:D,4,0)</f>
        <v>6</v>
      </c>
      <c r="M37" s="2">
        <f>VLOOKUP(A:A,MASTER!A:I,9,0)</f>
        <v>5</v>
      </c>
      <c r="N37" s="12">
        <f t="shared" ref="N37:N46" si="7">IFERROR(M37/L37-1,0)</f>
        <v>-0.16666666666666663</v>
      </c>
      <c r="O37" s="1">
        <f>VLOOKUP(A:A,MASTER!A:C,3,0)</f>
        <v>5</v>
      </c>
      <c r="P37" s="1">
        <f>VLOOKUP(A:A,MASTER!A:H,8,0)</f>
        <v>4</v>
      </c>
      <c r="Q37" s="12">
        <f t="shared" ref="Q37:Q46" si="8">IFERROR(P37/O37-1,0)</f>
        <v>-0.19999999999999996</v>
      </c>
      <c r="R37" s="1">
        <f>VLOOKUP(A:A,MASTER!A:B,2,0)</f>
        <v>882</v>
      </c>
      <c r="S37">
        <f>VLOOKUP(A:A,MASTER!A:G,7,0)</f>
        <v>995</v>
      </c>
      <c r="T37" s="12">
        <f t="shared" ref="T37:T46" si="9">IFERROR(S37/R37-1,0)</f>
        <v>0.1281179138321995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86007936.997424483</v>
      </c>
      <c r="G38" s="1">
        <f>VLOOKUP(A:A,MASTER!A:K,11,0)</f>
        <v>91118035.599556893</v>
      </c>
      <c r="H38" s="12">
        <f t="shared" si="5"/>
        <v>5.9414267805137921E-2</v>
      </c>
      <c r="I38" s="2">
        <f>VLOOKUP(A:A,MASTER!A:E,5,0)</f>
        <v>1602</v>
      </c>
      <c r="J38" s="2">
        <f>VLOOKUP(A:A,MASTER!A:J,10,0)</f>
        <v>1581</v>
      </c>
      <c r="K38" s="12">
        <f t="shared" si="6"/>
        <v>-1.310861423220977E-2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70</v>
      </c>
      <c r="P38" s="1">
        <f>VLOOKUP(A:A,MASTER!A:H,8,0)</f>
        <v>57</v>
      </c>
      <c r="Q38" s="12">
        <f t="shared" si="8"/>
        <v>-0.18571428571428572</v>
      </c>
      <c r="R38" s="1">
        <f>VLOOKUP(A:A,MASTER!A:B,2,0)</f>
        <v>1892</v>
      </c>
      <c r="S38">
        <f>VLOOKUP(A:A,MASTER!A:G,7,0)</f>
        <v>1967</v>
      </c>
      <c r="T38" s="12">
        <f t="shared" si="9"/>
        <v>3.9640591966173311E-2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36197764.790004268</v>
      </c>
      <c r="G39" s="1">
        <f>VLOOKUP(A:A,MASTER!A:K,11,0)</f>
        <v>37897532.101204991</v>
      </c>
      <c r="H39" s="12">
        <f t="shared" si="5"/>
        <v>4.6957797561856696E-2</v>
      </c>
      <c r="I39" s="2">
        <f>VLOOKUP(A:A,MASTER!A:E,5,0)</f>
        <v>812</v>
      </c>
      <c r="J39" s="2">
        <f>VLOOKUP(A:A,MASTER!A:J,10,0)</f>
        <v>884</v>
      </c>
      <c r="K39" s="12">
        <f t="shared" si="6"/>
        <v>8.8669950738916148E-2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4</v>
      </c>
      <c r="P39" s="1">
        <f>VLOOKUP(A:A,MASTER!A:H,8,0)</f>
        <v>2</v>
      </c>
      <c r="Q39" s="12">
        <f t="shared" si="8"/>
        <v>-0.5</v>
      </c>
      <c r="R39" s="1">
        <f>VLOOKUP(A:A,MASTER!A:B,2,0)</f>
        <v>869</v>
      </c>
      <c r="S39">
        <f>VLOOKUP(A:A,MASTER!A:G,7,0)</f>
        <v>990</v>
      </c>
      <c r="T39" s="12">
        <f t="shared" si="9"/>
        <v>0.139240506329114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27798636.305550743</v>
      </c>
      <c r="G40" s="1">
        <f>VLOOKUP(A:A,MASTER!A:K,11,0)</f>
        <v>27905412.120089173</v>
      </c>
      <c r="H40" s="12">
        <f t="shared" si="5"/>
        <v>3.841045055764436E-3</v>
      </c>
      <c r="I40" s="2">
        <f>VLOOKUP(A:A,MASTER!A:E,5,0)</f>
        <v>552</v>
      </c>
      <c r="J40" s="2">
        <f>VLOOKUP(A:A,MASTER!A:J,10,0)</f>
        <v>473</v>
      </c>
      <c r="K40" s="12">
        <f t="shared" si="6"/>
        <v>-0.14311594202898548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4</v>
      </c>
      <c r="P40" s="1">
        <f>VLOOKUP(A:A,MASTER!A:H,8,0)</f>
        <v>5</v>
      </c>
      <c r="Q40" s="12">
        <f t="shared" si="8"/>
        <v>0.25</v>
      </c>
      <c r="R40" s="1">
        <f>VLOOKUP(A:A,MASTER!A:B,2,0)</f>
        <v>585</v>
      </c>
      <c r="S40">
        <f>VLOOKUP(A:A,MASTER!A:G,7,0)</f>
        <v>500</v>
      </c>
      <c r="T40" s="12">
        <f t="shared" si="9"/>
        <v>-0.14529914529914534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45917569.325043142</v>
      </c>
      <c r="G41" s="1">
        <f>VLOOKUP(A:A,MASTER!A:K,11,0)</f>
        <v>76941714.593697876</v>
      </c>
      <c r="H41" s="12">
        <f t="shared" si="5"/>
        <v>0.67564868360168995</v>
      </c>
      <c r="I41" s="2">
        <f>VLOOKUP(A:A,MASTER!A:E,5,0)</f>
        <v>20</v>
      </c>
      <c r="J41" s="2">
        <f>VLOOKUP(A:A,MASTER!A:J,10,0)</f>
        <v>784</v>
      </c>
      <c r="K41" s="12">
        <f t="shared" si="6"/>
        <v>38.200000000000003</v>
      </c>
      <c r="L41" s="2">
        <f>VLOOKUP(A:A,MASTER!A:D,4,0)</f>
        <v>3</v>
      </c>
      <c r="M41" s="2">
        <f>VLOOKUP(A:A,MASTER!A:I,9,0)</f>
        <v>6</v>
      </c>
      <c r="N41" s="12">
        <f t="shared" si="7"/>
        <v>1</v>
      </c>
      <c r="O41" s="1">
        <f>VLOOKUP(A:A,MASTER!A:C,3,0)</f>
        <v>10</v>
      </c>
      <c r="P41" s="1">
        <f>VLOOKUP(A:A,MASTER!A:H,8,0)</f>
        <v>10</v>
      </c>
      <c r="Q41" s="12">
        <f t="shared" si="8"/>
        <v>0</v>
      </c>
      <c r="R41" s="1">
        <f>VLOOKUP(A:A,MASTER!A:B,2,0)</f>
        <v>136</v>
      </c>
      <c r="S41">
        <f>VLOOKUP(A:A,MASTER!A:G,7,0)</f>
        <v>956</v>
      </c>
      <c r="T41" s="12">
        <f t="shared" si="9"/>
        <v>6.0294117647058822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45918892.182026282</v>
      </c>
      <c r="G42" s="1">
        <f>VLOOKUP(A:A,MASTER!A:K,11,0)</f>
        <v>47180698.242388859</v>
      </c>
      <c r="H42" s="12">
        <f t="shared" si="5"/>
        <v>2.7479017903146996E-2</v>
      </c>
      <c r="I42" s="2">
        <f>VLOOKUP(A:A,MASTER!A:E,5,0)</f>
        <v>845</v>
      </c>
      <c r="J42" s="2">
        <f>VLOOKUP(A:A,MASTER!A:J,10,0)</f>
        <v>802</v>
      </c>
      <c r="K42" s="12">
        <f t="shared" si="6"/>
        <v>-5.0887573964497057E-2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5</v>
      </c>
      <c r="Q42" s="12">
        <f t="shared" si="8"/>
        <v>1.5</v>
      </c>
      <c r="R42" s="1">
        <f>VLOOKUP(A:A,MASTER!A:B,2,0)</f>
        <v>925</v>
      </c>
      <c r="S42">
        <f>VLOOKUP(A:A,MASTER!A:G,7,0)</f>
        <v>899</v>
      </c>
      <c r="T42" s="12">
        <f t="shared" si="9"/>
        <v>-2.8108108108108154E-2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47049122.798213489</v>
      </c>
      <c r="G43" s="1">
        <f>VLOOKUP(A:A,MASTER!A:K,11,0)</f>
        <v>52678434.889558271</v>
      </c>
      <c r="H43" s="12">
        <f t="shared" si="5"/>
        <v>0.11964754615060613</v>
      </c>
      <c r="I43" s="2">
        <f>VLOOKUP(A:A,MASTER!A:E,5,0)</f>
        <v>912</v>
      </c>
      <c r="J43" s="2">
        <f>VLOOKUP(A:A,MASTER!A:J,10,0)</f>
        <v>844</v>
      </c>
      <c r="K43" s="12">
        <f t="shared" si="6"/>
        <v>-7.456140350877194E-2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5</v>
      </c>
      <c r="P43" s="1">
        <f>VLOOKUP(A:A,MASTER!A:H,8,0)</f>
        <v>4</v>
      </c>
      <c r="Q43" s="12">
        <f t="shared" si="8"/>
        <v>-0.19999999999999996</v>
      </c>
      <c r="R43" s="1">
        <f>VLOOKUP(A:A,MASTER!A:B,2,0)</f>
        <v>911</v>
      </c>
      <c r="S43">
        <f>VLOOKUP(A:A,MASTER!A:G,7,0)</f>
        <v>836</v>
      </c>
      <c r="T43" s="12">
        <f t="shared" si="9"/>
        <v>-8.2327113062568569E-2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99433137.50619176</v>
      </c>
      <c r="G44" s="1">
        <f>VLOOKUP(A:A,MASTER!A:K,11,0)</f>
        <v>91281670.593864799</v>
      </c>
      <c r="H44" s="12">
        <f t="shared" si="5"/>
        <v>-8.197937947818823E-2</v>
      </c>
      <c r="I44" s="2">
        <f>VLOOKUP(A:A,MASTER!A:E,5,0)</f>
        <v>1254</v>
      </c>
      <c r="J44" s="2">
        <f>VLOOKUP(A:A,MASTER!A:J,10,0)</f>
        <v>1516</v>
      </c>
      <c r="K44" s="12">
        <f t="shared" si="6"/>
        <v>0.20893141945773519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4</v>
      </c>
      <c r="P44" s="1">
        <f>VLOOKUP(A:A,MASTER!A:H,8,0)</f>
        <v>6</v>
      </c>
      <c r="Q44" s="12">
        <f t="shared" si="8"/>
        <v>0.5</v>
      </c>
      <c r="R44" s="1">
        <f>VLOOKUP(A:A,MASTER!A:B,2,0)</f>
        <v>1493</v>
      </c>
      <c r="S44">
        <f>VLOOKUP(A:A,MASTER!A:G,7,0)</f>
        <v>1909</v>
      </c>
      <c r="T44" s="12">
        <f t="shared" si="9"/>
        <v>0.2786336235766913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25746845.029206596</v>
      </c>
      <c r="G45" s="1">
        <f>VLOOKUP(A:A,MASTER!A:K,11,0)</f>
        <v>18880074.493958887</v>
      </c>
      <c r="H45" s="12">
        <f t="shared" si="5"/>
        <v>-0.26670337773261976</v>
      </c>
      <c r="I45" s="2">
        <f>VLOOKUP(A:A,MASTER!A:E,5,0)</f>
        <v>1175</v>
      </c>
      <c r="J45" s="2">
        <f>VLOOKUP(A:A,MASTER!A:J,10,0)</f>
        <v>770</v>
      </c>
      <c r="K45" s="12">
        <f t="shared" si="6"/>
        <v>-0.34468085106382984</v>
      </c>
      <c r="L45" s="2">
        <f>VLOOKUP(A:A,MASTER!A:D,4,0)</f>
        <v>4</v>
      </c>
      <c r="M45" s="2">
        <f>VLOOKUP(A:A,MASTER!A:I,9,0)</f>
        <v>5</v>
      </c>
      <c r="N45" s="12">
        <f t="shared" si="7"/>
        <v>0.25</v>
      </c>
      <c r="O45" s="1">
        <f>VLOOKUP(A:A,MASTER!A:C,3,0)</f>
        <v>4</v>
      </c>
      <c r="P45" s="1">
        <f>VLOOKUP(A:A,MASTER!A:H,8,0)</f>
        <v>10</v>
      </c>
      <c r="Q45" s="12">
        <f t="shared" si="8"/>
        <v>1.5</v>
      </c>
      <c r="R45" s="1">
        <f>VLOOKUP(A:A,MASTER!A:B,2,0)</f>
        <v>1188</v>
      </c>
      <c r="S45">
        <f>VLOOKUP(A:A,MASTER!A:G,7,0)</f>
        <v>716</v>
      </c>
      <c r="T45" s="12">
        <f t="shared" si="9"/>
        <v>-0.39730639730639727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56300042.246015519</v>
      </c>
      <c r="G46" s="1">
        <f>VLOOKUP(A:A,MASTER!A:K,11,0)</f>
        <v>54978927.806987256</v>
      </c>
      <c r="H46" s="12">
        <f t="shared" si="5"/>
        <v>-2.3465602978686273E-2</v>
      </c>
      <c r="I46" s="2">
        <f>VLOOKUP(A:A,MASTER!A:E,5,0)</f>
        <v>929</v>
      </c>
      <c r="J46" s="2">
        <f>VLOOKUP(A:A,MASTER!A:J,10,0)</f>
        <v>802</v>
      </c>
      <c r="K46" s="12">
        <f t="shared" si="6"/>
        <v>-0.13670613562970935</v>
      </c>
      <c r="L46" s="2">
        <f>VLOOKUP(A:A,MASTER!A:D,4,0)</f>
        <v>9</v>
      </c>
      <c r="M46" s="2">
        <f>VLOOKUP(A:A,MASTER!A:I,9,0)</f>
        <v>10</v>
      </c>
      <c r="N46" s="12">
        <f t="shared" si="7"/>
        <v>0.11111111111111116</v>
      </c>
      <c r="O46" s="1">
        <f>VLOOKUP(A:A,MASTER!A:C,3,0)</f>
        <v>16</v>
      </c>
      <c r="P46" s="1">
        <f>VLOOKUP(A:A,MASTER!A:H,8,0)</f>
        <v>13</v>
      </c>
      <c r="Q46" s="12">
        <f t="shared" si="8"/>
        <v>-0.1875</v>
      </c>
      <c r="R46" s="1">
        <f>VLOOKUP(A:A,MASTER!A:B,2,0)</f>
        <v>973</v>
      </c>
      <c r="S46">
        <f>VLOOKUP(A:A,MASTER!A:G,7,0)</f>
        <v>928</v>
      </c>
      <c r="T46" s="12">
        <f t="shared" si="9"/>
        <v>-4.6248715313463529E-2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111781</v>
      </c>
      <c r="C3" s="11">
        <f t="shared" si="0"/>
        <v>3732</v>
      </c>
      <c r="D3" s="11">
        <f t="shared" si="0"/>
        <v>486</v>
      </c>
      <c r="E3" s="11">
        <f t="shared" si="0"/>
        <v>92684</v>
      </c>
      <c r="F3" s="11">
        <f t="shared" si="0"/>
        <v>4831328144.1681242</v>
      </c>
      <c r="G3" s="11">
        <f t="shared" si="0"/>
        <v>107819</v>
      </c>
      <c r="H3" s="11">
        <f t="shared" si="0"/>
        <v>3931</v>
      </c>
      <c r="I3" s="11">
        <f t="shared" si="0"/>
        <v>502</v>
      </c>
      <c r="J3" s="11">
        <f t="shared" si="0"/>
        <v>92692</v>
      </c>
      <c r="K3" s="11">
        <f t="shared" si="0"/>
        <v>4772928608.0565023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3181</v>
      </c>
      <c r="C6" s="10">
        <v>4</v>
      </c>
      <c r="D6" s="10">
        <v>4</v>
      </c>
      <c r="E6" s="10">
        <v>528</v>
      </c>
      <c r="F6" s="10">
        <v>22706198.507917114</v>
      </c>
      <c r="G6" s="10">
        <v>1157</v>
      </c>
      <c r="H6" s="10">
        <v>3</v>
      </c>
      <c r="I6" s="10">
        <v>3</v>
      </c>
      <c r="J6" s="10">
        <v>208</v>
      </c>
      <c r="K6" s="10">
        <v>15640039.708191812</v>
      </c>
    </row>
    <row r="7" spans="1:11" x14ac:dyDescent="0.35">
      <c r="A7" s="9" t="s">
        <v>95</v>
      </c>
      <c r="B7" s="10">
        <v>1339</v>
      </c>
      <c r="C7" s="10">
        <v>8</v>
      </c>
      <c r="D7" s="10">
        <v>4</v>
      </c>
      <c r="E7" s="10">
        <v>641</v>
      </c>
      <c r="F7" s="10">
        <v>23901514.608987652</v>
      </c>
      <c r="G7" s="10">
        <v>888</v>
      </c>
      <c r="H7" s="10">
        <v>10</v>
      </c>
      <c r="I7" s="10">
        <v>5</v>
      </c>
      <c r="J7" s="10">
        <v>1121</v>
      </c>
      <c r="K7" s="10">
        <v>25501376.56057765</v>
      </c>
    </row>
    <row r="8" spans="1:11" x14ac:dyDescent="0.35">
      <c r="A8" s="9" t="s">
        <v>91</v>
      </c>
      <c r="B8" s="10">
        <v>1656</v>
      </c>
      <c r="C8" s="10">
        <v>14</v>
      </c>
      <c r="D8" s="10">
        <v>2</v>
      </c>
      <c r="E8" s="10">
        <v>1379</v>
      </c>
      <c r="F8" s="10">
        <v>40376835.832942232</v>
      </c>
      <c r="G8" s="10">
        <v>1378</v>
      </c>
      <c r="H8" s="10">
        <v>8</v>
      </c>
      <c r="I8" s="10">
        <v>2</v>
      </c>
      <c r="J8" s="10">
        <v>1212</v>
      </c>
      <c r="K8" s="10">
        <v>31748372.151488326</v>
      </c>
    </row>
    <row r="9" spans="1:11" x14ac:dyDescent="0.35">
      <c r="A9" s="9" t="s">
        <v>92</v>
      </c>
      <c r="B9" s="10">
        <v>1779</v>
      </c>
      <c r="C9" s="10">
        <v>16</v>
      </c>
      <c r="D9" s="10">
        <v>4</v>
      </c>
      <c r="E9" s="10">
        <v>1479</v>
      </c>
      <c r="F9" s="10">
        <v>68627522.607576832</v>
      </c>
      <c r="G9" s="10">
        <v>1631</v>
      </c>
      <c r="H9" s="10">
        <v>10</v>
      </c>
      <c r="I9" s="10">
        <v>3</v>
      </c>
      <c r="J9" s="10">
        <v>1335</v>
      </c>
      <c r="K9" s="10">
        <v>58531676.63603963</v>
      </c>
    </row>
    <row r="10" spans="1:11" x14ac:dyDescent="0.35">
      <c r="A10" s="9" t="s">
        <v>93</v>
      </c>
      <c r="B10" s="10">
        <v>1452</v>
      </c>
      <c r="C10" s="10">
        <v>8</v>
      </c>
      <c r="D10" s="10">
        <v>4</v>
      </c>
      <c r="E10" s="10">
        <v>1387</v>
      </c>
      <c r="F10" s="10">
        <v>62436472.20527713</v>
      </c>
      <c r="G10" s="10">
        <v>1328</v>
      </c>
      <c r="H10" s="10">
        <v>9</v>
      </c>
      <c r="I10" s="10">
        <v>4</v>
      </c>
      <c r="J10" s="10">
        <v>1301</v>
      </c>
      <c r="K10" s="10">
        <v>59613834.89953348</v>
      </c>
    </row>
    <row r="11" spans="1:11" x14ac:dyDescent="0.35">
      <c r="A11" s="9" t="s">
        <v>94</v>
      </c>
      <c r="B11" s="10">
        <v>1032</v>
      </c>
      <c r="C11" s="10">
        <v>14</v>
      </c>
      <c r="D11" s="10">
        <v>8</v>
      </c>
      <c r="E11" s="10">
        <v>749</v>
      </c>
      <c r="F11" s="10">
        <v>45393739.070067912</v>
      </c>
      <c r="G11" s="10">
        <v>968</v>
      </c>
      <c r="H11" s="10">
        <v>5</v>
      </c>
      <c r="I11" s="10">
        <v>8</v>
      </c>
      <c r="J11" s="10">
        <v>739</v>
      </c>
      <c r="K11" s="10">
        <v>38843042.626374297</v>
      </c>
    </row>
    <row r="12" spans="1:11" x14ac:dyDescent="0.35">
      <c r="A12" s="9" t="s">
        <v>97</v>
      </c>
      <c r="B12" s="10">
        <v>1493</v>
      </c>
      <c r="C12" s="10">
        <v>21</v>
      </c>
      <c r="D12" s="10">
        <v>3</v>
      </c>
      <c r="E12" s="10">
        <v>1025</v>
      </c>
      <c r="F12" s="10">
        <v>44268689.042923838</v>
      </c>
      <c r="G12" s="10">
        <v>1344</v>
      </c>
      <c r="H12" s="10">
        <v>17</v>
      </c>
      <c r="I12" s="10">
        <v>2</v>
      </c>
      <c r="J12" s="10">
        <v>977</v>
      </c>
      <c r="K12" s="10">
        <v>41530505.243397363</v>
      </c>
    </row>
    <row r="13" spans="1:11" x14ac:dyDescent="0.35">
      <c r="A13" s="9" t="s">
        <v>98</v>
      </c>
      <c r="B13" s="10">
        <v>837</v>
      </c>
      <c r="C13" s="10">
        <v>8</v>
      </c>
      <c r="D13" s="10">
        <v>2</v>
      </c>
      <c r="E13" s="10">
        <v>734</v>
      </c>
      <c r="F13" s="10">
        <v>41531015.268634737</v>
      </c>
      <c r="G13" s="10">
        <v>769</v>
      </c>
      <c r="H13" s="10">
        <v>13</v>
      </c>
      <c r="I13" s="10">
        <v>3</v>
      </c>
      <c r="J13" s="10">
        <v>764</v>
      </c>
      <c r="K13" s="10">
        <v>41236589.9915324</v>
      </c>
    </row>
    <row r="14" spans="1:11" x14ac:dyDescent="0.35">
      <c r="A14" s="9" t="s">
        <v>102</v>
      </c>
      <c r="B14" s="10">
        <v>499</v>
      </c>
      <c r="C14" s="10">
        <v>9</v>
      </c>
      <c r="D14" s="10">
        <v>2</v>
      </c>
      <c r="E14" s="10">
        <v>546</v>
      </c>
      <c r="F14" s="10">
        <v>25545073.311987501</v>
      </c>
      <c r="G14" s="10">
        <v>450</v>
      </c>
      <c r="H14" s="10">
        <v>7</v>
      </c>
      <c r="I14" s="10">
        <v>2</v>
      </c>
      <c r="J14" s="10">
        <v>558</v>
      </c>
      <c r="K14" s="10">
        <v>24241969.144232806</v>
      </c>
    </row>
    <row r="15" spans="1:11" x14ac:dyDescent="0.35">
      <c r="A15" s="9" t="s">
        <v>99</v>
      </c>
      <c r="B15" s="10">
        <v>1407</v>
      </c>
      <c r="C15" s="10">
        <v>17</v>
      </c>
      <c r="D15" s="10">
        <v>2</v>
      </c>
      <c r="E15" s="10">
        <v>1122</v>
      </c>
      <c r="F15" s="10">
        <v>44000333.60490194</v>
      </c>
      <c r="G15" s="10">
        <v>1292</v>
      </c>
      <c r="H15" s="10">
        <v>16</v>
      </c>
      <c r="I15" s="10">
        <v>1</v>
      </c>
      <c r="J15" s="10">
        <v>1029</v>
      </c>
      <c r="K15" s="10">
        <v>42345505.480832353</v>
      </c>
    </row>
    <row r="16" spans="1:11" x14ac:dyDescent="0.35">
      <c r="A16" s="9" t="s">
        <v>103</v>
      </c>
      <c r="B16" s="10">
        <v>1028</v>
      </c>
      <c r="C16" s="10">
        <v>1</v>
      </c>
      <c r="D16" s="10">
        <v>2</v>
      </c>
      <c r="E16" s="10">
        <v>1050</v>
      </c>
      <c r="F16" s="10">
        <v>29860285.562810346</v>
      </c>
      <c r="G16" s="10">
        <v>960</v>
      </c>
      <c r="H16" s="10">
        <v>7</v>
      </c>
      <c r="I16" s="10">
        <v>2</v>
      </c>
      <c r="J16" s="10">
        <v>1046</v>
      </c>
      <c r="K16" s="10">
        <v>28638802.310953945</v>
      </c>
    </row>
    <row r="17" spans="1:11" x14ac:dyDescent="0.35">
      <c r="A17" s="9" t="s">
        <v>104</v>
      </c>
      <c r="B17" s="10">
        <v>746</v>
      </c>
      <c r="C17" s="10">
        <v>9</v>
      </c>
      <c r="D17" s="10">
        <v>1</v>
      </c>
      <c r="E17" s="10">
        <v>760</v>
      </c>
      <c r="F17" s="10">
        <v>30620344.038392685</v>
      </c>
      <c r="G17" s="10">
        <v>718</v>
      </c>
      <c r="H17" s="10">
        <v>8</v>
      </c>
      <c r="I17" s="10">
        <v>1</v>
      </c>
      <c r="J17" s="10">
        <v>760</v>
      </c>
      <c r="K17" s="10">
        <v>30277759.017656319</v>
      </c>
    </row>
    <row r="18" spans="1:11" x14ac:dyDescent="0.35">
      <c r="A18" s="9" t="s">
        <v>19</v>
      </c>
      <c r="B18" s="10">
        <v>1585</v>
      </c>
      <c r="C18" s="10">
        <v>15</v>
      </c>
      <c r="D18" s="10">
        <v>7</v>
      </c>
      <c r="E18" s="10">
        <v>1347</v>
      </c>
      <c r="F18" s="10">
        <v>53259841.153953142</v>
      </c>
      <c r="G18" s="10">
        <v>1577</v>
      </c>
      <c r="H18" s="10">
        <v>4</v>
      </c>
      <c r="I18" s="10">
        <v>7</v>
      </c>
      <c r="J18" s="10">
        <v>1180</v>
      </c>
      <c r="K18" s="10">
        <v>53395767.376050606</v>
      </c>
    </row>
    <row r="19" spans="1:11" x14ac:dyDescent="0.35">
      <c r="A19" s="9" t="s">
        <v>40</v>
      </c>
      <c r="B19" s="10">
        <v>1113</v>
      </c>
      <c r="C19" s="10">
        <v>1</v>
      </c>
      <c r="D19" s="10">
        <v>6</v>
      </c>
      <c r="E19" s="10">
        <v>870</v>
      </c>
      <c r="F19" s="10">
        <v>67130807.692073062</v>
      </c>
      <c r="G19" s="10">
        <v>1308</v>
      </c>
      <c r="H19" s="10">
        <v>8</v>
      </c>
      <c r="I19" s="10">
        <v>5</v>
      </c>
      <c r="J19" s="10">
        <v>1081</v>
      </c>
      <c r="K19" s="10">
        <v>56580727.592600919</v>
      </c>
    </row>
    <row r="20" spans="1:11" x14ac:dyDescent="0.35">
      <c r="A20" s="9" t="s">
        <v>41</v>
      </c>
      <c r="B20" s="10">
        <v>1846</v>
      </c>
      <c r="C20" s="10">
        <v>20</v>
      </c>
      <c r="D20" s="10">
        <v>9</v>
      </c>
      <c r="E20" s="10">
        <v>1540</v>
      </c>
      <c r="F20" s="10">
        <v>57115396.398843586</v>
      </c>
      <c r="G20" s="10">
        <v>1525</v>
      </c>
      <c r="H20" s="10">
        <v>9</v>
      </c>
      <c r="I20" s="10">
        <v>6</v>
      </c>
      <c r="J20" s="10">
        <v>1604</v>
      </c>
      <c r="K20" s="10">
        <v>54810475.269613102</v>
      </c>
    </row>
    <row r="21" spans="1:11" x14ac:dyDescent="0.35">
      <c r="A21" s="9" t="s">
        <v>42</v>
      </c>
      <c r="B21" s="10">
        <v>890</v>
      </c>
      <c r="C21" s="10">
        <v>7</v>
      </c>
      <c r="D21" s="10">
        <v>5</v>
      </c>
      <c r="E21" s="10">
        <v>716</v>
      </c>
      <c r="F21" s="10">
        <v>33927280.482837565</v>
      </c>
      <c r="G21" s="10">
        <v>954</v>
      </c>
      <c r="H21" s="10">
        <v>5</v>
      </c>
      <c r="I21" s="10">
        <v>5</v>
      </c>
      <c r="J21" s="10">
        <v>809</v>
      </c>
      <c r="K21" s="10">
        <v>33716108.902662449</v>
      </c>
    </row>
    <row r="22" spans="1:11" x14ac:dyDescent="0.35">
      <c r="A22" s="9" t="s">
        <v>43</v>
      </c>
      <c r="B22" s="10">
        <v>2981</v>
      </c>
      <c r="C22" s="10">
        <v>315</v>
      </c>
      <c r="D22" s="10">
        <v>12</v>
      </c>
      <c r="E22" s="10">
        <v>2345</v>
      </c>
      <c r="F22" s="10">
        <v>124534247.27586645</v>
      </c>
      <c r="G22" s="10">
        <v>2937</v>
      </c>
      <c r="H22" s="10">
        <v>397</v>
      </c>
      <c r="I22" s="10">
        <v>12</v>
      </c>
      <c r="J22" s="10">
        <v>603</v>
      </c>
      <c r="K22" s="10">
        <v>121357074.08314846</v>
      </c>
    </row>
    <row r="23" spans="1:11" x14ac:dyDescent="0.35">
      <c r="A23" s="9" t="s">
        <v>44</v>
      </c>
      <c r="B23" s="10">
        <v>1361</v>
      </c>
      <c r="C23" s="10">
        <v>9</v>
      </c>
      <c r="D23" s="10">
        <v>3</v>
      </c>
      <c r="E23" s="10">
        <v>1306</v>
      </c>
      <c r="F23" s="10">
        <v>65605946.6100576</v>
      </c>
      <c r="G23" s="10">
        <v>1427</v>
      </c>
      <c r="H23" s="10">
        <v>7</v>
      </c>
      <c r="I23" s="10">
        <v>4</v>
      </c>
      <c r="J23" s="10">
        <v>2105</v>
      </c>
      <c r="K23" s="10">
        <v>66351687.758780919</v>
      </c>
    </row>
    <row r="24" spans="1:11" x14ac:dyDescent="0.35">
      <c r="A24" s="9" t="s">
        <v>45</v>
      </c>
      <c r="B24" s="10">
        <v>2518</v>
      </c>
      <c r="C24" s="10">
        <v>11</v>
      </c>
      <c r="D24" s="10">
        <v>13</v>
      </c>
      <c r="E24" s="10">
        <v>2098</v>
      </c>
      <c r="F24" s="10">
        <v>116616357.97645172</v>
      </c>
      <c r="G24" s="10">
        <v>2641</v>
      </c>
      <c r="H24" s="10">
        <v>9</v>
      </c>
      <c r="I24" s="10">
        <v>13</v>
      </c>
      <c r="J24" s="10">
        <v>1297</v>
      </c>
      <c r="K24" s="10">
        <v>116043914.57510331</v>
      </c>
    </row>
    <row r="25" spans="1:11" x14ac:dyDescent="0.35">
      <c r="A25" s="9" t="s">
        <v>51</v>
      </c>
      <c r="B25" s="10">
        <v>645</v>
      </c>
      <c r="C25" s="10">
        <v>3</v>
      </c>
      <c r="D25" s="10">
        <v>2</v>
      </c>
      <c r="E25" s="10">
        <v>707</v>
      </c>
      <c r="F25" s="10">
        <v>21336017.052034087</v>
      </c>
      <c r="G25" s="10">
        <v>574</v>
      </c>
      <c r="H25" s="10">
        <v>1</v>
      </c>
      <c r="I25" s="10">
        <v>2</v>
      </c>
      <c r="J25" s="10">
        <v>908</v>
      </c>
      <c r="K25" s="10">
        <v>22249998.418960098</v>
      </c>
    </row>
    <row r="26" spans="1:11" x14ac:dyDescent="0.35">
      <c r="A26" s="9" t="s">
        <v>54</v>
      </c>
      <c r="B26" s="10">
        <v>2506</v>
      </c>
      <c r="C26" s="10">
        <v>30</v>
      </c>
      <c r="D26" s="10">
        <v>3</v>
      </c>
      <c r="E26" s="10">
        <v>2029</v>
      </c>
      <c r="F26" s="10">
        <v>66549853.941969395</v>
      </c>
      <c r="G26" s="10">
        <v>2382</v>
      </c>
      <c r="H26" s="10">
        <v>26</v>
      </c>
      <c r="I26" s="10">
        <v>2</v>
      </c>
      <c r="J26" s="10">
        <v>2181</v>
      </c>
      <c r="K26" s="10">
        <v>70338284.088307589</v>
      </c>
    </row>
    <row r="27" spans="1:11" x14ac:dyDescent="0.35">
      <c r="A27" s="9" t="s">
        <v>52</v>
      </c>
      <c r="B27" s="10">
        <v>991</v>
      </c>
      <c r="C27" s="10">
        <v>14</v>
      </c>
      <c r="D27" s="10">
        <v>1</v>
      </c>
      <c r="E27" s="10">
        <v>936</v>
      </c>
      <c r="F27" s="10">
        <v>23042059.597932164</v>
      </c>
      <c r="G27" s="10">
        <v>926</v>
      </c>
      <c r="H27" s="10">
        <v>10</v>
      </c>
      <c r="I27" s="10">
        <v>2</v>
      </c>
      <c r="J27" s="10">
        <v>962</v>
      </c>
      <c r="K27" s="10">
        <v>27566820.965657964</v>
      </c>
    </row>
    <row r="28" spans="1:11" x14ac:dyDescent="0.35">
      <c r="A28" s="9" t="s">
        <v>53</v>
      </c>
      <c r="B28" s="10">
        <v>895</v>
      </c>
      <c r="C28" s="10">
        <v>5</v>
      </c>
      <c r="D28" s="10">
        <v>1</v>
      </c>
      <c r="E28" s="10">
        <v>699</v>
      </c>
      <c r="F28" s="10">
        <v>27898540.703918267</v>
      </c>
      <c r="G28" s="10">
        <v>971</v>
      </c>
      <c r="H28" s="10">
        <v>3</v>
      </c>
      <c r="I28" s="10">
        <v>1</v>
      </c>
      <c r="J28" s="10">
        <v>728</v>
      </c>
      <c r="K28" s="10">
        <v>27621809.906057775</v>
      </c>
    </row>
    <row r="29" spans="1:11" x14ac:dyDescent="0.35">
      <c r="A29" s="9" t="s">
        <v>57</v>
      </c>
      <c r="B29" s="10">
        <v>222</v>
      </c>
      <c r="C29" s="10">
        <v>1</v>
      </c>
      <c r="D29" s="10">
        <v>0</v>
      </c>
      <c r="E29" s="10">
        <v>197</v>
      </c>
      <c r="F29" s="10">
        <v>7220866.679581685</v>
      </c>
      <c r="G29" s="10">
        <v>233</v>
      </c>
      <c r="H29" s="10">
        <v>0</v>
      </c>
      <c r="I29" s="10">
        <v>0</v>
      </c>
      <c r="J29" s="10">
        <v>185</v>
      </c>
      <c r="K29" s="10">
        <v>8863127.2948208507</v>
      </c>
    </row>
    <row r="30" spans="1:11" x14ac:dyDescent="0.35">
      <c r="A30" s="9" t="s">
        <v>86</v>
      </c>
      <c r="B30" s="10">
        <v>2030</v>
      </c>
      <c r="C30" s="10">
        <v>10</v>
      </c>
      <c r="D30" s="10">
        <v>11</v>
      </c>
      <c r="E30" s="10">
        <v>1755</v>
      </c>
      <c r="F30" s="10">
        <v>65703538.097726606</v>
      </c>
      <c r="G30" s="10">
        <v>1885</v>
      </c>
      <c r="H30" s="10">
        <v>12</v>
      </c>
      <c r="I30" s="10">
        <v>11</v>
      </c>
      <c r="J30" s="10">
        <v>1711</v>
      </c>
      <c r="K30" s="10">
        <v>65166260.658488065</v>
      </c>
    </row>
    <row r="31" spans="1:11" x14ac:dyDescent="0.35">
      <c r="A31" s="9" t="s">
        <v>87</v>
      </c>
      <c r="B31" s="10">
        <v>983</v>
      </c>
      <c r="C31" s="10">
        <v>4</v>
      </c>
      <c r="D31" s="10">
        <v>1</v>
      </c>
      <c r="E31" s="10">
        <v>803</v>
      </c>
      <c r="F31" s="10">
        <v>55867870.312244773</v>
      </c>
      <c r="G31" s="10">
        <v>1043</v>
      </c>
      <c r="H31" s="10">
        <v>2</v>
      </c>
      <c r="I31" s="10">
        <v>0</v>
      </c>
      <c r="J31" s="10">
        <v>798</v>
      </c>
      <c r="K31" s="10">
        <v>58612017.985209405</v>
      </c>
    </row>
    <row r="32" spans="1:11" x14ac:dyDescent="0.35">
      <c r="A32" s="9" t="s">
        <v>88</v>
      </c>
      <c r="B32" s="10">
        <v>1116</v>
      </c>
      <c r="C32" s="10">
        <v>4</v>
      </c>
      <c r="D32" s="10">
        <v>4</v>
      </c>
      <c r="E32" s="10">
        <v>977</v>
      </c>
      <c r="F32" s="10">
        <v>53865730.433929287</v>
      </c>
      <c r="G32" s="10">
        <v>1134</v>
      </c>
      <c r="H32" s="10">
        <v>10</v>
      </c>
      <c r="I32" s="10">
        <v>6</v>
      </c>
      <c r="J32" s="10">
        <v>1009</v>
      </c>
      <c r="K32" s="10">
        <v>58699878.116846681</v>
      </c>
    </row>
    <row r="33" spans="1:11" x14ac:dyDescent="0.35">
      <c r="A33" s="9" t="s">
        <v>89</v>
      </c>
      <c r="B33" s="10">
        <v>1468</v>
      </c>
      <c r="C33" s="10">
        <v>2</v>
      </c>
      <c r="D33" s="10">
        <v>5</v>
      </c>
      <c r="E33" s="10">
        <v>1171</v>
      </c>
      <c r="F33" s="10">
        <v>78731847.367159516</v>
      </c>
      <c r="G33" s="10">
        <v>1543</v>
      </c>
      <c r="H33" s="10">
        <v>5</v>
      </c>
      <c r="I33" s="10">
        <v>4</v>
      </c>
      <c r="J33" s="10">
        <v>1271</v>
      </c>
      <c r="K33" s="10">
        <v>81076793.969646916</v>
      </c>
    </row>
    <row r="34" spans="1:11" x14ac:dyDescent="0.35">
      <c r="A34" s="9" t="s">
        <v>15</v>
      </c>
      <c r="B34" s="10">
        <v>1471</v>
      </c>
      <c r="C34" s="10">
        <v>7</v>
      </c>
      <c r="D34" s="10">
        <v>3</v>
      </c>
      <c r="E34" s="10">
        <v>1280</v>
      </c>
      <c r="F34" s="10">
        <v>72666126.391155049</v>
      </c>
      <c r="G34" s="10">
        <v>1545</v>
      </c>
      <c r="H34" s="10">
        <v>9</v>
      </c>
      <c r="I34" s="10">
        <v>4</v>
      </c>
      <c r="J34" s="10">
        <v>1299</v>
      </c>
      <c r="K34" s="10">
        <v>78687538.248016536</v>
      </c>
    </row>
    <row r="35" spans="1:11" x14ac:dyDescent="0.35">
      <c r="A35" s="9" t="s">
        <v>17</v>
      </c>
      <c r="B35" s="10">
        <v>863</v>
      </c>
      <c r="C35" s="10">
        <v>4</v>
      </c>
      <c r="D35" s="10">
        <v>4</v>
      </c>
      <c r="E35" s="10">
        <v>754</v>
      </c>
      <c r="F35" s="10">
        <v>35715707.163814791</v>
      </c>
      <c r="G35" s="10">
        <v>703</v>
      </c>
      <c r="H35" s="10">
        <v>1</v>
      </c>
      <c r="I35" s="10">
        <v>2</v>
      </c>
      <c r="J35" s="10">
        <v>644</v>
      </c>
      <c r="K35" s="10">
        <v>19475585.584991194</v>
      </c>
    </row>
    <row r="36" spans="1:11" x14ac:dyDescent="0.35">
      <c r="A36" s="9" t="s">
        <v>38</v>
      </c>
      <c r="B36" s="10">
        <v>1995</v>
      </c>
      <c r="C36" s="10">
        <v>5</v>
      </c>
      <c r="D36" s="10">
        <v>9</v>
      </c>
      <c r="E36" s="10">
        <v>1746</v>
      </c>
      <c r="F36" s="10">
        <v>75920708.875520036</v>
      </c>
      <c r="G36" s="10">
        <v>1834</v>
      </c>
      <c r="H36" s="10">
        <v>11</v>
      </c>
      <c r="I36" s="10">
        <v>11</v>
      </c>
      <c r="J36" s="10">
        <v>1635</v>
      </c>
      <c r="K36" s="10">
        <v>85212326.087076664</v>
      </c>
    </row>
    <row r="37" spans="1:11" x14ac:dyDescent="0.35">
      <c r="A37" s="9" t="s">
        <v>108</v>
      </c>
      <c r="B37" s="10">
        <v>1148</v>
      </c>
      <c r="C37" s="10">
        <v>8</v>
      </c>
      <c r="D37" s="10">
        <v>5</v>
      </c>
      <c r="E37" s="10">
        <v>1036</v>
      </c>
      <c r="F37" s="10">
        <v>48579440.269867823</v>
      </c>
      <c r="G37" s="10">
        <v>1140</v>
      </c>
      <c r="H37" s="10">
        <v>3</v>
      </c>
      <c r="I37" s="10">
        <v>5</v>
      </c>
      <c r="J37" s="10">
        <v>986</v>
      </c>
      <c r="K37" s="10">
        <v>46864871.635133006</v>
      </c>
    </row>
    <row r="38" spans="1:11" x14ac:dyDescent="0.35">
      <c r="A38" s="9" t="s">
        <v>106</v>
      </c>
      <c r="B38" s="10">
        <v>1325</v>
      </c>
      <c r="C38" s="10">
        <v>9</v>
      </c>
      <c r="D38" s="10">
        <v>2</v>
      </c>
      <c r="E38" s="10">
        <v>631</v>
      </c>
      <c r="F38" s="10">
        <v>54931145.1113635</v>
      </c>
      <c r="G38" s="10">
        <v>1359</v>
      </c>
      <c r="H38" s="10">
        <v>11</v>
      </c>
      <c r="I38" s="10">
        <v>4</v>
      </c>
      <c r="J38" s="10">
        <v>1064</v>
      </c>
      <c r="K38" s="10">
        <v>50902671.796492927</v>
      </c>
    </row>
    <row r="39" spans="1:11" x14ac:dyDescent="0.35">
      <c r="A39" s="9" t="s">
        <v>110</v>
      </c>
      <c r="B39" s="10">
        <v>2363</v>
      </c>
      <c r="C39" s="10">
        <v>15</v>
      </c>
      <c r="D39" s="10">
        <v>4</v>
      </c>
      <c r="E39" s="10">
        <v>1942</v>
      </c>
      <c r="F39" s="10">
        <v>95805096.528354242</v>
      </c>
      <c r="G39" s="10">
        <v>2099</v>
      </c>
      <c r="H39" s="10">
        <v>22</v>
      </c>
      <c r="I39" s="10">
        <v>5</v>
      </c>
      <c r="J39" s="10">
        <v>1815</v>
      </c>
      <c r="K39" s="10">
        <v>94800040.72511813</v>
      </c>
    </row>
    <row r="40" spans="1:11" x14ac:dyDescent="0.35">
      <c r="A40" s="9" t="s">
        <v>2</v>
      </c>
      <c r="B40" s="10">
        <v>2116</v>
      </c>
      <c r="C40" s="10">
        <v>894</v>
      </c>
      <c r="D40" s="10">
        <v>4</v>
      </c>
      <c r="E40" s="10">
        <v>1321</v>
      </c>
      <c r="F40" s="10">
        <v>67823187.525844708</v>
      </c>
      <c r="G40" s="10">
        <v>2186</v>
      </c>
      <c r="H40" s="10">
        <v>906</v>
      </c>
      <c r="I40" s="10">
        <v>4</v>
      </c>
      <c r="J40" s="10">
        <v>1219</v>
      </c>
      <c r="K40" s="10">
        <v>68421270.241600722</v>
      </c>
    </row>
    <row r="41" spans="1:11" x14ac:dyDescent="0.35">
      <c r="A41" s="9" t="s">
        <v>112</v>
      </c>
      <c r="B41" s="10">
        <v>3815</v>
      </c>
      <c r="C41" s="10">
        <v>707</v>
      </c>
      <c r="D41" s="10">
        <v>7</v>
      </c>
      <c r="E41" s="10">
        <v>2915</v>
      </c>
      <c r="F41" s="10">
        <v>131090723.7392053</v>
      </c>
      <c r="G41" s="10">
        <v>3629</v>
      </c>
      <c r="H41" s="10">
        <v>790</v>
      </c>
      <c r="I41" s="10">
        <v>8</v>
      </c>
      <c r="J41" s="10">
        <v>2629</v>
      </c>
      <c r="K41" s="10">
        <v>128078182.38848519</v>
      </c>
    </row>
    <row r="42" spans="1:11" x14ac:dyDescent="0.35">
      <c r="A42" s="9" t="s">
        <v>13</v>
      </c>
      <c r="B42" s="10">
        <v>592</v>
      </c>
      <c r="C42" s="10">
        <v>1</v>
      </c>
      <c r="D42" s="10">
        <v>11</v>
      </c>
      <c r="E42" s="10">
        <v>526</v>
      </c>
      <c r="F42" s="10">
        <v>33727460.590201229</v>
      </c>
      <c r="G42" s="10">
        <v>640</v>
      </c>
      <c r="H42" s="10">
        <v>8</v>
      </c>
      <c r="I42" s="10">
        <v>11</v>
      </c>
      <c r="J42" s="10">
        <v>513</v>
      </c>
      <c r="K42" s="10">
        <v>29052831.458383631</v>
      </c>
    </row>
    <row r="43" spans="1:11" x14ac:dyDescent="0.35">
      <c r="A43" s="9" t="s">
        <v>7</v>
      </c>
      <c r="B43" s="10">
        <v>3016</v>
      </c>
      <c r="C43" s="10">
        <v>11</v>
      </c>
      <c r="D43" s="10">
        <v>9</v>
      </c>
      <c r="E43" s="10">
        <v>2600</v>
      </c>
      <c r="F43" s="10">
        <v>117334174.36398043</v>
      </c>
      <c r="G43" s="10">
        <v>2859</v>
      </c>
      <c r="H43" s="10">
        <v>10</v>
      </c>
      <c r="I43" s="10">
        <v>10</v>
      </c>
      <c r="J43" s="10">
        <v>2751</v>
      </c>
      <c r="K43" s="10">
        <v>126999585.98153727</v>
      </c>
    </row>
    <row r="44" spans="1:11" x14ac:dyDescent="0.35">
      <c r="A44" s="9" t="s">
        <v>34</v>
      </c>
      <c r="B44" s="10">
        <v>1055</v>
      </c>
      <c r="C44" s="10">
        <v>7</v>
      </c>
      <c r="D44" s="10">
        <v>7</v>
      </c>
      <c r="E44" s="10">
        <v>899</v>
      </c>
      <c r="F44" s="10">
        <v>73126815.193005607</v>
      </c>
      <c r="G44" s="10">
        <v>1080</v>
      </c>
      <c r="H44" s="10">
        <v>12</v>
      </c>
      <c r="I44" s="10">
        <v>7</v>
      </c>
      <c r="J44" s="10">
        <v>1137</v>
      </c>
      <c r="K44" s="10">
        <v>72651029.713535532</v>
      </c>
    </row>
    <row r="45" spans="1:11" x14ac:dyDescent="0.35">
      <c r="A45" s="9" t="s">
        <v>5</v>
      </c>
      <c r="B45" s="10">
        <v>1494</v>
      </c>
      <c r="C45" s="10">
        <v>8</v>
      </c>
      <c r="D45" s="10">
        <v>9</v>
      </c>
      <c r="E45" s="10">
        <v>1361</v>
      </c>
      <c r="F45" s="10">
        <v>66937170.743653879</v>
      </c>
      <c r="G45" s="10">
        <v>1439</v>
      </c>
      <c r="H45" s="10">
        <v>5</v>
      </c>
      <c r="I45" s="10">
        <v>11</v>
      </c>
      <c r="J45" s="10">
        <v>1309</v>
      </c>
      <c r="K45" s="10">
        <v>65956819.700045258</v>
      </c>
    </row>
    <row r="46" spans="1:11" x14ac:dyDescent="0.35">
      <c r="A46" s="9" t="s">
        <v>36</v>
      </c>
      <c r="B46" s="10">
        <v>782</v>
      </c>
      <c r="C46" s="10">
        <v>4</v>
      </c>
      <c r="D46" s="10">
        <v>6</v>
      </c>
      <c r="E46" s="10">
        <v>680</v>
      </c>
      <c r="F46" s="10">
        <v>52481056.370182104</v>
      </c>
      <c r="G46" s="10">
        <v>839</v>
      </c>
      <c r="H46" s="10">
        <v>9</v>
      </c>
      <c r="I46" s="10">
        <v>8</v>
      </c>
      <c r="J46" s="10">
        <v>647</v>
      </c>
      <c r="K46" s="10">
        <v>51510666.321065687</v>
      </c>
    </row>
    <row r="47" spans="1:11" x14ac:dyDescent="0.35">
      <c r="A47" s="9" t="s">
        <v>114</v>
      </c>
      <c r="B47" s="10">
        <v>1252</v>
      </c>
      <c r="C47" s="10">
        <v>3</v>
      </c>
      <c r="D47" s="10">
        <v>10</v>
      </c>
      <c r="E47" s="10">
        <v>1124</v>
      </c>
      <c r="F47" s="10">
        <v>49182166.915348545</v>
      </c>
      <c r="G47" s="10">
        <v>1169</v>
      </c>
      <c r="H47" s="10">
        <v>4</v>
      </c>
      <c r="I47" s="10">
        <v>8</v>
      </c>
      <c r="J47" s="10">
        <v>880</v>
      </c>
      <c r="K47" s="10">
        <v>34308325.596141554</v>
      </c>
    </row>
    <row r="48" spans="1:11" x14ac:dyDescent="0.35">
      <c r="A48" s="9" t="s">
        <v>116</v>
      </c>
      <c r="B48" s="10">
        <v>864</v>
      </c>
      <c r="C48" s="10">
        <v>2</v>
      </c>
      <c r="D48" s="10">
        <v>3</v>
      </c>
      <c r="E48" s="10">
        <v>923</v>
      </c>
      <c r="F48" s="10">
        <v>29748326.466609821</v>
      </c>
      <c r="G48" s="10">
        <v>737</v>
      </c>
      <c r="H48" s="10">
        <v>1</v>
      </c>
      <c r="I48" s="10">
        <v>1</v>
      </c>
      <c r="J48" s="10">
        <v>919</v>
      </c>
      <c r="K48" s="10">
        <v>28016630.455517586</v>
      </c>
    </row>
    <row r="49" spans="1:11" x14ac:dyDescent="0.35">
      <c r="A49" s="9" t="s">
        <v>60</v>
      </c>
      <c r="B49" s="10">
        <v>1277</v>
      </c>
      <c r="C49" s="10">
        <v>10</v>
      </c>
      <c r="D49" s="10">
        <v>9</v>
      </c>
      <c r="E49" s="10">
        <v>1099</v>
      </c>
      <c r="F49" s="10">
        <v>92981109.894457206</v>
      </c>
      <c r="G49" s="10">
        <v>1343</v>
      </c>
      <c r="H49" s="10">
        <v>10</v>
      </c>
      <c r="I49" s="10">
        <v>10</v>
      </c>
      <c r="J49" s="10">
        <v>1176</v>
      </c>
      <c r="K49" s="10">
        <v>89962933.300273716</v>
      </c>
    </row>
    <row r="50" spans="1:11" x14ac:dyDescent="0.35">
      <c r="A50" s="9" t="s">
        <v>154</v>
      </c>
      <c r="B50" s="10">
        <v>523</v>
      </c>
      <c r="C50" s="10">
        <v>1</v>
      </c>
      <c r="D50" s="10">
        <v>2</v>
      </c>
      <c r="E50" s="10">
        <v>512</v>
      </c>
      <c r="F50" s="10">
        <v>15628035.75477325</v>
      </c>
      <c r="G50" s="10">
        <v>456</v>
      </c>
      <c r="H50" s="10">
        <v>1</v>
      </c>
      <c r="I50" s="10">
        <v>2</v>
      </c>
      <c r="J50" s="10">
        <v>553</v>
      </c>
      <c r="K50" s="10">
        <v>14426192.707125638</v>
      </c>
    </row>
    <row r="51" spans="1:11" x14ac:dyDescent="0.35">
      <c r="A51" s="9" t="s">
        <v>26</v>
      </c>
      <c r="B51" s="10">
        <v>370</v>
      </c>
      <c r="C51" s="10">
        <v>3</v>
      </c>
      <c r="D51" s="10">
        <v>5</v>
      </c>
      <c r="E51" s="10">
        <v>100</v>
      </c>
      <c r="F51" s="10">
        <v>37264287.563416779</v>
      </c>
      <c r="G51" s="10">
        <v>944</v>
      </c>
      <c r="H51" s="10">
        <v>1</v>
      </c>
      <c r="I51" s="10">
        <v>5</v>
      </c>
      <c r="J51" s="10">
        <v>1051</v>
      </c>
      <c r="K51" s="10">
        <v>35935006.420883521</v>
      </c>
    </row>
    <row r="52" spans="1:11" x14ac:dyDescent="0.35">
      <c r="A52" s="9" t="s">
        <v>28</v>
      </c>
      <c r="B52" s="10">
        <v>2711</v>
      </c>
      <c r="C52" s="10">
        <v>11</v>
      </c>
      <c r="D52" s="10">
        <v>20</v>
      </c>
      <c r="E52" s="10">
        <v>2269</v>
      </c>
      <c r="F52" s="10">
        <v>124260731.80528501</v>
      </c>
      <c r="G52" s="10">
        <v>2275</v>
      </c>
      <c r="H52" s="10">
        <v>6</v>
      </c>
      <c r="I52" s="10">
        <v>18</v>
      </c>
      <c r="J52" s="10">
        <v>1770</v>
      </c>
      <c r="K52" s="10">
        <v>118816380.48639078</v>
      </c>
    </row>
    <row r="53" spans="1:11" x14ac:dyDescent="0.35">
      <c r="A53" s="9" t="s">
        <v>62</v>
      </c>
      <c r="B53" s="10">
        <v>561</v>
      </c>
      <c r="C53" s="10">
        <v>5</v>
      </c>
      <c r="D53" s="10">
        <v>8</v>
      </c>
      <c r="E53" s="10">
        <v>478</v>
      </c>
      <c r="F53" s="10">
        <v>40917695.769526795</v>
      </c>
      <c r="G53" s="10">
        <v>552</v>
      </c>
      <c r="H53" s="10">
        <v>0</v>
      </c>
      <c r="I53" s="10">
        <v>6</v>
      </c>
      <c r="J53" s="10">
        <v>420</v>
      </c>
      <c r="K53" s="10">
        <v>39600996.832696363</v>
      </c>
    </row>
    <row r="54" spans="1:11" x14ac:dyDescent="0.35">
      <c r="A54" s="9" t="s">
        <v>58</v>
      </c>
      <c r="B54" s="10">
        <v>454</v>
      </c>
      <c r="C54" s="10">
        <v>3</v>
      </c>
      <c r="D54" s="10">
        <v>4</v>
      </c>
      <c r="E54" s="10">
        <v>402</v>
      </c>
      <c r="F54" s="10">
        <v>35101632.596217252</v>
      </c>
      <c r="G54" s="10">
        <v>516</v>
      </c>
      <c r="H54" s="10">
        <v>3</v>
      </c>
      <c r="I54" s="10">
        <v>5</v>
      </c>
      <c r="J54" s="10">
        <v>427</v>
      </c>
      <c r="K54" s="10">
        <v>32904084.873672038</v>
      </c>
    </row>
    <row r="55" spans="1:11" x14ac:dyDescent="0.35">
      <c r="A55" s="9" t="s">
        <v>64</v>
      </c>
      <c r="B55" s="10">
        <v>651</v>
      </c>
      <c r="C55" s="10">
        <v>3</v>
      </c>
      <c r="D55" s="10">
        <v>2</v>
      </c>
      <c r="E55" s="10">
        <v>456</v>
      </c>
      <c r="F55" s="10">
        <v>25561273.681866869</v>
      </c>
      <c r="G55" s="10">
        <v>630</v>
      </c>
      <c r="H55" s="10">
        <v>8</v>
      </c>
      <c r="I55" s="10">
        <v>5</v>
      </c>
      <c r="J55" s="10">
        <v>557</v>
      </c>
      <c r="K55" s="10">
        <v>40741881.76310119</v>
      </c>
    </row>
    <row r="56" spans="1:11" x14ac:dyDescent="0.35">
      <c r="A56" s="9" t="s">
        <v>122</v>
      </c>
      <c r="B56" s="10">
        <v>1045</v>
      </c>
      <c r="C56" s="10">
        <v>6</v>
      </c>
      <c r="D56" s="10">
        <v>0</v>
      </c>
      <c r="E56" s="10">
        <v>1023</v>
      </c>
      <c r="F56" s="10">
        <v>61369922.125036985</v>
      </c>
      <c r="G56" s="10">
        <v>1121</v>
      </c>
      <c r="H56" s="10">
        <v>10</v>
      </c>
      <c r="I56" s="10">
        <v>0</v>
      </c>
      <c r="J56" s="10">
        <v>1000</v>
      </c>
      <c r="K56" s="10">
        <v>62841099.699467473</v>
      </c>
    </row>
    <row r="57" spans="1:11" x14ac:dyDescent="0.35">
      <c r="A57" s="9" t="s">
        <v>70</v>
      </c>
      <c r="B57" s="10">
        <v>2309</v>
      </c>
      <c r="C57" s="10">
        <v>28</v>
      </c>
      <c r="D57" s="10">
        <v>5</v>
      </c>
      <c r="E57" s="10">
        <v>2017</v>
      </c>
      <c r="F57" s="10">
        <v>114613751.79104382</v>
      </c>
      <c r="G57" s="10">
        <v>1626</v>
      </c>
      <c r="H57" s="10">
        <v>140</v>
      </c>
      <c r="I57" s="10">
        <v>5</v>
      </c>
      <c r="J57" s="10">
        <v>1631</v>
      </c>
      <c r="K57" s="10">
        <v>108266390.96178317</v>
      </c>
    </row>
    <row r="58" spans="1:11" x14ac:dyDescent="0.35">
      <c r="A58" s="9" t="s">
        <v>72</v>
      </c>
      <c r="B58" s="10">
        <v>1499</v>
      </c>
      <c r="C58" s="10">
        <v>35</v>
      </c>
      <c r="D58" s="10">
        <v>10</v>
      </c>
      <c r="E58" s="10">
        <v>1311</v>
      </c>
      <c r="F58" s="10">
        <v>126842614.27089219</v>
      </c>
      <c r="G58" s="10">
        <v>2733</v>
      </c>
      <c r="H58" s="10">
        <v>44</v>
      </c>
      <c r="I58" s="10">
        <v>10</v>
      </c>
      <c r="J58" s="10">
        <v>2216</v>
      </c>
      <c r="K58" s="10">
        <v>137911456.24385685</v>
      </c>
    </row>
    <row r="59" spans="1:11" x14ac:dyDescent="0.35">
      <c r="A59" s="9" t="s">
        <v>130</v>
      </c>
      <c r="B59" s="10">
        <v>572</v>
      </c>
      <c r="C59" s="10">
        <v>3</v>
      </c>
      <c r="D59" s="10">
        <v>1</v>
      </c>
      <c r="E59" s="10">
        <v>546</v>
      </c>
      <c r="F59" s="10">
        <v>29209126.182045158</v>
      </c>
      <c r="G59" s="10">
        <v>682</v>
      </c>
      <c r="H59" s="10">
        <v>1</v>
      </c>
      <c r="I59" s="10">
        <v>1</v>
      </c>
      <c r="J59" s="10">
        <v>567</v>
      </c>
      <c r="K59" s="10">
        <v>31112670.735154763</v>
      </c>
    </row>
    <row r="60" spans="1:11" x14ac:dyDescent="0.35">
      <c r="A60" s="9" t="s">
        <v>76</v>
      </c>
      <c r="B60" s="10">
        <v>1101</v>
      </c>
      <c r="C60" s="10">
        <v>16</v>
      </c>
      <c r="D60" s="10">
        <v>9</v>
      </c>
      <c r="E60" s="10">
        <v>962</v>
      </c>
      <c r="F60" s="10">
        <v>55518862.418120876</v>
      </c>
      <c r="G60" s="10">
        <v>1024</v>
      </c>
      <c r="H60" s="10">
        <v>7</v>
      </c>
      <c r="I60" s="10">
        <v>10</v>
      </c>
      <c r="J60" s="10">
        <v>885</v>
      </c>
      <c r="K60" s="10">
        <v>56417422.041072004</v>
      </c>
    </row>
    <row r="61" spans="1:11" x14ac:dyDescent="0.35">
      <c r="A61" s="9" t="s">
        <v>128</v>
      </c>
      <c r="B61" s="10">
        <v>748</v>
      </c>
      <c r="C61" s="10">
        <v>3</v>
      </c>
      <c r="D61" s="10">
        <v>1</v>
      </c>
      <c r="E61" s="10">
        <v>651</v>
      </c>
      <c r="F61" s="10">
        <v>27671371.384354323</v>
      </c>
      <c r="G61" s="10">
        <v>738</v>
      </c>
      <c r="H61" s="10">
        <v>60</v>
      </c>
      <c r="I61" s="10">
        <v>2</v>
      </c>
      <c r="J61" s="10">
        <v>677</v>
      </c>
      <c r="K61" s="10">
        <v>26870085.954289634</v>
      </c>
    </row>
    <row r="62" spans="1:11" x14ac:dyDescent="0.35">
      <c r="A62" s="9" t="s">
        <v>124</v>
      </c>
      <c r="B62" s="10">
        <v>1300</v>
      </c>
      <c r="C62" s="10">
        <v>7</v>
      </c>
      <c r="D62" s="10">
        <v>2</v>
      </c>
      <c r="E62" s="10">
        <v>1278</v>
      </c>
      <c r="F62" s="10">
        <v>66092841.081973642</v>
      </c>
      <c r="G62" s="10">
        <v>1167</v>
      </c>
      <c r="H62" s="10">
        <v>12</v>
      </c>
      <c r="I62" s="10">
        <v>1</v>
      </c>
      <c r="J62" s="10">
        <v>1175</v>
      </c>
      <c r="K62" s="10">
        <v>69082384.474612534</v>
      </c>
    </row>
    <row r="63" spans="1:11" x14ac:dyDescent="0.35">
      <c r="A63" s="9" t="s">
        <v>78</v>
      </c>
      <c r="B63" s="10">
        <v>2011</v>
      </c>
      <c r="C63" s="10">
        <v>26</v>
      </c>
      <c r="D63" s="10">
        <v>8</v>
      </c>
      <c r="E63" s="10">
        <v>1899</v>
      </c>
      <c r="F63" s="10">
        <v>91760505.300973713</v>
      </c>
      <c r="G63" s="10">
        <v>1774</v>
      </c>
      <c r="H63" s="10">
        <v>10</v>
      </c>
      <c r="I63" s="10">
        <v>9</v>
      </c>
      <c r="J63" s="10">
        <v>1708</v>
      </c>
      <c r="K63" s="10">
        <v>88491791.638845026</v>
      </c>
    </row>
    <row r="64" spans="1:11" x14ac:dyDescent="0.35">
      <c r="A64" s="9" t="s">
        <v>80</v>
      </c>
      <c r="B64" s="10">
        <v>607</v>
      </c>
      <c r="C64" s="10">
        <v>6</v>
      </c>
      <c r="D64" s="10">
        <v>6</v>
      </c>
      <c r="E64" s="10">
        <v>597</v>
      </c>
      <c r="F64" s="10">
        <v>36130609.335181259</v>
      </c>
      <c r="G64" s="10">
        <v>842</v>
      </c>
      <c r="H64" s="10">
        <v>4</v>
      </c>
      <c r="I64" s="10">
        <v>7</v>
      </c>
      <c r="J64" s="10">
        <v>774</v>
      </c>
      <c r="K64" s="10">
        <v>40282542.095777914</v>
      </c>
    </row>
    <row r="65" spans="1:11" x14ac:dyDescent="0.35">
      <c r="A65" s="9" t="s">
        <v>82</v>
      </c>
      <c r="B65" s="10">
        <v>733</v>
      </c>
      <c r="C65" s="10">
        <v>8</v>
      </c>
      <c r="D65" s="10">
        <v>8</v>
      </c>
      <c r="E65" s="10">
        <v>585</v>
      </c>
      <c r="F65" s="10">
        <v>47407916.208337717</v>
      </c>
      <c r="G65" s="10">
        <v>648</v>
      </c>
      <c r="H65" s="10">
        <v>2</v>
      </c>
      <c r="I65" s="10">
        <v>8</v>
      </c>
      <c r="J65" s="10">
        <v>485</v>
      </c>
      <c r="K65" s="10">
        <v>44776110.491447076</v>
      </c>
    </row>
    <row r="66" spans="1:11" x14ac:dyDescent="0.35">
      <c r="A66" s="9" t="s">
        <v>20</v>
      </c>
      <c r="B66" s="10">
        <v>2554</v>
      </c>
      <c r="C66" s="10">
        <v>29</v>
      </c>
      <c r="D66" s="10">
        <v>14</v>
      </c>
      <c r="E66" s="10">
        <v>2316</v>
      </c>
      <c r="F66" s="10">
        <v>150646627.42580181</v>
      </c>
      <c r="G66" s="10">
        <v>1984</v>
      </c>
      <c r="H66" s="10">
        <v>20</v>
      </c>
      <c r="I66" s="10">
        <v>13</v>
      </c>
      <c r="J66" s="10">
        <v>1718</v>
      </c>
      <c r="K66" s="10">
        <v>136177751.72039899</v>
      </c>
    </row>
    <row r="67" spans="1:11" x14ac:dyDescent="0.35">
      <c r="A67" s="9" t="s">
        <v>22</v>
      </c>
      <c r="B67" s="10">
        <v>1948</v>
      </c>
      <c r="C67" s="10">
        <v>28</v>
      </c>
      <c r="D67" s="10">
        <v>11</v>
      </c>
      <c r="E67" s="10">
        <v>1510</v>
      </c>
      <c r="F67" s="10">
        <v>117996554.06542628</v>
      </c>
      <c r="G67" s="10">
        <v>1875</v>
      </c>
      <c r="H67" s="10">
        <v>18</v>
      </c>
      <c r="I67" s="10">
        <v>12</v>
      </c>
      <c r="J67" s="10">
        <v>1499</v>
      </c>
      <c r="K67" s="10">
        <v>119195933.51350243</v>
      </c>
    </row>
    <row r="68" spans="1:11" x14ac:dyDescent="0.35">
      <c r="A68" s="9" t="s">
        <v>24</v>
      </c>
      <c r="B68" s="10">
        <v>956</v>
      </c>
      <c r="C68" s="10">
        <v>3</v>
      </c>
      <c r="D68" s="10">
        <v>2</v>
      </c>
      <c r="E68" s="10">
        <v>807</v>
      </c>
      <c r="F68" s="10">
        <v>70084989.845665172</v>
      </c>
      <c r="G68" s="10">
        <v>966</v>
      </c>
      <c r="H68" s="10">
        <v>1</v>
      </c>
      <c r="I68" s="10">
        <v>3</v>
      </c>
      <c r="J68" s="10">
        <v>818</v>
      </c>
      <c r="K68" s="10">
        <v>70114888.165622056</v>
      </c>
    </row>
    <row r="69" spans="1:11" x14ac:dyDescent="0.35">
      <c r="A69" s="9" t="s">
        <v>46</v>
      </c>
      <c r="B69" s="10">
        <v>2631</v>
      </c>
      <c r="C69" s="10">
        <v>1005</v>
      </c>
      <c r="D69" s="10">
        <v>15</v>
      </c>
      <c r="E69" s="10">
        <v>1535</v>
      </c>
      <c r="F69" s="10">
        <v>101135474.50397857</v>
      </c>
      <c r="G69" s="10">
        <v>2833</v>
      </c>
      <c r="H69" s="10">
        <v>957</v>
      </c>
      <c r="I69" s="10">
        <v>15</v>
      </c>
      <c r="J69" s="10">
        <v>2916</v>
      </c>
      <c r="K69" s="10">
        <v>102343371.76866101</v>
      </c>
    </row>
    <row r="70" spans="1:11" x14ac:dyDescent="0.35">
      <c r="A70" s="9" t="s">
        <v>100</v>
      </c>
      <c r="B70" s="10">
        <v>438</v>
      </c>
      <c r="C70" s="10">
        <v>4</v>
      </c>
      <c r="D70" s="10">
        <v>1</v>
      </c>
      <c r="E70" s="10">
        <v>457</v>
      </c>
      <c r="F70" s="10">
        <v>14679569.326412134</v>
      </c>
      <c r="G70" s="10">
        <v>412</v>
      </c>
      <c r="H70" s="10">
        <v>3</v>
      </c>
      <c r="I70" s="10">
        <v>1</v>
      </c>
      <c r="J70" s="10">
        <v>448</v>
      </c>
      <c r="K70" s="10">
        <v>13534899.762093462</v>
      </c>
    </row>
    <row r="71" spans="1:11" x14ac:dyDescent="0.35">
      <c r="A71" s="9" t="s">
        <v>9</v>
      </c>
      <c r="B71" s="10">
        <v>2074</v>
      </c>
      <c r="C71" s="10">
        <v>10</v>
      </c>
      <c r="D71" s="10">
        <v>11</v>
      </c>
      <c r="E71" s="10">
        <v>1968</v>
      </c>
      <c r="F71" s="10">
        <v>90121499.645696864</v>
      </c>
      <c r="G71" s="10">
        <v>1952</v>
      </c>
      <c r="H71" s="10">
        <v>13</v>
      </c>
      <c r="I71" s="10">
        <v>13</v>
      </c>
      <c r="J71" s="10">
        <v>2089</v>
      </c>
      <c r="K71" s="10">
        <v>92155190.948158041</v>
      </c>
    </row>
    <row r="72" spans="1:11" x14ac:dyDescent="0.35">
      <c r="A72" s="9" t="s">
        <v>11</v>
      </c>
      <c r="B72" s="10">
        <v>882</v>
      </c>
      <c r="C72" s="10">
        <v>5</v>
      </c>
      <c r="D72" s="10">
        <v>6</v>
      </c>
      <c r="E72" s="10">
        <v>695</v>
      </c>
      <c r="F72" s="10">
        <v>41133499.655449986</v>
      </c>
      <c r="G72" s="10">
        <v>995</v>
      </c>
      <c r="H72" s="10">
        <v>4</v>
      </c>
      <c r="I72" s="10">
        <v>5</v>
      </c>
      <c r="J72" s="10">
        <v>742</v>
      </c>
      <c r="K72" s="10">
        <v>38158225.69611045</v>
      </c>
    </row>
    <row r="73" spans="1:11" x14ac:dyDescent="0.35">
      <c r="A73" s="9" t="s">
        <v>118</v>
      </c>
      <c r="B73" s="10">
        <v>1892</v>
      </c>
      <c r="C73" s="10">
        <v>70</v>
      </c>
      <c r="D73" s="10">
        <v>11</v>
      </c>
      <c r="E73" s="10">
        <v>1602</v>
      </c>
      <c r="F73" s="10">
        <v>86007936.997424483</v>
      </c>
      <c r="G73" s="10">
        <v>1967</v>
      </c>
      <c r="H73" s="10">
        <v>57</v>
      </c>
      <c r="I73" s="10">
        <v>13</v>
      </c>
      <c r="J73" s="10">
        <v>1581</v>
      </c>
      <c r="K73" s="10">
        <v>91118035.599556893</v>
      </c>
    </row>
    <row r="74" spans="1:11" x14ac:dyDescent="0.35">
      <c r="A74" s="9" t="s">
        <v>49</v>
      </c>
      <c r="B74" s="10">
        <v>1614</v>
      </c>
      <c r="C74" s="10">
        <v>12</v>
      </c>
      <c r="D74" s="10">
        <v>6</v>
      </c>
      <c r="E74" s="10">
        <v>1462</v>
      </c>
      <c r="F74" s="10">
        <v>40800491.991084062</v>
      </c>
      <c r="G74" s="10">
        <v>1340</v>
      </c>
      <c r="H74" s="10">
        <v>8</v>
      </c>
      <c r="I74" s="10">
        <v>5</v>
      </c>
      <c r="J74" s="10">
        <v>1422</v>
      </c>
      <c r="K74" s="10">
        <v>29181111.972467497</v>
      </c>
    </row>
    <row r="75" spans="1:11" x14ac:dyDescent="0.35">
      <c r="A75" s="9" t="s">
        <v>47</v>
      </c>
      <c r="B75" s="10">
        <v>1538</v>
      </c>
      <c r="C75" s="10">
        <v>21</v>
      </c>
      <c r="D75" s="10">
        <v>12</v>
      </c>
      <c r="E75" s="10">
        <v>1300</v>
      </c>
      <c r="F75" s="10">
        <v>90773305.412143171</v>
      </c>
      <c r="G75" s="10">
        <v>1785</v>
      </c>
      <c r="H75" s="10">
        <v>8</v>
      </c>
      <c r="I75" s="10">
        <v>12</v>
      </c>
      <c r="J75" s="10">
        <v>2028</v>
      </c>
      <c r="K75" s="10">
        <v>92474244.673136428</v>
      </c>
    </row>
    <row r="76" spans="1:11" x14ac:dyDescent="0.35">
      <c r="A76" s="9" t="s">
        <v>101</v>
      </c>
      <c r="B76" s="10">
        <v>992</v>
      </c>
      <c r="C76" s="10">
        <v>8</v>
      </c>
      <c r="D76" s="10">
        <v>2</v>
      </c>
      <c r="E76" s="10">
        <v>1011</v>
      </c>
      <c r="F76" s="10">
        <v>34519867.631340854</v>
      </c>
      <c r="G76" s="10">
        <v>946</v>
      </c>
      <c r="H76" s="10">
        <v>16</v>
      </c>
      <c r="I76" s="10">
        <v>2</v>
      </c>
      <c r="J76" s="10">
        <v>951</v>
      </c>
      <c r="K76" s="10">
        <v>33389436.291404374</v>
      </c>
    </row>
    <row r="77" spans="1:11" x14ac:dyDescent="0.35">
      <c r="A77" s="9" t="s">
        <v>126</v>
      </c>
      <c r="B77" s="10">
        <v>869</v>
      </c>
      <c r="C77" s="10">
        <v>4</v>
      </c>
      <c r="D77" s="10">
        <v>0</v>
      </c>
      <c r="E77" s="10">
        <v>812</v>
      </c>
      <c r="F77" s="10">
        <v>36197764.790004268</v>
      </c>
      <c r="G77" s="10">
        <v>990</v>
      </c>
      <c r="H77" s="10">
        <v>2</v>
      </c>
      <c r="I77" s="10">
        <v>1</v>
      </c>
      <c r="J77" s="10">
        <v>884</v>
      </c>
      <c r="K77" s="10">
        <v>37897532.101204991</v>
      </c>
    </row>
    <row r="78" spans="1:11" x14ac:dyDescent="0.35">
      <c r="A78" s="9" t="s">
        <v>48</v>
      </c>
      <c r="B78" s="10">
        <v>671</v>
      </c>
      <c r="C78" s="10">
        <v>3</v>
      </c>
      <c r="D78" s="10">
        <v>4</v>
      </c>
      <c r="E78" s="10">
        <v>571</v>
      </c>
      <c r="F78" s="10">
        <v>33760321.6686465</v>
      </c>
      <c r="G78" s="10">
        <v>669</v>
      </c>
      <c r="H78" s="10">
        <v>2</v>
      </c>
      <c r="I78" s="10">
        <v>5</v>
      </c>
      <c r="J78" s="10">
        <v>302</v>
      </c>
      <c r="K78" s="10">
        <v>34397322.546079583</v>
      </c>
    </row>
    <row r="79" spans="1:11" x14ac:dyDescent="0.35">
      <c r="A79" s="9" t="s">
        <v>96</v>
      </c>
      <c r="B79" s="10">
        <v>1059</v>
      </c>
      <c r="C79" s="10">
        <v>19</v>
      </c>
      <c r="D79" s="10">
        <v>2</v>
      </c>
      <c r="E79" s="10">
        <v>1167</v>
      </c>
      <c r="F79" s="10">
        <v>36396866.760086015</v>
      </c>
      <c r="G79" s="10">
        <v>966</v>
      </c>
      <c r="H79" s="10">
        <v>12</v>
      </c>
      <c r="I79" s="10">
        <v>3</v>
      </c>
      <c r="J79" s="10">
        <v>1264</v>
      </c>
      <c r="K79" s="10">
        <v>40678590.36960011</v>
      </c>
    </row>
    <row r="80" spans="1:11" x14ac:dyDescent="0.35">
      <c r="A80" s="9" t="s">
        <v>30</v>
      </c>
      <c r="B80" s="10">
        <v>585</v>
      </c>
      <c r="C80" s="10">
        <v>4</v>
      </c>
      <c r="D80" s="10">
        <v>16</v>
      </c>
      <c r="E80" s="10">
        <v>552</v>
      </c>
      <c r="F80" s="10">
        <v>27798636.305550743</v>
      </c>
      <c r="G80" s="10">
        <v>500</v>
      </c>
      <c r="H80" s="10">
        <v>5</v>
      </c>
      <c r="I80" s="10">
        <v>15</v>
      </c>
      <c r="J80" s="10">
        <v>473</v>
      </c>
      <c r="K80" s="10">
        <v>27905412.120089173</v>
      </c>
    </row>
    <row r="81" spans="1:11" x14ac:dyDescent="0.35">
      <c r="A81" s="9" t="s">
        <v>84</v>
      </c>
      <c r="B81" s="10">
        <v>136</v>
      </c>
      <c r="C81" s="10">
        <v>10</v>
      </c>
      <c r="D81" s="10">
        <v>3</v>
      </c>
      <c r="E81" s="10">
        <v>20</v>
      </c>
      <c r="F81" s="10">
        <v>45917569.325043142</v>
      </c>
      <c r="G81" s="10">
        <v>956</v>
      </c>
      <c r="H81" s="10">
        <v>10</v>
      </c>
      <c r="I81" s="10">
        <v>6</v>
      </c>
      <c r="J81" s="10">
        <v>784</v>
      </c>
      <c r="K81" s="10">
        <v>76941714.593697876</v>
      </c>
    </row>
    <row r="82" spans="1:11" x14ac:dyDescent="0.35">
      <c r="A82" s="9" t="s">
        <v>32</v>
      </c>
      <c r="B82" s="10">
        <v>925</v>
      </c>
      <c r="C82" s="10">
        <v>2</v>
      </c>
      <c r="D82" s="10">
        <v>14</v>
      </c>
      <c r="E82" s="10">
        <v>845</v>
      </c>
      <c r="F82" s="10">
        <v>45918892.182026282</v>
      </c>
      <c r="G82" s="10">
        <v>899</v>
      </c>
      <c r="H82" s="10">
        <v>5</v>
      </c>
      <c r="I82" s="10">
        <v>14</v>
      </c>
      <c r="J82" s="10">
        <v>802</v>
      </c>
      <c r="K82" s="10">
        <v>47180698.242388859</v>
      </c>
    </row>
    <row r="83" spans="1:11" x14ac:dyDescent="0.35">
      <c r="A83" s="9" t="s">
        <v>55</v>
      </c>
      <c r="B83" s="10">
        <v>1096</v>
      </c>
      <c r="C83" s="10">
        <v>8</v>
      </c>
      <c r="D83" s="10">
        <v>2</v>
      </c>
      <c r="E83" s="10">
        <v>936</v>
      </c>
      <c r="F83" s="10">
        <v>35287302.39322599</v>
      </c>
      <c r="G83" s="10">
        <v>969</v>
      </c>
      <c r="H83" s="10">
        <v>0</v>
      </c>
      <c r="I83" s="10">
        <v>3</v>
      </c>
      <c r="J83" s="10">
        <v>790</v>
      </c>
      <c r="K83" s="10">
        <v>31606210.430267148</v>
      </c>
    </row>
    <row r="84" spans="1:11" x14ac:dyDescent="0.35">
      <c r="A84" s="9" t="s">
        <v>50</v>
      </c>
      <c r="B84" s="10">
        <v>970</v>
      </c>
      <c r="C84" s="10">
        <v>8</v>
      </c>
      <c r="D84" s="10">
        <v>4</v>
      </c>
      <c r="E84" s="10">
        <v>894</v>
      </c>
      <c r="F84" s="10">
        <v>38337745.445409603</v>
      </c>
      <c r="G84" s="10">
        <v>980</v>
      </c>
      <c r="H84" s="10">
        <v>9</v>
      </c>
      <c r="I84" s="10">
        <v>4</v>
      </c>
      <c r="J84" s="10">
        <v>57</v>
      </c>
      <c r="K84" s="10">
        <v>29096315.913828738</v>
      </c>
    </row>
    <row r="85" spans="1:11" x14ac:dyDescent="0.35">
      <c r="A85" s="9" t="s">
        <v>66</v>
      </c>
      <c r="B85" s="10">
        <v>911</v>
      </c>
      <c r="C85" s="10">
        <v>5</v>
      </c>
      <c r="D85" s="10">
        <v>8</v>
      </c>
      <c r="E85" s="10">
        <v>912</v>
      </c>
      <c r="F85" s="10">
        <v>47049122.798213489</v>
      </c>
      <c r="G85" s="10">
        <v>836</v>
      </c>
      <c r="H85" s="10">
        <v>4</v>
      </c>
      <c r="I85" s="10">
        <v>8</v>
      </c>
      <c r="J85" s="10">
        <v>844</v>
      </c>
      <c r="K85" s="10">
        <v>52678434.889558271</v>
      </c>
    </row>
    <row r="86" spans="1:11" x14ac:dyDescent="0.35">
      <c r="A86" s="9" t="s">
        <v>105</v>
      </c>
      <c r="B86" s="10">
        <v>900</v>
      </c>
      <c r="C86" s="10">
        <v>9</v>
      </c>
      <c r="D86" s="10">
        <v>3</v>
      </c>
      <c r="E86" s="10">
        <v>847</v>
      </c>
      <c r="F86" s="10">
        <v>27442806.987912782</v>
      </c>
      <c r="G86" s="10">
        <v>827</v>
      </c>
      <c r="H86" s="10">
        <v>5</v>
      </c>
      <c r="I86" s="10">
        <v>3</v>
      </c>
      <c r="J86" s="10">
        <v>810</v>
      </c>
      <c r="K86" s="10">
        <v>26957538.019575864</v>
      </c>
    </row>
    <row r="87" spans="1:11" x14ac:dyDescent="0.35">
      <c r="A87" s="9" t="s">
        <v>120</v>
      </c>
      <c r="B87" s="10">
        <v>1493</v>
      </c>
      <c r="C87" s="10">
        <v>4</v>
      </c>
      <c r="D87" s="10">
        <v>11</v>
      </c>
      <c r="E87" s="10">
        <v>1254</v>
      </c>
      <c r="F87" s="10">
        <v>99433137.50619176</v>
      </c>
      <c r="G87" s="10">
        <v>1909</v>
      </c>
      <c r="H87" s="10">
        <v>6</v>
      </c>
      <c r="I87" s="10">
        <v>11</v>
      </c>
      <c r="J87" s="10">
        <v>1516</v>
      </c>
      <c r="K87" s="10">
        <v>91281670.593864799</v>
      </c>
    </row>
    <row r="88" spans="1:11" x14ac:dyDescent="0.35">
      <c r="A88" s="9" t="s">
        <v>68</v>
      </c>
      <c r="B88" s="10">
        <v>1188</v>
      </c>
      <c r="C88" s="10">
        <v>4</v>
      </c>
      <c r="D88" s="10">
        <v>4</v>
      </c>
      <c r="E88" s="10">
        <v>1175</v>
      </c>
      <c r="F88" s="10">
        <v>25746845.029206596</v>
      </c>
      <c r="G88" s="10">
        <v>716</v>
      </c>
      <c r="H88" s="10">
        <v>10</v>
      </c>
      <c r="I88" s="10">
        <v>5</v>
      </c>
      <c r="J88" s="10">
        <v>770</v>
      </c>
      <c r="K88" s="10">
        <v>18880074.493958887</v>
      </c>
    </row>
    <row r="89" spans="1:11" x14ac:dyDescent="0.35">
      <c r="A89" s="9" t="s">
        <v>74</v>
      </c>
      <c r="B89" s="10">
        <v>973</v>
      </c>
      <c r="C89" s="10">
        <v>16</v>
      </c>
      <c r="D89" s="10">
        <v>9</v>
      </c>
      <c r="E89" s="10">
        <v>929</v>
      </c>
      <c r="F89" s="10">
        <v>56300042.246015519</v>
      </c>
      <c r="G89" s="10">
        <v>928</v>
      </c>
      <c r="H89" s="10">
        <v>13</v>
      </c>
      <c r="I89" s="10">
        <v>10</v>
      </c>
      <c r="J89" s="10">
        <v>802</v>
      </c>
      <c r="K89" s="10">
        <v>54978927.806987256</v>
      </c>
    </row>
    <row r="90" spans="1:11" x14ac:dyDescent="0.35">
      <c r="A90" s="9" t="s">
        <v>56</v>
      </c>
      <c r="B90" s="10">
        <v>264</v>
      </c>
      <c r="C90" s="10">
        <v>2</v>
      </c>
      <c r="D90" s="10">
        <v>1</v>
      </c>
      <c r="E90" s="10">
        <v>288</v>
      </c>
      <c r="F90" s="10">
        <v>6765455.3795596007</v>
      </c>
      <c r="G90" s="10">
        <v>347</v>
      </c>
      <c r="H90" s="10">
        <v>1</v>
      </c>
      <c r="I90" s="10">
        <v>1</v>
      </c>
      <c r="J90" s="10">
        <v>381</v>
      </c>
      <c r="K90" s="10">
        <v>4627048.4379343018</v>
      </c>
    </row>
    <row r="91" spans="1:11" x14ac:dyDescent="0.35">
      <c r="A91" s="9" t="s">
        <v>158</v>
      </c>
      <c r="B91" s="10">
        <v>2112</v>
      </c>
      <c r="C91" s="10">
        <v>9</v>
      </c>
      <c r="D91" s="10">
        <v>5</v>
      </c>
      <c r="E91" s="10">
        <v>1659</v>
      </c>
      <c r="F91" s="10">
        <v>93687562.214598566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798</v>
      </c>
      <c r="C92" s="10">
        <v>10</v>
      </c>
      <c r="D92" s="10">
        <v>1</v>
      </c>
      <c r="E92" s="10">
        <v>601</v>
      </c>
      <c r="F92" s="10">
        <v>36225744.812134132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988</v>
      </c>
      <c r="C93" s="10">
        <v>9</v>
      </c>
      <c r="D93" s="10">
        <v>1</v>
      </c>
      <c r="E93" s="10">
        <v>820</v>
      </c>
      <c r="F93" s="10">
        <v>44576403.253703654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487</v>
      </c>
      <c r="C94" s="10">
        <v>2</v>
      </c>
      <c r="D94" s="10">
        <v>0</v>
      </c>
      <c r="E94" s="10">
        <v>536</v>
      </c>
      <c r="F94" s="10">
        <v>19924537.422574732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442</v>
      </c>
      <c r="C95" s="10">
        <v>4</v>
      </c>
      <c r="D95" s="10">
        <v>2</v>
      </c>
      <c r="E95" s="10">
        <v>465</v>
      </c>
      <c r="F95" s="10">
        <v>20748219.862060636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1050</v>
      </c>
      <c r="C96" s="10">
        <v>6</v>
      </c>
      <c r="D96" s="10">
        <v>4</v>
      </c>
      <c r="E96" s="10">
        <v>876</v>
      </c>
      <c r="F96" s="10">
        <v>24215560.890576966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1086</v>
      </c>
      <c r="C97" s="10">
        <v>27</v>
      </c>
      <c r="D97" s="10">
        <v>6</v>
      </c>
      <c r="E97" s="10">
        <v>968</v>
      </c>
      <c r="F97" s="10">
        <v>39236504.681321189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532</v>
      </c>
      <c r="C98" s="10">
        <v>5</v>
      </c>
      <c r="D98" s="10">
        <v>2</v>
      </c>
      <c r="E98" s="10">
        <v>373</v>
      </c>
      <c r="F98" s="10">
        <v>17466537.501446232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661</v>
      </c>
      <c r="C99" s="10">
        <v>5</v>
      </c>
      <c r="D99" s="10">
        <v>2</v>
      </c>
      <c r="E99" s="10">
        <v>528</v>
      </c>
      <c r="F99" s="10">
        <v>18442119.659683213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482</v>
      </c>
      <c r="C100" s="10">
        <v>10</v>
      </c>
      <c r="D100" s="10">
        <v>2</v>
      </c>
      <c r="E100" s="10">
        <v>460</v>
      </c>
      <c r="F100" s="10">
        <v>15640197.470261104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998</v>
      </c>
      <c r="C101" s="10">
        <v>8</v>
      </c>
      <c r="D101" s="10">
        <v>1</v>
      </c>
      <c r="E101" s="10">
        <v>835</v>
      </c>
      <c r="F101" s="10">
        <v>24630572.506816853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877</v>
      </c>
      <c r="C102" s="10">
        <v>15</v>
      </c>
      <c r="D102" s="10">
        <v>5</v>
      </c>
      <c r="E102" s="10">
        <v>684</v>
      </c>
      <c r="F102" s="10">
        <v>26691109.974487543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1553</v>
      </c>
      <c r="C103" s="10">
        <v>14</v>
      </c>
      <c r="D103" s="10">
        <v>2</v>
      </c>
      <c r="E103" s="10">
        <v>1631</v>
      </c>
      <c r="F103" s="10">
        <v>38060639.631045051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1759</v>
      </c>
      <c r="C104" s="10">
        <v>18</v>
      </c>
      <c r="D104" s="10">
        <v>2</v>
      </c>
      <c r="E104" s="10">
        <v>1461</v>
      </c>
      <c r="F104" s="10">
        <v>42787902.845119581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951</v>
      </c>
      <c r="C105" s="10">
        <v>9</v>
      </c>
      <c r="D105" s="10">
        <v>2</v>
      </c>
      <c r="E105" s="10">
        <v>964</v>
      </c>
      <c r="F105" s="10">
        <v>32608980.746004339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2484</v>
      </c>
      <c r="C106" s="10">
        <v>48</v>
      </c>
      <c r="D106" s="10">
        <v>5</v>
      </c>
      <c r="E106" s="10">
        <v>2250</v>
      </c>
      <c r="F106" s="10">
        <v>70320279.391155422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2133</v>
      </c>
      <c r="C107" s="10">
        <v>26</v>
      </c>
      <c r="D107" s="10">
        <v>3</v>
      </c>
      <c r="E107" s="10">
        <v>1779</v>
      </c>
      <c r="F107" s="10">
        <v>65922086.228261963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1613</v>
      </c>
      <c r="C108" s="10">
        <v>15</v>
      </c>
      <c r="D108" s="10">
        <v>1</v>
      </c>
      <c r="E108" s="10">
        <v>1483</v>
      </c>
      <c r="F108" s="10">
        <v>57760859.94903481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834</v>
      </c>
      <c r="C109" s="10">
        <v>12</v>
      </c>
      <c r="D109" s="10">
        <v>4</v>
      </c>
      <c r="E109" s="10">
        <v>921</v>
      </c>
      <c r="F109" s="10">
        <v>22360787.730158187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1287</v>
      </c>
      <c r="C110" s="10">
        <v>34</v>
      </c>
      <c r="D110" s="10">
        <v>3</v>
      </c>
      <c r="E110" s="10">
        <v>1129</v>
      </c>
      <c r="F110" s="10">
        <v>36539083.152373046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2241</v>
      </c>
      <c r="C111" s="10">
        <v>25</v>
      </c>
      <c r="D111" s="10">
        <v>6</v>
      </c>
      <c r="E111" s="10">
        <v>1924</v>
      </c>
      <c r="F111" s="10">
        <v>54029941.049804285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791</v>
      </c>
      <c r="C112" s="10">
        <v>5</v>
      </c>
      <c r="D112" s="10">
        <v>2</v>
      </c>
      <c r="E112" s="10">
        <v>808</v>
      </c>
      <c r="F112" s="10">
        <v>22231154.565292001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416</v>
      </c>
      <c r="C113" s="10">
        <v>1</v>
      </c>
      <c r="D113" s="10">
        <v>2</v>
      </c>
      <c r="E113" s="10">
        <v>569</v>
      </c>
      <c r="F113" s="10">
        <v>11672497.100160083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1013</v>
      </c>
      <c r="C114" s="10">
        <v>13</v>
      </c>
      <c r="D114" s="10">
        <v>5</v>
      </c>
      <c r="E114" s="10">
        <v>988</v>
      </c>
      <c r="F114" s="10">
        <v>30868672.814577658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534</v>
      </c>
      <c r="C115" s="10">
        <v>2</v>
      </c>
      <c r="D115" s="10">
        <v>3</v>
      </c>
      <c r="E115" s="10">
        <v>511</v>
      </c>
      <c r="F115" s="10">
        <v>19881716.861845169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706</v>
      </c>
      <c r="C116" s="10">
        <v>5</v>
      </c>
      <c r="D116" s="10">
        <v>3</v>
      </c>
      <c r="E116" s="10">
        <v>692</v>
      </c>
      <c r="F116" s="10">
        <v>16028435.517689034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1717</v>
      </c>
      <c r="C117" s="10">
        <v>17</v>
      </c>
      <c r="D117" s="10">
        <v>7</v>
      </c>
      <c r="E117" s="10">
        <v>1559</v>
      </c>
      <c r="F117" s="10">
        <v>49193158.165904708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1402</v>
      </c>
      <c r="C118" s="10">
        <v>21</v>
      </c>
      <c r="D118" s="10">
        <v>4</v>
      </c>
      <c r="E118" s="10">
        <v>1275</v>
      </c>
      <c r="F118" s="10">
        <v>36837720.02894859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1036</v>
      </c>
      <c r="C119" s="10">
        <v>11</v>
      </c>
      <c r="D119" s="10">
        <v>3</v>
      </c>
      <c r="E119" s="10">
        <v>915</v>
      </c>
      <c r="F119" s="10">
        <v>31646520.002933402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2871</v>
      </c>
      <c r="C120" s="10">
        <v>32</v>
      </c>
      <c r="D120" s="10">
        <v>7</v>
      </c>
      <c r="E120" s="10">
        <v>2075</v>
      </c>
      <c r="F120" s="10">
        <v>78287315.195214659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2913</v>
      </c>
      <c r="C121" s="10">
        <v>70</v>
      </c>
      <c r="D121" s="10">
        <v>5</v>
      </c>
      <c r="E121" s="10">
        <v>2319</v>
      </c>
      <c r="F121" s="10">
        <v>84979748.726158977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2300</v>
      </c>
      <c r="C122" s="10">
        <v>183</v>
      </c>
      <c r="D122" s="10">
        <v>2</v>
      </c>
      <c r="E122" s="10">
        <v>1663</v>
      </c>
      <c r="F122" s="10">
        <v>56326100.510857925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1586</v>
      </c>
      <c r="C123" s="10">
        <v>194</v>
      </c>
      <c r="D123" s="10">
        <v>8</v>
      </c>
      <c r="E123" s="10">
        <v>1448</v>
      </c>
      <c r="F123" s="10">
        <v>50531641.4799603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1832</v>
      </c>
      <c r="C124" s="10">
        <v>56</v>
      </c>
      <c r="D124" s="10">
        <v>0</v>
      </c>
      <c r="E124" s="10">
        <v>1405</v>
      </c>
      <c r="F124" s="10">
        <v>54144403.065896034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1253</v>
      </c>
      <c r="C125" s="10">
        <v>10</v>
      </c>
      <c r="D125" s="10">
        <v>4</v>
      </c>
      <c r="E125" s="10">
        <v>1318</v>
      </c>
      <c r="F125" s="10">
        <v>47198343.813989215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1161</v>
      </c>
      <c r="C126" s="10">
        <v>18</v>
      </c>
      <c r="D126" s="10">
        <v>2</v>
      </c>
      <c r="E126" s="10">
        <v>1038</v>
      </c>
      <c r="F126" s="10">
        <v>36972138.805017687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1183</v>
      </c>
      <c r="C127" s="10">
        <v>8</v>
      </c>
      <c r="D127" s="10">
        <v>4</v>
      </c>
      <c r="E127" s="10">
        <v>1309</v>
      </c>
      <c r="F127" s="10">
        <v>34382595.699650124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1951</v>
      </c>
      <c r="C128" s="10">
        <v>25</v>
      </c>
      <c r="D128" s="10">
        <v>1</v>
      </c>
      <c r="E128" s="10">
        <v>1788</v>
      </c>
      <c r="F128" s="10">
        <v>51845120.14306654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175</v>
      </c>
      <c r="C129" s="10">
        <v>1</v>
      </c>
      <c r="D129" s="10">
        <v>1</v>
      </c>
      <c r="E129" s="10">
        <v>170</v>
      </c>
      <c r="F129" s="10">
        <v>6288766.492280907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706</v>
      </c>
      <c r="C130" s="10">
        <v>8</v>
      </c>
      <c r="D130" s="10">
        <v>3</v>
      </c>
      <c r="E130" s="10">
        <v>585</v>
      </c>
      <c r="F130" s="10">
        <v>34129234.442600086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1098</v>
      </c>
      <c r="C131" s="10">
        <v>14</v>
      </c>
      <c r="D131" s="10">
        <v>4</v>
      </c>
      <c r="E131" s="10">
        <v>1060</v>
      </c>
      <c r="F131" s="10">
        <v>38583651.377485588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1336</v>
      </c>
      <c r="C132" s="10">
        <v>29</v>
      </c>
      <c r="D132" s="10">
        <v>8</v>
      </c>
      <c r="E132" s="10">
        <v>1202</v>
      </c>
      <c r="F132" s="10">
        <v>67330573.170961007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1004</v>
      </c>
      <c r="C133" s="10">
        <v>10</v>
      </c>
      <c r="D133" s="10">
        <v>4</v>
      </c>
      <c r="E133" s="10">
        <v>954</v>
      </c>
      <c r="F133" s="10">
        <v>32681803.038784042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667</v>
      </c>
      <c r="C134" s="10">
        <v>6</v>
      </c>
      <c r="D134" s="10">
        <v>1</v>
      </c>
      <c r="E134" s="10">
        <v>509</v>
      </c>
      <c r="F134" s="10">
        <v>25863027.463196736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606</v>
      </c>
      <c r="C135" s="10">
        <v>4</v>
      </c>
      <c r="D135" s="10">
        <v>2</v>
      </c>
      <c r="E135" s="10">
        <v>365</v>
      </c>
      <c r="F135" s="10">
        <v>20270994.999242045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1006</v>
      </c>
      <c r="C136" s="10">
        <v>23</v>
      </c>
      <c r="D136" s="10">
        <v>1</v>
      </c>
      <c r="E136" s="10">
        <v>954</v>
      </c>
      <c r="F136" s="10">
        <v>46810696.297399476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1372</v>
      </c>
      <c r="C137" s="10">
        <v>12</v>
      </c>
      <c r="D137" s="10">
        <v>2</v>
      </c>
      <c r="E137" s="10">
        <v>1255</v>
      </c>
      <c r="F137" s="10">
        <v>55666004.757332385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1376</v>
      </c>
      <c r="C138" s="10">
        <v>64</v>
      </c>
      <c r="D138" s="10">
        <v>4</v>
      </c>
      <c r="E138" s="10">
        <v>1124</v>
      </c>
      <c r="F138" s="10">
        <v>66526604.70177608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357</v>
      </c>
      <c r="C139" s="10">
        <v>2</v>
      </c>
      <c r="D139" s="10">
        <v>2</v>
      </c>
      <c r="E139" s="10">
        <v>272</v>
      </c>
      <c r="F139" s="10">
        <v>15168643.66130672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2414</v>
      </c>
      <c r="C140" s="10">
        <v>52</v>
      </c>
      <c r="D140" s="10">
        <v>5</v>
      </c>
      <c r="E140" s="10">
        <v>2112</v>
      </c>
      <c r="F140" s="10">
        <v>93332953.794208884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652</v>
      </c>
      <c r="C141" s="10">
        <v>11</v>
      </c>
      <c r="D141" s="10">
        <v>4</v>
      </c>
      <c r="E141" s="10">
        <v>659</v>
      </c>
      <c r="F141" s="10">
        <v>41075052.354170434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1862</v>
      </c>
      <c r="C142" s="10">
        <v>23</v>
      </c>
      <c r="D142" s="10">
        <v>1</v>
      </c>
      <c r="E142" s="10">
        <v>1585</v>
      </c>
      <c r="F142" s="10">
        <v>57236378.917486392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2246</v>
      </c>
      <c r="C143" s="10">
        <v>48</v>
      </c>
      <c r="D143" s="10">
        <v>7</v>
      </c>
      <c r="E143" s="10">
        <v>2082</v>
      </c>
      <c r="F143" s="10">
        <v>139044129.19109386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2403</v>
      </c>
      <c r="C144" s="10">
        <v>23</v>
      </c>
      <c r="D144" s="10">
        <v>7</v>
      </c>
      <c r="E144" s="10">
        <v>2083</v>
      </c>
      <c r="F144" s="10">
        <v>77657725.690745145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3264</v>
      </c>
      <c r="C145" s="10">
        <v>40</v>
      </c>
      <c r="D145" s="10">
        <v>3</v>
      </c>
      <c r="E145" s="10">
        <v>2378</v>
      </c>
      <c r="F145" s="10">
        <v>79040435.063985884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1009</v>
      </c>
      <c r="C146" s="10">
        <v>13</v>
      </c>
      <c r="D146" s="10">
        <v>7</v>
      </c>
      <c r="E146" s="10">
        <v>1033</v>
      </c>
      <c r="F146" s="10">
        <v>28665841.940976936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578</v>
      </c>
      <c r="C147" s="10">
        <v>4</v>
      </c>
      <c r="D147" s="10">
        <v>4</v>
      </c>
      <c r="E147" s="10">
        <v>545</v>
      </c>
      <c r="F147" s="10">
        <v>38402400.558992334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3210</v>
      </c>
      <c r="C148" s="10">
        <v>131</v>
      </c>
      <c r="D148" s="10">
        <v>11</v>
      </c>
      <c r="E148" s="10">
        <v>3405</v>
      </c>
      <c r="F148" s="10">
        <v>104846248.85478786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743</v>
      </c>
      <c r="C149" s="10">
        <v>10</v>
      </c>
      <c r="D149" s="10">
        <v>5</v>
      </c>
      <c r="E149" s="10">
        <v>710</v>
      </c>
      <c r="F149" s="10">
        <v>23620614.099433411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1084</v>
      </c>
      <c r="C150" s="10">
        <v>18</v>
      </c>
      <c r="D150" s="10">
        <v>6</v>
      </c>
      <c r="E150" s="10">
        <v>945</v>
      </c>
      <c r="F150" s="10">
        <v>43189415.650450587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1705</v>
      </c>
      <c r="C151" s="10">
        <v>20</v>
      </c>
      <c r="D151" s="10">
        <v>3</v>
      </c>
      <c r="E151" s="10">
        <v>1396</v>
      </c>
      <c r="F151" s="10">
        <v>56506880.59531258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2428</v>
      </c>
      <c r="C152" s="10">
        <v>22</v>
      </c>
      <c r="D152" s="10">
        <v>3</v>
      </c>
      <c r="E152" s="10">
        <v>1754</v>
      </c>
      <c r="F152" s="10">
        <v>77997535.367335662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1781</v>
      </c>
      <c r="C153" s="10">
        <v>35</v>
      </c>
      <c r="D153" s="10">
        <v>20</v>
      </c>
      <c r="E153" s="10">
        <v>1461</v>
      </c>
      <c r="F153" s="10">
        <v>99610188.483764723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1752</v>
      </c>
      <c r="C154" s="10">
        <v>22</v>
      </c>
      <c r="D154" s="10">
        <v>2</v>
      </c>
      <c r="E154" s="10">
        <v>1253</v>
      </c>
      <c r="F154" s="10">
        <v>42552847.241590887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2140</v>
      </c>
      <c r="C155" s="10">
        <v>19</v>
      </c>
      <c r="D155" s="10">
        <v>4</v>
      </c>
      <c r="E155" s="10">
        <v>1949</v>
      </c>
      <c r="F155" s="10">
        <v>57968938.825001627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1203</v>
      </c>
      <c r="C156" s="10">
        <v>16</v>
      </c>
      <c r="D156" s="10">
        <v>7</v>
      </c>
      <c r="E156" s="10">
        <v>1115</v>
      </c>
      <c r="F156" s="10">
        <v>46830452.137876406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1493</v>
      </c>
      <c r="C157" s="10">
        <v>17</v>
      </c>
      <c r="D157" s="10">
        <v>3</v>
      </c>
      <c r="E157" s="10">
        <v>1713</v>
      </c>
      <c r="F157" s="10">
        <v>32847709.942708861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997</v>
      </c>
      <c r="C158" s="10">
        <v>14</v>
      </c>
      <c r="D158" s="10">
        <v>5</v>
      </c>
      <c r="E158" s="10">
        <v>1068</v>
      </c>
      <c r="F158" s="10">
        <v>25213142.101014223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1072</v>
      </c>
      <c r="C159" s="10">
        <v>15</v>
      </c>
      <c r="D159" s="10">
        <v>2</v>
      </c>
      <c r="E159" s="10">
        <v>1095</v>
      </c>
      <c r="F159" s="10">
        <v>34920189.733038679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1206</v>
      </c>
      <c r="C160" s="10">
        <v>16</v>
      </c>
      <c r="D160" s="10">
        <v>2</v>
      </c>
      <c r="E160" s="10">
        <v>1291</v>
      </c>
      <c r="F160" s="10">
        <v>26492719.584461764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788</v>
      </c>
      <c r="C161" s="10">
        <v>16</v>
      </c>
      <c r="D161" s="10">
        <v>2</v>
      </c>
      <c r="E161" s="10">
        <v>752</v>
      </c>
      <c r="F161" s="10">
        <v>40822985.017835632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795</v>
      </c>
      <c r="C162" s="10">
        <v>11</v>
      </c>
      <c r="D162" s="10">
        <v>6</v>
      </c>
      <c r="E162" s="10">
        <v>701</v>
      </c>
      <c r="F162" s="10">
        <v>52610334.606857359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822</v>
      </c>
      <c r="C163" s="10">
        <v>10</v>
      </c>
      <c r="D163" s="10">
        <v>2</v>
      </c>
      <c r="E163" s="10">
        <v>869</v>
      </c>
      <c r="F163" s="10">
        <v>27901048.120396525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1568</v>
      </c>
      <c r="C164" s="10">
        <v>22</v>
      </c>
      <c r="D164" s="10">
        <v>2</v>
      </c>
      <c r="E164" s="10">
        <v>1633</v>
      </c>
      <c r="F164" s="10">
        <v>55653260.289744385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855</v>
      </c>
      <c r="C165" s="10">
        <v>22</v>
      </c>
      <c r="D165" s="10">
        <v>3</v>
      </c>
      <c r="E165" s="10">
        <v>895</v>
      </c>
      <c r="F165" s="10">
        <v>18278311.489383139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797</v>
      </c>
      <c r="C166" s="10">
        <v>7</v>
      </c>
      <c r="D166" s="10">
        <v>19</v>
      </c>
      <c r="E166" s="10">
        <v>689</v>
      </c>
      <c r="F166" s="10">
        <v>43221399.731087998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1144</v>
      </c>
      <c r="C167" s="10">
        <v>19</v>
      </c>
      <c r="D167" s="10">
        <v>5</v>
      </c>
      <c r="E167" s="10">
        <v>1241</v>
      </c>
      <c r="F167" s="10">
        <v>29504053.957811635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1165</v>
      </c>
      <c r="C168" s="10">
        <v>21</v>
      </c>
      <c r="D168" s="10">
        <v>3</v>
      </c>
      <c r="E168" s="10">
        <v>1217</v>
      </c>
      <c r="F168" s="10">
        <v>60679542.22065679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1307</v>
      </c>
      <c r="C169" s="10">
        <v>31</v>
      </c>
      <c r="D169" s="10">
        <v>10</v>
      </c>
      <c r="E169" s="10">
        <v>1112</v>
      </c>
      <c r="F169" s="10">
        <v>75918648.12679024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972</v>
      </c>
      <c r="C170" s="10">
        <v>14</v>
      </c>
      <c r="D170" s="10">
        <v>17</v>
      </c>
      <c r="E170" s="10">
        <v>930</v>
      </c>
      <c r="F170" s="10">
        <v>48202439.201008886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1800</v>
      </c>
      <c r="C171" s="10">
        <v>42</v>
      </c>
      <c r="D171" s="10">
        <v>9</v>
      </c>
      <c r="E171" s="10">
        <v>1742</v>
      </c>
      <c r="F171" s="10">
        <v>71148471.530187622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1037</v>
      </c>
      <c r="C172" s="10">
        <v>10</v>
      </c>
      <c r="D172" s="10">
        <v>2</v>
      </c>
      <c r="E172" s="10">
        <v>600</v>
      </c>
      <c r="F172" s="10">
        <v>25771639.275112178</v>
      </c>
      <c r="G172" s="10">
        <v>650</v>
      </c>
      <c r="H172" s="10">
        <v>9</v>
      </c>
      <c r="I172" s="10">
        <v>2</v>
      </c>
      <c r="J172" s="10">
        <v>590</v>
      </c>
      <c r="K172" s="10">
        <v>25705278.133010782</v>
      </c>
    </row>
    <row r="173" spans="1:11" x14ac:dyDescent="0.35">
      <c r="A173" s="9" t="s">
        <v>240</v>
      </c>
      <c r="B173" s="10">
        <v>325</v>
      </c>
      <c r="C173" s="10">
        <v>0</v>
      </c>
      <c r="D173" s="10">
        <v>0</v>
      </c>
      <c r="E173" s="10">
        <v>20</v>
      </c>
      <c r="F173" s="10">
        <v>40881.803732939996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1157</v>
      </c>
      <c r="C174" s="10">
        <v>16</v>
      </c>
      <c r="D174" s="10">
        <v>2</v>
      </c>
      <c r="E174" s="10">
        <v>871</v>
      </c>
      <c r="F174" s="10">
        <v>51649091.50447388</v>
      </c>
      <c r="G174" s="10">
        <v>1003</v>
      </c>
      <c r="H174" s="10">
        <v>12</v>
      </c>
      <c r="I174" s="10">
        <v>3</v>
      </c>
      <c r="J174" s="10">
        <v>900</v>
      </c>
      <c r="K174" s="10">
        <v>54934513.142150372</v>
      </c>
    </row>
    <row r="175" spans="1:11" x14ac:dyDescent="0.35">
      <c r="A175" s="9" t="s">
        <v>242</v>
      </c>
      <c r="B175" s="10">
        <v>1146</v>
      </c>
      <c r="C175" s="10">
        <v>18</v>
      </c>
      <c r="D175" s="10">
        <v>6</v>
      </c>
      <c r="E175" s="10">
        <v>1012</v>
      </c>
      <c r="F175" s="10">
        <v>48724261.178750902</v>
      </c>
      <c r="G175" s="10">
        <v>1062</v>
      </c>
      <c r="H175" s="10">
        <v>12</v>
      </c>
      <c r="I175" s="10">
        <v>7</v>
      </c>
      <c r="J175" s="10">
        <v>1033</v>
      </c>
      <c r="K175" s="10">
        <v>47852291.454693615</v>
      </c>
    </row>
    <row r="176" spans="1:11" x14ac:dyDescent="0.35">
      <c r="A176" s="9" t="s">
        <v>243</v>
      </c>
      <c r="B176" s="10">
        <v>1146</v>
      </c>
      <c r="C176" s="10">
        <v>39</v>
      </c>
      <c r="D176" s="10">
        <v>7</v>
      </c>
      <c r="E176" s="10">
        <v>1046</v>
      </c>
      <c r="F176" s="10">
        <v>31019899.455162808</v>
      </c>
      <c r="G176" s="10">
        <v>909</v>
      </c>
      <c r="H176" s="10">
        <v>52</v>
      </c>
      <c r="I176" s="10">
        <v>5</v>
      </c>
      <c r="J176" s="10">
        <v>1123</v>
      </c>
      <c r="K176" s="10">
        <v>34817262.958674438</v>
      </c>
    </row>
    <row r="177" spans="1:11" x14ac:dyDescent="0.35">
      <c r="A177" s="9" t="s">
        <v>244</v>
      </c>
      <c r="B177" s="10">
        <v>1728</v>
      </c>
      <c r="C177" s="10">
        <v>169</v>
      </c>
      <c r="D177" s="10">
        <v>4</v>
      </c>
      <c r="E177" s="10">
        <v>1442</v>
      </c>
      <c r="F177" s="10">
        <v>48177223.049451053</v>
      </c>
      <c r="G177" s="10">
        <v>1564</v>
      </c>
      <c r="H177" s="10">
        <v>53</v>
      </c>
      <c r="I177" s="10">
        <v>4</v>
      </c>
      <c r="J177" s="10">
        <v>1343</v>
      </c>
      <c r="K177" s="10">
        <v>48600953.574792355</v>
      </c>
    </row>
    <row r="178" spans="1:11" x14ac:dyDescent="0.35">
      <c r="A178" s="9" t="s">
        <v>245</v>
      </c>
      <c r="B178" s="10">
        <v>2321</v>
      </c>
      <c r="C178" s="10">
        <v>85</v>
      </c>
      <c r="D178" s="10">
        <v>4</v>
      </c>
      <c r="E178" s="10">
        <v>1457</v>
      </c>
      <c r="F178" s="10">
        <v>57240326.912413642</v>
      </c>
      <c r="G178" s="10">
        <v>2168</v>
      </c>
      <c r="H178" s="10">
        <v>48</v>
      </c>
      <c r="I178" s="10">
        <v>6</v>
      </c>
      <c r="J178" s="10">
        <v>1757</v>
      </c>
      <c r="K178" s="10">
        <v>75898712.374759272</v>
      </c>
    </row>
    <row r="179" spans="1:11" x14ac:dyDescent="0.35">
      <c r="A179" s="9" t="s">
        <v>246</v>
      </c>
      <c r="B179" s="10">
        <v>1491</v>
      </c>
      <c r="C179" s="10">
        <v>35</v>
      </c>
      <c r="D179" s="10">
        <v>5</v>
      </c>
      <c r="E179" s="10">
        <v>1697</v>
      </c>
      <c r="F179" s="10">
        <v>61443328.690465853</v>
      </c>
      <c r="G179" s="10">
        <v>1303</v>
      </c>
      <c r="H179" s="10">
        <v>20</v>
      </c>
      <c r="I179" s="10">
        <v>4</v>
      </c>
      <c r="J179" s="10">
        <v>1334</v>
      </c>
      <c r="K179" s="10">
        <v>55888478.040622801</v>
      </c>
    </row>
    <row r="180" spans="1:11" x14ac:dyDescent="0.35">
      <c r="A180" s="9" t="s">
        <v>247</v>
      </c>
      <c r="B180" s="10">
        <v>734</v>
      </c>
      <c r="C180" s="10">
        <v>12</v>
      </c>
      <c r="D180" s="10">
        <v>5</v>
      </c>
      <c r="E180" s="10">
        <v>634</v>
      </c>
      <c r="F180" s="10">
        <v>38337176.201942757</v>
      </c>
      <c r="G180" s="10">
        <v>643</v>
      </c>
      <c r="H180" s="10">
        <v>9</v>
      </c>
      <c r="I180" s="10">
        <v>4</v>
      </c>
      <c r="J180" s="10">
        <v>588</v>
      </c>
      <c r="K180" s="10">
        <v>38257683.643766001</v>
      </c>
    </row>
    <row r="181" spans="1:11" x14ac:dyDescent="0.35">
      <c r="A181" s="9" t="s">
        <v>248</v>
      </c>
      <c r="B181" s="10">
        <v>1425</v>
      </c>
      <c r="C181" s="10">
        <v>33</v>
      </c>
      <c r="D181" s="10">
        <v>6</v>
      </c>
      <c r="E181" s="10">
        <v>1562</v>
      </c>
      <c r="F181" s="10">
        <v>40930407.504514553</v>
      </c>
      <c r="G181" s="10">
        <v>1324</v>
      </c>
      <c r="H181" s="10">
        <v>96</v>
      </c>
      <c r="I181" s="10">
        <v>6</v>
      </c>
      <c r="J181" s="10">
        <v>1675</v>
      </c>
      <c r="K181" s="10">
        <v>51111902.160325646</v>
      </c>
    </row>
    <row r="182" spans="1:11" x14ac:dyDescent="0.35">
      <c r="A182" s="9" t="s">
        <v>249</v>
      </c>
      <c r="B182" s="10">
        <v>1138</v>
      </c>
      <c r="C182" s="10">
        <v>15</v>
      </c>
      <c r="D182" s="10">
        <v>2</v>
      </c>
      <c r="E182" s="10">
        <v>1001</v>
      </c>
      <c r="F182" s="10">
        <v>36398734.920327447</v>
      </c>
      <c r="G182" s="10">
        <v>1047</v>
      </c>
      <c r="H182" s="10">
        <v>12</v>
      </c>
      <c r="I182" s="10">
        <v>3</v>
      </c>
      <c r="J182" s="10">
        <v>1088</v>
      </c>
      <c r="K182" s="10">
        <v>37081214.570430331</v>
      </c>
    </row>
    <row r="183" spans="1:11" x14ac:dyDescent="0.35">
      <c r="A183" s="9" t="s">
        <v>250</v>
      </c>
      <c r="B183" s="10">
        <v>3177</v>
      </c>
      <c r="C183" s="10">
        <v>82</v>
      </c>
      <c r="D183" s="10">
        <v>7</v>
      </c>
      <c r="E183" s="10">
        <v>2708</v>
      </c>
      <c r="F183" s="10">
        <v>84120876.509671569</v>
      </c>
      <c r="G183" s="10">
        <v>3165</v>
      </c>
      <c r="H183" s="10">
        <v>41</v>
      </c>
      <c r="I183" s="10">
        <v>7</v>
      </c>
      <c r="J183" s="10">
        <v>2762</v>
      </c>
      <c r="K183" s="10">
        <v>86780857.320333883</v>
      </c>
    </row>
    <row r="184" spans="1:11" x14ac:dyDescent="0.35">
      <c r="A184" s="9" t="s">
        <v>251</v>
      </c>
      <c r="B184" s="10">
        <v>506</v>
      </c>
      <c r="C184" s="10">
        <v>8</v>
      </c>
      <c r="D184" s="10">
        <v>1</v>
      </c>
      <c r="E184" s="10">
        <v>428</v>
      </c>
      <c r="F184" s="10">
        <v>16136841.359740652</v>
      </c>
      <c r="G184" s="10">
        <v>499</v>
      </c>
      <c r="H184" s="10">
        <v>0</v>
      </c>
      <c r="I184" s="10">
        <v>0</v>
      </c>
      <c r="J184" s="10">
        <v>463</v>
      </c>
      <c r="K184" s="10">
        <v>17865837.239235219</v>
      </c>
    </row>
    <row r="185" spans="1:11" x14ac:dyDescent="0.35">
      <c r="A185" s="9" t="s">
        <v>252</v>
      </c>
      <c r="B185" s="10">
        <v>726</v>
      </c>
      <c r="C185" s="10">
        <v>360</v>
      </c>
      <c r="D185" s="10">
        <v>2</v>
      </c>
      <c r="E185" s="10">
        <v>456</v>
      </c>
      <c r="F185" s="10">
        <v>14231832.766619805</v>
      </c>
      <c r="G185" s="10">
        <v>696</v>
      </c>
      <c r="H185" s="10">
        <v>7</v>
      </c>
      <c r="I185" s="10">
        <v>3</v>
      </c>
      <c r="J185" s="10">
        <v>468</v>
      </c>
      <c r="K185" s="10">
        <v>13625509.577464759</v>
      </c>
    </row>
    <row r="186" spans="1:11" x14ac:dyDescent="0.35">
      <c r="A186" s="9" t="s">
        <v>253</v>
      </c>
      <c r="B186" s="10">
        <v>1120</v>
      </c>
      <c r="C186" s="10">
        <v>15</v>
      </c>
      <c r="D186" s="10">
        <v>2</v>
      </c>
      <c r="E186" s="10">
        <v>998</v>
      </c>
      <c r="F186" s="10">
        <v>43920642.224932119</v>
      </c>
      <c r="G186" s="10">
        <v>1102</v>
      </c>
      <c r="H186" s="10">
        <v>27</v>
      </c>
      <c r="I186" s="10">
        <v>3</v>
      </c>
      <c r="J186" s="10">
        <v>991</v>
      </c>
      <c r="K186" s="10">
        <v>44944319.098104507</v>
      </c>
    </row>
    <row r="187" spans="1:11" x14ac:dyDescent="0.35">
      <c r="A187" s="9" t="s">
        <v>254</v>
      </c>
      <c r="B187" s="10">
        <v>550</v>
      </c>
      <c r="C187" s="10">
        <v>12</v>
      </c>
      <c r="D187" s="10">
        <v>2</v>
      </c>
      <c r="E187" s="10">
        <v>461</v>
      </c>
      <c r="F187" s="10">
        <v>29614684.548014048</v>
      </c>
      <c r="G187" s="10">
        <v>637</v>
      </c>
      <c r="H187" s="10">
        <v>16</v>
      </c>
      <c r="I187" s="10">
        <v>3</v>
      </c>
      <c r="J187" s="10">
        <v>491</v>
      </c>
      <c r="K187" s="10">
        <v>28057411.919340827</v>
      </c>
    </row>
    <row r="188" spans="1:11" x14ac:dyDescent="0.35">
      <c r="A188" s="9" t="s">
        <v>255</v>
      </c>
      <c r="B188" s="10">
        <v>1289</v>
      </c>
      <c r="C188" s="10">
        <v>16</v>
      </c>
      <c r="D188" s="10">
        <v>3</v>
      </c>
      <c r="E188" s="10">
        <v>1215</v>
      </c>
      <c r="F188" s="10">
        <v>49582236.545763955</v>
      </c>
      <c r="G188" s="10">
        <v>1224</v>
      </c>
      <c r="H188" s="10">
        <v>11</v>
      </c>
      <c r="I188" s="10">
        <v>3</v>
      </c>
      <c r="J188" s="10">
        <v>1182</v>
      </c>
      <c r="K188" s="10">
        <v>46165662.163012505</v>
      </c>
    </row>
    <row r="189" spans="1:11" x14ac:dyDescent="0.35">
      <c r="A189" s="9" t="s">
        <v>256</v>
      </c>
      <c r="B189" s="10">
        <v>620</v>
      </c>
      <c r="C189" s="10">
        <v>13</v>
      </c>
      <c r="D189" s="10">
        <v>2</v>
      </c>
      <c r="E189" s="10">
        <v>627</v>
      </c>
      <c r="F189" s="10">
        <v>28197930.386966962</v>
      </c>
      <c r="G189" s="10">
        <v>718</v>
      </c>
      <c r="H189" s="10">
        <v>8</v>
      </c>
      <c r="I189" s="10">
        <v>1</v>
      </c>
      <c r="J189" s="10">
        <v>595</v>
      </c>
      <c r="K189" s="10">
        <v>27402789.394210689</v>
      </c>
    </row>
    <row r="190" spans="1:11" x14ac:dyDescent="0.35">
      <c r="A190" s="9" t="s">
        <v>257</v>
      </c>
      <c r="B190" s="10">
        <v>388</v>
      </c>
      <c r="C190" s="10">
        <v>5</v>
      </c>
      <c r="D190" s="10">
        <v>3</v>
      </c>
      <c r="E190" s="10">
        <v>341</v>
      </c>
      <c r="F190" s="10">
        <v>20435237.307002798</v>
      </c>
      <c r="G190" s="10">
        <v>364</v>
      </c>
      <c r="H190" s="10">
        <v>4</v>
      </c>
      <c r="I190" s="10">
        <v>2</v>
      </c>
      <c r="J190" s="10">
        <v>387</v>
      </c>
      <c r="K190" s="10">
        <v>18868437.809087899</v>
      </c>
    </row>
    <row r="191" spans="1:11" x14ac:dyDescent="0.35">
      <c r="A191" s="9" t="s">
        <v>258</v>
      </c>
      <c r="B191" s="10">
        <v>1373</v>
      </c>
      <c r="C191" s="10">
        <v>21</v>
      </c>
      <c r="D191" s="10">
        <v>5</v>
      </c>
      <c r="E191" s="10">
        <v>1207</v>
      </c>
      <c r="F191" s="10">
        <v>49702711.623982206</v>
      </c>
      <c r="G191" s="10">
        <v>1373</v>
      </c>
      <c r="H191" s="10">
        <v>20</v>
      </c>
      <c r="I191" s="10">
        <v>6</v>
      </c>
      <c r="J191" s="10">
        <v>1187</v>
      </c>
      <c r="K191" s="10">
        <v>52186527.188286588</v>
      </c>
    </row>
    <row r="192" spans="1:11" x14ac:dyDescent="0.35">
      <c r="A192" s="9" t="s">
        <v>259</v>
      </c>
      <c r="B192" s="10">
        <v>671</v>
      </c>
      <c r="C192" s="10">
        <v>22</v>
      </c>
      <c r="D192" s="10">
        <v>3</v>
      </c>
      <c r="E192" s="10">
        <v>613</v>
      </c>
      <c r="F192" s="10">
        <v>20376135.201313674</v>
      </c>
      <c r="G192" s="10">
        <v>654</v>
      </c>
      <c r="H192" s="10">
        <v>8</v>
      </c>
      <c r="I192" s="10">
        <v>2</v>
      </c>
      <c r="J192" s="10">
        <v>597</v>
      </c>
      <c r="K192" s="10">
        <v>20679033.425155502</v>
      </c>
    </row>
    <row r="193" spans="1:11" x14ac:dyDescent="0.35">
      <c r="A193" s="9" t="s">
        <v>260</v>
      </c>
      <c r="B193" s="10">
        <v>1110</v>
      </c>
      <c r="C193" s="10">
        <v>20</v>
      </c>
      <c r="D193" s="10">
        <v>4</v>
      </c>
      <c r="E193" s="10">
        <v>1032</v>
      </c>
      <c r="F193" s="10">
        <v>48201245.380591646</v>
      </c>
      <c r="G193" s="10">
        <v>1026</v>
      </c>
      <c r="H193" s="10">
        <v>14</v>
      </c>
      <c r="I193" s="10">
        <v>4</v>
      </c>
      <c r="J193" s="10">
        <v>1228</v>
      </c>
      <c r="K193" s="10">
        <v>46485404.695335418</v>
      </c>
    </row>
    <row r="194" spans="1:11" x14ac:dyDescent="0.35">
      <c r="A194" s="9" t="s">
        <v>261</v>
      </c>
      <c r="B194" s="10">
        <v>1655</v>
      </c>
      <c r="C194" s="10">
        <v>67</v>
      </c>
      <c r="D194" s="10">
        <v>15</v>
      </c>
      <c r="E194" s="10">
        <v>1454</v>
      </c>
      <c r="F194" s="10">
        <v>92693968.343951643</v>
      </c>
      <c r="G194" s="10">
        <v>1604</v>
      </c>
      <c r="H194" s="10">
        <v>63</v>
      </c>
      <c r="I194" s="10">
        <v>15</v>
      </c>
      <c r="J194" s="10">
        <v>1424</v>
      </c>
      <c r="K194" s="10">
        <v>96144296.140986294</v>
      </c>
    </row>
    <row r="195" spans="1:11" x14ac:dyDescent="0.35">
      <c r="A195" s="9" t="s">
        <v>262</v>
      </c>
      <c r="B195" s="10">
        <v>557</v>
      </c>
      <c r="C195" s="10">
        <v>11</v>
      </c>
      <c r="D195" s="10">
        <v>0</v>
      </c>
      <c r="E195" s="10">
        <v>486</v>
      </c>
      <c r="F195" s="10">
        <v>20231356.957761068</v>
      </c>
      <c r="G195" s="10">
        <v>577</v>
      </c>
      <c r="H195" s="10">
        <v>8</v>
      </c>
      <c r="I195" s="10">
        <v>0</v>
      </c>
      <c r="J195" s="10">
        <v>409</v>
      </c>
      <c r="K195" s="10">
        <v>17406998.293871306</v>
      </c>
    </row>
    <row r="196" spans="1:11" x14ac:dyDescent="0.35">
      <c r="A196" s="9" t="s">
        <v>263</v>
      </c>
      <c r="B196" s="10">
        <v>731</v>
      </c>
      <c r="C196" s="10">
        <v>22</v>
      </c>
      <c r="D196" s="10">
        <v>2</v>
      </c>
      <c r="E196" s="10">
        <v>729</v>
      </c>
      <c r="F196" s="10">
        <v>33249856.179738484</v>
      </c>
      <c r="G196" s="10">
        <v>683</v>
      </c>
      <c r="H196" s="10">
        <v>37</v>
      </c>
      <c r="I196" s="10">
        <v>3</v>
      </c>
      <c r="J196" s="10">
        <v>677</v>
      </c>
      <c r="K196" s="10">
        <v>32946518.825924762</v>
      </c>
    </row>
    <row r="197" spans="1:11" x14ac:dyDescent="0.35">
      <c r="A197" s="9" t="s">
        <v>264</v>
      </c>
      <c r="B197" s="10">
        <v>865</v>
      </c>
      <c r="C197" s="10">
        <v>61</v>
      </c>
      <c r="D197" s="10">
        <v>4</v>
      </c>
      <c r="E197" s="10">
        <v>652</v>
      </c>
      <c r="F197" s="10">
        <v>42740558.970228158</v>
      </c>
      <c r="G197" s="10">
        <v>846</v>
      </c>
      <c r="H197" s="10">
        <v>27</v>
      </c>
      <c r="I197" s="10">
        <v>2</v>
      </c>
      <c r="J197" s="10">
        <v>696</v>
      </c>
      <c r="K197" s="10">
        <v>41081726.786398992</v>
      </c>
    </row>
    <row r="198" spans="1:11" x14ac:dyDescent="0.35">
      <c r="A198" s="9" t="s">
        <v>265</v>
      </c>
      <c r="B198" s="10">
        <v>682</v>
      </c>
      <c r="C198" s="10">
        <v>21</v>
      </c>
      <c r="D198" s="10">
        <v>1</v>
      </c>
      <c r="E198" s="10">
        <v>619</v>
      </c>
      <c r="F198" s="10">
        <v>38329311.817239977</v>
      </c>
      <c r="G198" s="10">
        <v>695</v>
      </c>
      <c r="H198" s="10">
        <v>15</v>
      </c>
      <c r="I198" s="10">
        <v>2</v>
      </c>
      <c r="J198" s="10">
        <v>618</v>
      </c>
      <c r="K198" s="10">
        <v>40369454.350540221</v>
      </c>
    </row>
    <row r="199" spans="1:11" x14ac:dyDescent="0.35">
      <c r="A199" s="9" t="s">
        <v>266</v>
      </c>
      <c r="B199" s="10">
        <v>1379</v>
      </c>
      <c r="C199" s="10">
        <v>24</v>
      </c>
      <c r="D199" s="10">
        <v>7</v>
      </c>
      <c r="E199" s="10">
        <v>1308</v>
      </c>
      <c r="F199" s="10">
        <v>51501332.486407369</v>
      </c>
      <c r="G199" s="10">
        <v>1446</v>
      </c>
      <c r="H199" s="10">
        <v>17</v>
      </c>
      <c r="I199" s="10">
        <v>11</v>
      </c>
      <c r="J199" s="10">
        <v>1516</v>
      </c>
      <c r="K199" s="10">
        <v>57503445.785298795</v>
      </c>
    </row>
    <row r="200" spans="1:11" x14ac:dyDescent="0.35">
      <c r="A200" s="9" t="s">
        <v>267</v>
      </c>
      <c r="B200" s="10">
        <v>640</v>
      </c>
      <c r="C200" s="10">
        <v>8</v>
      </c>
      <c r="D200" s="10">
        <v>2</v>
      </c>
      <c r="E200" s="10">
        <v>624</v>
      </c>
      <c r="F200" s="10">
        <v>29427185.001975954</v>
      </c>
      <c r="G200" s="10">
        <v>727</v>
      </c>
      <c r="H200" s="10">
        <v>12</v>
      </c>
      <c r="I200" s="10">
        <v>2</v>
      </c>
      <c r="J200" s="10">
        <v>37</v>
      </c>
      <c r="K200" s="10">
        <v>29917229.71883557</v>
      </c>
    </row>
    <row r="201" spans="1:11" x14ac:dyDescent="0.35">
      <c r="A201" s="9" t="s">
        <v>268</v>
      </c>
      <c r="B201" s="10">
        <v>752</v>
      </c>
      <c r="C201" s="10">
        <v>18</v>
      </c>
      <c r="D201" s="10">
        <v>7</v>
      </c>
      <c r="E201" s="10">
        <v>720</v>
      </c>
      <c r="F201" s="10">
        <v>50054980.077335298</v>
      </c>
      <c r="G201" s="10">
        <v>883</v>
      </c>
      <c r="H201" s="10">
        <v>9</v>
      </c>
      <c r="I201" s="10">
        <v>5</v>
      </c>
      <c r="J201" s="10">
        <v>841</v>
      </c>
      <c r="K201" s="10">
        <v>41313780.867677629</v>
      </c>
    </row>
    <row r="202" spans="1:11" x14ac:dyDescent="0.35">
      <c r="A202" s="9" t="s">
        <v>269</v>
      </c>
      <c r="B202" s="10">
        <v>919</v>
      </c>
      <c r="C202" s="10">
        <v>27</v>
      </c>
      <c r="D202" s="10">
        <v>10</v>
      </c>
      <c r="E202" s="10">
        <v>774</v>
      </c>
      <c r="F202" s="10">
        <v>50005729.133607291</v>
      </c>
      <c r="G202" s="10">
        <v>861</v>
      </c>
      <c r="H202" s="10">
        <v>11</v>
      </c>
      <c r="I202" s="10">
        <v>11</v>
      </c>
      <c r="J202" s="10">
        <v>860</v>
      </c>
      <c r="K202" s="10">
        <v>49224053.061081432</v>
      </c>
    </row>
    <row r="203" spans="1:11" x14ac:dyDescent="0.35">
      <c r="A203" s="9" t="s">
        <v>270</v>
      </c>
      <c r="B203" s="10">
        <v>485</v>
      </c>
      <c r="C203" s="10">
        <v>6</v>
      </c>
      <c r="D203" s="10">
        <v>1</v>
      </c>
      <c r="E203" s="10">
        <v>487</v>
      </c>
      <c r="F203" s="10">
        <v>20367947.790103406</v>
      </c>
      <c r="G203" s="10">
        <v>530</v>
      </c>
      <c r="H203" s="10">
        <v>14</v>
      </c>
      <c r="I203" s="10">
        <v>1</v>
      </c>
      <c r="J203" s="10">
        <v>458</v>
      </c>
      <c r="K203" s="10">
        <v>20315651.063589465</v>
      </c>
    </row>
    <row r="204" spans="1:11" x14ac:dyDescent="0.35">
      <c r="A204" s="9" t="s">
        <v>271</v>
      </c>
      <c r="B204" s="10">
        <v>896</v>
      </c>
      <c r="C204" s="10">
        <v>16</v>
      </c>
      <c r="D204" s="10">
        <v>11</v>
      </c>
      <c r="E204" s="10">
        <v>826</v>
      </c>
      <c r="F204" s="10">
        <v>53512024.670477435</v>
      </c>
      <c r="G204" s="10">
        <v>984</v>
      </c>
      <c r="H204" s="10">
        <v>17</v>
      </c>
      <c r="I204" s="10">
        <v>10</v>
      </c>
      <c r="J204" s="10">
        <v>989</v>
      </c>
      <c r="K204" s="10">
        <v>62211970.116728298</v>
      </c>
    </row>
    <row r="205" spans="1:11" x14ac:dyDescent="0.35">
      <c r="A205" s="9" t="s">
        <v>272</v>
      </c>
      <c r="B205" s="10">
        <v>579</v>
      </c>
      <c r="C205" s="10">
        <v>5</v>
      </c>
      <c r="D205" s="10">
        <v>5</v>
      </c>
      <c r="E205" s="10">
        <v>563</v>
      </c>
      <c r="F205" s="10">
        <v>28698583.376632936</v>
      </c>
      <c r="G205" s="10">
        <v>626</v>
      </c>
      <c r="H205" s="10">
        <v>13</v>
      </c>
      <c r="I205" s="10">
        <v>4</v>
      </c>
      <c r="J205" s="10">
        <v>473</v>
      </c>
      <c r="K205" s="10">
        <v>27398777.324144885</v>
      </c>
    </row>
    <row r="206" spans="1:11" x14ac:dyDescent="0.35">
      <c r="A206" s="9" t="s">
        <v>273</v>
      </c>
      <c r="B206" s="10">
        <v>728</v>
      </c>
      <c r="C206" s="10">
        <v>16</v>
      </c>
      <c r="D206" s="10">
        <v>2</v>
      </c>
      <c r="E206" s="10">
        <v>828</v>
      </c>
      <c r="F206" s="10">
        <v>27517112.13862852</v>
      </c>
      <c r="G206" s="10">
        <v>660</v>
      </c>
      <c r="H206" s="10">
        <v>11</v>
      </c>
      <c r="I206" s="10">
        <v>1</v>
      </c>
      <c r="J206" s="10">
        <v>453</v>
      </c>
      <c r="K206" s="10">
        <v>24541885.8939576</v>
      </c>
    </row>
    <row r="207" spans="1:11" x14ac:dyDescent="0.35">
      <c r="A207" s="9" t="s">
        <v>274</v>
      </c>
      <c r="B207" s="10">
        <v>406</v>
      </c>
      <c r="C207" s="10">
        <v>5</v>
      </c>
      <c r="D207" s="10">
        <v>2</v>
      </c>
      <c r="E207" s="10">
        <v>331</v>
      </c>
      <c r="F207" s="10">
        <v>15740388.692257572</v>
      </c>
      <c r="G207" s="10">
        <v>398</v>
      </c>
      <c r="H207" s="10">
        <v>9</v>
      </c>
      <c r="I207" s="10">
        <v>3</v>
      </c>
      <c r="J207" s="10">
        <v>346</v>
      </c>
      <c r="K207" s="10">
        <v>17567359.884890493</v>
      </c>
    </row>
    <row r="208" spans="1:11" x14ac:dyDescent="0.35">
      <c r="A208" s="9" t="s">
        <v>275</v>
      </c>
      <c r="B208" s="10">
        <v>1092</v>
      </c>
      <c r="C208" s="10">
        <v>33</v>
      </c>
      <c r="D208" s="10">
        <v>7</v>
      </c>
      <c r="E208" s="10">
        <v>1005</v>
      </c>
      <c r="F208" s="10">
        <v>66371002.665404156</v>
      </c>
      <c r="G208" s="10">
        <v>1148</v>
      </c>
      <c r="H208" s="10">
        <v>19</v>
      </c>
      <c r="I208" s="10">
        <v>6</v>
      </c>
      <c r="J208" s="10">
        <v>956</v>
      </c>
      <c r="K208" s="10">
        <v>57882235.219095297</v>
      </c>
    </row>
    <row r="209" spans="1:11" x14ac:dyDescent="0.35">
      <c r="A209" s="9" t="s">
        <v>276</v>
      </c>
      <c r="B209" s="10">
        <v>770</v>
      </c>
      <c r="C209" s="10">
        <v>13</v>
      </c>
      <c r="D209" s="10">
        <v>3</v>
      </c>
      <c r="E209" s="10">
        <v>610</v>
      </c>
      <c r="F209" s="10">
        <v>33118855.449792728</v>
      </c>
      <c r="G209" s="10">
        <v>714</v>
      </c>
      <c r="H209" s="10">
        <v>11</v>
      </c>
      <c r="I209" s="10">
        <v>3</v>
      </c>
      <c r="J209" s="10">
        <v>642</v>
      </c>
      <c r="K209" s="10">
        <v>37713190.124421112</v>
      </c>
    </row>
    <row r="210" spans="1:11" x14ac:dyDescent="0.35">
      <c r="A210" s="9" t="s">
        <v>277</v>
      </c>
      <c r="B210" s="10">
        <v>959</v>
      </c>
      <c r="C210" s="10">
        <v>24</v>
      </c>
      <c r="D210" s="10">
        <v>8</v>
      </c>
      <c r="E210" s="10">
        <v>307</v>
      </c>
      <c r="F210" s="10">
        <v>42037021.631739356</v>
      </c>
      <c r="G210" s="10">
        <v>1051</v>
      </c>
      <c r="H210" s="10">
        <v>24</v>
      </c>
      <c r="I210" s="10">
        <v>8</v>
      </c>
      <c r="J210" s="10">
        <v>1085</v>
      </c>
      <c r="K210" s="10">
        <v>46492611.349119991</v>
      </c>
    </row>
    <row r="211" spans="1:11" x14ac:dyDescent="0.35">
      <c r="A211" s="9" t="s">
        <v>278</v>
      </c>
      <c r="B211" s="10">
        <v>404</v>
      </c>
      <c r="C211" s="10">
        <v>11</v>
      </c>
      <c r="D211" s="10">
        <v>2</v>
      </c>
      <c r="E211" s="10">
        <v>358</v>
      </c>
      <c r="F211" s="10">
        <v>23651759.504586894</v>
      </c>
      <c r="G211" s="10">
        <v>411</v>
      </c>
      <c r="H211" s="10">
        <v>8</v>
      </c>
      <c r="I211" s="10">
        <v>3</v>
      </c>
      <c r="J211" s="10">
        <v>320</v>
      </c>
      <c r="K211" s="10">
        <v>20447417.383994799</v>
      </c>
    </row>
    <row r="212" spans="1:11" x14ac:dyDescent="0.35">
      <c r="A212" s="9" t="s">
        <v>279</v>
      </c>
      <c r="B212" s="10">
        <v>2050</v>
      </c>
      <c r="C212" s="10">
        <v>452</v>
      </c>
      <c r="D212" s="10">
        <v>12</v>
      </c>
      <c r="E212" s="10">
        <v>1474</v>
      </c>
      <c r="F212" s="10">
        <v>72723590.106411353</v>
      </c>
      <c r="G212" s="10">
        <v>1846</v>
      </c>
      <c r="H212" s="10">
        <v>98</v>
      </c>
      <c r="I212" s="10">
        <v>12</v>
      </c>
      <c r="J212" s="10">
        <v>1693</v>
      </c>
      <c r="K212" s="10">
        <v>86375721.601916254</v>
      </c>
    </row>
    <row r="213" spans="1:11" x14ac:dyDescent="0.35">
      <c r="A213" s="9" t="s">
        <v>280</v>
      </c>
      <c r="B213" s="10">
        <v>1290</v>
      </c>
      <c r="C213" s="10">
        <v>13</v>
      </c>
      <c r="D213" s="10">
        <v>3</v>
      </c>
      <c r="E213" s="10">
        <v>1275</v>
      </c>
      <c r="F213" s="10">
        <v>51859429.067609541</v>
      </c>
      <c r="G213" s="10">
        <v>1271</v>
      </c>
      <c r="H213" s="10">
        <v>20</v>
      </c>
      <c r="I213" s="10">
        <v>3</v>
      </c>
      <c r="J213" s="10">
        <v>1336</v>
      </c>
      <c r="K213" s="10">
        <v>47208266.13418445</v>
      </c>
    </row>
    <row r="214" spans="1:11" x14ac:dyDescent="0.35">
      <c r="A214" s="9" t="s">
        <v>281</v>
      </c>
      <c r="B214" s="10">
        <v>987</v>
      </c>
      <c r="C214" s="10">
        <v>22</v>
      </c>
      <c r="D214" s="10">
        <v>8</v>
      </c>
      <c r="E214" s="10">
        <v>880</v>
      </c>
      <c r="F214" s="10">
        <v>46933564.946733996</v>
      </c>
      <c r="G214" s="10">
        <v>908</v>
      </c>
      <c r="H214" s="10">
        <v>20</v>
      </c>
      <c r="I214" s="10">
        <v>10</v>
      </c>
      <c r="J214" s="10">
        <v>863</v>
      </c>
      <c r="K214" s="10">
        <v>52789817.177720837</v>
      </c>
    </row>
    <row r="215" spans="1:11" x14ac:dyDescent="0.35">
      <c r="A215" s="9" t="s">
        <v>282</v>
      </c>
      <c r="B215" s="10">
        <v>969</v>
      </c>
      <c r="C215" s="10">
        <v>17</v>
      </c>
      <c r="D215" s="10">
        <v>1</v>
      </c>
      <c r="E215" s="10">
        <v>958</v>
      </c>
      <c r="F215" s="10">
        <v>39261482.301507704</v>
      </c>
      <c r="G215" s="10">
        <v>893</v>
      </c>
      <c r="H215" s="10">
        <v>12</v>
      </c>
      <c r="I215" s="10">
        <v>2</v>
      </c>
      <c r="J215" s="10">
        <v>977</v>
      </c>
      <c r="K215" s="10">
        <v>49628309.525505386</v>
      </c>
    </row>
    <row r="216" spans="1:11" x14ac:dyDescent="0.35">
      <c r="A216" s="9" t="s">
        <v>283</v>
      </c>
      <c r="B216" s="10">
        <v>1379</v>
      </c>
      <c r="C216" s="10">
        <v>38</v>
      </c>
      <c r="D216" s="10">
        <v>6</v>
      </c>
      <c r="E216" s="10">
        <v>1064</v>
      </c>
      <c r="F216" s="10">
        <v>56420777.512806967</v>
      </c>
      <c r="G216" s="10">
        <v>1321</v>
      </c>
      <c r="H216" s="10">
        <v>307</v>
      </c>
      <c r="I216" s="10">
        <v>6</v>
      </c>
      <c r="J216" s="10">
        <v>1017</v>
      </c>
      <c r="K216" s="10">
        <v>54186519.635441497</v>
      </c>
    </row>
    <row r="217" spans="1:11" x14ac:dyDescent="0.35">
      <c r="A217" s="9" t="s">
        <v>284</v>
      </c>
      <c r="B217" s="10">
        <v>659</v>
      </c>
      <c r="C217" s="10">
        <v>2</v>
      </c>
      <c r="D217" s="10">
        <v>3</v>
      </c>
      <c r="E217" s="10">
        <v>558</v>
      </c>
      <c r="F217" s="10">
        <v>40747940.480531804</v>
      </c>
      <c r="G217" s="10">
        <v>684</v>
      </c>
      <c r="H217" s="10">
        <v>14</v>
      </c>
      <c r="I217" s="10">
        <v>3</v>
      </c>
      <c r="J217" s="10">
        <v>542</v>
      </c>
      <c r="K217" s="10">
        <v>40558074.002750143</v>
      </c>
    </row>
    <row r="218" spans="1:11" x14ac:dyDescent="0.35">
      <c r="A218" s="9" t="s">
        <v>285</v>
      </c>
      <c r="B218" s="10">
        <v>159</v>
      </c>
      <c r="C218" s="10">
        <v>15</v>
      </c>
      <c r="D218" s="10">
        <v>4</v>
      </c>
      <c r="E218" s="10">
        <v>39</v>
      </c>
      <c r="F218" s="10">
        <v>28270192.808524452</v>
      </c>
      <c r="G218" s="10">
        <v>607</v>
      </c>
      <c r="H218" s="10">
        <v>5</v>
      </c>
      <c r="I218" s="10">
        <v>5</v>
      </c>
      <c r="J218" s="10">
        <v>528</v>
      </c>
      <c r="K218" s="10">
        <v>32269849.83337098</v>
      </c>
    </row>
    <row r="219" spans="1:11" x14ac:dyDescent="0.35">
      <c r="A219" s="9" t="s">
        <v>286</v>
      </c>
      <c r="B219" s="10">
        <v>2201</v>
      </c>
      <c r="C219" s="10">
        <v>65</v>
      </c>
      <c r="D219" s="10">
        <v>17</v>
      </c>
      <c r="E219" s="10">
        <v>1912</v>
      </c>
      <c r="F219" s="10">
        <v>97066097.456590235</v>
      </c>
      <c r="G219" s="10">
        <v>1939</v>
      </c>
      <c r="H219" s="10">
        <v>115</v>
      </c>
      <c r="I219" s="10">
        <v>18</v>
      </c>
      <c r="J219" s="10">
        <v>2047</v>
      </c>
      <c r="K219" s="10">
        <v>95907032.995620608</v>
      </c>
    </row>
    <row r="220" spans="1:11" x14ac:dyDescent="0.35">
      <c r="A220" s="9" t="s">
        <v>287</v>
      </c>
      <c r="B220" s="10">
        <v>658</v>
      </c>
      <c r="C220" s="10">
        <v>13</v>
      </c>
      <c r="D220" s="10">
        <v>9</v>
      </c>
      <c r="E220" s="10">
        <v>615</v>
      </c>
      <c r="F220" s="10">
        <v>37598917.598803446</v>
      </c>
      <c r="G220" s="10">
        <v>652</v>
      </c>
      <c r="H220" s="10">
        <v>10</v>
      </c>
      <c r="I220" s="10">
        <v>9</v>
      </c>
      <c r="J220" s="10">
        <v>549</v>
      </c>
      <c r="K220" s="10">
        <v>34968847.483952589</v>
      </c>
    </row>
    <row r="221" spans="1:11" x14ac:dyDescent="0.35">
      <c r="A221" s="9" t="s">
        <v>288</v>
      </c>
      <c r="B221" s="10">
        <v>369</v>
      </c>
      <c r="C221" s="10">
        <v>13</v>
      </c>
      <c r="D221" s="10">
        <v>2</v>
      </c>
      <c r="E221" s="10">
        <v>288</v>
      </c>
      <c r="F221" s="10">
        <v>10595595.808294088</v>
      </c>
      <c r="G221" s="10">
        <v>296</v>
      </c>
      <c r="H221" s="10">
        <v>5</v>
      </c>
      <c r="I221" s="10">
        <v>1</v>
      </c>
      <c r="J221" s="10">
        <v>268</v>
      </c>
      <c r="K221" s="10">
        <v>9610444.5918824971</v>
      </c>
    </row>
    <row r="222" spans="1:11" x14ac:dyDescent="0.35">
      <c r="A222" s="9" t="s">
        <v>289</v>
      </c>
      <c r="B222" s="10">
        <v>591</v>
      </c>
      <c r="C222" s="10">
        <v>18</v>
      </c>
      <c r="D222" s="10">
        <v>8</v>
      </c>
      <c r="E222" s="10">
        <v>541</v>
      </c>
      <c r="F222" s="10">
        <v>32225927.922509234</v>
      </c>
      <c r="G222" s="10">
        <v>645</v>
      </c>
      <c r="H222" s="10">
        <v>7</v>
      </c>
      <c r="I222" s="10">
        <v>8</v>
      </c>
      <c r="J222" s="10">
        <v>475</v>
      </c>
      <c r="K222" s="10">
        <v>30763399.786388952</v>
      </c>
    </row>
    <row r="223" spans="1:11" x14ac:dyDescent="0.35">
      <c r="A223" s="9" t="s">
        <v>290</v>
      </c>
      <c r="B223" s="10">
        <v>821</v>
      </c>
      <c r="C223" s="10">
        <v>13</v>
      </c>
      <c r="D223" s="10">
        <v>12</v>
      </c>
      <c r="E223" s="10">
        <v>697</v>
      </c>
      <c r="F223" s="10">
        <v>38524384.848742262</v>
      </c>
      <c r="G223" s="10">
        <v>844</v>
      </c>
      <c r="H223" s="10">
        <v>84</v>
      </c>
      <c r="I223" s="10">
        <v>15</v>
      </c>
      <c r="J223" s="10">
        <v>653</v>
      </c>
      <c r="K223" s="10">
        <v>36898564.557106405</v>
      </c>
    </row>
    <row r="224" spans="1:11" x14ac:dyDescent="0.35">
      <c r="A224" s="9" t="s">
        <v>291</v>
      </c>
      <c r="B224" s="10">
        <v>1574</v>
      </c>
      <c r="C224" s="10">
        <v>31</v>
      </c>
      <c r="D224" s="10">
        <v>7</v>
      </c>
      <c r="E224" s="10">
        <v>1403</v>
      </c>
      <c r="F224" s="10">
        <v>62543080.784837767</v>
      </c>
      <c r="G224" s="10">
        <v>1447</v>
      </c>
      <c r="H224" s="10">
        <v>23</v>
      </c>
      <c r="I224" s="10">
        <v>7</v>
      </c>
      <c r="J224" s="10">
        <v>1401</v>
      </c>
      <c r="K224" s="10">
        <v>63848321.753426224</v>
      </c>
    </row>
    <row r="225" spans="1:11" x14ac:dyDescent="0.35">
      <c r="A225" s="9" t="s">
        <v>292</v>
      </c>
      <c r="B225" s="10">
        <v>633</v>
      </c>
      <c r="C225" s="10">
        <v>11</v>
      </c>
      <c r="D225" s="10">
        <v>8</v>
      </c>
      <c r="E225" s="10">
        <v>664</v>
      </c>
      <c r="F225" s="10">
        <v>23005997.993806299</v>
      </c>
      <c r="G225" s="10">
        <v>614</v>
      </c>
      <c r="H225" s="10">
        <v>11</v>
      </c>
      <c r="I225" s="10">
        <v>8</v>
      </c>
      <c r="J225" s="10">
        <v>727</v>
      </c>
      <c r="K225" s="10">
        <v>25713819.193777565</v>
      </c>
    </row>
    <row r="226" spans="1:11" x14ac:dyDescent="0.35">
      <c r="A226" s="9" t="s">
        <v>293</v>
      </c>
      <c r="B226" s="10">
        <v>802</v>
      </c>
      <c r="C226" s="10">
        <v>15</v>
      </c>
      <c r="D226" s="10">
        <v>3</v>
      </c>
      <c r="E226" s="10">
        <v>746</v>
      </c>
      <c r="F226" s="10">
        <v>21462523.948792465</v>
      </c>
      <c r="G226" s="10">
        <v>705</v>
      </c>
      <c r="H226" s="10">
        <v>9</v>
      </c>
      <c r="I226" s="10">
        <v>4</v>
      </c>
      <c r="J226" s="10">
        <v>726</v>
      </c>
      <c r="K226" s="10">
        <v>23454926.360757463</v>
      </c>
    </row>
    <row r="227" spans="1:11" x14ac:dyDescent="0.35">
      <c r="A227" s="9" t="s">
        <v>294</v>
      </c>
      <c r="B227" s="10">
        <v>860</v>
      </c>
      <c r="C227" s="10">
        <v>24</v>
      </c>
      <c r="D227" s="10">
        <v>3</v>
      </c>
      <c r="E227" s="10">
        <v>817</v>
      </c>
      <c r="F227" s="10">
        <v>32700678.814563863</v>
      </c>
      <c r="G227" s="10">
        <v>866</v>
      </c>
      <c r="H227" s="10">
        <v>19</v>
      </c>
      <c r="I227" s="10">
        <v>5</v>
      </c>
      <c r="J227" s="10">
        <v>839</v>
      </c>
      <c r="K227" s="10">
        <v>40420420.386869408</v>
      </c>
    </row>
    <row r="228" spans="1:11" x14ac:dyDescent="0.35">
      <c r="A228" s="9" t="s">
        <v>295</v>
      </c>
      <c r="B228" s="10">
        <v>876</v>
      </c>
      <c r="C228" s="10">
        <v>12</v>
      </c>
      <c r="D228" s="10">
        <v>3</v>
      </c>
      <c r="E228" s="10">
        <v>834</v>
      </c>
      <c r="F228" s="10">
        <v>37180852.876361057</v>
      </c>
      <c r="G228" s="10">
        <v>875</v>
      </c>
      <c r="H228" s="10">
        <v>3</v>
      </c>
      <c r="I228" s="10">
        <v>3</v>
      </c>
      <c r="J228" s="10">
        <v>774</v>
      </c>
      <c r="K228" s="10">
        <v>30584282.915979449</v>
      </c>
    </row>
    <row r="229" spans="1:11" x14ac:dyDescent="0.35">
      <c r="A229" s="9" t="s">
        <v>296</v>
      </c>
      <c r="B229" s="10">
        <v>728</v>
      </c>
      <c r="C229" s="10">
        <v>9</v>
      </c>
      <c r="D229" s="10">
        <v>4</v>
      </c>
      <c r="E229" s="10">
        <v>546</v>
      </c>
      <c r="F229" s="10">
        <v>42388061.443067335</v>
      </c>
      <c r="G229" s="10">
        <v>805</v>
      </c>
      <c r="H229" s="10">
        <v>107</v>
      </c>
      <c r="I229" s="10">
        <v>7</v>
      </c>
      <c r="J229" s="10">
        <v>615</v>
      </c>
      <c r="K229" s="10">
        <v>43494898.893866487</v>
      </c>
    </row>
    <row r="230" spans="1:11" x14ac:dyDescent="0.35">
      <c r="A230" s="9" t="s">
        <v>297</v>
      </c>
      <c r="B230" s="10">
        <v>1093</v>
      </c>
      <c r="C230" s="10">
        <v>12</v>
      </c>
      <c r="D230" s="10">
        <v>5</v>
      </c>
      <c r="E230" s="10">
        <v>941</v>
      </c>
      <c r="F230" s="10">
        <v>42669722.987437353</v>
      </c>
      <c r="G230" s="10">
        <v>1112</v>
      </c>
      <c r="H230" s="10">
        <v>9</v>
      </c>
      <c r="I230" s="10">
        <v>6</v>
      </c>
      <c r="J230" s="10">
        <v>946</v>
      </c>
      <c r="K230" s="10">
        <v>41947683.432886571</v>
      </c>
    </row>
    <row r="231" spans="1:11" x14ac:dyDescent="0.35">
      <c r="A231" s="9" t="s">
        <v>298</v>
      </c>
      <c r="B231" s="10">
        <v>627</v>
      </c>
      <c r="C231" s="10">
        <v>12</v>
      </c>
      <c r="D231" s="10">
        <v>2</v>
      </c>
      <c r="E231" s="10">
        <v>538</v>
      </c>
      <c r="F231" s="10">
        <v>15451962.166455725</v>
      </c>
      <c r="G231" s="10">
        <v>677</v>
      </c>
      <c r="H231" s="10">
        <v>7</v>
      </c>
      <c r="I231" s="10">
        <v>2</v>
      </c>
      <c r="J231" s="10">
        <v>575</v>
      </c>
      <c r="K231" s="10">
        <v>15543453.144178629</v>
      </c>
    </row>
    <row r="232" spans="1:11" x14ac:dyDescent="0.35">
      <c r="A232" s="9" t="s">
        <v>299</v>
      </c>
      <c r="B232" s="10">
        <v>760</v>
      </c>
      <c r="C232" s="10">
        <v>13</v>
      </c>
      <c r="D232" s="10">
        <v>1</v>
      </c>
      <c r="E232" s="10">
        <v>809</v>
      </c>
      <c r="F232" s="10">
        <v>20233471.251057643</v>
      </c>
      <c r="G232" s="10">
        <v>521</v>
      </c>
      <c r="H232" s="10">
        <v>9</v>
      </c>
      <c r="I232" s="10">
        <v>1</v>
      </c>
      <c r="J232" s="10">
        <v>609</v>
      </c>
      <c r="K232" s="10">
        <v>25281457.574580729</v>
      </c>
    </row>
    <row r="233" spans="1:11" x14ac:dyDescent="0.35">
      <c r="A233" s="9" t="s">
        <v>300</v>
      </c>
      <c r="B233" s="10">
        <v>751</v>
      </c>
      <c r="C233" s="10">
        <v>13</v>
      </c>
      <c r="D233" s="10">
        <v>2</v>
      </c>
      <c r="E233" s="10">
        <v>725</v>
      </c>
      <c r="F233" s="10">
        <v>29598759.847468346</v>
      </c>
      <c r="G233" s="10">
        <v>705</v>
      </c>
      <c r="H233" s="10">
        <v>10</v>
      </c>
      <c r="I233" s="10">
        <v>2</v>
      </c>
      <c r="J233" s="10">
        <v>655</v>
      </c>
      <c r="K233" s="10">
        <v>31135613.764420263</v>
      </c>
    </row>
    <row r="234" spans="1:11" x14ac:dyDescent="0.35">
      <c r="A234" s="9" t="s">
        <v>301</v>
      </c>
      <c r="B234" s="10">
        <v>55</v>
      </c>
      <c r="C234" s="10">
        <v>1</v>
      </c>
      <c r="D234" s="10">
        <v>1</v>
      </c>
      <c r="E234" s="10">
        <v>43</v>
      </c>
      <c r="F234" s="10">
        <v>6476984.5003022579</v>
      </c>
      <c r="G234" s="10">
        <v>204</v>
      </c>
      <c r="H234" s="10">
        <v>1</v>
      </c>
      <c r="I234" s="10">
        <v>2</v>
      </c>
      <c r="J234" s="10">
        <v>4</v>
      </c>
      <c r="K234" s="10">
        <v>1044571.035316622</v>
      </c>
    </row>
    <row r="235" spans="1:11" x14ac:dyDescent="0.35">
      <c r="A235" s="9" t="s">
        <v>302</v>
      </c>
      <c r="B235" s="10">
        <v>2844</v>
      </c>
      <c r="C235" s="10">
        <v>53</v>
      </c>
      <c r="D235" s="10">
        <v>11</v>
      </c>
      <c r="E235" s="10">
        <v>2745</v>
      </c>
      <c r="F235" s="10">
        <v>102942503.98348291</v>
      </c>
      <c r="G235" s="10">
        <v>2407</v>
      </c>
      <c r="H235" s="10">
        <v>136</v>
      </c>
      <c r="I235" s="10">
        <v>8</v>
      </c>
      <c r="J235" s="10">
        <v>2128</v>
      </c>
      <c r="K235" s="10">
        <v>98833610.727319583</v>
      </c>
    </row>
    <row r="236" spans="1:11" x14ac:dyDescent="0.35">
      <c r="A236" s="9" t="s">
        <v>303</v>
      </c>
      <c r="B236" s="10">
        <v>1098</v>
      </c>
      <c r="C236" s="10">
        <v>12</v>
      </c>
      <c r="D236" s="10">
        <v>2</v>
      </c>
      <c r="E236" s="10">
        <v>964</v>
      </c>
      <c r="F236" s="10">
        <v>48105960.706129551</v>
      </c>
      <c r="G236" s="10">
        <v>1112</v>
      </c>
      <c r="H236" s="10">
        <v>151</v>
      </c>
      <c r="I236" s="10">
        <v>3</v>
      </c>
      <c r="J236" s="10">
        <v>999</v>
      </c>
      <c r="K236" s="10">
        <v>51086762.586954549</v>
      </c>
    </row>
    <row r="237" spans="1:11" x14ac:dyDescent="0.35">
      <c r="A237" s="9" t="s">
        <v>304</v>
      </c>
      <c r="B237" s="10">
        <v>544</v>
      </c>
      <c r="C237" s="10">
        <v>7</v>
      </c>
      <c r="D237" s="10">
        <v>3</v>
      </c>
      <c r="E237" s="10">
        <v>477</v>
      </c>
      <c r="F237" s="10">
        <v>15047954.977216858</v>
      </c>
      <c r="G237" s="10">
        <v>548</v>
      </c>
      <c r="H237" s="10">
        <v>5</v>
      </c>
      <c r="I237" s="10">
        <v>3</v>
      </c>
      <c r="J237" s="10">
        <v>516</v>
      </c>
      <c r="K237" s="10">
        <v>19999951.210561786</v>
      </c>
    </row>
    <row r="238" spans="1:11" x14ac:dyDescent="0.35">
      <c r="A238" s="9" t="s">
        <v>305</v>
      </c>
      <c r="B238" s="10">
        <v>847</v>
      </c>
      <c r="C238" s="10">
        <v>10</v>
      </c>
      <c r="D238" s="10">
        <v>3</v>
      </c>
      <c r="E238" s="10">
        <v>375</v>
      </c>
      <c r="F238" s="10">
        <v>28107731.732864119</v>
      </c>
      <c r="G238" s="10">
        <v>901</v>
      </c>
      <c r="H238" s="10">
        <v>11</v>
      </c>
      <c r="I238" s="10">
        <v>4</v>
      </c>
      <c r="J238" s="10">
        <v>795</v>
      </c>
      <c r="K238" s="10">
        <v>24164809.650624044</v>
      </c>
    </row>
    <row r="239" spans="1:11" x14ac:dyDescent="0.35">
      <c r="A239" s="9" t="s">
        <v>306</v>
      </c>
      <c r="B239" s="10">
        <v>834</v>
      </c>
      <c r="C239" s="10">
        <v>16</v>
      </c>
      <c r="D239" s="10">
        <v>4</v>
      </c>
      <c r="E239" s="10">
        <v>762</v>
      </c>
      <c r="F239" s="10">
        <v>38877735.527104273</v>
      </c>
      <c r="G239" s="10">
        <v>887</v>
      </c>
      <c r="H239" s="10">
        <v>14</v>
      </c>
      <c r="I239" s="10">
        <v>4</v>
      </c>
      <c r="J239" s="10">
        <v>840</v>
      </c>
      <c r="K239" s="10">
        <v>36346844.387585886</v>
      </c>
    </row>
    <row r="240" spans="1:11" x14ac:dyDescent="0.35">
      <c r="A240" s="9" t="s">
        <v>307</v>
      </c>
      <c r="B240" s="10">
        <v>2171</v>
      </c>
      <c r="C240" s="10">
        <v>36</v>
      </c>
      <c r="D240" s="10">
        <v>4</v>
      </c>
      <c r="E240" s="10">
        <v>1428</v>
      </c>
      <c r="F240" s="10">
        <v>68578235.710532799</v>
      </c>
      <c r="G240" s="10">
        <v>2023</v>
      </c>
      <c r="H240" s="10">
        <v>48</v>
      </c>
      <c r="I240" s="10">
        <v>5</v>
      </c>
      <c r="J240" s="10">
        <v>1900</v>
      </c>
      <c r="K240" s="10">
        <v>92352290.945880085</v>
      </c>
    </row>
    <row r="241" spans="1:11" x14ac:dyDescent="0.35">
      <c r="A241" s="9" t="s">
        <v>308</v>
      </c>
      <c r="B241" s="10">
        <v>189</v>
      </c>
      <c r="C241" s="10">
        <v>5</v>
      </c>
      <c r="D241" s="10">
        <v>0</v>
      </c>
      <c r="E241" s="10">
        <v>284</v>
      </c>
      <c r="F241" s="10">
        <v>5247834.027602125</v>
      </c>
      <c r="G241" s="10">
        <v>174</v>
      </c>
      <c r="H241" s="10">
        <v>3</v>
      </c>
      <c r="I241" s="10">
        <v>1</v>
      </c>
      <c r="J241" s="10">
        <v>213</v>
      </c>
      <c r="K241" s="10">
        <v>5767433.1862554112</v>
      </c>
    </row>
    <row r="242" spans="1:11" x14ac:dyDescent="0.35">
      <c r="A242" s="9" t="s">
        <v>309</v>
      </c>
      <c r="B242" s="10">
        <v>696</v>
      </c>
      <c r="C242" s="10">
        <v>13</v>
      </c>
      <c r="D242" s="10">
        <v>6</v>
      </c>
      <c r="E242" s="10">
        <v>616</v>
      </c>
      <c r="F242" s="10">
        <v>21205333.700011529</v>
      </c>
      <c r="G242" s="10">
        <v>711</v>
      </c>
      <c r="H242" s="10">
        <v>12</v>
      </c>
      <c r="I242" s="10">
        <v>6</v>
      </c>
      <c r="J242" s="10">
        <v>630</v>
      </c>
      <c r="K242" s="10">
        <v>25927267.398461867</v>
      </c>
    </row>
    <row r="243" spans="1:11" x14ac:dyDescent="0.35">
      <c r="A243" s="9" t="s">
        <v>310</v>
      </c>
      <c r="B243" s="10">
        <v>555</v>
      </c>
      <c r="C243" s="10">
        <v>22</v>
      </c>
      <c r="D243" s="10">
        <v>1</v>
      </c>
      <c r="E243" s="10">
        <v>578</v>
      </c>
      <c r="F243" s="10">
        <v>21164380.292725246</v>
      </c>
      <c r="G243" s="10">
        <v>603</v>
      </c>
      <c r="H243" s="10">
        <v>9</v>
      </c>
      <c r="I243" s="10">
        <v>1</v>
      </c>
      <c r="J243" s="10">
        <v>506</v>
      </c>
      <c r="K243" s="10">
        <v>19818591.944144133</v>
      </c>
    </row>
    <row r="244" spans="1:11" x14ac:dyDescent="0.35">
      <c r="A244" s="9" t="s">
        <v>311</v>
      </c>
      <c r="B244" s="10">
        <v>811</v>
      </c>
      <c r="C244" s="10">
        <v>11</v>
      </c>
      <c r="D244" s="10">
        <v>3</v>
      </c>
      <c r="E244" s="10">
        <v>889</v>
      </c>
      <c r="F244" s="10">
        <v>34855766.901582979</v>
      </c>
      <c r="G244" s="10">
        <v>883</v>
      </c>
      <c r="H244" s="10">
        <v>5</v>
      </c>
      <c r="I244" s="10">
        <v>4</v>
      </c>
      <c r="J244" s="10">
        <v>862</v>
      </c>
      <c r="K244" s="10">
        <v>35919540.742855184</v>
      </c>
    </row>
    <row r="245" spans="1:11" x14ac:dyDescent="0.35">
      <c r="A245" s="9" t="s">
        <v>312</v>
      </c>
      <c r="B245" s="10">
        <v>403</v>
      </c>
      <c r="C245" s="10">
        <v>8</v>
      </c>
      <c r="D245" s="10">
        <v>1</v>
      </c>
      <c r="E245" s="10">
        <v>371</v>
      </c>
      <c r="F245" s="10">
        <v>21519007.9088885</v>
      </c>
      <c r="G245" s="10">
        <v>438</v>
      </c>
      <c r="H245" s="10">
        <v>6</v>
      </c>
      <c r="I245" s="10">
        <v>0</v>
      </c>
      <c r="J245" s="10">
        <v>344</v>
      </c>
      <c r="K245" s="10">
        <v>21078875.851043943</v>
      </c>
    </row>
    <row r="246" spans="1:11" x14ac:dyDescent="0.35">
      <c r="A246" s="9" t="s">
        <v>313</v>
      </c>
      <c r="B246" s="10">
        <v>1009</v>
      </c>
      <c r="C246" s="10">
        <v>11</v>
      </c>
      <c r="D246" s="10">
        <v>3</v>
      </c>
      <c r="E246" s="10">
        <v>1383</v>
      </c>
      <c r="F246" s="10">
        <v>26235014.429564007</v>
      </c>
      <c r="G246" s="10">
        <v>1015</v>
      </c>
      <c r="H246" s="10">
        <v>9</v>
      </c>
      <c r="I246" s="10">
        <v>4</v>
      </c>
      <c r="J246" s="10">
        <v>989</v>
      </c>
      <c r="K246" s="10">
        <v>25034376.507261064</v>
      </c>
    </row>
    <row r="247" spans="1:11" x14ac:dyDescent="0.35">
      <c r="A247" s="9" t="s">
        <v>314</v>
      </c>
      <c r="B247" s="10">
        <v>1477</v>
      </c>
      <c r="C247" s="10">
        <v>133</v>
      </c>
      <c r="D247" s="10">
        <v>4</v>
      </c>
      <c r="E247" s="10">
        <v>1554</v>
      </c>
      <c r="F247" s="10">
        <v>36939226.13537284</v>
      </c>
      <c r="G247" s="10">
        <v>1456</v>
      </c>
      <c r="H247" s="10">
        <v>19</v>
      </c>
      <c r="I247" s="10">
        <v>6</v>
      </c>
      <c r="J247" s="10">
        <v>1462</v>
      </c>
      <c r="K247" s="10">
        <v>35700323.728730612</v>
      </c>
    </row>
    <row r="248" spans="1:11" x14ac:dyDescent="0.35">
      <c r="A248" s="9" t="s">
        <v>315</v>
      </c>
      <c r="B248" s="10">
        <v>1089</v>
      </c>
      <c r="C248" s="10">
        <v>10</v>
      </c>
      <c r="D248" s="10">
        <v>3</v>
      </c>
      <c r="E248" s="10">
        <v>936</v>
      </c>
      <c r="F248" s="10">
        <v>40208116.159460388</v>
      </c>
      <c r="G248" s="10">
        <v>1121</v>
      </c>
      <c r="H248" s="10">
        <v>17</v>
      </c>
      <c r="I248" s="10">
        <v>7</v>
      </c>
      <c r="J248" s="10">
        <v>1019</v>
      </c>
      <c r="K248" s="10">
        <v>48221628.52704902</v>
      </c>
    </row>
    <row r="249" spans="1:11" x14ac:dyDescent="0.35">
      <c r="A249" s="9" t="s">
        <v>316</v>
      </c>
      <c r="B249" s="10">
        <v>612</v>
      </c>
      <c r="C249" s="10">
        <v>12</v>
      </c>
      <c r="D249" s="10">
        <v>3</v>
      </c>
      <c r="E249" s="10">
        <v>569</v>
      </c>
      <c r="F249" s="10">
        <v>22067529.870920677</v>
      </c>
      <c r="G249" s="10">
        <v>569</v>
      </c>
      <c r="H249" s="10">
        <v>7</v>
      </c>
      <c r="I249" s="10">
        <v>3</v>
      </c>
      <c r="J249" s="10">
        <v>529</v>
      </c>
      <c r="K249" s="10">
        <v>22711861.720170688</v>
      </c>
    </row>
    <row r="250" spans="1:11" x14ac:dyDescent="0.35">
      <c r="A250" s="9" t="s">
        <v>317</v>
      </c>
      <c r="B250" s="10">
        <v>826</v>
      </c>
      <c r="C250" s="10">
        <v>15</v>
      </c>
      <c r="D250" s="10">
        <v>3</v>
      </c>
      <c r="E250" s="10">
        <v>667</v>
      </c>
      <c r="F250" s="10">
        <v>35534716.192263834</v>
      </c>
      <c r="G250" s="10">
        <v>860</v>
      </c>
      <c r="H250" s="10">
        <v>10</v>
      </c>
      <c r="I250" s="10">
        <v>3</v>
      </c>
      <c r="J250" s="10">
        <v>715</v>
      </c>
      <c r="K250" s="10">
        <v>37848760.984712973</v>
      </c>
    </row>
    <row r="251" spans="1:11" x14ac:dyDescent="0.35">
      <c r="A251" s="9" t="s">
        <v>318</v>
      </c>
      <c r="B251" s="10">
        <v>1018</v>
      </c>
      <c r="C251" s="10">
        <v>25</v>
      </c>
      <c r="D251" s="10">
        <v>0</v>
      </c>
      <c r="E251" s="10">
        <v>1001</v>
      </c>
      <c r="F251" s="10">
        <v>41999604.857022092</v>
      </c>
      <c r="G251" s="10">
        <v>1124</v>
      </c>
      <c r="H251" s="10">
        <v>10</v>
      </c>
      <c r="I251" s="10">
        <v>1</v>
      </c>
      <c r="J251" s="10">
        <v>1037</v>
      </c>
      <c r="K251" s="10">
        <v>38273944.639853664</v>
      </c>
    </row>
    <row r="252" spans="1:11" x14ac:dyDescent="0.35">
      <c r="A252" s="9" t="s">
        <v>319</v>
      </c>
      <c r="B252" s="10">
        <v>846</v>
      </c>
      <c r="C252" s="10">
        <v>13</v>
      </c>
      <c r="D252" s="10">
        <v>4</v>
      </c>
      <c r="E252" s="10">
        <v>452</v>
      </c>
      <c r="F252" s="10">
        <v>26386814.793674987</v>
      </c>
      <c r="G252" s="10">
        <v>889</v>
      </c>
      <c r="H252" s="10">
        <v>13</v>
      </c>
      <c r="I252" s="10">
        <v>5</v>
      </c>
      <c r="J252" s="10">
        <v>856</v>
      </c>
      <c r="K252" s="10">
        <v>27537663.768577311</v>
      </c>
    </row>
    <row r="253" spans="1:11" x14ac:dyDescent="0.35">
      <c r="A253" s="9" t="s">
        <v>320</v>
      </c>
      <c r="B253" s="10">
        <v>608</v>
      </c>
      <c r="C253" s="10">
        <v>8</v>
      </c>
      <c r="D253" s="10">
        <v>5</v>
      </c>
      <c r="E253" s="10">
        <v>673</v>
      </c>
      <c r="F253" s="10">
        <v>22669336.744420774</v>
      </c>
      <c r="G253" s="10">
        <v>628</v>
      </c>
      <c r="H253" s="10">
        <v>5</v>
      </c>
      <c r="I253" s="10">
        <v>5</v>
      </c>
      <c r="J253" s="10">
        <v>675</v>
      </c>
      <c r="K253" s="10">
        <v>21890064.60608077</v>
      </c>
    </row>
    <row r="254" spans="1:11" x14ac:dyDescent="0.35">
      <c r="A254" s="9" t="s">
        <v>321</v>
      </c>
      <c r="B254" s="10">
        <v>982</v>
      </c>
      <c r="C254" s="10">
        <v>68</v>
      </c>
      <c r="D254" s="10">
        <v>7</v>
      </c>
      <c r="E254" s="10">
        <v>997</v>
      </c>
      <c r="F254" s="10">
        <v>34423634.253145427</v>
      </c>
      <c r="G254" s="10">
        <v>875</v>
      </c>
      <c r="H254" s="10">
        <v>24</v>
      </c>
      <c r="I254" s="10">
        <v>6</v>
      </c>
      <c r="J254" s="10">
        <v>961</v>
      </c>
      <c r="K254" s="10">
        <v>32035737.266551919</v>
      </c>
    </row>
    <row r="255" spans="1:11" x14ac:dyDescent="0.35">
      <c r="A255" s="9" t="s">
        <v>322</v>
      </c>
      <c r="B255" s="10">
        <v>1398</v>
      </c>
      <c r="C255" s="10">
        <v>400</v>
      </c>
      <c r="D255" s="10">
        <v>7</v>
      </c>
      <c r="E255" s="10">
        <v>1099</v>
      </c>
      <c r="F255" s="10">
        <v>41873638.907267436</v>
      </c>
      <c r="G255" s="10">
        <v>2329</v>
      </c>
      <c r="H255" s="10">
        <v>555</v>
      </c>
      <c r="I255" s="10">
        <v>7</v>
      </c>
      <c r="J255" s="10">
        <v>1490</v>
      </c>
      <c r="K255" s="10">
        <v>42121306.694011815</v>
      </c>
    </row>
    <row r="256" spans="1:11" x14ac:dyDescent="0.35">
      <c r="A256" s="9" t="s">
        <v>323</v>
      </c>
      <c r="B256" s="10">
        <v>1108</v>
      </c>
      <c r="C256" s="10">
        <v>17</v>
      </c>
      <c r="D256" s="10">
        <v>6</v>
      </c>
      <c r="E256" s="10">
        <v>948</v>
      </c>
      <c r="F256" s="10">
        <v>35720222.843467817</v>
      </c>
      <c r="G256" s="10">
        <v>1137</v>
      </c>
      <c r="H256" s="10">
        <v>75</v>
      </c>
      <c r="I256" s="10">
        <v>6</v>
      </c>
      <c r="J256" s="10">
        <v>1017</v>
      </c>
      <c r="K256" s="10">
        <v>37368262.219026521</v>
      </c>
    </row>
    <row r="257" spans="1:11" x14ac:dyDescent="0.35">
      <c r="A257" s="9" t="s">
        <v>324</v>
      </c>
      <c r="B257" s="10">
        <v>903</v>
      </c>
      <c r="C257" s="10">
        <v>11</v>
      </c>
      <c r="D257" s="10">
        <v>6</v>
      </c>
      <c r="E257" s="10">
        <v>850</v>
      </c>
      <c r="F257" s="10">
        <v>35210017.570943564</v>
      </c>
      <c r="G257" s="10">
        <v>899</v>
      </c>
      <c r="H257" s="10">
        <v>11</v>
      </c>
      <c r="I257" s="10">
        <v>8</v>
      </c>
      <c r="J257" s="10">
        <v>905</v>
      </c>
      <c r="K257" s="10">
        <v>36696690.462185055</v>
      </c>
    </row>
    <row r="258" spans="1:11" x14ac:dyDescent="0.35">
      <c r="A258" s="9" t="s">
        <v>325</v>
      </c>
      <c r="B258" s="10">
        <v>1092</v>
      </c>
      <c r="C258" s="10">
        <v>21</v>
      </c>
      <c r="D258" s="10">
        <v>5</v>
      </c>
      <c r="E258" s="10">
        <v>992</v>
      </c>
      <c r="F258" s="10">
        <v>38493895.902790003</v>
      </c>
      <c r="G258" s="10">
        <v>1103</v>
      </c>
      <c r="H258" s="10">
        <v>23</v>
      </c>
      <c r="I258" s="10">
        <v>6</v>
      </c>
      <c r="J258" s="10">
        <v>1056</v>
      </c>
      <c r="K258" s="10">
        <v>43991601.541087985</v>
      </c>
    </row>
    <row r="259" spans="1:11" x14ac:dyDescent="0.35">
      <c r="A259" s="9" t="s">
        <v>326</v>
      </c>
      <c r="B259" s="10">
        <v>913</v>
      </c>
      <c r="C259" s="10">
        <v>10</v>
      </c>
      <c r="D259" s="10">
        <v>2</v>
      </c>
      <c r="E259" s="10">
        <v>842</v>
      </c>
      <c r="F259" s="10">
        <v>20343643.920338467</v>
      </c>
      <c r="G259" s="10">
        <v>844</v>
      </c>
      <c r="H259" s="10">
        <v>6</v>
      </c>
      <c r="I259" s="10">
        <v>4</v>
      </c>
      <c r="J259" s="10">
        <v>856</v>
      </c>
      <c r="K259" s="10">
        <v>19360264.474290371</v>
      </c>
    </row>
    <row r="260" spans="1:11" x14ac:dyDescent="0.35">
      <c r="A260" s="9" t="s">
        <v>327</v>
      </c>
      <c r="B260" s="10">
        <v>785</v>
      </c>
      <c r="C260" s="10">
        <v>14</v>
      </c>
      <c r="D260" s="10">
        <v>1</v>
      </c>
      <c r="E260" s="10">
        <v>817</v>
      </c>
      <c r="F260" s="10">
        <v>31002299.983931411</v>
      </c>
      <c r="G260" s="10">
        <v>851</v>
      </c>
      <c r="H260" s="10">
        <v>8</v>
      </c>
      <c r="I260" s="10">
        <v>1</v>
      </c>
      <c r="J260" s="10">
        <v>761</v>
      </c>
      <c r="K260" s="10">
        <v>24274888.608523544</v>
      </c>
    </row>
    <row r="261" spans="1:11" x14ac:dyDescent="0.35">
      <c r="A261" s="9" t="s">
        <v>328</v>
      </c>
      <c r="B261" s="10">
        <v>1698</v>
      </c>
      <c r="C261" s="10">
        <v>35</v>
      </c>
      <c r="D261" s="10">
        <v>8</v>
      </c>
      <c r="E261" s="10">
        <v>1647</v>
      </c>
      <c r="F261" s="10">
        <v>56798450.941905215</v>
      </c>
      <c r="G261" s="10">
        <v>1693</v>
      </c>
      <c r="H261" s="10">
        <v>86</v>
      </c>
      <c r="I261" s="10">
        <v>6</v>
      </c>
      <c r="J261" s="10">
        <v>1637</v>
      </c>
      <c r="K261" s="10">
        <v>56180920.374512643</v>
      </c>
    </row>
    <row r="262" spans="1:11" x14ac:dyDescent="0.35">
      <c r="A262" s="9" t="s">
        <v>329</v>
      </c>
      <c r="B262" s="10">
        <v>2265</v>
      </c>
      <c r="C262" s="10">
        <v>45</v>
      </c>
      <c r="D262" s="10">
        <v>14</v>
      </c>
      <c r="E262" s="10">
        <v>2176</v>
      </c>
      <c r="F262" s="10">
        <v>85154708.858979821</v>
      </c>
      <c r="G262" s="10">
        <v>2092</v>
      </c>
      <c r="H262" s="10">
        <v>43</v>
      </c>
      <c r="I262" s="10">
        <v>14</v>
      </c>
      <c r="J262" s="10">
        <v>2147</v>
      </c>
      <c r="K262" s="10">
        <v>93282314.584598184</v>
      </c>
    </row>
    <row r="263" spans="1:11" x14ac:dyDescent="0.35">
      <c r="A263" s="9" t="s">
        <v>330</v>
      </c>
      <c r="B263" s="10">
        <v>1168</v>
      </c>
      <c r="C263" s="10">
        <v>20</v>
      </c>
      <c r="D263" s="10">
        <v>5</v>
      </c>
      <c r="E263" s="10">
        <v>936</v>
      </c>
      <c r="F263" s="10">
        <v>49918917.655794315</v>
      </c>
      <c r="G263" s="10">
        <v>1157</v>
      </c>
      <c r="H263" s="10">
        <v>22</v>
      </c>
      <c r="I263" s="10">
        <v>4</v>
      </c>
      <c r="J263" s="10">
        <v>950</v>
      </c>
      <c r="K263" s="10">
        <v>53126333.761059895</v>
      </c>
    </row>
    <row r="264" spans="1:11" x14ac:dyDescent="0.35">
      <c r="A264" s="9" t="s">
        <v>331</v>
      </c>
      <c r="B264" s="10">
        <v>725</v>
      </c>
      <c r="C264" s="10">
        <v>10</v>
      </c>
      <c r="D264" s="10">
        <v>4</v>
      </c>
      <c r="E264" s="10">
        <v>653</v>
      </c>
      <c r="F264" s="10">
        <v>23256832.47870611</v>
      </c>
      <c r="G264" s="10">
        <v>729</v>
      </c>
      <c r="H264" s="10">
        <v>24</v>
      </c>
      <c r="I264" s="10">
        <v>4</v>
      </c>
      <c r="J264" s="10">
        <v>700</v>
      </c>
      <c r="K264" s="10">
        <v>24440274.934980012</v>
      </c>
    </row>
    <row r="265" spans="1:11" x14ac:dyDescent="0.35">
      <c r="A265" s="9" t="s">
        <v>332</v>
      </c>
      <c r="B265" s="10">
        <v>1410</v>
      </c>
      <c r="C265" s="10">
        <v>35</v>
      </c>
      <c r="D265" s="10">
        <v>6</v>
      </c>
      <c r="E265" s="10">
        <v>1323</v>
      </c>
      <c r="F265" s="10">
        <v>67756198.347538322</v>
      </c>
      <c r="G265" s="10">
        <v>1302</v>
      </c>
      <c r="H265" s="10">
        <v>33</v>
      </c>
      <c r="I265" s="10">
        <v>5</v>
      </c>
      <c r="J265" s="10">
        <v>1274</v>
      </c>
      <c r="K265" s="10">
        <v>63390835.929837063</v>
      </c>
    </row>
    <row r="266" spans="1:11" x14ac:dyDescent="0.35">
      <c r="A266" s="9" t="s">
        <v>333</v>
      </c>
      <c r="B266" s="10">
        <v>738</v>
      </c>
      <c r="C266" s="10">
        <v>9</v>
      </c>
      <c r="D266" s="10">
        <v>1</v>
      </c>
      <c r="E266" s="10">
        <v>675</v>
      </c>
      <c r="F266" s="10">
        <v>17273250.489455152</v>
      </c>
      <c r="G266" s="10">
        <v>740</v>
      </c>
      <c r="H266" s="10">
        <v>0</v>
      </c>
      <c r="I266" s="10">
        <v>1</v>
      </c>
      <c r="J266" s="10">
        <v>719</v>
      </c>
      <c r="K266" s="10">
        <v>17031335.852654543</v>
      </c>
    </row>
    <row r="267" spans="1:11" x14ac:dyDescent="0.35">
      <c r="A267" s="9" t="s">
        <v>334</v>
      </c>
      <c r="B267" s="10">
        <v>2342</v>
      </c>
      <c r="C267" s="10">
        <v>139</v>
      </c>
      <c r="D267" s="10">
        <v>6</v>
      </c>
      <c r="E267" s="10">
        <v>2086</v>
      </c>
      <c r="F267" s="10">
        <v>70308264.349232092</v>
      </c>
      <c r="G267" s="10">
        <v>2070</v>
      </c>
      <c r="H267" s="10">
        <v>78</v>
      </c>
      <c r="I267" s="10">
        <v>6</v>
      </c>
      <c r="J267" s="10">
        <v>2049</v>
      </c>
      <c r="K267" s="10">
        <v>75868153.927840516</v>
      </c>
    </row>
    <row r="268" spans="1:11" x14ac:dyDescent="0.35">
      <c r="A268" s="9" t="s">
        <v>335</v>
      </c>
      <c r="B268" s="10">
        <v>1915</v>
      </c>
      <c r="C268" s="10">
        <v>23</v>
      </c>
      <c r="D268" s="10">
        <v>6</v>
      </c>
      <c r="E268" s="10">
        <v>1359</v>
      </c>
      <c r="F268" s="10">
        <v>71044699.733764261</v>
      </c>
      <c r="G268" s="10">
        <v>2025</v>
      </c>
      <c r="H268" s="10">
        <v>26</v>
      </c>
      <c r="I268" s="10">
        <v>7</v>
      </c>
      <c r="J268" s="10">
        <v>1480</v>
      </c>
      <c r="K268" s="10">
        <v>75357707.401191264</v>
      </c>
    </row>
    <row r="269" spans="1:11" x14ac:dyDescent="0.35">
      <c r="A269" s="9" t="s">
        <v>336</v>
      </c>
      <c r="B269" s="10">
        <v>672</v>
      </c>
      <c r="C269" s="10">
        <v>12</v>
      </c>
      <c r="D269" s="10">
        <v>3</v>
      </c>
      <c r="E269" s="10">
        <v>707</v>
      </c>
      <c r="F269" s="10">
        <v>20729582.486021228</v>
      </c>
      <c r="G269" s="10">
        <v>598</v>
      </c>
      <c r="H269" s="10">
        <v>7</v>
      </c>
      <c r="I269" s="10">
        <v>3</v>
      </c>
      <c r="J269" s="10">
        <v>575</v>
      </c>
      <c r="K269" s="10">
        <v>19431747.353519101</v>
      </c>
    </row>
    <row r="270" spans="1:11" x14ac:dyDescent="0.35">
      <c r="A270" s="9" t="s">
        <v>337</v>
      </c>
      <c r="B270" s="10">
        <v>1315</v>
      </c>
      <c r="C270" s="10">
        <v>19</v>
      </c>
      <c r="D270" s="10">
        <v>5</v>
      </c>
      <c r="E270" s="10">
        <v>1300</v>
      </c>
      <c r="F270" s="10">
        <v>43774125.822425909</v>
      </c>
      <c r="G270" s="10">
        <v>1066</v>
      </c>
      <c r="H270" s="10">
        <v>19</v>
      </c>
      <c r="I270" s="10">
        <v>5</v>
      </c>
      <c r="J270" s="10">
        <v>1211</v>
      </c>
      <c r="K270" s="10">
        <v>42328137.379517779</v>
      </c>
    </row>
    <row r="271" spans="1:11" x14ac:dyDescent="0.35">
      <c r="A271" s="9" t="s">
        <v>338</v>
      </c>
      <c r="B271" s="10">
        <v>1613</v>
      </c>
      <c r="C271" s="10">
        <v>39</v>
      </c>
      <c r="D271" s="10">
        <v>5</v>
      </c>
      <c r="E271" s="10">
        <v>1390</v>
      </c>
      <c r="F271" s="10">
        <v>51780535.443268798</v>
      </c>
      <c r="G271" s="10">
        <v>1565</v>
      </c>
      <c r="H271" s="10">
        <v>21</v>
      </c>
      <c r="I271" s="10">
        <v>4</v>
      </c>
      <c r="J271" s="10">
        <v>1442</v>
      </c>
      <c r="K271" s="10">
        <v>54694508.967808075</v>
      </c>
    </row>
    <row r="272" spans="1:11" x14ac:dyDescent="0.35">
      <c r="A272" s="9" t="s">
        <v>339</v>
      </c>
      <c r="B272" s="10">
        <v>686</v>
      </c>
      <c r="C272" s="10">
        <v>10</v>
      </c>
      <c r="D272" s="10">
        <v>2</v>
      </c>
      <c r="E272" s="10">
        <v>588</v>
      </c>
      <c r="F272" s="10">
        <v>25700918.619106121</v>
      </c>
      <c r="G272" s="10">
        <v>674</v>
      </c>
      <c r="H272" s="10">
        <v>8</v>
      </c>
      <c r="I272" s="10">
        <v>2</v>
      </c>
      <c r="J272" s="10">
        <v>591</v>
      </c>
      <c r="K272" s="10">
        <v>24552250.562815774</v>
      </c>
    </row>
    <row r="273" spans="1:11" x14ac:dyDescent="0.35">
      <c r="A273" s="9" t="s">
        <v>340</v>
      </c>
      <c r="B273" s="10">
        <v>966</v>
      </c>
      <c r="C273" s="10">
        <v>17</v>
      </c>
      <c r="D273" s="10">
        <v>2</v>
      </c>
      <c r="E273" s="10">
        <v>878</v>
      </c>
      <c r="F273" s="10">
        <v>28943619.72307387</v>
      </c>
      <c r="G273" s="10">
        <v>1007</v>
      </c>
      <c r="H273" s="10">
        <v>6</v>
      </c>
      <c r="I273" s="10">
        <v>2</v>
      </c>
      <c r="J273" s="10">
        <v>799</v>
      </c>
      <c r="K273" s="10">
        <v>30857686.427746367</v>
      </c>
    </row>
    <row r="274" spans="1:11" x14ac:dyDescent="0.35">
      <c r="A274" s="9" t="s">
        <v>341</v>
      </c>
      <c r="B274" s="10">
        <v>1197</v>
      </c>
      <c r="C274" s="10">
        <v>17</v>
      </c>
      <c r="D274" s="10">
        <v>3</v>
      </c>
      <c r="E274" s="10">
        <v>1099</v>
      </c>
      <c r="F274" s="10">
        <v>53733012.074722171</v>
      </c>
      <c r="G274" s="10">
        <v>1292</v>
      </c>
      <c r="H274" s="10">
        <v>11</v>
      </c>
      <c r="I274" s="10">
        <v>5</v>
      </c>
      <c r="J274" s="10">
        <v>1110</v>
      </c>
      <c r="K274" s="10">
        <v>60426137.002027541</v>
      </c>
    </row>
    <row r="275" spans="1:11" x14ac:dyDescent="0.35">
      <c r="A275" s="9" t="s">
        <v>342</v>
      </c>
      <c r="B275" s="10">
        <v>1192</v>
      </c>
      <c r="C275" s="10">
        <v>23</v>
      </c>
      <c r="D275" s="10">
        <v>4</v>
      </c>
      <c r="E275" s="10">
        <v>1022</v>
      </c>
      <c r="F275" s="10">
        <v>50567932.879921004</v>
      </c>
      <c r="G275" s="10">
        <v>1129</v>
      </c>
      <c r="H275" s="10">
        <v>23</v>
      </c>
      <c r="I275" s="10">
        <v>5</v>
      </c>
      <c r="J275" s="10">
        <v>1121</v>
      </c>
      <c r="K275" s="10">
        <v>57349015.988142684</v>
      </c>
    </row>
    <row r="276" spans="1:11" x14ac:dyDescent="0.35">
      <c r="A276" s="9" t="s">
        <v>343</v>
      </c>
      <c r="B276" s="10">
        <v>630</v>
      </c>
      <c r="C276" s="10">
        <v>11</v>
      </c>
      <c r="D276" s="10">
        <v>2</v>
      </c>
      <c r="E276" s="10">
        <v>728</v>
      </c>
      <c r="F276" s="10">
        <v>18844004.767558068</v>
      </c>
      <c r="G276" s="10">
        <v>598</v>
      </c>
      <c r="H276" s="10">
        <v>11</v>
      </c>
      <c r="I276" s="10">
        <v>2</v>
      </c>
      <c r="J276" s="10">
        <v>825</v>
      </c>
      <c r="K276" s="10">
        <v>22348093.255338289</v>
      </c>
    </row>
    <row r="277" spans="1:11" x14ac:dyDescent="0.35">
      <c r="A277" s="9" t="s">
        <v>344</v>
      </c>
      <c r="B277" s="10">
        <v>865</v>
      </c>
      <c r="C277" s="10">
        <v>9</v>
      </c>
      <c r="D277" s="10">
        <v>9</v>
      </c>
      <c r="E277" s="10">
        <v>900</v>
      </c>
      <c r="F277" s="10">
        <v>41881634.051466756</v>
      </c>
      <c r="G277" s="10">
        <v>880</v>
      </c>
      <c r="H277" s="10">
        <v>16</v>
      </c>
      <c r="I277" s="10">
        <v>7</v>
      </c>
      <c r="J277" s="10">
        <v>912</v>
      </c>
      <c r="K277" s="10">
        <v>43471771.153522924</v>
      </c>
    </row>
    <row r="278" spans="1:11" x14ac:dyDescent="0.35">
      <c r="A278" s="9" t="s">
        <v>345</v>
      </c>
      <c r="B278" s="10">
        <v>708</v>
      </c>
      <c r="C278" s="10">
        <v>8</v>
      </c>
      <c r="D278" s="10">
        <v>6</v>
      </c>
      <c r="E278" s="10">
        <v>541</v>
      </c>
      <c r="F278" s="10">
        <v>17102630.697205208</v>
      </c>
      <c r="G278" s="10">
        <v>756</v>
      </c>
      <c r="H278" s="10">
        <v>114</v>
      </c>
      <c r="I278" s="10">
        <v>7</v>
      </c>
      <c r="J278" s="10">
        <v>641</v>
      </c>
      <c r="K278" s="10">
        <v>20707447.936565224</v>
      </c>
    </row>
    <row r="279" spans="1:11" x14ac:dyDescent="0.35">
      <c r="A279" s="9" t="s">
        <v>346</v>
      </c>
      <c r="B279" s="10">
        <v>352</v>
      </c>
      <c r="C279" s="10">
        <v>6</v>
      </c>
      <c r="D279" s="10">
        <v>3</v>
      </c>
      <c r="E279" s="10">
        <v>290</v>
      </c>
      <c r="F279" s="10">
        <v>17420358.843016751</v>
      </c>
      <c r="G279" s="10">
        <v>300</v>
      </c>
      <c r="H279" s="10">
        <v>4</v>
      </c>
      <c r="I279" s="10">
        <v>3</v>
      </c>
      <c r="J279" s="10">
        <v>279</v>
      </c>
      <c r="K279" s="10">
        <v>17734868.779917587</v>
      </c>
    </row>
    <row r="280" spans="1:11" x14ac:dyDescent="0.35">
      <c r="A280" s="9" t="s">
        <v>347</v>
      </c>
      <c r="B280" s="10">
        <v>432</v>
      </c>
      <c r="C280" s="10">
        <v>7</v>
      </c>
      <c r="D280" s="10">
        <v>8</v>
      </c>
      <c r="E280" s="10">
        <v>315</v>
      </c>
      <c r="F280" s="10">
        <v>18416060.21868195</v>
      </c>
      <c r="G280" s="10">
        <v>403</v>
      </c>
      <c r="H280" s="10">
        <v>5</v>
      </c>
      <c r="I280" s="10">
        <v>8</v>
      </c>
      <c r="J280" s="10">
        <v>318</v>
      </c>
      <c r="K280" s="10">
        <v>20589181.168983515</v>
      </c>
    </row>
    <row r="281" spans="1:11" x14ac:dyDescent="0.35">
      <c r="A281" s="9" t="s">
        <v>348</v>
      </c>
      <c r="B281" s="10">
        <v>787</v>
      </c>
      <c r="C281" s="10">
        <v>11</v>
      </c>
      <c r="D281" s="10">
        <v>3</v>
      </c>
      <c r="E281" s="10">
        <v>753</v>
      </c>
      <c r="F281" s="10">
        <v>23786685.738200318</v>
      </c>
      <c r="G281" s="10">
        <v>725</v>
      </c>
      <c r="H281" s="10">
        <v>6</v>
      </c>
      <c r="I281" s="10">
        <v>3</v>
      </c>
      <c r="J281" s="10">
        <v>692</v>
      </c>
      <c r="K281" s="10">
        <v>22019071.441319514</v>
      </c>
    </row>
    <row r="282" spans="1:11" x14ac:dyDescent="0.35">
      <c r="A282" s="9" t="s">
        <v>349</v>
      </c>
      <c r="B282" s="10">
        <v>554</v>
      </c>
      <c r="C282" s="10">
        <v>8</v>
      </c>
      <c r="D282" s="10">
        <v>5</v>
      </c>
      <c r="E282" s="10">
        <v>495</v>
      </c>
      <c r="F282" s="10">
        <v>15687969.548693908</v>
      </c>
      <c r="G282" s="10">
        <v>538</v>
      </c>
      <c r="H282" s="10">
        <v>54</v>
      </c>
      <c r="I282" s="10">
        <v>6</v>
      </c>
      <c r="J282" s="10">
        <v>469</v>
      </c>
      <c r="K282" s="10">
        <v>15366189.133158654</v>
      </c>
    </row>
    <row r="283" spans="1:11" x14ac:dyDescent="0.35">
      <c r="A283" s="9" t="s">
        <v>350</v>
      </c>
      <c r="B283" s="10">
        <v>299</v>
      </c>
      <c r="C283" s="10">
        <v>1</v>
      </c>
      <c r="D283" s="10">
        <v>2</v>
      </c>
      <c r="E283" s="10">
        <v>294</v>
      </c>
      <c r="F283" s="10">
        <v>7840281.700735026</v>
      </c>
      <c r="G283" s="10">
        <v>214</v>
      </c>
      <c r="H283" s="10">
        <v>0</v>
      </c>
      <c r="I283" s="10">
        <v>2</v>
      </c>
      <c r="J283" s="10">
        <v>269</v>
      </c>
      <c r="K283" s="10">
        <v>3530108.010631267</v>
      </c>
    </row>
    <row r="284" spans="1:11" x14ac:dyDescent="0.35">
      <c r="A284" s="9" t="s">
        <v>351</v>
      </c>
      <c r="B284" s="10">
        <v>1118</v>
      </c>
      <c r="C284" s="10">
        <v>16</v>
      </c>
      <c r="D284" s="10">
        <v>3</v>
      </c>
      <c r="E284" s="10">
        <v>1195</v>
      </c>
      <c r="F284" s="10">
        <v>40520289.09192127</v>
      </c>
      <c r="G284" s="10">
        <v>1156</v>
      </c>
      <c r="H284" s="10">
        <v>36</v>
      </c>
      <c r="I284" s="10">
        <v>4</v>
      </c>
      <c r="J284" s="10">
        <v>1479</v>
      </c>
      <c r="K284" s="10">
        <v>50429399.145067826</v>
      </c>
    </row>
    <row r="285" spans="1:11" x14ac:dyDescent="0.35">
      <c r="A285" s="9" t="s">
        <v>352</v>
      </c>
      <c r="B285" s="10">
        <v>2013</v>
      </c>
      <c r="C285" s="10">
        <v>36</v>
      </c>
      <c r="D285" s="10">
        <v>4</v>
      </c>
      <c r="E285" s="10">
        <v>1703</v>
      </c>
      <c r="F285" s="10">
        <v>64321383.289282739</v>
      </c>
      <c r="G285" s="10">
        <v>1998</v>
      </c>
      <c r="H285" s="10">
        <v>19</v>
      </c>
      <c r="I285" s="10">
        <v>4</v>
      </c>
      <c r="J285" s="10">
        <v>1864</v>
      </c>
      <c r="K285" s="10">
        <v>64608260.122621723</v>
      </c>
    </row>
    <row r="286" spans="1:11" x14ac:dyDescent="0.35">
      <c r="A286" s="9" t="s">
        <v>353</v>
      </c>
      <c r="B286" s="10">
        <v>380</v>
      </c>
      <c r="C286" s="10">
        <v>1</v>
      </c>
      <c r="D286" s="10">
        <v>29</v>
      </c>
      <c r="E286" s="10">
        <v>313</v>
      </c>
      <c r="F286" s="10">
        <v>23255526.945277099</v>
      </c>
      <c r="G286" s="10">
        <v>395</v>
      </c>
      <c r="H286" s="10">
        <v>0</v>
      </c>
      <c r="I286" s="10">
        <v>30</v>
      </c>
      <c r="J286" s="10">
        <v>376</v>
      </c>
      <c r="K286" s="10">
        <v>25194405.262689855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962</v>
      </c>
      <c r="C288" s="10">
        <v>2</v>
      </c>
      <c r="D288" s="10">
        <v>21</v>
      </c>
      <c r="E288" s="10">
        <v>962</v>
      </c>
      <c r="F288" s="10">
        <v>37449095.552014582</v>
      </c>
      <c r="G288" s="10">
        <v>753</v>
      </c>
      <c r="H288" s="10">
        <v>7</v>
      </c>
      <c r="I288" s="10">
        <v>22</v>
      </c>
      <c r="J288" s="10">
        <v>828</v>
      </c>
      <c r="K288" s="10">
        <v>39111794.264469199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1892</v>
      </c>
      <c r="C290" s="10">
        <v>34</v>
      </c>
      <c r="D290" s="10">
        <v>9</v>
      </c>
      <c r="E290" s="10">
        <v>1842</v>
      </c>
      <c r="F290" s="10">
        <v>75451036.840913206</v>
      </c>
      <c r="G290" s="10">
        <v>1786</v>
      </c>
      <c r="H290" s="10">
        <v>16</v>
      </c>
      <c r="I290" s="10">
        <v>12</v>
      </c>
      <c r="J290" s="10">
        <v>1741</v>
      </c>
      <c r="K290" s="10">
        <v>74107370.480066523</v>
      </c>
    </row>
    <row r="291" spans="1:11" x14ac:dyDescent="0.35">
      <c r="A291" s="9" t="s">
        <v>358</v>
      </c>
      <c r="B291" s="10">
        <v>675</v>
      </c>
      <c r="C291" s="10">
        <v>4</v>
      </c>
      <c r="D291" s="10">
        <v>3</v>
      </c>
      <c r="E291" s="10">
        <v>659</v>
      </c>
      <c r="F291" s="10">
        <v>27520182.48574451</v>
      </c>
      <c r="G291" s="10">
        <v>691</v>
      </c>
      <c r="H291" s="10">
        <v>11</v>
      </c>
      <c r="I291" s="10">
        <v>4</v>
      </c>
      <c r="J291" s="10">
        <v>690</v>
      </c>
      <c r="K291" s="10">
        <v>33772958.933054417</v>
      </c>
    </row>
    <row r="292" spans="1:11" x14ac:dyDescent="0.35">
      <c r="A292" s="9" t="s">
        <v>359</v>
      </c>
      <c r="B292" s="10">
        <v>1988</v>
      </c>
      <c r="C292" s="10">
        <v>21</v>
      </c>
      <c r="D292" s="10">
        <v>11</v>
      </c>
      <c r="E292" s="10">
        <v>1867</v>
      </c>
      <c r="F292" s="10">
        <v>88135054.255780488</v>
      </c>
      <c r="G292" s="10">
        <v>1889</v>
      </c>
      <c r="H292" s="10">
        <v>22</v>
      </c>
      <c r="I292" s="10">
        <v>8</v>
      </c>
      <c r="J292" s="10">
        <v>1817</v>
      </c>
      <c r="K292" s="10">
        <v>85739475.067146763</v>
      </c>
    </row>
    <row r="293" spans="1:11" x14ac:dyDescent="0.35">
      <c r="A293" s="9" t="s">
        <v>360</v>
      </c>
      <c r="B293" s="10">
        <v>696</v>
      </c>
      <c r="C293" s="10">
        <v>6</v>
      </c>
      <c r="D293" s="10">
        <v>3</v>
      </c>
      <c r="E293" s="10">
        <v>688</v>
      </c>
      <c r="F293" s="10">
        <v>38832711.555601597</v>
      </c>
      <c r="G293" s="10">
        <v>742</v>
      </c>
      <c r="H293" s="10">
        <v>3</v>
      </c>
      <c r="I293" s="10">
        <v>1</v>
      </c>
      <c r="J293" s="10">
        <v>660</v>
      </c>
      <c r="K293" s="10">
        <v>39823156.14885021</v>
      </c>
    </row>
    <row r="294" spans="1:11" x14ac:dyDescent="0.35">
      <c r="A294" s="9" t="s">
        <v>361</v>
      </c>
      <c r="B294" s="10">
        <v>808</v>
      </c>
      <c r="C294" s="10">
        <v>8</v>
      </c>
      <c r="D294" s="10">
        <v>1</v>
      </c>
      <c r="E294" s="10">
        <v>796</v>
      </c>
      <c r="F294" s="10">
        <v>35706669.71285852</v>
      </c>
      <c r="G294" s="10">
        <v>826</v>
      </c>
      <c r="H294" s="10">
        <v>2</v>
      </c>
      <c r="I294" s="10">
        <v>1</v>
      </c>
      <c r="J294" s="10">
        <v>727</v>
      </c>
      <c r="K294" s="10">
        <v>34130780.042488106</v>
      </c>
    </row>
    <row r="295" spans="1:11" x14ac:dyDescent="0.35">
      <c r="A295" s="9" t="s">
        <v>362</v>
      </c>
      <c r="B295" s="10">
        <v>1325</v>
      </c>
      <c r="C295" s="10">
        <v>25</v>
      </c>
      <c r="D295" s="10">
        <v>39</v>
      </c>
      <c r="E295" s="10">
        <v>1247</v>
      </c>
      <c r="F295" s="10">
        <v>96726915.739014432</v>
      </c>
      <c r="G295" s="10">
        <v>1257</v>
      </c>
      <c r="H295" s="10">
        <v>10</v>
      </c>
      <c r="I295" s="10">
        <v>40</v>
      </c>
      <c r="J295" s="10">
        <v>1181</v>
      </c>
      <c r="K295" s="10">
        <v>88917359.196542755</v>
      </c>
    </row>
    <row r="296" spans="1:11" x14ac:dyDescent="0.35">
      <c r="A296" s="9" t="s">
        <v>363</v>
      </c>
      <c r="B296" s="10">
        <v>739</v>
      </c>
      <c r="C296" s="10">
        <v>4</v>
      </c>
      <c r="D296" s="10">
        <v>1</v>
      </c>
      <c r="E296" s="10">
        <v>707</v>
      </c>
      <c r="F296" s="10">
        <v>44833639.8124118</v>
      </c>
      <c r="G296" s="10">
        <v>725</v>
      </c>
      <c r="H296" s="10">
        <v>5</v>
      </c>
      <c r="I296" s="10">
        <v>1</v>
      </c>
      <c r="J296" s="10">
        <v>615</v>
      </c>
      <c r="K296" s="10">
        <v>43800241.142124884</v>
      </c>
    </row>
    <row r="297" spans="1:11" x14ac:dyDescent="0.35">
      <c r="A297" s="9" t="s">
        <v>364</v>
      </c>
      <c r="B297" s="10">
        <v>625</v>
      </c>
      <c r="C297" s="10">
        <v>3</v>
      </c>
      <c r="D297" s="10">
        <v>3</v>
      </c>
      <c r="E297" s="10">
        <v>551</v>
      </c>
      <c r="F297" s="10">
        <v>47484536.136417888</v>
      </c>
      <c r="G297" s="10">
        <v>661</v>
      </c>
      <c r="H297" s="10">
        <v>3</v>
      </c>
      <c r="I297" s="10">
        <v>3</v>
      </c>
      <c r="J297" s="10">
        <v>540</v>
      </c>
      <c r="K297" s="10">
        <v>48958411.589049183</v>
      </c>
    </row>
    <row r="298" spans="1:11" x14ac:dyDescent="0.35">
      <c r="A298" s="9" t="s">
        <v>365</v>
      </c>
      <c r="B298" s="10">
        <v>572</v>
      </c>
      <c r="C298" s="10">
        <v>4</v>
      </c>
      <c r="D298" s="10">
        <v>5</v>
      </c>
      <c r="E298" s="10">
        <v>567</v>
      </c>
      <c r="F298" s="10">
        <v>29458888.705501705</v>
      </c>
      <c r="G298" s="10">
        <v>487</v>
      </c>
      <c r="H298" s="10">
        <v>4</v>
      </c>
      <c r="I298" s="10">
        <v>5</v>
      </c>
      <c r="J298" s="10">
        <v>526</v>
      </c>
      <c r="K298" s="10">
        <v>29547157.216698214</v>
      </c>
    </row>
    <row r="299" spans="1:11" x14ac:dyDescent="0.35">
      <c r="A299" s="9" t="s">
        <v>366</v>
      </c>
      <c r="B299" s="10">
        <v>947</v>
      </c>
      <c r="C299" s="10">
        <v>8</v>
      </c>
      <c r="D299" s="10">
        <v>10</v>
      </c>
      <c r="E299" s="10">
        <v>941</v>
      </c>
      <c r="F299" s="10">
        <v>66162557.928681418</v>
      </c>
      <c r="G299" s="10">
        <v>974</v>
      </c>
      <c r="H299" s="10">
        <v>8</v>
      </c>
      <c r="I299" s="10">
        <v>9</v>
      </c>
      <c r="J299" s="10">
        <v>869</v>
      </c>
      <c r="K299" s="10">
        <v>60380082.403323092</v>
      </c>
    </row>
    <row r="300" spans="1:11" x14ac:dyDescent="0.35">
      <c r="A300" s="9" t="s">
        <v>367</v>
      </c>
      <c r="B300" s="10">
        <v>286</v>
      </c>
      <c r="C300" s="10">
        <v>8</v>
      </c>
      <c r="D300" s="10">
        <v>0</v>
      </c>
      <c r="E300" s="10">
        <v>270</v>
      </c>
      <c r="F300" s="10">
        <v>2798652.3793500857</v>
      </c>
      <c r="G300" s="10">
        <v>240</v>
      </c>
      <c r="H300" s="10">
        <v>4</v>
      </c>
      <c r="I300" s="10">
        <v>0</v>
      </c>
      <c r="J300" s="10">
        <v>256</v>
      </c>
      <c r="K300" s="10">
        <v>2777160.748706542</v>
      </c>
    </row>
    <row r="301" spans="1:11" x14ac:dyDescent="0.35">
      <c r="A301" s="9" t="s">
        <v>368</v>
      </c>
      <c r="B301" s="10">
        <v>379</v>
      </c>
      <c r="C301" s="10">
        <v>2</v>
      </c>
      <c r="D301" s="10">
        <v>0</v>
      </c>
      <c r="E301" s="10">
        <v>249</v>
      </c>
      <c r="F301" s="10">
        <v>12471675.78950941</v>
      </c>
      <c r="G301" s="10">
        <v>336</v>
      </c>
      <c r="H301" s="10">
        <v>3</v>
      </c>
      <c r="I301" s="10">
        <v>1</v>
      </c>
      <c r="J301" s="10">
        <v>253</v>
      </c>
      <c r="K301" s="10">
        <v>10683531.86857973</v>
      </c>
    </row>
    <row r="302" spans="1:11" x14ac:dyDescent="0.35">
      <c r="A302" s="9" t="s">
        <v>369</v>
      </c>
      <c r="B302" s="10">
        <v>647</v>
      </c>
      <c r="C302" s="10">
        <v>15</v>
      </c>
      <c r="D302" s="10">
        <v>9</v>
      </c>
      <c r="E302" s="10">
        <v>913</v>
      </c>
      <c r="F302" s="10">
        <v>30652558.594391514</v>
      </c>
      <c r="G302" s="10">
        <v>577</v>
      </c>
      <c r="H302" s="10">
        <v>78</v>
      </c>
      <c r="I302" s="10">
        <v>9</v>
      </c>
      <c r="J302" s="10">
        <v>488</v>
      </c>
      <c r="K302" s="10">
        <v>25936783.659656633</v>
      </c>
    </row>
    <row r="303" spans="1:11" x14ac:dyDescent="0.35">
      <c r="A303" s="9" t="s">
        <v>370</v>
      </c>
      <c r="B303" s="10">
        <v>665</v>
      </c>
      <c r="C303" s="10">
        <v>10</v>
      </c>
      <c r="D303" s="10">
        <v>2</v>
      </c>
      <c r="E303" s="10">
        <v>778</v>
      </c>
      <c r="F303" s="10">
        <v>19253069.886253621</v>
      </c>
      <c r="G303" s="10">
        <v>692</v>
      </c>
      <c r="H303" s="10">
        <v>5</v>
      </c>
      <c r="I303" s="10">
        <v>2</v>
      </c>
      <c r="J303" s="10">
        <v>664</v>
      </c>
      <c r="K303" s="10">
        <v>19216082.604206182</v>
      </c>
    </row>
    <row r="304" spans="1:11" x14ac:dyDescent="0.35">
      <c r="A304" s="9" t="s">
        <v>371</v>
      </c>
      <c r="B304" s="10">
        <v>884</v>
      </c>
      <c r="C304" s="10">
        <v>18</v>
      </c>
      <c r="D304" s="10">
        <v>4</v>
      </c>
      <c r="E304" s="10">
        <v>775</v>
      </c>
      <c r="F304" s="10">
        <v>44685279.822882757</v>
      </c>
      <c r="G304" s="10">
        <v>908</v>
      </c>
      <c r="H304" s="10">
        <v>20</v>
      </c>
      <c r="I304" s="10">
        <v>5</v>
      </c>
      <c r="J304" s="10">
        <v>828</v>
      </c>
      <c r="K304" s="10">
        <v>51515278.747497067</v>
      </c>
    </row>
    <row r="305" spans="1:11" x14ac:dyDescent="0.35">
      <c r="A305" s="9" t="s">
        <v>372</v>
      </c>
      <c r="B305" s="10">
        <v>683</v>
      </c>
      <c r="C305" s="10">
        <v>17</v>
      </c>
      <c r="D305" s="10">
        <v>2</v>
      </c>
      <c r="E305" s="10">
        <v>690</v>
      </c>
      <c r="F305" s="10">
        <v>21794488.076817848</v>
      </c>
      <c r="G305" s="10">
        <v>627</v>
      </c>
      <c r="H305" s="10">
        <v>13</v>
      </c>
      <c r="I305" s="10">
        <v>4</v>
      </c>
      <c r="J305" s="10">
        <v>693</v>
      </c>
      <c r="K305" s="10">
        <v>26093388.381947085</v>
      </c>
    </row>
    <row r="306" spans="1:11" x14ac:dyDescent="0.35">
      <c r="A306" s="9" t="s">
        <v>373</v>
      </c>
      <c r="B306" s="10">
        <v>590</v>
      </c>
      <c r="C306" s="10">
        <v>17</v>
      </c>
      <c r="D306" s="10">
        <v>7</v>
      </c>
      <c r="E306" s="10">
        <v>518</v>
      </c>
      <c r="F306" s="10">
        <v>30280032.152778644</v>
      </c>
      <c r="G306" s="10">
        <v>644</v>
      </c>
      <c r="H306" s="10">
        <v>14</v>
      </c>
      <c r="I306" s="10">
        <v>9</v>
      </c>
      <c r="J306" s="10">
        <v>585</v>
      </c>
      <c r="K306" s="10">
        <v>34652989.203576498</v>
      </c>
    </row>
    <row r="307" spans="1:11" x14ac:dyDescent="0.35">
      <c r="A307" s="9" t="s">
        <v>374</v>
      </c>
      <c r="B307" s="10">
        <v>603</v>
      </c>
      <c r="C307" s="10">
        <v>11</v>
      </c>
      <c r="D307" s="10">
        <v>1</v>
      </c>
      <c r="E307" s="10">
        <v>587</v>
      </c>
      <c r="F307" s="10">
        <v>17489149.72202678</v>
      </c>
      <c r="G307" s="10">
        <v>595</v>
      </c>
      <c r="H307" s="10">
        <v>7</v>
      </c>
      <c r="I307" s="10">
        <v>1</v>
      </c>
      <c r="J307" s="10">
        <v>577</v>
      </c>
      <c r="K307" s="10">
        <v>18221720.922080271</v>
      </c>
    </row>
    <row r="308" spans="1:11" x14ac:dyDescent="0.35">
      <c r="A308" s="9" t="s">
        <v>375</v>
      </c>
      <c r="B308" s="10">
        <v>212</v>
      </c>
      <c r="C308" s="10">
        <v>5</v>
      </c>
      <c r="D308" s="10">
        <v>0</v>
      </c>
      <c r="E308" s="10">
        <v>184</v>
      </c>
      <c r="F308" s="10">
        <v>9268092.4848371763</v>
      </c>
      <c r="G308" s="10">
        <v>265</v>
      </c>
      <c r="H308" s="10">
        <v>2</v>
      </c>
      <c r="I308" s="10">
        <v>0</v>
      </c>
      <c r="J308" s="10">
        <v>183</v>
      </c>
      <c r="K308" s="10">
        <v>9506907.2997458279</v>
      </c>
    </row>
    <row r="309" spans="1:11" x14ac:dyDescent="0.35">
      <c r="A309" s="9" t="s">
        <v>376</v>
      </c>
      <c r="B309" s="10">
        <v>700</v>
      </c>
      <c r="C309" s="10">
        <v>24</v>
      </c>
      <c r="D309" s="10">
        <v>5</v>
      </c>
      <c r="E309" s="10">
        <v>584</v>
      </c>
      <c r="F309" s="10">
        <v>42360894.86394836</v>
      </c>
      <c r="G309" s="10">
        <v>716</v>
      </c>
      <c r="H309" s="10">
        <v>12</v>
      </c>
      <c r="I309" s="10">
        <v>6</v>
      </c>
      <c r="J309" s="10">
        <v>644</v>
      </c>
      <c r="K309" s="10">
        <v>40951036.280469298</v>
      </c>
    </row>
    <row r="310" spans="1:11" x14ac:dyDescent="0.35">
      <c r="A310" s="9" t="s">
        <v>377</v>
      </c>
      <c r="B310" s="10">
        <v>703</v>
      </c>
      <c r="C310" s="10">
        <v>12</v>
      </c>
      <c r="D310" s="10">
        <v>6</v>
      </c>
      <c r="E310" s="10">
        <v>730</v>
      </c>
      <c r="F310" s="10">
        <v>35640734.373519674</v>
      </c>
      <c r="G310" s="10">
        <v>719</v>
      </c>
      <c r="H310" s="10">
        <v>36</v>
      </c>
      <c r="I310" s="10">
        <v>5</v>
      </c>
      <c r="J310" s="10">
        <v>751</v>
      </c>
      <c r="K310" s="10">
        <v>32655675.720525563</v>
      </c>
    </row>
    <row r="311" spans="1:11" x14ac:dyDescent="0.35">
      <c r="A311" s="9" t="s">
        <v>378</v>
      </c>
      <c r="B311" s="10">
        <v>377</v>
      </c>
      <c r="C311" s="10">
        <v>7</v>
      </c>
      <c r="D311" s="10">
        <v>2</v>
      </c>
      <c r="E311" s="10">
        <v>293</v>
      </c>
      <c r="F311" s="10">
        <v>14187085.004881112</v>
      </c>
      <c r="G311" s="10">
        <v>386</v>
      </c>
      <c r="H311" s="10">
        <v>3</v>
      </c>
      <c r="I311" s="10">
        <v>2</v>
      </c>
      <c r="J311" s="10">
        <v>263</v>
      </c>
      <c r="K311" s="10">
        <v>13851456.615171347</v>
      </c>
    </row>
    <row r="312" spans="1:11" x14ac:dyDescent="0.35">
      <c r="A312" s="9" t="s">
        <v>379</v>
      </c>
      <c r="B312" s="10">
        <v>872</v>
      </c>
      <c r="C312" s="10">
        <v>22</v>
      </c>
      <c r="D312" s="10">
        <v>4</v>
      </c>
      <c r="E312" s="10">
        <v>386</v>
      </c>
      <c r="F312" s="10">
        <v>40556935.648853675</v>
      </c>
      <c r="G312" s="10">
        <v>1065</v>
      </c>
      <c r="H312" s="10">
        <v>20</v>
      </c>
      <c r="I312" s="10">
        <v>6</v>
      </c>
      <c r="J312" s="10">
        <v>1125</v>
      </c>
      <c r="K312" s="10">
        <v>44074422.076646395</v>
      </c>
    </row>
    <row r="313" spans="1:11" x14ac:dyDescent="0.35">
      <c r="A313" s="9" t="s">
        <v>380</v>
      </c>
      <c r="B313" s="10">
        <v>737</v>
      </c>
      <c r="C313" s="10">
        <v>109</v>
      </c>
      <c r="D313" s="10">
        <v>4</v>
      </c>
      <c r="E313" s="10">
        <v>766</v>
      </c>
      <c r="F313" s="10">
        <v>37268059.849657245</v>
      </c>
      <c r="G313" s="10">
        <v>737</v>
      </c>
      <c r="H313" s="10">
        <v>10</v>
      </c>
      <c r="I313" s="10">
        <v>4</v>
      </c>
      <c r="J313" s="10">
        <v>634</v>
      </c>
      <c r="K313" s="10">
        <v>26142892.885296427</v>
      </c>
    </row>
    <row r="314" spans="1:11" x14ac:dyDescent="0.35">
      <c r="A314" s="9" t="s">
        <v>381</v>
      </c>
      <c r="B314" s="10">
        <v>275</v>
      </c>
      <c r="C314" s="10">
        <v>9</v>
      </c>
      <c r="D314" s="10">
        <v>2</v>
      </c>
      <c r="E314" s="10">
        <v>279</v>
      </c>
      <c r="F314" s="10">
        <v>15078532.827489479</v>
      </c>
      <c r="G314" s="10">
        <v>276</v>
      </c>
      <c r="H314" s="10">
        <v>4</v>
      </c>
      <c r="I314" s="10">
        <v>2</v>
      </c>
      <c r="J314" s="10">
        <v>247</v>
      </c>
      <c r="K314" s="10">
        <v>10926450.57012024</v>
      </c>
    </row>
    <row r="315" spans="1:11" x14ac:dyDescent="0.35">
      <c r="A315" s="9" t="s">
        <v>382</v>
      </c>
      <c r="B315" s="10">
        <v>908</v>
      </c>
      <c r="C315" s="10">
        <v>31</v>
      </c>
      <c r="D315" s="10">
        <v>3</v>
      </c>
      <c r="E315" s="10">
        <v>843</v>
      </c>
      <c r="F315" s="10">
        <v>37572447.682470828</v>
      </c>
      <c r="G315" s="10">
        <v>1040</v>
      </c>
      <c r="H315" s="10">
        <v>21</v>
      </c>
      <c r="I315" s="10">
        <v>5</v>
      </c>
      <c r="J315" s="10">
        <v>907</v>
      </c>
      <c r="K315" s="10">
        <v>41868132.522340894</v>
      </c>
    </row>
    <row r="316" spans="1:11" x14ac:dyDescent="0.35">
      <c r="A316" s="9" t="s">
        <v>383</v>
      </c>
      <c r="B316" s="10">
        <v>1155</v>
      </c>
      <c r="C316" s="10">
        <v>26</v>
      </c>
      <c r="D316" s="10">
        <v>3</v>
      </c>
      <c r="E316" s="10">
        <v>1113</v>
      </c>
      <c r="F316" s="10">
        <v>51345807.226748884</v>
      </c>
      <c r="G316" s="10">
        <v>1284</v>
      </c>
      <c r="H316" s="10">
        <v>17</v>
      </c>
      <c r="I316" s="10">
        <v>2</v>
      </c>
      <c r="J316" s="10">
        <v>1094</v>
      </c>
      <c r="K316" s="10">
        <v>48285445.921821371</v>
      </c>
    </row>
    <row r="317" spans="1:11" x14ac:dyDescent="0.35">
      <c r="A317" s="9" t="s">
        <v>384</v>
      </c>
      <c r="B317" s="10">
        <v>357</v>
      </c>
      <c r="C317" s="10">
        <v>48</v>
      </c>
      <c r="D317" s="10">
        <v>7</v>
      </c>
      <c r="E317" s="10">
        <v>344</v>
      </c>
      <c r="F317" s="10">
        <v>13062814.948669443</v>
      </c>
      <c r="G317" s="10">
        <v>219</v>
      </c>
      <c r="H317" s="10">
        <v>3</v>
      </c>
      <c r="I317" s="10">
        <v>5</v>
      </c>
      <c r="J317" s="10">
        <v>159</v>
      </c>
      <c r="K317" s="10">
        <v>12483257.855316468</v>
      </c>
    </row>
    <row r="318" spans="1:11" x14ac:dyDescent="0.35">
      <c r="A318" s="9" t="s">
        <v>385</v>
      </c>
      <c r="B318" s="10">
        <v>732</v>
      </c>
      <c r="C318" s="10">
        <v>13</v>
      </c>
      <c r="D318" s="10">
        <v>3</v>
      </c>
      <c r="E318" s="10">
        <v>703</v>
      </c>
      <c r="F318" s="10">
        <v>27037872.319329873</v>
      </c>
      <c r="G318" s="10">
        <v>749</v>
      </c>
      <c r="H318" s="10">
        <v>11</v>
      </c>
      <c r="I318" s="10">
        <v>3</v>
      </c>
      <c r="J318" s="10">
        <v>587</v>
      </c>
      <c r="K318" s="10">
        <v>24372677.119284838</v>
      </c>
    </row>
    <row r="319" spans="1:11" x14ac:dyDescent="0.35">
      <c r="A319" s="9" t="s">
        <v>386</v>
      </c>
      <c r="B319" s="10">
        <v>988</v>
      </c>
      <c r="C319" s="10">
        <v>25</v>
      </c>
      <c r="D319" s="10">
        <v>8</v>
      </c>
      <c r="E319" s="10">
        <v>913</v>
      </c>
      <c r="F319" s="10">
        <v>47467399.946985841</v>
      </c>
      <c r="G319" s="10">
        <v>1050</v>
      </c>
      <c r="H319" s="10">
        <v>49</v>
      </c>
      <c r="I319" s="10">
        <v>8</v>
      </c>
      <c r="J319" s="10">
        <v>851</v>
      </c>
      <c r="K319" s="10">
        <v>45492695.824936658</v>
      </c>
    </row>
    <row r="320" spans="1:11" x14ac:dyDescent="0.35">
      <c r="A320" s="9" t="s">
        <v>387</v>
      </c>
      <c r="B320" s="10">
        <v>634</v>
      </c>
      <c r="C320" s="10">
        <v>7</v>
      </c>
      <c r="D320" s="10">
        <v>2</v>
      </c>
      <c r="E320" s="10">
        <v>684</v>
      </c>
      <c r="F320" s="10">
        <v>22638998.298756566</v>
      </c>
      <c r="G320" s="10">
        <v>680</v>
      </c>
      <c r="H320" s="10">
        <v>7</v>
      </c>
      <c r="I320" s="10">
        <v>3</v>
      </c>
      <c r="J320" s="10">
        <v>731</v>
      </c>
      <c r="K320" s="10">
        <v>23521890.033161767</v>
      </c>
    </row>
    <row r="321" spans="1:11" x14ac:dyDescent="0.35">
      <c r="A321" s="9" t="s">
        <v>388</v>
      </c>
      <c r="B321" s="10">
        <v>886</v>
      </c>
      <c r="C321" s="10">
        <v>18</v>
      </c>
      <c r="D321" s="10">
        <v>5</v>
      </c>
      <c r="E321" s="10">
        <v>933</v>
      </c>
      <c r="F321" s="10">
        <v>39716006.184856199</v>
      </c>
      <c r="G321" s="10">
        <v>788</v>
      </c>
      <c r="H321" s="10">
        <v>11</v>
      </c>
      <c r="I321" s="10">
        <v>4</v>
      </c>
      <c r="J321" s="10">
        <v>926</v>
      </c>
      <c r="K321" s="10">
        <v>31066266.631278791</v>
      </c>
    </row>
    <row r="322" spans="1:11" x14ac:dyDescent="0.35">
      <c r="A322" s="9" t="s">
        <v>389</v>
      </c>
      <c r="B322" s="10">
        <v>951</v>
      </c>
      <c r="C322" s="10">
        <v>20</v>
      </c>
      <c r="D322" s="10">
        <v>3</v>
      </c>
      <c r="E322" s="10">
        <v>930</v>
      </c>
      <c r="F322" s="10">
        <v>30690060.554510895</v>
      </c>
      <c r="G322" s="10">
        <v>1000</v>
      </c>
      <c r="H322" s="10">
        <v>17</v>
      </c>
      <c r="I322" s="10">
        <v>3</v>
      </c>
      <c r="J322" s="10">
        <v>920</v>
      </c>
      <c r="K322" s="10">
        <v>32772120.999891896</v>
      </c>
    </row>
    <row r="323" spans="1:11" x14ac:dyDescent="0.35">
      <c r="A323" s="9" t="s">
        <v>390</v>
      </c>
      <c r="B323" s="10">
        <v>772</v>
      </c>
      <c r="C323" s="10">
        <v>10</v>
      </c>
      <c r="D323" s="10">
        <v>2</v>
      </c>
      <c r="E323" s="10">
        <v>742</v>
      </c>
      <c r="F323" s="10">
        <v>17837130.288024645</v>
      </c>
      <c r="G323" s="10">
        <v>714</v>
      </c>
      <c r="H323" s="10">
        <v>4</v>
      </c>
      <c r="I323" s="10">
        <v>2</v>
      </c>
      <c r="J323" s="10">
        <v>637</v>
      </c>
      <c r="K323" s="10">
        <v>16375278.189992374</v>
      </c>
    </row>
    <row r="324" spans="1:11" x14ac:dyDescent="0.35">
      <c r="A324" s="9" t="s">
        <v>391</v>
      </c>
      <c r="B324" s="10">
        <v>646</v>
      </c>
      <c r="C324" s="10">
        <v>11</v>
      </c>
      <c r="D324" s="10">
        <v>3</v>
      </c>
      <c r="E324" s="10">
        <v>593</v>
      </c>
      <c r="F324" s="10">
        <v>36438796.376874611</v>
      </c>
      <c r="G324" s="10">
        <v>680</v>
      </c>
      <c r="H324" s="10">
        <v>11</v>
      </c>
      <c r="I324" s="10">
        <v>3</v>
      </c>
      <c r="J324" s="10">
        <v>571</v>
      </c>
      <c r="K324" s="10">
        <v>35575417.915775008</v>
      </c>
    </row>
    <row r="325" spans="1:11" x14ac:dyDescent="0.35">
      <c r="A325" s="9" t="s">
        <v>392</v>
      </c>
      <c r="B325" s="10">
        <v>933</v>
      </c>
      <c r="C325" s="10">
        <v>32</v>
      </c>
      <c r="D325" s="10">
        <v>5</v>
      </c>
      <c r="E325" s="10">
        <v>869</v>
      </c>
      <c r="F325" s="10">
        <v>66468032.4489071</v>
      </c>
      <c r="G325" s="10">
        <v>909</v>
      </c>
      <c r="H325" s="10">
        <v>16</v>
      </c>
      <c r="I325" s="10">
        <v>2</v>
      </c>
      <c r="J325" s="10">
        <v>684</v>
      </c>
      <c r="K325" s="10">
        <v>55568897.072094537</v>
      </c>
    </row>
    <row r="326" spans="1:11" x14ac:dyDescent="0.35">
      <c r="A326" s="9" t="s">
        <v>393</v>
      </c>
      <c r="B326" s="10">
        <v>388</v>
      </c>
      <c r="C326" s="10">
        <v>10</v>
      </c>
      <c r="D326" s="10">
        <v>2</v>
      </c>
      <c r="E326" s="10">
        <v>370</v>
      </c>
      <c r="F326" s="10">
        <v>17560600.443322051</v>
      </c>
      <c r="G326" s="10">
        <v>428</v>
      </c>
      <c r="H326" s="10">
        <v>7</v>
      </c>
      <c r="I326" s="10">
        <v>3</v>
      </c>
      <c r="J326" s="10">
        <v>383</v>
      </c>
      <c r="K326" s="10">
        <v>18867043.275663082</v>
      </c>
    </row>
    <row r="327" spans="1:11" x14ac:dyDescent="0.35">
      <c r="A327" s="9" t="s">
        <v>394</v>
      </c>
      <c r="B327" s="10">
        <v>1780</v>
      </c>
      <c r="C327" s="10">
        <v>38</v>
      </c>
      <c r="D327" s="10">
        <v>4</v>
      </c>
      <c r="E327" s="10">
        <v>1644</v>
      </c>
      <c r="F327" s="10">
        <v>71211092.080134243</v>
      </c>
      <c r="G327" s="10">
        <v>1960</v>
      </c>
      <c r="H327" s="10">
        <v>30</v>
      </c>
      <c r="I327" s="10">
        <v>4</v>
      </c>
      <c r="J327" s="10">
        <v>1403</v>
      </c>
      <c r="K327" s="10">
        <v>63245476.31550543</v>
      </c>
    </row>
    <row r="328" spans="1:11" x14ac:dyDescent="0.35">
      <c r="A328" s="9" t="s">
        <v>395</v>
      </c>
      <c r="B328" s="10">
        <v>961</v>
      </c>
      <c r="C328" s="10">
        <v>21</v>
      </c>
      <c r="D328" s="10">
        <v>6</v>
      </c>
      <c r="E328" s="10">
        <v>983</v>
      </c>
      <c r="F328" s="10">
        <v>42491077.532207146</v>
      </c>
      <c r="G328" s="10">
        <v>1143</v>
      </c>
      <c r="H328" s="10">
        <v>11</v>
      </c>
      <c r="I328" s="10">
        <v>5</v>
      </c>
      <c r="J328" s="10">
        <v>998</v>
      </c>
      <c r="K328" s="10">
        <v>39328274.698184974</v>
      </c>
    </row>
    <row r="329" spans="1:11" x14ac:dyDescent="0.35">
      <c r="A329" s="9" t="s">
        <v>396</v>
      </c>
      <c r="B329" s="10">
        <v>620</v>
      </c>
      <c r="C329" s="10">
        <v>8</v>
      </c>
      <c r="D329" s="10">
        <v>1</v>
      </c>
      <c r="E329" s="10">
        <v>584</v>
      </c>
      <c r="F329" s="10">
        <v>26712903.082449552</v>
      </c>
      <c r="G329" s="10">
        <v>611</v>
      </c>
      <c r="H329" s="10">
        <v>8</v>
      </c>
      <c r="I329" s="10">
        <v>1</v>
      </c>
      <c r="J329" s="10">
        <v>598</v>
      </c>
      <c r="K329" s="10">
        <v>27706191.128852233</v>
      </c>
    </row>
    <row r="330" spans="1:11" x14ac:dyDescent="0.35">
      <c r="A330" s="9" t="s">
        <v>397</v>
      </c>
      <c r="B330" s="10">
        <v>990</v>
      </c>
      <c r="C330" s="10">
        <v>24</v>
      </c>
      <c r="D330" s="10">
        <v>16</v>
      </c>
      <c r="E330" s="10">
        <v>810</v>
      </c>
      <c r="F330" s="10">
        <v>48384610.070675351</v>
      </c>
      <c r="G330" s="10">
        <v>994</v>
      </c>
      <c r="H330" s="10">
        <v>197</v>
      </c>
      <c r="I330" s="10">
        <v>17</v>
      </c>
      <c r="J330" s="10">
        <v>887</v>
      </c>
      <c r="K330" s="10">
        <v>45261960.161973283</v>
      </c>
    </row>
    <row r="331" spans="1:11" x14ac:dyDescent="0.35">
      <c r="A331" s="9" t="s">
        <v>398</v>
      </c>
      <c r="B331" s="10">
        <v>597</v>
      </c>
      <c r="C331" s="10">
        <v>18</v>
      </c>
      <c r="D331" s="10">
        <v>1</v>
      </c>
      <c r="E331" s="10">
        <v>621</v>
      </c>
      <c r="F331" s="10">
        <v>23608590.409031112</v>
      </c>
      <c r="G331" s="10">
        <v>665</v>
      </c>
      <c r="H331" s="10">
        <v>4</v>
      </c>
      <c r="I331" s="10">
        <v>1</v>
      </c>
      <c r="J331" s="10">
        <v>634</v>
      </c>
      <c r="K331" s="10">
        <v>25221071.835989501</v>
      </c>
    </row>
    <row r="332" spans="1:11" x14ac:dyDescent="0.35">
      <c r="A332" s="9" t="s">
        <v>399</v>
      </c>
      <c r="B332" s="10">
        <v>455</v>
      </c>
      <c r="C332" s="10">
        <v>10</v>
      </c>
      <c r="D332" s="10">
        <v>1</v>
      </c>
      <c r="E332" s="10">
        <v>542</v>
      </c>
      <c r="F332" s="10">
        <v>15614871.595576029</v>
      </c>
      <c r="G332" s="10">
        <v>434</v>
      </c>
      <c r="H332" s="10">
        <v>8</v>
      </c>
      <c r="I332" s="10">
        <v>2</v>
      </c>
      <c r="J332" s="10">
        <v>503</v>
      </c>
      <c r="K332" s="10">
        <v>14597668.397422303</v>
      </c>
    </row>
    <row r="333" spans="1:11" x14ac:dyDescent="0.35">
      <c r="A333" s="9" t="s">
        <v>400</v>
      </c>
      <c r="B333" s="10">
        <v>1233</v>
      </c>
      <c r="C333" s="10">
        <v>40</v>
      </c>
      <c r="D333" s="10">
        <v>10</v>
      </c>
      <c r="E333" s="10">
        <v>1172</v>
      </c>
      <c r="F333" s="10">
        <v>58359107.062514842</v>
      </c>
      <c r="G333" s="10">
        <v>1345</v>
      </c>
      <c r="H333" s="10">
        <v>203</v>
      </c>
      <c r="I333" s="10">
        <v>13</v>
      </c>
      <c r="J333" s="10">
        <v>993</v>
      </c>
      <c r="K333" s="10">
        <v>56840336.090603828</v>
      </c>
    </row>
    <row r="334" spans="1:11" x14ac:dyDescent="0.35">
      <c r="A334" s="9" t="s">
        <v>401</v>
      </c>
      <c r="B334" s="10">
        <v>844</v>
      </c>
      <c r="C334" s="10">
        <v>12</v>
      </c>
      <c r="D334" s="10">
        <v>3</v>
      </c>
      <c r="E334" s="10">
        <v>1089</v>
      </c>
      <c r="F334" s="10">
        <v>33779125.701675437</v>
      </c>
      <c r="G334" s="10">
        <v>918</v>
      </c>
      <c r="H334" s="10">
        <v>27</v>
      </c>
      <c r="I334" s="10">
        <v>3</v>
      </c>
      <c r="J334" s="10">
        <v>781</v>
      </c>
      <c r="K334" s="10">
        <v>29752585.254622154</v>
      </c>
    </row>
    <row r="335" spans="1:11" x14ac:dyDescent="0.35">
      <c r="A335" s="9" t="s">
        <v>402</v>
      </c>
      <c r="B335" s="10">
        <v>485</v>
      </c>
      <c r="C335" s="10">
        <v>12</v>
      </c>
      <c r="D335" s="10">
        <v>4</v>
      </c>
      <c r="E335" s="10">
        <v>505</v>
      </c>
      <c r="F335" s="10">
        <v>19113002.580100544</v>
      </c>
      <c r="G335" s="10">
        <v>541</v>
      </c>
      <c r="H335" s="10">
        <v>12</v>
      </c>
      <c r="I335" s="10">
        <v>5</v>
      </c>
      <c r="J335" s="10">
        <v>508</v>
      </c>
      <c r="K335" s="10">
        <v>22850717.977136068</v>
      </c>
    </row>
    <row r="336" spans="1:11" x14ac:dyDescent="0.35">
      <c r="A336" s="9" t="s">
        <v>403</v>
      </c>
      <c r="B336" s="10">
        <v>263</v>
      </c>
      <c r="C336" s="10">
        <v>2</v>
      </c>
      <c r="D336" s="10">
        <v>0</v>
      </c>
      <c r="E336" s="10">
        <v>254</v>
      </c>
      <c r="F336" s="10">
        <v>8668870.3596884608</v>
      </c>
      <c r="G336" s="10">
        <v>276</v>
      </c>
      <c r="H336" s="10">
        <v>5</v>
      </c>
      <c r="I336" s="10">
        <v>0</v>
      </c>
      <c r="J336" s="10">
        <v>250</v>
      </c>
      <c r="K336" s="10">
        <v>9642116.6747455802</v>
      </c>
    </row>
    <row r="337" spans="1:11" x14ac:dyDescent="0.35">
      <c r="A337" s="9" t="s">
        <v>404</v>
      </c>
      <c r="B337" s="10">
        <v>813</v>
      </c>
      <c r="C337" s="10">
        <v>24</v>
      </c>
      <c r="D337" s="10">
        <v>4</v>
      </c>
      <c r="E337" s="10">
        <v>920</v>
      </c>
      <c r="F337" s="10">
        <v>37114469.481260091</v>
      </c>
      <c r="G337" s="10">
        <v>857</v>
      </c>
      <c r="H337" s="10">
        <v>15</v>
      </c>
      <c r="I337" s="10">
        <v>4</v>
      </c>
      <c r="J337" s="10">
        <v>758</v>
      </c>
      <c r="K337" s="10">
        <v>34293633.414437898</v>
      </c>
    </row>
    <row r="338" spans="1:11" x14ac:dyDescent="0.35">
      <c r="A338" s="9" t="s">
        <v>405</v>
      </c>
      <c r="B338" s="10">
        <v>597</v>
      </c>
      <c r="C338" s="10">
        <v>10</v>
      </c>
      <c r="D338" s="10">
        <v>3</v>
      </c>
      <c r="E338" s="10">
        <v>567</v>
      </c>
      <c r="F338" s="10">
        <v>30666944.007627357</v>
      </c>
      <c r="G338" s="10">
        <v>670</v>
      </c>
      <c r="H338" s="10">
        <v>5</v>
      </c>
      <c r="I338" s="10">
        <v>3</v>
      </c>
      <c r="J338" s="10">
        <v>549</v>
      </c>
      <c r="K338" s="10">
        <v>22340690.592876729</v>
      </c>
    </row>
    <row r="339" spans="1:11" x14ac:dyDescent="0.35">
      <c r="A339" s="9" t="s">
        <v>406</v>
      </c>
      <c r="B339" s="10">
        <v>212</v>
      </c>
      <c r="C339" s="10">
        <v>2</v>
      </c>
      <c r="D339" s="10">
        <v>3</v>
      </c>
      <c r="E339" s="10">
        <v>172</v>
      </c>
      <c r="F339" s="10">
        <v>12166363.66625927</v>
      </c>
      <c r="G339" s="10">
        <v>218</v>
      </c>
      <c r="H339" s="10">
        <v>1</v>
      </c>
      <c r="I339" s="10">
        <v>3</v>
      </c>
      <c r="J339" s="10">
        <v>163</v>
      </c>
      <c r="K339" s="10">
        <v>11779575.910976149</v>
      </c>
    </row>
    <row r="340" spans="1:11" x14ac:dyDescent="0.35">
      <c r="A340" s="9" t="s">
        <v>407</v>
      </c>
      <c r="B340" s="10">
        <v>936</v>
      </c>
      <c r="C340" s="10">
        <v>31</v>
      </c>
      <c r="D340" s="10">
        <v>5</v>
      </c>
      <c r="E340" s="10">
        <v>892</v>
      </c>
      <c r="F340" s="10">
        <v>29628051.214819789</v>
      </c>
      <c r="G340" s="10">
        <v>848</v>
      </c>
      <c r="H340" s="10">
        <v>13</v>
      </c>
      <c r="I340" s="10">
        <v>6</v>
      </c>
      <c r="J340" s="10">
        <v>888</v>
      </c>
      <c r="K340" s="10">
        <v>32403997.986736473</v>
      </c>
    </row>
    <row r="341" spans="1:11" x14ac:dyDescent="0.35">
      <c r="A341" s="9" t="s">
        <v>408</v>
      </c>
      <c r="B341" s="10">
        <v>1322</v>
      </c>
      <c r="C341" s="10">
        <v>23</v>
      </c>
      <c r="D341" s="10">
        <v>7</v>
      </c>
      <c r="E341" s="10">
        <v>1225</v>
      </c>
      <c r="F341" s="10">
        <v>62132962.188701525</v>
      </c>
      <c r="G341" s="10">
        <v>1242</v>
      </c>
      <c r="H341" s="10">
        <v>22</v>
      </c>
      <c r="I341" s="10">
        <v>9</v>
      </c>
      <c r="J341" s="10">
        <v>1001</v>
      </c>
      <c r="K341" s="10">
        <v>66153169.023419388</v>
      </c>
    </row>
    <row r="342" spans="1:11" x14ac:dyDescent="0.35">
      <c r="A342" s="9" t="s">
        <v>409</v>
      </c>
      <c r="B342" s="10">
        <v>151</v>
      </c>
      <c r="C342" s="10">
        <v>0</v>
      </c>
      <c r="D342" s="10">
        <v>4</v>
      </c>
      <c r="E342" s="10">
        <v>129</v>
      </c>
      <c r="F342" s="10">
        <v>9534740.8706523255</v>
      </c>
      <c r="G342" s="10">
        <v>146</v>
      </c>
      <c r="H342" s="10">
        <v>2</v>
      </c>
      <c r="I342" s="10">
        <v>4</v>
      </c>
      <c r="J342" s="10">
        <v>124</v>
      </c>
      <c r="K342" s="10">
        <v>9230853.5268614739</v>
      </c>
    </row>
    <row r="343" spans="1:11" x14ac:dyDescent="0.35">
      <c r="A343" s="9" t="s">
        <v>410</v>
      </c>
      <c r="B343" s="10">
        <v>1448</v>
      </c>
      <c r="C343" s="10">
        <v>15</v>
      </c>
      <c r="D343" s="10">
        <v>5</v>
      </c>
      <c r="E343" s="10">
        <v>1311</v>
      </c>
      <c r="F343" s="10">
        <v>64608950.212451339</v>
      </c>
      <c r="G343" s="10">
        <v>1415</v>
      </c>
      <c r="H343" s="10">
        <v>15</v>
      </c>
      <c r="I343" s="10">
        <v>4</v>
      </c>
      <c r="J343" s="10">
        <v>1275</v>
      </c>
      <c r="K343" s="10">
        <v>68825087.596260145</v>
      </c>
    </row>
    <row r="344" spans="1:11" x14ac:dyDescent="0.35">
      <c r="A344" s="9" t="s">
        <v>411</v>
      </c>
      <c r="B344" s="10">
        <v>158</v>
      </c>
      <c r="C344" s="10">
        <v>0</v>
      </c>
      <c r="D344" s="10">
        <v>0</v>
      </c>
      <c r="E344" s="10">
        <v>150</v>
      </c>
      <c r="F344" s="10">
        <v>6640255.2024106029</v>
      </c>
      <c r="G344" s="10">
        <v>163</v>
      </c>
      <c r="H344" s="10">
        <v>1</v>
      </c>
      <c r="I344" s="10">
        <v>1</v>
      </c>
      <c r="J344" s="10">
        <v>178</v>
      </c>
      <c r="K344" s="10">
        <v>5703866.6632090202</v>
      </c>
    </row>
    <row r="345" spans="1:11" x14ac:dyDescent="0.35">
      <c r="A345" s="9" t="s">
        <v>412</v>
      </c>
      <c r="B345" s="10">
        <v>723</v>
      </c>
      <c r="C345" s="10">
        <v>27</v>
      </c>
      <c r="D345" s="10">
        <v>3</v>
      </c>
      <c r="E345" s="10">
        <v>740</v>
      </c>
      <c r="F345" s="10">
        <v>40131722.942200199</v>
      </c>
      <c r="G345" s="10">
        <v>762</v>
      </c>
      <c r="H345" s="10">
        <v>9</v>
      </c>
      <c r="I345" s="10">
        <v>3</v>
      </c>
      <c r="J345" s="10">
        <v>796</v>
      </c>
      <c r="K345" s="10">
        <v>37226451.553966016</v>
      </c>
    </row>
    <row r="346" spans="1:11" x14ac:dyDescent="0.35">
      <c r="A346" s="9" t="s">
        <v>413</v>
      </c>
      <c r="B346" s="10">
        <v>702</v>
      </c>
      <c r="C346" s="10">
        <v>18</v>
      </c>
      <c r="D346" s="10">
        <v>3</v>
      </c>
      <c r="E346" s="10">
        <v>803</v>
      </c>
      <c r="F346" s="10">
        <v>25532206.915556651</v>
      </c>
      <c r="G346" s="10">
        <v>646</v>
      </c>
      <c r="H346" s="10">
        <v>4</v>
      </c>
      <c r="I346" s="10">
        <v>5</v>
      </c>
      <c r="J346" s="10">
        <v>715</v>
      </c>
      <c r="K346" s="10">
        <v>24321306.181677297</v>
      </c>
    </row>
    <row r="347" spans="1:11" x14ac:dyDescent="0.35">
      <c r="A347" s="9" t="s">
        <v>414</v>
      </c>
      <c r="B347" s="10">
        <v>1120</v>
      </c>
      <c r="C347" s="10">
        <v>19</v>
      </c>
      <c r="D347" s="10">
        <v>9</v>
      </c>
      <c r="E347" s="10">
        <v>1145</v>
      </c>
      <c r="F347" s="10">
        <v>51117202.313377</v>
      </c>
      <c r="G347" s="10">
        <v>1123</v>
      </c>
      <c r="H347" s="10">
        <v>20</v>
      </c>
      <c r="I347" s="10">
        <v>9</v>
      </c>
      <c r="J347" s="10">
        <v>1092</v>
      </c>
      <c r="K347" s="10">
        <v>50093019.745260775</v>
      </c>
    </row>
    <row r="348" spans="1:11" x14ac:dyDescent="0.35">
      <c r="A348" s="9" t="s">
        <v>415</v>
      </c>
      <c r="B348" s="10">
        <v>682</v>
      </c>
      <c r="C348" s="10">
        <v>8</v>
      </c>
      <c r="D348" s="10">
        <v>1</v>
      </c>
      <c r="E348" s="10">
        <v>686</v>
      </c>
      <c r="F348" s="10">
        <v>20882996.938332893</v>
      </c>
      <c r="G348" s="10">
        <v>719</v>
      </c>
      <c r="H348" s="10">
        <v>6</v>
      </c>
      <c r="I348" s="10">
        <v>2</v>
      </c>
      <c r="J348" s="10">
        <v>678</v>
      </c>
      <c r="K348" s="10">
        <v>16218286.867715457</v>
      </c>
    </row>
    <row r="349" spans="1:11" x14ac:dyDescent="0.35">
      <c r="A349" s="9" t="s">
        <v>416</v>
      </c>
      <c r="B349" s="10">
        <v>728</v>
      </c>
      <c r="C349" s="10">
        <v>24</v>
      </c>
      <c r="D349" s="10">
        <v>10</v>
      </c>
      <c r="E349" s="10">
        <v>585</v>
      </c>
      <c r="F349" s="10">
        <v>15928736.502550486</v>
      </c>
      <c r="G349" s="10">
        <v>582</v>
      </c>
      <c r="H349" s="10">
        <v>8</v>
      </c>
      <c r="I349" s="10">
        <v>8</v>
      </c>
      <c r="J349" s="10">
        <v>565</v>
      </c>
      <c r="K349" s="10">
        <v>8717479.093259152</v>
      </c>
    </row>
    <row r="350" spans="1:11" x14ac:dyDescent="0.35">
      <c r="A350" s="9" t="s">
        <v>417</v>
      </c>
      <c r="B350" s="10">
        <v>1028</v>
      </c>
      <c r="C350" s="10">
        <v>17</v>
      </c>
      <c r="D350" s="10">
        <v>4</v>
      </c>
      <c r="E350" s="10">
        <v>871</v>
      </c>
      <c r="F350" s="10">
        <v>36000640.849823445</v>
      </c>
      <c r="G350" s="10">
        <v>1062</v>
      </c>
      <c r="H350" s="10">
        <v>14</v>
      </c>
      <c r="I350" s="10">
        <v>2</v>
      </c>
      <c r="J350" s="10">
        <v>955</v>
      </c>
      <c r="K350" s="10">
        <v>36178552.300262734</v>
      </c>
    </row>
    <row r="351" spans="1:11" x14ac:dyDescent="0.35">
      <c r="A351" s="9" t="s">
        <v>418</v>
      </c>
      <c r="B351" s="10">
        <v>638</v>
      </c>
      <c r="C351" s="10">
        <v>19</v>
      </c>
      <c r="D351" s="10">
        <v>4</v>
      </c>
      <c r="E351" s="10">
        <v>684</v>
      </c>
      <c r="F351" s="10">
        <v>21939002.635076042</v>
      </c>
      <c r="G351" s="10">
        <v>655</v>
      </c>
      <c r="H351" s="10">
        <v>16</v>
      </c>
      <c r="I351" s="10">
        <v>4</v>
      </c>
      <c r="J351" s="10">
        <v>664</v>
      </c>
      <c r="K351" s="10">
        <v>21070101.137484975</v>
      </c>
    </row>
    <row r="352" spans="1:11" x14ac:dyDescent="0.35">
      <c r="A352" s="9" t="s">
        <v>419</v>
      </c>
      <c r="B352" s="10">
        <v>1151</v>
      </c>
      <c r="C352" s="10">
        <v>29</v>
      </c>
      <c r="D352" s="10">
        <v>7</v>
      </c>
      <c r="E352" s="10">
        <v>1040</v>
      </c>
      <c r="F352" s="10">
        <v>54565588.285586223</v>
      </c>
      <c r="G352" s="10">
        <v>1268</v>
      </c>
      <c r="H352" s="10">
        <v>23</v>
      </c>
      <c r="I352" s="10">
        <v>6</v>
      </c>
      <c r="J352" s="10">
        <v>1110</v>
      </c>
      <c r="K352" s="10">
        <v>50430142.852138154</v>
      </c>
    </row>
    <row r="353" spans="1:11" x14ac:dyDescent="0.35">
      <c r="A353" s="9" t="s">
        <v>420</v>
      </c>
      <c r="B353" s="10">
        <v>469</v>
      </c>
      <c r="C353" s="10">
        <v>3</v>
      </c>
      <c r="D353" s="10">
        <v>2</v>
      </c>
      <c r="E353" s="10">
        <v>455</v>
      </c>
      <c r="F353" s="10">
        <v>13423523.575890731</v>
      </c>
      <c r="G353" s="10">
        <v>385</v>
      </c>
      <c r="H353" s="10">
        <v>0</v>
      </c>
      <c r="I353" s="10">
        <v>2</v>
      </c>
      <c r="J353" s="10">
        <v>446</v>
      </c>
      <c r="K353" s="10">
        <v>10913484.677583363</v>
      </c>
    </row>
    <row r="354" spans="1:11" x14ac:dyDescent="0.35">
      <c r="A354" s="9" t="s">
        <v>421</v>
      </c>
      <c r="B354" s="10">
        <v>826</v>
      </c>
      <c r="C354" s="10">
        <v>14</v>
      </c>
      <c r="D354" s="10">
        <v>4</v>
      </c>
      <c r="E354" s="10">
        <v>671</v>
      </c>
      <c r="F354" s="10">
        <v>32170833.249746561</v>
      </c>
      <c r="G354" s="10">
        <v>880</v>
      </c>
      <c r="H354" s="10">
        <v>5</v>
      </c>
      <c r="I354" s="10">
        <v>3</v>
      </c>
      <c r="J354" s="10">
        <v>853</v>
      </c>
      <c r="K354" s="10">
        <v>40077121.308520503</v>
      </c>
    </row>
    <row r="355" spans="1:11" x14ac:dyDescent="0.35">
      <c r="A355" s="9" t="s">
        <v>422</v>
      </c>
      <c r="B355" s="10">
        <v>1656</v>
      </c>
      <c r="C355" s="10">
        <v>7</v>
      </c>
      <c r="D355" s="10">
        <v>4</v>
      </c>
      <c r="E355" s="10">
        <v>384</v>
      </c>
      <c r="F355" s="10">
        <v>15945355.318048334</v>
      </c>
      <c r="G355" s="10">
        <v>750</v>
      </c>
      <c r="H355" s="10">
        <v>3</v>
      </c>
      <c r="I355" s="10">
        <v>2</v>
      </c>
      <c r="J355" s="10">
        <v>384</v>
      </c>
      <c r="K355" s="10">
        <v>15407661.811504856</v>
      </c>
    </row>
    <row r="356" spans="1:11" x14ac:dyDescent="0.35">
      <c r="A356" s="9" t="s">
        <v>423</v>
      </c>
      <c r="B356" s="10">
        <v>2518</v>
      </c>
      <c r="C356" s="10">
        <v>24</v>
      </c>
      <c r="D356" s="10">
        <v>22</v>
      </c>
      <c r="E356" s="10">
        <v>1979</v>
      </c>
      <c r="F356" s="10">
        <v>87974520.523575202</v>
      </c>
      <c r="G356" s="10">
        <v>2329</v>
      </c>
      <c r="H356" s="10">
        <v>13</v>
      </c>
      <c r="I356" s="10">
        <v>21</v>
      </c>
      <c r="J356" s="10">
        <v>1958</v>
      </c>
      <c r="K356" s="10">
        <v>90792065.345081091</v>
      </c>
    </row>
    <row r="357" spans="1:11" x14ac:dyDescent="0.35">
      <c r="A357" s="9" t="s">
        <v>424</v>
      </c>
      <c r="B357" s="10">
        <v>2059</v>
      </c>
      <c r="C357" s="10">
        <v>37</v>
      </c>
      <c r="D357" s="10">
        <v>8</v>
      </c>
      <c r="E357" s="10">
        <v>2123</v>
      </c>
      <c r="F357" s="10">
        <v>64609594.818875156</v>
      </c>
      <c r="G357" s="10">
        <v>2011</v>
      </c>
      <c r="H357" s="10">
        <v>32</v>
      </c>
      <c r="I357" s="10">
        <v>9</v>
      </c>
      <c r="J357" s="10">
        <v>2108</v>
      </c>
      <c r="K357" s="10">
        <v>66991690.034204952</v>
      </c>
    </row>
    <row r="358" spans="1:11" x14ac:dyDescent="0.35">
      <c r="A358" s="9" t="s">
        <v>425</v>
      </c>
      <c r="B358" s="10">
        <v>759</v>
      </c>
      <c r="C358" s="10">
        <v>8</v>
      </c>
      <c r="D358" s="10">
        <v>4</v>
      </c>
      <c r="E358" s="10">
        <v>694</v>
      </c>
      <c r="F358" s="10">
        <v>21879134.070066676</v>
      </c>
      <c r="G358" s="10">
        <v>672</v>
      </c>
      <c r="H358" s="10">
        <v>8</v>
      </c>
      <c r="I358" s="10">
        <v>4</v>
      </c>
      <c r="J358" s="10">
        <v>651</v>
      </c>
      <c r="K358" s="10">
        <v>17641232.899116106</v>
      </c>
    </row>
    <row r="359" spans="1:11" x14ac:dyDescent="0.35">
      <c r="A359" s="9" t="s">
        <v>426</v>
      </c>
      <c r="B359" s="10">
        <v>1508</v>
      </c>
      <c r="C359" s="10">
        <v>16</v>
      </c>
      <c r="D359" s="10">
        <v>4</v>
      </c>
      <c r="E359" s="10">
        <v>1240</v>
      </c>
      <c r="F359" s="10">
        <v>46737950.964026973</v>
      </c>
      <c r="G359" s="10">
        <v>1383</v>
      </c>
      <c r="H359" s="10">
        <v>20</v>
      </c>
      <c r="I359" s="10">
        <v>4</v>
      </c>
      <c r="J359" s="10">
        <v>1188</v>
      </c>
      <c r="K359" s="10">
        <v>50075772.935241029</v>
      </c>
    </row>
    <row r="360" spans="1:11" x14ac:dyDescent="0.35">
      <c r="A360" s="9" t="s">
        <v>427</v>
      </c>
      <c r="B360" s="10">
        <v>1283</v>
      </c>
      <c r="C360" s="10">
        <v>18</v>
      </c>
      <c r="D360" s="10">
        <v>7</v>
      </c>
      <c r="E360" s="10">
        <v>1389</v>
      </c>
      <c r="F360" s="10">
        <v>36029730.631727502</v>
      </c>
      <c r="G360" s="10">
        <v>1124</v>
      </c>
      <c r="H360" s="10">
        <v>15</v>
      </c>
      <c r="I360" s="10">
        <v>7</v>
      </c>
      <c r="J360" s="10">
        <v>1443</v>
      </c>
      <c r="K360" s="10">
        <v>36365267.815432228</v>
      </c>
    </row>
    <row r="361" spans="1:11" x14ac:dyDescent="0.35">
      <c r="A361" s="9" t="s">
        <v>428</v>
      </c>
      <c r="B361" s="10">
        <v>1013</v>
      </c>
      <c r="C361" s="10">
        <v>15</v>
      </c>
      <c r="D361" s="10">
        <v>2</v>
      </c>
      <c r="E361" s="10">
        <v>911</v>
      </c>
      <c r="F361" s="10">
        <v>41287361.127471417</v>
      </c>
      <c r="G361" s="10">
        <v>1002</v>
      </c>
      <c r="H361" s="10">
        <v>9</v>
      </c>
      <c r="I361" s="10">
        <v>2</v>
      </c>
      <c r="J361" s="10">
        <v>814</v>
      </c>
      <c r="K361" s="10">
        <v>39038836.250479989</v>
      </c>
    </row>
    <row r="362" spans="1:11" x14ac:dyDescent="0.35">
      <c r="A362" s="9" t="s">
        <v>429</v>
      </c>
      <c r="B362" s="10">
        <v>2648</v>
      </c>
      <c r="C362" s="10">
        <v>45</v>
      </c>
      <c r="D362" s="10">
        <v>3</v>
      </c>
      <c r="E362" s="10">
        <v>2645</v>
      </c>
      <c r="F362" s="10">
        <v>93513174.373309493</v>
      </c>
      <c r="G362" s="10">
        <v>2510</v>
      </c>
      <c r="H362" s="10">
        <v>25</v>
      </c>
      <c r="I362" s="10">
        <v>3</v>
      </c>
      <c r="J362" s="10">
        <v>2513</v>
      </c>
      <c r="K362" s="10">
        <v>91147126.684005335</v>
      </c>
    </row>
    <row r="363" spans="1:11" x14ac:dyDescent="0.35">
      <c r="A363" s="9" t="s">
        <v>430</v>
      </c>
      <c r="B363" s="10">
        <v>893</v>
      </c>
      <c r="C363" s="10">
        <v>18</v>
      </c>
      <c r="D363" s="10">
        <v>9</v>
      </c>
      <c r="E363" s="10">
        <v>886</v>
      </c>
      <c r="F363" s="10">
        <v>35705729.051324703</v>
      </c>
      <c r="G363" s="10">
        <v>797</v>
      </c>
      <c r="H363" s="10">
        <v>10</v>
      </c>
      <c r="I363" s="10">
        <v>8</v>
      </c>
      <c r="J363" s="10">
        <v>884</v>
      </c>
      <c r="K363" s="10">
        <v>38969605.140043974</v>
      </c>
    </row>
    <row r="364" spans="1:11" x14ac:dyDescent="0.35">
      <c r="A364" s="9" t="s">
        <v>431</v>
      </c>
      <c r="B364" s="10">
        <v>3848</v>
      </c>
      <c r="C364" s="10">
        <v>60</v>
      </c>
      <c r="D364" s="10">
        <v>6</v>
      </c>
      <c r="E364" s="10">
        <v>2904</v>
      </c>
      <c r="F364" s="10">
        <v>110208526.16599172</v>
      </c>
      <c r="G364" s="10">
        <v>3604</v>
      </c>
      <c r="H364" s="10">
        <v>44</v>
      </c>
      <c r="I364" s="10">
        <v>7</v>
      </c>
      <c r="J364" s="10">
        <v>2913</v>
      </c>
      <c r="K364" s="10">
        <v>117963134.23935537</v>
      </c>
    </row>
    <row r="365" spans="1:11" x14ac:dyDescent="0.35">
      <c r="A365" s="9" t="s">
        <v>432</v>
      </c>
      <c r="B365" s="10">
        <v>1805</v>
      </c>
      <c r="C365" s="10">
        <v>24</v>
      </c>
      <c r="D365" s="10">
        <v>4</v>
      </c>
      <c r="E365" s="10">
        <v>1741</v>
      </c>
      <c r="F365" s="10">
        <v>73789695.399661303</v>
      </c>
      <c r="G365" s="10">
        <v>1780</v>
      </c>
      <c r="H365" s="10">
        <v>21</v>
      </c>
      <c r="I365" s="10">
        <v>5</v>
      </c>
      <c r="J365" s="10">
        <v>1715</v>
      </c>
      <c r="K365" s="10">
        <v>73936937.729121476</v>
      </c>
    </row>
    <row r="366" spans="1:11" x14ac:dyDescent="0.35">
      <c r="A366" s="9" t="s">
        <v>433</v>
      </c>
      <c r="B366" s="10">
        <v>1201</v>
      </c>
      <c r="C366" s="10">
        <v>22</v>
      </c>
      <c r="D366" s="10">
        <v>3</v>
      </c>
      <c r="E366" s="10">
        <v>1188</v>
      </c>
      <c r="F366" s="10">
        <v>51034994.04111819</v>
      </c>
      <c r="G366" s="10">
        <v>1037</v>
      </c>
      <c r="H366" s="10">
        <v>15</v>
      </c>
      <c r="I366" s="10">
        <v>3</v>
      </c>
      <c r="J366" s="10">
        <v>1196</v>
      </c>
      <c r="K366" s="10">
        <v>50069881.793649793</v>
      </c>
    </row>
    <row r="367" spans="1:11" x14ac:dyDescent="0.35">
      <c r="A367" s="9" t="s">
        <v>434</v>
      </c>
      <c r="B367" s="10">
        <v>1126</v>
      </c>
      <c r="C367" s="10">
        <v>10</v>
      </c>
      <c r="D367" s="10">
        <v>1</v>
      </c>
      <c r="E367" s="10">
        <v>656</v>
      </c>
      <c r="F367" s="10">
        <v>27111694.988334857</v>
      </c>
      <c r="G367" s="10">
        <v>1010</v>
      </c>
      <c r="H367" s="10">
        <v>9</v>
      </c>
      <c r="I367" s="10">
        <v>1</v>
      </c>
      <c r="J367" s="10">
        <v>636</v>
      </c>
      <c r="K367" s="10">
        <v>27954226.66751577</v>
      </c>
    </row>
    <row r="368" spans="1:11" x14ac:dyDescent="0.35">
      <c r="A368" s="9" t="s">
        <v>435</v>
      </c>
      <c r="B368" s="10">
        <v>1763</v>
      </c>
      <c r="C368" s="10">
        <v>27</v>
      </c>
      <c r="D368" s="10">
        <v>3</v>
      </c>
      <c r="E368" s="10">
        <v>1926</v>
      </c>
      <c r="F368" s="10">
        <v>70601162.348920375</v>
      </c>
      <c r="G368" s="10">
        <v>1556</v>
      </c>
      <c r="H368" s="10">
        <v>65</v>
      </c>
      <c r="I368" s="10">
        <v>3</v>
      </c>
      <c r="J368" s="10">
        <v>2386</v>
      </c>
      <c r="K368" s="10">
        <v>89526536.650999054</v>
      </c>
    </row>
    <row r="369" spans="1:11" x14ac:dyDescent="0.35">
      <c r="A369" s="9" t="s">
        <v>436</v>
      </c>
      <c r="B369" s="10">
        <v>1782</v>
      </c>
      <c r="C369" s="10">
        <v>21</v>
      </c>
      <c r="D369" s="10">
        <v>6</v>
      </c>
      <c r="E369" s="10">
        <v>1508</v>
      </c>
      <c r="F369" s="10">
        <v>47217468.938021839</v>
      </c>
      <c r="G369" s="10">
        <v>1647</v>
      </c>
      <c r="H369" s="10">
        <v>23</v>
      </c>
      <c r="I369" s="10">
        <v>8</v>
      </c>
      <c r="J369" s="10">
        <v>1765</v>
      </c>
      <c r="K369" s="10">
        <v>58270735.118812218</v>
      </c>
    </row>
    <row r="370" spans="1:11" x14ac:dyDescent="0.35">
      <c r="A370" s="9" t="s">
        <v>437</v>
      </c>
      <c r="B370" s="10">
        <v>1191</v>
      </c>
      <c r="C370" s="10">
        <v>45</v>
      </c>
      <c r="D370" s="10">
        <v>2</v>
      </c>
      <c r="E370" s="10">
        <v>1051</v>
      </c>
      <c r="F370" s="10">
        <v>41504587.226784013</v>
      </c>
      <c r="G370" s="10">
        <v>949</v>
      </c>
      <c r="H370" s="10">
        <v>16</v>
      </c>
      <c r="I370" s="10">
        <v>2</v>
      </c>
      <c r="J370" s="10">
        <v>1198</v>
      </c>
      <c r="K370" s="10">
        <v>49658980.876775086</v>
      </c>
    </row>
    <row r="371" spans="1:11" x14ac:dyDescent="0.35">
      <c r="A371" s="9" t="s">
        <v>438</v>
      </c>
      <c r="B371" s="10">
        <v>3407</v>
      </c>
      <c r="C371" s="10">
        <v>45</v>
      </c>
      <c r="D371" s="10">
        <v>5</v>
      </c>
      <c r="E371" s="10">
        <v>2555</v>
      </c>
      <c r="F371" s="10">
        <v>104888728.66871494</v>
      </c>
      <c r="G371" s="10">
        <v>3608</v>
      </c>
      <c r="H371" s="10">
        <v>44</v>
      </c>
      <c r="I371" s="10">
        <v>6</v>
      </c>
      <c r="J371" s="10">
        <v>2521</v>
      </c>
      <c r="K371" s="10">
        <v>109532904.71808265</v>
      </c>
    </row>
    <row r="372" spans="1:11" x14ac:dyDescent="0.35">
      <c r="A372" s="9" t="s">
        <v>439</v>
      </c>
      <c r="B372" s="10">
        <v>1089</v>
      </c>
      <c r="C372" s="10">
        <v>11</v>
      </c>
      <c r="D372" s="10">
        <v>10</v>
      </c>
      <c r="E372" s="10">
        <v>955</v>
      </c>
      <c r="F372" s="10">
        <v>40986416.814596631</v>
      </c>
      <c r="G372" s="10">
        <v>1180</v>
      </c>
      <c r="H372" s="10">
        <v>9</v>
      </c>
      <c r="I372" s="10">
        <v>10</v>
      </c>
      <c r="J372" s="10">
        <v>951</v>
      </c>
      <c r="K372" s="10">
        <v>40260633.29377456</v>
      </c>
    </row>
    <row r="373" spans="1:11" x14ac:dyDescent="0.35">
      <c r="A373" s="9" t="s">
        <v>440</v>
      </c>
      <c r="B373" s="10">
        <v>1221</v>
      </c>
      <c r="C373" s="10">
        <v>14</v>
      </c>
      <c r="D373" s="10">
        <v>14</v>
      </c>
      <c r="E373" s="10">
        <v>998</v>
      </c>
      <c r="F373" s="10">
        <v>46587355.282291718</v>
      </c>
      <c r="G373" s="10">
        <v>1202</v>
      </c>
      <c r="H373" s="10">
        <v>7</v>
      </c>
      <c r="I373" s="10">
        <v>15</v>
      </c>
      <c r="J373" s="10">
        <v>1024</v>
      </c>
      <c r="K373" s="10">
        <v>59407743.723466992</v>
      </c>
    </row>
    <row r="374" spans="1:11" x14ac:dyDescent="0.35">
      <c r="A374" s="9" t="s">
        <v>441</v>
      </c>
      <c r="B374" s="10">
        <v>2008</v>
      </c>
      <c r="C374" s="10">
        <v>31</v>
      </c>
      <c r="D374" s="10">
        <v>5</v>
      </c>
      <c r="E374" s="10">
        <v>2035</v>
      </c>
      <c r="F374" s="10">
        <v>73045774.023716092</v>
      </c>
      <c r="G374" s="10">
        <v>1809</v>
      </c>
      <c r="H374" s="10">
        <v>218</v>
      </c>
      <c r="I374" s="10">
        <v>4</v>
      </c>
      <c r="J374" s="10">
        <v>1622</v>
      </c>
      <c r="K374" s="10">
        <v>67717508.328281045</v>
      </c>
    </row>
    <row r="375" spans="1:11" x14ac:dyDescent="0.35">
      <c r="A375" s="9" t="s">
        <v>442</v>
      </c>
      <c r="B375" s="10">
        <v>2222</v>
      </c>
      <c r="C375" s="10">
        <v>58</v>
      </c>
      <c r="D375" s="10">
        <v>2</v>
      </c>
      <c r="E375" s="10">
        <v>1881</v>
      </c>
      <c r="F375" s="10">
        <v>68557657.984778032</v>
      </c>
      <c r="G375" s="10">
        <v>2216</v>
      </c>
      <c r="H375" s="10">
        <v>56</v>
      </c>
      <c r="I375" s="10">
        <v>4</v>
      </c>
      <c r="J375" s="10">
        <v>1581</v>
      </c>
      <c r="K375" s="10">
        <v>52116309.972569026</v>
      </c>
    </row>
    <row r="376" spans="1:11" x14ac:dyDescent="0.35">
      <c r="A376" s="9" t="s">
        <v>443</v>
      </c>
      <c r="B376" s="10">
        <v>1489</v>
      </c>
      <c r="C376" s="10">
        <v>229</v>
      </c>
      <c r="D376" s="10">
        <v>4</v>
      </c>
      <c r="E376" s="10">
        <v>849</v>
      </c>
      <c r="F376" s="10">
        <v>40641912.23235929</v>
      </c>
      <c r="G376" s="10">
        <v>1464</v>
      </c>
      <c r="H376" s="10">
        <v>159</v>
      </c>
      <c r="I376" s="10">
        <v>2</v>
      </c>
      <c r="J376" s="10">
        <v>876</v>
      </c>
      <c r="K376" s="10">
        <v>34879017.649473175</v>
      </c>
    </row>
    <row r="377" spans="1:11" x14ac:dyDescent="0.35">
      <c r="A377" s="9" t="s">
        <v>444</v>
      </c>
      <c r="B377" s="10">
        <v>992</v>
      </c>
      <c r="C377" s="10">
        <v>14</v>
      </c>
      <c r="D377" s="10">
        <v>3</v>
      </c>
      <c r="E377" s="10">
        <v>1086</v>
      </c>
      <c r="F377" s="10">
        <v>38108770.257747561</v>
      </c>
      <c r="G377" s="10">
        <v>924</v>
      </c>
      <c r="H377" s="10">
        <v>6</v>
      </c>
      <c r="I377" s="10">
        <v>4</v>
      </c>
      <c r="J377" s="10">
        <v>791</v>
      </c>
      <c r="K377" s="10">
        <v>40858350.625887237</v>
      </c>
    </row>
    <row r="378" spans="1:11" x14ac:dyDescent="0.35">
      <c r="A378" s="9" t="s">
        <v>445</v>
      </c>
      <c r="B378" s="10">
        <v>4693</v>
      </c>
      <c r="C378" s="10">
        <v>123</v>
      </c>
      <c r="D378" s="10">
        <v>5</v>
      </c>
      <c r="E378" s="10">
        <v>3427</v>
      </c>
      <c r="F378" s="10">
        <v>113613948.4220978</v>
      </c>
      <c r="G378" s="10">
        <v>4488</v>
      </c>
      <c r="H378" s="10">
        <v>93</v>
      </c>
      <c r="I378" s="10">
        <v>6</v>
      </c>
      <c r="J378" s="10">
        <v>3498</v>
      </c>
      <c r="K378" s="10">
        <v>132157104.28877261</v>
      </c>
    </row>
    <row r="379" spans="1:11" x14ac:dyDescent="0.35">
      <c r="A379" s="9" t="s">
        <v>446</v>
      </c>
      <c r="B379" s="10">
        <v>1360</v>
      </c>
      <c r="C379" s="10">
        <v>156</v>
      </c>
      <c r="D379" s="10">
        <v>5</v>
      </c>
      <c r="E379" s="10">
        <v>1518</v>
      </c>
      <c r="F379" s="10">
        <v>54308456.634542018</v>
      </c>
      <c r="G379" s="10">
        <v>1276</v>
      </c>
      <c r="H379" s="10">
        <v>47</v>
      </c>
      <c r="I379" s="10">
        <v>4</v>
      </c>
      <c r="J379" s="10">
        <v>1709</v>
      </c>
      <c r="K379" s="10">
        <v>60220040.3845561</v>
      </c>
    </row>
    <row r="380" spans="1:11" x14ac:dyDescent="0.35">
      <c r="A380" s="9" t="s">
        <v>447</v>
      </c>
      <c r="B380" s="10">
        <v>1650</v>
      </c>
      <c r="C380" s="10">
        <v>25</v>
      </c>
      <c r="D380" s="10">
        <v>1</v>
      </c>
      <c r="E380" s="10">
        <v>1506</v>
      </c>
      <c r="F380" s="10">
        <v>45977824.280636564</v>
      </c>
      <c r="G380" s="10">
        <v>1461</v>
      </c>
      <c r="H380" s="10">
        <v>15</v>
      </c>
      <c r="I380" s="10">
        <v>2</v>
      </c>
      <c r="J380" s="10">
        <v>1362</v>
      </c>
      <c r="K380" s="10">
        <v>42794416.908243865</v>
      </c>
    </row>
    <row r="381" spans="1:11" x14ac:dyDescent="0.35">
      <c r="A381" s="9" t="s">
        <v>448</v>
      </c>
      <c r="B381" s="10">
        <v>2142</v>
      </c>
      <c r="C381" s="10">
        <v>24</v>
      </c>
      <c r="D381" s="10">
        <v>8</v>
      </c>
      <c r="E381" s="10">
        <v>2097</v>
      </c>
      <c r="F381" s="10">
        <v>80920200.48975125</v>
      </c>
      <c r="G381" s="10">
        <v>2060</v>
      </c>
      <c r="H381" s="10">
        <v>57</v>
      </c>
      <c r="I381" s="10">
        <v>9</v>
      </c>
      <c r="J381" s="10">
        <v>2039</v>
      </c>
      <c r="K381" s="10">
        <v>79326772.093871683</v>
      </c>
    </row>
    <row r="382" spans="1:11" x14ac:dyDescent="0.35">
      <c r="A382" s="9" t="s">
        <v>449</v>
      </c>
      <c r="B382" s="10">
        <v>1450</v>
      </c>
      <c r="C382" s="10">
        <v>16</v>
      </c>
      <c r="D382" s="10">
        <v>3</v>
      </c>
      <c r="E382" s="10">
        <v>1497</v>
      </c>
      <c r="F382" s="10">
        <v>45568230.888885185</v>
      </c>
      <c r="G382" s="10">
        <v>1507</v>
      </c>
      <c r="H382" s="10">
        <v>12</v>
      </c>
      <c r="I382" s="10">
        <v>2</v>
      </c>
      <c r="J382" s="10">
        <v>1306</v>
      </c>
      <c r="K382" s="10">
        <v>41761374.589107059</v>
      </c>
    </row>
    <row r="383" spans="1:11" x14ac:dyDescent="0.35">
      <c r="A383" s="9" t="s">
        <v>450</v>
      </c>
      <c r="B383" s="10">
        <v>710</v>
      </c>
      <c r="C383" s="10">
        <v>8</v>
      </c>
      <c r="D383" s="10">
        <v>3</v>
      </c>
      <c r="E383" s="10">
        <v>459</v>
      </c>
      <c r="F383" s="10">
        <v>16620329.802858735</v>
      </c>
      <c r="G383" s="10">
        <v>739</v>
      </c>
      <c r="H383" s="10">
        <v>2</v>
      </c>
      <c r="I383" s="10">
        <v>3</v>
      </c>
      <c r="J383" s="10">
        <v>495</v>
      </c>
      <c r="K383" s="10">
        <v>17932026.435785711</v>
      </c>
    </row>
    <row r="384" spans="1:11" x14ac:dyDescent="0.35">
      <c r="A384" s="9" t="s">
        <v>451</v>
      </c>
      <c r="B384" s="10">
        <v>2128</v>
      </c>
      <c r="C384" s="10">
        <v>333</v>
      </c>
      <c r="D384" s="10">
        <v>6</v>
      </c>
      <c r="E384" s="10">
        <v>1452</v>
      </c>
      <c r="F384" s="10">
        <v>51652742.212777197</v>
      </c>
      <c r="G384" s="10">
        <v>2895</v>
      </c>
      <c r="H384" s="10">
        <v>1531</v>
      </c>
      <c r="I384" s="10">
        <v>5</v>
      </c>
      <c r="J384" s="10">
        <v>2030</v>
      </c>
      <c r="K384" s="10">
        <v>62153960.694132581</v>
      </c>
    </row>
    <row r="385" spans="1:11" x14ac:dyDescent="0.35">
      <c r="A385" s="9" t="s">
        <v>452</v>
      </c>
      <c r="B385" s="10">
        <v>1287</v>
      </c>
      <c r="C385" s="10">
        <v>13</v>
      </c>
      <c r="D385" s="10">
        <v>6</v>
      </c>
      <c r="E385" s="10">
        <v>1248</v>
      </c>
      <c r="F385" s="10">
        <v>53294369.988587573</v>
      </c>
      <c r="G385" s="10">
        <v>1313</v>
      </c>
      <c r="H385" s="10">
        <v>14</v>
      </c>
      <c r="I385" s="10">
        <v>6</v>
      </c>
      <c r="J385" s="10">
        <v>1200</v>
      </c>
      <c r="K385" s="10">
        <v>51783122.73090186</v>
      </c>
    </row>
    <row r="386" spans="1:11" x14ac:dyDescent="0.35">
      <c r="A386" s="9" t="s">
        <v>453</v>
      </c>
      <c r="B386" s="10">
        <v>1445</v>
      </c>
      <c r="C386" s="10">
        <v>15</v>
      </c>
      <c r="D386" s="10">
        <v>4</v>
      </c>
      <c r="E386" s="10">
        <v>1300</v>
      </c>
      <c r="F386" s="10">
        <v>45904458.478933379</v>
      </c>
      <c r="G386" s="10">
        <v>1355</v>
      </c>
      <c r="H386" s="10">
        <v>16</v>
      </c>
      <c r="I386" s="10">
        <v>5</v>
      </c>
      <c r="J386" s="10">
        <v>1444</v>
      </c>
      <c r="K386" s="10">
        <v>54204438.585318565</v>
      </c>
    </row>
    <row r="387" spans="1:11" x14ac:dyDescent="0.35">
      <c r="A387" s="9" t="s">
        <v>454</v>
      </c>
      <c r="B387" s="10">
        <v>2857</v>
      </c>
      <c r="C387" s="10">
        <v>62</v>
      </c>
      <c r="D387" s="10">
        <v>8</v>
      </c>
      <c r="E387" s="10">
        <v>2453</v>
      </c>
      <c r="F387" s="10">
        <v>86715741.920022041</v>
      </c>
      <c r="G387" s="10">
        <v>2637</v>
      </c>
      <c r="H387" s="10">
        <v>161</v>
      </c>
      <c r="I387" s="10">
        <v>7</v>
      </c>
      <c r="J387" s="10">
        <v>2477</v>
      </c>
      <c r="K387" s="10">
        <v>95041734.882717192</v>
      </c>
    </row>
    <row r="388" spans="1:11" x14ac:dyDescent="0.35">
      <c r="A388" s="9" t="s">
        <v>455</v>
      </c>
      <c r="B388" s="10">
        <v>2595</v>
      </c>
      <c r="C388" s="10">
        <v>44</v>
      </c>
      <c r="D388" s="10">
        <v>32</v>
      </c>
      <c r="E388" s="10">
        <v>2371</v>
      </c>
      <c r="F388" s="10">
        <v>128844028.04758587</v>
      </c>
      <c r="G388" s="10">
        <v>2719</v>
      </c>
      <c r="H388" s="10">
        <v>10</v>
      </c>
      <c r="I388" s="10">
        <v>23</v>
      </c>
      <c r="J388" s="10">
        <v>2164</v>
      </c>
      <c r="K388" s="10">
        <v>103563904.01847617</v>
      </c>
    </row>
    <row r="389" spans="1:11" x14ac:dyDescent="0.35">
      <c r="A389" s="9" t="s">
        <v>456</v>
      </c>
      <c r="B389" s="10">
        <v>1445</v>
      </c>
      <c r="C389" s="10">
        <v>24</v>
      </c>
      <c r="D389" s="10">
        <v>4</v>
      </c>
      <c r="E389" s="10">
        <v>1336</v>
      </c>
      <c r="F389" s="10">
        <v>51672605.74133651</v>
      </c>
      <c r="G389" s="10">
        <v>1380</v>
      </c>
      <c r="H389" s="10">
        <v>22</v>
      </c>
      <c r="I389" s="10">
        <v>3</v>
      </c>
      <c r="J389" s="10">
        <v>1534</v>
      </c>
      <c r="K389" s="10">
        <v>52501663.476999953</v>
      </c>
    </row>
    <row r="390" spans="1:11" x14ac:dyDescent="0.35">
      <c r="A390" s="9" t="s">
        <v>457</v>
      </c>
      <c r="B390" s="10">
        <v>608</v>
      </c>
      <c r="C390" s="10">
        <v>11</v>
      </c>
      <c r="D390" s="10">
        <v>0</v>
      </c>
      <c r="E390" s="10">
        <v>696</v>
      </c>
      <c r="F390" s="10">
        <v>24431941.677230835</v>
      </c>
      <c r="G390" s="10">
        <v>557</v>
      </c>
      <c r="H390" s="10">
        <v>8</v>
      </c>
      <c r="I390" s="10">
        <v>1</v>
      </c>
      <c r="J390" s="10">
        <v>773</v>
      </c>
      <c r="K390" s="10">
        <v>25817827.245810628</v>
      </c>
    </row>
    <row r="391" spans="1:11" x14ac:dyDescent="0.35">
      <c r="A391" s="9" t="s">
        <v>458</v>
      </c>
      <c r="B391" s="10">
        <v>1853</v>
      </c>
      <c r="C391" s="10">
        <v>16</v>
      </c>
      <c r="D391" s="10">
        <v>5</v>
      </c>
      <c r="E391" s="10">
        <v>1893</v>
      </c>
      <c r="F391" s="10">
        <v>55854522.502743758</v>
      </c>
      <c r="G391" s="10">
        <v>1799</v>
      </c>
      <c r="H391" s="10">
        <v>16</v>
      </c>
      <c r="I391" s="10">
        <v>4</v>
      </c>
      <c r="J391" s="10">
        <v>1850</v>
      </c>
      <c r="K391" s="10">
        <v>56477086.955055267</v>
      </c>
    </row>
    <row r="392" spans="1:11" x14ac:dyDescent="0.35">
      <c r="A392" s="9" t="s">
        <v>459</v>
      </c>
      <c r="B392" s="10">
        <v>2819</v>
      </c>
      <c r="C392" s="10">
        <v>46</v>
      </c>
      <c r="D392" s="10">
        <v>5</v>
      </c>
      <c r="E392" s="10">
        <v>1916</v>
      </c>
      <c r="F392" s="10">
        <v>77683652.725912452</v>
      </c>
      <c r="G392" s="10">
        <v>3095</v>
      </c>
      <c r="H392" s="10">
        <v>289</v>
      </c>
      <c r="I392" s="10">
        <v>4</v>
      </c>
      <c r="J392" s="10">
        <v>1703</v>
      </c>
      <c r="K392" s="10">
        <v>64606450.648459867</v>
      </c>
    </row>
    <row r="393" spans="1:11" x14ac:dyDescent="0.35">
      <c r="A393" s="9" t="s">
        <v>460</v>
      </c>
      <c r="B393" s="10">
        <v>3660</v>
      </c>
      <c r="C393" s="10">
        <v>134</v>
      </c>
      <c r="D393" s="10">
        <v>3</v>
      </c>
      <c r="E393" s="10">
        <v>2754</v>
      </c>
      <c r="F393" s="10">
        <v>101736222.57111843</v>
      </c>
      <c r="G393" s="10">
        <v>3302</v>
      </c>
      <c r="H393" s="10">
        <v>111</v>
      </c>
      <c r="I393" s="10">
        <v>2</v>
      </c>
      <c r="J393" s="10">
        <v>2387</v>
      </c>
      <c r="K393" s="10">
        <v>93585408.071050361</v>
      </c>
    </row>
    <row r="394" spans="1:11" x14ac:dyDescent="0.35">
      <c r="A394" s="9" t="s">
        <v>461</v>
      </c>
      <c r="B394" s="10">
        <v>1739</v>
      </c>
      <c r="C394" s="10">
        <v>34</v>
      </c>
      <c r="D394" s="10">
        <v>4</v>
      </c>
      <c r="E394" s="10">
        <v>1662</v>
      </c>
      <c r="F394" s="10">
        <v>45285968.881459214</v>
      </c>
      <c r="G394" s="10">
        <v>1621</v>
      </c>
      <c r="H394" s="10">
        <v>65</v>
      </c>
      <c r="I394" s="10">
        <v>3</v>
      </c>
      <c r="J394" s="10">
        <v>1238</v>
      </c>
      <c r="K394" s="10">
        <v>50828906.85545899</v>
      </c>
    </row>
    <row r="395" spans="1:11" x14ac:dyDescent="0.35">
      <c r="A395" s="9" t="s">
        <v>462</v>
      </c>
      <c r="B395" s="10">
        <v>1034</v>
      </c>
      <c r="C395" s="10">
        <v>24</v>
      </c>
      <c r="D395" s="10">
        <v>3</v>
      </c>
      <c r="E395" s="10">
        <v>1378</v>
      </c>
      <c r="F395" s="10">
        <v>43676288.130940102</v>
      </c>
      <c r="G395" s="10">
        <v>904</v>
      </c>
      <c r="H395" s="10">
        <v>20</v>
      </c>
      <c r="I395" s="10">
        <v>4</v>
      </c>
      <c r="J395" s="10">
        <v>1527</v>
      </c>
      <c r="K395" s="10">
        <v>52961340.774239145</v>
      </c>
    </row>
    <row r="396" spans="1:11" x14ac:dyDescent="0.35">
      <c r="A396" s="9" t="s">
        <v>463</v>
      </c>
      <c r="B396" s="10">
        <v>851</v>
      </c>
      <c r="C396" s="10">
        <v>12</v>
      </c>
      <c r="D396" s="10">
        <v>1</v>
      </c>
      <c r="E396" s="10">
        <v>838</v>
      </c>
      <c r="F396" s="10">
        <v>34022887.481338084</v>
      </c>
      <c r="G396" s="10">
        <v>900</v>
      </c>
      <c r="H396" s="10">
        <v>5</v>
      </c>
      <c r="I396" s="10">
        <v>0</v>
      </c>
      <c r="J396" s="10">
        <v>354</v>
      </c>
      <c r="K396" s="10">
        <v>26951668.266958825</v>
      </c>
    </row>
    <row r="397" spans="1:11" x14ac:dyDescent="0.35">
      <c r="A397" s="9" t="s">
        <v>464</v>
      </c>
      <c r="B397" s="10">
        <v>776</v>
      </c>
      <c r="C397" s="10">
        <v>12</v>
      </c>
      <c r="D397" s="10">
        <v>2</v>
      </c>
      <c r="E397" s="10">
        <v>752</v>
      </c>
      <c r="F397" s="10">
        <v>36021598.391471177</v>
      </c>
      <c r="G397" s="10">
        <v>774</v>
      </c>
      <c r="H397" s="10">
        <v>10</v>
      </c>
      <c r="I397" s="10">
        <v>2</v>
      </c>
      <c r="J397" s="10">
        <v>662</v>
      </c>
      <c r="K397" s="10">
        <v>32300640.77325552</v>
      </c>
    </row>
    <row r="398" spans="1:11" x14ac:dyDescent="0.35">
      <c r="A398" s="9" t="s">
        <v>465</v>
      </c>
      <c r="B398" s="10">
        <v>1232</v>
      </c>
      <c r="C398" s="10">
        <v>23</v>
      </c>
      <c r="D398" s="10">
        <v>6</v>
      </c>
      <c r="E398" s="10">
        <v>1335</v>
      </c>
      <c r="F398" s="10">
        <v>55749508.472925618</v>
      </c>
      <c r="G398" s="10">
        <v>1465</v>
      </c>
      <c r="H398" s="10">
        <v>20</v>
      </c>
      <c r="I398" s="10">
        <v>7</v>
      </c>
      <c r="J398" s="10">
        <v>1402</v>
      </c>
      <c r="K398" s="10">
        <v>61250909.293625966</v>
      </c>
    </row>
    <row r="399" spans="1:11" x14ac:dyDescent="0.35">
      <c r="A399" s="9" t="s">
        <v>466</v>
      </c>
      <c r="B399" s="10">
        <v>2320</v>
      </c>
      <c r="C399" s="10">
        <v>35</v>
      </c>
      <c r="D399" s="10">
        <v>3</v>
      </c>
      <c r="E399" s="10">
        <v>2008</v>
      </c>
      <c r="F399" s="10">
        <v>73118305.118020862</v>
      </c>
      <c r="G399" s="10">
        <v>2470</v>
      </c>
      <c r="H399" s="10">
        <v>48</v>
      </c>
      <c r="I399" s="10">
        <v>3</v>
      </c>
      <c r="J399" s="10">
        <v>2335</v>
      </c>
      <c r="K399" s="10">
        <v>98730041.058127299</v>
      </c>
    </row>
    <row r="400" spans="1:11" x14ac:dyDescent="0.35">
      <c r="A400" s="9" t="s">
        <v>467</v>
      </c>
      <c r="B400" s="10">
        <v>2004</v>
      </c>
      <c r="C400" s="10">
        <v>28</v>
      </c>
      <c r="D400" s="10">
        <v>4</v>
      </c>
      <c r="E400" s="10">
        <v>2123</v>
      </c>
      <c r="F400" s="10">
        <v>66084420.757324412</v>
      </c>
      <c r="G400" s="10">
        <v>1878</v>
      </c>
      <c r="H400" s="10">
        <v>180</v>
      </c>
      <c r="I400" s="10">
        <v>5</v>
      </c>
      <c r="J400" s="10">
        <v>2702</v>
      </c>
      <c r="K400" s="10">
        <v>78885935.117439419</v>
      </c>
    </row>
    <row r="401" spans="1:11" x14ac:dyDescent="0.35">
      <c r="A401" s="9" t="s">
        <v>468</v>
      </c>
      <c r="B401" s="10">
        <v>2670</v>
      </c>
      <c r="C401" s="10">
        <v>57</v>
      </c>
      <c r="D401" s="10">
        <v>2</v>
      </c>
      <c r="E401" s="10">
        <v>2787</v>
      </c>
      <c r="F401" s="10">
        <v>93938747.014843732</v>
      </c>
      <c r="G401" s="10">
        <v>2564</v>
      </c>
      <c r="H401" s="10">
        <v>135</v>
      </c>
      <c r="I401" s="10">
        <v>2</v>
      </c>
      <c r="J401" s="10">
        <v>2466</v>
      </c>
      <c r="K401" s="10">
        <v>87168336.419930562</v>
      </c>
    </row>
    <row r="402" spans="1:11" x14ac:dyDescent="0.35">
      <c r="A402" s="9" t="s">
        <v>469</v>
      </c>
      <c r="B402" s="10">
        <v>1017</v>
      </c>
      <c r="C402" s="10">
        <v>17</v>
      </c>
      <c r="D402" s="10">
        <v>3</v>
      </c>
      <c r="E402" s="10">
        <v>1213</v>
      </c>
      <c r="F402" s="10">
        <v>38660706.472246423</v>
      </c>
      <c r="G402" s="10">
        <v>982</v>
      </c>
      <c r="H402" s="10">
        <v>12</v>
      </c>
      <c r="I402" s="10">
        <v>3</v>
      </c>
      <c r="J402" s="10">
        <v>1125</v>
      </c>
      <c r="K402" s="10">
        <v>37395827.646318525</v>
      </c>
    </row>
    <row r="403" spans="1:11" x14ac:dyDescent="0.35">
      <c r="A403" s="9" t="s">
        <v>470</v>
      </c>
      <c r="B403" s="10">
        <v>2448</v>
      </c>
      <c r="C403" s="10">
        <v>27</v>
      </c>
      <c r="D403" s="10">
        <v>4</v>
      </c>
      <c r="E403" s="10">
        <v>2183</v>
      </c>
      <c r="F403" s="10">
        <v>67110619.288572043</v>
      </c>
      <c r="G403" s="10">
        <v>2420</v>
      </c>
      <c r="H403" s="10">
        <v>31</v>
      </c>
      <c r="I403" s="10">
        <v>4</v>
      </c>
      <c r="J403" s="10">
        <v>2283</v>
      </c>
      <c r="K403" s="10">
        <v>73899531.226192638</v>
      </c>
    </row>
    <row r="404" spans="1:11" x14ac:dyDescent="0.35">
      <c r="A404" s="9" t="s">
        <v>471</v>
      </c>
      <c r="B404" s="10">
        <v>1415</v>
      </c>
      <c r="C404" s="10">
        <v>17</v>
      </c>
      <c r="D404" s="10">
        <v>3</v>
      </c>
      <c r="E404" s="10">
        <v>1363</v>
      </c>
      <c r="F404" s="10">
        <v>37954042.670716643</v>
      </c>
      <c r="G404" s="10">
        <v>1325</v>
      </c>
      <c r="H404" s="10">
        <v>13</v>
      </c>
      <c r="I404" s="10">
        <v>3</v>
      </c>
      <c r="J404" s="10">
        <v>1310</v>
      </c>
      <c r="K404" s="10">
        <v>40480383.792479195</v>
      </c>
    </row>
    <row r="405" spans="1:11" x14ac:dyDescent="0.35">
      <c r="A405" s="9" t="s">
        <v>472</v>
      </c>
      <c r="B405" s="10">
        <v>2858</v>
      </c>
      <c r="C405" s="10">
        <v>25</v>
      </c>
      <c r="D405" s="10">
        <v>8</v>
      </c>
      <c r="E405" s="10">
        <v>2481</v>
      </c>
      <c r="F405" s="10">
        <v>89123069.750412688</v>
      </c>
      <c r="G405" s="10">
        <v>2890</v>
      </c>
      <c r="H405" s="10">
        <v>21</v>
      </c>
      <c r="I405" s="10">
        <v>9</v>
      </c>
      <c r="J405" s="10">
        <v>2373</v>
      </c>
      <c r="K405" s="10">
        <v>80190872.782265514</v>
      </c>
    </row>
    <row r="406" spans="1:11" x14ac:dyDescent="0.35">
      <c r="A406" s="9" t="s">
        <v>473</v>
      </c>
      <c r="B406" s="10">
        <v>1843</v>
      </c>
      <c r="C406" s="10">
        <v>434</v>
      </c>
      <c r="D406" s="10">
        <v>1</v>
      </c>
      <c r="E406" s="10">
        <v>1314</v>
      </c>
      <c r="F406" s="10">
        <v>47330914.543661244</v>
      </c>
      <c r="G406" s="10">
        <v>1569</v>
      </c>
      <c r="H406" s="10">
        <v>12</v>
      </c>
      <c r="I406" s="10">
        <v>1</v>
      </c>
      <c r="J406" s="10">
        <v>1201</v>
      </c>
      <c r="K406" s="10">
        <v>48466217.983322203</v>
      </c>
    </row>
    <row r="407" spans="1:11" x14ac:dyDescent="0.35">
      <c r="A407" s="9" t="s">
        <v>474</v>
      </c>
      <c r="B407" s="10">
        <v>1685</v>
      </c>
      <c r="C407" s="10">
        <v>50</v>
      </c>
      <c r="D407" s="10">
        <v>4</v>
      </c>
      <c r="E407" s="10">
        <v>1558</v>
      </c>
      <c r="F407" s="10">
        <v>52279328.162057295</v>
      </c>
      <c r="G407" s="10">
        <v>1702</v>
      </c>
      <c r="H407" s="10">
        <v>24</v>
      </c>
      <c r="I407" s="10">
        <v>4</v>
      </c>
      <c r="J407" s="10">
        <v>1498</v>
      </c>
      <c r="K407" s="10">
        <v>55303171.097165465</v>
      </c>
    </row>
    <row r="408" spans="1:11" x14ac:dyDescent="0.35">
      <c r="A408" s="9" t="s">
        <v>475</v>
      </c>
      <c r="B408" s="10">
        <v>1092</v>
      </c>
      <c r="C408" s="10">
        <v>20</v>
      </c>
      <c r="D408" s="10">
        <v>5</v>
      </c>
      <c r="E408" s="10">
        <v>1663</v>
      </c>
      <c r="F408" s="10">
        <v>47067746.11007636</v>
      </c>
      <c r="G408" s="10">
        <v>1014</v>
      </c>
      <c r="H408" s="10">
        <v>17</v>
      </c>
      <c r="I408" s="10">
        <v>4</v>
      </c>
      <c r="J408" s="10">
        <v>1501</v>
      </c>
      <c r="K408" s="10">
        <v>49759724.58512716</v>
      </c>
    </row>
    <row r="409" spans="1:11" x14ac:dyDescent="0.35">
      <c r="A409" s="9" t="s">
        <v>476</v>
      </c>
      <c r="B409" s="10">
        <v>954</v>
      </c>
      <c r="C409" s="10">
        <v>17</v>
      </c>
      <c r="D409" s="10">
        <v>4</v>
      </c>
      <c r="E409" s="10">
        <v>1294</v>
      </c>
      <c r="F409" s="10">
        <v>43422496.71143806</v>
      </c>
      <c r="G409" s="10">
        <v>860</v>
      </c>
      <c r="H409" s="10">
        <v>13</v>
      </c>
      <c r="I409" s="10">
        <v>5</v>
      </c>
      <c r="J409" s="10">
        <v>1466</v>
      </c>
      <c r="K409" s="10">
        <v>49659234.841261834</v>
      </c>
    </row>
    <row r="410" spans="1:11" x14ac:dyDescent="0.35">
      <c r="A410" s="9" t="s">
        <v>477</v>
      </c>
      <c r="B410" s="10">
        <v>1790</v>
      </c>
      <c r="C410" s="10">
        <v>19</v>
      </c>
      <c r="D410" s="10">
        <v>4</v>
      </c>
      <c r="E410" s="10">
        <v>1839</v>
      </c>
      <c r="F410" s="10">
        <v>50540793.334973603</v>
      </c>
      <c r="G410" s="10">
        <v>1717</v>
      </c>
      <c r="H410" s="10">
        <v>17</v>
      </c>
      <c r="I410" s="10">
        <v>4</v>
      </c>
      <c r="J410" s="10">
        <v>2054</v>
      </c>
      <c r="K410" s="10">
        <v>60666193.197586372</v>
      </c>
    </row>
    <row r="411" spans="1:11" x14ac:dyDescent="0.35">
      <c r="A411" s="9" t="s">
        <v>478</v>
      </c>
      <c r="B411" s="10">
        <v>2025</v>
      </c>
      <c r="C411" s="10">
        <v>28</v>
      </c>
      <c r="D411" s="10">
        <v>6</v>
      </c>
      <c r="E411" s="10">
        <v>1913</v>
      </c>
      <c r="F411" s="10">
        <v>58017033.562543973</v>
      </c>
      <c r="G411" s="10">
        <v>2108</v>
      </c>
      <c r="H411" s="10">
        <v>29</v>
      </c>
      <c r="I411" s="10">
        <v>5</v>
      </c>
      <c r="J411" s="10">
        <v>1871</v>
      </c>
      <c r="K411" s="10">
        <v>57322278.803437307</v>
      </c>
    </row>
    <row r="412" spans="1:11" x14ac:dyDescent="0.35">
      <c r="A412" s="9" t="s">
        <v>479</v>
      </c>
      <c r="B412" s="10">
        <v>2899</v>
      </c>
      <c r="C412" s="10">
        <v>24</v>
      </c>
      <c r="D412" s="10">
        <v>5</v>
      </c>
      <c r="E412" s="10">
        <v>3026</v>
      </c>
      <c r="F412" s="10">
        <v>90443536.923018277</v>
      </c>
      <c r="G412" s="10">
        <v>2905</v>
      </c>
      <c r="H412" s="10">
        <v>18</v>
      </c>
      <c r="I412" s="10">
        <v>4</v>
      </c>
      <c r="J412" s="10">
        <v>2705</v>
      </c>
      <c r="K412" s="10">
        <v>92498574.463838235</v>
      </c>
    </row>
    <row r="413" spans="1:11" x14ac:dyDescent="0.35">
      <c r="A413" s="9" t="s">
        <v>480</v>
      </c>
      <c r="B413" s="10">
        <v>1739</v>
      </c>
      <c r="C413" s="10">
        <v>11</v>
      </c>
      <c r="D413" s="10">
        <v>2</v>
      </c>
      <c r="E413" s="10">
        <v>1715</v>
      </c>
      <c r="F413" s="10">
        <v>55240340.127861008</v>
      </c>
      <c r="G413" s="10">
        <v>1699</v>
      </c>
      <c r="H413" s="10">
        <v>10</v>
      </c>
      <c r="I413" s="10">
        <v>2</v>
      </c>
      <c r="J413" s="10">
        <v>1718</v>
      </c>
      <c r="K413" s="10">
        <v>59977081.76462312</v>
      </c>
    </row>
    <row r="414" spans="1:11" x14ac:dyDescent="0.35">
      <c r="A414" s="9" t="s">
        <v>481</v>
      </c>
      <c r="B414" s="10">
        <v>1622</v>
      </c>
      <c r="C414" s="10">
        <v>12</v>
      </c>
      <c r="D414" s="10">
        <v>6</v>
      </c>
      <c r="E414" s="10">
        <v>1643</v>
      </c>
      <c r="F414" s="10">
        <v>55499523.617746443</v>
      </c>
      <c r="G414" s="10">
        <v>1606</v>
      </c>
      <c r="H414" s="10">
        <v>9</v>
      </c>
      <c r="I414" s="10">
        <v>8</v>
      </c>
      <c r="J414" s="10">
        <v>1729</v>
      </c>
      <c r="K414" s="10">
        <v>64692066.365094215</v>
      </c>
    </row>
    <row r="415" spans="1:11" x14ac:dyDescent="0.35">
      <c r="A415" s="9" t="s">
        <v>482</v>
      </c>
      <c r="B415" s="10">
        <v>1395</v>
      </c>
      <c r="C415" s="10">
        <v>16</v>
      </c>
      <c r="D415" s="10">
        <v>11</v>
      </c>
      <c r="E415" s="10">
        <v>1612</v>
      </c>
      <c r="F415" s="10">
        <v>55286380.959529355</v>
      </c>
      <c r="G415" s="10">
        <v>1309</v>
      </c>
      <c r="H415" s="10">
        <v>10</v>
      </c>
      <c r="I415" s="10">
        <v>16</v>
      </c>
      <c r="J415" s="10">
        <v>1584</v>
      </c>
      <c r="K415" s="10">
        <v>53336813.369292721</v>
      </c>
    </row>
    <row r="416" spans="1:11" x14ac:dyDescent="0.35">
      <c r="A416" s="9" t="s">
        <v>483</v>
      </c>
      <c r="B416" s="10">
        <v>2081</v>
      </c>
      <c r="C416" s="10">
        <v>47</v>
      </c>
      <c r="D416" s="10">
        <v>31</v>
      </c>
      <c r="E416" s="10">
        <v>1758</v>
      </c>
      <c r="F416" s="10">
        <v>104629963.18086888</v>
      </c>
      <c r="G416" s="10">
        <v>2100</v>
      </c>
      <c r="H416" s="10">
        <v>15</v>
      </c>
      <c r="I416" s="10">
        <v>22</v>
      </c>
      <c r="J416" s="10">
        <v>1461</v>
      </c>
      <c r="K416" s="10">
        <v>72579684.653055146</v>
      </c>
    </row>
    <row r="417" spans="1:11" x14ac:dyDescent="0.35">
      <c r="A417" s="9" t="s">
        <v>484</v>
      </c>
      <c r="B417" s="10">
        <v>2268</v>
      </c>
      <c r="C417" s="10">
        <v>36</v>
      </c>
      <c r="D417" s="10">
        <v>14</v>
      </c>
      <c r="E417" s="10">
        <v>2181</v>
      </c>
      <c r="F417" s="10">
        <v>80670693.406867415</v>
      </c>
      <c r="G417" s="10">
        <v>2150</v>
      </c>
      <c r="H417" s="10">
        <v>18</v>
      </c>
      <c r="I417" s="10">
        <v>14</v>
      </c>
      <c r="J417" s="10">
        <v>2184</v>
      </c>
      <c r="K417" s="10">
        <v>78381678.165574998</v>
      </c>
    </row>
    <row r="418" spans="1:11" x14ac:dyDescent="0.35">
      <c r="A418" s="9" t="s">
        <v>485</v>
      </c>
      <c r="B418" s="10">
        <v>1057</v>
      </c>
      <c r="C418" s="10">
        <v>12</v>
      </c>
      <c r="D418" s="10">
        <v>5</v>
      </c>
      <c r="E418" s="10">
        <v>1211</v>
      </c>
      <c r="F418" s="10">
        <v>30779109.446160853</v>
      </c>
      <c r="G418" s="10">
        <v>1134</v>
      </c>
      <c r="H418" s="10">
        <v>38</v>
      </c>
      <c r="I418" s="10">
        <v>6</v>
      </c>
      <c r="J418" s="10">
        <v>1202</v>
      </c>
      <c r="K418" s="10">
        <v>30271974.367141023</v>
      </c>
    </row>
    <row r="419" spans="1:11" x14ac:dyDescent="0.35">
      <c r="A419" s="9" t="s">
        <v>486</v>
      </c>
      <c r="B419" s="10">
        <v>1189</v>
      </c>
      <c r="C419" s="10">
        <v>31</v>
      </c>
      <c r="D419" s="10">
        <v>3</v>
      </c>
      <c r="E419" s="10">
        <v>1153</v>
      </c>
      <c r="F419" s="10">
        <v>46342203.405181937</v>
      </c>
      <c r="G419" s="10">
        <v>1208</v>
      </c>
      <c r="H419" s="10">
        <v>11</v>
      </c>
      <c r="I419" s="10">
        <v>2</v>
      </c>
      <c r="J419" s="10">
        <v>1053</v>
      </c>
      <c r="K419" s="10">
        <v>47995459.839604914</v>
      </c>
    </row>
    <row r="420" spans="1:11" x14ac:dyDescent="0.35">
      <c r="A420" s="9" t="s">
        <v>487</v>
      </c>
      <c r="B420" s="10">
        <v>1935</v>
      </c>
      <c r="C420" s="10">
        <v>49</v>
      </c>
      <c r="D420" s="10">
        <v>44</v>
      </c>
      <c r="E420" s="10">
        <v>1799</v>
      </c>
      <c r="F420" s="10">
        <v>75978677.469421774</v>
      </c>
      <c r="G420" s="10">
        <v>1862</v>
      </c>
      <c r="H420" s="10">
        <v>10</v>
      </c>
      <c r="I420" s="10">
        <v>39</v>
      </c>
      <c r="J420" s="10">
        <v>1927</v>
      </c>
      <c r="K420" s="10">
        <v>71926456.536010787</v>
      </c>
    </row>
    <row r="421" spans="1:11" x14ac:dyDescent="0.35">
      <c r="A421" s="9" t="s">
        <v>488</v>
      </c>
      <c r="B421" s="10">
        <v>1226</v>
      </c>
      <c r="C421" s="10">
        <v>36</v>
      </c>
      <c r="D421" s="10">
        <v>10</v>
      </c>
      <c r="E421" s="10">
        <v>925</v>
      </c>
      <c r="F421" s="10">
        <v>36463126.454049505</v>
      </c>
      <c r="G421" s="10">
        <v>1210</v>
      </c>
      <c r="H421" s="10">
        <v>19</v>
      </c>
      <c r="I421" s="10">
        <v>8</v>
      </c>
      <c r="J421" s="10">
        <v>874</v>
      </c>
      <c r="K421" s="10">
        <v>36486260.186073497</v>
      </c>
    </row>
    <row r="422" spans="1:11" x14ac:dyDescent="0.35">
      <c r="A422" s="9" t="s">
        <v>489</v>
      </c>
      <c r="B422" s="10">
        <v>1563</v>
      </c>
      <c r="C422" s="10">
        <v>12</v>
      </c>
      <c r="D422" s="10">
        <v>24</v>
      </c>
      <c r="E422" s="10">
        <v>1444</v>
      </c>
      <c r="F422" s="10">
        <v>65082423.681416184</v>
      </c>
      <c r="G422" s="10">
        <v>1601</v>
      </c>
      <c r="H422" s="10">
        <v>4</v>
      </c>
      <c r="I422" s="10">
        <v>20</v>
      </c>
      <c r="J422" s="10">
        <v>1470</v>
      </c>
      <c r="K422" s="10">
        <v>54792566.749201998</v>
      </c>
    </row>
    <row r="423" spans="1:11" x14ac:dyDescent="0.35">
      <c r="A423" s="9" t="s">
        <v>490</v>
      </c>
      <c r="B423" s="10">
        <v>1081</v>
      </c>
      <c r="C423" s="10">
        <v>23</v>
      </c>
      <c r="D423" s="10">
        <v>2</v>
      </c>
      <c r="E423" s="10">
        <v>1382</v>
      </c>
      <c r="F423" s="10">
        <v>48152383.312544897</v>
      </c>
      <c r="G423" s="10">
        <v>873</v>
      </c>
      <c r="H423" s="10">
        <v>29</v>
      </c>
      <c r="I423" s="10">
        <v>4</v>
      </c>
      <c r="J423" s="10">
        <v>1581</v>
      </c>
      <c r="K423" s="10">
        <v>57772388.21660547</v>
      </c>
    </row>
    <row r="424" spans="1:11" x14ac:dyDescent="0.35">
      <c r="A424" s="9" t="s">
        <v>491</v>
      </c>
      <c r="B424" s="10">
        <v>1072</v>
      </c>
      <c r="C424" s="10">
        <v>10</v>
      </c>
      <c r="D424" s="10">
        <v>3</v>
      </c>
      <c r="E424" s="10">
        <v>926</v>
      </c>
      <c r="F424" s="10">
        <v>39191693.358265191</v>
      </c>
      <c r="G424" s="10">
        <v>1007</v>
      </c>
      <c r="H424" s="10">
        <v>8</v>
      </c>
      <c r="I424" s="10">
        <v>2</v>
      </c>
      <c r="J424" s="10">
        <v>1016</v>
      </c>
      <c r="K424" s="10">
        <v>39034028.623960942</v>
      </c>
    </row>
    <row r="425" spans="1:11" x14ac:dyDescent="0.35">
      <c r="A425" s="9" t="s">
        <v>492</v>
      </c>
      <c r="B425" s="10">
        <v>1624</v>
      </c>
      <c r="C425" s="10">
        <v>2</v>
      </c>
      <c r="D425" s="10">
        <v>28</v>
      </c>
      <c r="E425" s="10">
        <v>1667</v>
      </c>
      <c r="F425" s="10">
        <v>51266561.196334481</v>
      </c>
      <c r="G425" s="10">
        <v>1392</v>
      </c>
      <c r="H425" s="10">
        <v>7</v>
      </c>
      <c r="I425" s="10">
        <v>31</v>
      </c>
      <c r="J425" s="10">
        <v>1737</v>
      </c>
      <c r="K425" s="10">
        <v>59277655.111475319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508850</v>
      </c>
      <c r="C427" s="13">
        <v>13600</v>
      </c>
      <c r="D427" s="13">
        <v>2171</v>
      </c>
      <c r="E427" s="13">
        <v>452454</v>
      </c>
      <c r="F427" s="13">
        <v>19265272303.479912</v>
      </c>
      <c r="G427" s="13">
        <v>391729</v>
      </c>
      <c r="H427" s="13">
        <v>12793</v>
      </c>
      <c r="I427" s="13">
        <v>1869</v>
      </c>
      <c r="J427" s="13">
        <v>355981</v>
      </c>
      <c r="K427" s="13">
        <v>15684851397.784781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2026-10-27T13:33:07Z</dcterms:modified>
</cp:coreProperties>
</file>