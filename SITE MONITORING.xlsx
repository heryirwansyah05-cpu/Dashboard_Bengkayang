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H28" i="3" s="1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77" i="3" l="1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<sst xmlns="http://schemas.openxmlformats.org/spreadsheetml/2006/main" count="540" uniqueCount="205">
  <si>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</si>
  <si>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</si>
  <si>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</si>
  <si>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</si>
  <si>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</si>
  <si>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</si>
  <si>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</si>
  <si>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</si>
  <si>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</si>
  <si>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</si>
  <si>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</si>
  <si>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</si>
  <si>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</si>
  <si>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</si>
  <si>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</si>
  <si>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</si>
  <si>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</si>
  <si>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</si>
  <si>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</si>
  <si>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</si>
  <si>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</si>
  <si>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</si>
  <si>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</si>
  <si>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</si>
  <si>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</si>
  <si>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</si>
  <si>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</si>
  <si>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</si>
  <si>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</si>
  <si>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</si>
  <si>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</si>
  <si>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</si>
  <si>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</si>
  <si>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</si>
  <si>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</si>
  <si>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</si>
  <si>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</si>
  <si>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</si>
  <si>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</si>
  <si>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</si>
  <si>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</si>
  <si>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</si>
  <si>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</si>
  <si>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</si>
  <si>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</si>
  <si>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</si>
  <si>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</si>
  <si>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</si>
  <si>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</si>
  <si>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</si>
  <si>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</si>
  <si>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</si>
  <si>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</si>
  <si>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</si>
  <si>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</si>
  <si>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</si>
  <si>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</si>
  <si>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</si>
  <si>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</si>
  <si>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</si>
  <si>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</si>
  <si>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</si>
  <si>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</si>
  <si>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</si>
  <si>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</si>
  <si>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</si>
  <si>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</si>
  <si>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</si>
  <si>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</si>
  <si>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</si>
  <si>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</si>
  <si>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</si>
  <si>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</si>
  <si>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</si>
  <si>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</si>
  <si>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</si>
  <si>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</si>
  <si>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</si>
  <si>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</si>
  <si>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</si>
  <si>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</si>
  <si>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</si>
  <si>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</si>
  <si>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</si>
  <si>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</si>
  <si>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</si>
  <si>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</si>
  <si>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</si>
  <si>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</si>
  <si>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</si>
  <si>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</si>
  <si>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</si>
  <si>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</si>
  <si>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</si>
  <si>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</si>
  <si>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</si>
  <si>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</si>
  <si>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</si>
  <si>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</si>
  <si>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</si>
  <si>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</si>
  <si>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</si>
  <si>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</si>
  <si>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</si>
  <si>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</si>
  <si>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</si>
  <si>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</si>
  <si>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</si>
  <si>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</si>
  <si>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</si>
  <si>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</si>
  <si>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</si>
  <si>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</si>
  <si>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</si>
  <si>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</si>
  <si>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</si>
  <si>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</si>
  <si>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</si>
  <si>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</si>
  <si>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</si>
  <si>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</si>
  <si>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</si>
  <si>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</si>
  <si>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</si>
  <si>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</si>
  <si>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</si>
  <si>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</si>
  <si>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</si>
  <si>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</si>
  <si>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</si>
  <si>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</si>
  <si>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</si>
  <si>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</si>
  <si>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</si>
  <si>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</si>
  <si>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</si>
  <si>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</si>
  <si>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</si>
  <si>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</si>
  <si>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</si>
  <si>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</si>
  <si>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</si>
  <si>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</si>
  <si>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</si>
  <si>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</si>
  <si>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</si>
  <si>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</si>
  <si>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</si>
  <si>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</si>
  <si>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</si>
  <si>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</si>
  <si>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</si>
  <si>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</si>
  <si>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</si>
  <si>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</si>
  <si>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</si>
  <si>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</si>
  <si>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</si>
  <si>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</si>
  <si>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</si>
  <si>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</si>
  <si>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</si>
  <si>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</si>
  <si>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</si>
  <si>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</si>
  <si>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</si>
  <si>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</si>
  <si>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</si>
  <si>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</si>
  <si>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</si>
  <si>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</si>
  <si>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</si>
  <si>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</si>
  <si>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</si>
  <si>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</si>
  <si>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</si>
  <si>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</si>
  <si>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</si>
  <si>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</si>
  <si>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</si>
  <si>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</si>
  <si>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</si>
  <si>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</si>
  <si>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</si>
  <si>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</si>
  <si>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</si>
  <si>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</si>
  <si>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</si>
  <si>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</si>
  <si>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</si>
  <si>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</si>
  <si>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</si>
  <si>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</si>
  <si>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</si>
  <si>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</si>
  <si>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</si>
  <si>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</si>
  <si>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</si>
  <si>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RGU GA TRADE</t>
  </si>
  <si>
    <t>Sum of FWA VLR</t>
  </si>
  <si>
    <t>Sum of VLR SUBS</t>
  </si>
  <si>
    <t>Sum of PREPAID REVENUE NETT</t>
  </si>
  <si>
    <t>20BEK0049</t>
  </si>
  <si>
    <t>GROWTH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</si>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</sst>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tabSelected="1" workbookViewId="0">
      <pane xSplit="1" ySplit="1" topLeftCell="M68" activePane="bottomRight" state="frozen"/>
      <selection pane="topRight" activeCell="C1" sqref="C1"/>
      <selection pane="bottomLeft" activeCell="A2" sqref="A2"/>
      <selection pane="bottomRight" activeCell="W73" sqref="W73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203</v>
      </c>
      <c r="I1" s="3" t="s">
        <v>188</v>
      </c>
      <c r="J1" s="3" t="s">
        <v>187</v>
      </c>
      <c r="K1" s="5" t="s">
        <v>203</v>
      </c>
      <c r="L1" s="3" t="s">
        <v>189</v>
      </c>
      <c r="M1" s="3" t="s">
        <v>184</v>
      </c>
      <c r="N1" s="5" t="s">
        <v>203</v>
      </c>
      <c r="O1" s="5" t="s">
        <v>190</v>
      </c>
      <c r="P1" s="5" t="s">
        <v>191</v>
      </c>
      <c r="Q1" s="5" t="s">
        <v>203</v>
      </c>
      <c r="R1" s="5" t="s">
        <v>193</v>
      </c>
      <c r="S1" s="5" t="s">
        <v>192</v>
      </c>
      <c r="T1" s="5" t="s">
        <v>203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14951903.352457</v>
      </c>
      <c r="G2" s="1">
        <f>VLOOKUP(A:A,MASTER!A:K,11,0)</f>
        <v>14917900.520187205</v>
      </c>
      <c r="H2" s="12">
        <f>IFERROR(G2/F2-1,0)</f>
        <v>-2.2741474090793856E-3</v>
      </c>
      <c r="I2" s="2">
        <f>VLOOKUP(A:A,MASTER!A:E,5,0)</f>
        <v>312</v>
      </c>
      <c r="J2" s="2">
        <f>VLOOKUP(A:A,MASTER!A:J,10,0)</f>
        <v>403</v>
      </c>
      <c r="K2" s="12">
        <f>IFERROR(J2/I2-1,0)</f>
        <v>0.29166666666666674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3</v>
      </c>
      <c r="P2" s="1">
        <f>VLOOKUP(A:A,MASTER!A:H,8,0)</f>
        <v>3</v>
      </c>
      <c r="Q2" s="12">
        <f>IFERROR(P2/O2-1,0)</f>
        <v>0</v>
      </c>
      <c r="R2" s="1">
        <f>VLOOKUP(A:A,MASTER!A:B,2,0)</f>
        <v>414</v>
      </c>
      <c r="S2">
        <f>VLOOKUP(A:A,MASTER!A:G,7,0)</f>
        <v>417</v>
      </c>
      <c r="T2" s="12">
        <f>IFERROR(S2/R2-1,0)</f>
        <v>7.2463768115942351E-3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18047109.036899108</v>
      </c>
      <c r="G3" s="1">
        <f>VLOOKUP(A:A,MASTER!A:K,11,0)</f>
        <v>17442795.012084626</v>
      </c>
      <c r="H3" s="12">
        <f t="shared" ref="H3:H66" si="0">IFERROR(G3/F3-1,0)</f>
        <v>-3.3485364530069783E-2</v>
      </c>
      <c r="I3" s="2">
        <f>VLOOKUP(A:A,MASTER!A:E,5,0)</f>
        <v>1193</v>
      </c>
      <c r="J3" s="2">
        <f>VLOOKUP(A:A,MASTER!A:J,10,0)</f>
        <v>565</v>
      </c>
      <c r="K3" s="12">
        <f t="shared" ref="K3:K66" si="1">IFERROR(J3/I3-1,0)</f>
        <v>-0.52640402347024307</v>
      </c>
      <c r="L3" s="2">
        <f>VLOOKUP(A:A,MASTER!A:D,4,0)</f>
        <v>2</v>
      </c>
      <c r="M3" s="2">
        <f>VLOOKUP(A:A,MASTER!A:I,9,0)</f>
        <v>2</v>
      </c>
      <c r="N3" s="12">
        <f t="shared" ref="N3:N66" si="2">IFERROR(M3/L3-1,0)</f>
        <v>0</v>
      </c>
      <c r="O3" s="1">
        <f>VLOOKUP(A:A,MASTER!A:C,3,0)</f>
        <v>2</v>
      </c>
      <c r="P3" s="1">
        <f>VLOOKUP(A:A,MASTER!A:H,8,0)</f>
        <v>6</v>
      </c>
      <c r="Q3" s="12">
        <f t="shared" ref="Q3:Q66" si="3">IFERROR(P3/O3-1,0)</f>
        <v>2</v>
      </c>
      <c r="R3" s="1">
        <f>VLOOKUP(A:A,MASTER!A:B,2,0)</f>
        <v>678</v>
      </c>
      <c r="S3">
        <f>VLOOKUP(A:A,MASTER!A:G,7,0)</f>
        <v>625</v>
      </c>
      <c r="T3" s="12">
        <f t="shared" ref="T3:T66" si="4">IFERROR(S3/R3-1,0)</f>
        <v>-7.8171091445427776E-2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22267218.174751002</v>
      </c>
      <c r="G4" s="1">
        <f>VLOOKUP(A:A,MASTER!A:K,11,0)</f>
        <v>25238742.900891054</v>
      </c>
      <c r="H4" s="12">
        <f t="shared" si="0"/>
        <v>0.13344840396406088</v>
      </c>
      <c r="I4" s="2">
        <f>VLOOKUP(A:A,MASTER!A:E,5,0)</f>
        <v>860</v>
      </c>
      <c r="J4" s="2">
        <f>VLOOKUP(A:A,MASTER!A:J,10,0)</f>
        <v>763</v>
      </c>
      <c r="K4" s="12">
        <f t="shared" si="1"/>
        <v>-0.11279069767441863</v>
      </c>
      <c r="L4" s="2">
        <f>VLOOKUP(A:A,MASTER!A:D,4,0)</f>
        <v>2</v>
      </c>
      <c r="M4" s="2">
        <f>VLOOKUP(A:A,MASTER!A:I,9,0)</f>
        <v>1</v>
      </c>
      <c r="N4" s="12">
        <f t="shared" si="2"/>
        <v>-0.5</v>
      </c>
      <c r="O4" s="1">
        <f>VLOOKUP(A:A,MASTER!A:C,3,0)</f>
        <v>8</v>
      </c>
      <c r="P4" s="1">
        <f>VLOOKUP(A:A,MASTER!A:H,8,0)</f>
        <v>10</v>
      </c>
      <c r="Q4" s="12">
        <f t="shared" si="3"/>
        <v>0.25</v>
      </c>
      <c r="R4" s="1">
        <f>VLOOKUP(A:A,MASTER!A:B,2,0)</f>
        <v>689</v>
      </c>
      <c r="S4">
        <f>VLOOKUP(A:A,MASTER!A:G,7,0)</f>
        <v>777</v>
      </c>
      <c r="T4" s="12">
        <f t="shared" si="4"/>
        <v>0.12772133526850515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38037278.997783728</v>
      </c>
      <c r="G5" s="1">
        <f>VLOOKUP(A:A,MASTER!A:K,11,0)</f>
        <v>39072462.499094419</v>
      </c>
      <c r="H5" s="12">
        <f t="shared" si="0"/>
        <v>2.7214972484519873E-2</v>
      </c>
      <c r="I5" s="2">
        <f>VLOOKUP(A:A,MASTER!A:E,5,0)</f>
        <v>1457</v>
      </c>
      <c r="J5" s="2">
        <f>VLOOKUP(A:A,MASTER!A:J,10,0)</f>
        <v>1122</v>
      </c>
      <c r="K5" s="12">
        <f t="shared" si="1"/>
        <v>-0.22992450240219631</v>
      </c>
      <c r="L5" s="2">
        <f>VLOOKUP(A:A,MASTER!A:D,4,0)</f>
        <v>3</v>
      </c>
      <c r="M5" s="2">
        <f>VLOOKUP(A:A,MASTER!A:I,9,0)</f>
        <v>3</v>
      </c>
      <c r="N5" s="12">
        <f t="shared" si="2"/>
        <v>0</v>
      </c>
      <c r="O5" s="1">
        <f>VLOOKUP(A:A,MASTER!A:C,3,0)</f>
        <v>8</v>
      </c>
      <c r="P5" s="1">
        <f>VLOOKUP(A:A,MASTER!A:H,8,0)</f>
        <v>9</v>
      </c>
      <c r="Q5" s="12">
        <f t="shared" si="3"/>
        <v>0.125</v>
      </c>
      <c r="R5" s="1">
        <f>VLOOKUP(A:A,MASTER!A:B,2,0)</f>
        <v>1191</v>
      </c>
      <c r="S5">
        <f>VLOOKUP(A:A,MASTER!A:G,7,0)</f>
        <v>1216</v>
      </c>
      <c r="T5" s="12">
        <f t="shared" si="4"/>
        <v>2.099076406381184E-2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15830680.155176772</v>
      </c>
      <c r="G6" s="1">
        <f>VLOOKUP(A:A,MASTER!A:K,11,0)</f>
        <v>16929716.14046596</v>
      </c>
      <c r="H6" s="12">
        <f t="shared" si="0"/>
        <v>6.9424432463806252E-2</v>
      </c>
      <c r="I6" s="2">
        <f>VLOOKUP(A:A,MASTER!A:E,5,0)</f>
        <v>321</v>
      </c>
      <c r="J6" s="2">
        <f>VLOOKUP(A:A,MASTER!A:J,10,0)</f>
        <v>385</v>
      </c>
      <c r="K6" s="12">
        <f t="shared" si="1"/>
        <v>0.19937694704049846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3</v>
      </c>
      <c r="P6" s="1">
        <f>VLOOKUP(A:A,MASTER!A:H,8,0)</f>
        <v>1</v>
      </c>
      <c r="Q6" s="12">
        <f t="shared" si="3"/>
        <v>-0.66666666666666674</v>
      </c>
      <c r="R6" s="1">
        <f>VLOOKUP(A:A,MASTER!A:B,2,0)</f>
        <v>423</v>
      </c>
      <c r="S6">
        <f>VLOOKUP(A:A,MASTER!A:G,7,0)</f>
        <v>411</v>
      </c>
      <c r="T6" s="12">
        <f t="shared" si="4"/>
        <v>-2.8368794326241176E-2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13208824.130166763</v>
      </c>
      <c r="G7" s="1">
        <f>VLOOKUP(A:A,MASTER!A:K,11,0)</f>
        <v>14148259.528787032</v>
      </c>
      <c r="H7" s="12">
        <f t="shared" si="0"/>
        <v>7.1121803830725083E-2</v>
      </c>
      <c r="I7" s="2">
        <f>VLOOKUP(A:A,MASTER!A:E,5,0)</f>
        <v>324</v>
      </c>
      <c r="J7" s="2">
        <f>VLOOKUP(A:A,MASTER!A:J,10,0)</f>
        <v>329</v>
      </c>
      <c r="K7" s="12">
        <f t="shared" si="1"/>
        <v>1.5432098765432167E-2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3</v>
      </c>
      <c r="Q7" s="12">
        <f t="shared" si="3"/>
        <v>0</v>
      </c>
      <c r="R7" s="1">
        <f>VLOOKUP(A:A,MASTER!A:B,2,0)</f>
        <v>371</v>
      </c>
      <c r="S7">
        <f>VLOOKUP(A:A,MASTER!A:G,7,0)</f>
        <v>393</v>
      </c>
      <c r="T7" s="12">
        <f t="shared" si="4"/>
        <v>5.9299191374662996E-2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15049479.585371532</v>
      </c>
      <c r="G8" s="1">
        <f>VLOOKUP(A:A,MASTER!A:K,11,0)</f>
        <v>17921273.980282489</v>
      </c>
      <c r="H8" s="12">
        <f t="shared" si="0"/>
        <v>0.19082350181081442</v>
      </c>
      <c r="I8" s="2">
        <f>VLOOKUP(A:A,MASTER!A:E,5,0)</f>
        <v>460</v>
      </c>
      <c r="J8" s="2">
        <f>VLOOKUP(A:A,MASTER!A:J,10,0)</f>
        <v>515</v>
      </c>
      <c r="K8" s="12">
        <f t="shared" si="1"/>
        <v>0.11956521739130443</v>
      </c>
      <c r="L8" s="2">
        <f>VLOOKUP(A:A,MASTER!A:D,4,0)</f>
        <v>1</v>
      </c>
      <c r="M8" s="2">
        <f>VLOOKUP(A:A,MASTER!A:I,9,0)</f>
        <v>2</v>
      </c>
      <c r="N8" s="12">
        <f t="shared" si="2"/>
        <v>1</v>
      </c>
      <c r="O8" s="1">
        <f>VLOOKUP(A:A,MASTER!A:C,3,0)</f>
        <v>2</v>
      </c>
      <c r="P8" s="1">
        <f>VLOOKUP(A:A,MASTER!A:H,8,0)</f>
        <v>3</v>
      </c>
      <c r="Q8" s="12">
        <f t="shared" si="3"/>
        <v>0.5</v>
      </c>
      <c r="R8" s="1">
        <f>VLOOKUP(A:A,MASTER!A:B,2,0)</f>
        <v>591</v>
      </c>
      <c r="S8">
        <f>VLOOKUP(A:A,MASTER!A:G,7,0)</f>
        <v>627</v>
      </c>
      <c r="T8" s="12">
        <f t="shared" si="4"/>
        <v>6.0913705583756306E-2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7249710.91573497</v>
      </c>
      <c r="G9" s="1">
        <f>VLOOKUP(A:A,MASTER!A:K,11,0)</f>
        <v>7369289.6027623713</v>
      </c>
      <c r="H9" s="12">
        <f t="shared" si="0"/>
        <v>1.6494269691204488E-2</v>
      </c>
      <c r="I9" s="2">
        <f>VLOOKUP(A:A,MASTER!A:E,5,0)</f>
        <v>142</v>
      </c>
      <c r="J9" s="2">
        <f>VLOOKUP(A:A,MASTER!A:J,10,0)</f>
        <v>140</v>
      </c>
      <c r="K9" s="12">
        <f t="shared" si="1"/>
        <v>-1.4084507042253502E-2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1</v>
      </c>
      <c r="P9" s="1">
        <f>VLOOKUP(A:A,MASTER!A:H,8,0)</f>
        <v>0</v>
      </c>
      <c r="Q9" s="12">
        <f t="shared" si="3"/>
        <v>-1</v>
      </c>
      <c r="R9" s="1">
        <f>VLOOKUP(A:A,MASTER!A:B,2,0)</f>
        <v>174</v>
      </c>
      <c r="S9">
        <f>VLOOKUP(A:A,MASTER!A:G,7,0)</f>
        <v>180</v>
      </c>
      <c r="T9" s="12">
        <f t="shared" si="4"/>
        <v>3.4482758620689724E-2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6728804.5398440929</v>
      </c>
      <c r="G10" s="1">
        <f>VLOOKUP(A:A,MASTER!A:K,11,0)</f>
        <v>4526039.6878608</v>
      </c>
      <c r="H10" s="12">
        <f t="shared" si="0"/>
        <v>-0.3273634772625349</v>
      </c>
      <c r="I10" s="2">
        <f>VLOOKUP(A:A,MASTER!A:E,5,0)</f>
        <v>154</v>
      </c>
      <c r="J10" s="2">
        <f>VLOOKUP(A:A,MASTER!A:J,10,0)</f>
        <v>225</v>
      </c>
      <c r="K10" s="12">
        <f t="shared" si="1"/>
        <v>0.46103896103896114</v>
      </c>
      <c r="L10" s="2">
        <f>VLOOKUP(A:A,MASTER!A:D,4,0)</f>
        <v>0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193</v>
      </c>
      <c r="S10">
        <f>VLOOKUP(A:A,MASTER!A:G,7,0)</f>
        <v>202</v>
      </c>
      <c r="T10" s="12">
        <f t="shared" si="4"/>
        <v>4.663212435233155E-2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10735179.324833753</v>
      </c>
      <c r="G11" s="1">
        <f>VLOOKUP(A:A,MASTER!A:K,11,0)</f>
        <v>14892000.491402712</v>
      </c>
      <c r="H11" s="12">
        <f t="shared" si="0"/>
        <v>0.38721487930368892</v>
      </c>
      <c r="I11" s="2">
        <f>VLOOKUP(A:A,MASTER!A:E,5,0)</f>
        <v>321</v>
      </c>
      <c r="J11" s="2">
        <f>VLOOKUP(A:A,MASTER!A:J,10,0)</f>
        <v>360</v>
      </c>
      <c r="K11" s="12">
        <f t="shared" si="1"/>
        <v>0.12149532710280364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1</v>
      </c>
      <c r="P11" s="1">
        <f>VLOOKUP(A:A,MASTER!A:H,8,0)</f>
        <v>3</v>
      </c>
      <c r="Q11" s="12">
        <f t="shared" si="3"/>
        <v>2</v>
      </c>
      <c r="R11" s="1">
        <f>VLOOKUP(A:A,MASTER!A:B,2,0)</f>
        <v>331</v>
      </c>
      <c r="S11">
        <f>VLOOKUP(A:A,MASTER!A:G,7,0)</f>
        <v>392</v>
      </c>
      <c r="T11" s="12">
        <f t="shared" si="4"/>
        <v>0.18429003021148027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5191002.4608562756</v>
      </c>
      <c r="G12" s="1">
        <f>VLOOKUP(A:A,MASTER!A:K,11,0)</f>
        <v>7741147.2939902628</v>
      </c>
      <c r="H12" s="12">
        <f t="shared" si="0"/>
        <v>0.49126249743933492</v>
      </c>
      <c r="I12" s="2">
        <f>VLOOKUP(A:A,MASTER!A:E,5,0)</f>
        <v>251</v>
      </c>
      <c r="J12" s="2">
        <f>VLOOKUP(A:A,MASTER!A:J,10,0)</f>
        <v>264</v>
      </c>
      <c r="K12" s="12">
        <f t="shared" si="1"/>
        <v>5.1792828685258918E-2</v>
      </c>
      <c r="L12" s="2">
        <f>VLOOKUP(A:A,MASTER!A:D,4,0)</f>
        <v>1</v>
      </c>
      <c r="M12" s="2">
        <f>VLOOKUP(A:A,MASTER!A:I,9,0)</f>
        <v>2</v>
      </c>
      <c r="N12" s="12">
        <f t="shared" si="2"/>
        <v>1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213</v>
      </c>
      <c r="S12">
        <f>VLOOKUP(A:A,MASTER!A:G,7,0)</f>
        <v>228</v>
      </c>
      <c r="T12" s="12">
        <f t="shared" si="4"/>
        <v>7.0422535211267512E-2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7100621.9748010579</v>
      </c>
      <c r="G13" s="1">
        <f>VLOOKUP(A:A,MASTER!A:K,11,0)</f>
        <v>8038990.1155283554</v>
      </c>
      <c r="H13" s="12">
        <f t="shared" si="0"/>
        <v>0.13215294998908722</v>
      </c>
      <c r="I13" s="2">
        <f>VLOOKUP(A:A,MASTER!A:E,5,0)</f>
        <v>211</v>
      </c>
      <c r="J13" s="2">
        <f>VLOOKUP(A:A,MASTER!A:J,10,0)</f>
        <v>234</v>
      </c>
      <c r="K13" s="12">
        <f t="shared" si="1"/>
        <v>0.1090047393364928</v>
      </c>
      <c r="L13" s="2">
        <f>VLOOKUP(A:A,MASTER!A:D,4,0)</f>
        <v>1</v>
      </c>
      <c r="M13" s="2">
        <f>VLOOKUP(A:A,MASTER!A:I,9,0)</f>
        <v>1</v>
      </c>
      <c r="N13" s="12">
        <f t="shared" si="2"/>
        <v>0</v>
      </c>
      <c r="O13" s="1">
        <f>VLOOKUP(A:A,MASTER!A:C,3,0)</f>
        <v>7</v>
      </c>
      <c r="P13" s="1">
        <f>VLOOKUP(A:A,MASTER!A:H,8,0)</f>
        <v>3</v>
      </c>
      <c r="Q13" s="12">
        <f t="shared" si="3"/>
        <v>-0.5714285714285714</v>
      </c>
      <c r="R13" s="1">
        <f>VLOOKUP(A:A,MASTER!A:B,2,0)</f>
        <v>254</v>
      </c>
      <c r="S13">
        <f>VLOOKUP(A:A,MASTER!A:G,7,0)</f>
        <v>247</v>
      </c>
      <c r="T13" s="12">
        <f t="shared" si="4"/>
        <v>-2.7559055118110187E-2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18247182.819930792</v>
      </c>
      <c r="G14" s="1">
        <f>VLOOKUP(A:A,MASTER!A:K,11,0)</f>
        <v>34829506.004046865</v>
      </c>
      <c r="H14" s="12">
        <f t="shared" si="0"/>
        <v>0.90876073023194315</v>
      </c>
      <c r="I14" s="2">
        <f>VLOOKUP(A:A,MASTER!A:E,5,0)</f>
        <v>1194</v>
      </c>
      <c r="J14" s="2">
        <f>VLOOKUP(A:A,MASTER!A:J,10,0)</f>
        <v>1032</v>
      </c>
      <c r="K14" s="12">
        <f t="shared" si="1"/>
        <v>-0.13567839195979903</v>
      </c>
      <c r="L14" s="2">
        <f>VLOOKUP(A:A,MASTER!A:D,4,0)</f>
        <v>2</v>
      </c>
      <c r="M14" s="2">
        <f>VLOOKUP(A:A,MASTER!A:I,9,0)</f>
        <v>4</v>
      </c>
      <c r="N14" s="12">
        <f t="shared" si="2"/>
        <v>1</v>
      </c>
      <c r="O14" s="1">
        <f>VLOOKUP(A:A,MASTER!A:C,3,0)</f>
        <v>0</v>
      </c>
      <c r="P14" s="1">
        <f>VLOOKUP(A:A,MASTER!A:H,8,0)</f>
        <v>5</v>
      </c>
      <c r="Q14" s="12">
        <f t="shared" si="3"/>
        <v>0</v>
      </c>
      <c r="R14" s="1">
        <f>VLOOKUP(A:A,MASTER!A:B,2,0)</f>
        <v>1419</v>
      </c>
      <c r="S14">
        <f>VLOOKUP(A:A,MASTER!A:G,7,0)</f>
        <v>1378</v>
      </c>
      <c r="T14" s="12">
        <f t="shared" si="4"/>
        <v>-2.8893587033121948E-2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42818536.417284623</v>
      </c>
      <c r="G15" s="1">
        <f>VLOOKUP(A:A,MASTER!A:K,11,0)</f>
        <v>56867748.293998539</v>
      </c>
      <c r="H15" s="12">
        <f t="shared" si="0"/>
        <v>0.3281105112934839</v>
      </c>
      <c r="I15" s="2">
        <f>VLOOKUP(A:A,MASTER!A:E,5,0)</f>
        <v>976</v>
      </c>
      <c r="J15" s="2">
        <f>VLOOKUP(A:A,MASTER!A:J,10,0)</f>
        <v>841</v>
      </c>
      <c r="K15" s="12">
        <f t="shared" si="1"/>
        <v>-0.13831967213114749</v>
      </c>
      <c r="L15" s="2">
        <f>VLOOKUP(A:A,MASTER!A:D,4,0)</f>
        <v>2</v>
      </c>
      <c r="M15" s="2">
        <f>VLOOKUP(A:A,MASTER!A:I,9,0)</f>
        <v>3</v>
      </c>
      <c r="N15" s="12">
        <f t="shared" si="2"/>
        <v>0.5</v>
      </c>
      <c r="O15" s="1">
        <f>VLOOKUP(A:A,MASTER!A:C,3,0)</f>
        <v>2</v>
      </c>
      <c r="P15" s="1">
        <f>VLOOKUP(A:A,MASTER!A:H,8,0)</f>
        <v>2</v>
      </c>
      <c r="Q15" s="12">
        <f t="shared" si="3"/>
        <v>0</v>
      </c>
      <c r="R15" s="1">
        <f>VLOOKUP(A:A,MASTER!A:B,2,0)</f>
        <v>1262</v>
      </c>
      <c r="S15">
        <f>VLOOKUP(A:A,MASTER!A:G,7,0)</f>
        <v>1235</v>
      </c>
      <c r="T15" s="12">
        <f t="shared" si="4"/>
        <v>-2.1394611727416746E-2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30006800.283337731</v>
      </c>
      <c r="G16" s="1">
        <f>VLOOKUP(A:A,MASTER!A:K,11,0)</f>
        <v>30255910.378636178</v>
      </c>
      <c r="H16" s="12">
        <f t="shared" si="0"/>
        <v>8.3017880262552524E-3</v>
      </c>
      <c r="I16" s="2">
        <f>VLOOKUP(A:A,MASTER!A:E,5,0)</f>
        <v>1040</v>
      </c>
      <c r="J16" s="2">
        <f>VLOOKUP(A:A,MASTER!A:J,10,0)</f>
        <v>878</v>
      </c>
      <c r="K16" s="12">
        <f t="shared" si="1"/>
        <v>-0.15576923076923077</v>
      </c>
      <c r="L16" s="2">
        <f>VLOOKUP(A:A,MASTER!A:D,4,0)</f>
        <v>4</v>
      </c>
      <c r="M16" s="2">
        <f>VLOOKUP(A:A,MASTER!A:I,9,0)</f>
        <v>5</v>
      </c>
      <c r="N16" s="12">
        <f t="shared" si="2"/>
        <v>0.25</v>
      </c>
      <c r="O16" s="1">
        <f>VLOOKUP(A:A,MASTER!A:C,3,0)</f>
        <v>4</v>
      </c>
      <c r="P16" s="1">
        <f>VLOOKUP(A:A,MASTER!A:H,8,0)</f>
        <v>5</v>
      </c>
      <c r="Q16" s="12">
        <f t="shared" si="3"/>
        <v>0.25</v>
      </c>
      <c r="R16" s="1">
        <f>VLOOKUP(A:A,MASTER!A:B,2,0)</f>
        <v>1024</v>
      </c>
      <c r="S16">
        <f>VLOOKUP(A:A,MASTER!A:G,7,0)</f>
        <v>1018</v>
      </c>
      <c r="T16" s="12">
        <f t="shared" si="4"/>
        <v>-5.859375E-3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28268248.559507672</v>
      </c>
      <c r="G17" s="1">
        <f>VLOOKUP(A:A,MASTER!A:K,11,0)</f>
        <v>25029632.531552076</v>
      </c>
      <c r="H17" s="12">
        <f t="shared" si="0"/>
        <v>-0.11456726868443812</v>
      </c>
      <c r="I17" s="2">
        <f>VLOOKUP(A:A,MASTER!A:E,5,0)</f>
        <v>666</v>
      </c>
      <c r="J17" s="2">
        <f>VLOOKUP(A:A,MASTER!A:J,10,0)</f>
        <v>659</v>
      </c>
      <c r="K17" s="12">
        <f t="shared" si="1"/>
        <v>-1.0510510510510551E-2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1</v>
      </c>
      <c r="P17" s="1">
        <f>VLOOKUP(A:A,MASTER!A:H,8,0)</f>
        <v>4</v>
      </c>
      <c r="Q17" s="12">
        <f t="shared" si="3"/>
        <v>3</v>
      </c>
      <c r="R17" s="1">
        <f>VLOOKUP(A:A,MASTER!A:B,2,0)</f>
        <v>952</v>
      </c>
      <c r="S17">
        <f>VLOOKUP(A:A,MASTER!A:G,7,0)</f>
        <v>918</v>
      </c>
      <c r="T17" s="12">
        <f t="shared" si="4"/>
        <v>-3.5714285714285698E-2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104117051.10477778</v>
      </c>
      <c r="G18" s="1">
        <f>VLOOKUP(A:A,MASTER!A:K,11,0)</f>
        <v>109390065.15594928</v>
      </c>
      <c r="H18" s="12">
        <f t="shared" si="0"/>
        <v>5.0645057607951349E-2</v>
      </c>
      <c r="I18" s="2">
        <f>VLOOKUP(A:A,MASTER!A:E,5,0)</f>
        <v>2480</v>
      </c>
      <c r="J18" s="2">
        <f>VLOOKUP(A:A,MASTER!A:J,10,0)</f>
        <v>2242</v>
      </c>
      <c r="K18" s="12">
        <f t="shared" si="1"/>
        <v>-9.5967741935483852E-2</v>
      </c>
      <c r="L18" s="2">
        <f>VLOOKUP(A:A,MASTER!A:D,4,0)</f>
        <v>11</v>
      </c>
      <c r="M18" s="2">
        <f>VLOOKUP(A:A,MASTER!A:I,9,0)</f>
        <v>10</v>
      </c>
      <c r="N18" s="12">
        <f t="shared" si="2"/>
        <v>-9.0909090909090939E-2</v>
      </c>
      <c r="O18" s="1">
        <f>VLOOKUP(A:A,MASTER!A:C,3,0)</f>
        <v>695</v>
      </c>
      <c r="P18" s="1">
        <f>VLOOKUP(A:A,MASTER!A:H,8,0)</f>
        <v>187</v>
      </c>
      <c r="Q18" s="12">
        <f t="shared" si="3"/>
        <v>-0.73093525179856123</v>
      </c>
      <c r="R18" s="1">
        <f>VLOOKUP(A:A,MASTER!A:B,2,0)</f>
        <v>3159</v>
      </c>
      <c r="S18">
        <f>VLOOKUP(A:A,MASTER!A:G,7,0)</f>
        <v>2782</v>
      </c>
      <c r="T18" s="12">
        <f t="shared" si="4"/>
        <v>-0.11934156378600824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55037135.637395509</v>
      </c>
      <c r="G19" s="1">
        <f>VLOOKUP(A:A,MASTER!A:K,11,0)</f>
        <v>37942537.595623389</v>
      </c>
      <c r="H19" s="12">
        <f t="shared" si="0"/>
        <v>-0.31060115763286622</v>
      </c>
      <c r="I19" s="2">
        <f>VLOOKUP(A:A,MASTER!A:E,5,0)</f>
        <v>1171</v>
      </c>
      <c r="J19" s="2">
        <f>VLOOKUP(A:A,MASTER!A:J,10,0)</f>
        <v>1203</v>
      </c>
      <c r="K19" s="12">
        <f t="shared" si="1"/>
        <v>2.7327070879590076E-2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2</v>
      </c>
      <c r="P19" s="1">
        <f>VLOOKUP(A:A,MASTER!A:H,8,0)</f>
        <v>8</v>
      </c>
      <c r="Q19" s="12">
        <f t="shared" si="3"/>
        <v>3</v>
      </c>
      <c r="R19" s="1">
        <f>VLOOKUP(A:A,MASTER!A:B,2,0)</f>
        <v>1434</v>
      </c>
      <c r="S19">
        <f>VLOOKUP(A:A,MASTER!A:G,7,0)</f>
        <v>1380</v>
      </c>
      <c r="T19" s="12">
        <f t="shared" si="4"/>
        <v>-3.7656903765690419E-2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111145086.15534</v>
      </c>
      <c r="G20" s="1">
        <f>VLOOKUP(A:A,MASTER!A:K,11,0)</f>
        <v>111493327.89559795</v>
      </c>
      <c r="H20" s="12">
        <f t="shared" si="0"/>
        <v>3.1332176014622348E-3</v>
      </c>
      <c r="I20" s="2">
        <f>VLOOKUP(A:A,MASTER!A:E,5,0)</f>
        <v>2220</v>
      </c>
      <c r="J20" s="2">
        <f>VLOOKUP(A:A,MASTER!A:J,10,0)</f>
        <v>2018</v>
      </c>
      <c r="K20" s="12">
        <f t="shared" si="1"/>
        <v>-9.099099099099095E-2</v>
      </c>
      <c r="L20" s="2">
        <f>VLOOKUP(A:A,MASTER!A:D,4,0)</f>
        <v>11</v>
      </c>
      <c r="M20" s="2">
        <f>VLOOKUP(A:A,MASTER!A:I,9,0)</f>
        <v>10</v>
      </c>
      <c r="N20" s="12">
        <f t="shared" si="2"/>
        <v>-9.0909090909090939E-2</v>
      </c>
      <c r="O20" s="1">
        <f>VLOOKUP(A:A,MASTER!A:C,3,0)</f>
        <v>21</v>
      </c>
      <c r="P20" s="1">
        <f>VLOOKUP(A:A,MASTER!A:H,8,0)</f>
        <v>21</v>
      </c>
      <c r="Q20" s="12">
        <f t="shared" si="3"/>
        <v>0</v>
      </c>
      <c r="R20" s="1">
        <f>VLOOKUP(A:A,MASTER!A:B,2,0)</f>
        <v>3002</v>
      </c>
      <c r="S20">
        <f>VLOOKUP(A:A,MASTER!A:G,7,0)</f>
        <v>2930</v>
      </c>
      <c r="T20" s="12">
        <f t="shared" si="4"/>
        <v>-2.398401065956024E-2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15827558.639347089</v>
      </c>
      <c r="G21" s="1">
        <f>VLOOKUP(A:A,MASTER!A:K,11,0)</f>
        <v>16723491.22569038</v>
      </c>
      <c r="H21" s="12">
        <f t="shared" si="0"/>
        <v>5.6605861128576906E-2</v>
      </c>
      <c r="I21" s="2">
        <f>VLOOKUP(A:A,MASTER!A:E,5,0)</f>
        <v>466</v>
      </c>
      <c r="J21" s="2">
        <f>VLOOKUP(A:A,MASTER!A:J,10,0)</f>
        <v>459</v>
      </c>
      <c r="K21" s="12">
        <f t="shared" si="1"/>
        <v>-1.5021459227467782E-2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6</v>
      </c>
      <c r="P21" s="1">
        <f>VLOOKUP(A:A,MASTER!A:H,8,0)</f>
        <v>6</v>
      </c>
      <c r="Q21" s="12">
        <f t="shared" si="3"/>
        <v>0</v>
      </c>
      <c r="R21" s="1">
        <f>VLOOKUP(A:A,MASTER!A:B,2,0)</f>
        <v>543</v>
      </c>
      <c r="S21">
        <f>VLOOKUP(A:A,MASTER!A:G,7,0)</f>
        <v>539</v>
      </c>
      <c r="T21" s="12">
        <f t="shared" si="4"/>
        <v>-7.3664825046040328E-3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44384128.087760858</v>
      </c>
      <c r="G22" s="1">
        <f>VLOOKUP(A:A,MASTER!A:K,11,0)</f>
        <v>46771900.003547184</v>
      </c>
      <c r="H22" s="12">
        <f t="shared" si="0"/>
        <v>5.3797878175391389E-2</v>
      </c>
      <c r="I22" s="2">
        <f>VLOOKUP(A:A,MASTER!A:E,5,0)</f>
        <v>1325</v>
      </c>
      <c r="J22" s="2">
        <f>VLOOKUP(A:A,MASTER!A:J,10,0)</f>
        <v>1344</v>
      </c>
      <c r="K22" s="12">
        <f t="shared" si="1"/>
        <v>1.4339622641509342E-2</v>
      </c>
      <c r="L22" s="2">
        <f>VLOOKUP(A:A,MASTER!A:D,4,0)</f>
        <v>1</v>
      </c>
      <c r="M22" s="2">
        <f>VLOOKUP(A:A,MASTER!A:I,9,0)</f>
        <v>2</v>
      </c>
      <c r="N22" s="12">
        <f t="shared" si="2"/>
        <v>1</v>
      </c>
      <c r="O22" s="1">
        <f>VLOOKUP(A:A,MASTER!A:C,3,0)</f>
        <v>22</v>
      </c>
      <c r="P22" s="1">
        <f>VLOOKUP(A:A,MASTER!A:H,8,0)</f>
        <v>21</v>
      </c>
      <c r="Q22" s="12">
        <f t="shared" si="3"/>
        <v>-4.5454545454545414E-2</v>
      </c>
      <c r="R22" s="1">
        <f>VLOOKUP(A:A,MASTER!A:B,2,0)</f>
        <v>1743</v>
      </c>
      <c r="S22">
        <f>VLOOKUP(A:A,MASTER!A:G,7,0)</f>
        <v>1684</v>
      </c>
      <c r="T22" s="12">
        <f t="shared" si="4"/>
        <v>-3.3849684452094131E-2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19610000.749189828</v>
      </c>
      <c r="G23" s="1">
        <f>VLOOKUP(A:A,MASTER!A:K,11,0)</f>
        <v>19839840.108317044</v>
      </c>
      <c r="H23" s="12">
        <f t="shared" si="0"/>
        <v>1.1720517610725345E-2</v>
      </c>
      <c r="I23" s="2">
        <f>VLOOKUP(A:A,MASTER!A:E,5,0)</f>
        <v>749</v>
      </c>
      <c r="J23" s="2">
        <f>VLOOKUP(A:A,MASTER!A:J,10,0)</f>
        <v>837</v>
      </c>
      <c r="K23" s="12">
        <f t="shared" si="1"/>
        <v>0.11748998664886523</v>
      </c>
      <c r="L23" s="2">
        <f>VLOOKUP(A:A,MASTER!A:D,4,0)</f>
        <v>1</v>
      </c>
      <c r="M23" s="2">
        <f>VLOOKUP(A:A,MASTER!A:I,9,0)</f>
        <v>1</v>
      </c>
      <c r="N23" s="12">
        <f t="shared" si="2"/>
        <v>0</v>
      </c>
      <c r="O23" s="1">
        <f>VLOOKUP(A:A,MASTER!A:C,3,0)</f>
        <v>12</v>
      </c>
      <c r="P23" s="1">
        <f>VLOOKUP(A:A,MASTER!A:H,8,0)</f>
        <v>13</v>
      </c>
      <c r="Q23" s="12">
        <f t="shared" si="3"/>
        <v>8.3333333333333259E-2</v>
      </c>
      <c r="R23" s="1">
        <f>VLOOKUP(A:A,MASTER!A:B,2,0)</f>
        <v>868</v>
      </c>
      <c r="S23">
        <f>VLOOKUP(A:A,MASTER!A:G,7,0)</f>
        <v>871</v>
      </c>
      <c r="T23" s="12">
        <f t="shared" si="4"/>
        <v>3.4562211981565838E-3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22176101.292153176</v>
      </c>
      <c r="G24" s="1">
        <f>VLOOKUP(A:A,MASTER!A:K,11,0)</f>
        <v>23440716.256520767</v>
      </c>
      <c r="H24" s="12">
        <f t="shared" si="0"/>
        <v>5.7026027600941109E-2</v>
      </c>
      <c r="I24" s="2">
        <f>VLOOKUP(A:A,MASTER!A:E,5,0)</f>
        <v>866</v>
      </c>
      <c r="J24" s="2">
        <f>VLOOKUP(A:A,MASTER!A:J,10,0)</f>
        <v>710</v>
      </c>
      <c r="K24" s="12">
        <f t="shared" si="1"/>
        <v>-0.18013856812933027</v>
      </c>
      <c r="L24" s="2">
        <f>VLOOKUP(A:A,MASTER!A:D,4,0)</f>
        <v>1</v>
      </c>
      <c r="M24" s="2">
        <f>VLOOKUP(A:A,MASTER!A:I,9,0)</f>
        <v>1</v>
      </c>
      <c r="N24" s="12">
        <f t="shared" si="2"/>
        <v>0</v>
      </c>
      <c r="O24" s="1">
        <f>VLOOKUP(A:A,MASTER!A:C,3,0)</f>
        <v>5</v>
      </c>
      <c r="P24" s="1">
        <f>VLOOKUP(A:A,MASTER!A:H,8,0)</f>
        <v>6</v>
      </c>
      <c r="Q24" s="12">
        <f t="shared" si="3"/>
        <v>0.19999999999999996</v>
      </c>
      <c r="R24" s="1">
        <f>VLOOKUP(A:A,MASTER!A:B,2,0)</f>
        <v>889</v>
      </c>
      <c r="S24">
        <f>VLOOKUP(A:A,MASTER!A:G,7,0)</f>
        <v>873</v>
      </c>
      <c r="T24" s="12">
        <f t="shared" si="4"/>
        <v>-1.7997750281214864E-2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6619221.7997575877</v>
      </c>
      <c r="G25" s="1">
        <f>VLOOKUP(A:A,MASTER!A:K,11,0)</f>
        <v>5691865.8715327857</v>
      </c>
      <c r="H25" s="12">
        <f t="shared" si="0"/>
        <v>-0.14010044628792528</v>
      </c>
      <c r="I25" s="2">
        <f>VLOOKUP(A:A,MASTER!A:E,5,0)</f>
        <v>196</v>
      </c>
      <c r="J25" s="2">
        <f>VLOOKUP(A:A,MASTER!A:J,10,0)</f>
        <v>181</v>
      </c>
      <c r="K25" s="12">
        <f t="shared" si="1"/>
        <v>-7.6530612244897989E-2</v>
      </c>
      <c r="L25" s="2">
        <f>VLOOKUP(A:A,MASTER!A:D,4,0)</f>
        <v>0</v>
      </c>
      <c r="M25" s="2">
        <f>VLOOKUP(A:A,MASTER!A:I,9,0)</f>
        <v>1</v>
      </c>
      <c r="N25" s="12">
        <f t="shared" si="2"/>
        <v>0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235</v>
      </c>
      <c r="S25">
        <f>VLOOKUP(A:A,MASTER!A:G,7,0)</f>
        <v>231</v>
      </c>
      <c r="T25" s="12">
        <f t="shared" si="4"/>
        <v>-1.7021276595744705E-2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47805891.078372709</v>
      </c>
      <c r="G26" s="1">
        <f>VLOOKUP(A:A,MASTER!A:K,11,0)</f>
        <v>44573085.392273486</v>
      </c>
      <c r="H26" s="12">
        <f t="shared" si="0"/>
        <v>-6.7623583896791684E-2</v>
      </c>
      <c r="I26" s="2">
        <f>VLOOKUP(A:A,MASTER!A:E,5,0)</f>
        <v>1306</v>
      </c>
      <c r="J26" s="2">
        <f>VLOOKUP(A:A,MASTER!A:J,10,0)</f>
        <v>1311</v>
      </c>
      <c r="K26" s="12">
        <f t="shared" si="1"/>
        <v>3.8284839203674981E-3</v>
      </c>
      <c r="L26" s="2">
        <f>VLOOKUP(A:A,MASTER!A:D,4,0)</f>
        <v>5</v>
      </c>
      <c r="M26" s="2">
        <f>VLOOKUP(A:A,MASTER!A:I,9,0)</f>
        <v>5</v>
      </c>
      <c r="N26" s="12">
        <f t="shared" si="2"/>
        <v>0</v>
      </c>
      <c r="O26" s="1">
        <f>VLOOKUP(A:A,MASTER!A:C,3,0)</f>
        <v>5</v>
      </c>
      <c r="P26" s="1">
        <f>VLOOKUP(A:A,MASTER!A:H,8,0)</f>
        <v>12</v>
      </c>
      <c r="Q26" s="12">
        <f t="shared" si="3"/>
        <v>1.4</v>
      </c>
      <c r="R26" s="1">
        <f>VLOOKUP(A:A,MASTER!A:B,2,0)</f>
        <v>1660</v>
      </c>
      <c r="S26">
        <f>VLOOKUP(A:A,MASTER!A:G,7,0)</f>
        <v>1632</v>
      </c>
      <c r="T26" s="12">
        <f t="shared" si="4"/>
        <v>-1.6867469879518038E-2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34419089.876729511</v>
      </c>
      <c r="G27" s="1">
        <f>VLOOKUP(A:A,MASTER!A:K,11,0)</f>
        <v>37901298.32547728</v>
      </c>
      <c r="H27" s="12">
        <f t="shared" si="0"/>
        <v>0.10117084621409655</v>
      </c>
      <c r="I27" s="2">
        <f>VLOOKUP(A:A,MASTER!A:E,5,0)</f>
        <v>614</v>
      </c>
      <c r="J27" s="2">
        <f>VLOOKUP(A:A,MASTER!A:J,10,0)</f>
        <v>644</v>
      </c>
      <c r="K27" s="12">
        <f t="shared" si="1"/>
        <v>4.8859934853420217E-2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6</v>
      </c>
      <c r="P27" s="1">
        <f>VLOOKUP(A:A,MASTER!A:H,8,0)</f>
        <v>6</v>
      </c>
      <c r="Q27" s="12">
        <f t="shared" si="3"/>
        <v>0</v>
      </c>
      <c r="R27" s="1">
        <f>VLOOKUP(A:A,MASTER!A:B,2,0)</f>
        <v>861</v>
      </c>
      <c r="S27">
        <f>VLOOKUP(A:A,MASTER!A:G,7,0)</f>
        <v>893</v>
      </c>
      <c r="T27" s="12">
        <f t="shared" si="4"/>
        <v>3.7166085946573668E-2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37489166.636680007</v>
      </c>
      <c r="G28" s="1">
        <f>VLOOKUP(A:A,MASTER!A:K,11,0)</f>
        <v>35286579.540378571</v>
      </c>
      <c r="H28" s="12">
        <f t="shared" si="0"/>
        <v>-5.8752628930043738E-2</v>
      </c>
      <c r="I28" s="2">
        <f>VLOOKUP(A:A,MASTER!A:E,5,0)</f>
        <v>719</v>
      </c>
      <c r="J28" s="2">
        <f>VLOOKUP(A:A,MASTER!A:J,10,0)</f>
        <v>773</v>
      </c>
      <c r="K28" s="12">
        <f t="shared" si="1"/>
        <v>7.5104311543810809E-2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2</v>
      </c>
      <c r="P28" s="1">
        <f>VLOOKUP(A:A,MASTER!A:H,8,0)</f>
        <v>3</v>
      </c>
      <c r="Q28" s="12">
        <f t="shared" si="3"/>
        <v>0.5</v>
      </c>
      <c r="R28" s="1">
        <f>VLOOKUP(A:A,MASTER!A:B,2,0)</f>
        <v>1113</v>
      </c>
      <c r="S28">
        <f>VLOOKUP(A:A,MASTER!A:G,7,0)</f>
        <v>1043</v>
      </c>
      <c r="T28" s="12">
        <f t="shared" si="4"/>
        <v>-6.2893081761006275E-2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48126850.760588095</v>
      </c>
      <c r="G29" s="1">
        <f>VLOOKUP(A:A,MASTER!A:K,11,0)</f>
        <v>49745848.401425876</v>
      </c>
      <c r="H29" s="12">
        <f t="shared" si="0"/>
        <v>3.364021570602338E-2</v>
      </c>
      <c r="I29" s="2">
        <f>VLOOKUP(A:A,MASTER!A:E,5,0)</f>
        <v>957</v>
      </c>
      <c r="J29" s="2">
        <f>VLOOKUP(A:A,MASTER!A:J,10,0)</f>
        <v>852</v>
      </c>
      <c r="K29" s="12">
        <f t="shared" si="1"/>
        <v>-0.10971786833855801</v>
      </c>
      <c r="L29" s="2">
        <f>VLOOKUP(A:A,MASTER!A:D,4,0)</f>
        <v>2</v>
      </c>
      <c r="M29" s="2">
        <f>VLOOKUP(A:A,MASTER!A:I,9,0)</f>
        <v>2</v>
      </c>
      <c r="N29" s="12">
        <f t="shared" si="2"/>
        <v>0</v>
      </c>
      <c r="O29" s="1">
        <f>VLOOKUP(A:A,MASTER!A:C,3,0)</f>
        <v>3</v>
      </c>
      <c r="P29" s="1">
        <f>VLOOKUP(A:A,MASTER!A:H,8,0)</f>
        <v>4</v>
      </c>
      <c r="Q29" s="12">
        <f t="shared" si="3"/>
        <v>0.33333333333333326</v>
      </c>
      <c r="R29" s="1">
        <f>VLOOKUP(A:A,MASTER!A:B,2,0)</f>
        <v>1139</v>
      </c>
      <c r="S29">
        <f>VLOOKUP(A:A,MASTER!A:G,7,0)</f>
        <v>1133</v>
      </c>
      <c r="T29" s="12">
        <f t="shared" si="4"/>
        <v>-5.2677787532923182E-3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69944254.385256693</v>
      </c>
      <c r="G30" s="1">
        <f>VLOOKUP(A:A,MASTER!A:K,11,0)</f>
        <v>65025021.197125047</v>
      </c>
      <c r="H30" s="12">
        <f t="shared" si="0"/>
        <v>-7.0330768858243076E-2</v>
      </c>
      <c r="I30" s="2">
        <f>VLOOKUP(A:A,MASTER!A:E,5,0)</f>
        <v>1169</v>
      </c>
      <c r="J30" s="2">
        <f>VLOOKUP(A:A,MASTER!A:J,10,0)</f>
        <v>1075</v>
      </c>
      <c r="K30" s="12">
        <f t="shared" si="1"/>
        <v>-8.0410607356715125E-2</v>
      </c>
      <c r="L30" s="2">
        <f>VLOOKUP(A:A,MASTER!A:D,4,0)</f>
        <v>5</v>
      </c>
      <c r="M30" s="2">
        <f>VLOOKUP(A:A,MASTER!A:I,9,0)</f>
        <v>4</v>
      </c>
      <c r="N30" s="12">
        <f t="shared" si="2"/>
        <v>-0.19999999999999996</v>
      </c>
      <c r="O30" s="1">
        <f>VLOOKUP(A:A,MASTER!A:C,3,0)</f>
        <v>3</v>
      </c>
      <c r="P30" s="1">
        <f>VLOOKUP(A:A,MASTER!A:H,8,0)</f>
        <v>5</v>
      </c>
      <c r="Q30" s="12">
        <f t="shared" si="3"/>
        <v>0.66666666666666674</v>
      </c>
      <c r="R30" s="1">
        <f>VLOOKUP(A:A,MASTER!A:B,2,0)</f>
        <v>1511</v>
      </c>
      <c r="S30">
        <f>VLOOKUP(A:A,MASTER!A:G,7,0)</f>
        <v>1460</v>
      </c>
      <c r="T30" s="12">
        <f t="shared" si="4"/>
        <v>-3.375248180013235E-2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27065632.328704305</v>
      </c>
      <c r="G31" s="1">
        <f>VLOOKUP(A:A,MASTER!A:K,11,0)</f>
        <v>28957848.304003179</v>
      </c>
      <c r="H31" s="12">
        <f t="shared" si="0"/>
        <v>6.9912128869499712E-2</v>
      </c>
      <c r="I31" s="2">
        <f>VLOOKUP(A:A,MASTER!A:E,5,0)</f>
        <v>616</v>
      </c>
      <c r="J31" s="2">
        <f>VLOOKUP(A:A,MASTER!A:J,10,0)</f>
        <v>565</v>
      </c>
      <c r="K31" s="12">
        <f t="shared" si="1"/>
        <v>-8.279220779220775E-2</v>
      </c>
      <c r="L31" s="2">
        <f>VLOOKUP(A:A,MASTER!A:D,4,0)</f>
        <v>3</v>
      </c>
      <c r="M31" s="2">
        <f>VLOOKUP(A:A,MASTER!A:I,9,0)</f>
        <v>5</v>
      </c>
      <c r="N31" s="12">
        <f t="shared" si="2"/>
        <v>0.66666666666666674</v>
      </c>
      <c r="O31" s="1">
        <f>VLOOKUP(A:A,MASTER!A:C,3,0)</f>
        <v>3</v>
      </c>
      <c r="P31" s="1">
        <f>VLOOKUP(A:A,MASTER!A:H,8,0)</f>
        <v>1</v>
      </c>
      <c r="Q31" s="12">
        <f t="shared" si="3"/>
        <v>-0.66666666666666674</v>
      </c>
      <c r="R31" s="1">
        <f>VLOOKUP(A:A,MASTER!A:B,2,0)</f>
        <v>706</v>
      </c>
      <c r="S31">
        <f>VLOOKUP(A:A,MASTER!A:G,7,0)</f>
        <v>696</v>
      </c>
      <c r="T31" s="12">
        <f t="shared" si="4"/>
        <v>-1.4164305949008527E-2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82679040.442847073</v>
      </c>
      <c r="G32" s="1">
        <f>VLOOKUP(A:A,MASTER!A:K,11,0)</f>
        <v>73399355.868094996</v>
      </c>
      <c r="H32" s="12">
        <f t="shared" si="0"/>
        <v>-0.11223744887516895</v>
      </c>
      <c r="I32" s="2">
        <f>VLOOKUP(A:A,MASTER!A:E,5,0)</f>
        <v>1673</v>
      </c>
      <c r="J32" s="2">
        <f>VLOOKUP(A:A,MASTER!A:J,10,0)</f>
        <v>1546</v>
      </c>
      <c r="K32" s="12">
        <f t="shared" si="1"/>
        <v>-7.5911536162582172E-2</v>
      </c>
      <c r="L32" s="2">
        <f>VLOOKUP(A:A,MASTER!A:D,4,0)</f>
        <v>11</v>
      </c>
      <c r="M32" s="2">
        <f>VLOOKUP(A:A,MASTER!A:I,9,0)</f>
        <v>9</v>
      </c>
      <c r="N32" s="12">
        <f t="shared" si="2"/>
        <v>-0.18181818181818177</v>
      </c>
      <c r="O32" s="1">
        <f>VLOOKUP(A:A,MASTER!A:C,3,0)</f>
        <v>17</v>
      </c>
      <c r="P32" s="1">
        <f>VLOOKUP(A:A,MASTER!A:H,8,0)</f>
        <v>11</v>
      </c>
      <c r="Q32" s="12">
        <f t="shared" si="3"/>
        <v>-0.3529411764705882</v>
      </c>
      <c r="R32" s="1">
        <f>VLOOKUP(A:A,MASTER!A:B,2,0)</f>
        <v>1966</v>
      </c>
      <c r="S32">
        <f>VLOOKUP(A:A,MASTER!A:G,7,0)</f>
        <v>1913</v>
      </c>
      <c r="T32" s="12">
        <f t="shared" si="4"/>
        <v>-2.6958290946083374E-2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27942854.094042953</v>
      </c>
      <c r="G33" s="1">
        <f>VLOOKUP(A:A,MASTER!A:K,11,0)</f>
        <v>28649162.009916212</v>
      </c>
      <c r="H33" s="12">
        <f t="shared" si="0"/>
        <v>2.5276870912904981E-2</v>
      </c>
      <c r="I33" s="2">
        <f>VLOOKUP(A:A,MASTER!A:E,5,0)</f>
        <v>681</v>
      </c>
      <c r="J33" s="2">
        <f>VLOOKUP(A:A,MASTER!A:J,10,0)</f>
        <v>683</v>
      </c>
      <c r="K33" s="12">
        <f t="shared" si="1"/>
        <v>2.936857562408246E-3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2</v>
      </c>
      <c r="P33" s="1">
        <f>VLOOKUP(A:A,MASTER!A:H,8,0)</f>
        <v>4</v>
      </c>
      <c r="Q33" s="12">
        <f t="shared" si="3"/>
        <v>1</v>
      </c>
      <c r="R33" s="1">
        <f>VLOOKUP(A:A,MASTER!A:B,2,0)</f>
        <v>837</v>
      </c>
      <c r="S33">
        <f>VLOOKUP(A:A,MASTER!A:G,7,0)</f>
        <v>863</v>
      </c>
      <c r="T33" s="12">
        <f t="shared" si="4"/>
        <v>3.1063321385901954E-2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24382342.717357367</v>
      </c>
      <c r="G34" s="1">
        <f>VLOOKUP(A:A,MASTER!A:K,11,0)</f>
        <v>26618063.436557576</v>
      </c>
      <c r="H34" s="12">
        <f t="shared" si="0"/>
        <v>9.1694253711257945E-2</v>
      </c>
      <c r="I34" s="2">
        <f>VLOOKUP(A:A,MASTER!A:E,5,0)</f>
        <v>611</v>
      </c>
      <c r="J34" s="2">
        <f>VLOOKUP(A:A,MASTER!A:J,10,0)</f>
        <v>563</v>
      </c>
      <c r="K34" s="12">
        <f t="shared" si="1"/>
        <v>-7.8559738134206247E-2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5</v>
      </c>
      <c r="P34" s="1">
        <f>VLOOKUP(A:A,MASTER!A:H,8,0)</f>
        <v>3</v>
      </c>
      <c r="Q34" s="12">
        <f t="shared" si="3"/>
        <v>-0.4</v>
      </c>
      <c r="R34" s="1">
        <f>VLOOKUP(A:A,MASTER!A:B,2,0)</f>
        <v>701</v>
      </c>
      <c r="S34">
        <f>VLOOKUP(A:A,MASTER!A:G,7,0)</f>
        <v>758</v>
      </c>
      <c r="T34" s="12">
        <f t="shared" si="4"/>
        <v>8.1312410841654748E-2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41664833.827334769</v>
      </c>
      <c r="G35" s="1">
        <f>VLOOKUP(A:A,MASTER!A:K,11,0)</f>
        <v>41488710.360909678</v>
      </c>
      <c r="H35" s="12">
        <f t="shared" si="0"/>
        <v>-4.2271491386470794E-3</v>
      </c>
      <c r="I35" s="2">
        <f>VLOOKUP(A:A,MASTER!A:E,5,0)</f>
        <v>877</v>
      </c>
      <c r="J35" s="2">
        <f>VLOOKUP(A:A,MASTER!A:J,10,0)</f>
        <v>862</v>
      </c>
      <c r="K35" s="12">
        <f t="shared" si="1"/>
        <v>-1.7103762827822111E-2</v>
      </c>
      <c r="L35" s="2">
        <f>VLOOKUP(A:A,MASTER!A:D,4,0)</f>
        <v>2</v>
      </c>
      <c r="M35" s="2">
        <f>VLOOKUP(A:A,MASTER!A:I,9,0)</f>
        <v>1</v>
      </c>
      <c r="N35" s="12">
        <f t="shared" si="2"/>
        <v>-0.5</v>
      </c>
      <c r="O35" s="1">
        <f>VLOOKUP(A:A,MASTER!A:C,3,0)</f>
        <v>20</v>
      </c>
      <c r="P35" s="1">
        <f>VLOOKUP(A:A,MASTER!A:H,8,0)</f>
        <v>21</v>
      </c>
      <c r="Q35" s="12">
        <f t="shared" si="3"/>
        <v>5.0000000000000044E-2</v>
      </c>
      <c r="R35" s="1">
        <f>VLOOKUP(A:A,MASTER!A:B,2,0)</f>
        <v>1132</v>
      </c>
      <c r="S35">
        <f>VLOOKUP(A:A,MASTER!A:G,7,0)</f>
        <v>1145</v>
      </c>
      <c r="T35" s="12">
        <f t="shared" si="4"/>
        <v>1.148409893992941E-2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40069012.061003245</v>
      </c>
      <c r="G36" s="1">
        <f>VLOOKUP(A:A,MASTER!A:K,11,0)</f>
        <v>39330847.887126535</v>
      </c>
      <c r="H36" s="12">
        <f t="shared" si="0"/>
        <v>-1.8422320289626537E-2</v>
      </c>
      <c r="I36" s="2">
        <f>VLOOKUP(A:A,MASTER!A:E,5,0)</f>
        <v>1053</v>
      </c>
      <c r="J36" s="2">
        <f>VLOOKUP(A:A,MASTER!A:J,10,0)</f>
        <v>773</v>
      </c>
      <c r="K36" s="12">
        <f t="shared" si="1"/>
        <v>-0.26590693257359921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178</v>
      </c>
      <c r="P36" s="1">
        <f>VLOOKUP(A:A,MASTER!A:H,8,0)</f>
        <v>319</v>
      </c>
      <c r="Q36" s="12">
        <f t="shared" si="3"/>
        <v>0.7921348314606742</v>
      </c>
      <c r="R36" s="1">
        <f>VLOOKUP(A:A,MASTER!A:B,2,0)</f>
        <v>1222</v>
      </c>
      <c r="S36">
        <f>VLOOKUP(A:A,MASTER!A:G,7,0)</f>
        <v>1381</v>
      </c>
      <c r="T36" s="12">
        <f t="shared" si="4"/>
        <v>0.13011456628477913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63251308.881472141</v>
      </c>
      <c r="G37" s="1">
        <f>VLOOKUP(A:A,MASTER!A:K,11,0)</f>
        <v>69768551.007029846</v>
      </c>
      <c r="H37" s="12">
        <f t="shared" si="0"/>
        <v>0.10303726896419629</v>
      </c>
      <c r="I37" s="2">
        <f>VLOOKUP(A:A,MASTER!A:E,5,0)</f>
        <v>1584</v>
      </c>
      <c r="J37" s="2">
        <f>VLOOKUP(A:A,MASTER!A:J,10,0)</f>
        <v>1480</v>
      </c>
      <c r="K37" s="12">
        <f t="shared" si="1"/>
        <v>-6.5656565656565635E-2</v>
      </c>
      <c r="L37" s="2">
        <f>VLOOKUP(A:A,MASTER!A:D,4,0)</f>
        <v>4</v>
      </c>
      <c r="M37" s="2">
        <f>VLOOKUP(A:A,MASTER!A:I,9,0)</f>
        <v>5</v>
      </c>
      <c r="N37" s="12">
        <f t="shared" si="2"/>
        <v>0.25</v>
      </c>
      <c r="O37" s="1">
        <f>VLOOKUP(A:A,MASTER!A:C,3,0)</f>
        <v>319</v>
      </c>
      <c r="P37" s="1">
        <f>VLOOKUP(A:A,MASTER!A:H,8,0)</f>
        <v>138</v>
      </c>
      <c r="Q37" s="12">
        <f t="shared" si="3"/>
        <v>-0.56739811912225702</v>
      </c>
      <c r="R37" s="1">
        <f>VLOOKUP(A:A,MASTER!A:B,2,0)</f>
        <v>2037</v>
      </c>
      <c r="S37">
        <f>VLOOKUP(A:A,MASTER!A:G,7,0)</f>
        <v>2239</v>
      </c>
      <c r="T37" s="12">
        <f t="shared" si="4"/>
        <v>9.916543937162503E-2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20000690.554399081</v>
      </c>
      <c r="G38" s="1">
        <f>VLOOKUP(A:A,MASTER!A:K,11,0)</f>
        <v>25038801.336844828</v>
      </c>
      <c r="H38" s="12">
        <f t="shared" si="0"/>
        <v>0.25189684169867999</v>
      </c>
      <c r="I38" s="2">
        <f>VLOOKUP(A:A,MASTER!A:E,5,0)</f>
        <v>445</v>
      </c>
      <c r="J38" s="2">
        <f>VLOOKUP(A:A,MASTER!A:J,10,0)</f>
        <v>425</v>
      </c>
      <c r="K38" s="12">
        <f t="shared" si="1"/>
        <v>-4.49438202247191E-2</v>
      </c>
      <c r="L38" s="2">
        <f>VLOOKUP(A:A,MASTER!A:D,4,0)</f>
        <v>5</v>
      </c>
      <c r="M38" s="2">
        <f>VLOOKUP(A:A,MASTER!A:I,9,0)</f>
        <v>6</v>
      </c>
      <c r="N38" s="12">
        <f t="shared" si="2"/>
        <v>0.19999999999999996</v>
      </c>
      <c r="O38" s="1">
        <f>VLOOKUP(A:A,MASTER!A:C,3,0)</f>
        <v>2</v>
      </c>
      <c r="P38" s="1">
        <f>VLOOKUP(A:A,MASTER!A:H,8,0)</f>
        <v>1</v>
      </c>
      <c r="Q38" s="12">
        <f t="shared" si="3"/>
        <v>-0.5</v>
      </c>
      <c r="R38" s="1">
        <f>VLOOKUP(A:A,MASTER!A:B,2,0)</f>
        <v>597</v>
      </c>
      <c r="S38">
        <f>VLOOKUP(A:A,MASTER!A:G,7,0)</f>
        <v>615</v>
      </c>
      <c r="T38" s="12">
        <f t="shared" si="4"/>
        <v>3.015075376884413E-2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74776787.007684439</v>
      </c>
      <c r="G39" s="1">
        <f>VLOOKUP(A:A,MASTER!A:K,11,0)</f>
        <v>81469803.580704838</v>
      </c>
      <c r="H39" s="12">
        <f t="shared" si="0"/>
        <v>8.9506608144751976E-2</v>
      </c>
      <c r="I39" s="2">
        <f>VLOOKUP(A:A,MASTER!A:E,5,0)</f>
        <v>1493</v>
      </c>
      <c r="J39" s="2">
        <f>VLOOKUP(A:A,MASTER!A:J,10,0)</f>
        <v>1773</v>
      </c>
      <c r="K39" s="12">
        <f t="shared" si="1"/>
        <v>0.1875418620227729</v>
      </c>
      <c r="L39" s="2">
        <f>VLOOKUP(A:A,MASTER!A:D,4,0)</f>
        <v>5</v>
      </c>
      <c r="M39" s="2">
        <f>VLOOKUP(A:A,MASTER!A:I,9,0)</f>
        <v>5</v>
      </c>
      <c r="N39" s="12">
        <f t="shared" si="2"/>
        <v>0</v>
      </c>
      <c r="O39" s="1">
        <f>VLOOKUP(A:A,MASTER!A:C,3,0)</f>
        <v>14</v>
      </c>
      <c r="P39" s="1">
        <f>VLOOKUP(A:A,MASTER!A:H,8,0)</f>
        <v>8</v>
      </c>
      <c r="Q39" s="12">
        <f t="shared" si="3"/>
        <v>-0.4285714285714286</v>
      </c>
      <c r="R39" s="1">
        <f>VLOOKUP(A:A,MASTER!A:B,2,0)</f>
        <v>2057</v>
      </c>
      <c r="S39">
        <f>VLOOKUP(A:A,MASTER!A:G,7,0)</f>
        <v>2068</v>
      </c>
      <c r="T39" s="12">
        <f t="shared" si="4"/>
        <v>5.3475935828877219E-3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52114344.015465513</v>
      </c>
      <c r="G40" s="1">
        <f>VLOOKUP(A:A,MASTER!A:K,11,0)</f>
        <v>56241105.988752998</v>
      </c>
      <c r="H40" s="12">
        <f t="shared" si="0"/>
        <v>7.9186681733206088E-2</v>
      </c>
      <c r="I40" s="2">
        <f>VLOOKUP(A:A,MASTER!A:E,5,0)</f>
        <v>808</v>
      </c>
      <c r="J40" s="2">
        <f>VLOOKUP(A:A,MASTER!A:J,10,0)</f>
        <v>799</v>
      </c>
      <c r="K40" s="12">
        <f t="shared" si="1"/>
        <v>-1.1138613861386149E-2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8</v>
      </c>
      <c r="P40" s="1">
        <f>VLOOKUP(A:A,MASTER!A:H,8,0)</f>
        <v>11</v>
      </c>
      <c r="Q40" s="12">
        <f t="shared" si="3"/>
        <v>0.375</v>
      </c>
      <c r="R40" s="1">
        <f>VLOOKUP(A:A,MASTER!A:B,2,0)</f>
        <v>884</v>
      </c>
      <c r="S40">
        <f>VLOOKUP(A:A,MASTER!A:G,7,0)</f>
        <v>895</v>
      </c>
      <c r="T40" s="12">
        <f t="shared" si="4"/>
        <v>1.2443438914027105E-2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42524540.874819472</v>
      </c>
      <c r="G41" s="1">
        <f>VLOOKUP(A:A,MASTER!A:K,11,0)</f>
        <v>34186724.310803838</v>
      </c>
      <c r="H41" s="12">
        <f t="shared" si="0"/>
        <v>-0.19607070158758133</v>
      </c>
      <c r="I41" s="2">
        <f>VLOOKUP(A:A,MASTER!A:E,5,0)</f>
        <v>939</v>
      </c>
      <c r="J41" s="2">
        <f>VLOOKUP(A:A,MASTER!A:J,10,0)</f>
        <v>1033</v>
      </c>
      <c r="K41" s="12">
        <f t="shared" si="1"/>
        <v>0.10010649627263035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3</v>
      </c>
      <c r="P41" s="1">
        <f>VLOOKUP(A:A,MASTER!A:H,8,0)</f>
        <v>8</v>
      </c>
      <c r="Q41" s="12">
        <f t="shared" si="3"/>
        <v>1.6666666666666665</v>
      </c>
      <c r="R41" s="1">
        <f>VLOOKUP(A:A,MASTER!A:B,2,0)</f>
        <v>1090</v>
      </c>
      <c r="S41">
        <f>VLOOKUP(A:A,MASTER!A:G,7,0)</f>
        <v>1095</v>
      </c>
      <c r="T41" s="12">
        <f t="shared" si="4"/>
        <v>4.5871559633028358E-3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41599625.949381828</v>
      </c>
      <c r="G42" s="1">
        <f>VLOOKUP(A:A,MASTER!A:K,11,0)</f>
        <v>42084272.707426406</v>
      </c>
      <c r="H42" s="12">
        <f t="shared" si="0"/>
        <v>1.1650267207553577E-2</v>
      </c>
      <c r="I42" s="2">
        <f>VLOOKUP(A:A,MASTER!A:E,5,0)</f>
        <v>611</v>
      </c>
      <c r="J42" s="2">
        <f>VLOOKUP(A:A,MASTER!A:J,10,0)</f>
        <v>592</v>
      </c>
      <c r="K42" s="12">
        <f t="shared" si="1"/>
        <v>-3.1096563011456579E-2</v>
      </c>
      <c r="L42" s="2">
        <f>VLOOKUP(A:A,MASTER!A:D,4,0)</f>
        <v>5</v>
      </c>
      <c r="M42" s="2">
        <f>VLOOKUP(A:A,MASTER!A:I,9,0)</f>
        <v>4</v>
      </c>
      <c r="N42" s="12">
        <f t="shared" si="2"/>
        <v>-0.19999999999999996</v>
      </c>
      <c r="O42" s="1">
        <f>VLOOKUP(A:A,MASTER!A:C,3,0)</f>
        <v>0</v>
      </c>
      <c r="P42" s="1">
        <f>VLOOKUP(A:A,MASTER!A:H,8,0)</f>
        <v>6</v>
      </c>
      <c r="Q42" s="12">
        <f t="shared" si="3"/>
        <v>0</v>
      </c>
      <c r="R42" s="1">
        <f>VLOOKUP(A:A,MASTER!A:B,2,0)</f>
        <v>862</v>
      </c>
      <c r="S42">
        <f>VLOOKUP(A:A,MASTER!A:G,7,0)</f>
        <v>830</v>
      </c>
      <c r="T42" s="12">
        <f t="shared" si="4"/>
        <v>-3.7122969837587005E-2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25964960.437438488</v>
      </c>
      <c r="G43" s="1">
        <f>VLOOKUP(A:A,MASTER!A:K,11,0)</f>
        <v>26447682.701671753</v>
      </c>
      <c r="H43" s="12">
        <f t="shared" si="0"/>
        <v>1.8591295965821431E-2</v>
      </c>
      <c r="I43" s="2">
        <f>VLOOKUP(A:A,MASTER!A:E,5,0)</f>
        <v>571</v>
      </c>
      <c r="J43" s="2">
        <f>VLOOKUP(A:A,MASTER!A:J,10,0)</f>
        <v>558</v>
      </c>
      <c r="K43" s="12">
        <f t="shared" si="1"/>
        <v>-2.2767075306479811E-2</v>
      </c>
      <c r="L43" s="2">
        <f>VLOOKUP(A:A,MASTER!A:D,4,0)</f>
        <v>10</v>
      </c>
      <c r="M43" s="2">
        <f>VLOOKUP(A:A,MASTER!A:I,9,0)</f>
        <v>10</v>
      </c>
      <c r="N43" s="12">
        <f t="shared" si="2"/>
        <v>0</v>
      </c>
      <c r="O43" s="1">
        <f>VLOOKUP(A:A,MASTER!A:C,3,0)</f>
        <v>3</v>
      </c>
      <c r="P43" s="1">
        <f>VLOOKUP(A:A,MASTER!A:H,8,0)</f>
        <v>3</v>
      </c>
      <c r="Q43" s="12">
        <f t="shared" si="3"/>
        <v>0</v>
      </c>
      <c r="R43" s="1">
        <f>VLOOKUP(A:A,MASTER!A:B,2,0)</f>
        <v>662</v>
      </c>
      <c r="S43">
        <f>VLOOKUP(A:A,MASTER!A:G,7,0)</f>
        <v>696</v>
      </c>
      <c r="T43" s="12">
        <f t="shared" si="4"/>
        <v>5.1359516616314105E-2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25432067.534584835</v>
      </c>
      <c r="G44" s="1">
        <f>VLOOKUP(A:A,MASTER!A:K,11,0)</f>
        <v>22820407.091412712</v>
      </c>
      <c r="H44" s="12">
        <f t="shared" si="0"/>
        <v>-0.10269162896884221</v>
      </c>
      <c r="I44" s="2">
        <f>VLOOKUP(A:A,MASTER!A:E,5,0)</f>
        <v>704</v>
      </c>
      <c r="J44" s="2">
        <f>VLOOKUP(A:A,MASTER!A:J,10,0)</f>
        <v>736</v>
      </c>
      <c r="K44" s="12">
        <f t="shared" si="1"/>
        <v>4.5454545454545414E-2</v>
      </c>
      <c r="L44" s="2">
        <f>VLOOKUP(A:A,MASTER!A:D,4,0)</f>
        <v>1</v>
      </c>
      <c r="M44" s="2">
        <f>VLOOKUP(A:A,MASTER!A:I,9,0)</f>
        <v>1</v>
      </c>
      <c r="N44" s="12">
        <f t="shared" si="2"/>
        <v>0</v>
      </c>
      <c r="O44" s="1">
        <f>VLOOKUP(A:A,MASTER!A:C,3,0)</f>
        <v>2</v>
      </c>
      <c r="P44" s="1">
        <f>VLOOKUP(A:A,MASTER!A:H,8,0)</f>
        <v>2</v>
      </c>
      <c r="Q44" s="12">
        <f t="shared" si="3"/>
        <v>0</v>
      </c>
      <c r="R44" s="1">
        <f>VLOOKUP(A:A,MASTER!A:B,2,0)</f>
        <v>707</v>
      </c>
      <c r="S44">
        <f>VLOOKUP(A:A,MASTER!A:G,7,0)</f>
        <v>695</v>
      </c>
      <c r="T44" s="12">
        <f t="shared" si="4"/>
        <v>-1.6973125884017004E-2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78462635.591838598</v>
      </c>
      <c r="G45" s="1">
        <f>VLOOKUP(A:A,MASTER!A:K,11,0)</f>
        <v>76478187.124174789</v>
      </c>
      <c r="H45" s="12">
        <f t="shared" si="0"/>
        <v>-2.5291636620351166E-2</v>
      </c>
      <c r="I45" s="2">
        <f>VLOOKUP(A:A,MASTER!A:E,5,0)</f>
        <v>1065</v>
      </c>
      <c r="J45" s="2">
        <f>VLOOKUP(A:A,MASTER!A:J,10,0)</f>
        <v>1047</v>
      </c>
      <c r="K45" s="12">
        <f t="shared" si="1"/>
        <v>-1.6901408450704203E-2</v>
      </c>
      <c r="L45" s="2">
        <f>VLOOKUP(A:A,MASTER!A:D,4,0)</f>
        <v>5</v>
      </c>
      <c r="M45" s="2">
        <f>VLOOKUP(A:A,MASTER!A:I,9,0)</f>
        <v>5</v>
      </c>
      <c r="N45" s="12">
        <f t="shared" si="2"/>
        <v>0</v>
      </c>
      <c r="O45" s="1">
        <f>VLOOKUP(A:A,MASTER!A:C,3,0)</f>
        <v>12</v>
      </c>
      <c r="P45" s="1">
        <f>VLOOKUP(A:A,MASTER!A:H,8,0)</f>
        <v>8</v>
      </c>
      <c r="Q45" s="12">
        <f t="shared" si="3"/>
        <v>-0.33333333333333337</v>
      </c>
      <c r="R45" s="1">
        <f>VLOOKUP(A:A,MASTER!A:B,2,0)</f>
        <v>1255</v>
      </c>
      <c r="S45">
        <f>VLOOKUP(A:A,MASTER!A:G,7,0)</f>
        <v>1272</v>
      </c>
      <c r="T45" s="12">
        <f t="shared" si="4"/>
        <v>1.3545816733067761E-2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35579113.971366122</v>
      </c>
      <c r="G46" s="1">
        <f>VLOOKUP(A:A,MASTER!A:K,11,0)</f>
        <v>34895386.41190619</v>
      </c>
      <c r="H46" s="12">
        <f t="shared" si="0"/>
        <v>-1.9217104732011991E-2</v>
      </c>
      <c r="I46" s="2">
        <f>VLOOKUP(A:A,MASTER!A:E,5,0)</f>
        <v>899</v>
      </c>
      <c r="J46" s="2">
        <f>VLOOKUP(A:A,MASTER!A:J,10,0)</f>
        <v>978</v>
      </c>
      <c r="K46" s="12">
        <f t="shared" si="1"/>
        <v>8.7875417130144573E-2</v>
      </c>
      <c r="L46" s="2">
        <f>VLOOKUP(A:A,MASTER!A:D,4,0)</f>
        <v>5</v>
      </c>
      <c r="M46" s="2">
        <f>VLOOKUP(A:A,MASTER!A:I,9,0)</f>
        <v>6</v>
      </c>
      <c r="N46" s="12">
        <f t="shared" si="2"/>
        <v>0.19999999999999996</v>
      </c>
      <c r="O46" s="1">
        <f>VLOOKUP(A:A,MASTER!A:C,3,0)</f>
        <v>3</v>
      </c>
      <c r="P46" s="1">
        <f>VLOOKUP(A:A,MASTER!A:H,8,0)</f>
        <v>4</v>
      </c>
      <c r="Q46" s="12">
        <f t="shared" si="3"/>
        <v>0.33333333333333326</v>
      </c>
      <c r="R46" s="1">
        <f>VLOOKUP(A:A,MASTER!A:B,2,0)</f>
        <v>884</v>
      </c>
      <c r="S46">
        <f>VLOOKUP(A:A,MASTER!A:G,7,0)</f>
        <v>921</v>
      </c>
      <c r="T46" s="12">
        <f t="shared" si="4"/>
        <v>4.1855203619909576E-2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54468420.257704072</v>
      </c>
      <c r="G47" s="1">
        <f>VLOOKUP(A:A,MASTER!A:K,11,0)</f>
        <v>61807284.834691882</v>
      </c>
      <c r="H47" s="12">
        <f t="shared" si="0"/>
        <v>0.13473613778893823</v>
      </c>
      <c r="I47" s="2">
        <f>VLOOKUP(A:A,MASTER!A:E,5,0)</f>
        <v>1054</v>
      </c>
      <c r="J47" s="2">
        <f>VLOOKUP(A:A,MASTER!A:J,10,0)</f>
        <v>1011</v>
      </c>
      <c r="K47" s="12">
        <f t="shared" si="1"/>
        <v>-4.0796963946869047E-2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18</v>
      </c>
      <c r="P47" s="1">
        <f>VLOOKUP(A:A,MASTER!A:H,8,0)</f>
        <v>6</v>
      </c>
      <c r="Q47" s="12">
        <f t="shared" si="3"/>
        <v>-0.66666666666666674</v>
      </c>
      <c r="R47" s="1">
        <f>VLOOKUP(A:A,MASTER!A:B,2,0)</f>
        <v>1312</v>
      </c>
      <c r="S47">
        <f>VLOOKUP(A:A,MASTER!A:G,7,0)</f>
        <v>1342</v>
      </c>
      <c r="T47" s="12">
        <f t="shared" si="4"/>
        <v>2.2865853658536661E-2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28308428.963846929</v>
      </c>
      <c r="G48" s="1">
        <f>VLOOKUP(A:A,MASTER!A:K,11,0)</f>
        <v>31476032.670507152</v>
      </c>
      <c r="H48" s="12">
        <f t="shared" si="0"/>
        <v>0.11189613209216276</v>
      </c>
      <c r="I48" s="2">
        <f>VLOOKUP(A:A,MASTER!A:E,5,0)</f>
        <v>359</v>
      </c>
      <c r="J48" s="2">
        <f>VLOOKUP(A:A,MASTER!A:J,10,0)</f>
        <v>361</v>
      </c>
      <c r="K48" s="12">
        <f t="shared" si="1"/>
        <v>5.5710306406684396E-3</v>
      </c>
      <c r="L48" s="2">
        <f>VLOOKUP(A:A,MASTER!A:D,4,0)</f>
        <v>5</v>
      </c>
      <c r="M48" s="2">
        <f>VLOOKUP(A:A,MASTER!A:I,9,0)</f>
        <v>6</v>
      </c>
      <c r="N48" s="12">
        <f t="shared" si="2"/>
        <v>0.19999999999999996</v>
      </c>
      <c r="O48" s="1">
        <f>VLOOKUP(A:A,MASTER!A:C,3,0)</f>
        <v>9</v>
      </c>
      <c r="P48" s="1">
        <f>VLOOKUP(A:A,MASTER!A:H,8,0)</f>
        <v>4</v>
      </c>
      <c r="Q48" s="12">
        <f t="shared" si="3"/>
        <v>-0.55555555555555558</v>
      </c>
      <c r="R48" s="1">
        <f>VLOOKUP(A:A,MASTER!A:B,2,0)</f>
        <v>481</v>
      </c>
      <c r="S48">
        <f>VLOOKUP(A:A,MASTER!A:G,7,0)</f>
        <v>488</v>
      </c>
      <c r="T48" s="12">
        <f t="shared" si="4"/>
        <v>1.4553014553014609E-2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26839074.205190185</v>
      </c>
      <c r="G49" s="1">
        <f>VLOOKUP(A:A,MASTER!A:K,11,0)</f>
        <v>23385888.369321264</v>
      </c>
      <c r="H49" s="12">
        <f t="shared" si="0"/>
        <v>-0.12866262857908628</v>
      </c>
      <c r="I49" s="2">
        <f>VLOOKUP(A:A,MASTER!A:E,5,0)</f>
        <v>323</v>
      </c>
      <c r="J49" s="2">
        <f>VLOOKUP(A:A,MASTER!A:J,10,0)</f>
        <v>344</v>
      </c>
      <c r="K49" s="12">
        <f t="shared" si="1"/>
        <v>6.5015479876161075E-2</v>
      </c>
      <c r="L49" s="2">
        <f>VLOOKUP(A:A,MASTER!A:D,4,0)</f>
        <v>6</v>
      </c>
      <c r="M49" s="2">
        <f>VLOOKUP(A:A,MASTER!A:I,9,0)</f>
        <v>4</v>
      </c>
      <c r="N49" s="12">
        <f t="shared" si="2"/>
        <v>-0.33333333333333337</v>
      </c>
      <c r="O49" s="1">
        <f>VLOOKUP(A:A,MASTER!A:C,3,0)</f>
        <v>2</v>
      </c>
      <c r="P49" s="1">
        <f>VLOOKUP(A:A,MASTER!A:H,8,0)</f>
        <v>4</v>
      </c>
      <c r="Q49" s="12">
        <f t="shared" si="3"/>
        <v>1</v>
      </c>
      <c r="R49" s="1">
        <f>VLOOKUP(A:A,MASTER!A:B,2,0)</f>
        <v>446</v>
      </c>
      <c r="S49">
        <f>VLOOKUP(A:A,MASTER!A:G,7,0)</f>
        <v>455</v>
      </c>
      <c r="T49" s="12">
        <f t="shared" si="4"/>
        <v>2.0179372197309364E-2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22196440.391861621</v>
      </c>
      <c r="G50" s="1">
        <f>VLOOKUP(A:A,MASTER!A:K,11,0)</f>
        <v>20388792.171988007</v>
      </c>
      <c r="H50" s="12">
        <f t="shared" si="0"/>
        <v>-8.1438653584130272E-2</v>
      </c>
      <c r="I50" s="2">
        <f>VLOOKUP(A:A,MASTER!A:E,5,0)</f>
        <v>348</v>
      </c>
      <c r="J50" s="2">
        <f>VLOOKUP(A:A,MASTER!A:J,10,0)</f>
        <v>343</v>
      </c>
      <c r="K50" s="12">
        <f t="shared" si="1"/>
        <v>-1.4367816091954033E-2</v>
      </c>
      <c r="L50" s="2">
        <f>VLOOKUP(A:A,MASTER!A:D,4,0)</f>
        <v>2</v>
      </c>
      <c r="M50" s="2">
        <f>VLOOKUP(A:A,MASTER!A:I,9,0)</f>
        <v>3</v>
      </c>
      <c r="N50" s="12">
        <f t="shared" si="2"/>
        <v>0.5</v>
      </c>
      <c r="O50" s="1">
        <f>VLOOKUP(A:A,MASTER!A:C,3,0)</f>
        <v>11</v>
      </c>
      <c r="P50" s="1">
        <f>VLOOKUP(A:A,MASTER!A:H,8,0)</f>
        <v>2</v>
      </c>
      <c r="Q50" s="12">
        <f t="shared" si="3"/>
        <v>-0.81818181818181812</v>
      </c>
      <c r="R50" s="1">
        <f>VLOOKUP(A:A,MASTER!A:B,2,0)</f>
        <v>425</v>
      </c>
      <c r="S50">
        <f>VLOOKUP(A:A,MASTER!A:G,7,0)</f>
        <v>418</v>
      </c>
      <c r="T50" s="12">
        <f t="shared" si="4"/>
        <v>-1.6470588235294126E-2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48594951.621458799</v>
      </c>
      <c r="G51" s="1">
        <f>VLOOKUP(A:A,MASTER!A:K,11,0)</f>
        <v>47345469.912262909</v>
      </c>
      <c r="H51" s="12">
        <f t="shared" si="0"/>
        <v>-2.5712171069312006E-2</v>
      </c>
      <c r="I51" s="2">
        <f>VLOOKUP(A:A,MASTER!A:E,5,0)</f>
        <v>1013</v>
      </c>
      <c r="J51" s="2">
        <f>VLOOKUP(A:A,MASTER!A:J,10,0)</f>
        <v>921</v>
      </c>
      <c r="K51" s="12">
        <f t="shared" si="1"/>
        <v>-9.081934846989137E-2</v>
      </c>
      <c r="L51" s="2">
        <f>VLOOKUP(A:A,MASTER!A:D,4,0)</f>
        <v>1</v>
      </c>
      <c r="M51" s="2">
        <f>VLOOKUP(A:A,MASTER!A:I,9,0)</f>
        <v>1</v>
      </c>
      <c r="N51" s="12">
        <f t="shared" si="2"/>
        <v>0</v>
      </c>
      <c r="O51" s="1">
        <f>VLOOKUP(A:A,MASTER!A:C,3,0)</f>
        <v>7</v>
      </c>
      <c r="P51" s="1">
        <f>VLOOKUP(A:A,MASTER!A:H,8,0)</f>
        <v>7</v>
      </c>
      <c r="Q51" s="12">
        <f t="shared" si="3"/>
        <v>0</v>
      </c>
      <c r="R51" s="1">
        <f>VLOOKUP(A:A,MASTER!A:B,2,0)</f>
        <v>1132</v>
      </c>
      <c r="S51">
        <f>VLOOKUP(A:A,MASTER!A:G,7,0)</f>
        <v>1096</v>
      </c>
      <c r="T51" s="12">
        <f t="shared" si="4"/>
        <v>-3.180212014134276E-2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51067659.950123951</v>
      </c>
      <c r="G52" s="1">
        <f>VLOOKUP(A:A,MASTER!A:K,11,0)</f>
        <v>47472560.976803377</v>
      </c>
      <c r="H52" s="12">
        <f t="shared" si="0"/>
        <v>-7.0398741137380982E-2</v>
      </c>
      <c r="I52" s="2">
        <f>VLOOKUP(A:A,MASTER!A:E,5,0)</f>
        <v>835</v>
      </c>
      <c r="J52" s="2">
        <f>VLOOKUP(A:A,MASTER!A:J,10,0)</f>
        <v>33</v>
      </c>
      <c r="K52" s="12">
        <f t="shared" si="1"/>
        <v>-0.96047904191616762</v>
      </c>
      <c r="L52" s="2">
        <f>VLOOKUP(A:A,MASTER!A:D,4,0)</f>
        <v>2</v>
      </c>
      <c r="M52" s="2">
        <f>VLOOKUP(A:A,MASTER!A:I,9,0)</f>
        <v>1</v>
      </c>
      <c r="N52" s="12">
        <f t="shared" si="2"/>
        <v>-0.5</v>
      </c>
      <c r="O52" s="1">
        <f>VLOOKUP(A:A,MASTER!A:C,3,0)</f>
        <v>14</v>
      </c>
      <c r="P52" s="1">
        <f>VLOOKUP(A:A,MASTER!A:H,8,0)</f>
        <v>7</v>
      </c>
      <c r="Q52" s="12">
        <f t="shared" si="3"/>
        <v>-0.5</v>
      </c>
      <c r="R52" s="1">
        <f>VLOOKUP(A:A,MASTER!A:B,2,0)</f>
        <v>981</v>
      </c>
      <c r="S52">
        <f>VLOOKUP(A:A,MASTER!A:G,7,0)</f>
        <v>1003</v>
      </c>
      <c r="T52" s="12">
        <f t="shared" si="4"/>
        <v>2.2426095820591296E-2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74472372.609095588</v>
      </c>
      <c r="G53" s="1">
        <f>VLOOKUP(A:A,MASTER!A:K,11,0)</f>
        <v>90709445.310644403</v>
      </c>
      <c r="H53" s="12">
        <f t="shared" si="0"/>
        <v>0.21802813758569206</v>
      </c>
      <c r="I53" s="2">
        <f>VLOOKUP(A:A,MASTER!A:E,5,0)</f>
        <v>1494</v>
      </c>
      <c r="J53" s="2">
        <f>VLOOKUP(A:A,MASTER!A:J,10,0)</f>
        <v>2427</v>
      </c>
      <c r="K53" s="12">
        <f t="shared" si="1"/>
        <v>0.62449799196787148</v>
      </c>
      <c r="L53" s="2">
        <f>VLOOKUP(A:A,MASTER!A:D,4,0)</f>
        <v>7</v>
      </c>
      <c r="M53" s="2">
        <f>VLOOKUP(A:A,MASTER!A:I,9,0)</f>
        <v>8</v>
      </c>
      <c r="N53" s="12">
        <f t="shared" si="2"/>
        <v>0.14285714285714279</v>
      </c>
      <c r="O53" s="1">
        <f>VLOOKUP(A:A,MASTER!A:C,3,0)</f>
        <v>39</v>
      </c>
      <c r="P53" s="1">
        <f>VLOOKUP(A:A,MASTER!A:H,8,0)</f>
        <v>13</v>
      </c>
      <c r="Q53" s="12">
        <f t="shared" si="3"/>
        <v>-0.66666666666666674</v>
      </c>
      <c r="R53" s="1">
        <f>VLOOKUP(A:A,MASTER!A:B,2,0)</f>
        <v>2060</v>
      </c>
      <c r="S53">
        <f>VLOOKUP(A:A,MASTER!A:G,7,0)</f>
        <v>2048</v>
      </c>
      <c r="T53" s="12">
        <f t="shared" si="4"/>
        <v>-5.8252427184466438E-3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23309269.999487523</v>
      </c>
      <c r="G54" s="1">
        <f>VLOOKUP(A:A,MASTER!A:K,11,0)</f>
        <v>22487753.386745226</v>
      </c>
      <c r="H54" s="12">
        <f t="shared" si="0"/>
        <v>-3.5244201674284881E-2</v>
      </c>
      <c r="I54" s="2">
        <f>VLOOKUP(A:A,MASTER!A:E,5,0)</f>
        <v>538</v>
      </c>
      <c r="J54" s="2">
        <f>VLOOKUP(A:A,MASTER!A:J,10,0)</f>
        <v>656</v>
      </c>
      <c r="K54" s="12">
        <f t="shared" si="1"/>
        <v>0.21933085501858729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3</v>
      </c>
      <c r="P54" s="1">
        <f>VLOOKUP(A:A,MASTER!A:H,8,0)</f>
        <v>5</v>
      </c>
      <c r="Q54" s="12">
        <f t="shared" si="3"/>
        <v>0.66666666666666674</v>
      </c>
      <c r="R54" s="1">
        <f>VLOOKUP(A:A,MASTER!A:B,2,0)</f>
        <v>687</v>
      </c>
      <c r="S54">
        <f>VLOOKUP(A:A,MASTER!A:G,7,0)</f>
        <v>689</v>
      </c>
      <c r="T54" s="12">
        <f t="shared" si="4"/>
        <v>2.9112081513829047E-3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37219215.474683769</v>
      </c>
      <c r="G55" s="1">
        <f>VLOOKUP(A:A,MASTER!A:K,11,0)</f>
        <v>39238038.12597771</v>
      </c>
      <c r="H55" s="12">
        <f t="shared" si="0"/>
        <v>5.4241407980969658E-2</v>
      </c>
      <c r="I55" s="2">
        <f>VLOOKUP(A:A,MASTER!A:E,5,0)</f>
        <v>748</v>
      </c>
      <c r="J55" s="2">
        <f>VLOOKUP(A:A,MASTER!A:J,10,0)</f>
        <v>745</v>
      </c>
      <c r="K55" s="12">
        <f t="shared" si="1"/>
        <v>-4.0106951871657914E-3</v>
      </c>
      <c r="L55" s="2">
        <f>VLOOKUP(A:A,MASTER!A:D,4,0)</f>
        <v>5</v>
      </c>
      <c r="M55" s="2">
        <f>VLOOKUP(A:A,MASTER!A:I,9,0)</f>
        <v>5</v>
      </c>
      <c r="N55" s="12">
        <f t="shared" si="2"/>
        <v>0</v>
      </c>
      <c r="O55" s="1">
        <f>VLOOKUP(A:A,MASTER!A:C,3,0)</f>
        <v>10</v>
      </c>
      <c r="P55" s="1">
        <f>VLOOKUP(A:A,MASTER!A:H,8,0)</f>
        <v>9</v>
      </c>
      <c r="Q55" s="12">
        <f t="shared" si="3"/>
        <v>-9.9999999999999978E-2</v>
      </c>
      <c r="R55" s="1">
        <f>VLOOKUP(A:A,MASTER!A:B,2,0)</f>
        <v>899</v>
      </c>
      <c r="S55">
        <f>VLOOKUP(A:A,MASTER!A:G,7,0)</f>
        <v>874</v>
      </c>
      <c r="T55" s="12">
        <f t="shared" si="4"/>
        <v>-2.7808676307007785E-2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28063783.595907077</v>
      </c>
      <c r="G56" s="1">
        <f>VLOOKUP(A:A,MASTER!A:K,11,0)</f>
        <v>24519664.369802415</v>
      </c>
      <c r="H56" s="12">
        <f t="shared" si="0"/>
        <v>-0.12628800439515753</v>
      </c>
      <c r="I56" s="2">
        <f>VLOOKUP(A:A,MASTER!A:E,5,0)</f>
        <v>597</v>
      </c>
      <c r="J56" s="2">
        <f>VLOOKUP(A:A,MASTER!A:J,10,0)</f>
        <v>633</v>
      </c>
      <c r="K56" s="12">
        <f t="shared" si="1"/>
        <v>6.0301507537688481E-2</v>
      </c>
      <c r="L56" s="2">
        <f>VLOOKUP(A:A,MASTER!A:D,4,0)</f>
        <v>1</v>
      </c>
      <c r="M56" s="2">
        <f>VLOOKUP(A:A,MASTER!A:I,9,0)</f>
        <v>1</v>
      </c>
      <c r="N56" s="12">
        <f t="shared" si="2"/>
        <v>0</v>
      </c>
      <c r="O56" s="1">
        <f>VLOOKUP(A:A,MASTER!A:C,3,0)</f>
        <v>3</v>
      </c>
      <c r="P56" s="1">
        <f>VLOOKUP(A:A,MASTER!A:H,8,0)</f>
        <v>4</v>
      </c>
      <c r="Q56" s="12">
        <f t="shared" si="3"/>
        <v>0.33333333333333326</v>
      </c>
      <c r="R56" s="1">
        <f>VLOOKUP(A:A,MASTER!A:B,2,0)</f>
        <v>776</v>
      </c>
      <c r="S56">
        <f>VLOOKUP(A:A,MASTER!A:G,7,0)</f>
        <v>710</v>
      </c>
      <c r="T56" s="12">
        <f t="shared" si="4"/>
        <v>-8.5051546391752608E-2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48530884.294451118</v>
      </c>
      <c r="G57" s="1">
        <f>VLOOKUP(A:A,MASTER!A:K,11,0)</f>
        <v>49941745.883575745</v>
      </c>
      <c r="H57" s="12">
        <f t="shared" si="0"/>
        <v>2.9071417297169333E-2</v>
      </c>
      <c r="I57" s="2">
        <f>VLOOKUP(A:A,MASTER!A:E,5,0)</f>
        <v>1000</v>
      </c>
      <c r="J57" s="2">
        <f>VLOOKUP(A:A,MASTER!A:J,10,0)</f>
        <v>924</v>
      </c>
      <c r="K57" s="12">
        <f t="shared" si="1"/>
        <v>-7.5999999999999956E-2</v>
      </c>
      <c r="L57" s="2">
        <f>VLOOKUP(A:A,MASTER!A:D,4,0)</f>
        <v>1</v>
      </c>
      <c r="M57" s="2">
        <f>VLOOKUP(A:A,MASTER!A:I,9,0)</f>
        <v>0</v>
      </c>
      <c r="N57" s="12">
        <f t="shared" si="2"/>
        <v>-1</v>
      </c>
      <c r="O57" s="1">
        <f>VLOOKUP(A:A,MASTER!A:C,3,0)</f>
        <v>8</v>
      </c>
      <c r="P57" s="1">
        <f>VLOOKUP(A:A,MASTER!A:H,8,0)</f>
        <v>7</v>
      </c>
      <c r="Q57" s="12">
        <f t="shared" si="3"/>
        <v>-0.125</v>
      </c>
      <c r="R57" s="1">
        <f>VLOOKUP(A:A,MASTER!A:B,2,0)</f>
        <v>1091</v>
      </c>
      <c r="S57">
        <f>VLOOKUP(A:A,MASTER!A:G,7,0)</f>
        <v>1084</v>
      </c>
      <c r="T57" s="12">
        <f t="shared" si="4"/>
        <v>-6.4161319890009283E-3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62725901.616654113</v>
      </c>
      <c r="G58" s="1">
        <f>VLOOKUP(A:A,MASTER!A:K,11,0)</f>
        <v>63219073.858276233</v>
      </c>
      <c r="H58" s="12">
        <f t="shared" si="0"/>
        <v>7.8623380280145039E-3</v>
      </c>
      <c r="I58" s="2">
        <f>VLOOKUP(A:A,MASTER!A:E,5,0)</f>
        <v>1406</v>
      </c>
      <c r="J58" s="2">
        <f>VLOOKUP(A:A,MASTER!A:J,10,0)</f>
        <v>1469</v>
      </c>
      <c r="K58" s="12">
        <f t="shared" si="1"/>
        <v>4.4807965860597543E-2</v>
      </c>
      <c r="L58" s="2">
        <f>VLOOKUP(A:A,MASTER!A:D,4,0)</f>
        <v>4</v>
      </c>
      <c r="M58" s="2">
        <f>VLOOKUP(A:A,MASTER!A:I,9,0)</f>
        <v>4</v>
      </c>
      <c r="N58" s="12">
        <f t="shared" si="2"/>
        <v>0</v>
      </c>
      <c r="O58" s="1">
        <f>VLOOKUP(A:A,MASTER!A:C,3,0)</f>
        <v>14</v>
      </c>
      <c r="P58" s="1">
        <f>VLOOKUP(A:A,MASTER!A:H,8,0)</f>
        <v>11</v>
      </c>
      <c r="Q58" s="12">
        <f t="shared" si="3"/>
        <v>-0.2142857142857143</v>
      </c>
      <c r="R58" s="1">
        <f>VLOOKUP(A:A,MASTER!A:B,2,0)</f>
        <v>1376</v>
      </c>
      <c r="S58">
        <f>VLOOKUP(A:A,MASTER!A:G,7,0)</f>
        <v>1527</v>
      </c>
      <c r="T58" s="12">
        <f t="shared" si="4"/>
        <v>0.10973837209302317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31652136.592038125</v>
      </c>
      <c r="G59" s="1">
        <f>VLOOKUP(A:A,MASTER!A:K,11,0)</f>
        <v>33705957.991945095</v>
      </c>
      <c r="H59" s="12">
        <f t="shared" si="0"/>
        <v>6.4887291065955921E-2</v>
      </c>
      <c r="I59" s="2">
        <f>VLOOKUP(A:A,MASTER!A:E,5,0)</f>
        <v>744</v>
      </c>
      <c r="J59" s="2">
        <f>VLOOKUP(A:A,MASTER!A:J,10,0)</f>
        <v>684</v>
      </c>
      <c r="K59" s="12">
        <f t="shared" si="1"/>
        <v>-8.064516129032262E-2</v>
      </c>
      <c r="L59" s="2">
        <f>VLOOKUP(A:A,MASTER!A:D,4,0)</f>
        <v>5</v>
      </c>
      <c r="M59" s="2">
        <f>VLOOKUP(A:A,MASTER!A:I,9,0)</f>
        <v>4</v>
      </c>
      <c r="N59" s="12">
        <f t="shared" si="2"/>
        <v>-0.19999999999999996</v>
      </c>
      <c r="O59" s="1">
        <f>VLOOKUP(A:A,MASTER!A:C,3,0)</f>
        <v>6</v>
      </c>
      <c r="P59" s="1">
        <f>VLOOKUP(A:A,MASTER!A:H,8,0)</f>
        <v>3</v>
      </c>
      <c r="Q59" s="12">
        <f t="shared" si="3"/>
        <v>-0.5</v>
      </c>
      <c r="R59" s="1">
        <f>VLOOKUP(A:A,MASTER!A:B,2,0)</f>
        <v>775</v>
      </c>
      <c r="S59">
        <f>VLOOKUP(A:A,MASTER!A:G,7,0)</f>
        <v>761</v>
      </c>
      <c r="T59" s="12">
        <f t="shared" si="4"/>
        <v>-1.806451612903226E-2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36973119.876932606</v>
      </c>
      <c r="G60" s="1">
        <f>VLOOKUP(A:A,MASTER!A:K,11,0)</f>
        <v>37782706.343272865</v>
      </c>
      <c r="H60" s="12">
        <f t="shared" si="0"/>
        <v>2.1896622980019487E-2</v>
      </c>
      <c r="I60" s="2">
        <f>VLOOKUP(A:A,MASTER!A:E,5,0)</f>
        <v>460</v>
      </c>
      <c r="J60" s="2">
        <f>VLOOKUP(A:A,MASTER!A:J,10,0)</f>
        <v>458</v>
      </c>
      <c r="K60" s="12">
        <f t="shared" si="1"/>
        <v>-4.3478260869564966E-3</v>
      </c>
      <c r="L60" s="2">
        <f>VLOOKUP(A:A,MASTER!A:D,4,0)</f>
        <v>5</v>
      </c>
      <c r="M60" s="2">
        <f>VLOOKUP(A:A,MASTER!A:I,9,0)</f>
        <v>6</v>
      </c>
      <c r="N60" s="12">
        <f t="shared" si="2"/>
        <v>0.19999999999999996</v>
      </c>
      <c r="O60" s="1">
        <f>VLOOKUP(A:A,MASTER!A:C,3,0)</f>
        <v>7</v>
      </c>
      <c r="P60" s="1">
        <f>VLOOKUP(A:A,MASTER!A:H,8,0)</f>
        <v>10</v>
      </c>
      <c r="Q60" s="12">
        <f t="shared" si="3"/>
        <v>0.4285714285714286</v>
      </c>
      <c r="R60" s="1">
        <f>VLOOKUP(A:A,MASTER!A:B,2,0)</f>
        <v>670</v>
      </c>
      <c r="S60">
        <f>VLOOKUP(A:A,MASTER!A:G,7,0)</f>
        <v>622</v>
      </c>
      <c r="T60" s="12">
        <f t="shared" si="4"/>
        <v>-7.1641791044776082E-2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100377557.64026153</v>
      </c>
      <c r="G61" s="1">
        <f>VLOOKUP(A:A,MASTER!A:K,11,0)</f>
        <v>122700260.11526486</v>
      </c>
      <c r="H61" s="12">
        <f t="shared" si="0"/>
        <v>0.22238738419004611</v>
      </c>
      <c r="I61" s="2">
        <f>VLOOKUP(A:A,MASTER!A:E,5,0)</f>
        <v>1650</v>
      </c>
      <c r="J61" s="2">
        <f>VLOOKUP(A:A,MASTER!A:J,10,0)</f>
        <v>2069</v>
      </c>
      <c r="K61" s="12">
        <f t="shared" si="1"/>
        <v>0.25393939393939391</v>
      </c>
      <c r="L61" s="2">
        <f>VLOOKUP(A:A,MASTER!A:D,4,0)</f>
        <v>10</v>
      </c>
      <c r="M61" s="2">
        <f>VLOOKUP(A:A,MASTER!A:I,9,0)</f>
        <v>11</v>
      </c>
      <c r="N61" s="12">
        <f t="shared" si="2"/>
        <v>0.10000000000000009</v>
      </c>
      <c r="O61" s="1">
        <f>VLOOKUP(A:A,MASTER!A:C,3,0)</f>
        <v>23</v>
      </c>
      <c r="P61" s="1">
        <f>VLOOKUP(A:A,MASTER!A:H,8,0)</f>
        <v>16</v>
      </c>
      <c r="Q61" s="12">
        <f t="shared" si="3"/>
        <v>-0.30434782608695654</v>
      </c>
      <c r="R61" s="1">
        <f>VLOOKUP(A:A,MASTER!A:B,2,0)</f>
        <v>2034</v>
      </c>
      <c r="S61">
        <f>VLOOKUP(A:A,MASTER!A:G,7,0)</f>
        <v>2006</v>
      </c>
      <c r="T61" s="12">
        <f t="shared" si="4"/>
        <v>-1.3765978367748288E-2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90080740.379999131</v>
      </c>
      <c r="G62" s="1">
        <f>VLOOKUP(A:A,MASTER!A:K,11,0)</f>
        <v>92463560.87667793</v>
      </c>
      <c r="H62" s="12">
        <f t="shared" si="0"/>
        <v>2.6452052754307287E-2</v>
      </c>
      <c r="I62" s="2">
        <f>VLOOKUP(A:A,MASTER!A:E,5,0)</f>
        <v>1207</v>
      </c>
      <c r="J62" s="2">
        <f>VLOOKUP(A:A,MASTER!A:J,10,0)</f>
        <v>1164</v>
      </c>
      <c r="K62" s="12">
        <f t="shared" si="1"/>
        <v>-3.5625517812758911E-2</v>
      </c>
      <c r="L62" s="2">
        <f>VLOOKUP(A:A,MASTER!A:D,4,0)</f>
        <v>7</v>
      </c>
      <c r="M62" s="2">
        <f>VLOOKUP(A:A,MASTER!A:I,9,0)</f>
        <v>6</v>
      </c>
      <c r="N62" s="12">
        <f t="shared" si="2"/>
        <v>-0.1428571428571429</v>
      </c>
      <c r="O62" s="1">
        <f>VLOOKUP(A:A,MASTER!A:C,3,0)</f>
        <v>22</v>
      </c>
      <c r="P62" s="1">
        <f>VLOOKUP(A:A,MASTER!A:H,8,0)</f>
        <v>25</v>
      </c>
      <c r="Q62" s="12">
        <f t="shared" si="3"/>
        <v>0.13636363636363646</v>
      </c>
      <c r="R62" s="1">
        <f>VLOOKUP(A:A,MASTER!A:B,2,0)</f>
        <v>1578</v>
      </c>
      <c r="S62">
        <f>VLOOKUP(A:A,MASTER!A:G,7,0)</f>
        <v>1576</v>
      </c>
      <c r="T62" s="12">
        <f t="shared" si="4"/>
        <v>-1.2674271229404788E-3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55770088.03356684</v>
      </c>
      <c r="G63" s="1">
        <f>VLOOKUP(A:A,MASTER!A:K,11,0)</f>
        <v>59299037.95882754</v>
      </c>
      <c r="H63" s="12">
        <f t="shared" si="0"/>
        <v>6.3276750130584425E-2</v>
      </c>
      <c r="I63" s="2">
        <f>VLOOKUP(A:A,MASTER!A:E,5,0)</f>
        <v>725</v>
      </c>
      <c r="J63" s="2">
        <f>VLOOKUP(A:A,MASTER!A:J,10,0)</f>
        <v>651</v>
      </c>
      <c r="K63" s="12">
        <f t="shared" si="1"/>
        <v>-0.10206896551724143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2</v>
      </c>
      <c r="P63" s="1">
        <f>VLOOKUP(A:A,MASTER!A:H,8,0)</f>
        <v>9</v>
      </c>
      <c r="Q63" s="12">
        <f t="shared" si="3"/>
        <v>3.5</v>
      </c>
      <c r="R63" s="1">
        <f>VLOOKUP(A:A,MASTER!A:B,2,0)</f>
        <v>857</v>
      </c>
      <c r="S63">
        <f>VLOOKUP(A:A,MASTER!A:G,7,0)</f>
        <v>896</v>
      </c>
      <c r="T63" s="12">
        <f t="shared" si="4"/>
        <v>4.5507584597432871E-2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82675137.356556803</v>
      </c>
      <c r="G64" s="1">
        <f>VLOOKUP(A:A,MASTER!A:K,11,0)</f>
        <v>86949030.116028577</v>
      </c>
      <c r="H64" s="12">
        <f t="shared" si="0"/>
        <v>5.1695018552428529E-2</v>
      </c>
      <c r="I64" s="2">
        <f>VLOOKUP(A:A,MASTER!A:E,5,0)</f>
        <v>1250</v>
      </c>
      <c r="J64" s="2">
        <f>VLOOKUP(A:A,MASTER!A:J,10,0)</f>
        <v>1301</v>
      </c>
      <c r="K64" s="12">
        <f t="shared" si="1"/>
        <v>4.0799999999999947E-2</v>
      </c>
      <c r="L64" s="2">
        <f>VLOOKUP(A:A,MASTER!A:D,4,0)</f>
        <v>13</v>
      </c>
      <c r="M64" s="2">
        <f>VLOOKUP(A:A,MASTER!A:I,9,0)</f>
        <v>12</v>
      </c>
      <c r="N64" s="12">
        <f t="shared" si="2"/>
        <v>-7.6923076923076872E-2</v>
      </c>
      <c r="O64" s="1">
        <f>VLOOKUP(A:A,MASTER!A:C,3,0)</f>
        <v>282</v>
      </c>
      <c r="P64" s="1">
        <f>VLOOKUP(A:A,MASTER!A:H,8,0)</f>
        <v>528</v>
      </c>
      <c r="Q64" s="12">
        <f t="shared" si="3"/>
        <v>0.87234042553191493</v>
      </c>
      <c r="R64" s="1">
        <f>VLOOKUP(A:A,MASTER!A:B,2,0)</f>
        <v>2006</v>
      </c>
      <c r="S64">
        <f>VLOOKUP(A:A,MASTER!A:G,7,0)</f>
        <v>2218</v>
      </c>
      <c r="T64" s="12">
        <f t="shared" si="4"/>
        <v>0.10568295114656023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6140539.4933344573</v>
      </c>
      <c r="G65" s="1">
        <f>VLOOKUP(A:A,MASTER!A:K,11,0)</f>
        <v>3921583.6788190641</v>
      </c>
      <c r="H65" s="12">
        <f t="shared" si="0"/>
        <v>-0.36136170395517608</v>
      </c>
      <c r="I65" s="2">
        <f>VLOOKUP(A:A,MASTER!A:E,5,0)</f>
        <v>262</v>
      </c>
      <c r="J65" s="2">
        <f>VLOOKUP(A:A,MASTER!A:J,10,0)</f>
        <v>240</v>
      </c>
      <c r="K65" s="12">
        <f t="shared" si="1"/>
        <v>-8.3969465648854991E-2</v>
      </c>
      <c r="L65" s="2">
        <f>VLOOKUP(A:A,MASTER!A:D,4,0)</f>
        <v>1</v>
      </c>
      <c r="M65" s="2">
        <f>VLOOKUP(A:A,MASTER!A:I,9,0)</f>
        <v>1</v>
      </c>
      <c r="N65" s="12">
        <f t="shared" si="2"/>
        <v>0</v>
      </c>
      <c r="O65" s="1">
        <f>VLOOKUP(A:A,MASTER!A:C,3,0)</f>
        <v>2</v>
      </c>
      <c r="P65" s="1">
        <f>VLOOKUP(A:A,MASTER!A:H,8,0)</f>
        <v>0</v>
      </c>
      <c r="Q65" s="12">
        <f t="shared" si="3"/>
        <v>-1</v>
      </c>
      <c r="R65" s="1">
        <f>VLOOKUP(A:A,MASTER!A:B,2,0)</f>
        <v>263</v>
      </c>
      <c r="S65">
        <f>VLOOKUP(A:A,MASTER!A:G,7,0)</f>
        <v>249</v>
      </c>
      <c r="T65" s="12">
        <f t="shared" si="4"/>
        <v>-5.323193916349811E-2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64973804.202333398</v>
      </c>
      <c r="G66" s="1">
        <f>VLOOKUP(A:A,MASTER!A:K,11,0)</f>
        <v>62806241.689261854</v>
      </c>
      <c r="H66" s="12">
        <f t="shared" si="0"/>
        <v>-3.3360560300911279E-2</v>
      </c>
      <c r="I66" s="2">
        <f>VLOOKUP(A:A,MASTER!A:E,5,0)</f>
        <v>1823</v>
      </c>
      <c r="J66" s="2">
        <f>VLOOKUP(A:A,MASTER!A:J,10,0)</f>
        <v>1524</v>
      </c>
      <c r="K66" s="12">
        <f t="shared" si="1"/>
        <v>-0.16401535929786071</v>
      </c>
      <c r="L66" s="2">
        <f>VLOOKUP(A:A,MASTER!A:D,4,0)</f>
        <v>7</v>
      </c>
      <c r="M66" s="2">
        <f>VLOOKUP(A:A,MASTER!A:I,9,0)</f>
        <v>6</v>
      </c>
      <c r="N66" s="12">
        <f t="shared" si="2"/>
        <v>-0.1428571428571429</v>
      </c>
      <c r="O66" s="1">
        <f>VLOOKUP(A:A,MASTER!A:C,3,0)</f>
        <v>6</v>
      </c>
      <c r="P66" s="1">
        <f>VLOOKUP(A:A,MASTER!A:H,8,0)</f>
        <v>11</v>
      </c>
      <c r="Q66" s="12">
        <f t="shared" si="3"/>
        <v>0.83333333333333326</v>
      </c>
      <c r="R66" s="1">
        <f>VLOOKUP(A:A,MASTER!A:B,2,0)</f>
        <v>1775</v>
      </c>
      <c r="S66">
        <f>VLOOKUP(A:A,MASTER!A:G,7,0)</f>
        <v>1667</v>
      </c>
      <c r="T66" s="12">
        <f t="shared" si="4"/>
        <v>-6.0845070422535175E-2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27026185.292692184</v>
      </c>
      <c r="G67" s="1">
        <f>VLOOKUP(A:A,MASTER!A:K,11,0)</f>
        <v>29791076.376127552</v>
      </c>
      <c r="H67" s="12">
        <f t="shared" ref="H67:H85" si="5">IFERROR(G67/F67-1,0)</f>
        <v>0.10230415626518274</v>
      </c>
      <c r="I67" s="2">
        <f>VLOOKUP(A:A,MASTER!A:E,5,0)</f>
        <v>602</v>
      </c>
      <c r="J67" s="2">
        <f>VLOOKUP(A:A,MASTER!A:J,10,0)</f>
        <v>590</v>
      </c>
      <c r="K67" s="12">
        <f t="shared" ref="K67:K85" si="6">IFERROR(J67/I67-1,0)</f>
        <v>-1.9933554817275767E-2</v>
      </c>
      <c r="L67" s="2">
        <f>VLOOKUP(A:A,MASTER!A:D,4,0)</f>
        <v>2</v>
      </c>
      <c r="M67" s="2">
        <f>VLOOKUP(A:A,MASTER!A:I,9,0)</f>
        <v>4</v>
      </c>
      <c r="N67" s="12">
        <f t="shared" ref="N67:N85" si="7">IFERROR(M67/L67-1,0)</f>
        <v>1</v>
      </c>
      <c r="O67" s="1">
        <f>VLOOKUP(A:A,MASTER!A:C,3,0)</f>
        <v>3</v>
      </c>
      <c r="P67" s="1">
        <f>VLOOKUP(A:A,MASTER!A:H,8,0)</f>
        <v>5</v>
      </c>
      <c r="Q67" s="12">
        <f t="shared" ref="Q67:Q85" si="8">IFERROR(P67/O67-1,0)</f>
        <v>0.66666666666666674</v>
      </c>
      <c r="R67" s="1">
        <f>VLOOKUP(A:A,MASTER!A:B,2,0)</f>
        <v>672</v>
      </c>
      <c r="S67">
        <f>VLOOKUP(A:A,MASTER!A:G,7,0)</f>
        <v>769</v>
      </c>
      <c r="T67" s="12">
        <f t="shared" ref="T67:T85" si="9">IFERROR(S67/R67-1,0)</f>
        <v>0.14434523809523814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43557460.72094354</v>
      </c>
      <c r="G68" s="1">
        <f>VLOOKUP(A:A,MASTER!A:K,11,0)</f>
        <v>46027687.360767119</v>
      </c>
      <c r="H68" s="12">
        <f t="shared" si="5"/>
        <v>5.6711906500918507E-2</v>
      </c>
      <c r="I68" s="2">
        <f>VLOOKUP(A:A,MASTER!A:E,5,0)</f>
        <v>895</v>
      </c>
      <c r="J68" s="2">
        <f>VLOOKUP(A:A,MASTER!A:J,10,0)</f>
        <v>865</v>
      </c>
      <c r="K68" s="12">
        <f t="shared" si="6"/>
        <v>-3.3519553072625663E-2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47</v>
      </c>
      <c r="P68" s="1">
        <f>VLOOKUP(A:A,MASTER!A:H,8,0)</f>
        <v>77</v>
      </c>
      <c r="Q68" s="12">
        <f t="shared" si="8"/>
        <v>0.63829787234042556</v>
      </c>
      <c r="R68" s="1">
        <f>VLOOKUP(A:A,MASTER!A:B,2,0)</f>
        <v>1318</v>
      </c>
      <c r="S68">
        <f>VLOOKUP(A:A,MASTER!A:G,7,0)</f>
        <v>1381</v>
      </c>
      <c r="T68" s="12">
        <f t="shared" si="9"/>
        <v>4.7799696509863487E-2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20559790.986772776</v>
      </c>
      <c r="G69" s="1">
        <f>VLOOKUP(A:A,MASTER!A:K,11,0)</f>
        <v>30993951.72630202</v>
      </c>
      <c r="H69" s="12">
        <f t="shared" si="5"/>
        <v>0.50750324972866223</v>
      </c>
      <c r="I69" s="2">
        <f>VLOOKUP(A:A,MASTER!A:E,5,0)</f>
        <v>1453</v>
      </c>
      <c r="J69" s="2">
        <f>VLOOKUP(A:A,MASTER!A:J,10,0)</f>
        <v>1167</v>
      </c>
      <c r="K69" s="12">
        <f t="shared" si="6"/>
        <v>-0.19683413626978663</v>
      </c>
      <c r="L69" s="2">
        <f>VLOOKUP(A:A,MASTER!A:D,4,0)</f>
        <v>5</v>
      </c>
      <c r="M69" s="2">
        <f>VLOOKUP(A:A,MASTER!A:I,9,0)</f>
        <v>5</v>
      </c>
      <c r="N69" s="12">
        <f t="shared" si="7"/>
        <v>0</v>
      </c>
      <c r="O69" s="1">
        <f>VLOOKUP(A:A,MASTER!A:C,3,0)</f>
        <v>7</v>
      </c>
      <c r="P69" s="1">
        <f>VLOOKUP(A:A,MASTER!A:H,8,0)</f>
        <v>10</v>
      </c>
      <c r="Q69" s="12">
        <f t="shared" si="8"/>
        <v>0.4285714285714286</v>
      </c>
      <c r="R69" s="1">
        <f>VLOOKUP(A:A,MASTER!A:B,2,0)</f>
        <v>1315</v>
      </c>
      <c r="S69">
        <f>VLOOKUP(A:A,MASTER!A:G,7,0)</f>
        <v>1256</v>
      </c>
      <c r="T69" s="12">
        <f t="shared" si="9"/>
        <v>-4.4866920152091261E-2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77163456.639908686</v>
      </c>
      <c r="G70" s="1">
        <f>VLOOKUP(A:A,MASTER!A:K,11,0)</f>
        <v>79308903.181860581</v>
      </c>
      <c r="H70" s="12">
        <f t="shared" si="5"/>
        <v>2.7803919567313429E-2</v>
      </c>
      <c r="I70" s="2">
        <f>VLOOKUP(A:A,MASTER!A:E,5,0)</f>
        <v>1201</v>
      </c>
      <c r="J70" s="2">
        <f>VLOOKUP(A:A,MASTER!A:J,10,0)</f>
        <v>1358</v>
      </c>
      <c r="K70" s="12">
        <f t="shared" si="6"/>
        <v>0.13072439633638644</v>
      </c>
      <c r="L70" s="2">
        <f>VLOOKUP(A:A,MASTER!A:D,4,0)</f>
        <v>5</v>
      </c>
      <c r="M70" s="2">
        <f>VLOOKUP(A:A,MASTER!A:I,9,0)</f>
        <v>5</v>
      </c>
      <c r="N70" s="12">
        <f t="shared" si="7"/>
        <v>0</v>
      </c>
      <c r="O70" s="1">
        <f>VLOOKUP(A:A,MASTER!A:C,3,0)</f>
        <v>10</v>
      </c>
      <c r="P70" s="1">
        <f>VLOOKUP(A:A,MASTER!A:H,8,0)</f>
        <v>13</v>
      </c>
      <c r="Q70" s="12">
        <f t="shared" si="8"/>
        <v>0.30000000000000004</v>
      </c>
      <c r="R70" s="1">
        <f>VLOOKUP(A:A,MASTER!A:B,2,0)</f>
        <v>1746</v>
      </c>
      <c r="S70">
        <f>VLOOKUP(A:A,MASTER!A:G,7,0)</f>
        <v>1724</v>
      </c>
      <c r="T70" s="12">
        <f t="shared" si="9"/>
        <v>-1.2600229095074411E-2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16194613.135555835</v>
      </c>
      <c r="G71" s="1">
        <f>VLOOKUP(A:A,MASTER!A:K,11,0)</f>
        <v>16110928.637133213</v>
      </c>
      <c r="H71" s="12">
        <f t="shared" si="5"/>
        <v>-5.1674280652552751E-3</v>
      </c>
      <c r="I71" s="2">
        <f>VLOOKUP(A:A,MASTER!A:E,5,0)</f>
        <v>430</v>
      </c>
      <c r="J71" s="2">
        <f>VLOOKUP(A:A,MASTER!A:J,10,0)</f>
        <v>455</v>
      </c>
      <c r="K71" s="12">
        <f t="shared" si="6"/>
        <v>5.8139534883721034E-2</v>
      </c>
      <c r="L71" s="2">
        <f>VLOOKUP(A:A,MASTER!A:D,4,0)</f>
        <v>2</v>
      </c>
      <c r="M71" s="2">
        <f>VLOOKUP(A:A,MASTER!A:I,9,0)</f>
        <v>1</v>
      </c>
      <c r="N71" s="12">
        <f t="shared" si="7"/>
        <v>-0.5</v>
      </c>
      <c r="O71" s="1">
        <f>VLOOKUP(A:A,MASTER!A:C,3,0)</f>
        <v>4</v>
      </c>
      <c r="P71" s="1">
        <f>VLOOKUP(A:A,MASTER!A:H,8,0)</f>
        <v>2</v>
      </c>
      <c r="Q71" s="12">
        <f t="shared" si="8"/>
        <v>-0.5</v>
      </c>
      <c r="R71" s="1">
        <f>VLOOKUP(A:A,MASTER!A:B,2,0)</f>
        <v>494</v>
      </c>
      <c r="S71">
        <f>VLOOKUP(A:A,MASTER!A:G,7,0)</f>
        <v>518</v>
      </c>
      <c r="T71" s="12">
        <f t="shared" si="9"/>
        <v>4.8582995951417018E-2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25340188.94744451</v>
      </c>
      <c r="G72" s="1">
        <f>VLOOKUP(A:A,MASTER!A:K,11,0)</f>
        <v>25450842.735035904</v>
      </c>
      <c r="H72" s="12">
        <f t="shared" si="5"/>
        <v>4.3667309593029557E-3</v>
      </c>
      <c r="I72" s="2">
        <f>VLOOKUP(A:A,MASTER!A:E,5,0)</f>
        <v>816</v>
      </c>
      <c r="J72" s="2">
        <f>VLOOKUP(A:A,MASTER!A:J,10,0)</f>
        <v>773</v>
      </c>
      <c r="K72" s="12">
        <f t="shared" si="6"/>
        <v>-5.2696078431372584E-2</v>
      </c>
      <c r="L72" s="2">
        <f>VLOOKUP(A:A,MASTER!A:D,4,0)</f>
        <v>1</v>
      </c>
      <c r="M72" s="2">
        <f>VLOOKUP(A:A,MASTER!A:I,9,0)</f>
        <v>1</v>
      </c>
      <c r="N72" s="12">
        <f t="shared" si="7"/>
        <v>0</v>
      </c>
      <c r="O72" s="1">
        <f>VLOOKUP(A:A,MASTER!A:C,3,0)</f>
        <v>5</v>
      </c>
      <c r="P72" s="1">
        <f>VLOOKUP(A:A,MASTER!A:H,8,0)</f>
        <v>6</v>
      </c>
      <c r="Q72" s="12">
        <f t="shared" si="8"/>
        <v>0.19999999999999996</v>
      </c>
      <c r="R72" s="1">
        <f>VLOOKUP(A:A,MASTER!A:B,2,0)</f>
        <v>892</v>
      </c>
      <c r="S72">
        <f>VLOOKUP(A:A,MASTER!A:G,7,0)</f>
        <v>876</v>
      </c>
      <c r="T72" s="12">
        <f t="shared" si="9"/>
        <v>-1.7937219730941756E-2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15426685.23745168</v>
      </c>
      <c r="G73" s="1">
        <f>VLOOKUP(A:A,MASTER!A:K,11,0)</f>
        <v>25729400.051537082</v>
      </c>
      <c r="H73" s="12">
        <f t="shared" si="5"/>
        <v>0.66785019954081193</v>
      </c>
      <c r="I73" s="2">
        <f>VLOOKUP(A:A,MASTER!A:E,5,0)</f>
        <v>40</v>
      </c>
      <c r="J73" s="2">
        <f>VLOOKUP(A:A,MASTER!A:J,10,0)</f>
        <v>498</v>
      </c>
      <c r="K73" s="12">
        <f t="shared" si="6"/>
        <v>11.45</v>
      </c>
      <c r="L73" s="2">
        <f>VLOOKUP(A:A,MASTER!A:D,4,0)</f>
        <v>4</v>
      </c>
      <c r="M73" s="2">
        <f>VLOOKUP(A:A,MASTER!A:I,9,0)</f>
        <v>3</v>
      </c>
      <c r="N73" s="12">
        <f t="shared" si="7"/>
        <v>-0.25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662</v>
      </c>
      <c r="S73">
        <f>VLOOKUP(A:A,MASTER!A:G,7,0)</f>
        <v>649</v>
      </c>
      <c r="T73" s="12">
        <f t="shared" si="9"/>
        <v>-1.963746223564955E-2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13803260.27765929</v>
      </c>
      <c r="G74" s="1">
        <f>VLOOKUP(A:A,MASTER!A:K,11,0)</f>
        <v>17870724.254546557</v>
      </c>
      <c r="H74" s="12">
        <f t="shared" si="5"/>
        <v>0.29467414908277112</v>
      </c>
      <c r="I74" s="2">
        <f>VLOOKUP(A:A,MASTER!A:E,5,0)</f>
        <v>3</v>
      </c>
      <c r="J74" s="2">
        <f>VLOOKUP(A:A,MASTER!A:J,10,0)</f>
        <v>522</v>
      </c>
      <c r="K74" s="12">
        <f t="shared" si="6"/>
        <v>173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5</v>
      </c>
      <c r="P74" s="1">
        <f>VLOOKUP(A:A,MASTER!A:H,8,0)</f>
        <v>6</v>
      </c>
      <c r="Q74" s="12">
        <f t="shared" si="8"/>
        <v>0.19999999999999996</v>
      </c>
      <c r="R74" s="1">
        <f>VLOOKUP(A:A,MASTER!A:B,2,0)</f>
        <v>579</v>
      </c>
      <c r="S74">
        <f>VLOOKUP(A:A,MASTER!A:G,7,0)</f>
        <v>618</v>
      </c>
      <c r="T74" s="12">
        <f t="shared" si="9"/>
        <v>6.7357512953367893E-2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19740278.744004328</v>
      </c>
      <c r="G75" s="1">
        <f>VLOOKUP(A:A,MASTER!A:K,11,0)</f>
        <v>21399782.93429514</v>
      </c>
      <c r="H75" s="12">
        <f t="shared" si="5"/>
        <v>8.4066907656754841E-2</v>
      </c>
      <c r="I75" s="2">
        <f>VLOOKUP(A:A,MASTER!A:E,5,0)</f>
        <v>510</v>
      </c>
      <c r="J75" s="2">
        <f>VLOOKUP(A:A,MASTER!A:J,10,0)</f>
        <v>411</v>
      </c>
      <c r="K75" s="12">
        <f t="shared" si="6"/>
        <v>-0.19411764705882351</v>
      </c>
      <c r="L75" s="2">
        <f>VLOOKUP(A:A,MASTER!A:D,4,0)</f>
        <v>6</v>
      </c>
      <c r="M75" s="2">
        <f>VLOOKUP(A:A,MASTER!A:I,9,0)</f>
        <v>7</v>
      </c>
      <c r="N75" s="12">
        <f t="shared" si="7"/>
        <v>0.16666666666666674</v>
      </c>
      <c r="O75" s="1">
        <f>VLOOKUP(A:A,MASTER!A:C,3,0)</f>
        <v>6</v>
      </c>
      <c r="P75" s="1">
        <f>VLOOKUP(A:A,MASTER!A:H,8,0)</f>
        <v>2</v>
      </c>
      <c r="Q75" s="12">
        <f t="shared" si="8"/>
        <v>-0.66666666666666674</v>
      </c>
      <c r="R75" s="1">
        <f>VLOOKUP(A:A,MASTER!A:B,2,0)</f>
        <v>428</v>
      </c>
      <c r="S75">
        <f>VLOOKUP(A:A,MASTER!A:G,7,0)</f>
        <v>447</v>
      </c>
      <c r="T75" s="12">
        <f t="shared" si="9"/>
        <v>4.4392523364485958E-2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56782821.251423657</v>
      </c>
      <c r="G76" s="1">
        <f>VLOOKUP(A:A,MASTER!A:K,11,0)</f>
        <v>54567028.754611216</v>
      </c>
      <c r="H76" s="12">
        <f t="shared" si="5"/>
        <v>-3.9022233273710127E-2</v>
      </c>
      <c r="I76" s="2">
        <f>VLOOKUP(A:A,MASTER!A:E,5,0)</f>
        <v>730</v>
      </c>
      <c r="J76" s="2">
        <f>VLOOKUP(A:A,MASTER!A:J,10,0)</f>
        <v>505</v>
      </c>
      <c r="K76" s="12">
        <f t="shared" si="6"/>
        <v>-0.30821917808219179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12</v>
      </c>
      <c r="P76" s="1">
        <f>VLOOKUP(A:A,MASTER!A:H,8,0)</f>
        <v>9</v>
      </c>
      <c r="Q76" s="12">
        <f t="shared" si="8"/>
        <v>-0.25</v>
      </c>
      <c r="R76" s="1">
        <f>VLOOKUP(A:A,MASTER!A:B,2,0)</f>
        <v>947</v>
      </c>
      <c r="S76">
        <f>VLOOKUP(A:A,MASTER!A:G,7,0)</f>
        <v>897</v>
      </c>
      <c r="T76" s="12">
        <f t="shared" si="9"/>
        <v>-5.2798310454065467E-2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33564525.520598993</v>
      </c>
      <c r="G77" s="1">
        <f>VLOOKUP(A:A,MASTER!A:K,11,0)</f>
        <v>32778727.484129459</v>
      </c>
      <c r="H77" s="12">
        <f t="shared" si="5"/>
        <v>-2.341156397361488E-2</v>
      </c>
      <c r="I77" s="2">
        <f>VLOOKUP(A:A,MASTER!A:E,5,0)</f>
        <v>786</v>
      </c>
      <c r="J77" s="2">
        <f>VLOOKUP(A:A,MASTER!A:J,10,0)</f>
        <v>702</v>
      </c>
      <c r="K77" s="12">
        <f t="shared" si="6"/>
        <v>-0.10687022900763354</v>
      </c>
      <c r="L77" s="2">
        <f>VLOOKUP(A:A,MASTER!A:D,4,0)</f>
        <v>10</v>
      </c>
      <c r="M77" s="2">
        <f>VLOOKUP(A:A,MASTER!A:I,9,0)</f>
        <v>10</v>
      </c>
      <c r="N77" s="12">
        <f t="shared" si="7"/>
        <v>0</v>
      </c>
      <c r="O77" s="1">
        <f>VLOOKUP(A:A,MASTER!A:C,3,0)</f>
        <v>4</v>
      </c>
      <c r="P77" s="1">
        <f>VLOOKUP(A:A,MASTER!A:H,8,0)</f>
        <v>4</v>
      </c>
      <c r="Q77" s="12">
        <f t="shared" si="8"/>
        <v>0</v>
      </c>
      <c r="R77" s="1">
        <f>VLOOKUP(A:A,MASTER!A:B,2,0)</f>
        <v>799</v>
      </c>
      <c r="S77">
        <f>VLOOKUP(A:A,MASTER!A:G,7,0)</f>
        <v>772</v>
      </c>
      <c r="T77" s="12">
        <f t="shared" si="9"/>
        <v>-3.379224030037542E-2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28069531.591266755</v>
      </c>
      <c r="G78" s="1">
        <f>VLOOKUP(A:A,MASTER!A:K,11,0)</f>
        <v>28417544.731245913</v>
      </c>
      <c r="H78" s="12">
        <f t="shared" si="5"/>
        <v>1.239825249123272E-2</v>
      </c>
      <c r="I78" s="2">
        <f>VLOOKUP(A:A,MASTER!A:E,5,0)</f>
        <v>877</v>
      </c>
      <c r="J78" s="2">
        <f>VLOOKUP(A:A,MASTER!A:J,10,0)</f>
        <v>890</v>
      </c>
      <c r="K78" s="12">
        <f t="shared" si="6"/>
        <v>1.4823261117445918E-2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1</v>
      </c>
      <c r="P78" s="1">
        <f>VLOOKUP(A:A,MASTER!A:H,8,0)</f>
        <v>3</v>
      </c>
      <c r="Q78" s="12">
        <f t="shared" si="8"/>
        <v>2</v>
      </c>
      <c r="R78" s="1">
        <f>VLOOKUP(A:A,MASTER!A:B,2,0)</f>
        <v>954</v>
      </c>
      <c r="S78">
        <f>VLOOKUP(A:A,MASTER!A:G,7,0)</f>
        <v>956</v>
      </c>
      <c r="T78" s="12">
        <f t="shared" si="9"/>
        <v>2.0964360587001352E-3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31195103.941588808</v>
      </c>
      <c r="G79" s="1">
        <f>VLOOKUP(A:A,MASTER!A:K,11,0)</f>
        <v>29784133.816133317</v>
      </c>
      <c r="H79" s="12">
        <f t="shared" si="5"/>
        <v>-4.5230499250698442E-2</v>
      </c>
      <c r="I79" s="2">
        <f>VLOOKUP(A:A,MASTER!A:E,5,0)</f>
        <v>805</v>
      </c>
      <c r="J79" s="2">
        <f>VLOOKUP(A:A,MASTER!A:J,10,0)</f>
        <v>815</v>
      </c>
      <c r="K79" s="12">
        <f t="shared" si="6"/>
        <v>1.2422360248447228E-2</v>
      </c>
      <c r="L79" s="2">
        <f>VLOOKUP(A:A,MASTER!A:D,4,0)</f>
        <v>4</v>
      </c>
      <c r="M79" s="2">
        <f>VLOOKUP(A:A,MASTER!A:I,9,0)</f>
        <v>5</v>
      </c>
      <c r="N79" s="12">
        <f t="shared" si="7"/>
        <v>0.25</v>
      </c>
      <c r="O79" s="1">
        <f>VLOOKUP(A:A,MASTER!A:C,3,0)</f>
        <v>8</v>
      </c>
      <c r="P79" s="1">
        <f>VLOOKUP(A:A,MASTER!A:H,8,0)</f>
        <v>3</v>
      </c>
      <c r="Q79" s="12">
        <f t="shared" si="8"/>
        <v>-0.625</v>
      </c>
      <c r="R79" s="1">
        <f>VLOOKUP(A:A,MASTER!A:B,2,0)</f>
        <v>1003</v>
      </c>
      <c r="S79">
        <f>VLOOKUP(A:A,MASTER!A:G,7,0)</f>
        <v>983</v>
      </c>
      <c r="T79" s="12">
        <f t="shared" si="9"/>
        <v>-1.9940179461615193E-2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34098552.183406793</v>
      </c>
      <c r="G80" s="1">
        <f>VLOOKUP(A:A,MASTER!A:K,11,0)</f>
        <v>37860265.651208185</v>
      </c>
      <c r="H80" s="12">
        <f t="shared" si="5"/>
        <v>0.11031886185572226</v>
      </c>
      <c r="I80" s="2">
        <f>VLOOKUP(A:A,MASTER!A:E,5,0)</f>
        <v>701</v>
      </c>
      <c r="J80" s="2">
        <f>VLOOKUP(A:A,MASTER!A:J,10,0)</f>
        <v>779</v>
      </c>
      <c r="K80" s="12">
        <f t="shared" si="6"/>
        <v>0.11126961483594866</v>
      </c>
      <c r="L80" s="2">
        <f>VLOOKUP(A:A,MASTER!A:D,4,0)</f>
        <v>5</v>
      </c>
      <c r="M80" s="2">
        <f>VLOOKUP(A:A,MASTER!A:I,9,0)</f>
        <v>6</v>
      </c>
      <c r="N80" s="12">
        <f t="shared" si="7"/>
        <v>0.19999999999999996</v>
      </c>
      <c r="O80" s="1">
        <f>VLOOKUP(A:A,MASTER!A:C,3,0)</f>
        <v>6</v>
      </c>
      <c r="P80" s="1">
        <f>VLOOKUP(A:A,MASTER!A:H,8,0)</f>
        <v>3</v>
      </c>
      <c r="Q80" s="12">
        <f t="shared" si="8"/>
        <v>-0.5</v>
      </c>
      <c r="R80" s="1">
        <f>VLOOKUP(A:A,MASTER!A:B,2,0)</f>
        <v>744</v>
      </c>
      <c r="S80">
        <f>VLOOKUP(A:A,MASTER!A:G,7,0)</f>
        <v>764</v>
      </c>
      <c r="T80" s="12">
        <f t="shared" si="9"/>
        <v>2.6881720430107503E-2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14853766.680226721</v>
      </c>
      <c r="G81" s="1">
        <f>VLOOKUP(A:A,MASTER!A:K,11,0)</f>
        <v>16668293.937810272</v>
      </c>
      <c r="H81" s="12">
        <f t="shared" si="5"/>
        <v>0.12215940216692944</v>
      </c>
      <c r="I81" s="2">
        <f>VLOOKUP(A:A,MASTER!A:E,5,0)</f>
        <v>546</v>
      </c>
      <c r="J81" s="2">
        <f>VLOOKUP(A:A,MASTER!A:J,10,0)</f>
        <v>552</v>
      </c>
      <c r="K81" s="12">
        <f t="shared" si="6"/>
        <v>1.098901098901095E-2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2</v>
      </c>
      <c r="P81" s="1">
        <f>VLOOKUP(A:A,MASTER!A:H,8,0)</f>
        <v>3</v>
      </c>
      <c r="Q81" s="12">
        <f t="shared" si="8"/>
        <v>0.5</v>
      </c>
      <c r="R81" s="1">
        <f>VLOOKUP(A:A,MASTER!A:B,2,0)</f>
        <v>565</v>
      </c>
      <c r="S81">
        <f>VLOOKUP(A:A,MASTER!A:G,7,0)</f>
        <v>563</v>
      </c>
      <c r="T81" s="12">
        <f t="shared" si="9"/>
        <v>-3.5398230088495852E-3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64072677.616162479</v>
      </c>
      <c r="G82" s="1">
        <f>VLOOKUP(A:A,MASTER!A:K,11,0)</f>
        <v>71814990.520318881</v>
      </c>
      <c r="H82" s="12">
        <f t="shared" si="5"/>
        <v>0.12083641877022777</v>
      </c>
      <c r="I82" s="2">
        <f>VLOOKUP(A:A,MASTER!A:E,5,0)</f>
        <v>1253</v>
      </c>
      <c r="J82" s="2">
        <f>VLOOKUP(A:A,MASTER!A:J,10,0)</f>
        <v>1323</v>
      </c>
      <c r="K82" s="12">
        <f t="shared" si="6"/>
        <v>5.5865921787709549E-2</v>
      </c>
      <c r="L82" s="2">
        <f>VLOOKUP(A:A,MASTER!A:D,4,0)</f>
        <v>10</v>
      </c>
      <c r="M82" s="2">
        <f>VLOOKUP(A:A,MASTER!A:I,9,0)</f>
        <v>10</v>
      </c>
      <c r="N82" s="12">
        <f t="shared" si="7"/>
        <v>0</v>
      </c>
      <c r="O82" s="1">
        <f>VLOOKUP(A:A,MASTER!A:C,3,0)</f>
        <v>10</v>
      </c>
      <c r="P82" s="1">
        <f>VLOOKUP(A:A,MASTER!A:H,8,0)</f>
        <v>10</v>
      </c>
      <c r="Q82" s="12">
        <f t="shared" si="8"/>
        <v>0</v>
      </c>
      <c r="R82" s="1">
        <f>VLOOKUP(A:A,MASTER!A:B,2,0)</f>
        <v>1692</v>
      </c>
      <c r="S82">
        <f>VLOOKUP(A:A,MASTER!A:G,7,0)</f>
        <v>1776</v>
      </c>
      <c r="T82" s="12">
        <f t="shared" si="9"/>
        <v>4.9645390070921946E-2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18937694.832978379</v>
      </c>
      <c r="G83" s="1">
        <f>VLOOKUP(A:A,MASTER!A:K,11,0)</f>
        <v>15580749.492926508</v>
      </c>
      <c r="H83" s="12">
        <f t="shared" si="5"/>
        <v>-0.17726261668373899</v>
      </c>
      <c r="I83" s="2">
        <f>VLOOKUP(A:A,MASTER!A:E,5,0)</f>
        <v>910</v>
      </c>
      <c r="J83" s="2">
        <f>VLOOKUP(A:A,MASTER!A:J,10,0)</f>
        <v>649</v>
      </c>
      <c r="K83" s="12">
        <f t="shared" si="6"/>
        <v>-0.28681318681318679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6</v>
      </c>
      <c r="P83" s="1">
        <f>VLOOKUP(A:A,MASTER!A:H,8,0)</f>
        <v>0</v>
      </c>
      <c r="Q83" s="12">
        <f t="shared" si="8"/>
        <v>-1</v>
      </c>
      <c r="R83" s="1">
        <f>VLOOKUP(A:A,MASTER!A:B,2,0)</f>
        <v>637</v>
      </c>
      <c r="S83">
        <f>VLOOKUP(A:A,MASTER!A:G,7,0)</f>
        <v>567</v>
      </c>
      <c r="T83" s="12">
        <f t="shared" si="9"/>
        <v>-0.10989010989010994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29899924.687964041</v>
      </c>
      <c r="G84" s="1">
        <f>VLOOKUP(A:A,MASTER!A:K,11,0)</f>
        <v>31832135.297281656</v>
      </c>
      <c r="H84" s="12">
        <f t="shared" si="5"/>
        <v>6.4622591176472399E-2</v>
      </c>
      <c r="I84" s="2">
        <f>VLOOKUP(A:A,MASTER!A:E,5,0)</f>
        <v>519</v>
      </c>
      <c r="J84" s="2">
        <f>VLOOKUP(A:A,MASTER!A:J,10,0)</f>
        <v>693</v>
      </c>
      <c r="K84" s="12">
        <f t="shared" si="6"/>
        <v>0.33526011560693636</v>
      </c>
      <c r="L84" s="2">
        <f>VLOOKUP(A:A,MASTER!A:D,4,0)</f>
        <v>6</v>
      </c>
      <c r="M84" s="2">
        <f>VLOOKUP(A:A,MASTER!A:I,9,0)</f>
        <v>8</v>
      </c>
      <c r="N84" s="12">
        <f t="shared" si="7"/>
        <v>0.33333333333333326</v>
      </c>
      <c r="O84" s="1">
        <f>VLOOKUP(A:A,MASTER!A:C,3,0)</f>
        <v>15</v>
      </c>
      <c r="P84" s="1">
        <f>VLOOKUP(A:A,MASTER!A:H,8,0)</f>
        <v>5</v>
      </c>
      <c r="Q84" s="12">
        <f t="shared" si="8"/>
        <v>-0.66666666666666674</v>
      </c>
      <c r="R84" s="1">
        <f>VLOOKUP(A:A,MASTER!A:B,2,0)</f>
        <v>588</v>
      </c>
      <c r="S84">
        <f>VLOOKUP(A:A,MASTER!A:G,7,0)</f>
        <v>651</v>
      </c>
      <c r="T84" s="12">
        <f t="shared" si="9"/>
        <v>0.10714285714285721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8025590.2034085998</v>
      </c>
      <c r="G85" s="1">
        <f>VLOOKUP(A:A,MASTER!A:K,11,0)</f>
        <v>7440026.6354495389</v>
      </c>
      <c r="H85" s="12">
        <f t="shared" si="5"/>
        <v>-7.2962056760680682E-2</v>
      </c>
      <c r="I85" s="2">
        <f>VLOOKUP(A:A,MASTER!A:E,5,0)</f>
        <v>299</v>
      </c>
      <c r="J85" s="2">
        <f>VLOOKUP(A:A,MASTER!A:J,10,0)</f>
        <v>307</v>
      </c>
      <c r="K85" s="12">
        <f t="shared" si="6"/>
        <v>2.6755852842809347E-2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3</v>
      </c>
      <c r="P85" s="1">
        <f>VLOOKUP(A:A,MASTER!A:H,8,0)</f>
        <v>2</v>
      </c>
      <c r="Q85" s="12">
        <f t="shared" si="8"/>
        <v>-0.33333333333333337</v>
      </c>
      <c r="R85" s="1">
        <f>VLOOKUP(A:A,MASTER!A:B,2,0)</f>
        <v>359</v>
      </c>
      <c r="S85">
        <f>VLOOKUP(A:A,MASTER!A:G,7,0)</f>
        <v>359</v>
      </c>
      <c r="T85" s="12">
        <f t="shared" si="9"/>
        <v>0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workbookViewId="0">
      <pane xSplit="1" ySplit="5" topLeftCell="D78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84399</v>
      </c>
      <c r="C3" s="11">
        <f t="shared" si="0"/>
        <v>2067</v>
      </c>
      <c r="D3" s="11">
        <f t="shared" si="0"/>
        <v>310</v>
      </c>
      <c r="E3" s="11">
        <f t="shared" si="0"/>
        <v>70426</v>
      </c>
      <c r="F3" s="11">
        <f t="shared" si="0"/>
        <v>3181260757.260551</v>
      </c>
      <c r="G3" s="11">
        <f t="shared" si="0"/>
        <v>84495</v>
      </c>
      <c r="H3" s="11">
        <f t="shared" si="0"/>
        <v>1746</v>
      </c>
      <c r="I3" s="11">
        <f t="shared" si="0"/>
        <v>318</v>
      </c>
      <c r="J3" s="11">
        <f t="shared" si="0"/>
        <v>69067</v>
      </c>
      <c r="K3" s="11">
        <f t="shared" si="0"/>
        <v>3300171557.3950996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198</v>
      </c>
      <c r="D5" s="8" t="s">
        <v>199</v>
      </c>
      <c r="E5" s="8" t="s">
        <v>200</v>
      </c>
      <c r="F5" s="8" t="s">
        <v>201</v>
      </c>
      <c r="G5" s="8" t="s">
        <v>197</v>
      </c>
      <c r="H5" s="8" t="s">
        <v>198</v>
      </c>
      <c r="I5" s="8" t="s">
        <v>199</v>
      </c>
      <c r="J5" s="8" t="s">
        <v>200</v>
      </c>
      <c r="K5" s="8" t="s">
        <v>201</v>
      </c>
    </row>
    <row r="6" spans="1:11" x14ac:dyDescent="0.35">
      <c r="A6" s="9" t="s">
        <v>117</v>
      </c>
      <c r="B6" s="10">
        <v>414</v>
      </c>
      <c r="C6" s="10">
        <v>3</v>
      </c>
      <c r="D6" s="10">
        <v>2</v>
      </c>
      <c r="E6" s="10">
        <v>312</v>
      </c>
      <c r="F6" s="10">
        <v>14951903.352457</v>
      </c>
      <c r="G6" s="10">
        <v>417</v>
      </c>
      <c r="H6" s="10">
        <v>3</v>
      </c>
      <c r="I6" s="10">
        <v>2</v>
      </c>
      <c r="J6" s="10">
        <v>403</v>
      </c>
      <c r="K6" s="10">
        <v>14917900.520187205</v>
      </c>
    </row>
    <row r="7" spans="1:11" x14ac:dyDescent="0.35">
      <c r="A7" s="9" t="s">
        <v>127</v>
      </c>
      <c r="B7" s="10">
        <v>678</v>
      </c>
      <c r="C7" s="10">
        <v>2</v>
      </c>
      <c r="D7" s="10">
        <v>2</v>
      </c>
      <c r="E7" s="10">
        <v>1193</v>
      </c>
      <c r="F7" s="10">
        <v>18047109.036899108</v>
      </c>
      <c r="G7" s="10">
        <v>625</v>
      </c>
      <c r="H7" s="10">
        <v>6</v>
      </c>
      <c r="I7" s="10">
        <v>2</v>
      </c>
      <c r="J7" s="10">
        <v>565</v>
      </c>
      <c r="K7" s="10">
        <v>17442795.012084626</v>
      </c>
    </row>
    <row r="8" spans="1:11" x14ac:dyDescent="0.35">
      <c r="A8" s="9" t="s">
        <v>119</v>
      </c>
      <c r="B8" s="10">
        <v>689</v>
      </c>
      <c r="C8" s="10">
        <v>8</v>
      </c>
      <c r="D8" s="10">
        <v>2</v>
      </c>
      <c r="E8" s="10">
        <v>860</v>
      </c>
      <c r="F8" s="10">
        <v>22267218.174751002</v>
      </c>
      <c r="G8" s="10">
        <v>777</v>
      </c>
      <c r="H8" s="10">
        <v>10</v>
      </c>
      <c r="I8" s="10">
        <v>1</v>
      </c>
      <c r="J8" s="10">
        <v>763</v>
      </c>
      <c r="K8" s="10">
        <v>25238742.900891054</v>
      </c>
    </row>
    <row r="9" spans="1:11" x14ac:dyDescent="0.35">
      <c r="A9" s="9" t="s">
        <v>121</v>
      </c>
      <c r="B9" s="10">
        <v>1191</v>
      </c>
      <c r="C9" s="10">
        <v>8</v>
      </c>
      <c r="D9" s="10">
        <v>3</v>
      </c>
      <c r="E9" s="10">
        <v>1457</v>
      </c>
      <c r="F9" s="10">
        <v>38037278.997783728</v>
      </c>
      <c r="G9" s="10">
        <v>1216</v>
      </c>
      <c r="H9" s="10">
        <v>9</v>
      </c>
      <c r="I9" s="10">
        <v>3</v>
      </c>
      <c r="J9" s="10">
        <v>1122</v>
      </c>
      <c r="K9" s="10">
        <v>39072462.499094419</v>
      </c>
    </row>
    <row r="10" spans="1:11" x14ac:dyDescent="0.35">
      <c r="A10" s="9" t="s">
        <v>123</v>
      </c>
      <c r="B10" s="10">
        <v>423</v>
      </c>
      <c r="C10" s="10">
        <v>3</v>
      </c>
      <c r="D10" s="10">
        <v>1</v>
      </c>
      <c r="E10" s="10">
        <v>321</v>
      </c>
      <c r="F10" s="10">
        <v>15830680.155176772</v>
      </c>
      <c r="G10" s="10">
        <v>411</v>
      </c>
      <c r="H10" s="10">
        <v>1</v>
      </c>
      <c r="I10" s="10">
        <v>1</v>
      </c>
      <c r="J10" s="10">
        <v>385</v>
      </c>
      <c r="K10" s="10">
        <v>16929716.14046596</v>
      </c>
    </row>
    <row r="11" spans="1:11" x14ac:dyDescent="0.35">
      <c r="A11" s="9" t="s">
        <v>125</v>
      </c>
      <c r="B11" s="10">
        <v>371</v>
      </c>
      <c r="C11" s="10">
        <v>3</v>
      </c>
      <c r="D11" s="10">
        <v>2</v>
      </c>
      <c r="E11" s="10">
        <v>324</v>
      </c>
      <c r="F11" s="10">
        <v>13208824.130166763</v>
      </c>
      <c r="G11" s="10">
        <v>393</v>
      </c>
      <c r="H11" s="10">
        <v>3</v>
      </c>
      <c r="I11" s="10">
        <v>2</v>
      </c>
      <c r="J11" s="10">
        <v>329</v>
      </c>
      <c r="K11" s="10">
        <v>14148259.528787032</v>
      </c>
    </row>
    <row r="12" spans="1:11" x14ac:dyDescent="0.35">
      <c r="A12" s="9" t="s">
        <v>131</v>
      </c>
      <c r="B12" s="10">
        <v>591</v>
      </c>
      <c r="C12" s="10">
        <v>2</v>
      </c>
      <c r="D12" s="10">
        <v>1</v>
      </c>
      <c r="E12" s="10">
        <v>460</v>
      </c>
      <c r="F12" s="10">
        <v>15049479.585371532</v>
      </c>
      <c r="G12" s="10">
        <v>627</v>
      </c>
      <c r="H12" s="10">
        <v>3</v>
      </c>
      <c r="I12" s="10">
        <v>2</v>
      </c>
      <c r="J12" s="10">
        <v>515</v>
      </c>
      <c r="K12" s="10">
        <v>17921273.980282489</v>
      </c>
    </row>
    <row r="13" spans="1:11" x14ac:dyDescent="0.35">
      <c r="A13" s="9" t="s">
        <v>133</v>
      </c>
      <c r="B13" s="10">
        <v>174</v>
      </c>
      <c r="C13" s="10">
        <v>1</v>
      </c>
      <c r="D13" s="10">
        <v>1</v>
      </c>
      <c r="E13" s="10">
        <v>142</v>
      </c>
      <c r="F13" s="10">
        <v>7249710.91573497</v>
      </c>
      <c r="G13" s="10">
        <v>180</v>
      </c>
      <c r="H13" s="10">
        <v>0</v>
      </c>
      <c r="I13" s="10">
        <v>1</v>
      </c>
      <c r="J13" s="10">
        <v>140</v>
      </c>
      <c r="K13" s="10">
        <v>7369289.6027623713</v>
      </c>
    </row>
    <row r="14" spans="1:11" x14ac:dyDescent="0.35">
      <c r="A14" s="9" t="s">
        <v>141</v>
      </c>
      <c r="B14" s="10">
        <v>193</v>
      </c>
      <c r="C14" s="10">
        <v>1</v>
      </c>
      <c r="D14" s="10">
        <v>0</v>
      </c>
      <c r="E14" s="10">
        <v>154</v>
      </c>
      <c r="F14" s="10">
        <v>6728804.5398440929</v>
      </c>
      <c r="G14" s="10">
        <v>202</v>
      </c>
      <c r="H14" s="10">
        <v>1</v>
      </c>
      <c r="I14" s="10">
        <v>1</v>
      </c>
      <c r="J14" s="10">
        <v>225</v>
      </c>
      <c r="K14" s="10">
        <v>4526039.6878608</v>
      </c>
    </row>
    <row r="15" spans="1:11" x14ac:dyDescent="0.35">
      <c r="A15" s="9" t="s">
        <v>135</v>
      </c>
      <c r="B15" s="10">
        <v>331</v>
      </c>
      <c r="C15" s="10">
        <v>1</v>
      </c>
      <c r="D15" s="10">
        <v>1</v>
      </c>
      <c r="E15" s="10">
        <v>321</v>
      </c>
      <c r="F15" s="10">
        <v>10735179.324833753</v>
      </c>
      <c r="G15" s="10">
        <v>392</v>
      </c>
      <c r="H15" s="10">
        <v>3</v>
      </c>
      <c r="I15" s="10">
        <v>1</v>
      </c>
      <c r="J15" s="10">
        <v>360</v>
      </c>
      <c r="K15" s="10">
        <v>14892000.491402712</v>
      </c>
    </row>
    <row r="16" spans="1:11" x14ac:dyDescent="0.35">
      <c r="A16" s="9" t="s">
        <v>143</v>
      </c>
      <c r="B16" s="10">
        <v>213</v>
      </c>
      <c r="C16" s="10">
        <v>0</v>
      </c>
      <c r="D16" s="10">
        <v>1</v>
      </c>
      <c r="E16" s="10">
        <v>251</v>
      </c>
      <c r="F16" s="10">
        <v>5191002.4608562756</v>
      </c>
      <c r="G16" s="10">
        <v>228</v>
      </c>
      <c r="H16" s="10">
        <v>0</v>
      </c>
      <c r="I16" s="10">
        <v>2</v>
      </c>
      <c r="J16" s="10">
        <v>264</v>
      </c>
      <c r="K16" s="10">
        <v>7741147.2939902628</v>
      </c>
    </row>
    <row r="17" spans="1:11" x14ac:dyDescent="0.35">
      <c r="A17" s="9" t="s">
        <v>145</v>
      </c>
      <c r="B17" s="10">
        <v>254</v>
      </c>
      <c r="C17" s="10">
        <v>7</v>
      </c>
      <c r="D17" s="10">
        <v>1</v>
      </c>
      <c r="E17" s="10">
        <v>211</v>
      </c>
      <c r="F17" s="10">
        <v>7100621.9748010579</v>
      </c>
      <c r="G17" s="10">
        <v>247</v>
      </c>
      <c r="H17" s="10">
        <v>3</v>
      </c>
      <c r="I17" s="10">
        <v>1</v>
      </c>
      <c r="J17" s="10">
        <v>234</v>
      </c>
      <c r="K17" s="10">
        <v>8038990.1155283554</v>
      </c>
    </row>
    <row r="18" spans="1:11" x14ac:dyDescent="0.35">
      <c r="A18" s="9" t="s">
        <v>20</v>
      </c>
      <c r="B18" s="10">
        <v>1419</v>
      </c>
      <c r="C18" s="10">
        <v>0</v>
      </c>
      <c r="D18" s="10">
        <v>2</v>
      </c>
      <c r="E18" s="10">
        <v>1194</v>
      </c>
      <c r="F18" s="10">
        <v>18247182.819930792</v>
      </c>
      <c r="G18" s="10">
        <v>1378</v>
      </c>
      <c r="H18" s="10">
        <v>5</v>
      </c>
      <c r="I18" s="10">
        <v>4</v>
      </c>
      <c r="J18" s="10">
        <v>1032</v>
      </c>
      <c r="K18" s="10">
        <v>34829506.004046865</v>
      </c>
    </row>
    <row r="19" spans="1:11" x14ac:dyDescent="0.35">
      <c r="A19" s="9" t="s">
        <v>45</v>
      </c>
      <c r="B19" s="10">
        <v>1262</v>
      </c>
      <c r="C19" s="10">
        <v>2</v>
      </c>
      <c r="D19" s="10">
        <v>2</v>
      </c>
      <c r="E19" s="10">
        <v>976</v>
      </c>
      <c r="F19" s="10">
        <v>42818536.417284623</v>
      </c>
      <c r="G19" s="10">
        <v>1235</v>
      </c>
      <c r="H19" s="10">
        <v>2</v>
      </c>
      <c r="I19" s="10">
        <v>3</v>
      </c>
      <c r="J19" s="10">
        <v>841</v>
      </c>
      <c r="K19" s="10">
        <v>56867748.293998539</v>
      </c>
    </row>
    <row r="20" spans="1:11" x14ac:dyDescent="0.35">
      <c r="A20" s="9" t="s">
        <v>47</v>
      </c>
      <c r="B20" s="10">
        <v>1024</v>
      </c>
      <c r="C20" s="10">
        <v>4</v>
      </c>
      <c r="D20" s="10">
        <v>4</v>
      </c>
      <c r="E20" s="10">
        <v>1040</v>
      </c>
      <c r="F20" s="10">
        <v>30006800.283337731</v>
      </c>
      <c r="G20" s="10">
        <v>1018</v>
      </c>
      <c r="H20" s="10">
        <v>5</v>
      </c>
      <c r="I20" s="10">
        <v>5</v>
      </c>
      <c r="J20" s="10">
        <v>878</v>
      </c>
      <c r="K20" s="10">
        <v>30255910.378636178</v>
      </c>
    </row>
    <row r="21" spans="1:11" x14ac:dyDescent="0.35">
      <c r="A21" s="9" t="s">
        <v>49</v>
      </c>
      <c r="B21" s="10">
        <v>952</v>
      </c>
      <c r="C21" s="10">
        <v>1</v>
      </c>
      <c r="D21" s="10">
        <v>3</v>
      </c>
      <c r="E21" s="10">
        <v>666</v>
      </c>
      <c r="F21" s="10">
        <v>28268248.559507672</v>
      </c>
      <c r="G21" s="10">
        <v>918</v>
      </c>
      <c r="H21" s="10">
        <v>4</v>
      </c>
      <c r="I21" s="10">
        <v>3</v>
      </c>
      <c r="J21" s="10">
        <v>659</v>
      </c>
      <c r="K21" s="10">
        <v>25029632.531552076</v>
      </c>
    </row>
    <row r="22" spans="1:11" x14ac:dyDescent="0.35">
      <c r="A22" s="9" t="s">
        <v>51</v>
      </c>
      <c r="B22" s="10">
        <v>3159</v>
      </c>
      <c r="C22" s="10">
        <v>695</v>
      </c>
      <c r="D22" s="10">
        <v>11</v>
      </c>
      <c r="E22" s="10">
        <v>2480</v>
      </c>
      <c r="F22" s="10">
        <v>104117051.10477778</v>
      </c>
      <c r="G22" s="10">
        <v>2782</v>
      </c>
      <c r="H22" s="10">
        <v>187</v>
      </c>
      <c r="I22" s="10">
        <v>10</v>
      </c>
      <c r="J22" s="10">
        <v>2242</v>
      </c>
      <c r="K22" s="10">
        <v>109390065.15594928</v>
      </c>
    </row>
    <row r="23" spans="1:11" x14ac:dyDescent="0.35">
      <c r="A23" s="9" t="s">
        <v>53</v>
      </c>
      <c r="B23" s="10">
        <v>1434</v>
      </c>
      <c r="C23" s="10">
        <v>2</v>
      </c>
      <c r="D23" s="10">
        <v>2</v>
      </c>
      <c r="E23" s="10">
        <v>1171</v>
      </c>
      <c r="F23" s="10">
        <v>55037135.637395509</v>
      </c>
      <c r="G23" s="10">
        <v>1380</v>
      </c>
      <c r="H23" s="10">
        <v>8</v>
      </c>
      <c r="I23" s="10">
        <v>2</v>
      </c>
      <c r="J23" s="10">
        <v>1203</v>
      </c>
      <c r="K23" s="10">
        <v>37942537.595623389</v>
      </c>
    </row>
    <row r="24" spans="1:11" x14ac:dyDescent="0.35">
      <c r="A24" s="9" t="s">
        <v>55</v>
      </c>
      <c r="B24" s="10">
        <v>3002</v>
      </c>
      <c r="C24" s="10">
        <v>21</v>
      </c>
      <c r="D24" s="10">
        <v>11</v>
      </c>
      <c r="E24" s="10">
        <v>2220</v>
      </c>
      <c r="F24" s="10">
        <v>111145086.15534</v>
      </c>
      <c r="G24" s="10">
        <v>2930</v>
      </c>
      <c r="H24" s="10">
        <v>21</v>
      </c>
      <c r="I24" s="10">
        <v>10</v>
      </c>
      <c r="J24" s="10">
        <v>2018</v>
      </c>
      <c r="K24" s="10">
        <v>111493327.89559795</v>
      </c>
    </row>
    <row r="25" spans="1:11" x14ac:dyDescent="0.35">
      <c r="A25" s="9" t="s">
        <v>67</v>
      </c>
      <c r="B25" s="10">
        <v>543</v>
      </c>
      <c r="C25" s="10">
        <v>6</v>
      </c>
      <c r="D25" s="10">
        <v>1</v>
      </c>
      <c r="E25" s="10">
        <v>466</v>
      </c>
      <c r="F25" s="10">
        <v>15827558.639347089</v>
      </c>
      <c r="G25" s="10">
        <v>539</v>
      </c>
      <c r="H25" s="10">
        <v>6</v>
      </c>
      <c r="I25" s="10">
        <v>1</v>
      </c>
      <c r="J25" s="10">
        <v>459</v>
      </c>
      <c r="K25" s="10">
        <v>16723491.22569038</v>
      </c>
    </row>
    <row r="26" spans="1:11" x14ac:dyDescent="0.35">
      <c r="A26" s="9" t="s">
        <v>74</v>
      </c>
      <c r="B26" s="10">
        <v>1743</v>
      </c>
      <c r="C26" s="10">
        <v>22</v>
      </c>
      <c r="D26" s="10">
        <v>1</v>
      </c>
      <c r="E26" s="10">
        <v>1325</v>
      </c>
      <c r="F26" s="10">
        <v>44384128.087760858</v>
      </c>
      <c r="G26" s="10">
        <v>1684</v>
      </c>
      <c r="H26" s="10">
        <v>21</v>
      </c>
      <c r="I26" s="10">
        <v>2</v>
      </c>
      <c r="J26" s="10">
        <v>1344</v>
      </c>
      <c r="K26" s="10">
        <v>46771900.003547184</v>
      </c>
    </row>
    <row r="27" spans="1:11" x14ac:dyDescent="0.35">
      <c r="A27" s="9" t="s">
        <v>70</v>
      </c>
      <c r="B27" s="10">
        <v>868</v>
      </c>
      <c r="C27" s="10">
        <v>12</v>
      </c>
      <c r="D27" s="10">
        <v>1</v>
      </c>
      <c r="E27" s="10">
        <v>749</v>
      </c>
      <c r="F27" s="10">
        <v>19610000.749189828</v>
      </c>
      <c r="G27" s="10">
        <v>871</v>
      </c>
      <c r="H27" s="10">
        <v>13</v>
      </c>
      <c r="I27" s="10">
        <v>1</v>
      </c>
      <c r="J27" s="10">
        <v>837</v>
      </c>
      <c r="K27" s="10">
        <v>19839840.108317044</v>
      </c>
    </row>
    <row r="28" spans="1:11" x14ac:dyDescent="0.35">
      <c r="A28" s="9" t="s">
        <v>72</v>
      </c>
      <c r="B28" s="10">
        <v>889</v>
      </c>
      <c r="C28" s="10">
        <v>5</v>
      </c>
      <c r="D28" s="10">
        <v>1</v>
      </c>
      <c r="E28" s="10">
        <v>866</v>
      </c>
      <c r="F28" s="10">
        <v>22176101.292153176</v>
      </c>
      <c r="G28" s="10">
        <v>873</v>
      </c>
      <c r="H28" s="10">
        <v>6</v>
      </c>
      <c r="I28" s="10">
        <v>1</v>
      </c>
      <c r="J28" s="10">
        <v>710</v>
      </c>
      <c r="K28" s="10">
        <v>23440716.256520767</v>
      </c>
    </row>
    <row r="29" spans="1:11" x14ac:dyDescent="0.35">
      <c r="A29" s="9" t="s">
        <v>79</v>
      </c>
      <c r="B29" s="10">
        <v>235</v>
      </c>
      <c r="C29" s="10">
        <v>1</v>
      </c>
      <c r="D29" s="10">
        <v>0</v>
      </c>
      <c r="E29" s="10">
        <v>196</v>
      </c>
      <c r="F29" s="10">
        <v>6619221.7997575877</v>
      </c>
      <c r="G29" s="10">
        <v>231</v>
      </c>
      <c r="H29" s="10">
        <v>1</v>
      </c>
      <c r="I29" s="10">
        <v>1</v>
      </c>
      <c r="J29" s="10">
        <v>181</v>
      </c>
      <c r="K29" s="10">
        <v>5691865.8715327857</v>
      </c>
    </row>
    <row r="30" spans="1:11" x14ac:dyDescent="0.35">
      <c r="A30" s="9" t="s">
        <v>109</v>
      </c>
      <c r="B30" s="10">
        <v>1660</v>
      </c>
      <c r="C30" s="10">
        <v>5</v>
      </c>
      <c r="D30" s="10">
        <v>5</v>
      </c>
      <c r="E30" s="10">
        <v>1306</v>
      </c>
      <c r="F30" s="10">
        <v>47805891.078372709</v>
      </c>
      <c r="G30" s="10">
        <v>1632</v>
      </c>
      <c r="H30" s="10">
        <v>12</v>
      </c>
      <c r="I30" s="10">
        <v>5</v>
      </c>
      <c r="J30" s="10">
        <v>1311</v>
      </c>
      <c r="K30" s="10">
        <v>44573085.392273486</v>
      </c>
    </row>
    <row r="31" spans="1:11" x14ac:dyDescent="0.35">
      <c r="A31" s="9" t="s">
        <v>111</v>
      </c>
      <c r="B31" s="10">
        <v>861</v>
      </c>
      <c r="C31" s="10">
        <v>6</v>
      </c>
      <c r="D31" s="10">
        <v>1</v>
      </c>
      <c r="E31" s="10">
        <v>614</v>
      </c>
      <c r="F31" s="10">
        <v>34419089.876729511</v>
      </c>
      <c r="G31" s="10">
        <v>893</v>
      </c>
      <c r="H31" s="10">
        <v>6</v>
      </c>
      <c r="I31" s="10">
        <v>1</v>
      </c>
      <c r="J31" s="10">
        <v>644</v>
      </c>
      <c r="K31" s="10">
        <v>37901298.32547728</v>
      </c>
    </row>
    <row r="32" spans="1:11" x14ac:dyDescent="0.35">
      <c r="A32" s="9" t="s">
        <v>113</v>
      </c>
      <c r="B32" s="10">
        <v>1113</v>
      </c>
      <c r="C32" s="10">
        <v>2</v>
      </c>
      <c r="D32" s="10">
        <v>1</v>
      </c>
      <c r="E32" s="10">
        <v>719</v>
      </c>
      <c r="F32" s="10">
        <v>37489166.636680007</v>
      </c>
      <c r="G32" s="10">
        <v>1043</v>
      </c>
      <c r="H32" s="10">
        <v>3</v>
      </c>
      <c r="I32" s="10">
        <v>2</v>
      </c>
      <c r="J32" s="10">
        <v>773</v>
      </c>
      <c r="K32" s="10">
        <v>35286579.540378571</v>
      </c>
    </row>
    <row r="33" spans="1:11" x14ac:dyDescent="0.35">
      <c r="A33" s="9" t="s">
        <v>115</v>
      </c>
      <c r="B33" s="10">
        <v>1139</v>
      </c>
      <c r="C33" s="10">
        <v>3</v>
      </c>
      <c r="D33" s="10">
        <v>2</v>
      </c>
      <c r="E33" s="10">
        <v>957</v>
      </c>
      <c r="F33" s="10">
        <v>48126850.760588095</v>
      </c>
      <c r="G33" s="10">
        <v>1133</v>
      </c>
      <c r="H33" s="10">
        <v>4</v>
      </c>
      <c r="I33" s="10">
        <v>2</v>
      </c>
      <c r="J33" s="10">
        <v>852</v>
      </c>
      <c r="K33" s="10">
        <v>49745848.401425876</v>
      </c>
    </row>
    <row r="34" spans="1:11" x14ac:dyDescent="0.35">
      <c r="A34" s="9" t="s">
        <v>16</v>
      </c>
      <c r="B34" s="10">
        <v>1511</v>
      </c>
      <c r="C34" s="10">
        <v>3</v>
      </c>
      <c r="D34" s="10">
        <v>5</v>
      </c>
      <c r="E34" s="10">
        <v>1169</v>
      </c>
      <c r="F34" s="10">
        <v>69944254.385256693</v>
      </c>
      <c r="G34" s="10">
        <v>1460</v>
      </c>
      <c r="H34" s="10">
        <v>5</v>
      </c>
      <c r="I34" s="10">
        <v>4</v>
      </c>
      <c r="J34" s="10">
        <v>1075</v>
      </c>
      <c r="K34" s="10">
        <v>65025021.197125047</v>
      </c>
    </row>
    <row r="35" spans="1:11" x14ac:dyDescent="0.35">
      <c r="A35" s="9" t="s">
        <v>18</v>
      </c>
      <c r="B35" s="10">
        <v>706</v>
      </c>
      <c r="C35" s="10">
        <v>3</v>
      </c>
      <c r="D35" s="10">
        <v>3</v>
      </c>
      <c r="E35" s="10">
        <v>616</v>
      </c>
      <c r="F35" s="10">
        <v>27065632.328704305</v>
      </c>
      <c r="G35" s="10">
        <v>696</v>
      </c>
      <c r="H35" s="10">
        <v>1</v>
      </c>
      <c r="I35" s="10">
        <v>5</v>
      </c>
      <c r="J35" s="10">
        <v>565</v>
      </c>
      <c r="K35" s="10">
        <v>28957848.304003179</v>
      </c>
    </row>
    <row r="36" spans="1:11" x14ac:dyDescent="0.35">
      <c r="A36" s="9" t="s">
        <v>43</v>
      </c>
      <c r="B36" s="10">
        <v>1966</v>
      </c>
      <c r="C36" s="10">
        <v>17</v>
      </c>
      <c r="D36" s="10">
        <v>11</v>
      </c>
      <c r="E36" s="10">
        <v>1673</v>
      </c>
      <c r="F36" s="10">
        <v>82679040.442847073</v>
      </c>
      <c r="G36" s="10">
        <v>1913</v>
      </c>
      <c r="H36" s="10">
        <v>11</v>
      </c>
      <c r="I36" s="10">
        <v>9</v>
      </c>
      <c r="J36" s="10">
        <v>1546</v>
      </c>
      <c r="K36" s="10">
        <v>73399355.868094996</v>
      </c>
    </row>
    <row r="37" spans="1:11" x14ac:dyDescent="0.35">
      <c r="A37" s="9" t="s">
        <v>152</v>
      </c>
      <c r="B37" s="10">
        <v>837</v>
      </c>
      <c r="C37" s="10">
        <v>2</v>
      </c>
      <c r="D37" s="10">
        <v>2</v>
      </c>
      <c r="E37" s="10">
        <v>681</v>
      </c>
      <c r="F37" s="10">
        <v>27942854.094042953</v>
      </c>
      <c r="G37" s="10">
        <v>863</v>
      </c>
      <c r="H37" s="10">
        <v>4</v>
      </c>
      <c r="I37" s="10">
        <v>2</v>
      </c>
      <c r="J37" s="10">
        <v>683</v>
      </c>
      <c r="K37" s="10">
        <v>28649162.009916212</v>
      </c>
    </row>
    <row r="38" spans="1:11" x14ac:dyDescent="0.35">
      <c r="A38" s="9" t="s">
        <v>149</v>
      </c>
      <c r="B38" s="10">
        <v>701</v>
      </c>
      <c r="C38" s="10">
        <v>5</v>
      </c>
      <c r="D38" s="10">
        <v>1</v>
      </c>
      <c r="E38" s="10">
        <v>611</v>
      </c>
      <c r="F38" s="10">
        <v>24382342.717357367</v>
      </c>
      <c r="G38" s="10">
        <v>758</v>
      </c>
      <c r="H38" s="10">
        <v>3</v>
      </c>
      <c r="I38" s="10">
        <v>1</v>
      </c>
      <c r="J38" s="10">
        <v>563</v>
      </c>
      <c r="K38" s="10">
        <v>26618063.436557576</v>
      </c>
    </row>
    <row r="39" spans="1:11" x14ac:dyDescent="0.35">
      <c r="A39" s="9" t="s">
        <v>154</v>
      </c>
      <c r="B39" s="10">
        <v>1132</v>
      </c>
      <c r="C39" s="10">
        <v>20</v>
      </c>
      <c r="D39" s="10">
        <v>2</v>
      </c>
      <c r="E39" s="10">
        <v>877</v>
      </c>
      <c r="F39" s="10">
        <v>41664833.827334769</v>
      </c>
      <c r="G39" s="10">
        <v>1145</v>
      </c>
      <c r="H39" s="10">
        <v>21</v>
      </c>
      <c r="I39" s="10">
        <v>1</v>
      </c>
      <c r="J39" s="10">
        <v>862</v>
      </c>
      <c r="K39" s="10">
        <v>41488710.360909678</v>
      </c>
    </row>
    <row r="40" spans="1:11" x14ac:dyDescent="0.35">
      <c r="A40" s="9" t="s">
        <v>2</v>
      </c>
      <c r="B40" s="10">
        <v>1222</v>
      </c>
      <c r="C40" s="10">
        <v>178</v>
      </c>
      <c r="D40" s="10">
        <v>1</v>
      </c>
      <c r="E40" s="10">
        <v>1053</v>
      </c>
      <c r="F40" s="10">
        <v>40069012.061003245</v>
      </c>
      <c r="G40" s="10">
        <v>1381</v>
      </c>
      <c r="H40" s="10">
        <v>319</v>
      </c>
      <c r="I40" s="10">
        <v>1</v>
      </c>
      <c r="J40" s="10">
        <v>773</v>
      </c>
      <c r="K40" s="10">
        <v>39330847.887126535</v>
      </c>
    </row>
    <row r="41" spans="1:11" x14ac:dyDescent="0.35">
      <c r="A41" s="9" t="s">
        <v>156</v>
      </c>
      <c r="B41" s="10">
        <v>2037</v>
      </c>
      <c r="C41" s="10">
        <v>319</v>
      </c>
      <c r="D41" s="10">
        <v>4</v>
      </c>
      <c r="E41" s="10">
        <v>1584</v>
      </c>
      <c r="F41" s="10">
        <v>63251308.881472141</v>
      </c>
      <c r="G41" s="10">
        <v>2239</v>
      </c>
      <c r="H41" s="10">
        <v>138</v>
      </c>
      <c r="I41" s="10">
        <v>5</v>
      </c>
      <c r="J41" s="10">
        <v>1480</v>
      </c>
      <c r="K41" s="10">
        <v>69768551.007029846</v>
      </c>
    </row>
    <row r="42" spans="1:11" x14ac:dyDescent="0.35">
      <c r="A42" s="9" t="s">
        <v>14</v>
      </c>
      <c r="B42" s="10">
        <v>597</v>
      </c>
      <c r="C42" s="10">
        <v>2</v>
      </c>
      <c r="D42" s="10">
        <v>5</v>
      </c>
      <c r="E42" s="10">
        <v>445</v>
      </c>
      <c r="F42" s="10">
        <v>20000690.554399081</v>
      </c>
      <c r="G42" s="10">
        <v>615</v>
      </c>
      <c r="H42" s="10">
        <v>1</v>
      </c>
      <c r="I42" s="10">
        <v>6</v>
      </c>
      <c r="J42" s="10">
        <v>425</v>
      </c>
      <c r="K42" s="10">
        <v>25038801.336844828</v>
      </c>
    </row>
    <row r="43" spans="1:11" x14ac:dyDescent="0.35">
      <c r="A43" s="9" t="s">
        <v>8</v>
      </c>
      <c r="B43" s="10">
        <v>2057</v>
      </c>
      <c r="C43" s="10">
        <v>14</v>
      </c>
      <c r="D43" s="10">
        <v>5</v>
      </c>
      <c r="E43" s="10">
        <v>1493</v>
      </c>
      <c r="F43" s="10">
        <v>74776787.007684439</v>
      </c>
      <c r="G43" s="10">
        <v>2068</v>
      </c>
      <c r="H43" s="10">
        <v>8</v>
      </c>
      <c r="I43" s="10">
        <v>5</v>
      </c>
      <c r="J43" s="10">
        <v>1773</v>
      </c>
      <c r="K43" s="10">
        <v>81469803.580704838</v>
      </c>
    </row>
    <row r="44" spans="1:11" x14ac:dyDescent="0.35">
      <c r="A44" s="9" t="s">
        <v>39</v>
      </c>
      <c r="B44" s="10">
        <v>884</v>
      </c>
      <c r="C44" s="10">
        <v>8</v>
      </c>
      <c r="D44" s="10">
        <v>4</v>
      </c>
      <c r="E44" s="10">
        <v>808</v>
      </c>
      <c r="F44" s="10">
        <v>52114344.015465513</v>
      </c>
      <c r="G44" s="10">
        <v>895</v>
      </c>
      <c r="H44" s="10">
        <v>11</v>
      </c>
      <c r="I44" s="10">
        <v>4</v>
      </c>
      <c r="J44" s="10">
        <v>799</v>
      </c>
      <c r="K44" s="10">
        <v>56241105.988752998</v>
      </c>
    </row>
    <row r="45" spans="1:11" x14ac:dyDescent="0.35">
      <c r="A45" s="9" t="s">
        <v>6</v>
      </c>
      <c r="B45" s="10">
        <v>1090</v>
      </c>
      <c r="C45" s="10">
        <v>3</v>
      </c>
      <c r="D45" s="10">
        <v>3</v>
      </c>
      <c r="E45" s="10">
        <v>939</v>
      </c>
      <c r="F45" s="10">
        <v>42524540.874819472</v>
      </c>
      <c r="G45" s="10">
        <v>1095</v>
      </c>
      <c r="H45" s="10">
        <v>8</v>
      </c>
      <c r="I45" s="10">
        <v>3</v>
      </c>
      <c r="J45" s="10">
        <v>1033</v>
      </c>
      <c r="K45" s="10">
        <v>34186724.310803838</v>
      </c>
    </row>
    <row r="46" spans="1:11" x14ac:dyDescent="0.35">
      <c r="A46" s="9" t="s">
        <v>41</v>
      </c>
      <c r="B46" s="10">
        <v>862</v>
      </c>
      <c r="C46" s="10">
        <v>0</v>
      </c>
      <c r="D46" s="10">
        <v>5</v>
      </c>
      <c r="E46" s="10">
        <v>611</v>
      </c>
      <c r="F46" s="10">
        <v>41599625.949381828</v>
      </c>
      <c r="G46" s="10">
        <v>830</v>
      </c>
      <c r="H46" s="10">
        <v>6</v>
      </c>
      <c r="I46" s="10">
        <v>4</v>
      </c>
      <c r="J46" s="10">
        <v>592</v>
      </c>
      <c r="K46" s="10">
        <v>42084272.707426406</v>
      </c>
    </row>
    <row r="47" spans="1:11" x14ac:dyDescent="0.35">
      <c r="A47" s="9" t="s">
        <v>158</v>
      </c>
      <c r="B47" s="10">
        <v>662</v>
      </c>
      <c r="C47" s="10">
        <v>3</v>
      </c>
      <c r="D47" s="10">
        <v>10</v>
      </c>
      <c r="E47" s="10">
        <v>571</v>
      </c>
      <c r="F47" s="10">
        <v>25964960.437438488</v>
      </c>
      <c r="G47" s="10">
        <v>696</v>
      </c>
      <c r="H47" s="10">
        <v>3</v>
      </c>
      <c r="I47" s="10">
        <v>10</v>
      </c>
      <c r="J47" s="10">
        <v>558</v>
      </c>
      <c r="K47" s="10">
        <v>26447682.701671753</v>
      </c>
    </row>
    <row r="48" spans="1:11" x14ac:dyDescent="0.35">
      <c r="A48" s="9" t="s">
        <v>160</v>
      </c>
      <c r="B48" s="10">
        <v>707</v>
      </c>
      <c r="C48" s="10">
        <v>2</v>
      </c>
      <c r="D48" s="10">
        <v>1</v>
      </c>
      <c r="E48" s="10">
        <v>704</v>
      </c>
      <c r="F48" s="10">
        <v>25432067.534584835</v>
      </c>
      <c r="G48" s="10">
        <v>695</v>
      </c>
      <c r="H48" s="10">
        <v>2</v>
      </c>
      <c r="I48" s="10">
        <v>1</v>
      </c>
      <c r="J48" s="10">
        <v>736</v>
      </c>
      <c r="K48" s="10">
        <v>22820407.091412712</v>
      </c>
    </row>
    <row r="49" spans="1:11" x14ac:dyDescent="0.35">
      <c r="A49" s="9" t="s">
        <v>83</v>
      </c>
      <c r="B49" s="10">
        <v>1255</v>
      </c>
      <c r="C49" s="10">
        <v>12</v>
      </c>
      <c r="D49" s="10">
        <v>5</v>
      </c>
      <c r="E49" s="10">
        <v>1065</v>
      </c>
      <c r="F49" s="10">
        <v>78462635.591838598</v>
      </c>
      <c r="G49" s="10">
        <v>1272</v>
      </c>
      <c r="H49" s="10">
        <v>8</v>
      </c>
      <c r="I49" s="10">
        <v>5</v>
      </c>
      <c r="J49" s="10">
        <v>1047</v>
      </c>
      <c r="K49" s="10">
        <v>76478187.124174789</v>
      </c>
    </row>
    <row r="50" spans="1:11" x14ac:dyDescent="0.35">
      <c r="A50" s="9" t="s">
        <v>202</v>
      </c>
      <c r="B50" s="10">
        <v>446</v>
      </c>
      <c r="C50" s="10">
        <v>3</v>
      </c>
      <c r="D50" s="10">
        <v>2</v>
      </c>
      <c r="E50" s="10">
        <v>464</v>
      </c>
      <c r="F50" s="10">
        <v>14559214.991780283</v>
      </c>
      <c r="G50" s="10">
        <v>443</v>
      </c>
      <c r="H50" s="10">
        <v>1</v>
      </c>
      <c r="I50" s="10">
        <v>1</v>
      </c>
      <c r="J50" s="10">
        <v>478</v>
      </c>
      <c r="K50" s="10">
        <v>12202333.097317915</v>
      </c>
    </row>
    <row r="51" spans="1:11" x14ac:dyDescent="0.35">
      <c r="A51" s="9" t="s">
        <v>31</v>
      </c>
      <c r="B51" s="10">
        <v>884</v>
      </c>
      <c r="C51" s="10">
        <v>3</v>
      </c>
      <c r="D51" s="10">
        <v>5</v>
      </c>
      <c r="E51" s="10">
        <v>899</v>
      </c>
      <c r="F51" s="10">
        <v>35579113.971366122</v>
      </c>
      <c r="G51" s="10">
        <v>921</v>
      </c>
      <c r="H51" s="10">
        <v>4</v>
      </c>
      <c r="I51" s="10">
        <v>6</v>
      </c>
      <c r="J51" s="10">
        <v>978</v>
      </c>
      <c r="K51" s="10">
        <v>34895386.41190619</v>
      </c>
    </row>
    <row r="52" spans="1:11" x14ac:dyDescent="0.35">
      <c r="A52" s="9" t="s">
        <v>33</v>
      </c>
      <c r="B52" s="10">
        <v>1312</v>
      </c>
      <c r="C52" s="10">
        <v>18</v>
      </c>
      <c r="D52" s="10">
        <v>12</v>
      </c>
      <c r="E52" s="10">
        <v>1054</v>
      </c>
      <c r="F52" s="10">
        <v>54468420.257704072</v>
      </c>
      <c r="G52" s="10">
        <v>1342</v>
      </c>
      <c r="H52" s="10">
        <v>6</v>
      </c>
      <c r="I52" s="10">
        <v>12</v>
      </c>
      <c r="J52" s="10">
        <v>1011</v>
      </c>
      <c r="K52" s="10">
        <v>61807284.834691882</v>
      </c>
    </row>
    <row r="53" spans="1:11" x14ac:dyDescent="0.35">
      <c r="A53" s="9" t="s">
        <v>85</v>
      </c>
      <c r="B53" s="10">
        <v>481</v>
      </c>
      <c r="C53" s="10">
        <v>9</v>
      </c>
      <c r="D53" s="10">
        <v>5</v>
      </c>
      <c r="E53" s="10">
        <v>359</v>
      </c>
      <c r="F53" s="10">
        <v>28308428.963846929</v>
      </c>
      <c r="G53" s="10">
        <v>488</v>
      </c>
      <c r="H53" s="10">
        <v>4</v>
      </c>
      <c r="I53" s="10">
        <v>6</v>
      </c>
      <c r="J53" s="10">
        <v>361</v>
      </c>
      <c r="K53" s="10">
        <v>31476032.670507152</v>
      </c>
    </row>
    <row r="54" spans="1:11" x14ac:dyDescent="0.35">
      <c r="A54" s="9" t="s">
        <v>81</v>
      </c>
      <c r="B54" s="10">
        <v>446</v>
      </c>
      <c r="C54" s="10">
        <v>2</v>
      </c>
      <c r="D54" s="10">
        <v>6</v>
      </c>
      <c r="E54" s="10">
        <v>323</v>
      </c>
      <c r="F54" s="10">
        <v>26839074.205190185</v>
      </c>
      <c r="G54" s="10">
        <v>455</v>
      </c>
      <c r="H54" s="10">
        <v>4</v>
      </c>
      <c r="I54" s="10">
        <v>4</v>
      </c>
      <c r="J54" s="10">
        <v>344</v>
      </c>
      <c r="K54" s="10">
        <v>23385888.369321264</v>
      </c>
    </row>
    <row r="55" spans="1:11" x14ac:dyDescent="0.35">
      <c r="A55" s="9" t="s">
        <v>87</v>
      </c>
      <c r="B55" s="10">
        <v>425</v>
      </c>
      <c r="C55" s="10">
        <v>11</v>
      </c>
      <c r="D55" s="10">
        <v>2</v>
      </c>
      <c r="E55" s="10">
        <v>348</v>
      </c>
      <c r="F55" s="10">
        <v>22196440.391861621</v>
      </c>
      <c r="G55" s="10">
        <v>418</v>
      </c>
      <c r="H55" s="10">
        <v>2</v>
      </c>
      <c r="I55" s="10">
        <v>3</v>
      </c>
      <c r="J55" s="10">
        <v>343</v>
      </c>
      <c r="K55" s="10">
        <v>20388792.171988007</v>
      </c>
    </row>
    <row r="56" spans="1:11" x14ac:dyDescent="0.35">
      <c r="A56" s="9" t="s">
        <v>166</v>
      </c>
      <c r="B56" s="10">
        <v>1132</v>
      </c>
      <c r="C56" s="10">
        <v>7</v>
      </c>
      <c r="D56" s="10">
        <v>1</v>
      </c>
      <c r="E56" s="10">
        <v>1013</v>
      </c>
      <c r="F56" s="10">
        <v>48594951.621458799</v>
      </c>
      <c r="G56" s="10">
        <v>1096</v>
      </c>
      <c r="H56" s="10">
        <v>7</v>
      </c>
      <c r="I56" s="10">
        <v>1</v>
      </c>
      <c r="J56" s="10">
        <v>921</v>
      </c>
      <c r="K56" s="10">
        <v>47345469.912262909</v>
      </c>
    </row>
    <row r="57" spans="1:11" x14ac:dyDescent="0.35">
      <c r="A57" s="9" t="s">
        <v>93</v>
      </c>
      <c r="B57" s="10">
        <v>981</v>
      </c>
      <c r="C57" s="10">
        <v>14</v>
      </c>
      <c r="D57" s="10">
        <v>2</v>
      </c>
      <c r="E57" s="10">
        <v>835</v>
      </c>
      <c r="F57" s="10">
        <v>51067659.950123951</v>
      </c>
      <c r="G57" s="10">
        <v>1003</v>
      </c>
      <c r="H57" s="10">
        <v>7</v>
      </c>
      <c r="I57" s="10">
        <v>1</v>
      </c>
      <c r="J57" s="10">
        <v>33</v>
      </c>
      <c r="K57" s="10">
        <v>47472560.976803377</v>
      </c>
    </row>
    <row r="58" spans="1:11" x14ac:dyDescent="0.35">
      <c r="A58" s="9" t="s">
        <v>95</v>
      </c>
      <c r="B58" s="10">
        <v>2060</v>
      </c>
      <c r="C58" s="10">
        <v>39</v>
      </c>
      <c r="D58" s="10">
        <v>7</v>
      </c>
      <c r="E58" s="10">
        <v>1494</v>
      </c>
      <c r="F58" s="10">
        <v>74472372.609095588</v>
      </c>
      <c r="G58" s="10">
        <v>2048</v>
      </c>
      <c r="H58" s="10">
        <v>13</v>
      </c>
      <c r="I58" s="10">
        <v>8</v>
      </c>
      <c r="J58" s="10">
        <v>2427</v>
      </c>
      <c r="K58" s="10">
        <v>90709445.310644403</v>
      </c>
    </row>
    <row r="59" spans="1:11" x14ac:dyDescent="0.35">
      <c r="A59" s="9" t="s">
        <v>174</v>
      </c>
      <c r="B59" s="10">
        <v>687</v>
      </c>
      <c r="C59" s="10">
        <v>3</v>
      </c>
      <c r="D59" s="10">
        <v>0</v>
      </c>
      <c r="E59" s="10">
        <v>538</v>
      </c>
      <c r="F59" s="10">
        <v>23309269.999487523</v>
      </c>
      <c r="G59" s="10">
        <v>689</v>
      </c>
      <c r="H59" s="10">
        <v>5</v>
      </c>
      <c r="I59" s="10">
        <v>0</v>
      </c>
      <c r="J59" s="10">
        <v>656</v>
      </c>
      <c r="K59" s="10">
        <v>22487753.386745226</v>
      </c>
    </row>
    <row r="60" spans="1:11" x14ac:dyDescent="0.35">
      <c r="A60" s="9" t="s">
        <v>99</v>
      </c>
      <c r="B60" s="10">
        <v>899</v>
      </c>
      <c r="C60" s="10">
        <v>10</v>
      </c>
      <c r="D60" s="10">
        <v>5</v>
      </c>
      <c r="E60" s="10">
        <v>748</v>
      </c>
      <c r="F60" s="10">
        <v>37219215.474683769</v>
      </c>
      <c r="G60" s="10">
        <v>874</v>
      </c>
      <c r="H60" s="10">
        <v>9</v>
      </c>
      <c r="I60" s="10">
        <v>5</v>
      </c>
      <c r="J60" s="10">
        <v>745</v>
      </c>
      <c r="K60" s="10">
        <v>39238038.12597771</v>
      </c>
    </row>
    <row r="61" spans="1:11" x14ac:dyDescent="0.35">
      <c r="A61" s="9" t="s">
        <v>172</v>
      </c>
      <c r="B61" s="10">
        <v>776</v>
      </c>
      <c r="C61" s="10">
        <v>3</v>
      </c>
      <c r="D61" s="10">
        <v>1</v>
      </c>
      <c r="E61" s="10">
        <v>597</v>
      </c>
      <c r="F61" s="10">
        <v>28063783.595907077</v>
      </c>
      <c r="G61" s="10">
        <v>710</v>
      </c>
      <c r="H61" s="10">
        <v>4</v>
      </c>
      <c r="I61" s="10">
        <v>1</v>
      </c>
      <c r="J61" s="10">
        <v>633</v>
      </c>
      <c r="K61" s="10">
        <v>24519664.369802415</v>
      </c>
    </row>
    <row r="62" spans="1:11" x14ac:dyDescent="0.35">
      <c r="A62" s="9" t="s">
        <v>168</v>
      </c>
      <c r="B62" s="10">
        <v>1091</v>
      </c>
      <c r="C62" s="10">
        <v>8</v>
      </c>
      <c r="D62" s="10">
        <v>1</v>
      </c>
      <c r="E62" s="10">
        <v>1000</v>
      </c>
      <c r="F62" s="10">
        <v>48530884.294451118</v>
      </c>
      <c r="G62" s="10">
        <v>1084</v>
      </c>
      <c r="H62" s="10">
        <v>7</v>
      </c>
      <c r="I62" s="10">
        <v>0</v>
      </c>
      <c r="J62" s="10">
        <v>924</v>
      </c>
      <c r="K62" s="10">
        <v>49941745.883575745</v>
      </c>
    </row>
    <row r="63" spans="1:11" x14ac:dyDescent="0.35">
      <c r="A63" s="9" t="s">
        <v>101</v>
      </c>
      <c r="B63" s="10">
        <v>1376</v>
      </c>
      <c r="C63" s="10">
        <v>14</v>
      </c>
      <c r="D63" s="10">
        <v>4</v>
      </c>
      <c r="E63" s="10">
        <v>1406</v>
      </c>
      <c r="F63" s="10">
        <v>62725901.616654113</v>
      </c>
      <c r="G63" s="10">
        <v>1527</v>
      </c>
      <c r="H63" s="10">
        <v>11</v>
      </c>
      <c r="I63" s="10">
        <v>4</v>
      </c>
      <c r="J63" s="10">
        <v>1469</v>
      </c>
      <c r="K63" s="10">
        <v>63219073.858276233</v>
      </c>
    </row>
    <row r="64" spans="1:11" x14ac:dyDescent="0.35">
      <c r="A64" s="9" t="s">
        <v>103</v>
      </c>
      <c r="B64" s="10">
        <v>775</v>
      </c>
      <c r="C64" s="10">
        <v>6</v>
      </c>
      <c r="D64" s="10">
        <v>5</v>
      </c>
      <c r="E64" s="10">
        <v>744</v>
      </c>
      <c r="F64" s="10">
        <v>31652136.592038125</v>
      </c>
      <c r="G64" s="10">
        <v>761</v>
      </c>
      <c r="H64" s="10">
        <v>3</v>
      </c>
      <c r="I64" s="10">
        <v>4</v>
      </c>
      <c r="J64" s="10">
        <v>684</v>
      </c>
      <c r="K64" s="10">
        <v>33705957.991945095</v>
      </c>
    </row>
    <row r="65" spans="1:11" x14ac:dyDescent="0.35">
      <c r="A65" s="9" t="s">
        <v>105</v>
      </c>
      <c r="B65" s="10">
        <v>670</v>
      </c>
      <c r="C65" s="10">
        <v>7</v>
      </c>
      <c r="D65" s="10">
        <v>5</v>
      </c>
      <c r="E65" s="10">
        <v>460</v>
      </c>
      <c r="F65" s="10">
        <v>36973119.876932606</v>
      </c>
      <c r="G65" s="10">
        <v>622</v>
      </c>
      <c r="H65" s="10">
        <v>10</v>
      </c>
      <c r="I65" s="10">
        <v>6</v>
      </c>
      <c r="J65" s="10">
        <v>458</v>
      </c>
      <c r="K65" s="10">
        <v>37782706.343272865</v>
      </c>
    </row>
    <row r="66" spans="1:11" x14ac:dyDescent="0.35">
      <c r="A66" s="9" t="s">
        <v>24</v>
      </c>
      <c r="B66" s="10">
        <v>2034</v>
      </c>
      <c r="C66" s="10">
        <v>23</v>
      </c>
      <c r="D66" s="10">
        <v>10</v>
      </c>
      <c r="E66" s="10">
        <v>1650</v>
      </c>
      <c r="F66" s="10">
        <v>100377557.64026153</v>
      </c>
      <c r="G66" s="10">
        <v>2006</v>
      </c>
      <c r="H66" s="10">
        <v>16</v>
      </c>
      <c r="I66" s="10">
        <v>11</v>
      </c>
      <c r="J66" s="10">
        <v>2069</v>
      </c>
      <c r="K66" s="10">
        <v>122700260.11526486</v>
      </c>
    </row>
    <row r="67" spans="1:11" x14ac:dyDescent="0.35">
      <c r="A67" s="9" t="s">
        <v>27</v>
      </c>
      <c r="B67" s="10">
        <v>1578</v>
      </c>
      <c r="C67" s="10">
        <v>22</v>
      </c>
      <c r="D67" s="10">
        <v>7</v>
      </c>
      <c r="E67" s="10">
        <v>1207</v>
      </c>
      <c r="F67" s="10">
        <v>90080740.379999131</v>
      </c>
      <c r="G67" s="10">
        <v>1576</v>
      </c>
      <c r="H67" s="10">
        <v>25</v>
      </c>
      <c r="I67" s="10">
        <v>6</v>
      </c>
      <c r="J67" s="10">
        <v>1164</v>
      </c>
      <c r="K67" s="10">
        <v>92463560.87667793</v>
      </c>
    </row>
    <row r="68" spans="1:11" x14ac:dyDescent="0.35">
      <c r="A68" s="9" t="s">
        <v>29</v>
      </c>
      <c r="B68" s="10">
        <v>857</v>
      </c>
      <c r="C68" s="10">
        <v>2</v>
      </c>
      <c r="D68" s="10">
        <v>1</v>
      </c>
      <c r="E68" s="10">
        <v>725</v>
      </c>
      <c r="F68" s="10">
        <v>55770088.03356684</v>
      </c>
      <c r="G68" s="10">
        <v>896</v>
      </c>
      <c r="H68" s="10">
        <v>9</v>
      </c>
      <c r="I68" s="10">
        <v>1</v>
      </c>
      <c r="J68" s="10">
        <v>651</v>
      </c>
      <c r="K68" s="10">
        <v>59299037.95882754</v>
      </c>
    </row>
    <row r="69" spans="1:11" x14ac:dyDescent="0.35">
      <c r="A69" s="9" t="s">
        <v>57</v>
      </c>
      <c r="B69" s="10">
        <v>2006</v>
      </c>
      <c r="C69" s="10">
        <v>282</v>
      </c>
      <c r="D69" s="10">
        <v>13</v>
      </c>
      <c r="E69" s="10">
        <v>1250</v>
      </c>
      <c r="F69" s="10">
        <v>82675137.356556803</v>
      </c>
      <c r="G69" s="10">
        <v>2218</v>
      </c>
      <c r="H69" s="10">
        <v>528</v>
      </c>
      <c r="I69" s="10">
        <v>12</v>
      </c>
      <c r="J69" s="10">
        <v>1301</v>
      </c>
      <c r="K69" s="10">
        <v>86949030.116028577</v>
      </c>
    </row>
    <row r="70" spans="1:11" x14ac:dyDescent="0.35">
      <c r="A70" s="9" t="s">
        <v>137</v>
      </c>
      <c r="B70" s="10">
        <v>263</v>
      </c>
      <c r="C70" s="10">
        <v>2</v>
      </c>
      <c r="D70" s="10">
        <v>1</v>
      </c>
      <c r="E70" s="10">
        <v>262</v>
      </c>
      <c r="F70" s="10">
        <v>6140539.4933344573</v>
      </c>
      <c r="G70" s="10">
        <v>249</v>
      </c>
      <c r="H70" s="10">
        <v>0</v>
      </c>
      <c r="I70" s="10">
        <v>1</v>
      </c>
      <c r="J70" s="10">
        <v>240</v>
      </c>
      <c r="K70" s="10">
        <v>3921583.6788190641</v>
      </c>
    </row>
    <row r="71" spans="1:11" x14ac:dyDescent="0.35">
      <c r="A71" s="9" t="s">
        <v>10</v>
      </c>
      <c r="B71" s="10">
        <v>1775</v>
      </c>
      <c r="C71" s="10">
        <v>6</v>
      </c>
      <c r="D71" s="10">
        <v>7</v>
      </c>
      <c r="E71" s="10">
        <v>1823</v>
      </c>
      <c r="F71" s="10">
        <v>64973804.202333398</v>
      </c>
      <c r="G71" s="10">
        <v>1667</v>
      </c>
      <c r="H71" s="10">
        <v>11</v>
      </c>
      <c r="I71" s="10">
        <v>6</v>
      </c>
      <c r="J71" s="10">
        <v>1524</v>
      </c>
      <c r="K71" s="10">
        <v>62806241.689261854</v>
      </c>
    </row>
    <row r="72" spans="1:11" x14ac:dyDescent="0.35">
      <c r="A72" s="9" t="s">
        <v>12</v>
      </c>
      <c r="B72" s="10">
        <v>672</v>
      </c>
      <c r="C72" s="10">
        <v>3</v>
      </c>
      <c r="D72" s="10">
        <v>2</v>
      </c>
      <c r="E72" s="10">
        <v>602</v>
      </c>
      <c r="F72" s="10">
        <v>27026185.292692184</v>
      </c>
      <c r="G72" s="10">
        <v>769</v>
      </c>
      <c r="H72" s="10">
        <v>5</v>
      </c>
      <c r="I72" s="10">
        <v>4</v>
      </c>
      <c r="J72" s="10">
        <v>590</v>
      </c>
      <c r="K72" s="10">
        <v>29791076.376127552</v>
      </c>
    </row>
    <row r="73" spans="1:11" x14ac:dyDescent="0.35">
      <c r="A73" s="9" t="s">
        <v>162</v>
      </c>
      <c r="B73" s="10">
        <v>1318</v>
      </c>
      <c r="C73" s="10">
        <v>47</v>
      </c>
      <c r="D73" s="10">
        <v>5</v>
      </c>
      <c r="E73" s="10">
        <v>895</v>
      </c>
      <c r="F73" s="10">
        <v>43557460.72094354</v>
      </c>
      <c r="G73" s="10">
        <v>1381</v>
      </c>
      <c r="H73" s="10">
        <v>77</v>
      </c>
      <c r="I73" s="10">
        <v>5</v>
      </c>
      <c r="J73" s="10">
        <v>865</v>
      </c>
      <c r="K73" s="10">
        <v>46027687.360767119</v>
      </c>
    </row>
    <row r="74" spans="1:11" x14ac:dyDescent="0.35">
      <c r="A74" s="9" t="s">
        <v>63</v>
      </c>
      <c r="B74" s="10">
        <v>1315</v>
      </c>
      <c r="C74" s="10">
        <v>7</v>
      </c>
      <c r="D74" s="10">
        <v>5</v>
      </c>
      <c r="E74" s="10">
        <v>1453</v>
      </c>
      <c r="F74" s="10">
        <v>20559790.986772776</v>
      </c>
      <c r="G74" s="10">
        <v>1256</v>
      </c>
      <c r="H74" s="10">
        <v>10</v>
      </c>
      <c r="I74" s="10">
        <v>5</v>
      </c>
      <c r="J74" s="10">
        <v>1167</v>
      </c>
      <c r="K74" s="10">
        <v>30993951.72630202</v>
      </c>
    </row>
    <row r="75" spans="1:11" x14ac:dyDescent="0.35">
      <c r="A75" s="9" t="s">
        <v>59</v>
      </c>
      <c r="B75" s="10">
        <v>1746</v>
      </c>
      <c r="C75" s="10">
        <v>10</v>
      </c>
      <c r="D75" s="10">
        <v>5</v>
      </c>
      <c r="E75" s="10">
        <v>1201</v>
      </c>
      <c r="F75" s="10">
        <v>77163456.639908686</v>
      </c>
      <c r="G75" s="10">
        <v>1724</v>
      </c>
      <c r="H75" s="10">
        <v>13</v>
      </c>
      <c r="I75" s="10">
        <v>5</v>
      </c>
      <c r="J75" s="10">
        <v>1358</v>
      </c>
      <c r="K75" s="10">
        <v>79308903.181860581</v>
      </c>
    </row>
    <row r="76" spans="1:11" x14ac:dyDescent="0.35">
      <c r="A76" s="9" t="s">
        <v>139</v>
      </c>
      <c r="B76" s="10">
        <v>494</v>
      </c>
      <c r="C76" s="10">
        <v>4</v>
      </c>
      <c r="D76" s="10">
        <v>2</v>
      </c>
      <c r="E76" s="10">
        <v>430</v>
      </c>
      <c r="F76" s="10">
        <v>16194613.135555835</v>
      </c>
      <c r="G76" s="10">
        <v>518</v>
      </c>
      <c r="H76" s="10">
        <v>2</v>
      </c>
      <c r="I76" s="10">
        <v>1</v>
      </c>
      <c r="J76" s="10">
        <v>455</v>
      </c>
      <c r="K76" s="10">
        <v>16110928.637133213</v>
      </c>
    </row>
    <row r="77" spans="1:11" x14ac:dyDescent="0.35">
      <c r="A77" s="9" t="s">
        <v>170</v>
      </c>
      <c r="B77" s="10">
        <v>892</v>
      </c>
      <c r="C77" s="10">
        <v>5</v>
      </c>
      <c r="D77" s="10">
        <v>1</v>
      </c>
      <c r="E77" s="10">
        <v>816</v>
      </c>
      <c r="F77" s="10">
        <v>25340188.94744451</v>
      </c>
      <c r="G77" s="10">
        <v>876</v>
      </c>
      <c r="H77" s="10">
        <v>6</v>
      </c>
      <c r="I77" s="10">
        <v>1</v>
      </c>
      <c r="J77" s="10">
        <v>773</v>
      </c>
      <c r="K77" s="10">
        <v>25450842.735035904</v>
      </c>
    </row>
    <row r="78" spans="1:11" x14ac:dyDescent="0.35">
      <c r="A78" s="9" t="s">
        <v>61</v>
      </c>
      <c r="B78" s="10">
        <v>662</v>
      </c>
      <c r="C78" s="10">
        <v>2</v>
      </c>
      <c r="D78" s="10">
        <v>4</v>
      </c>
      <c r="E78" s="10">
        <v>40</v>
      </c>
      <c r="F78" s="10">
        <v>15426685.23745168</v>
      </c>
      <c r="G78" s="10">
        <v>649</v>
      </c>
      <c r="H78" s="10">
        <v>2</v>
      </c>
      <c r="I78" s="10">
        <v>3</v>
      </c>
      <c r="J78" s="10">
        <v>498</v>
      </c>
      <c r="K78" s="10">
        <v>25729400.051537082</v>
      </c>
    </row>
    <row r="79" spans="1:11" x14ac:dyDescent="0.35">
      <c r="A79" s="9" t="s">
        <v>129</v>
      </c>
      <c r="B79" s="10">
        <v>579</v>
      </c>
      <c r="C79" s="10">
        <v>5</v>
      </c>
      <c r="D79" s="10">
        <v>1</v>
      </c>
      <c r="E79" s="10">
        <v>3</v>
      </c>
      <c r="F79" s="10">
        <v>13803260.27765929</v>
      </c>
      <c r="G79" s="10">
        <v>618</v>
      </c>
      <c r="H79" s="10">
        <v>6</v>
      </c>
      <c r="I79" s="10">
        <v>1</v>
      </c>
      <c r="J79" s="10">
        <v>522</v>
      </c>
      <c r="K79" s="10">
        <v>17870724.254546557</v>
      </c>
    </row>
    <row r="80" spans="1:11" x14ac:dyDescent="0.35">
      <c r="A80" s="9" t="s">
        <v>35</v>
      </c>
      <c r="B80" s="10">
        <v>428</v>
      </c>
      <c r="C80" s="10">
        <v>6</v>
      </c>
      <c r="D80" s="10">
        <v>6</v>
      </c>
      <c r="E80" s="10">
        <v>510</v>
      </c>
      <c r="F80" s="10">
        <v>19740278.744004328</v>
      </c>
      <c r="G80" s="10">
        <v>447</v>
      </c>
      <c r="H80" s="10">
        <v>2</v>
      </c>
      <c r="I80" s="10">
        <v>7</v>
      </c>
      <c r="J80" s="10">
        <v>411</v>
      </c>
      <c r="K80" s="10">
        <v>21399782.93429514</v>
      </c>
    </row>
    <row r="81" spans="1:11" x14ac:dyDescent="0.35">
      <c r="A81" s="9" t="s">
        <v>107</v>
      </c>
      <c r="B81" s="10">
        <v>947</v>
      </c>
      <c r="C81" s="10">
        <v>12</v>
      </c>
      <c r="D81" s="10">
        <v>3</v>
      </c>
      <c r="E81" s="10">
        <v>730</v>
      </c>
      <c r="F81" s="10">
        <v>56782821.251423657</v>
      </c>
      <c r="G81" s="10">
        <v>897</v>
      </c>
      <c r="H81" s="10">
        <v>9</v>
      </c>
      <c r="I81" s="10">
        <v>3</v>
      </c>
      <c r="J81" s="10">
        <v>505</v>
      </c>
      <c r="K81" s="10">
        <v>54567028.754611216</v>
      </c>
    </row>
    <row r="82" spans="1:11" x14ac:dyDescent="0.35">
      <c r="A82" s="9" t="s">
        <v>37</v>
      </c>
      <c r="B82" s="10">
        <v>799</v>
      </c>
      <c r="C82" s="10">
        <v>4</v>
      </c>
      <c r="D82" s="10">
        <v>10</v>
      </c>
      <c r="E82" s="10">
        <v>786</v>
      </c>
      <c r="F82" s="10">
        <v>33564525.520598993</v>
      </c>
      <c r="G82" s="10">
        <v>772</v>
      </c>
      <c r="H82" s="10">
        <v>4</v>
      </c>
      <c r="I82" s="10">
        <v>10</v>
      </c>
      <c r="J82" s="10">
        <v>702</v>
      </c>
      <c r="K82" s="10">
        <v>32778727.484129459</v>
      </c>
    </row>
    <row r="83" spans="1:11" x14ac:dyDescent="0.35">
      <c r="A83" s="9" t="s">
        <v>76</v>
      </c>
      <c r="B83" s="10">
        <v>954</v>
      </c>
      <c r="C83" s="10">
        <v>1</v>
      </c>
      <c r="D83" s="10">
        <v>2</v>
      </c>
      <c r="E83" s="10">
        <v>877</v>
      </c>
      <c r="F83" s="10">
        <v>28069531.591266755</v>
      </c>
      <c r="G83" s="10">
        <v>956</v>
      </c>
      <c r="H83" s="10">
        <v>3</v>
      </c>
      <c r="I83" s="10">
        <v>2</v>
      </c>
      <c r="J83" s="10">
        <v>890</v>
      </c>
      <c r="K83" s="10">
        <v>28417544.731245913</v>
      </c>
    </row>
    <row r="84" spans="1:11" x14ac:dyDescent="0.35">
      <c r="A84" s="9" t="s">
        <v>65</v>
      </c>
      <c r="B84" s="10">
        <v>1003</v>
      </c>
      <c r="C84" s="10">
        <v>8</v>
      </c>
      <c r="D84" s="10">
        <v>4</v>
      </c>
      <c r="E84" s="10">
        <v>805</v>
      </c>
      <c r="F84" s="10">
        <v>31195103.941588808</v>
      </c>
      <c r="G84" s="10">
        <v>983</v>
      </c>
      <c r="H84" s="10">
        <v>3</v>
      </c>
      <c r="I84" s="10">
        <v>5</v>
      </c>
      <c r="J84" s="10">
        <v>815</v>
      </c>
      <c r="K84" s="10">
        <v>29784133.816133317</v>
      </c>
    </row>
    <row r="85" spans="1:11" x14ac:dyDescent="0.35">
      <c r="A85" s="9" t="s">
        <v>89</v>
      </c>
      <c r="B85" s="10">
        <v>744</v>
      </c>
      <c r="C85" s="10">
        <v>6</v>
      </c>
      <c r="D85" s="10">
        <v>5</v>
      </c>
      <c r="E85" s="10">
        <v>701</v>
      </c>
      <c r="F85" s="10">
        <v>34098552.183406793</v>
      </c>
      <c r="G85" s="10">
        <v>764</v>
      </c>
      <c r="H85" s="10">
        <v>3</v>
      </c>
      <c r="I85" s="10">
        <v>6</v>
      </c>
      <c r="J85" s="10">
        <v>779</v>
      </c>
      <c r="K85" s="10">
        <v>37860265.651208185</v>
      </c>
    </row>
    <row r="86" spans="1:11" x14ac:dyDescent="0.35">
      <c r="A86" s="9" t="s">
        <v>147</v>
      </c>
      <c r="B86" s="10">
        <v>565</v>
      </c>
      <c r="C86" s="10">
        <v>2</v>
      </c>
      <c r="D86" s="10">
        <v>1</v>
      </c>
      <c r="E86" s="10">
        <v>546</v>
      </c>
      <c r="F86" s="10">
        <v>14853766.680226721</v>
      </c>
      <c r="G86" s="10">
        <v>563</v>
      </c>
      <c r="H86" s="10">
        <v>3</v>
      </c>
      <c r="I86" s="10">
        <v>1</v>
      </c>
      <c r="J86" s="10">
        <v>552</v>
      </c>
      <c r="K86" s="10">
        <v>16668293.937810272</v>
      </c>
    </row>
    <row r="87" spans="1:11" x14ac:dyDescent="0.35">
      <c r="A87" s="9" t="s">
        <v>164</v>
      </c>
      <c r="B87" s="10">
        <v>1692</v>
      </c>
      <c r="C87" s="10">
        <v>10</v>
      </c>
      <c r="D87" s="10">
        <v>10</v>
      </c>
      <c r="E87" s="10">
        <v>1253</v>
      </c>
      <c r="F87" s="10">
        <v>64072677.616162479</v>
      </c>
      <c r="G87" s="10">
        <v>1776</v>
      </c>
      <c r="H87" s="10">
        <v>10</v>
      </c>
      <c r="I87" s="10">
        <v>10</v>
      </c>
      <c r="J87" s="10">
        <v>1323</v>
      </c>
      <c r="K87" s="10">
        <v>71814990.520318881</v>
      </c>
    </row>
    <row r="88" spans="1:11" x14ac:dyDescent="0.35">
      <c r="A88" s="9" t="s">
        <v>91</v>
      </c>
      <c r="B88" s="10">
        <v>637</v>
      </c>
      <c r="C88" s="10">
        <v>6</v>
      </c>
      <c r="D88" s="10">
        <v>3</v>
      </c>
      <c r="E88" s="10">
        <v>910</v>
      </c>
      <c r="F88" s="10">
        <v>18937694.832978379</v>
      </c>
      <c r="G88" s="10">
        <v>567</v>
      </c>
      <c r="H88" s="10">
        <v>0</v>
      </c>
      <c r="I88" s="10">
        <v>3</v>
      </c>
      <c r="J88" s="10">
        <v>649</v>
      </c>
      <c r="K88" s="10">
        <v>15580749.492926508</v>
      </c>
    </row>
    <row r="89" spans="1:11" x14ac:dyDescent="0.35">
      <c r="A89" s="9" t="s">
        <v>97</v>
      </c>
      <c r="B89" s="10">
        <v>588</v>
      </c>
      <c r="C89" s="10">
        <v>15</v>
      </c>
      <c r="D89" s="10">
        <v>6</v>
      </c>
      <c r="E89" s="10">
        <v>519</v>
      </c>
      <c r="F89" s="10">
        <v>29899924.687964041</v>
      </c>
      <c r="G89" s="10">
        <v>651</v>
      </c>
      <c r="H89" s="10">
        <v>5</v>
      </c>
      <c r="I89" s="10">
        <v>8</v>
      </c>
      <c r="J89" s="10">
        <v>693</v>
      </c>
      <c r="K89" s="10">
        <v>31832135.297281656</v>
      </c>
    </row>
    <row r="90" spans="1:11" x14ac:dyDescent="0.35">
      <c r="A90" s="9" t="s">
        <v>78</v>
      </c>
      <c r="B90" s="10">
        <v>359</v>
      </c>
      <c r="C90" s="10">
        <v>3</v>
      </c>
      <c r="D90" s="10">
        <v>1</v>
      </c>
      <c r="E90" s="10">
        <v>299</v>
      </c>
      <c r="F90" s="10">
        <v>8025590.2034085998</v>
      </c>
      <c r="G90" s="10">
        <v>359</v>
      </c>
      <c r="H90" s="10">
        <v>2</v>
      </c>
      <c r="I90" s="10">
        <v>1</v>
      </c>
      <c r="J90" s="10">
        <v>307</v>
      </c>
      <c r="K90" s="10">
        <v>7440026.6354495389</v>
      </c>
    </row>
    <row r="91" spans="1:11" x14ac:dyDescent="0.35">
      <c r="A91" s="14" t="s">
        <v>204</v>
      </c>
      <c r="B91" s="13">
        <v>84399</v>
      </c>
      <c r="C91" s="13">
        <v>2067</v>
      </c>
      <c r="D91" s="13">
        <v>310</v>
      </c>
      <c r="E91" s="13">
        <v>70426</v>
      </c>
      <c r="F91" s="13">
        <v>3181260757.260551</v>
      </c>
      <c r="G91" s="13">
        <v>84495</v>
      </c>
      <c r="H91" s="13">
        <v>1746</v>
      </c>
      <c r="I91" s="13">
        <v>318</v>
      </c>
      <c r="J91" s="13">
        <v>69067</v>
      </c>
      <c r="K91" s="13">
        <v>3300171557.3950996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2026-08-24T09:59:28Z</dcterms:modified>
</cp:coreProperties>
</file>