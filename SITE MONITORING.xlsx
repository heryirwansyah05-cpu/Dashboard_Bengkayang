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N-IOH\Documents\DASHBOARD MS\"/>
    </mc:Choice>
  </mc:AlternateContent>
  <bookViews>
    <workbookView xWindow="0" yWindow="0" windowWidth="19200" windowHeight="6930" activeTab="1"/>
  </bookViews>
  <sheets>
    <sheet name="Sheet1" sheetId="3" r:id="rId1"/>
    <sheet name="MASTER" sheetId="4" r:id="rId2"/>
  </sheets>
  <definedNames>
    <definedName name="_xlnm._FilterDatabase" localSheetId="1" hidden="1">MASTER!$A$5:$K$5</definedName>
    <definedName name="_xlnm._FilterDatabase" localSheetId="0" hidden="1">Sheet1!$A$1:$U$46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I3" i="4"/>
  <c r="J3" i="4"/>
  <c r="K3" i="4"/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F2" i="3" l="1"/>
  <c r="G2" i="3"/>
  <c r="I2" i="3"/>
  <c r="J2" i="3"/>
  <c r="L2" i="3"/>
  <c r="M2" i="3"/>
  <c r="O2" i="3"/>
  <c r="P2" i="3"/>
  <c r="S2" i="3"/>
  <c r="T2" i="3" s="1"/>
  <c r="F3" i="3"/>
  <c r="G3" i="3"/>
  <c r="I3" i="3"/>
  <c r="J3" i="3"/>
  <c r="L3" i="3"/>
  <c r="M3" i="3"/>
  <c r="O3" i="3"/>
  <c r="P3" i="3"/>
  <c r="S3" i="3"/>
  <c r="T3" i="3" s="1"/>
  <c r="F4" i="3"/>
  <c r="G4" i="3"/>
  <c r="I4" i="3"/>
  <c r="J4" i="3"/>
  <c r="L4" i="3"/>
  <c r="M4" i="3"/>
  <c r="O4" i="3"/>
  <c r="P4" i="3"/>
  <c r="S4" i="3"/>
  <c r="T4" i="3" s="1"/>
  <c r="F5" i="3"/>
  <c r="G5" i="3"/>
  <c r="I5" i="3"/>
  <c r="J5" i="3"/>
  <c r="L5" i="3"/>
  <c r="M5" i="3"/>
  <c r="O5" i="3"/>
  <c r="P5" i="3"/>
  <c r="S5" i="3"/>
  <c r="T5" i="3" s="1"/>
  <c r="F6" i="3"/>
  <c r="G6" i="3"/>
  <c r="I6" i="3"/>
  <c r="J6" i="3"/>
  <c r="L6" i="3"/>
  <c r="M6" i="3"/>
  <c r="O6" i="3"/>
  <c r="P6" i="3"/>
  <c r="S6" i="3"/>
  <c r="T6" i="3" s="1"/>
  <c r="F7" i="3"/>
  <c r="G7" i="3"/>
  <c r="I7" i="3"/>
  <c r="J7" i="3"/>
  <c r="L7" i="3"/>
  <c r="M7" i="3"/>
  <c r="O7" i="3"/>
  <c r="P7" i="3"/>
  <c r="S7" i="3"/>
  <c r="T7" i="3" s="1"/>
  <c r="F8" i="3"/>
  <c r="G8" i="3"/>
  <c r="I8" i="3"/>
  <c r="J8" i="3"/>
  <c r="L8" i="3"/>
  <c r="M8" i="3"/>
  <c r="O8" i="3"/>
  <c r="P8" i="3"/>
  <c r="S8" i="3"/>
  <c r="T8" i="3" s="1"/>
  <c r="F9" i="3"/>
  <c r="G9" i="3"/>
  <c r="I9" i="3"/>
  <c r="J9" i="3"/>
  <c r="L9" i="3"/>
  <c r="M9" i="3"/>
  <c r="O9" i="3"/>
  <c r="P9" i="3"/>
  <c r="S9" i="3"/>
  <c r="T9" i="3" s="1"/>
  <c r="F10" i="3"/>
  <c r="G10" i="3"/>
  <c r="I10" i="3"/>
  <c r="J10" i="3"/>
  <c r="L10" i="3"/>
  <c r="M10" i="3"/>
  <c r="O10" i="3"/>
  <c r="P10" i="3"/>
  <c r="S10" i="3"/>
  <c r="T10" i="3" s="1"/>
  <c r="F11" i="3"/>
  <c r="G11" i="3"/>
  <c r="I11" i="3"/>
  <c r="J11" i="3"/>
  <c r="L11" i="3"/>
  <c r="M11" i="3"/>
  <c r="O11" i="3"/>
  <c r="P11" i="3"/>
  <c r="S11" i="3"/>
  <c r="T11" i="3" s="1"/>
  <c r="F12" i="3"/>
  <c r="G12" i="3"/>
  <c r="I12" i="3"/>
  <c r="J12" i="3"/>
  <c r="L12" i="3"/>
  <c r="M12" i="3"/>
  <c r="O12" i="3"/>
  <c r="P12" i="3"/>
  <c r="S12" i="3"/>
  <c r="T12" i="3" s="1"/>
  <c r="F13" i="3"/>
  <c r="G13" i="3"/>
  <c r="I13" i="3"/>
  <c r="J13" i="3"/>
  <c r="L13" i="3"/>
  <c r="M13" i="3"/>
  <c r="O13" i="3"/>
  <c r="P13" i="3"/>
  <c r="S13" i="3"/>
  <c r="T13" i="3" s="1"/>
  <c r="F14" i="3"/>
  <c r="G14" i="3"/>
  <c r="I14" i="3"/>
  <c r="J14" i="3"/>
  <c r="L14" i="3"/>
  <c r="M14" i="3"/>
  <c r="O14" i="3"/>
  <c r="P14" i="3"/>
  <c r="S14" i="3"/>
  <c r="T14" i="3" s="1"/>
  <c r="F15" i="3"/>
  <c r="G15" i="3"/>
  <c r="I15" i="3"/>
  <c r="J15" i="3"/>
  <c r="L15" i="3"/>
  <c r="M15" i="3"/>
  <c r="O15" i="3"/>
  <c r="P15" i="3"/>
  <c r="S15" i="3"/>
  <c r="T15" i="3" s="1"/>
  <c r="F16" i="3"/>
  <c r="G16" i="3"/>
  <c r="I16" i="3"/>
  <c r="J16" i="3"/>
  <c r="L16" i="3"/>
  <c r="M16" i="3"/>
  <c r="O16" i="3"/>
  <c r="P16" i="3"/>
  <c r="S16" i="3"/>
  <c r="T16" i="3" s="1"/>
  <c r="F17" i="3"/>
  <c r="G17" i="3"/>
  <c r="I17" i="3"/>
  <c r="J17" i="3"/>
  <c r="L17" i="3"/>
  <c r="M17" i="3"/>
  <c r="O17" i="3"/>
  <c r="P17" i="3"/>
  <c r="S17" i="3"/>
  <c r="T17" i="3" s="1"/>
  <c r="F18" i="3"/>
  <c r="G18" i="3"/>
  <c r="I18" i="3"/>
  <c r="J18" i="3"/>
  <c r="L18" i="3"/>
  <c r="M18" i="3"/>
  <c r="O18" i="3"/>
  <c r="P18" i="3"/>
  <c r="S18" i="3"/>
  <c r="T18" i="3" s="1"/>
  <c r="F19" i="3"/>
  <c r="G19" i="3"/>
  <c r="I19" i="3"/>
  <c r="J19" i="3"/>
  <c r="L19" i="3"/>
  <c r="M19" i="3"/>
  <c r="O19" i="3"/>
  <c r="P19" i="3"/>
  <c r="S19" i="3"/>
  <c r="T19" i="3" s="1"/>
  <c r="F20" i="3"/>
  <c r="G20" i="3"/>
  <c r="I20" i="3"/>
  <c r="J20" i="3"/>
  <c r="L20" i="3"/>
  <c r="M20" i="3"/>
  <c r="O20" i="3"/>
  <c r="P20" i="3"/>
  <c r="S20" i="3"/>
  <c r="T20" i="3" s="1"/>
  <c r="F21" i="3"/>
  <c r="G21" i="3"/>
  <c r="I21" i="3"/>
  <c r="J21" i="3"/>
  <c r="L21" i="3"/>
  <c r="M21" i="3"/>
  <c r="O21" i="3"/>
  <c r="P21" i="3"/>
  <c r="S21" i="3"/>
  <c r="T21" i="3" s="1"/>
  <c r="F22" i="3"/>
  <c r="G22" i="3"/>
  <c r="I22" i="3"/>
  <c r="J22" i="3"/>
  <c r="L22" i="3"/>
  <c r="M22" i="3"/>
  <c r="O22" i="3"/>
  <c r="P22" i="3"/>
  <c r="S22" i="3"/>
  <c r="T22" i="3" s="1"/>
  <c r="F23" i="3"/>
  <c r="G23" i="3"/>
  <c r="I23" i="3"/>
  <c r="J23" i="3"/>
  <c r="L23" i="3"/>
  <c r="M23" i="3"/>
  <c r="O23" i="3"/>
  <c r="P23" i="3"/>
  <c r="S23" i="3"/>
  <c r="T23" i="3" s="1"/>
  <c r="F24" i="3"/>
  <c r="G24" i="3"/>
  <c r="I24" i="3"/>
  <c r="J24" i="3"/>
  <c r="L24" i="3"/>
  <c r="M24" i="3"/>
  <c r="O24" i="3"/>
  <c r="P24" i="3"/>
  <c r="S24" i="3"/>
  <c r="T24" i="3" s="1"/>
  <c r="F25" i="3"/>
  <c r="G25" i="3"/>
  <c r="I25" i="3"/>
  <c r="J25" i="3"/>
  <c r="L25" i="3"/>
  <c r="M25" i="3"/>
  <c r="O25" i="3"/>
  <c r="P25" i="3"/>
  <c r="S25" i="3"/>
  <c r="T25" i="3" s="1"/>
  <c r="F26" i="3"/>
  <c r="G26" i="3"/>
  <c r="I26" i="3"/>
  <c r="J26" i="3"/>
  <c r="L26" i="3"/>
  <c r="M26" i="3"/>
  <c r="O26" i="3"/>
  <c r="P26" i="3"/>
  <c r="S26" i="3"/>
  <c r="T26" i="3" s="1"/>
  <c r="F27" i="3"/>
  <c r="G27" i="3"/>
  <c r="I27" i="3"/>
  <c r="J27" i="3"/>
  <c r="L27" i="3"/>
  <c r="M27" i="3"/>
  <c r="O27" i="3"/>
  <c r="P27" i="3"/>
  <c r="S27" i="3"/>
  <c r="T27" i="3" s="1"/>
  <c r="F28" i="3"/>
  <c r="G28" i="3"/>
  <c r="I28" i="3"/>
  <c r="J28" i="3"/>
  <c r="L28" i="3"/>
  <c r="M28" i="3"/>
  <c r="O28" i="3"/>
  <c r="P28" i="3"/>
  <c r="S28" i="3"/>
  <c r="T28" i="3" s="1"/>
  <c r="F29" i="3"/>
  <c r="G29" i="3"/>
  <c r="I29" i="3"/>
  <c r="J29" i="3"/>
  <c r="L29" i="3"/>
  <c r="M29" i="3"/>
  <c r="O29" i="3"/>
  <c r="P29" i="3"/>
  <c r="S29" i="3"/>
  <c r="T29" i="3" s="1"/>
  <c r="F30" i="3"/>
  <c r="G30" i="3"/>
  <c r="I30" i="3"/>
  <c r="J30" i="3"/>
  <c r="L30" i="3"/>
  <c r="M30" i="3"/>
  <c r="O30" i="3"/>
  <c r="P30" i="3"/>
  <c r="S30" i="3"/>
  <c r="T30" i="3" s="1"/>
  <c r="F31" i="3"/>
  <c r="G31" i="3"/>
  <c r="I31" i="3"/>
  <c r="J31" i="3"/>
  <c r="L31" i="3"/>
  <c r="M31" i="3"/>
  <c r="O31" i="3"/>
  <c r="P31" i="3"/>
  <c r="S31" i="3"/>
  <c r="T31" i="3" s="1"/>
  <c r="F32" i="3"/>
  <c r="G32" i="3"/>
  <c r="I32" i="3"/>
  <c r="J32" i="3"/>
  <c r="L32" i="3"/>
  <c r="M32" i="3"/>
  <c r="O32" i="3"/>
  <c r="P32" i="3"/>
  <c r="S32" i="3"/>
  <c r="T32" i="3" s="1"/>
  <c r="F33" i="3"/>
  <c r="G33" i="3"/>
  <c r="I33" i="3"/>
  <c r="J33" i="3"/>
  <c r="L33" i="3"/>
  <c r="M33" i="3"/>
  <c r="O33" i="3"/>
  <c r="P33" i="3"/>
  <c r="S33" i="3"/>
  <c r="T33" i="3" s="1"/>
  <c r="F34" i="3"/>
  <c r="G34" i="3"/>
  <c r="I34" i="3"/>
  <c r="J34" i="3"/>
  <c r="L34" i="3"/>
  <c r="M34" i="3"/>
  <c r="O34" i="3"/>
  <c r="P34" i="3"/>
  <c r="S34" i="3"/>
  <c r="T34" i="3" s="1"/>
  <c r="F35" i="3"/>
  <c r="G35" i="3"/>
  <c r="I35" i="3"/>
  <c r="J35" i="3"/>
  <c r="L35" i="3"/>
  <c r="M35" i="3"/>
  <c r="O35" i="3"/>
  <c r="P35" i="3"/>
  <c r="S35" i="3"/>
  <c r="T35" i="3" s="1"/>
  <c r="F36" i="3"/>
  <c r="G36" i="3"/>
  <c r="I36" i="3"/>
  <c r="J36" i="3"/>
  <c r="L36" i="3"/>
  <c r="M36" i="3"/>
  <c r="O36" i="3"/>
  <c r="P36" i="3"/>
  <c r="S36" i="3"/>
  <c r="T36" i="3" s="1"/>
  <c r="F37" i="3"/>
  <c r="G37" i="3"/>
  <c r="I37" i="3"/>
  <c r="J37" i="3"/>
  <c r="L37" i="3"/>
  <c r="M37" i="3"/>
  <c r="O37" i="3"/>
  <c r="P37" i="3"/>
  <c r="S37" i="3"/>
  <c r="T37" i="3" s="1"/>
  <c r="F38" i="3"/>
  <c r="G38" i="3"/>
  <c r="I38" i="3"/>
  <c r="J38" i="3"/>
  <c r="L38" i="3"/>
  <c r="M38" i="3"/>
  <c r="O38" i="3"/>
  <c r="P38" i="3"/>
  <c r="S38" i="3"/>
  <c r="T38" i="3" s="1"/>
  <c r="F39" i="3"/>
  <c r="G39" i="3"/>
  <c r="I39" i="3"/>
  <c r="J39" i="3"/>
  <c r="L39" i="3"/>
  <c r="M39" i="3"/>
  <c r="O39" i="3"/>
  <c r="P39" i="3"/>
  <c r="S39" i="3"/>
  <c r="T39" i="3" s="1"/>
  <c r="F40" i="3"/>
  <c r="G40" i="3"/>
  <c r="I40" i="3"/>
  <c r="J40" i="3"/>
  <c r="L40" i="3"/>
  <c r="M40" i="3"/>
  <c r="O40" i="3"/>
  <c r="P40" i="3"/>
  <c r="S40" i="3"/>
  <c r="T40" i="3" s="1"/>
  <c r="F41" i="3"/>
  <c r="G41" i="3"/>
  <c r="I41" i="3"/>
  <c r="J41" i="3"/>
  <c r="L41" i="3"/>
  <c r="M41" i="3"/>
  <c r="O41" i="3"/>
  <c r="P41" i="3"/>
  <c r="S41" i="3"/>
  <c r="T41" i="3" s="1"/>
  <c r="F42" i="3"/>
  <c r="G42" i="3"/>
  <c r="I42" i="3"/>
  <c r="J42" i="3"/>
  <c r="L42" i="3"/>
  <c r="M42" i="3"/>
  <c r="O42" i="3"/>
  <c r="P42" i="3"/>
  <c r="S42" i="3"/>
  <c r="T42" i="3" s="1"/>
  <c r="F43" i="3"/>
  <c r="G43" i="3"/>
  <c r="I43" i="3"/>
  <c r="J43" i="3"/>
  <c r="L43" i="3"/>
  <c r="M43" i="3"/>
  <c r="O43" i="3"/>
  <c r="P43" i="3"/>
  <c r="S43" i="3"/>
  <c r="T43" i="3" s="1"/>
  <c r="F44" i="3"/>
  <c r="G44" i="3"/>
  <c r="I44" i="3"/>
  <c r="J44" i="3"/>
  <c r="L44" i="3"/>
  <c r="M44" i="3"/>
  <c r="O44" i="3"/>
  <c r="P44" i="3"/>
  <c r="S44" i="3"/>
  <c r="T44" i="3" s="1"/>
  <c r="F45" i="3"/>
  <c r="G45" i="3"/>
  <c r="I45" i="3"/>
  <c r="J45" i="3"/>
  <c r="L45" i="3"/>
  <c r="M45" i="3"/>
  <c r="O45" i="3"/>
  <c r="P45" i="3"/>
  <c r="S45" i="3"/>
  <c r="T45" i="3" s="1"/>
  <c r="F46" i="3"/>
  <c r="G46" i="3"/>
  <c r="I46" i="3"/>
  <c r="J46" i="3"/>
  <c r="L46" i="3"/>
  <c r="M46" i="3"/>
  <c r="O46" i="3"/>
  <c r="P46" i="3"/>
  <c r="S46" i="3"/>
  <c r="T46" i="3" s="1"/>
  <c r="H43" i="3" l="1"/>
  <c r="H39" i="3"/>
  <c r="H46" i="3"/>
  <c r="Q44" i="3"/>
  <c r="H38" i="3"/>
  <c r="Q34" i="3"/>
  <c r="H32" i="3"/>
  <c r="Q30" i="3"/>
  <c r="H28" i="3"/>
  <c r="Q26" i="3"/>
  <c r="Q22" i="3"/>
  <c r="H20" i="3"/>
  <c r="Q18" i="3"/>
  <c r="H16" i="3"/>
  <c r="Q14" i="3"/>
  <c r="H12" i="3"/>
  <c r="Q10" i="3"/>
  <c r="H8" i="3"/>
  <c r="Q6" i="3"/>
  <c r="H4" i="3"/>
  <c r="Q2" i="3"/>
  <c r="H41" i="3"/>
  <c r="Q36" i="3"/>
  <c r="N42" i="3"/>
  <c r="N33" i="3"/>
  <c r="N29" i="3"/>
  <c r="N25" i="3"/>
  <c r="N21" i="3"/>
  <c r="N17" i="3"/>
  <c r="N13" i="3"/>
  <c r="N9" i="3"/>
  <c r="N5" i="3"/>
  <c r="N36" i="3"/>
  <c r="N34" i="3"/>
  <c r="N30" i="3"/>
  <c r="N26" i="3"/>
  <c r="N22" i="3"/>
  <c r="N18" i="3"/>
  <c r="N14" i="3"/>
  <c r="N10" i="3"/>
  <c r="N6" i="3"/>
  <c r="N2" i="3"/>
  <c r="K44" i="3"/>
  <c r="K36" i="3"/>
  <c r="K34" i="3"/>
  <c r="K30" i="3"/>
  <c r="K26" i="3"/>
  <c r="K22" i="3"/>
  <c r="K18" i="3"/>
  <c r="K14" i="3"/>
  <c r="K10" i="3"/>
  <c r="K6" i="3"/>
  <c r="K2" i="3"/>
  <c r="Q42" i="3"/>
  <c r="Q33" i="3"/>
  <c r="Q29" i="3"/>
  <c r="H24" i="3"/>
  <c r="N3" i="3"/>
  <c r="K42" i="3"/>
  <c r="K33" i="3"/>
  <c r="K29" i="3"/>
  <c r="K25" i="3"/>
  <c r="K21" i="3"/>
  <c r="K17" i="3"/>
  <c r="K13" i="3"/>
  <c r="K9" i="3"/>
  <c r="N45" i="3"/>
  <c r="N40" i="3"/>
  <c r="N37" i="3"/>
  <c r="N35" i="3"/>
  <c r="N31" i="3"/>
  <c r="N27" i="3"/>
  <c r="N23" i="3"/>
  <c r="N19" i="3"/>
  <c r="N15" i="3"/>
  <c r="N11" i="3"/>
  <c r="Q46" i="3"/>
  <c r="H44" i="3"/>
  <c r="Q43" i="3"/>
  <c r="Q41" i="3"/>
  <c r="Q39" i="3"/>
  <c r="Q38" i="3"/>
  <c r="Q32" i="3"/>
  <c r="Q28" i="3"/>
  <c r="Q24" i="3"/>
  <c r="Q20" i="3"/>
  <c r="Q16" i="3"/>
  <c r="Q12" i="3"/>
  <c r="Q8" i="3"/>
  <c r="Q4" i="3"/>
  <c r="Q25" i="3"/>
  <c r="Q21" i="3"/>
  <c r="Q17" i="3"/>
  <c r="Q13" i="3"/>
  <c r="Q9" i="3"/>
  <c r="Q5" i="3"/>
  <c r="K5" i="3"/>
  <c r="N44" i="3"/>
  <c r="Q45" i="3"/>
  <c r="Q40" i="3"/>
  <c r="Q37" i="3"/>
  <c r="Q35" i="3"/>
  <c r="Q31" i="3"/>
  <c r="Q27" i="3"/>
  <c r="Q23" i="3"/>
  <c r="Q19" i="3"/>
  <c r="Q15" i="3"/>
  <c r="Q11" i="3"/>
  <c r="Q7" i="3"/>
  <c r="Q3" i="3"/>
  <c r="N46" i="3"/>
  <c r="N43" i="3"/>
  <c r="N41" i="3"/>
  <c r="N39" i="3"/>
  <c r="N38" i="3"/>
  <c r="N32" i="3"/>
  <c r="N28" i="3"/>
  <c r="N24" i="3"/>
  <c r="N20" i="3"/>
  <c r="N16" i="3"/>
  <c r="N12" i="3"/>
  <c r="N8" i="3"/>
  <c r="N4" i="3"/>
  <c r="N7" i="3"/>
  <c r="H36" i="3"/>
  <c r="H34" i="3"/>
  <c r="H30" i="3"/>
  <c r="H26" i="3"/>
  <c r="H22" i="3"/>
  <c r="H18" i="3"/>
  <c r="H14" i="3"/>
  <c r="H10" i="3"/>
  <c r="H6" i="3"/>
  <c r="H2" i="3"/>
  <c r="H42" i="3"/>
  <c r="H33" i="3"/>
  <c r="H29" i="3"/>
  <c r="H25" i="3"/>
  <c r="H21" i="3"/>
  <c r="H17" i="3"/>
  <c r="H13" i="3"/>
  <c r="H9" i="3"/>
  <c r="H5" i="3"/>
  <c r="K45" i="3"/>
  <c r="K40" i="3"/>
  <c r="K37" i="3"/>
  <c r="K35" i="3"/>
  <c r="K31" i="3"/>
  <c r="K27" i="3"/>
  <c r="K23" i="3"/>
  <c r="K19" i="3"/>
  <c r="K15" i="3"/>
  <c r="K11" i="3"/>
  <c r="K7" i="3"/>
  <c r="K3" i="3"/>
  <c r="H45" i="3"/>
  <c r="H40" i="3"/>
  <c r="H37" i="3"/>
  <c r="H35" i="3"/>
  <c r="H31" i="3"/>
  <c r="H27" i="3"/>
  <c r="H23" i="3"/>
  <c r="H19" i="3"/>
  <c r="H15" i="3"/>
  <c r="H11" i="3"/>
  <c r="H7" i="3"/>
  <c r="H3" i="3"/>
  <c r="K46" i="3"/>
  <c r="K43" i="3"/>
  <c r="K41" i="3"/>
  <c r="K39" i="3"/>
  <c r="K38" i="3"/>
  <c r="K32" i="3"/>
  <c r="K28" i="3"/>
  <c r="K24" i="3"/>
  <c r="K20" i="3"/>
  <c r="K16" i="3"/>
  <c r="K12" i="3"/>
  <c r="K8" i="3"/>
  <c r="K4" i="3"/>
</calcChain>
</file>

<file path=xl/sharedStrings.xml><?xml version="1.0" encoding="utf-8"?>
<sst xmlns="http://schemas.openxmlformats.org/spreadsheetml/2006/main" count="683" uniqueCount="502">
  <si>
    <t>SITE ID</t>
  </si>
  <si>
    <t>SITE NAME</t>
  </si>
  <si>
    <t>20BEK0038</t>
  </si>
  <si>
    <t>BUMI_EMAS_MT</t>
  </si>
  <si>
    <t>PT-JAGOI BABANG</t>
  </si>
  <si>
    <t>20BEK0043</t>
  </si>
  <si>
    <t>RANGKANG_BEK_EP</t>
  </si>
  <si>
    <t>20BEK0041</t>
  </si>
  <si>
    <t>TVRI_BUMI_AMAS_MT</t>
  </si>
  <si>
    <t>20BEK0072</t>
  </si>
  <si>
    <t>SEKAYOK_TAMANKENCANA_PL</t>
  </si>
  <si>
    <t>20BEK0074</t>
  </si>
  <si>
    <t>GUNABARU_TRANSRANGKAKNG_PL</t>
  </si>
  <si>
    <t>20BEK0040</t>
  </si>
  <si>
    <t>SEBALO_BEK_PL</t>
  </si>
  <si>
    <t>20BEK0032</t>
  </si>
  <si>
    <t>TIRTA_KENCANA_BEK_PL</t>
  </si>
  <si>
    <t>20BEK0033</t>
  </si>
  <si>
    <t>DESA_CIPTAKARYA_BEK_PL</t>
  </si>
  <si>
    <t>20BEK0013</t>
  </si>
  <si>
    <t>20BEK0066</t>
  </si>
  <si>
    <t>SELUAS_BEK1_MT</t>
  </si>
  <si>
    <t>20BEK0067</t>
  </si>
  <si>
    <t>JAGOI_SEKIDA_EB</t>
  </si>
  <si>
    <t>20BEK0068</t>
  </si>
  <si>
    <t>JAGOIBABANG_EP</t>
  </si>
  <si>
    <t>20BEK0050</t>
  </si>
  <si>
    <t>JESAPE_MT</t>
  </si>
  <si>
    <t>20BEK0051</t>
  </si>
  <si>
    <t>LEDO_MT</t>
  </si>
  <si>
    <t>20BEK0084</t>
  </si>
  <si>
    <t>SUKADAMAI_GADONG_MT</t>
  </si>
  <si>
    <t>20BEK0086</t>
  </si>
  <si>
    <t>TEBUAH_MARONG_PL</t>
  </si>
  <si>
    <t>20BEK0042</t>
  </si>
  <si>
    <t>BELIMBING_BEK_PL</t>
  </si>
  <si>
    <t>20BEK0044</t>
  </si>
  <si>
    <t>LAMOLDA_TB</t>
  </si>
  <si>
    <t>20BEK0034</t>
  </si>
  <si>
    <t>LUMAR_MT</t>
  </si>
  <si>
    <t>20BEK0014</t>
  </si>
  <si>
    <t>20BEK0015</t>
  </si>
  <si>
    <t>20BEK0016</t>
  </si>
  <si>
    <t>20BEK0017</t>
  </si>
  <si>
    <t>20BEK0018</t>
  </si>
  <si>
    <t>20BEK0020</t>
  </si>
  <si>
    <t>20BEK0069</t>
  </si>
  <si>
    <t>20BEK0077</t>
  </si>
  <si>
    <t>20BEK0082</t>
  </si>
  <si>
    <t>20BEK0076</t>
  </si>
  <si>
    <t>20BEK0088</t>
  </si>
  <si>
    <t>20BEK0022</t>
  </si>
  <si>
    <t>20BEK0025</t>
  </si>
  <si>
    <t>20BEK0026</t>
  </si>
  <si>
    <t>20BEK0023</t>
  </si>
  <si>
    <t>20BEK0087</t>
  </si>
  <si>
    <t>20BEK0094</t>
  </si>
  <si>
    <t>20BEK0027</t>
  </si>
  <si>
    <t>20BEK0053</t>
  </si>
  <si>
    <t>BANGE_BEK_MT</t>
  </si>
  <si>
    <t>20BEK0047</t>
  </si>
  <si>
    <t>DANTI_PL</t>
  </si>
  <si>
    <t>20BEK0052</t>
  </si>
  <si>
    <t>JESAPEG_PL</t>
  </si>
  <si>
    <t>20BEK0054</t>
  </si>
  <si>
    <t>LEMBANG_BEK_PL</t>
  </si>
  <si>
    <t>20BEK0089</t>
  </si>
  <si>
    <t>TRANS_SEBAKUL_PL</t>
  </si>
  <si>
    <t>20BEK0092</t>
  </si>
  <si>
    <t>GUA_DUGINANG_PL</t>
  </si>
  <si>
    <t>20BEK0056</t>
  </si>
  <si>
    <t>LEMBANGG_PL</t>
  </si>
  <si>
    <t>20BEK0057</t>
  </si>
  <si>
    <t>SANGGAU_LEDO_PL</t>
  </si>
  <si>
    <t>20BEK0093</t>
  </si>
  <si>
    <t>SIMPANG_PAKET_MT</t>
  </si>
  <si>
    <t>20BEK0060</t>
  </si>
  <si>
    <t>MAYAK_BEK_MT</t>
  </si>
  <si>
    <t>20BEK0063</t>
  </si>
  <si>
    <t>SELUAS_BEK2_TB</t>
  </si>
  <si>
    <t>20BEK0064</t>
  </si>
  <si>
    <t>RAYA_SELUAS_TB</t>
  </si>
  <si>
    <t>20BEK0065</t>
  </si>
  <si>
    <t>SENTANGAU_JAYA_EB</t>
  </si>
  <si>
    <t>20BEK0085</t>
  </si>
  <si>
    <t>LAPANGAN_PEREGES_PL</t>
  </si>
  <si>
    <t>20BEK0028</t>
  </si>
  <si>
    <t>20BEK0029</t>
  </si>
  <si>
    <t>20BEK0030</t>
  </si>
  <si>
    <t>20BEK0031</t>
  </si>
  <si>
    <t>20BEK0001</t>
  </si>
  <si>
    <t>20BEK0003</t>
  </si>
  <si>
    <t>20BEK0004</t>
  </si>
  <si>
    <t>20BEK0005</t>
  </si>
  <si>
    <t>20BEK0006</t>
  </si>
  <si>
    <t>20BEK0002</t>
  </si>
  <si>
    <t>20BEK0083</t>
  </si>
  <si>
    <t>20BEK0007</t>
  </si>
  <si>
    <t>20BEK0008</t>
  </si>
  <si>
    <t>20BEK0010</t>
  </si>
  <si>
    <t>20BEK0070</t>
  </si>
  <si>
    <t>20BEK0079</t>
  </si>
  <si>
    <t>20BEK0009</t>
  </si>
  <si>
    <t>20BEK0011</t>
  </si>
  <si>
    <t>20BEK0012</t>
  </si>
  <si>
    <t>20BEK0090</t>
  </si>
  <si>
    <t>20BEK0036</t>
  </si>
  <si>
    <t>BUMI_MAS_PL</t>
  </si>
  <si>
    <t>20BEK0035</t>
  </si>
  <si>
    <t>JELAYAN_TERIAK_BEK_MT</t>
  </si>
  <si>
    <t>20BEK0037</t>
  </si>
  <si>
    <t>BUMI_EMAS_BENGKAYANG_MT</t>
  </si>
  <si>
    <t>20BEK0039</t>
  </si>
  <si>
    <t>BENGKAYANG_MT</t>
  </si>
  <si>
    <t>20BEK0045</t>
  </si>
  <si>
    <t>MALO_JELAYAN_IB</t>
  </si>
  <si>
    <t>20BEK0046</t>
  </si>
  <si>
    <t>BENGKAYANG2_MT</t>
  </si>
  <si>
    <t>20BEK0075</t>
  </si>
  <si>
    <t>NEW_LALAGOLDEN_PL</t>
  </si>
  <si>
    <t>20BEK0091</t>
  </si>
  <si>
    <t>TERIAK_BANA_PL</t>
  </si>
  <si>
    <t>20BEK0055</t>
  </si>
  <si>
    <t>PISAK_KAMUH_PL</t>
  </si>
  <si>
    <t>20BEK0062</t>
  </si>
  <si>
    <t>PISAK_MT</t>
  </si>
  <si>
    <t>20BEK0080</t>
  </si>
  <si>
    <t>PISAK_TUJUHBELAS_PL</t>
  </si>
  <si>
    <t>20BEK0061</t>
  </si>
  <si>
    <t>SEGUNDE_MT</t>
  </si>
  <si>
    <t>20BEK0058</t>
  </si>
  <si>
    <t>SINAR_TEBUDAK_MT</t>
  </si>
  <si>
    <t>CATEGORY</t>
  </si>
  <si>
    <t>PARTNER</t>
  </si>
  <si>
    <t>DSE CODE</t>
  </si>
  <si>
    <t>LRS</t>
  </si>
  <si>
    <t>PROFIT</t>
  </si>
  <si>
    <t>REVENUE MTD</t>
  </si>
  <si>
    <t>FWA VLR MTD</t>
  </si>
  <si>
    <t>REVENUE LMTD</t>
  </si>
  <si>
    <t>VLR MTD</t>
  </si>
  <si>
    <t>VLR LMTD</t>
  </si>
  <si>
    <t>FWA VLR LMTD</t>
  </si>
  <si>
    <t>RGU GA LMTD</t>
  </si>
  <si>
    <t>RGU GA MTD</t>
  </si>
  <si>
    <t>RGU 90D MTD</t>
  </si>
  <si>
    <t>RGU 90D LMTD</t>
  </si>
  <si>
    <t>lmtd</t>
  </si>
  <si>
    <t>mtd</t>
  </si>
  <si>
    <t>Row Labels</t>
  </si>
  <si>
    <t>Sum of RGU 90D</t>
  </si>
  <si>
    <t>Sum of FWA VLR</t>
  </si>
  <si>
    <t>Sum of VLR SUBS</t>
  </si>
  <si>
    <t>Sum of PREPAID REVENUE NETT</t>
  </si>
  <si>
    <t>20BEK0049</t>
  </si>
  <si>
    <t>GROWTH</t>
  </si>
  <si>
    <t>Grand Total</t>
  </si>
  <si>
    <t>Sum of RGU GA TRADE</t>
  </si>
  <si>
    <t>20MPW0001</t>
  </si>
  <si>
    <t>20MPW0002</t>
  </si>
  <si>
    <t>20MPW0003</t>
  </si>
  <si>
    <t>20MPW0004</t>
  </si>
  <si>
    <t>20MPW0005</t>
  </si>
  <si>
    <t>20MPW0006</t>
  </si>
  <si>
    <t>20MPW0007</t>
  </si>
  <si>
    <t>20MPW0008</t>
  </si>
  <si>
    <t>20MPW0009</t>
  </si>
  <si>
    <t>20MPW0010</t>
  </si>
  <si>
    <t>20MPW0011</t>
  </si>
  <si>
    <t>20MPW0012</t>
  </si>
  <si>
    <t>20MPW0013</t>
  </si>
  <si>
    <t>20MPW0014</t>
  </si>
  <si>
    <t>20MPW0015</t>
  </si>
  <si>
    <t>20MPW0016</t>
  </si>
  <si>
    <t>20MPW0017</t>
  </si>
  <si>
    <t>20MPW0018</t>
  </si>
  <si>
    <t>20MPW0019</t>
  </si>
  <si>
    <t>20MPW0020</t>
  </si>
  <si>
    <t>20MPW0021</t>
  </si>
  <si>
    <t>20MPW0022</t>
  </si>
  <si>
    <t>20MPW0023</t>
  </si>
  <si>
    <t>20MPW0024</t>
  </si>
  <si>
    <t>20MPW0025</t>
  </si>
  <si>
    <t>20MPW0026</t>
  </si>
  <si>
    <t>20MPW0027</t>
  </si>
  <si>
    <t>20MPW0028</t>
  </si>
  <si>
    <t>20MPW0029</t>
  </si>
  <si>
    <t>20MPW0030</t>
  </si>
  <si>
    <t>20MPW0031</t>
  </si>
  <si>
    <t>20MPW0032</t>
  </si>
  <si>
    <t>20MPW0033</t>
  </si>
  <si>
    <t>20MPW0034</t>
  </si>
  <si>
    <t>20MPW0035</t>
  </si>
  <si>
    <t>20MPW0036</t>
  </si>
  <si>
    <t>20MPW0037</t>
  </si>
  <si>
    <t>20MPW0038</t>
  </si>
  <si>
    <t>20MPW0039</t>
  </si>
  <si>
    <t>20MPW0041</t>
  </si>
  <si>
    <t>20MPW0042</t>
  </si>
  <si>
    <t>20MPW0043</t>
  </si>
  <si>
    <t>20MPW0044</t>
  </si>
  <si>
    <t>20MPW0045</t>
  </si>
  <si>
    <t>20MPW0047</t>
  </si>
  <si>
    <t>20MPW0048</t>
  </si>
  <si>
    <t>20MPW0049</t>
  </si>
  <si>
    <t>20MPW0050</t>
  </si>
  <si>
    <t>20MPW0051</t>
  </si>
  <si>
    <t>20MPW0052</t>
  </si>
  <si>
    <t>20MPW0053</t>
  </si>
  <si>
    <t>20MPW0055</t>
  </si>
  <si>
    <t>20MPW0056</t>
  </si>
  <si>
    <t>20MPW0057</t>
  </si>
  <si>
    <t>20MPW0058</t>
  </si>
  <si>
    <t>20MPW0059</t>
  </si>
  <si>
    <t>20MPW0060</t>
  </si>
  <si>
    <t>20MPW0061</t>
  </si>
  <si>
    <t>20MPW0063</t>
  </si>
  <si>
    <t>20MPW0064</t>
  </si>
  <si>
    <t>20MPW0065</t>
  </si>
  <si>
    <t>20MPW0066</t>
  </si>
  <si>
    <t>20MPW0067</t>
  </si>
  <si>
    <t>20MPW0068</t>
  </si>
  <si>
    <t>20MPW0069</t>
  </si>
  <si>
    <t>20MPW0071</t>
  </si>
  <si>
    <t>20MPW0073</t>
  </si>
  <si>
    <t>20MPW0075</t>
  </si>
  <si>
    <t>20MPW0076</t>
  </si>
  <si>
    <t>20MPW0077</t>
  </si>
  <si>
    <t>20MPW0078</t>
  </si>
  <si>
    <t>20MPW0079</t>
  </si>
  <si>
    <t>20MPW0080</t>
  </si>
  <si>
    <t>20MPW0081</t>
  </si>
  <si>
    <t>20MPW0082</t>
  </si>
  <si>
    <t>20MPW0083</t>
  </si>
  <si>
    <t>20MPW0084</t>
  </si>
  <si>
    <t>20MPW0085</t>
  </si>
  <si>
    <t>20MPW0086</t>
  </si>
  <si>
    <t>20MPW0087</t>
  </si>
  <si>
    <t>20MPW0089</t>
  </si>
  <si>
    <t>20SBS0001</t>
  </si>
  <si>
    <t>20SBS0002</t>
  </si>
  <si>
    <t>20SBS0003</t>
  </si>
  <si>
    <t>20SBS0004</t>
  </si>
  <si>
    <t>20SBS0005</t>
  </si>
  <si>
    <t>20SBS0006</t>
  </si>
  <si>
    <t>20SBS0007</t>
  </si>
  <si>
    <t>20SBS0008</t>
  </si>
  <si>
    <t>20SBS0009</t>
  </si>
  <si>
    <t>20SBS0010</t>
  </si>
  <si>
    <t>20SBS0011</t>
  </si>
  <si>
    <t>20SBS0012</t>
  </si>
  <si>
    <t>20SBS0013</t>
  </si>
  <si>
    <t>20SBS0014</t>
  </si>
  <si>
    <t>20SBS0015</t>
  </si>
  <si>
    <t>20SBS0017</t>
  </si>
  <si>
    <t>20SBS0018</t>
  </si>
  <si>
    <t>20SBS0019</t>
  </si>
  <si>
    <t>20SBS0020</t>
  </si>
  <si>
    <t>20SBS0021</t>
  </si>
  <si>
    <t>20SBS0023</t>
  </si>
  <si>
    <t>20SBS0024</t>
  </si>
  <si>
    <t>20SBS0025</t>
  </si>
  <si>
    <t>20SBS0026</t>
  </si>
  <si>
    <t>20SBS0027</t>
  </si>
  <si>
    <t>20SBS0028</t>
  </si>
  <si>
    <t>20SBS0029</t>
  </si>
  <si>
    <t>20SBS0031</t>
  </si>
  <si>
    <t>20SBS0032</t>
  </si>
  <si>
    <t>20SBS0033</t>
  </si>
  <si>
    <t>20SBS0034</t>
  </si>
  <si>
    <t>20SBS0035</t>
  </si>
  <si>
    <t>20SBS0036</t>
  </si>
  <si>
    <t>20SBS0037</t>
  </si>
  <si>
    <t>20SBS0038</t>
  </si>
  <si>
    <t>20SBS0039</t>
  </si>
  <si>
    <t>20SBS0040</t>
  </si>
  <si>
    <t>20SBS0041</t>
  </si>
  <si>
    <t>20SBS0042</t>
  </si>
  <si>
    <t>20SBS0043</t>
  </si>
  <si>
    <t>20SBS0044</t>
  </si>
  <si>
    <t>20SBS0045</t>
  </si>
  <si>
    <t>20SBS0047</t>
  </si>
  <si>
    <t>20SBS0048</t>
  </si>
  <si>
    <t>20SBS0049</t>
  </si>
  <si>
    <t>20SBS0050</t>
  </si>
  <si>
    <t>20SBS0051</t>
  </si>
  <si>
    <t>20SBS0052</t>
  </si>
  <si>
    <t>20SBS0054</t>
  </si>
  <si>
    <t>20SBS0055</t>
  </si>
  <si>
    <t>20SBS0056</t>
  </si>
  <si>
    <t>20SBS0057</t>
  </si>
  <si>
    <t>20SBS0058</t>
  </si>
  <si>
    <t>20SBS0059</t>
  </si>
  <si>
    <t>20SBS0060</t>
  </si>
  <si>
    <t>20SBS0061</t>
  </si>
  <si>
    <t>20SBS0062</t>
  </si>
  <si>
    <t>20SBS0064</t>
  </si>
  <si>
    <t>20SBS0065</t>
  </si>
  <si>
    <t>20SBS0066</t>
  </si>
  <si>
    <t>20SBS0067</t>
  </si>
  <si>
    <t>20SBS0068</t>
  </si>
  <si>
    <t>20SBS0069</t>
  </si>
  <si>
    <t>20SBS0070</t>
  </si>
  <si>
    <t>20SBS0071</t>
  </si>
  <si>
    <t>20SBS0072</t>
  </si>
  <si>
    <t>20SBS0073</t>
  </si>
  <si>
    <t>20SBS0074</t>
  </si>
  <si>
    <t>20SBS0075</t>
  </si>
  <si>
    <t>20SBS0076</t>
  </si>
  <si>
    <t>20SBS0077</t>
  </si>
  <si>
    <t>20SBS0078</t>
  </si>
  <si>
    <t>20SBS0079</t>
  </si>
  <si>
    <t>20SBS0080</t>
  </si>
  <si>
    <t>20SBS0081</t>
  </si>
  <si>
    <t>20SBS0082</t>
  </si>
  <si>
    <t>20SBS0083</t>
  </si>
  <si>
    <t>20SBS0084</t>
  </si>
  <si>
    <t>20SBS0085</t>
  </si>
  <si>
    <t>20SBS0086</t>
  </si>
  <si>
    <t>20SBS0087</t>
  </si>
  <si>
    <t>20SBS0088</t>
  </si>
  <si>
    <t>20SBS0089</t>
  </si>
  <si>
    <t>20SBS0090</t>
  </si>
  <si>
    <t>20SBS0091</t>
  </si>
  <si>
    <t>20SBS0092</t>
  </si>
  <si>
    <t>20SBS0093</t>
  </si>
  <si>
    <t>20SBS0094</t>
  </si>
  <si>
    <t>20SBS0095</t>
  </si>
  <si>
    <t>20SBS0096</t>
  </si>
  <si>
    <t>20SBS0097</t>
  </si>
  <si>
    <t>20SBS0098</t>
  </si>
  <si>
    <t>20SBS0099</t>
  </si>
  <si>
    <t>20SBS0100</t>
  </si>
  <si>
    <t>20SBS0101</t>
  </si>
  <si>
    <t>20SBS0102</t>
  </si>
  <si>
    <t>20SBS0103</t>
  </si>
  <si>
    <t>20SBS0104</t>
  </si>
  <si>
    <t>20SBS0105</t>
  </si>
  <si>
    <t>20SBS0106</t>
  </si>
  <si>
    <t>20SBS0107</t>
  </si>
  <si>
    <t>20SBS0108</t>
  </si>
  <si>
    <t>20SBS0109</t>
  </si>
  <si>
    <t>20SBS0110</t>
  </si>
  <si>
    <t>20SBS0111</t>
  </si>
  <si>
    <t>20SBS0112</t>
  </si>
  <si>
    <t>20SBS0113</t>
  </si>
  <si>
    <t>20SBS0114</t>
  </si>
  <si>
    <t>20SBS0115</t>
  </si>
  <si>
    <t>20SBS0116</t>
  </si>
  <si>
    <t>20SBS0117</t>
  </si>
  <si>
    <t>20SBS0118</t>
  </si>
  <si>
    <t>20SBS0119</t>
  </si>
  <si>
    <t>20SBS0120</t>
  </si>
  <si>
    <t>20SBS0121</t>
  </si>
  <si>
    <t>20SBS0122</t>
  </si>
  <si>
    <t>20SBS0123</t>
  </si>
  <si>
    <t>20SBS0124</t>
  </si>
  <si>
    <t>20SBS0125</t>
  </si>
  <si>
    <t>20SBS0126</t>
  </si>
  <si>
    <t>20SBS0127</t>
  </si>
  <si>
    <t>20SBS0128</t>
  </si>
  <si>
    <t>20SBS0129</t>
  </si>
  <si>
    <t>20SBS0130</t>
  </si>
  <si>
    <t>20SBS0131</t>
  </si>
  <si>
    <t>20SBS0132</t>
  </si>
  <si>
    <t>20SBS0134</t>
  </si>
  <si>
    <t>20SBS0135</t>
  </si>
  <si>
    <t>20SBS0136</t>
  </si>
  <si>
    <t>20SBS0137</t>
  </si>
  <si>
    <t>20SBS0138</t>
  </si>
  <si>
    <t>20SBS0139</t>
  </si>
  <si>
    <t>20SBS0140</t>
  </si>
  <si>
    <t>20SBS0141</t>
  </si>
  <si>
    <t>20SBS0143</t>
  </si>
  <si>
    <t>20SBS0144</t>
  </si>
  <si>
    <t>20SBS0145</t>
  </si>
  <si>
    <t>20SBS0146</t>
  </si>
  <si>
    <t>20SBS0147</t>
  </si>
  <si>
    <t>20SBS0148</t>
  </si>
  <si>
    <t>20SBS0149</t>
  </si>
  <si>
    <t>20SBS0150</t>
  </si>
  <si>
    <t>20SBS0151</t>
  </si>
  <si>
    <t>20SBS0152</t>
  </si>
  <si>
    <t>20SBS0153</t>
  </si>
  <si>
    <t>20SBS0154</t>
  </si>
  <si>
    <t>20SBS0155</t>
  </si>
  <si>
    <t>20SBS0156</t>
  </si>
  <si>
    <t>20SBS0157</t>
  </si>
  <si>
    <t>20SBS0158</t>
  </si>
  <si>
    <t>20SBS0159</t>
  </si>
  <si>
    <t>20SBS0160</t>
  </si>
  <si>
    <t>20SBS0161</t>
  </si>
  <si>
    <t>20SBS0162</t>
  </si>
  <si>
    <t>20SBS0163</t>
  </si>
  <si>
    <t>20SBS0164</t>
  </si>
  <si>
    <t>20SBS0165</t>
  </si>
  <si>
    <t>20SBS0166</t>
  </si>
  <si>
    <t>20SBS0167</t>
  </si>
  <si>
    <t>20SBS0168</t>
  </si>
  <si>
    <t>20SBS0169</t>
  </si>
  <si>
    <t>20SBS0170</t>
  </si>
  <si>
    <t>20SBS0171</t>
  </si>
  <si>
    <t>20SBS0172</t>
  </si>
  <si>
    <t>20SBS0173</t>
  </si>
  <si>
    <t>20SBS0174</t>
  </si>
  <si>
    <t>20SBS0175</t>
  </si>
  <si>
    <t>20SBS0176</t>
  </si>
  <si>
    <t>20SBS0177</t>
  </si>
  <si>
    <t>20SBS0178</t>
  </si>
  <si>
    <t>20SBS0179</t>
  </si>
  <si>
    <t>20SBS0181</t>
  </si>
  <si>
    <t>20SBS0182</t>
  </si>
  <si>
    <t>20SBS0183</t>
  </si>
  <si>
    <t>20SBS0184</t>
  </si>
  <si>
    <t>20SBS0185</t>
  </si>
  <si>
    <t>20SBS0186</t>
  </si>
  <si>
    <t>20SBS0188</t>
  </si>
  <si>
    <t>20SBS0189</t>
  </si>
  <si>
    <t>20SBS0190</t>
  </si>
  <si>
    <t>20SBS0191</t>
  </si>
  <si>
    <t>20SBS0192</t>
  </si>
  <si>
    <t>20SBS0193</t>
  </si>
  <si>
    <t>20SBS0194</t>
  </si>
  <si>
    <t>20SKW0001</t>
  </si>
  <si>
    <t>20SKW0002</t>
  </si>
  <si>
    <t>20SKW0003</t>
  </si>
  <si>
    <t>20SKW0004</t>
  </si>
  <si>
    <t>20SKW0005</t>
  </si>
  <si>
    <t>20SKW0006</t>
  </si>
  <si>
    <t>20SKW0007</t>
  </si>
  <si>
    <t>20SKW0008</t>
  </si>
  <si>
    <t>20SKW0009</t>
  </si>
  <si>
    <t>20SKW0010</t>
  </si>
  <si>
    <t>20SKW0011</t>
  </si>
  <si>
    <t>20SKW0012</t>
  </si>
  <si>
    <t>20SKW0013</t>
  </si>
  <si>
    <t>20SKW0014</t>
  </si>
  <si>
    <t>20SKW0015</t>
  </si>
  <si>
    <t>20SKW0016</t>
  </si>
  <si>
    <t>20SKW0017</t>
  </si>
  <si>
    <t>20SKW0018</t>
  </si>
  <si>
    <t>20SKW0019</t>
  </si>
  <si>
    <t>20SKW0020</t>
  </si>
  <si>
    <t>20SKW0021</t>
  </si>
  <si>
    <t>20SKW0022</t>
  </si>
  <si>
    <t>20SKW0023</t>
  </si>
  <si>
    <t>20SKW0024</t>
  </si>
  <si>
    <t>20SKW0025</t>
  </si>
  <si>
    <t>20SKW0026</t>
  </si>
  <si>
    <t>20SKW0027</t>
  </si>
  <si>
    <t>20SKW0028</t>
  </si>
  <si>
    <t>20SKW0029</t>
  </si>
  <si>
    <t>20SKW0030</t>
  </si>
  <si>
    <t>20SKW0031</t>
  </si>
  <si>
    <t>20SKW0032</t>
  </si>
  <si>
    <t>20SKW0033</t>
  </si>
  <si>
    <t>20SKW0034</t>
  </si>
  <si>
    <t>20SKW0035</t>
  </si>
  <si>
    <t>20SKW0036</t>
  </si>
  <si>
    <t>20SKW0038</t>
  </si>
  <si>
    <t>20SKW0039</t>
  </si>
  <si>
    <t>20SKW0040</t>
  </si>
  <si>
    <t>20SKW0041</t>
  </si>
  <si>
    <t>20SKW0042</t>
  </si>
  <si>
    <t>20SKW0043</t>
  </si>
  <si>
    <t>20SKW0044</t>
  </si>
  <si>
    <t>20SKW0045</t>
  </si>
  <si>
    <t>20SKW0046</t>
  </si>
  <si>
    <t>20SKW0047</t>
  </si>
  <si>
    <t>20SKW0048</t>
  </si>
  <si>
    <t>20SKW0049</t>
  </si>
  <si>
    <t>20SKW0050</t>
  </si>
  <si>
    <t>20SKW0051</t>
  </si>
  <si>
    <t>20SKW0052</t>
  </si>
  <si>
    <t>20SKW0053</t>
  </si>
  <si>
    <t>20SKW0054</t>
  </si>
  <si>
    <t>20SKW0055</t>
  </si>
  <si>
    <t>20SKW0056</t>
  </si>
  <si>
    <t>20SKW0057</t>
  </si>
  <si>
    <t>20SKW0058</t>
  </si>
  <si>
    <t>20SKW0059</t>
  </si>
  <si>
    <t>20SKW0060</t>
  </si>
  <si>
    <t>20SKW0061</t>
  </si>
  <si>
    <t>20SKW0062</t>
  </si>
  <si>
    <t>20SKW0063</t>
  </si>
  <si>
    <t>20SKW0064</t>
  </si>
  <si>
    <t>20SKW0065</t>
  </si>
  <si>
    <t>20SKW0066</t>
  </si>
  <si>
    <t>20SKW0067</t>
  </si>
  <si>
    <t>20SKW0068</t>
  </si>
  <si>
    <t>20SKW0069</t>
  </si>
  <si>
    <t>20SKW0070</t>
  </si>
  <si>
    <t>20SKW0071</t>
  </si>
  <si>
    <t>(blank)</t>
  </si>
  <si>
    <t>DSEKL087</t>
  </si>
  <si>
    <t>DSEKL088</t>
  </si>
  <si>
    <t>DSEKL513</t>
  </si>
  <si>
    <t>DSEKL086</t>
  </si>
  <si>
    <t>DSEKL089</t>
  </si>
  <si>
    <t>DSEKL092</t>
  </si>
  <si>
    <t>DSEKL085</t>
  </si>
  <si>
    <t>OUTLET OKTOBER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</si>
</sst>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3" fontId="0" fillId="0" borderId="0" xfId="0" applyNumberFormat="1"/>
    <xf numFmtId="0" fontId="2" fillId="2" borderId="1" xfId="0" applyFont="1" applyFill="1" applyBorder="1"/>
    <xf numFmtId="0" fontId="2" fillId="2" borderId="0" xfId="0" applyFont="1" applyFill="1" applyBorder="1"/>
    <xf numFmtId="164" fontId="2" fillId="2" borderId="1" xfId="1" applyNumberFormat="1" applyFont="1" applyFill="1" applyBorder="1"/>
    <xf numFmtId="164" fontId="2" fillId="2" borderId="0" xfId="1" applyNumberFormat="1" applyFont="1" applyFill="1" applyBorder="1"/>
    <xf numFmtId="0" fontId="3" fillId="3" borderId="0" xfId="0" applyFont="1" applyFill="1"/>
    <xf numFmtId="0" fontId="3" fillId="3" borderId="2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164" fontId="3" fillId="3" borderId="0" xfId="1" applyNumberFormat="1" applyFont="1" applyFill="1"/>
    <xf numFmtId="10" fontId="0" fillId="0" borderId="0" xfId="2" applyNumberFormat="1" applyFont="1"/>
    <xf numFmtId="0" fontId="3" fillId="3" borderId="3" xfId="0" applyNumberFormat="1" applyFont="1" applyFill="1" applyBorder="1"/>
    <xf numFmtId="0" fontId="3" fillId="3" borderId="3" xfId="0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workbookViewId="0">
      <pane xSplit="1" ySplit="1" topLeftCell="M27" activePane="bottomRight" state="frozen"/>
      <selection pane="topRight" activeCell="C1" sqref="C1"/>
      <selection pane="bottomLeft" activeCell="A2" sqref="A2"/>
      <selection pane="bottomRight" activeCell="P1" sqref="P1"/>
    </sheetView>
  </sheetViews>
  <sheetFormatPr defaultRowHeight="14.5" x14ac:dyDescent="0.35"/>
  <cols>
    <col min="1" max="1" width="9.90625" bestFit="1" customWidth="1"/>
    <col min="2" max="2" width="30.7265625" bestFit="1" customWidth="1"/>
    <col min="3" max="3" width="16.08984375" bestFit="1" customWidth="1"/>
    <col min="4" max="4" width="18.36328125" bestFit="1" customWidth="1"/>
    <col min="5" max="5" width="13" bestFit="1" customWidth="1"/>
    <col min="6" max="6" width="18.26953125" bestFit="1" customWidth="1"/>
    <col min="7" max="8" width="18.26953125" customWidth="1"/>
    <col min="9" max="9" width="12.08984375" bestFit="1" customWidth="1"/>
    <col min="10" max="10" width="12.08984375" customWidth="1"/>
    <col min="11" max="11" width="16.54296875" bestFit="1" customWidth="1"/>
    <col min="12" max="12" width="16.54296875" customWidth="1"/>
    <col min="13" max="13" width="17" style="1" bestFit="1" customWidth="1"/>
    <col min="14" max="14" width="17" style="1" customWidth="1"/>
    <col min="15" max="15" width="17.81640625" style="1" bestFit="1" customWidth="1"/>
    <col min="16" max="16" width="18.54296875" bestFit="1" customWidth="1"/>
    <col min="17" max="17" width="17" bestFit="1" customWidth="1"/>
    <col min="21" max="21" width="21.36328125" bestFit="1" customWidth="1"/>
  </cols>
  <sheetData>
    <row r="1" spans="1:21" x14ac:dyDescent="0.35">
      <c r="A1" s="3" t="s">
        <v>0</v>
      </c>
      <c r="B1" s="3" t="s">
        <v>1</v>
      </c>
      <c r="C1" s="4" t="s">
        <v>133</v>
      </c>
      <c r="D1" s="4" t="s">
        <v>134</v>
      </c>
      <c r="E1" s="3" t="s">
        <v>132</v>
      </c>
      <c r="F1" s="5" t="s">
        <v>139</v>
      </c>
      <c r="G1" s="5" t="s">
        <v>137</v>
      </c>
      <c r="H1" s="5" t="s">
        <v>155</v>
      </c>
      <c r="I1" s="3" t="s">
        <v>141</v>
      </c>
      <c r="J1" s="3" t="s">
        <v>140</v>
      </c>
      <c r="K1" s="5" t="s">
        <v>155</v>
      </c>
      <c r="L1" s="3" t="s">
        <v>142</v>
      </c>
      <c r="M1" s="3" t="s">
        <v>138</v>
      </c>
      <c r="N1" s="5" t="s">
        <v>155</v>
      </c>
      <c r="O1" s="5" t="s">
        <v>143</v>
      </c>
      <c r="P1" s="5" t="s">
        <v>144</v>
      </c>
      <c r="Q1" s="5" t="s">
        <v>155</v>
      </c>
      <c r="R1" s="5" t="s">
        <v>146</v>
      </c>
      <c r="S1" s="5" t="s">
        <v>145</v>
      </c>
      <c r="T1" s="5" t="s">
        <v>155</v>
      </c>
      <c r="U1" s="6" t="s">
        <v>501</v>
      </c>
    </row>
    <row r="2" spans="1:21" x14ac:dyDescent="0.35">
      <c r="A2" t="s">
        <v>15</v>
      </c>
      <c r="B2" t="s">
        <v>16</v>
      </c>
      <c r="C2" t="s">
        <v>4</v>
      </c>
      <c r="D2" t="s">
        <v>494</v>
      </c>
      <c r="E2" t="s">
        <v>136</v>
      </c>
      <c r="F2" s="1">
        <f>VLOOKUP(A:A,MASTER!A:F,6,0)</f>
        <v>85856257.315560088</v>
      </c>
      <c r="G2" s="1">
        <f>VLOOKUP(A:A,MASTER!A:K,11,0)</f>
        <v>8853969.0071573257</v>
      </c>
      <c r="H2" s="12">
        <f t="shared" ref="H2:H36" si="0">IFERROR(G2/F2-1,0)</f>
        <v>-0.89687450531863933</v>
      </c>
      <c r="I2" s="2">
        <f>VLOOKUP(A:A,MASTER!A:E,5,0)</f>
        <v>1297</v>
      </c>
      <c r="J2" s="2">
        <f>VLOOKUP(A:A,MASTER!A:J,10,0)</f>
        <v>1287</v>
      </c>
      <c r="K2" s="12">
        <f t="shared" ref="K2:K36" si="1">IFERROR(J2/I2-1,0)</f>
        <v>-7.7101002313030298E-3</v>
      </c>
      <c r="L2" s="2">
        <f>VLOOKUP(A:A,MASTER!A:D,4,0)</f>
        <v>3</v>
      </c>
      <c r="M2" s="2">
        <f>VLOOKUP(A:A,MASTER!A:I,9,0)</f>
        <v>4</v>
      </c>
      <c r="N2" s="12">
        <f t="shared" ref="N2:N36" si="2">IFERROR(M2/L2-1,0)</f>
        <v>0.33333333333333326</v>
      </c>
      <c r="O2" s="1">
        <f>VLOOKUP(A:A,MASTER!A:C,3,0)</f>
        <v>9</v>
      </c>
      <c r="P2" s="1">
        <f>VLOOKUP(A:A,MASTER!A:H,8,0)</f>
        <v>10</v>
      </c>
      <c r="Q2" s="12">
        <f t="shared" ref="Q2:Q36" si="3">IFERROR(P2/O2-1,0)</f>
        <v>0.11111111111111116</v>
      </c>
      <c r="R2" s="1">
        <f>VLOOKUP(A:A,MASTER!A:B,2,0)</f>
        <v>2895</v>
      </c>
      <c r="S2">
        <f>VLOOKUP(A:A,MASTER!A:G,7,0)</f>
        <v>3049</v>
      </c>
      <c r="T2" s="12">
        <f t="shared" ref="T2:T36" si="4">IFERROR(S2/R2-1,0)</f>
        <v>5.3195164075993118E-2</v>
      </c>
      <c r="U2">
        <v>4</v>
      </c>
    </row>
    <row r="3" spans="1:21" x14ac:dyDescent="0.35">
      <c r="A3" t="s">
        <v>17</v>
      </c>
      <c r="B3" t="s">
        <v>18</v>
      </c>
      <c r="C3" t="s">
        <v>4</v>
      </c>
      <c r="D3" t="s">
        <v>495</v>
      </c>
      <c r="E3" t="s">
        <v>136</v>
      </c>
      <c r="F3" s="1">
        <f>VLOOKUP(A:A,MASTER!A:F,6,0)</f>
        <v>42426649.684787288</v>
      </c>
      <c r="G3" s="1">
        <f>VLOOKUP(A:A,MASTER!A:K,11,0)</f>
        <v>3963028.5962643968</v>
      </c>
      <c r="H3" s="12">
        <f t="shared" si="0"/>
        <v>-0.90659105478023638</v>
      </c>
      <c r="I3" s="2">
        <f>VLOOKUP(A:A,MASTER!A:E,5,0)</f>
        <v>789</v>
      </c>
      <c r="J3" s="2">
        <f>VLOOKUP(A:A,MASTER!A:J,10,0)</f>
        <v>611</v>
      </c>
      <c r="K3" s="12">
        <f t="shared" si="1"/>
        <v>-0.22560202788339667</v>
      </c>
      <c r="L3" s="2">
        <f>VLOOKUP(A:A,MASTER!A:D,4,0)</f>
        <v>4</v>
      </c>
      <c r="M3" s="2">
        <f>VLOOKUP(A:A,MASTER!A:I,9,0)</f>
        <v>3</v>
      </c>
      <c r="N3" s="12">
        <f t="shared" si="2"/>
        <v>-0.25</v>
      </c>
      <c r="O3" s="1">
        <f>VLOOKUP(A:A,MASTER!A:C,3,0)</f>
        <v>5</v>
      </c>
      <c r="P3" s="1">
        <f>VLOOKUP(A:A,MASTER!A:H,8,0)</f>
        <v>1</v>
      </c>
      <c r="Q3" s="12">
        <f t="shared" si="3"/>
        <v>-0.8</v>
      </c>
      <c r="R3" s="1">
        <f>VLOOKUP(A:A,MASTER!A:B,2,0)</f>
        <v>1606</v>
      </c>
      <c r="S3">
        <f>VLOOKUP(A:A,MASTER!A:G,7,0)</f>
        <v>1384</v>
      </c>
      <c r="T3" s="12">
        <f t="shared" si="4"/>
        <v>-0.13823163138231631</v>
      </c>
      <c r="U3">
        <v>3</v>
      </c>
    </row>
    <row r="4" spans="1:21" x14ac:dyDescent="0.35">
      <c r="A4" t="s">
        <v>38</v>
      </c>
      <c r="B4" t="s">
        <v>39</v>
      </c>
      <c r="C4" t="s">
        <v>4</v>
      </c>
      <c r="D4" t="s">
        <v>496</v>
      </c>
      <c r="E4" t="s">
        <v>136</v>
      </c>
      <c r="F4" s="1">
        <f>VLOOKUP(A:A,MASTER!A:F,6,0)</f>
        <v>91250280.132665247</v>
      </c>
      <c r="G4" s="1">
        <f>VLOOKUP(A:A,MASTER!A:K,11,0)</f>
        <v>3806414.0378393559</v>
      </c>
      <c r="H4" s="12">
        <f t="shared" si="0"/>
        <v>-0.95828600161768973</v>
      </c>
      <c r="I4" s="2">
        <f>VLOOKUP(A:A,MASTER!A:E,5,0)</f>
        <v>1637</v>
      </c>
      <c r="J4" s="2">
        <f>VLOOKUP(A:A,MASTER!A:J,10,0)</f>
        <v>1631</v>
      </c>
      <c r="K4" s="12">
        <f t="shared" si="1"/>
        <v>-3.6652412950519686E-3</v>
      </c>
      <c r="L4" s="2">
        <f>VLOOKUP(A:A,MASTER!A:D,4,0)</f>
        <v>9</v>
      </c>
      <c r="M4" s="2">
        <f>VLOOKUP(A:A,MASTER!A:I,9,0)</f>
        <v>11</v>
      </c>
      <c r="N4" s="12">
        <f t="shared" si="2"/>
        <v>0.22222222222222232</v>
      </c>
      <c r="O4" s="1">
        <f>VLOOKUP(A:A,MASTER!A:C,3,0)</f>
        <v>7</v>
      </c>
      <c r="P4" s="1">
        <f>VLOOKUP(A:A,MASTER!A:H,8,0)</f>
        <v>12</v>
      </c>
      <c r="Q4" s="12">
        <f t="shared" si="3"/>
        <v>0.71428571428571419</v>
      </c>
      <c r="R4" s="1">
        <f>VLOOKUP(A:A,MASTER!A:B,2,0)</f>
        <v>3701</v>
      </c>
      <c r="S4">
        <f>VLOOKUP(A:A,MASTER!A:G,7,0)</f>
        <v>3747</v>
      </c>
      <c r="T4" s="12">
        <f t="shared" si="4"/>
        <v>1.2429073223453102E-2</v>
      </c>
      <c r="U4">
        <v>5</v>
      </c>
    </row>
    <row r="5" spans="1:21" x14ac:dyDescent="0.35">
      <c r="A5" t="s">
        <v>108</v>
      </c>
      <c r="B5" t="s">
        <v>109</v>
      </c>
      <c r="C5" t="s">
        <v>4</v>
      </c>
      <c r="D5" t="s">
        <v>494</v>
      </c>
      <c r="E5" t="s">
        <v>136</v>
      </c>
      <c r="F5" s="1">
        <f>VLOOKUP(A:A,MASTER!A:F,6,0)</f>
        <v>57261577.17661424</v>
      </c>
      <c r="G5" s="1">
        <f>VLOOKUP(A:A,MASTER!A:K,11,0)</f>
        <v>19213672.1610853</v>
      </c>
      <c r="H5" s="12">
        <f t="shared" si="0"/>
        <v>-0.66445785972985383</v>
      </c>
      <c r="I5" s="2">
        <f>VLOOKUP(A:A,MASTER!A:E,5,0)</f>
        <v>1093</v>
      </c>
      <c r="J5" s="2">
        <f>VLOOKUP(A:A,MASTER!A:J,10,0)</f>
        <v>988</v>
      </c>
      <c r="K5" s="12">
        <f t="shared" si="1"/>
        <v>-9.606587374199449E-2</v>
      </c>
      <c r="L5" s="2">
        <f>VLOOKUP(A:A,MASTER!A:D,4,0)</f>
        <v>5</v>
      </c>
      <c r="M5" s="2">
        <f>VLOOKUP(A:A,MASTER!A:I,9,0)</f>
        <v>5</v>
      </c>
      <c r="N5" s="12">
        <f t="shared" si="2"/>
        <v>0</v>
      </c>
      <c r="O5" s="1">
        <f>VLOOKUP(A:A,MASTER!A:C,3,0)</f>
        <v>10</v>
      </c>
      <c r="P5" s="1">
        <f>VLOOKUP(A:A,MASTER!A:H,8,0)</f>
        <v>5</v>
      </c>
      <c r="Q5" s="12">
        <f t="shared" si="3"/>
        <v>-0.5</v>
      </c>
      <c r="R5" s="1">
        <f>VLOOKUP(A:A,MASTER!A:B,2,0)</f>
        <v>2059</v>
      </c>
      <c r="S5">
        <f>VLOOKUP(A:A,MASTER!A:G,7,0)</f>
        <v>2026</v>
      </c>
      <c r="T5" s="12">
        <f t="shared" si="4"/>
        <v>-1.6027197668771254E-2</v>
      </c>
      <c r="U5">
        <v>3</v>
      </c>
    </row>
    <row r="6" spans="1:21" x14ac:dyDescent="0.35">
      <c r="A6" t="s">
        <v>106</v>
      </c>
      <c r="B6" t="s">
        <v>107</v>
      </c>
      <c r="C6" t="s">
        <v>4</v>
      </c>
      <c r="D6" t="s">
        <v>499</v>
      </c>
      <c r="E6" t="s">
        <v>136</v>
      </c>
      <c r="F6" s="1">
        <f>VLOOKUP(A:A,MASTER!A:F,6,0)</f>
        <v>54982145.948791027</v>
      </c>
      <c r="G6" s="1">
        <f>VLOOKUP(A:A,MASTER!A:K,11,0)</f>
        <v>26429960.794980764</v>
      </c>
      <c r="H6" s="12">
        <f t="shared" si="0"/>
        <v>-0.51929921361023346</v>
      </c>
      <c r="I6" s="2">
        <f>VLOOKUP(A:A,MASTER!A:E,5,0)</f>
        <v>420</v>
      </c>
      <c r="J6" s="2">
        <f>VLOOKUP(A:A,MASTER!A:J,10,0)</f>
        <v>1058</v>
      </c>
      <c r="K6" s="12">
        <f t="shared" si="1"/>
        <v>1.519047619047619</v>
      </c>
      <c r="L6" s="2">
        <f>VLOOKUP(A:A,MASTER!A:D,4,0)</f>
        <v>2</v>
      </c>
      <c r="M6" s="2">
        <f>VLOOKUP(A:A,MASTER!A:I,9,0)</f>
        <v>4</v>
      </c>
      <c r="N6" s="12">
        <f t="shared" si="2"/>
        <v>1</v>
      </c>
      <c r="O6" s="1">
        <f>VLOOKUP(A:A,MASTER!A:C,3,0)</f>
        <v>9</v>
      </c>
      <c r="P6" s="1">
        <f>VLOOKUP(A:A,MASTER!A:H,8,0)</f>
        <v>11</v>
      </c>
      <c r="Q6" s="12">
        <f t="shared" si="3"/>
        <v>0.22222222222222232</v>
      </c>
      <c r="R6" s="1">
        <f>VLOOKUP(A:A,MASTER!A:B,2,0)</f>
        <v>1456</v>
      </c>
      <c r="S6">
        <f>VLOOKUP(A:A,MASTER!A:G,7,0)</f>
        <v>1924</v>
      </c>
      <c r="T6" s="12">
        <f t="shared" si="4"/>
        <v>0.3214285714285714</v>
      </c>
      <c r="U6">
        <v>4</v>
      </c>
    </row>
    <row r="7" spans="1:21" x14ac:dyDescent="0.35">
      <c r="A7" t="s">
        <v>110</v>
      </c>
      <c r="B7" t="s">
        <v>111</v>
      </c>
      <c r="C7" t="s">
        <v>4</v>
      </c>
      <c r="D7" t="s">
        <v>499</v>
      </c>
      <c r="E7" t="s">
        <v>136</v>
      </c>
      <c r="F7" s="1">
        <f>VLOOKUP(A:A,MASTER!A:F,6,0)</f>
        <v>114783761.39022967</v>
      </c>
      <c r="G7" s="1">
        <f>VLOOKUP(A:A,MASTER!A:K,11,0)</f>
        <v>51003532.163627915</v>
      </c>
      <c r="H7" s="12">
        <f t="shared" si="0"/>
        <v>-0.55565550783589057</v>
      </c>
      <c r="I7" s="2">
        <f>VLOOKUP(A:A,MASTER!A:E,5,0)</f>
        <v>1956</v>
      </c>
      <c r="J7" s="2">
        <f>VLOOKUP(A:A,MASTER!A:J,10,0)</f>
        <v>1791</v>
      </c>
      <c r="K7" s="12">
        <f t="shared" si="1"/>
        <v>-8.4355828220858853E-2</v>
      </c>
      <c r="L7" s="2">
        <f>VLOOKUP(A:A,MASTER!A:D,4,0)</f>
        <v>4</v>
      </c>
      <c r="M7" s="2">
        <f>VLOOKUP(A:A,MASTER!A:I,9,0)</f>
        <v>5</v>
      </c>
      <c r="N7" s="12">
        <f t="shared" si="2"/>
        <v>0.25</v>
      </c>
      <c r="O7" s="1">
        <f>VLOOKUP(A:A,MASTER!A:C,3,0)</f>
        <v>25</v>
      </c>
      <c r="P7" s="1">
        <f>VLOOKUP(A:A,MASTER!A:H,8,0)</f>
        <v>24</v>
      </c>
      <c r="Q7" s="12">
        <f t="shared" si="3"/>
        <v>-4.0000000000000036E-2</v>
      </c>
      <c r="R7" s="1">
        <f>VLOOKUP(A:A,MASTER!A:B,2,0)</f>
        <v>3782</v>
      </c>
      <c r="S7">
        <f>VLOOKUP(A:A,MASTER!A:G,7,0)</f>
        <v>3609</v>
      </c>
      <c r="T7" s="12">
        <f t="shared" si="4"/>
        <v>-4.5742993125330478E-2</v>
      </c>
      <c r="U7">
        <v>13</v>
      </c>
    </row>
    <row r="8" spans="1:21" x14ac:dyDescent="0.35">
      <c r="A8" t="s">
        <v>2</v>
      </c>
      <c r="B8" t="s">
        <v>3</v>
      </c>
      <c r="C8" t="s">
        <v>4</v>
      </c>
      <c r="D8" t="s">
        <v>499</v>
      </c>
      <c r="E8" t="s">
        <v>136</v>
      </c>
      <c r="F8" s="1">
        <f>VLOOKUP(A:A,MASTER!A:F,6,0)</f>
        <v>81275206.023476481</v>
      </c>
      <c r="G8" s="1">
        <f>VLOOKUP(A:A,MASTER!A:K,11,0)</f>
        <v>26694663.253313377</v>
      </c>
      <c r="H8" s="12">
        <f t="shared" si="0"/>
        <v>-0.67155219212114237</v>
      </c>
      <c r="I8" s="2">
        <f>VLOOKUP(A:A,MASTER!A:E,5,0)</f>
        <v>1318</v>
      </c>
      <c r="J8" s="2">
        <f>VLOOKUP(A:A,MASTER!A:J,10,0)</f>
        <v>1355</v>
      </c>
      <c r="K8" s="12">
        <f t="shared" si="1"/>
        <v>2.8072837632777015E-2</v>
      </c>
      <c r="L8" s="2">
        <f>VLOOKUP(A:A,MASTER!A:D,4,0)</f>
        <v>4</v>
      </c>
      <c r="M8" s="2">
        <f>VLOOKUP(A:A,MASTER!A:I,9,0)</f>
        <v>4</v>
      </c>
      <c r="N8" s="12">
        <f t="shared" si="2"/>
        <v>0</v>
      </c>
      <c r="O8" s="1">
        <f>VLOOKUP(A:A,MASTER!A:C,3,0)</f>
        <v>938</v>
      </c>
      <c r="P8" s="1">
        <f>VLOOKUP(A:A,MASTER!A:H,8,0)</f>
        <v>1017</v>
      </c>
      <c r="Q8" s="12">
        <f t="shared" si="3"/>
        <v>8.4221748400852947E-2</v>
      </c>
      <c r="R8" s="1">
        <f>VLOOKUP(A:A,MASTER!A:B,2,0)</f>
        <v>3552</v>
      </c>
      <c r="S8">
        <f>VLOOKUP(A:A,MASTER!A:G,7,0)</f>
        <v>4136</v>
      </c>
      <c r="T8" s="12">
        <f t="shared" si="4"/>
        <v>0.1644144144144144</v>
      </c>
      <c r="U8">
        <v>4</v>
      </c>
    </row>
    <row r="9" spans="1:21" x14ac:dyDescent="0.35">
      <c r="A9" t="s">
        <v>112</v>
      </c>
      <c r="B9" t="s">
        <v>113</v>
      </c>
      <c r="C9" t="s">
        <v>4</v>
      </c>
      <c r="D9" t="s">
        <v>499</v>
      </c>
      <c r="E9" t="s">
        <v>136</v>
      </c>
      <c r="F9" s="1">
        <f>VLOOKUP(A:A,MASTER!A:F,6,0)</f>
        <v>155714515.19699842</v>
      </c>
      <c r="G9" s="1">
        <f>VLOOKUP(A:A,MASTER!A:K,11,0)</f>
        <v>61680437.616830692</v>
      </c>
      <c r="H9" s="12">
        <f t="shared" si="0"/>
        <v>-0.6038876816410006</v>
      </c>
      <c r="I9" s="2">
        <f>VLOOKUP(A:A,MASTER!A:E,5,0)</f>
        <v>2733</v>
      </c>
      <c r="J9" s="2">
        <f>VLOOKUP(A:A,MASTER!A:J,10,0)</f>
        <v>2748</v>
      </c>
      <c r="K9" s="12">
        <f t="shared" si="1"/>
        <v>5.4884742041712009E-3</v>
      </c>
      <c r="L9" s="2">
        <f>VLOOKUP(A:A,MASTER!A:D,4,0)</f>
        <v>7</v>
      </c>
      <c r="M9" s="2">
        <f>VLOOKUP(A:A,MASTER!A:I,9,0)</f>
        <v>8</v>
      </c>
      <c r="N9" s="12">
        <f t="shared" si="2"/>
        <v>0.14285714285714279</v>
      </c>
      <c r="O9" s="1">
        <f>VLOOKUP(A:A,MASTER!A:C,3,0)</f>
        <v>777</v>
      </c>
      <c r="P9" s="1">
        <f>VLOOKUP(A:A,MASTER!A:H,8,0)</f>
        <v>982</v>
      </c>
      <c r="Q9" s="12">
        <f t="shared" si="3"/>
        <v>0.2638352638352639</v>
      </c>
      <c r="R9" s="1">
        <f>VLOOKUP(A:A,MASTER!A:B,2,0)</f>
        <v>6497</v>
      </c>
      <c r="S9">
        <f>VLOOKUP(A:A,MASTER!A:G,7,0)</f>
        <v>6405</v>
      </c>
      <c r="T9" s="12">
        <f t="shared" si="4"/>
        <v>-1.4160381714637515E-2</v>
      </c>
      <c r="U9">
        <v>16</v>
      </c>
    </row>
    <row r="10" spans="1:21" x14ac:dyDescent="0.35">
      <c r="A10" t="s">
        <v>13</v>
      </c>
      <c r="B10" t="s">
        <v>14</v>
      </c>
      <c r="C10" t="s">
        <v>4</v>
      </c>
      <c r="D10" t="s">
        <v>496</v>
      </c>
      <c r="E10" t="s">
        <v>135</v>
      </c>
      <c r="F10" s="1">
        <f>VLOOKUP(A:A,MASTER!A:F,6,0)</f>
        <v>39244405.060410328</v>
      </c>
      <c r="G10" s="1">
        <f>VLOOKUP(A:A,MASTER!A:K,11,0)</f>
        <v>4689317.5541357342</v>
      </c>
      <c r="H10" s="12">
        <f t="shared" si="0"/>
        <v>-0.88050990843364041</v>
      </c>
      <c r="I10" s="2">
        <f>VLOOKUP(A:A,MASTER!A:E,5,0)</f>
        <v>495</v>
      </c>
      <c r="J10" s="2">
        <f>VLOOKUP(A:A,MASTER!A:J,10,0)</f>
        <v>500</v>
      </c>
      <c r="K10" s="12">
        <f t="shared" si="1"/>
        <v>1.0101010101010166E-2</v>
      </c>
      <c r="L10" s="2">
        <f>VLOOKUP(A:A,MASTER!A:D,4,0)</f>
        <v>11</v>
      </c>
      <c r="M10" s="2">
        <f>VLOOKUP(A:A,MASTER!A:I,9,0)</f>
        <v>12</v>
      </c>
      <c r="N10" s="12">
        <f t="shared" si="2"/>
        <v>9.0909090909090828E-2</v>
      </c>
      <c r="O10" s="1">
        <f>VLOOKUP(A:A,MASTER!A:C,3,0)</f>
        <v>3</v>
      </c>
      <c r="P10" s="1">
        <f>VLOOKUP(A:A,MASTER!A:H,8,0)</f>
        <v>8</v>
      </c>
      <c r="Q10" s="12">
        <f t="shared" si="3"/>
        <v>1.6666666666666665</v>
      </c>
      <c r="R10" s="1">
        <f>VLOOKUP(A:A,MASTER!A:B,2,0)</f>
        <v>1160</v>
      </c>
      <c r="S10">
        <f>VLOOKUP(A:A,MASTER!A:G,7,0)</f>
        <v>1242</v>
      </c>
      <c r="T10" s="12">
        <f t="shared" si="4"/>
        <v>7.0689655172413879E-2</v>
      </c>
      <c r="U10">
        <v>3</v>
      </c>
    </row>
    <row r="11" spans="1:21" x14ac:dyDescent="0.35">
      <c r="A11" t="s">
        <v>7</v>
      </c>
      <c r="B11" t="s">
        <v>8</v>
      </c>
      <c r="C11" t="s">
        <v>4</v>
      </c>
      <c r="D11" t="s">
        <v>499</v>
      </c>
      <c r="E11" t="s">
        <v>136</v>
      </c>
      <c r="F11" s="1">
        <f>VLOOKUP(A:A,MASTER!A:F,6,0)</f>
        <v>138474830.04849523</v>
      </c>
      <c r="G11" s="1">
        <f>VLOOKUP(A:A,MASTER!A:K,11,0)</f>
        <v>32087166.509885389</v>
      </c>
      <c r="H11" s="12">
        <f t="shared" si="0"/>
        <v>-0.76828159674470697</v>
      </c>
      <c r="I11" s="2">
        <f>VLOOKUP(A:A,MASTER!A:E,5,0)</f>
        <v>2827</v>
      </c>
      <c r="J11" s="2">
        <f>VLOOKUP(A:A,MASTER!A:J,10,0)</f>
        <v>2713</v>
      </c>
      <c r="K11" s="12">
        <f t="shared" si="1"/>
        <v>-4.0325433321542259E-2</v>
      </c>
      <c r="L11" s="2">
        <f>VLOOKUP(A:A,MASTER!A:D,4,0)</f>
        <v>9</v>
      </c>
      <c r="M11" s="2">
        <f>VLOOKUP(A:A,MASTER!A:I,9,0)</f>
        <v>10</v>
      </c>
      <c r="N11" s="12">
        <f t="shared" si="2"/>
        <v>0.11111111111111116</v>
      </c>
      <c r="O11" s="1">
        <f>VLOOKUP(A:A,MASTER!A:C,3,0)</f>
        <v>12</v>
      </c>
      <c r="P11" s="1">
        <f>VLOOKUP(A:A,MASTER!A:H,8,0)</f>
        <v>11</v>
      </c>
      <c r="Q11" s="12">
        <f t="shared" si="3"/>
        <v>-8.333333333333337E-2</v>
      </c>
      <c r="R11" s="1">
        <f>VLOOKUP(A:A,MASTER!A:B,2,0)</f>
        <v>5119</v>
      </c>
      <c r="S11">
        <f>VLOOKUP(A:A,MASTER!A:G,7,0)</f>
        <v>5143</v>
      </c>
      <c r="T11" s="12">
        <f t="shared" si="4"/>
        <v>4.6884157061926057E-3</v>
      </c>
      <c r="U11">
        <v>4</v>
      </c>
    </row>
    <row r="12" spans="1:21" x14ac:dyDescent="0.35">
      <c r="A12" t="s">
        <v>34</v>
      </c>
      <c r="B12" t="s">
        <v>35</v>
      </c>
      <c r="C12" t="s">
        <v>4</v>
      </c>
      <c r="D12" t="s">
        <v>496</v>
      </c>
      <c r="E12" t="s">
        <v>136</v>
      </c>
      <c r="F12" s="1">
        <f>VLOOKUP(A:A,MASTER!A:F,6,0)</f>
        <v>85399761.647101119</v>
      </c>
      <c r="G12" s="1">
        <f>VLOOKUP(A:A,MASTER!A:K,11,0)</f>
        <v>10226866.220155114</v>
      </c>
      <c r="H12" s="12">
        <f t="shared" si="0"/>
        <v>-0.88024713391571552</v>
      </c>
      <c r="I12" s="2">
        <f>VLOOKUP(A:A,MASTER!A:E,5,0)</f>
        <v>907</v>
      </c>
      <c r="J12" s="2">
        <f>VLOOKUP(A:A,MASTER!A:J,10,0)</f>
        <v>1107</v>
      </c>
      <c r="K12" s="12">
        <f t="shared" si="1"/>
        <v>0.2205071664829108</v>
      </c>
      <c r="L12" s="2">
        <f>VLOOKUP(A:A,MASTER!A:D,4,0)</f>
        <v>7</v>
      </c>
      <c r="M12" s="2">
        <f>VLOOKUP(A:A,MASTER!A:I,9,0)</f>
        <v>7</v>
      </c>
      <c r="N12" s="12">
        <f t="shared" si="2"/>
        <v>0</v>
      </c>
      <c r="O12" s="1">
        <f>VLOOKUP(A:A,MASTER!A:C,3,0)</f>
        <v>8</v>
      </c>
      <c r="P12" s="1">
        <f>VLOOKUP(A:A,MASTER!A:H,8,0)</f>
        <v>12</v>
      </c>
      <c r="Q12" s="12">
        <f t="shared" si="3"/>
        <v>0.5</v>
      </c>
      <c r="R12" s="1">
        <f>VLOOKUP(A:A,MASTER!A:B,2,0)</f>
        <v>2052</v>
      </c>
      <c r="S12">
        <f>VLOOKUP(A:A,MASTER!A:G,7,0)</f>
        <v>2235</v>
      </c>
      <c r="T12" s="12">
        <f t="shared" si="4"/>
        <v>8.9181286549707695E-2</v>
      </c>
      <c r="U12">
        <v>3</v>
      </c>
    </row>
    <row r="13" spans="1:21" x14ac:dyDescent="0.35">
      <c r="A13" t="s">
        <v>5</v>
      </c>
      <c r="B13" t="s">
        <v>6</v>
      </c>
      <c r="C13" t="s">
        <v>4</v>
      </c>
      <c r="D13" t="s">
        <v>495</v>
      </c>
      <c r="E13" t="s">
        <v>136</v>
      </c>
      <c r="F13" s="1">
        <f>VLOOKUP(A:A,MASTER!A:F,6,0)</f>
        <v>79222657.26855363</v>
      </c>
      <c r="G13" s="1">
        <f>VLOOKUP(A:A,MASTER!A:K,11,0)</f>
        <v>21823936.411166616</v>
      </c>
      <c r="H13" s="12">
        <f t="shared" si="0"/>
        <v>-0.72452405456198532</v>
      </c>
      <c r="I13" s="2">
        <f>VLOOKUP(A:A,MASTER!A:E,5,0)</f>
        <v>1541</v>
      </c>
      <c r="J13" s="2">
        <f>VLOOKUP(A:A,MASTER!A:J,10,0)</f>
        <v>1340</v>
      </c>
      <c r="K13" s="12">
        <f t="shared" si="1"/>
        <v>-0.13043478260869568</v>
      </c>
      <c r="L13" s="2">
        <f>VLOOKUP(A:A,MASTER!A:D,4,0)</f>
        <v>9</v>
      </c>
      <c r="M13" s="2">
        <f>VLOOKUP(A:A,MASTER!A:I,9,0)</f>
        <v>13</v>
      </c>
      <c r="N13" s="12">
        <f t="shared" si="2"/>
        <v>0.44444444444444442</v>
      </c>
      <c r="O13" s="1">
        <f>VLOOKUP(A:A,MASTER!A:C,3,0)</f>
        <v>10</v>
      </c>
      <c r="P13" s="1">
        <f>VLOOKUP(A:A,MASTER!A:H,8,0)</f>
        <v>5</v>
      </c>
      <c r="Q13" s="12">
        <f t="shared" si="3"/>
        <v>-0.5</v>
      </c>
      <c r="R13" s="1">
        <f>VLOOKUP(A:A,MASTER!A:B,2,0)</f>
        <v>2770</v>
      </c>
      <c r="S13">
        <f>VLOOKUP(A:A,MASTER!A:G,7,0)</f>
        <v>2589</v>
      </c>
      <c r="T13" s="12">
        <f t="shared" si="4"/>
        <v>-6.5342960288808705E-2</v>
      </c>
      <c r="U13">
        <v>4</v>
      </c>
    </row>
    <row r="14" spans="1:21" x14ac:dyDescent="0.35">
      <c r="A14" t="s">
        <v>36</v>
      </c>
      <c r="B14" t="s">
        <v>37</v>
      </c>
      <c r="C14" t="s">
        <v>4</v>
      </c>
      <c r="D14" t="s">
        <v>496</v>
      </c>
      <c r="E14" t="s">
        <v>136</v>
      </c>
      <c r="F14" s="1">
        <f>VLOOKUP(A:A,MASTER!A:F,6,0)</f>
        <v>61157017.882429466</v>
      </c>
      <c r="G14" s="1">
        <f>VLOOKUP(A:A,MASTER!A:K,11,0)</f>
        <v>2951493.0702380859</v>
      </c>
      <c r="H14" s="12">
        <f t="shared" si="0"/>
        <v>-0.95173909434380621</v>
      </c>
      <c r="I14" s="2">
        <f>VLOOKUP(A:A,MASTER!A:E,5,0)</f>
        <v>684</v>
      </c>
      <c r="J14" s="2">
        <f>VLOOKUP(A:A,MASTER!A:J,10,0)</f>
        <v>672</v>
      </c>
      <c r="K14" s="12">
        <f t="shared" si="1"/>
        <v>-1.7543859649122862E-2</v>
      </c>
      <c r="L14" s="2">
        <f>VLOOKUP(A:A,MASTER!A:D,4,0)</f>
        <v>6</v>
      </c>
      <c r="M14" s="2">
        <f>VLOOKUP(A:A,MASTER!A:I,9,0)</f>
        <v>8</v>
      </c>
      <c r="N14" s="12">
        <f t="shared" si="2"/>
        <v>0.33333333333333326</v>
      </c>
      <c r="O14" s="1">
        <f>VLOOKUP(A:A,MASTER!A:C,3,0)</f>
        <v>4</v>
      </c>
      <c r="P14" s="1">
        <f>VLOOKUP(A:A,MASTER!A:H,8,0)</f>
        <v>9</v>
      </c>
      <c r="Q14" s="12">
        <f t="shared" si="3"/>
        <v>1.25</v>
      </c>
      <c r="R14" s="1">
        <f>VLOOKUP(A:A,MASTER!A:B,2,0)</f>
        <v>1582</v>
      </c>
      <c r="S14">
        <f>VLOOKUP(A:A,MASTER!A:G,7,0)</f>
        <v>1653</v>
      </c>
      <c r="T14" s="12">
        <f t="shared" si="4"/>
        <v>4.4879898862199674E-2</v>
      </c>
      <c r="U14">
        <v>1</v>
      </c>
    </row>
    <row r="15" spans="1:21" x14ac:dyDescent="0.35">
      <c r="A15" t="s">
        <v>114</v>
      </c>
      <c r="B15" t="s">
        <v>115</v>
      </c>
      <c r="C15" t="s">
        <v>4</v>
      </c>
      <c r="D15" t="s">
        <v>494</v>
      </c>
      <c r="E15" t="s">
        <v>136</v>
      </c>
      <c r="F15" s="1">
        <f>VLOOKUP(A:A,MASTER!A:F,6,0)</f>
        <v>57711159.87159732</v>
      </c>
      <c r="G15" s="1">
        <f>VLOOKUP(A:A,MASTER!A:K,11,0)</f>
        <v>16856702.517390769</v>
      </c>
      <c r="H15" s="12">
        <f t="shared" si="0"/>
        <v>-0.70791260208778384</v>
      </c>
      <c r="I15" s="2">
        <f>VLOOKUP(A:A,MASTER!A:E,5,0)</f>
        <v>1171</v>
      </c>
      <c r="J15" s="2">
        <f>VLOOKUP(A:A,MASTER!A:J,10,0)</f>
        <v>939</v>
      </c>
      <c r="K15" s="12">
        <f t="shared" si="1"/>
        <v>-0.19812126387702822</v>
      </c>
      <c r="L15" s="2">
        <f>VLOOKUP(A:A,MASTER!A:D,4,0)</f>
        <v>11</v>
      </c>
      <c r="M15" s="2">
        <f>VLOOKUP(A:A,MASTER!A:I,9,0)</f>
        <v>8</v>
      </c>
      <c r="N15" s="12">
        <f t="shared" si="2"/>
        <v>-0.27272727272727271</v>
      </c>
      <c r="O15" s="1">
        <f>VLOOKUP(A:A,MASTER!A:C,3,0)</f>
        <v>4</v>
      </c>
      <c r="P15" s="1">
        <f>VLOOKUP(A:A,MASTER!A:H,8,0)</f>
        <v>5</v>
      </c>
      <c r="Q15" s="12">
        <f t="shared" si="3"/>
        <v>0.25</v>
      </c>
      <c r="R15" s="1">
        <f>VLOOKUP(A:A,MASTER!A:B,2,0)</f>
        <v>2065</v>
      </c>
      <c r="S15">
        <f>VLOOKUP(A:A,MASTER!A:G,7,0)</f>
        <v>1848</v>
      </c>
      <c r="T15" s="12">
        <f t="shared" si="4"/>
        <v>-0.10508474576271187</v>
      </c>
      <c r="U15">
        <v>2</v>
      </c>
    </row>
    <row r="16" spans="1:21" x14ac:dyDescent="0.35">
      <c r="A16" t="s">
        <v>116</v>
      </c>
      <c r="B16" t="s">
        <v>117</v>
      </c>
      <c r="C16" t="s">
        <v>4</v>
      </c>
      <c r="D16" t="s">
        <v>494</v>
      </c>
      <c r="E16" t="s">
        <v>135</v>
      </c>
      <c r="F16" s="1">
        <f>VLOOKUP(A:A,MASTER!A:F,6,0)</f>
        <v>35321384.219743297</v>
      </c>
      <c r="G16" s="1">
        <f>VLOOKUP(A:A,MASTER!A:K,11,0)</f>
        <v>2569020.8324608789</v>
      </c>
      <c r="H16" s="12">
        <f t="shared" si="0"/>
        <v>-0.92726726629742628</v>
      </c>
      <c r="I16" s="2">
        <f>VLOOKUP(A:A,MASTER!A:E,5,0)</f>
        <v>994</v>
      </c>
      <c r="J16" s="2">
        <f>VLOOKUP(A:A,MASTER!A:J,10,0)</f>
        <v>752</v>
      </c>
      <c r="K16" s="12">
        <f t="shared" si="1"/>
        <v>-0.24346076458752519</v>
      </c>
      <c r="L16" s="2">
        <f>VLOOKUP(A:A,MASTER!A:D,4,0)</f>
        <v>3</v>
      </c>
      <c r="M16" s="2">
        <f>VLOOKUP(A:A,MASTER!A:I,9,0)</f>
        <v>1</v>
      </c>
      <c r="N16" s="12">
        <f t="shared" si="2"/>
        <v>-0.66666666666666674</v>
      </c>
      <c r="O16" s="1">
        <f>VLOOKUP(A:A,MASTER!A:C,3,0)</f>
        <v>2</v>
      </c>
      <c r="P16" s="1">
        <f>VLOOKUP(A:A,MASTER!A:H,8,0)</f>
        <v>1</v>
      </c>
      <c r="Q16" s="12">
        <f t="shared" si="3"/>
        <v>-0.5</v>
      </c>
      <c r="R16" s="1">
        <f>VLOOKUP(A:A,MASTER!A:B,2,0)</f>
        <v>1639</v>
      </c>
      <c r="S16">
        <f>VLOOKUP(A:A,MASTER!A:G,7,0)</f>
        <v>1496</v>
      </c>
      <c r="T16" s="12">
        <f t="shared" si="4"/>
        <v>-8.7248322147650992E-2</v>
      </c>
      <c r="U16">
        <v>2</v>
      </c>
    </row>
    <row r="17" spans="1:21" x14ac:dyDescent="0.35">
      <c r="A17" t="s">
        <v>60</v>
      </c>
      <c r="B17" t="s">
        <v>61</v>
      </c>
      <c r="C17" t="s">
        <v>4</v>
      </c>
      <c r="D17" t="s">
        <v>500</v>
      </c>
      <c r="E17" t="s">
        <v>136</v>
      </c>
      <c r="F17" s="1">
        <f>VLOOKUP(A:A,MASTER!A:F,6,0)</f>
        <v>109397298.53121994</v>
      </c>
      <c r="G17" s="1">
        <f>VLOOKUP(A:A,MASTER!A:K,11,0)</f>
        <v>5768394.1592582501</v>
      </c>
      <c r="H17" s="12">
        <f t="shared" si="0"/>
        <v>-0.94727114621014108</v>
      </c>
      <c r="I17" s="2">
        <f>VLOOKUP(A:A,MASTER!A:E,5,0)</f>
        <v>1217</v>
      </c>
      <c r="J17" s="2">
        <f>VLOOKUP(A:A,MASTER!A:J,10,0)</f>
        <v>1201</v>
      </c>
      <c r="K17" s="12">
        <f t="shared" si="1"/>
        <v>-1.3147082990961345E-2</v>
      </c>
      <c r="L17" s="2">
        <f>VLOOKUP(A:A,MASTER!A:D,4,0)</f>
        <v>9</v>
      </c>
      <c r="M17" s="2">
        <f>VLOOKUP(A:A,MASTER!A:I,9,0)</f>
        <v>10</v>
      </c>
      <c r="N17" s="12">
        <f t="shared" si="2"/>
        <v>0.11111111111111116</v>
      </c>
      <c r="O17" s="1">
        <f>VLOOKUP(A:A,MASTER!A:C,3,0)</f>
        <v>15</v>
      </c>
      <c r="P17" s="1">
        <f>VLOOKUP(A:A,MASTER!A:H,8,0)</f>
        <v>14</v>
      </c>
      <c r="Q17" s="12">
        <f t="shared" si="3"/>
        <v>-6.6666666666666652E-2</v>
      </c>
      <c r="R17" s="1">
        <f>VLOOKUP(A:A,MASTER!A:B,2,0)</f>
        <v>2585</v>
      </c>
      <c r="S17">
        <f>VLOOKUP(A:A,MASTER!A:G,7,0)</f>
        <v>2640</v>
      </c>
      <c r="T17" s="12">
        <f t="shared" si="4"/>
        <v>2.1276595744680771E-2</v>
      </c>
      <c r="U17">
        <v>5</v>
      </c>
    </row>
    <row r="18" spans="1:21" x14ac:dyDescent="0.35">
      <c r="A18" t="s">
        <v>26</v>
      </c>
      <c r="B18" t="s">
        <v>27</v>
      </c>
      <c r="C18" t="s">
        <v>4</v>
      </c>
      <c r="D18" t="s">
        <v>496</v>
      </c>
      <c r="E18" t="s">
        <v>136</v>
      </c>
      <c r="F18" s="1">
        <f>VLOOKUP(A:A,MASTER!A:F,6,0)</f>
        <v>41073262.703666233</v>
      </c>
      <c r="G18" s="1">
        <f>VLOOKUP(A:A,MASTER!A:K,11,0)</f>
        <v>3029436.0557196401</v>
      </c>
      <c r="H18" s="12">
        <f t="shared" si="0"/>
        <v>-0.9262431115449411</v>
      </c>
      <c r="I18" s="2">
        <f>VLOOKUP(A:A,MASTER!A:E,5,0)</f>
        <v>591</v>
      </c>
      <c r="J18" s="2">
        <f>VLOOKUP(A:A,MASTER!A:J,10,0)</f>
        <v>1052</v>
      </c>
      <c r="K18" s="12">
        <f t="shared" si="1"/>
        <v>0.78003384094754646</v>
      </c>
      <c r="L18" s="2">
        <f>VLOOKUP(A:A,MASTER!A:D,4,0)</f>
        <v>5</v>
      </c>
      <c r="M18" s="2">
        <f>VLOOKUP(A:A,MASTER!A:I,9,0)</f>
        <v>5</v>
      </c>
      <c r="N18" s="12">
        <f t="shared" si="2"/>
        <v>0</v>
      </c>
      <c r="O18" s="1">
        <f>VLOOKUP(A:A,MASTER!A:C,3,0)</f>
        <v>3</v>
      </c>
      <c r="P18" s="1">
        <f>VLOOKUP(A:A,MASTER!A:H,8,0)</f>
        <v>1</v>
      </c>
      <c r="Q18" s="12">
        <f t="shared" si="3"/>
        <v>-0.66666666666666674</v>
      </c>
      <c r="R18" s="1">
        <f>VLOOKUP(A:A,MASTER!A:B,2,0)</f>
        <v>1688</v>
      </c>
      <c r="S18">
        <f>VLOOKUP(A:A,MASTER!A:G,7,0)</f>
        <v>1840</v>
      </c>
      <c r="T18" s="12">
        <f t="shared" si="4"/>
        <v>9.004739336492884E-2</v>
      </c>
      <c r="U18">
        <v>4</v>
      </c>
    </row>
    <row r="19" spans="1:21" x14ac:dyDescent="0.35">
      <c r="A19" t="s">
        <v>28</v>
      </c>
      <c r="B19" t="s">
        <v>29</v>
      </c>
      <c r="C19" t="s">
        <v>4</v>
      </c>
      <c r="D19" t="s">
        <v>496</v>
      </c>
      <c r="E19" t="s">
        <v>136</v>
      </c>
      <c r="F19" s="1">
        <f>VLOOKUP(A:A,MASTER!A:F,6,0)</f>
        <v>145279564.12726349</v>
      </c>
      <c r="G19" s="1">
        <f>VLOOKUP(A:A,MASTER!A:K,11,0)</f>
        <v>58016787.723746665</v>
      </c>
      <c r="H19" s="12">
        <f t="shared" si="0"/>
        <v>-0.60065417271678678</v>
      </c>
      <c r="I19" s="2">
        <f>VLOOKUP(A:A,MASTER!A:E,5,0)</f>
        <v>2000</v>
      </c>
      <c r="J19" s="2">
        <f>VLOOKUP(A:A,MASTER!A:J,10,0)</f>
        <v>1775</v>
      </c>
      <c r="K19" s="12">
        <f t="shared" si="1"/>
        <v>-0.11250000000000004</v>
      </c>
      <c r="L19" s="2">
        <f>VLOOKUP(A:A,MASTER!A:D,4,0)</f>
        <v>20</v>
      </c>
      <c r="M19" s="2">
        <f>VLOOKUP(A:A,MASTER!A:I,9,0)</f>
        <v>18</v>
      </c>
      <c r="N19" s="12">
        <f t="shared" si="2"/>
        <v>-9.9999999999999978E-2</v>
      </c>
      <c r="O19" s="1">
        <f>VLOOKUP(A:A,MASTER!A:C,3,0)</f>
        <v>15</v>
      </c>
      <c r="P19" s="1">
        <f>VLOOKUP(A:A,MASTER!A:H,8,0)</f>
        <v>6</v>
      </c>
      <c r="Q19" s="12">
        <f t="shared" si="3"/>
        <v>-0.6</v>
      </c>
      <c r="R19" s="1">
        <f>VLOOKUP(A:A,MASTER!A:B,2,0)</f>
        <v>3966</v>
      </c>
      <c r="S19">
        <f>VLOOKUP(A:A,MASTER!A:G,7,0)</f>
        <v>3820</v>
      </c>
      <c r="T19" s="12">
        <f t="shared" si="4"/>
        <v>-3.6812909732728216E-2</v>
      </c>
      <c r="U19">
        <v>5</v>
      </c>
    </row>
    <row r="20" spans="1:21" x14ac:dyDescent="0.35">
      <c r="A20" t="s">
        <v>62</v>
      </c>
      <c r="B20" t="s">
        <v>63</v>
      </c>
      <c r="C20" t="s">
        <v>4</v>
      </c>
      <c r="D20" t="s">
        <v>500</v>
      </c>
      <c r="E20" t="s">
        <v>136</v>
      </c>
      <c r="F20" s="1">
        <f>VLOOKUP(A:A,MASTER!A:F,6,0)</f>
        <v>47910481.546329409</v>
      </c>
      <c r="G20" s="1">
        <f>VLOOKUP(A:A,MASTER!A:K,11,0)</f>
        <v>6484173.5548857441</v>
      </c>
      <c r="H20" s="12">
        <f t="shared" si="0"/>
        <v>-0.86466064740727866</v>
      </c>
      <c r="I20" s="2">
        <f>VLOOKUP(A:A,MASTER!A:E,5,0)</f>
        <v>475</v>
      </c>
      <c r="J20" s="2">
        <f>VLOOKUP(A:A,MASTER!A:J,10,0)</f>
        <v>449</v>
      </c>
      <c r="K20" s="12">
        <f t="shared" si="1"/>
        <v>-5.4736842105263195E-2</v>
      </c>
      <c r="L20" s="2">
        <f>VLOOKUP(A:A,MASTER!A:D,4,0)</f>
        <v>8</v>
      </c>
      <c r="M20" s="2">
        <f>VLOOKUP(A:A,MASTER!A:I,9,0)</f>
        <v>7</v>
      </c>
      <c r="N20" s="12">
        <f t="shared" si="2"/>
        <v>-0.125</v>
      </c>
      <c r="O20" s="1">
        <f>VLOOKUP(A:A,MASTER!A:C,3,0)</f>
        <v>6</v>
      </c>
      <c r="P20" s="1">
        <f>VLOOKUP(A:A,MASTER!A:H,8,0)</f>
        <v>1</v>
      </c>
      <c r="Q20" s="12">
        <f t="shared" si="3"/>
        <v>-0.83333333333333337</v>
      </c>
      <c r="R20" s="1">
        <f>VLOOKUP(A:A,MASTER!A:B,2,0)</f>
        <v>1056</v>
      </c>
      <c r="S20">
        <f>VLOOKUP(A:A,MASTER!A:G,7,0)</f>
        <v>1056</v>
      </c>
      <c r="T20" s="12">
        <f t="shared" si="4"/>
        <v>0</v>
      </c>
      <c r="U20">
        <v>1</v>
      </c>
    </row>
    <row r="21" spans="1:21" x14ac:dyDescent="0.35">
      <c r="A21" t="s">
        <v>58</v>
      </c>
      <c r="B21" t="s">
        <v>59</v>
      </c>
      <c r="C21" t="s">
        <v>4</v>
      </c>
      <c r="D21" t="s">
        <v>500</v>
      </c>
      <c r="E21" t="s">
        <v>135</v>
      </c>
      <c r="F21" s="1">
        <f>VLOOKUP(A:A,MASTER!A:F,6,0)</f>
        <v>39885351.45943132</v>
      </c>
      <c r="G21" s="1">
        <f>VLOOKUP(A:A,MASTER!A:K,11,0)</f>
        <v>7861233.4238390941</v>
      </c>
      <c r="H21" s="12">
        <f t="shared" si="0"/>
        <v>-0.80290424588999776</v>
      </c>
      <c r="I21" s="2">
        <f>VLOOKUP(A:A,MASTER!A:E,5,0)</f>
        <v>438</v>
      </c>
      <c r="J21" s="2">
        <f>VLOOKUP(A:A,MASTER!A:J,10,0)</f>
        <v>417</v>
      </c>
      <c r="K21" s="12">
        <f t="shared" si="1"/>
        <v>-4.7945205479452024E-2</v>
      </c>
      <c r="L21" s="2">
        <f>VLOOKUP(A:A,MASTER!A:D,4,0)</f>
        <v>4</v>
      </c>
      <c r="M21" s="2">
        <f>VLOOKUP(A:A,MASTER!A:I,9,0)</f>
        <v>5</v>
      </c>
      <c r="N21" s="12">
        <f t="shared" si="2"/>
        <v>0.25</v>
      </c>
      <c r="O21" s="1">
        <f>VLOOKUP(A:A,MASTER!A:C,3,0)</f>
        <v>3</v>
      </c>
      <c r="P21" s="1">
        <f>VLOOKUP(A:A,MASTER!A:H,8,0)</f>
        <v>3</v>
      </c>
      <c r="Q21" s="12">
        <f t="shared" si="3"/>
        <v>0</v>
      </c>
      <c r="R21" s="1">
        <f>VLOOKUP(A:A,MASTER!A:B,2,0)</f>
        <v>965</v>
      </c>
      <c r="S21">
        <f>VLOOKUP(A:A,MASTER!A:G,7,0)</f>
        <v>1001</v>
      </c>
      <c r="T21" s="12">
        <f t="shared" si="4"/>
        <v>3.730569948186524E-2</v>
      </c>
      <c r="U21">
        <v>5</v>
      </c>
    </row>
    <row r="22" spans="1:21" x14ac:dyDescent="0.35">
      <c r="A22" t="s">
        <v>64</v>
      </c>
      <c r="B22" t="s">
        <v>65</v>
      </c>
      <c r="C22" t="s">
        <v>4</v>
      </c>
      <c r="D22" t="s">
        <v>500</v>
      </c>
      <c r="E22" t="s">
        <v>136</v>
      </c>
      <c r="F22" s="1">
        <f>VLOOKUP(A:A,MASTER!A:F,6,0)</f>
        <v>32450020.964348182</v>
      </c>
      <c r="G22" s="1">
        <f>VLOOKUP(A:A,MASTER!A:K,11,0)</f>
        <v>22705335.934742805</v>
      </c>
      <c r="H22" s="12">
        <f t="shared" si="0"/>
        <v>-0.30029826607235655</v>
      </c>
      <c r="I22" s="2">
        <f>VLOOKUP(A:A,MASTER!A:E,5,0)</f>
        <v>461</v>
      </c>
      <c r="J22" s="2">
        <f>VLOOKUP(A:A,MASTER!A:J,10,0)</f>
        <v>527</v>
      </c>
      <c r="K22" s="12">
        <f t="shared" si="1"/>
        <v>0.14316702819956606</v>
      </c>
      <c r="L22" s="2">
        <f>VLOOKUP(A:A,MASTER!A:D,4,0)</f>
        <v>3</v>
      </c>
      <c r="M22" s="2">
        <f>VLOOKUP(A:A,MASTER!A:I,9,0)</f>
        <v>5</v>
      </c>
      <c r="N22" s="12">
        <f t="shared" si="2"/>
        <v>0.66666666666666674</v>
      </c>
      <c r="O22" s="1">
        <f>VLOOKUP(A:A,MASTER!A:C,3,0)</f>
        <v>4</v>
      </c>
      <c r="P22" s="1">
        <f>VLOOKUP(A:A,MASTER!A:H,8,0)</f>
        <v>10</v>
      </c>
      <c r="Q22" s="12">
        <f t="shared" si="3"/>
        <v>1.5</v>
      </c>
      <c r="R22" s="1">
        <f>VLOOKUP(A:A,MASTER!A:B,2,0)</f>
        <v>926</v>
      </c>
      <c r="S22">
        <f>VLOOKUP(A:A,MASTER!A:G,7,0)</f>
        <v>1012</v>
      </c>
      <c r="T22" s="12">
        <f t="shared" si="4"/>
        <v>9.2872570194384441E-2</v>
      </c>
      <c r="U22">
        <v>4</v>
      </c>
    </row>
    <row r="23" spans="1:21" x14ac:dyDescent="0.35">
      <c r="A23" t="s">
        <v>122</v>
      </c>
      <c r="B23" t="s">
        <v>123</v>
      </c>
      <c r="C23" t="s">
        <v>4</v>
      </c>
      <c r="D23" t="s">
        <v>497</v>
      </c>
      <c r="E23" t="s">
        <v>136</v>
      </c>
      <c r="F23" s="1">
        <f>VLOOKUP(A:A,MASTER!A:F,6,0)</f>
        <v>71111317.301175833</v>
      </c>
      <c r="G23" s="1">
        <f>VLOOKUP(A:A,MASTER!A:K,11,0)</f>
        <v>4254808.0376265245</v>
      </c>
      <c r="H23" s="12">
        <f t="shared" si="0"/>
        <v>-0.94016693545970675</v>
      </c>
      <c r="I23" s="2">
        <f>VLOOKUP(A:A,MASTER!A:E,5,0)</f>
        <v>992</v>
      </c>
      <c r="J23" s="2">
        <f>VLOOKUP(A:A,MASTER!A:J,10,0)</f>
        <v>1000</v>
      </c>
      <c r="K23" s="12">
        <f t="shared" si="1"/>
        <v>8.0645161290322509E-3</v>
      </c>
      <c r="L23" s="2">
        <f>VLOOKUP(A:A,MASTER!A:D,4,0)</f>
        <v>0</v>
      </c>
      <c r="M23" s="2">
        <f>VLOOKUP(A:A,MASTER!A:I,9,0)</f>
        <v>0</v>
      </c>
      <c r="N23" s="12">
        <f t="shared" si="2"/>
        <v>0</v>
      </c>
      <c r="O23" s="1">
        <f>VLOOKUP(A:A,MASTER!A:C,3,0)</f>
        <v>9</v>
      </c>
      <c r="P23" s="1">
        <f>VLOOKUP(A:A,MASTER!A:H,8,0)</f>
        <v>12</v>
      </c>
      <c r="Q23" s="12">
        <f t="shared" si="3"/>
        <v>0.33333333333333326</v>
      </c>
      <c r="R23" s="1">
        <f>VLOOKUP(A:A,MASTER!A:B,2,0)</f>
        <v>2098</v>
      </c>
      <c r="S23">
        <f>VLOOKUP(A:A,MASTER!A:G,7,0)</f>
        <v>2227</v>
      </c>
      <c r="T23" s="12">
        <f t="shared" si="4"/>
        <v>6.1487130600571982E-2</v>
      </c>
      <c r="U23">
        <v>5</v>
      </c>
    </row>
    <row r="24" spans="1:21" x14ac:dyDescent="0.35">
      <c r="A24" t="s">
        <v>70</v>
      </c>
      <c r="B24" t="s">
        <v>71</v>
      </c>
      <c r="C24" t="s">
        <v>4</v>
      </c>
      <c r="D24" t="s">
        <v>500</v>
      </c>
      <c r="E24" t="s">
        <v>136</v>
      </c>
      <c r="F24" s="1">
        <f>VLOOKUP(A:A,MASTER!A:F,6,0)</f>
        <v>131533312.27499662</v>
      </c>
      <c r="G24" s="1">
        <f>VLOOKUP(A:A,MASTER!A:K,11,0)</f>
        <v>54345145.197786175</v>
      </c>
      <c r="H24" s="12">
        <f t="shared" si="0"/>
        <v>-0.58683359935339574</v>
      </c>
      <c r="I24" s="2">
        <f>VLOOKUP(A:A,MASTER!A:E,5,0)</f>
        <v>1816</v>
      </c>
      <c r="J24" s="2">
        <f>VLOOKUP(A:A,MASTER!A:J,10,0)</f>
        <v>1655</v>
      </c>
      <c r="K24" s="12">
        <f t="shared" si="1"/>
        <v>-8.8656387665198233E-2</v>
      </c>
      <c r="L24" s="2">
        <f>VLOOKUP(A:A,MASTER!A:D,4,0)</f>
        <v>5</v>
      </c>
      <c r="M24" s="2">
        <f>VLOOKUP(A:A,MASTER!A:I,9,0)</f>
        <v>6</v>
      </c>
      <c r="N24" s="12">
        <f t="shared" si="2"/>
        <v>0.19999999999999996</v>
      </c>
      <c r="O24" s="1">
        <f>VLOOKUP(A:A,MASTER!A:C,3,0)</f>
        <v>30</v>
      </c>
      <c r="P24" s="1">
        <f>VLOOKUP(A:A,MASTER!A:H,8,0)</f>
        <v>143</v>
      </c>
      <c r="Q24" s="12">
        <f t="shared" si="3"/>
        <v>3.7666666666666666</v>
      </c>
      <c r="R24" s="1">
        <f>VLOOKUP(A:A,MASTER!A:B,2,0)</f>
        <v>2646</v>
      </c>
      <c r="S24">
        <f>VLOOKUP(A:A,MASTER!A:G,7,0)</f>
        <v>2906</v>
      </c>
      <c r="T24" s="12">
        <f t="shared" si="4"/>
        <v>9.8261526832955415E-2</v>
      </c>
      <c r="U24">
        <v>4</v>
      </c>
    </row>
    <row r="25" spans="1:21" x14ac:dyDescent="0.35">
      <c r="A25" t="s">
        <v>72</v>
      </c>
      <c r="B25" t="s">
        <v>73</v>
      </c>
      <c r="C25" t="s">
        <v>4</v>
      </c>
      <c r="D25" t="s">
        <v>497</v>
      </c>
      <c r="E25" t="s">
        <v>136</v>
      </c>
      <c r="F25" s="1">
        <f>VLOOKUP(A:A,MASTER!A:F,6,0)</f>
        <v>147405001.74823934</v>
      </c>
      <c r="G25" s="1">
        <f>VLOOKUP(A:A,MASTER!A:K,11,0)</f>
        <v>39694081.67541907</v>
      </c>
      <c r="H25" s="12">
        <f t="shared" si="0"/>
        <v>-0.73071414670707946</v>
      </c>
      <c r="I25" s="2">
        <f>VLOOKUP(A:A,MASTER!A:E,5,0)</f>
        <v>1735</v>
      </c>
      <c r="J25" s="2">
        <f>VLOOKUP(A:A,MASTER!A:J,10,0)</f>
        <v>2020</v>
      </c>
      <c r="K25" s="12">
        <f t="shared" si="1"/>
        <v>0.16426512968299711</v>
      </c>
      <c r="L25" s="2">
        <f>VLOOKUP(A:A,MASTER!A:D,4,0)</f>
        <v>10</v>
      </c>
      <c r="M25" s="2">
        <f>VLOOKUP(A:A,MASTER!A:I,9,0)</f>
        <v>10</v>
      </c>
      <c r="N25" s="12">
        <f t="shared" si="2"/>
        <v>0</v>
      </c>
      <c r="O25" s="1">
        <f>VLOOKUP(A:A,MASTER!A:C,3,0)</f>
        <v>38</v>
      </c>
      <c r="P25" s="1">
        <f>VLOOKUP(A:A,MASTER!A:H,8,0)</f>
        <v>46</v>
      </c>
      <c r="Q25" s="12">
        <f t="shared" si="3"/>
        <v>0.21052631578947367</v>
      </c>
      <c r="R25" s="1">
        <f>VLOOKUP(A:A,MASTER!A:B,2,0)</f>
        <v>4875</v>
      </c>
      <c r="S25">
        <f>VLOOKUP(A:A,MASTER!A:G,7,0)</f>
        <v>4715</v>
      </c>
      <c r="T25" s="12">
        <f t="shared" si="4"/>
        <v>-3.2820512820512793E-2</v>
      </c>
      <c r="U25">
        <v>8</v>
      </c>
    </row>
    <row r="26" spans="1:21" x14ac:dyDescent="0.35">
      <c r="A26" t="s">
        <v>130</v>
      </c>
      <c r="B26" t="s">
        <v>131</v>
      </c>
      <c r="C26" t="s">
        <v>4</v>
      </c>
      <c r="D26" t="s">
        <v>497</v>
      </c>
      <c r="E26" t="s">
        <v>136</v>
      </c>
      <c r="F26" s="1">
        <f>VLOOKUP(A:A,MASTER!A:F,6,0)</f>
        <v>33739423.475518584</v>
      </c>
      <c r="G26" s="1">
        <f>VLOOKUP(A:A,MASTER!A:K,11,0)</f>
        <v>2038963.085351937</v>
      </c>
      <c r="H26" s="12">
        <f t="shared" si="0"/>
        <v>-0.93956734065620851</v>
      </c>
      <c r="I26" s="2">
        <f>VLOOKUP(A:A,MASTER!A:E,5,0)</f>
        <v>503</v>
      </c>
      <c r="J26" s="2">
        <f>VLOOKUP(A:A,MASTER!A:J,10,0)</f>
        <v>477</v>
      </c>
      <c r="K26" s="12">
        <f t="shared" si="1"/>
        <v>-5.1689860834990053E-2</v>
      </c>
      <c r="L26" s="2">
        <f>VLOOKUP(A:A,MASTER!A:D,4,0)</f>
        <v>1</v>
      </c>
      <c r="M26" s="2">
        <f>VLOOKUP(A:A,MASTER!A:I,9,0)</f>
        <v>1</v>
      </c>
      <c r="N26" s="12">
        <f t="shared" si="2"/>
        <v>0</v>
      </c>
      <c r="O26" s="1">
        <f>VLOOKUP(A:A,MASTER!A:C,3,0)</f>
        <v>5</v>
      </c>
      <c r="P26" s="1">
        <f>VLOOKUP(A:A,MASTER!A:H,8,0)</f>
        <v>1</v>
      </c>
      <c r="Q26" s="12">
        <f t="shared" si="3"/>
        <v>-0.8</v>
      </c>
      <c r="R26" s="1">
        <f>VLOOKUP(A:A,MASTER!A:B,2,0)</f>
        <v>1251</v>
      </c>
      <c r="S26">
        <f>VLOOKUP(A:A,MASTER!A:G,7,0)</f>
        <v>1321</v>
      </c>
      <c r="T26" s="12">
        <f t="shared" si="4"/>
        <v>5.5955235811350867E-2</v>
      </c>
      <c r="U26">
        <v>2</v>
      </c>
    </row>
    <row r="27" spans="1:21" x14ac:dyDescent="0.35">
      <c r="A27" t="s">
        <v>76</v>
      </c>
      <c r="B27" t="s">
        <v>77</v>
      </c>
      <c r="C27" t="s">
        <v>4</v>
      </c>
      <c r="D27" t="s">
        <v>498</v>
      </c>
      <c r="E27" t="s">
        <v>136</v>
      </c>
      <c r="F27" s="1">
        <f>VLOOKUP(A:A,MASTER!A:F,6,0)</f>
        <v>64829787.822178975</v>
      </c>
      <c r="G27" s="1">
        <f>VLOOKUP(A:A,MASTER!A:K,11,0)</f>
        <v>5108351.2124788929</v>
      </c>
      <c r="H27" s="12">
        <f t="shared" si="0"/>
        <v>-0.92120364134939725</v>
      </c>
      <c r="I27" s="2">
        <f>VLOOKUP(A:A,MASTER!A:E,5,0)</f>
        <v>992</v>
      </c>
      <c r="J27" s="2">
        <f>VLOOKUP(A:A,MASTER!A:J,10,0)</f>
        <v>882</v>
      </c>
      <c r="K27" s="12">
        <f t="shared" si="1"/>
        <v>-0.11088709677419351</v>
      </c>
      <c r="L27" s="2">
        <f>VLOOKUP(A:A,MASTER!A:D,4,0)</f>
        <v>10</v>
      </c>
      <c r="M27" s="2">
        <f>VLOOKUP(A:A,MASTER!A:I,9,0)</f>
        <v>10</v>
      </c>
      <c r="N27" s="12">
        <f t="shared" si="2"/>
        <v>0</v>
      </c>
      <c r="O27" s="1">
        <f>VLOOKUP(A:A,MASTER!A:C,3,0)</f>
        <v>18</v>
      </c>
      <c r="P27" s="1">
        <f>VLOOKUP(A:A,MASTER!A:H,8,0)</f>
        <v>10</v>
      </c>
      <c r="Q27" s="12">
        <f t="shared" si="3"/>
        <v>-0.44444444444444442</v>
      </c>
      <c r="R27" s="1">
        <f>VLOOKUP(A:A,MASTER!A:B,2,0)</f>
        <v>1978</v>
      </c>
      <c r="S27">
        <f>VLOOKUP(A:A,MASTER!A:G,7,0)</f>
        <v>2002</v>
      </c>
      <c r="T27" s="12">
        <f t="shared" si="4"/>
        <v>1.2133468149646109E-2</v>
      </c>
      <c r="U27">
        <v>7</v>
      </c>
    </row>
    <row r="28" spans="1:21" x14ac:dyDescent="0.35">
      <c r="A28" t="s">
        <v>128</v>
      </c>
      <c r="B28" t="s">
        <v>129</v>
      </c>
      <c r="C28" t="s">
        <v>4</v>
      </c>
      <c r="D28" t="s">
        <v>497</v>
      </c>
      <c r="E28" t="s">
        <v>135</v>
      </c>
      <c r="F28" s="1">
        <f>VLOOKUP(A:A,MASTER!A:F,6,0)</f>
        <v>33171009.049394973</v>
      </c>
      <c r="G28" s="1">
        <f>VLOOKUP(A:A,MASTER!A:K,11,0)</f>
        <v>1844643.168482081</v>
      </c>
      <c r="H28" s="12">
        <f t="shared" si="0"/>
        <v>-0.94438989885007052</v>
      </c>
      <c r="I28" s="2">
        <f>VLOOKUP(A:A,MASTER!A:E,5,0)</f>
        <v>739</v>
      </c>
      <c r="J28" s="2">
        <f>VLOOKUP(A:A,MASTER!A:J,10,0)</f>
        <v>655</v>
      </c>
      <c r="K28" s="12">
        <f t="shared" si="1"/>
        <v>-0.11366711772665761</v>
      </c>
      <c r="L28" s="2">
        <f>VLOOKUP(A:A,MASTER!A:D,4,0)</f>
        <v>1</v>
      </c>
      <c r="M28" s="2">
        <f>VLOOKUP(A:A,MASTER!A:I,9,0)</f>
        <v>2</v>
      </c>
      <c r="N28" s="12">
        <f t="shared" si="2"/>
        <v>1</v>
      </c>
      <c r="O28" s="1">
        <f>VLOOKUP(A:A,MASTER!A:C,3,0)</f>
        <v>3</v>
      </c>
      <c r="P28" s="1">
        <f>VLOOKUP(A:A,MASTER!A:H,8,0)</f>
        <v>61</v>
      </c>
      <c r="Q28" s="12">
        <f t="shared" si="3"/>
        <v>19.333333333333332</v>
      </c>
      <c r="R28" s="1">
        <f>VLOOKUP(A:A,MASTER!A:B,2,0)</f>
        <v>1455</v>
      </c>
      <c r="S28">
        <f>VLOOKUP(A:A,MASTER!A:G,7,0)</f>
        <v>1448</v>
      </c>
      <c r="T28" s="12">
        <f t="shared" si="4"/>
        <v>-4.8109965635738661E-3</v>
      </c>
      <c r="U28">
        <v>2</v>
      </c>
    </row>
    <row r="29" spans="1:21" x14ac:dyDescent="0.35">
      <c r="A29" t="s">
        <v>124</v>
      </c>
      <c r="B29" t="s">
        <v>125</v>
      </c>
      <c r="C29" t="s">
        <v>4</v>
      </c>
      <c r="D29" t="s">
        <v>497</v>
      </c>
      <c r="E29" t="s">
        <v>136</v>
      </c>
      <c r="F29" s="1">
        <f>VLOOKUP(A:A,MASTER!A:F,6,0)</f>
        <v>77365631.91260691</v>
      </c>
      <c r="G29" s="1">
        <f>VLOOKUP(A:A,MASTER!A:K,11,0)</f>
        <v>3884150.4937453428</v>
      </c>
      <c r="H29" s="12">
        <f t="shared" si="0"/>
        <v>-0.94979488439863169</v>
      </c>
      <c r="I29" s="2">
        <f>VLOOKUP(A:A,MASTER!A:E,5,0)</f>
        <v>1235</v>
      </c>
      <c r="J29" s="2">
        <f>VLOOKUP(A:A,MASTER!A:J,10,0)</f>
        <v>1133</v>
      </c>
      <c r="K29" s="12">
        <f t="shared" si="1"/>
        <v>-8.2591093117408865E-2</v>
      </c>
      <c r="L29" s="2">
        <f>VLOOKUP(A:A,MASTER!A:D,4,0)</f>
        <v>2</v>
      </c>
      <c r="M29" s="2">
        <f>VLOOKUP(A:A,MASTER!A:I,9,0)</f>
        <v>1</v>
      </c>
      <c r="N29" s="12">
        <f t="shared" si="2"/>
        <v>-0.5</v>
      </c>
      <c r="O29" s="1">
        <f>VLOOKUP(A:A,MASTER!A:C,3,0)</f>
        <v>10</v>
      </c>
      <c r="P29" s="1">
        <f>VLOOKUP(A:A,MASTER!A:H,8,0)</f>
        <v>12</v>
      </c>
      <c r="Q29" s="12">
        <f t="shared" si="3"/>
        <v>0.19999999999999996</v>
      </c>
      <c r="R29" s="1">
        <f>VLOOKUP(A:A,MASTER!A:B,2,0)</f>
        <v>2353</v>
      </c>
      <c r="S29">
        <f>VLOOKUP(A:A,MASTER!A:G,7,0)</f>
        <v>2351</v>
      </c>
      <c r="T29" s="12">
        <f t="shared" si="4"/>
        <v>-8.4997875053127725E-4</v>
      </c>
      <c r="U29">
        <v>2</v>
      </c>
    </row>
    <row r="30" spans="1:21" x14ac:dyDescent="0.35">
      <c r="A30" t="s">
        <v>78</v>
      </c>
      <c r="B30" t="s">
        <v>79</v>
      </c>
      <c r="C30" t="s">
        <v>4</v>
      </c>
      <c r="D30" t="s">
        <v>498</v>
      </c>
      <c r="E30" t="s">
        <v>136</v>
      </c>
      <c r="F30" s="1">
        <f>VLOOKUP(A:A,MASTER!A:F,6,0)</f>
        <v>107811372.28224684</v>
      </c>
      <c r="G30" s="1">
        <f>VLOOKUP(A:A,MASTER!A:K,11,0)</f>
        <v>5172385.785668659</v>
      </c>
      <c r="H30" s="12">
        <f t="shared" si="0"/>
        <v>-0.95202374595392858</v>
      </c>
      <c r="I30" s="2">
        <f>VLOOKUP(A:A,MASTER!A:E,5,0)</f>
        <v>1647</v>
      </c>
      <c r="J30" s="2">
        <f>VLOOKUP(A:A,MASTER!A:J,10,0)</f>
        <v>1710</v>
      </c>
      <c r="K30" s="12">
        <f t="shared" si="1"/>
        <v>3.8251366120218622E-2</v>
      </c>
      <c r="L30" s="2">
        <f>VLOOKUP(A:A,MASTER!A:D,4,0)</f>
        <v>9</v>
      </c>
      <c r="M30" s="2">
        <f>VLOOKUP(A:A,MASTER!A:I,9,0)</f>
        <v>9</v>
      </c>
      <c r="N30" s="12">
        <f t="shared" si="2"/>
        <v>0</v>
      </c>
      <c r="O30" s="1">
        <f>VLOOKUP(A:A,MASTER!A:C,3,0)</f>
        <v>29</v>
      </c>
      <c r="P30" s="1">
        <f>VLOOKUP(A:A,MASTER!A:H,8,0)</f>
        <v>10</v>
      </c>
      <c r="Q30" s="12">
        <f t="shared" si="3"/>
        <v>-0.65517241379310343</v>
      </c>
      <c r="R30" s="1">
        <f>VLOOKUP(A:A,MASTER!A:B,2,0)</f>
        <v>3499</v>
      </c>
      <c r="S30">
        <f>VLOOKUP(A:A,MASTER!A:G,7,0)</f>
        <v>3521</v>
      </c>
      <c r="T30" s="12">
        <f t="shared" si="4"/>
        <v>6.2875107173478995E-3</v>
      </c>
      <c r="U30">
        <v>4</v>
      </c>
    </row>
    <row r="31" spans="1:21" x14ac:dyDescent="0.35">
      <c r="A31" t="s">
        <v>80</v>
      </c>
      <c r="B31" t="s">
        <v>81</v>
      </c>
      <c r="C31" t="s">
        <v>4</v>
      </c>
      <c r="D31" t="s">
        <v>498</v>
      </c>
      <c r="E31" t="s">
        <v>136</v>
      </c>
      <c r="F31" s="1">
        <f>VLOOKUP(A:A,MASTER!A:F,6,0)</f>
        <v>39674693.87019936</v>
      </c>
      <c r="G31" s="1">
        <f>VLOOKUP(A:A,MASTER!A:K,11,0)</f>
        <v>2519951.391619524</v>
      </c>
      <c r="H31" s="12">
        <f t="shared" si="0"/>
        <v>-0.93648466703073108</v>
      </c>
      <c r="I31" s="2">
        <f>VLOOKUP(A:A,MASTER!A:E,5,0)</f>
        <v>479</v>
      </c>
      <c r="J31" s="2">
        <f>VLOOKUP(A:A,MASTER!A:J,10,0)</f>
        <v>740</v>
      </c>
      <c r="K31" s="12">
        <f t="shared" si="1"/>
        <v>0.54488517745302723</v>
      </c>
      <c r="L31" s="2">
        <f>VLOOKUP(A:A,MASTER!A:D,4,0)</f>
        <v>5</v>
      </c>
      <c r="M31" s="2">
        <f>VLOOKUP(A:A,MASTER!A:I,9,0)</f>
        <v>7</v>
      </c>
      <c r="N31" s="12">
        <f t="shared" si="2"/>
        <v>0.39999999999999991</v>
      </c>
      <c r="O31" s="1">
        <f>VLOOKUP(A:A,MASTER!A:C,3,0)</f>
        <v>6</v>
      </c>
      <c r="P31" s="1">
        <f>VLOOKUP(A:A,MASTER!A:H,8,0)</f>
        <v>4</v>
      </c>
      <c r="Q31" s="12">
        <f t="shared" si="3"/>
        <v>-0.33333333333333337</v>
      </c>
      <c r="R31" s="1">
        <f>VLOOKUP(A:A,MASTER!A:B,2,0)</f>
        <v>1343</v>
      </c>
      <c r="S31">
        <f>VLOOKUP(A:A,MASTER!A:G,7,0)</f>
        <v>1686</v>
      </c>
      <c r="T31" s="12">
        <f t="shared" si="4"/>
        <v>0.2553983618763962</v>
      </c>
      <c r="U31">
        <v>3</v>
      </c>
    </row>
    <row r="32" spans="1:21" x14ac:dyDescent="0.35">
      <c r="A32" t="s">
        <v>82</v>
      </c>
      <c r="B32" t="s">
        <v>83</v>
      </c>
      <c r="C32" t="s">
        <v>4</v>
      </c>
      <c r="D32" t="s">
        <v>498</v>
      </c>
      <c r="E32" t="s">
        <v>136</v>
      </c>
      <c r="F32" s="1">
        <f>VLOOKUP(A:A,MASTER!A:F,6,0)</f>
        <v>54904923.760475948</v>
      </c>
      <c r="G32" s="1">
        <f>VLOOKUP(A:A,MASTER!A:K,11,0)</f>
        <v>1059671.0086861181</v>
      </c>
      <c r="H32" s="12">
        <f t="shared" si="0"/>
        <v>-0.98069989108246547</v>
      </c>
      <c r="I32" s="2">
        <f>VLOOKUP(A:A,MASTER!A:E,5,0)</f>
        <v>588</v>
      </c>
      <c r="J32" s="2">
        <f>VLOOKUP(A:A,MASTER!A:J,10,0)</f>
        <v>451</v>
      </c>
      <c r="K32" s="12">
        <f t="shared" si="1"/>
        <v>-0.23299319727891155</v>
      </c>
      <c r="L32" s="2">
        <f>VLOOKUP(A:A,MASTER!A:D,4,0)</f>
        <v>8</v>
      </c>
      <c r="M32" s="2">
        <f>VLOOKUP(A:A,MASTER!A:I,9,0)</f>
        <v>8</v>
      </c>
      <c r="N32" s="12">
        <f t="shared" si="2"/>
        <v>0</v>
      </c>
      <c r="O32" s="1">
        <f>VLOOKUP(A:A,MASTER!A:C,3,0)</f>
        <v>9</v>
      </c>
      <c r="P32" s="1">
        <f>VLOOKUP(A:A,MASTER!A:H,8,0)</f>
        <v>3</v>
      </c>
      <c r="Q32" s="12">
        <f t="shared" si="3"/>
        <v>-0.66666666666666674</v>
      </c>
      <c r="R32" s="1">
        <f>VLOOKUP(A:A,MASTER!A:B,2,0)</f>
        <v>1321</v>
      </c>
      <c r="S32">
        <f>VLOOKUP(A:A,MASTER!A:G,7,0)</f>
        <v>1281</v>
      </c>
      <c r="T32" s="12">
        <f t="shared" si="4"/>
        <v>-3.02800908402725E-2</v>
      </c>
      <c r="U32">
        <v>10</v>
      </c>
    </row>
    <row r="33" spans="1:21" x14ac:dyDescent="0.35">
      <c r="A33" t="s">
        <v>20</v>
      </c>
      <c r="B33" t="s">
        <v>21</v>
      </c>
      <c r="C33" t="s">
        <v>4</v>
      </c>
      <c r="D33" t="s">
        <v>498</v>
      </c>
      <c r="E33" t="s">
        <v>136</v>
      </c>
      <c r="F33" s="1">
        <f>VLOOKUP(A:A,MASTER!A:F,6,0)</f>
        <v>173785924.35867625</v>
      </c>
      <c r="G33" s="1">
        <f>VLOOKUP(A:A,MASTER!A:K,11,0)</f>
        <v>10162733.648864685</v>
      </c>
      <c r="H33" s="12">
        <f t="shared" si="0"/>
        <v>-0.94152153756773849</v>
      </c>
      <c r="I33" s="2">
        <f>VLOOKUP(A:A,MASTER!A:E,5,0)</f>
        <v>1787</v>
      </c>
      <c r="J33" s="2">
        <f>VLOOKUP(A:A,MASTER!A:J,10,0)</f>
        <v>1695</v>
      </c>
      <c r="K33" s="12">
        <f t="shared" si="1"/>
        <v>-5.1482932288752115E-2</v>
      </c>
      <c r="L33" s="2">
        <f>VLOOKUP(A:A,MASTER!A:D,4,0)</f>
        <v>14</v>
      </c>
      <c r="M33" s="2">
        <f>VLOOKUP(A:A,MASTER!A:I,9,0)</f>
        <v>13</v>
      </c>
      <c r="N33" s="12">
        <f t="shared" si="2"/>
        <v>-7.1428571428571397E-2</v>
      </c>
      <c r="O33" s="1">
        <f>VLOOKUP(A:A,MASTER!A:C,3,0)</f>
        <v>31</v>
      </c>
      <c r="P33" s="1">
        <f>VLOOKUP(A:A,MASTER!A:H,8,0)</f>
        <v>21</v>
      </c>
      <c r="Q33" s="12">
        <f t="shared" si="3"/>
        <v>-0.32258064516129037</v>
      </c>
      <c r="R33" s="1">
        <f>VLOOKUP(A:A,MASTER!A:B,2,0)</f>
        <v>4014</v>
      </c>
      <c r="S33">
        <f>VLOOKUP(A:A,MASTER!A:G,7,0)</f>
        <v>3872</v>
      </c>
      <c r="T33" s="12">
        <f t="shared" si="4"/>
        <v>-3.5376183358246105E-2</v>
      </c>
      <c r="U33">
        <v>10</v>
      </c>
    </row>
    <row r="34" spans="1:21" x14ac:dyDescent="0.35">
      <c r="A34" t="s">
        <v>22</v>
      </c>
      <c r="B34" t="s">
        <v>23</v>
      </c>
      <c r="C34" t="s">
        <v>4</v>
      </c>
      <c r="D34" t="s">
        <v>498</v>
      </c>
      <c r="E34" t="s">
        <v>136</v>
      </c>
      <c r="F34" s="1">
        <f>VLOOKUP(A:A,MASTER!A:F,6,0)</f>
        <v>138073816.18297487</v>
      </c>
      <c r="G34" s="1">
        <f>VLOOKUP(A:A,MASTER!A:K,11,0)</f>
        <v>18067214.803626083</v>
      </c>
      <c r="H34" s="12">
        <f t="shared" si="0"/>
        <v>-0.86914814623734682</v>
      </c>
      <c r="I34" s="2">
        <f>VLOOKUP(A:A,MASTER!A:E,5,0)</f>
        <v>1541</v>
      </c>
      <c r="J34" s="2">
        <f>VLOOKUP(A:A,MASTER!A:J,10,0)</f>
        <v>1493</v>
      </c>
      <c r="K34" s="12">
        <f t="shared" si="1"/>
        <v>-3.1148604802076596E-2</v>
      </c>
      <c r="L34" s="2">
        <f>VLOOKUP(A:A,MASTER!A:D,4,0)</f>
        <v>11</v>
      </c>
      <c r="M34" s="2">
        <f>VLOOKUP(A:A,MASTER!A:I,9,0)</f>
        <v>12</v>
      </c>
      <c r="N34" s="12">
        <f t="shared" si="2"/>
        <v>9.0909090909090828E-2</v>
      </c>
      <c r="O34" s="1">
        <f>VLOOKUP(A:A,MASTER!A:C,3,0)</f>
        <v>33</v>
      </c>
      <c r="P34" s="1">
        <f>VLOOKUP(A:A,MASTER!A:H,8,0)</f>
        <v>22</v>
      </c>
      <c r="Q34" s="12">
        <f t="shared" si="3"/>
        <v>-0.33333333333333337</v>
      </c>
      <c r="R34" s="1">
        <f>VLOOKUP(A:A,MASTER!A:B,2,0)</f>
        <v>3631</v>
      </c>
      <c r="S34">
        <f>VLOOKUP(A:A,MASTER!A:G,7,0)</f>
        <v>3655</v>
      </c>
      <c r="T34" s="12">
        <f t="shared" si="4"/>
        <v>6.609749380336094E-3</v>
      </c>
      <c r="U34">
        <v>9</v>
      </c>
    </row>
    <row r="35" spans="1:21" x14ac:dyDescent="0.35">
      <c r="A35" t="s">
        <v>24</v>
      </c>
      <c r="B35" t="s">
        <v>25</v>
      </c>
      <c r="C35" t="s">
        <v>4</v>
      </c>
      <c r="D35" t="s">
        <v>498</v>
      </c>
      <c r="E35" t="s">
        <v>136</v>
      </c>
      <c r="F35" s="1">
        <f>VLOOKUP(A:A,MASTER!A:F,6,0)</f>
        <v>83376615.981993362</v>
      </c>
      <c r="G35" s="1">
        <f>VLOOKUP(A:A,MASTER!A:K,11,0)</f>
        <v>4427499.9637732701</v>
      </c>
      <c r="H35" s="12">
        <f t="shared" si="0"/>
        <v>-0.94689758139465063</v>
      </c>
      <c r="I35" s="2">
        <f>VLOOKUP(A:A,MASTER!A:E,5,0)</f>
        <v>828</v>
      </c>
      <c r="J35" s="2">
        <f>VLOOKUP(A:A,MASTER!A:J,10,0)</f>
        <v>803</v>
      </c>
      <c r="K35" s="12">
        <f t="shared" si="1"/>
        <v>-3.0193236714975868E-2</v>
      </c>
      <c r="L35" s="2">
        <f>VLOOKUP(A:A,MASTER!A:D,4,0)</f>
        <v>2</v>
      </c>
      <c r="M35" s="2">
        <f>VLOOKUP(A:A,MASTER!A:I,9,0)</f>
        <v>3</v>
      </c>
      <c r="N35" s="12">
        <f t="shared" si="2"/>
        <v>0.5</v>
      </c>
      <c r="O35" s="1">
        <f>VLOOKUP(A:A,MASTER!A:C,3,0)</f>
        <v>10</v>
      </c>
      <c r="P35" s="1">
        <f>VLOOKUP(A:A,MASTER!A:H,8,0)</f>
        <v>4</v>
      </c>
      <c r="Q35" s="12">
        <f t="shared" si="3"/>
        <v>-0.6</v>
      </c>
      <c r="R35" s="1">
        <f>VLOOKUP(A:A,MASTER!A:B,2,0)</f>
        <v>1892</v>
      </c>
      <c r="S35">
        <f>VLOOKUP(A:A,MASTER!A:G,7,0)</f>
        <v>1939</v>
      </c>
      <c r="T35" s="12">
        <f t="shared" si="4"/>
        <v>2.484143763213531E-2</v>
      </c>
      <c r="U35">
        <v>4</v>
      </c>
    </row>
    <row r="36" spans="1:21" x14ac:dyDescent="0.35">
      <c r="A36" t="s">
        <v>9</v>
      </c>
      <c r="B36" t="s">
        <v>10</v>
      </c>
      <c r="C36" t="s">
        <v>4</v>
      </c>
      <c r="D36" t="s">
        <v>495</v>
      </c>
      <c r="E36" t="s">
        <v>136</v>
      </c>
      <c r="F36" s="1">
        <f>VLOOKUP(A:A,MASTER!A:F,6,0)</f>
        <v>105365872.65252832</v>
      </c>
      <c r="G36" s="1">
        <f>VLOOKUP(A:A,MASTER!A:K,11,0)</f>
        <v>22949546.306521486</v>
      </c>
      <c r="H36" s="12">
        <f t="shared" si="0"/>
        <v>-0.78219184515081408</v>
      </c>
      <c r="I36" s="2">
        <f>VLOOKUP(A:A,MASTER!A:E,5,0)</f>
        <v>2033</v>
      </c>
      <c r="J36" s="2">
        <f>VLOOKUP(A:A,MASTER!A:J,10,0)</f>
        <v>2087</v>
      </c>
      <c r="K36" s="12">
        <f t="shared" si="1"/>
        <v>2.6561731431382185E-2</v>
      </c>
      <c r="L36" s="2">
        <f>VLOOKUP(A:A,MASTER!A:D,4,0)</f>
        <v>11</v>
      </c>
      <c r="M36" s="2">
        <f>VLOOKUP(A:A,MASTER!A:I,9,0)</f>
        <v>12</v>
      </c>
      <c r="N36" s="12">
        <f t="shared" si="2"/>
        <v>9.0909090909090828E-2</v>
      </c>
      <c r="O36" s="1">
        <f>VLOOKUP(A:A,MASTER!A:C,3,0)</f>
        <v>13</v>
      </c>
      <c r="P36" s="1">
        <f>VLOOKUP(A:A,MASTER!A:H,8,0)</f>
        <v>15</v>
      </c>
      <c r="Q36" s="12">
        <f t="shared" si="3"/>
        <v>0.15384615384615374</v>
      </c>
      <c r="R36" s="1">
        <f>VLOOKUP(A:A,MASTER!A:B,2,0)</f>
        <v>3801</v>
      </c>
      <c r="S36">
        <f>VLOOKUP(A:A,MASTER!A:G,7,0)</f>
        <v>3661</v>
      </c>
      <c r="T36" s="12">
        <f t="shared" si="4"/>
        <v>-3.6832412523020275E-2</v>
      </c>
      <c r="U36">
        <v>6</v>
      </c>
    </row>
    <row r="37" spans="1:21" x14ac:dyDescent="0.35">
      <c r="A37" t="s">
        <v>11</v>
      </c>
      <c r="B37" t="s">
        <v>12</v>
      </c>
      <c r="C37" t="s">
        <v>4</v>
      </c>
      <c r="D37" t="s">
        <v>495</v>
      </c>
      <c r="E37" t="s">
        <v>136</v>
      </c>
      <c r="F37" s="1">
        <f>VLOOKUP(A:A,MASTER!A:F,6,0)</f>
        <v>46538174.475944117</v>
      </c>
      <c r="G37" s="1">
        <f>VLOOKUP(A:A,MASTER!A:K,11,0)</f>
        <v>11303026.99489294</v>
      </c>
      <c r="H37" s="12">
        <f t="shared" ref="H37:H46" si="5">IFERROR(G37/F37-1,0)</f>
        <v>-0.75712354164782403</v>
      </c>
      <c r="I37" s="2">
        <f>VLOOKUP(A:A,MASTER!A:E,5,0)</f>
        <v>667</v>
      </c>
      <c r="J37" s="2">
        <f>VLOOKUP(A:A,MASTER!A:J,10,0)</f>
        <v>794</v>
      </c>
      <c r="K37" s="12">
        <f t="shared" ref="K37:K46" si="6">IFERROR(J37/I37-1,0)</f>
        <v>0.19040479760119933</v>
      </c>
      <c r="L37" s="2">
        <f>VLOOKUP(A:A,MASTER!A:D,4,0)</f>
        <v>6</v>
      </c>
      <c r="M37" s="2">
        <f>VLOOKUP(A:A,MASTER!A:I,9,0)</f>
        <v>5</v>
      </c>
      <c r="N37" s="12">
        <f t="shared" ref="N37:N46" si="7">IFERROR(M37/L37-1,0)</f>
        <v>-0.16666666666666663</v>
      </c>
      <c r="O37" s="1">
        <f>VLOOKUP(A:A,MASTER!A:C,3,0)</f>
        <v>6</v>
      </c>
      <c r="P37" s="1">
        <f>VLOOKUP(A:A,MASTER!A:H,8,0)</f>
        <v>5</v>
      </c>
      <c r="Q37" s="12">
        <f t="shared" ref="Q37:Q46" si="8">IFERROR(P37/O37-1,0)</f>
        <v>-0.16666666666666663</v>
      </c>
      <c r="R37" s="1">
        <f>VLOOKUP(A:A,MASTER!A:B,2,0)</f>
        <v>1721</v>
      </c>
      <c r="S37">
        <f>VLOOKUP(A:A,MASTER!A:G,7,0)</f>
        <v>1763</v>
      </c>
      <c r="T37" s="12">
        <f t="shared" ref="T37:T46" si="9">IFERROR(S37/R37-1,0)</f>
        <v>2.4404416037187682E-2</v>
      </c>
      <c r="U37">
        <v>3</v>
      </c>
    </row>
    <row r="38" spans="1:21" x14ac:dyDescent="0.35">
      <c r="A38" t="s">
        <v>118</v>
      </c>
      <c r="B38" t="s">
        <v>119</v>
      </c>
      <c r="C38" t="s">
        <v>4</v>
      </c>
      <c r="D38" t="s">
        <v>494</v>
      </c>
      <c r="E38" t="s">
        <v>136</v>
      </c>
      <c r="F38" s="1">
        <f>VLOOKUP(A:A,MASTER!A:F,6,0)</f>
        <v>101144116.9889805</v>
      </c>
      <c r="G38" s="1">
        <f>VLOOKUP(A:A,MASTER!A:K,11,0)</f>
        <v>38146634.35815163</v>
      </c>
      <c r="H38" s="12">
        <f t="shared" si="5"/>
        <v>-0.62284870841961426</v>
      </c>
      <c r="I38" s="2">
        <f>VLOOKUP(A:A,MASTER!A:E,5,0)</f>
        <v>1519</v>
      </c>
      <c r="J38" s="2">
        <f>VLOOKUP(A:A,MASTER!A:J,10,0)</f>
        <v>1578</v>
      </c>
      <c r="K38" s="12">
        <f t="shared" si="6"/>
        <v>3.8841342988808369E-2</v>
      </c>
      <c r="L38" s="2">
        <f>VLOOKUP(A:A,MASTER!A:D,4,0)</f>
        <v>11</v>
      </c>
      <c r="M38" s="2">
        <f>VLOOKUP(A:A,MASTER!A:I,9,0)</f>
        <v>12</v>
      </c>
      <c r="N38" s="12">
        <f t="shared" si="7"/>
        <v>9.0909090909090828E-2</v>
      </c>
      <c r="O38" s="1">
        <f>VLOOKUP(A:A,MASTER!A:C,3,0)</f>
        <v>70</v>
      </c>
      <c r="P38" s="1">
        <f>VLOOKUP(A:A,MASTER!A:H,8,0)</f>
        <v>60</v>
      </c>
      <c r="Q38" s="12">
        <f t="shared" si="8"/>
        <v>-0.1428571428571429</v>
      </c>
      <c r="R38" s="1">
        <f>VLOOKUP(A:A,MASTER!A:B,2,0)</f>
        <v>3380</v>
      </c>
      <c r="S38">
        <f>VLOOKUP(A:A,MASTER!A:G,7,0)</f>
        <v>3363</v>
      </c>
      <c r="T38" s="12">
        <f t="shared" si="9"/>
        <v>-5.029585798816516E-3</v>
      </c>
      <c r="U38">
        <v>4</v>
      </c>
    </row>
    <row r="39" spans="1:21" x14ac:dyDescent="0.35">
      <c r="A39" t="s">
        <v>126</v>
      </c>
      <c r="B39" t="s">
        <v>127</v>
      </c>
      <c r="C39" t="s">
        <v>4</v>
      </c>
      <c r="D39" t="s">
        <v>497</v>
      </c>
      <c r="E39" t="s">
        <v>136</v>
      </c>
      <c r="F39" s="1">
        <f>VLOOKUP(A:A,MASTER!A:F,6,0)</f>
        <v>41843537.455111928</v>
      </c>
      <c r="G39" s="1">
        <f>VLOOKUP(A:A,MASTER!A:K,11,0)</f>
        <v>3557710.2473687078</v>
      </c>
      <c r="H39" s="12">
        <f t="shared" si="5"/>
        <v>-0.91497587288872795</v>
      </c>
      <c r="I39" s="2">
        <f>VLOOKUP(A:A,MASTER!A:E,5,0)</f>
        <v>744</v>
      </c>
      <c r="J39" s="2">
        <f>VLOOKUP(A:A,MASTER!A:J,10,0)</f>
        <v>920</v>
      </c>
      <c r="K39" s="12">
        <f t="shared" si="6"/>
        <v>0.23655913978494625</v>
      </c>
      <c r="L39" s="2">
        <f>VLOOKUP(A:A,MASTER!A:D,4,0)</f>
        <v>0</v>
      </c>
      <c r="M39" s="2">
        <f>VLOOKUP(A:A,MASTER!A:I,9,0)</f>
        <v>2</v>
      </c>
      <c r="N39" s="12">
        <f t="shared" si="7"/>
        <v>0</v>
      </c>
      <c r="O39" s="1">
        <f>VLOOKUP(A:A,MASTER!A:C,3,0)</f>
        <v>5</v>
      </c>
      <c r="P39" s="1">
        <f>VLOOKUP(A:A,MASTER!A:H,8,0)</f>
        <v>4</v>
      </c>
      <c r="Q39" s="12">
        <f t="shared" si="8"/>
        <v>-0.19999999999999996</v>
      </c>
      <c r="R39" s="1">
        <f>VLOOKUP(A:A,MASTER!A:B,2,0)</f>
        <v>1681</v>
      </c>
      <c r="S39">
        <f>VLOOKUP(A:A,MASTER!A:G,7,0)</f>
        <v>1952</v>
      </c>
      <c r="T39" s="12">
        <f t="shared" si="9"/>
        <v>0.16121356335514569</v>
      </c>
      <c r="U39">
        <v>3</v>
      </c>
    </row>
    <row r="40" spans="1:21" x14ac:dyDescent="0.35">
      <c r="A40" t="s">
        <v>30</v>
      </c>
      <c r="B40" t="s">
        <v>31</v>
      </c>
      <c r="C40" t="s">
        <v>4</v>
      </c>
      <c r="D40" t="s">
        <v>500</v>
      </c>
      <c r="E40" t="s">
        <v>135</v>
      </c>
      <c r="F40" s="1">
        <f>VLOOKUP(A:A,MASTER!A:F,6,0)</f>
        <v>32887330.843816411</v>
      </c>
      <c r="G40" s="1">
        <f>VLOOKUP(A:A,MASTER!A:K,11,0)</f>
        <v>7301101.6637530196</v>
      </c>
      <c r="H40" s="12">
        <f t="shared" si="5"/>
        <v>-0.77799652703874578</v>
      </c>
      <c r="I40" s="2">
        <f>VLOOKUP(A:A,MASTER!A:E,5,0)</f>
        <v>477</v>
      </c>
      <c r="J40" s="2">
        <f>VLOOKUP(A:A,MASTER!A:J,10,0)</f>
        <v>465</v>
      </c>
      <c r="K40" s="12">
        <f t="shared" si="6"/>
        <v>-2.515723270440251E-2</v>
      </c>
      <c r="L40" s="2">
        <f>VLOOKUP(A:A,MASTER!A:D,4,0)</f>
        <v>16</v>
      </c>
      <c r="M40" s="2">
        <f>VLOOKUP(A:A,MASTER!A:I,9,0)</f>
        <v>15</v>
      </c>
      <c r="N40" s="12">
        <f t="shared" si="7"/>
        <v>-6.25E-2</v>
      </c>
      <c r="O40" s="1">
        <f>VLOOKUP(A:A,MASTER!A:C,3,0)</f>
        <v>5</v>
      </c>
      <c r="P40" s="1">
        <f>VLOOKUP(A:A,MASTER!A:H,8,0)</f>
        <v>5</v>
      </c>
      <c r="Q40" s="12">
        <f t="shared" si="8"/>
        <v>0</v>
      </c>
      <c r="R40" s="1">
        <f>VLOOKUP(A:A,MASTER!A:B,2,0)</f>
        <v>971</v>
      </c>
      <c r="S40">
        <f>VLOOKUP(A:A,MASTER!A:G,7,0)</f>
        <v>984</v>
      </c>
      <c r="T40" s="12">
        <f t="shared" si="9"/>
        <v>1.3388259526261548E-2</v>
      </c>
      <c r="U40">
        <v>0</v>
      </c>
    </row>
    <row r="41" spans="1:21" x14ac:dyDescent="0.35">
      <c r="A41" t="s">
        <v>84</v>
      </c>
      <c r="B41" t="s">
        <v>85</v>
      </c>
      <c r="C41" t="s">
        <v>4</v>
      </c>
      <c r="D41" t="s">
        <v>498</v>
      </c>
      <c r="E41" t="s">
        <v>136</v>
      </c>
      <c r="F41" s="1">
        <f>VLOOKUP(A:A,MASTER!A:F,6,0)</f>
        <v>54813342.855466351</v>
      </c>
      <c r="G41" s="1">
        <f>VLOOKUP(A:A,MASTER!A:K,11,0)</f>
        <v>3303785.2801126912</v>
      </c>
      <c r="H41" s="12">
        <f t="shared" si="5"/>
        <v>-0.93972662297163256</v>
      </c>
      <c r="I41" s="2">
        <f>VLOOKUP(A:A,MASTER!A:E,5,0)</f>
        <v>819</v>
      </c>
      <c r="J41" s="2">
        <f>VLOOKUP(A:A,MASTER!A:J,10,0)</f>
        <v>783</v>
      </c>
      <c r="K41" s="12">
        <f t="shared" si="6"/>
        <v>-4.3956043956043911E-2</v>
      </c>
      <c r="L41" s="2">
        <f>VLOOKUP(A:A,MASTER!A:D,4,0)</f>
        <v>3</v>
      </c>
      <c r="M41" s="2">
        <f>VLOOKUP(A:A,MASTER!A:I,9,0)</f>
        <v>6</v>
      </c>
      <c r="N41" s="12">
        <f t="shared" si="7"/>
        <v>1</v>
      </c>
      <c r="O41" s="1">
        <f>VLOOKUP(A:A,MASTER!A:C,3,0)</f>
        <v>13</v>
      </c>
      <c r="P41" s="1">
        <f>VLOOKUP(A:A,MASTER!A:H,8,0)</f>
        <v>12</v>
      </c>
      <c r="Q41" s="12">
        <f t="shared" si="8"/>
        <v>-7.6923076923076872E-2</v>
      </c>
      <c r="R41" s="1">
        <f>VLOOKUP(A:A,MASTER!A:B,2,0)</f>
        <v>1762</v>
      </c>
      <c r="S41">
        <f>VLOOKUP(A:A,MASTER!A:G,7,0)</f>
        <v>1924</v>
      </c>
      <c r="T41" s="12">
        <f t="shared" si="9"/>
        <v>9.1940976163450649E-2</v>
      </c>
      <c r="U41">
        <v>4</v>
      </c>
    </row>
    <row r="42" spans="1:21" x14ac:dyDescent="0.35">
      <c r="A42" t="s">
        <v>32</v>
      </c>
      <c r="B42" t="s">
        <v>33</v>
      </c>
      <c r="C42" t="s">
        <v>4</v>
      </c>
      <c r="D42" t="s">
        <v>496</v>
      </c>
      <c r="E42" t="s">
        <v>136</v>
      </c>
      <c r="F42" s="1">
        <f>VLOOKUP(A:A,MASTER!A:F,6,0)</f>
        <v>53075703.229022741</v>
      </c>
      <c r="G42" s="1">
        <f>VLOOKUP(A:A,MASTER!A:K,11,0)</f>
        <v>10144456.55244264</v>
      </c>
      <c r="H42" s="12">
        <f t="shared" si="5"/>
        <v>-0.80886816499313996</v>
      </c>
      <c r="I42" s="2">
        <f>VLOOKUP(A:A,MASTER!A:E,5,0)</f>
        <v>880</v>
      </c>
      <c r="J42" s="2">
        <f>VLOOKUP(A:A,MASTER!A:J,10,0)</f>
        <v>770</v>
      </c>
      <c r="K42" s="12">
        <f t="shared" si="6"/>
        <v>-0.125</v>
      </c>
      <c r="L42" s="2">
        <f>VLOOKUP(A:A,MASTER!A:D,4,0)</f>
        <v>14</v>
      </c>
      <c r="M42" s="2">
        <f>VLOOKUP(A:A,MASTER!A:I,9,0)</f>
        <v>14</v>
      </c>
      <c r="N42" s="12">
        <f t="shared" si="7"/>
        <v>0</v>
      </c>
      <c r="O42" s="1">
        <f>VLOOKUP(A:A,MASTER!A:C,3,0)</f>
        <v>3</v>
      </c>
      <c r="P42" s="1">
        <f>VLOOKUP(A:A,MASTER!A:H,8,0)</f>
        <v>5</v>
      </c>
      <c r="Q42" s="12">
        <f t="shared" si="8"/>
        <v>0.66666666666666674</v>
      </c>
      <c r="R42" s="1">
        <f>VLOOKUP(A:A,MASTER!A:B,2,0)</f>
        <v>1683</v>
      </c>
      <c r="S42">
        <f>VLOOKUP(A:A,MASTER!A:G,7,0)</f>
        <v>1726</v>
      </c>
      <c r="T42" s="12">
        <f t="shared" si="9"/>
        <v>2.5549613784907832E-2</v>
      </c>
      <c r="U42">
        <v>2</v>
      </c>
    </row>
    <row r="43" spans="1:21" x14ac:dyDescent="0.35">
      <c r="A43" t="s">
        <v>66</v>
      </c>
      <c r="B43" t="s">
        <v>67</v>
      </c>
      <c r="C43" t="s">
        <v>4</v>
      </c>
      <c r="D43" t="s">
        <v>500</v>
      </c>
      <c r="E43" t="s">
        <v>136</v>
      </c>
      <c r="F43" s="1">
        <f>VLOOKUP(A:A,MASTER!A:F,6,0)</f>
        <v>55695439.744008735</v>
      </c>
      <c r="G43" s="1">
        <f>VLOOKUP(A:A,MASTER!A:K,11,0)</f>
        <v>2661166.0961867152</v>
      </c>
      <c r="H43" s="12">
        <f t="shared" si="5"/>
        <v>-0.9522193179833367</v>
      </c>
      <c r="I43" s="2">
        <f>VLOOKUP(A:A,MASTER!A:E,5,0)</f>
        <v>889</v>
      </c>
      <c r="J43" s="2">
        <f>VLOOKUP(A:A,MASTER!A:J,10,0)</f>
        <v>808</v>
      </c>
      <c r="K43" s="12">
        <f t="shared" si="6"/>
        <v>-9.1113610798650213E-2</v>
      </c>
      <c r="L43" s="2">
        <f>VLOOKUP(A:A,MASTER!A:D,4,0)</f>
        <v>8</v>
      </c>
      <c r="M43" s="2">
        <f>VLOOKUP(A:A,MASTER!A:I,9,0)</f>
        <v>8</v>
      </c>
      <c r="N43" s="12">
        <f t="shared" si="7"/>
        <v>0</v>
      </c>
      <c r="O43" s="1">
        <f>VLOOKUP(A:A,MASTER!A:C,3,0)</f>
        <v>6</v>
      </c>
      <c r="P43" s="1">
        <f>VLOOKUP(A:A,MASTER!A:H,8,0)</f>
        <v>5</v>
      </c>
      <c r="Q43" s="12">
        <f t="shared" si="8"/>
        <v>-0.16666666666666663</v>
      </c>
      <c r="R43" s="1">
        <f>VLOOKUP(A:A,MASTER!A:B,2,0)</f>
        <v>1662</v>
      </c>
      <c r="S43">
        <f>VLOOKUP(A:A,MASTER!A:G,7,0)</f>
        <v>1652</v>
      </c>
      <c r="T43" s="12">
        <f t="shared" si="9"/>
        <v>-6.0168471720818406E-3</v>
      </c>
      <c r="U43">
        <v>3</v>
      </c>
    </row>
    <row r="44" spans="1:21" x14ac:dyDescent="0.35">
      <c r="A44" t="s">
        <v>120</v>
      </c>
      <c r="B44" t="s">
        <v>121</v>
      </c>
      <c r="C44" t="s">
        <v>4</v>
      </c>
      <c r="D44" t="s">
        <v>494</v>
      </c>
      <c r="E44" t="s">
        <v>136</v>
      </c>
      <c r="F44" s="1">
        <f>VLOOKUP(A:A,MASTER!A:F,6,0)</f>
        <v>99714033.565842718</v>
      </c>
      <c r="G44" s="1">
        <f>VLOOKUP(A:A,MASTER!A:K,11,0)</f>
        <v>6779848.9919373058</v>
      </c>
      <c r="H44" s="12">
        <f t="shared" si="5"/>
        <v>-0.93200707313218389</v>
      </c>
      <c r="I44" s="2">
        <f>VLOOKUP(A:A,MASTER!A:E,5,0)</f>
        <v>1036</v>
      </c>
      <c r="J44" s="2">
        <f>VLOOKUP(A:A,MASTER!A:J,10,0)</f>
        <v>1479</v>
      </c>
      <c r="K44" s="12">
        <f t="shared" si="6"/>
        <v>0.4276061776061777</v>
      </c>
      <c r="L44" s="2">
        <f>VLOOKUP(A:A,MASTER!A:D,4,0)</f>
        <v>10</v>
      </c>
      <c r="M44" s="2">
        <f>VLOOKUP(A:A,MASTER!A:I,9,0)</f>
        <v>11</v>
      </c>
      <c r="N44" s="12">
        <f t="shared" si="7"/>
        <v>0.10000000000000009</v>
      </c>
      <c r="O44" s="1">
        <f>VLOOKUP(A:A,MASTER!A:C,3,0)</f>
        <v>4</v>
      </c>
      <c r="P44" s="1">
        <f>VLOOKUP(A:A,MASTER!A:H,8,0)</f>
        <v>6</v>
      </c>
      <c r="Q44" s="12">
        <f t="shared" si="8"/>
        <v>0.5</v>
      </c>
      <c r="R44" s="1">
        <f>VLOOKUP(A:A,MASTER!A:B,2,0)</f>
        <v>2990</v>
      </c>
      <c r="S44">
        <f>VLOOKUP(A:A,MASTER!A:G,7,0)</f>
        <v>3688</v>
      </c>
      <c r="T44" s="12">
        <f t="shared" si="9"/>
        <v>0.23344481605351164</v>
      </c>
      <c r="U44">
        <v>2</v>
      </c>
    </row>
    <row r="45" spans="1:21" x14ac:dyDescent="0.35">
      <c r="A45" t="s">
        <v>68</v>
      </c>
      <c r="B45" t="s">
        <v>69</v>
      </c>
      <c r="C45" t="s">
        <v>4</v>
      </c>
      <c r="D45" t="s">
        <v>497</v>
      </c>
      <c r="E45" t="s">
        <v>135</v>
      </c>
      <c r="F45" s="1">
        <f>VLOOKUP(A:A,MASTER!A:F,6,0)</f>
        <v>32990070.241456818</v>
      </c>
      <c r="G45" s="1">
        <f>VLOOKUP(A:A,MASTER!A:K,11,0)</f>
        <v>1743880.3025266121</v>
      </c>
      <c r="H45" s="12">
        <f t="shared" si="5"/>
        <v>-0.94713923645014941</v>
      </c>
      <c r="I45" s="2">
        <f>VLOOKUP(A:A,MASTER!A:E,5,0)</f>
        <v>833</v>
      </c>
      <c r="J45" s="2">
        <f>VLOOKUP(A:A,MASTER!A:J,10,0)</f>
        <v>1051</v>
      </c>
      <c r="K45" s="12">
        <f t="shared" si="6"/>
        <v>0.26170468187274909</v>
      </c>
      <c r="L45" s="2">
        <f>VLOOKUP(A:A,MASTER!A:D,4,0)</f>
        <v>5</v>
      </c>
      <c r="M45" s="2">
        <f>VLOOKUP(A:A,MASTER!A:I,9,0)</f>
        <v>5</v>
      </c>
      <c r="N45" s="12">
        <f t="shared" si="7"/>
        <v>0</v>
      </c>
      <c r="O45" s="1">
        <f>VLOOKUP(A:A,MASTER!A:C,3,0)</f>
        <v>5</v>
      </c>
      <c r="P45" s="1">
        <f>VLOOKUP(A:A,MASTER!A:H,8,0)</f>
        <v>12</v>
      </c>
      <c r="Q45" s="12">
        <f t="shared" si="8"/>
        <v>1.4</v>
      </c>
      <c r="R45" s="1">
        <f>VLOOKUP(A:A,MASTER!A:B,2,0)</f>
        <v>1536</v>
      </c>
      <c r="S45">
        <f>VLOOKUP(A:A,MASTER!A:G,7,0)</f>
        <v>1456</v>
      </c>
      <c r="T45" s="12">
        <f t="shared" si="9"/>
        <v>-5.208333333333337E-2</v>
      </c>
      <c r="U45">
        <v>2</v>
      </c>
    </row>
    <row r="46" spans="1:21" x14ac:dyDescent="0.35">
      <c r="A46" t="s">
        <v>74</v>
      </c>
      <c r="B46" t="s">
        <v>75</v>
      </c>
      <c r="C46" t="s">
        <v>4</v>
      </c>
      <c r="D46" t="s">
        <v>500</v>
      </c>
      <c r="E46" t="s">
        <v>136</v>
      </c>
      <c r="F46" s="1">
        <f>VLOOKUP(A:A,MASTER!A:F,6,0)</f>
        <v>66235932.049092099</v>
      </c>
      <c r="G46" s="1">
        <f>VLOOKUP(A:A,MASTER!A:K,11,0)</f>
        <v>16775504.762460722</v>
      </c>
      <c r="H46" s="12">
        <f t="shared" si="5"/>
        <v>-0.74673105301776055</v>
      </c>
      <c r="I46" s="2">
        <f>VLOOKUP(A:A,MASTER!A:E,5,0)</f>
        <v>953</v>
      </c>
      <c r="J46" s="2">
        <f>VLOOKUP(A:A,MASTER!A:J,10,0)</f>
        <v>808</v>
      </c>
      <c r="K46" s="12">
        <f t="shared" si="6"/>
        <v>-0.1521511017838405</v>
      </c>
      <c r="L46" s="2">
        <f>VLOOKUP(A:A,MASTER!A:D,4,0)</f>
        <v>10</v>
      </c>
      <c r="M46" s="2">
        <f>VLOOKUP(A:A,MASTER!A:I,9,0)</f>
        <v>10</v>
      </c>
      <c r="N46" s="12">
        <f t="shared" si="7"/>
        <v>0</v>
      </c>
      <c r="O46" s="1">
        <f>VLOOKUP(A:A,MASTER!A:C,3,0)</f>
        <v>18</v>
      </c>
      <c r="P46" s="1">
        <f>VLOOKUP(A:A,MASTER!A:H,8,0)</f>
        <v>13</v>
      </c>
      <c r="Q46" s="12">
        <f t="shared" si="8"/>
        <v>-0.27777777777777779</v>
      </c>
      <c r="R46" s="1">
        <f>VLOOKUP(A:A,MASTER!A:B,2,0)</f>
        <v>1651</v>
      </c>
      <c r="S46">
        <f>VLOOKUP(A:A,MASTER!A:G,7,0)</f>
        <v>1694</v>
      </c>
      <c r="T46" s="12">
        <f t="shared" si="9"/>
        <v>2.6044821320411859E-2</v>
      </c>
      <c r="U46">
        <v>7</v>
      </c>
    </row>
  </sheetData>
  <autoFilter ref="A1:U46"/>
  <conditionalFormatting sqref="U2:U46">
    <cfRule type="cellIs" dxfId="0" priority="1" operator="lessThan">
      <formula>1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29"/>
  <sheetViews>
    <sheetView tabSelected="1" workbookViewId="0">
      <pane xSplit="1" ySplit="5" topLeftCell="B37" activePane="bottomRight" state="frozen"/>
      <selection pane="topRight" activeCell="B1" sqref="B1"/>
      <selection pane="bottomLeft" activeCell="A6" sqref="A6"/>
      <selection pane="bottomRight" activeCell="A5" sqref="A5:K427"/>
    </sheetView>
  </sheetViews>
  <sheetFormatPr defaultRowHeight="14.5" x14ac:dyDescent="0.35"/>
  <cols>
    <col min="1" max="1" width="11.36328125" bestFit="1" customWidth="1"/>
    <col min="2" max="2" width="14.54296875" bestFit="1" customWidth="1"/>
    <col min="3" max="3" width="19.81640625" bestFit="1" customWidth="1"/>
    <col min="4" max="4" width="14.6328125" bestFit="1" customWidth="1"/>
    <col min="5" max="5" width="14.90625" bestFit="1" customWidth="1"/>
    <col min="6" max="6" width="27.7265625" bestFit="1" customWidth="1"/>
    <col min="7" max="7" width="14.54296875" bestFit="1" customWidth="1"/>
    <col min="8" max="8" width="19.81640625" bestFit="1" customWidth="1"/>
    <col min="9" max="9" width="14.6328125" bestFit="1" customWidth="1"/>
    <col min="10" max="10" width="14.90625" bestFit="1" customWidth="1"/>
    <col min="11" max="11" width="27.7265625" bestFit="1" customWidth="1"/>
  </cols>
  <sheetData>
    <row r="3" spans="1:11" s="1" customFormat="1" x14ac:dyDescent="0.35">
      <c r="A3" s="11"/>
      <c r="B3" s="11">
        <f t="shared" ref="B3:K3" si="0">SUBTOTAL(9,B6:B90)</f>
        <v>197145</v>
      </c>
      <c r="C3" s="11">
        <f t="shared" si="0"/>
        <v>3984</v>
      </c>
      <c r="D3" s="11">
        <f t="shared" si="0"/>
        <v>490</v>
      </c>
      <c r="E3" s="11">
        <f t="shared" si="0"/>
        <v>92522</v>
      </c>
      <c r="F3" s="11">
        <f t="shared" si="0"/>
        <v>5633978987.3402338</v>
      </c>
      <c r="G3" s="11">
        <f t="shared" si="0"/>
        <v>199934</v>
      </c>
      <c r="H3" s="11">
        <f t="shared" si="0"/>
        <v>4730</v>
      </c>
      <c r="I3" s="11">
        <f t="shared" si="0"/>
        <v>510</v>
      </c>
      <c r="J3" s="11">
        <f t="shared" si="0"/>
        <v>92559</v>
      </c>
      <c r="K3" s="11">
        <f t="shared" si="0"/>
        <v>1213385800.1684489</v>
      </c>
    </row>
    <row r="4" spans="1:11" x14ac:dyDescent="0.35">
      <c r="A4" s="7"/>
      <c r="B4" s="7" t="s">
        <v>147</v>
      </c>
      <c r="C4" s="7"/>
      <c r="D4" s="7"/>
      <c r="E4" s="7"/>
      <c r="F4" s="7"/>
      <c r="G4" s="7" t="s">
        <v>148</v>
      </c>
      <c r="H4" s="7"/>
      <c r="I4" s="7"/>
      <c r="J4" s="7"/>
      <c r="K4" s="7"/>
    </row>
    <row r="5" spans="1:11" x14ac:dyDescent="0.35">
      <c r="A5" s="8" t="s">
        <v>149</v>
      </c>
      <c r="B5" s="8" t="s">
        <v>150</v>
      </c>
      <c r="C5" s="8" t="s">
        <v>157</v>
      </c>
      <c r="D5" s="8" t="s">
        <v>151</v>
      </c>
      <c r="E5" s="8" t="s">
        <v>152</v>
      </c>
      <c r="F5" s="8" t="s">
        <v>153</v>
      </c>
      <c r="G5" s="8" t="s">
        <v>150</v>
      </c>
      <c r="H5" s="8" t="s">
        <v>157</v>
      </c>
      <c r="I5" s="8" t="s">
        <v>151</v>
      </c>
      <c r="J5" s="8" t="s">
        <v>152</v>
      </c>
      <c r="K5" s="8" t="s">
        <v>153</v>
      </c>
    </row>
    <row r="6" spans="1:11" x14ac:dyDescent="0.35">
      <c r="A6" s="9" t="s">
        <v>90</v>
      </c>
      <c r="B6" s="10">
        <v>3649</v>
      </c>
      <c r="C6" s="10">
        <v>7</v>
      </c>
      <c r="D6" s="10">
        <v>4</v>
      </c>
      <c r="E6" s="10">
        <v>631</v>
      </c>
      <c r="F6" s="10">
        <v>26135431.464422993</v>
      </c>
      <c r="G6" s="10">
        <v>2987</v>
      </c>
      <c r="H6" s="10">
        <v>4</v>
      </c>
      <c r="I6" s="10">
        <v>3</v>
      </c>
      <c r="J6" s="10">
        <v>510</v>
      </c>
      <c r="K6" s="10">
        <v>5038446.9576322753</v>
      </c>
    </row>
    <row r="7" spans="1:11" x14ac:dyDescent="0.35">
      <c r="A7" s="9" t="s">
        <v>95</v>
      </c>
      <c r="B7" s="10">
        <v>1836</v>
      </c>
      <c r="C7" s="10">
        <v>9</v>
      </c>
      <c r="D7" s="10">
        <v>4</v>
      </c>
      <c r="E7" s="10">
        <v>735</v>
      </c>
      <c r="F7" s="10">
        <v>27236134.023873273</v>
      </c>
      <c r="G7" s="10">
        <v>1719</v>
      </c>
      <c r="H7" s="10">
        <v>10</v>
      </c>
      <c r="I7" s="10">
        <v>5</v>
      </c>
      <c r="J7" s="10">
        <v>936</v>
      </c>
      <c r="K7" s="10">
        <v>7674269.8409618791</v>
      </c>
    </row>
    <row r="8" spans="1:11" x14ac:dyDescent="0.35">
      <c r="A8" s="9" t="s">
        <v>91</v>
      </c>
      <c r="B8" s="10">
        <v>2353</v>
      </c>
      <c r="C8" s="10">
        <v>15</v>
      </c>
      <c r="D8" s="10">
        <v>2</v>
      </c>
      <c r="E8" s="10">
        <v>1318</v>
      </c>
      <c r="F8" s="10">
        <v>46942838.155024499</v>
      </c>
      <c r="G8" s="10">
        <v>2002</v>
      </c>
      <c r="H8" s="10">
        <v>9</v>
      </c>
      <c r="I8" s="10">
        <v>2</v>
      </c>
      <c r="J8" s="10">
        <v>560</v>
      </c>
      <c r="K8" s="10">
        <v>18045138.823476445</v>
      </c>
    </row>
    <row r="9" spans="1:11" x14ac:dyDescent="0.35">
      <c r="A9" s="9" t="s">
        <v>92</v>
      </c>
      <c r="B9" s="10">
        <v>2820</v>
      </c>
      <c r="C9" s="10">
        <v>20</v>
      </c>
      <c r="D9" s="10">
        <v>3</v>
      </c>
      <c r="E9" s="10">
        <v>1185</v>
      </c>
      <c r="F9" s="10">
        <v>79239174.287518382</v>
      </c>
      <c r="G9" s="10">
        <v>2716</v>
      </c>
      <c r="H9" s="10">
        <v>14</v>
      </c>
      <c r="I9" s="10">
        <v>3</v>
      </c>
      <c r="J9" s="10">
        <v>1292</v>
      </c>
      <c r="K9" s="10">
        <v>23052150.727904417</v>
      </c>
    </row>
    <row r="10" spans="1:11" x14ac:dyDescent="0.35">
      <c r="A10" s="9" t="s">
        <v>93</v>
      </c>
      <c r="B10" s="10">
        <v>1846</v>
      </c>
      <c r="C10" s="10">
        <v>10</v>
      </c>
      <c r="D10" s="10">
        <v>4</v>
      </c>
      <c r="E10" s="10">
        <v>1376</v>
      </c>
      <c r="F10" s="10">
        <v>72819721.232554063</v>
      </c>
      <c r="G10" s="10">
        <v>1778</v>
      </c>
      <c r="H10" s="10">
        <v>10</v>
      </c>
      <c r="I10" s="10">
        <v>4</v>
      </c>
      <c r="J10" s="10">
        <v>1317</v>
      </c>
      <c r="K10" s="10">
        <v>47293837.138841271</v>
      </c>
    </row>
    <row r="11" spans="1:11" x14ac:dyDescent="0.35">
      <c r="A11" s="9" t="s">
        <v>94</v>
      </c>
      <c r="B11" s="10">
        <v>1314</v>
      </c>
      <c r="C11" s="10">
        <v>14</v>
      </c>
      <c r="D11" s="10">
        <v>8</v>
      </c>
      <c r="E11" s="10">
        <v>770</v>
      </c>
      <c r="F11" s="10">
        <v>53209830.8321933</v>
      </c>
      <c r="G11" s="10">
        <v>1286</v>
      </c>
      <c r="H11" s="10">
        <v>6</v>
      </c>
      <c r="I11" s="10">
        <v>8</v>
      </c>
      <c r="J11" s="10">
        <v>756</v>
      </c>
      <c r="K11" s="10">
        <v>33257185.463097733</v>
      </c>
    </row>
    <row r="12" spans="1:11" x14ac:dyDescent="0.35">
      <c r="A12" s="9" t="s">
        <v>97</v>
      </c>
      <c r="B12" s="10">
        <v>2078</v>
      </c>
      <c r="C12" s="10">
        <v>23</v>
      </c>
      <c r="D12" s="10">
        <v>3</v>
      </c>
      <c r="E12" s="10">
        <v>1034</v>
      </c>
      <c r="F12" s="10">
        <v>51978652.418426245</v>
      </c>
      <c r="G12" s="10">
        <v>2157</v>
      </c>
      <c r="H12" s="10">
        <v>21</v>
      </c>
      <c r="I12" s="10">
        <v>2</v>
      </c>
      <c r="J12" s="10">
        <v>967</v>
      </c>
      <c r="K12" s="10">
        <v>28476167.013171654</v>
      </c>
    </row>
    <row r="13" spans="1:11" x14ac:dyDescent="0.35">
      <c r="A13" s="9" t="s">
        <v>98</v>
      </c>
      <c r="B13" s="10">
        <v>1104</v>
      </c>
      <c r="C13" s="10">
        <v>8</v>
      </c>
      <c r="D13" s="10">
        <v>2</v>
      </c>
      <c r="E13" s="10">
        <v>722</v>
      </c>
      <c r="F13" s="10">
        <v>47982802.905179024</v>
      </c>
      <c r="G13" s="10">
        <v>961</v>
      </c>
      <c r="H13" s="10">
        <v>14</v>
      </c>
      <c r="I13" s="10">
        <v>3</v>
      </c>
      <c r="J13" s="10">
        <v>735</v>
      </c>
      <c r="K13" s="10">
        <v>38103316.713670291</v>
      </c>
    </row>
    <row r="14" spans="1:11" x14ac:dyDescent="0.35">
      <c r="A14" s="9" t="s">
        <v>102</v>
      </c>
      <c r="B14" s="10">
        <v>904</v>
      </c>
      <c r="C14" s="10">
        <v>9</v>
      </c>
      <c r="D14" s="10">
        <v>3</v>
      </c>
      <c r="E14" s="10">
        <v>543</v>
      </c>
      <c r="F14" s="10">
        <v>30435656.012925133</v>
      </c>
      <c r="G14" s="10">
        <v>809</v>
      </c>
      <c r="H14" s="10">
        <v>6</v>
      </c>
      <c r="I14" s="10">
        <v>2</v>
      </c>
      <c r="J14" s="10">
        <v>574</v>
      </c>
      <c r="K14" s="10">
        <v>18857266.439399593</v>
      </c>
    </row>
    <row r="15" spans="1:11" x14ac:dyDescent="0.35">
      <c r="A15" s="9" t="s">
        <v>99</v>
      </c>
      <c r="B15" s="10">
        <v>1608</v>
      </c>
      <c r="C15" s="10">
        <v>24</v>
      </c>
      <c r="D15" s="10">
        <v>2</v>
      </c>
      <c r="E15" s="10">
        <v>1119</v>
      </c>
      <c r="F15" s="10">
        <v>51744157.730345547</v>
      </c>
      <c r="G15" s="10">
        <v>1608</v>
      </c>
      <c r="H15" s="10">
        <v>17</v>
      </c>
      <c r="I15" s="10">
        <v>1</v>
      </c>
      <c r="J15" s="10">
        <v>1043</v>
      </c>
      <c r="K15" s="10">
        <v>34570423.759109676</v>
      </c>
    </row>
    <row r="16" spans="1:11" x14ac:dyDescent="0.35">
      <c r="A16" s="9" t="s">
        <v>103</v>
      </c>
      <c r="B16" s="10">
        <v>1274</v>
      </c>
      <c r="C16" s="10">
        <v>3</v>
      </c>
      <c r="D16" s="10">
        <v>2</v>
      </c>
      <c r="E16" s="10">
        <v>1037</v>
      </c>
      <c r="F16" s="10">
        <v>35227329.439010724</v>
      </c>
      <c r="G16" s="10">
        <v>1236</v>
      </c>
      <c r="H16" s="10">
        <v>7</v>
      </c>
      <c r="I16" s="10">
        <v>2</v>
      </c>
      <c r="J16" s="10">
        <v>1030</v>
      </c>
      <c r="K16" s="10">
        <v>24304102.87873875</v>
      </c>
    </row>
    <row r="17" spans="1:11" x14ac:dyDescent="0.35">
      <c r="A17" s="9" t="s">
        <v>104</v>
      </c>
      <c r="B17" s="10">
        <v>996</v>
      </c>
      <c r="C17" s="10">
        <v>10</v>
      </c>
      <c r="D17" s="10">
        <v>1</v>
      </c>
      <c r="E17" s="10">
        <v>774</v>
      </c>
      <c r="F17" s="10">
        <v>35910746.543959402</v>
      </c>
      <c r="G17" s="10">
        <v>1049</v>
      </c>
      <c r="H17" s="10">
        <v>8</v>
      </c>
      <c r="I17" s="10">
        <v>1</v>
      </c>
      <c r="J17" s="10">
        <v>776</v>
      </c>
      <c r="K17" s="10">
        <v>24475514.219297972</v>
      </c>
    </row>
    <row r="18" spans="1:11" x14ac:dyDescent="0.35">
      <c r="A18" s="9" t="s">
        <v>19</v>
      </c>
      <c r="B18" s="10">
        <v>2931</v>
      </c>
      <c r="C18" s="10">
        <v>16</v>
      </c>
      <c r="D18" s="10">
        <v>7</v>
      </c>
      <c r="E18" s="10">
        <v>1435</v>
      </c>
      <c r="F18" s="10">
        <v>61660949.894620746</v>
      </c>
      <c r="G18" s="10">
        <v>3070</v>
      </c>
      <c r="H18" s="10">
        <v>6</v>
      </c>
      <c r="I18" s="10">
        <v>7</v>
      </c>
      <c r="J18" s="10">
        <v>985</v>
      </c>
      <c r="K18" s="10">
        <v>5939947.4307811456</v>
      </c>
    </row>
    <row r="19" spans="1:11" x14ac:dyDescent="0.35">
      <c r="A19" s="9" t="s">
        <v>40</v>
      </c>
      <c r="B19" s="10">
        <v>2317</v>
      </c>
      <c r="C19" s="10">
        <v>1</v>
      </c>
      <c r="D19" s="10">
        <v>6</v>
      </c>
      <c r="E19" s="10">
        <v>869</v>
      </c>
      <c r="F19" s="10">
        <v>73335557.052496478</v>
      </c>
      <c r="G19" s="10">
        <v>2536</v>
      </c>
      <c r="H19" s="10">
        <v>8</v>
      </c>
      <c r="I19" s="10">
        <v>5</v>
      </c>
      <c r="J19" s="10">
        <v>963</v>
      </c>
      <c r="K19" s="10">
        <v>4663351.4604263268</v>
      </c>
    </row>
    <row r="20" spans="1:11" x14ac:dyDescent="0.35">
      <c r="A20" s="9" t="s">
        <v>41</v>
      </c>
      <c r="B20" s="10">
        <v>2974</v>
      </c>
      <c r="C20" s="10">
        <v>22</v>
      </c>
      <c r="D20" s="10">
        <v>8</v>
      </c>
      <c r="E20" s="10">
        <v>1496</v>
      </c>
      <c r="F20" s="10">
        <v>66959683.854183957</v>
      </c>
      <c r="G20" s="10">
        <v>2844</v>
      </c>
      <c r="H20" s="10">
        <v>10</v>
      </c>
      <c r="I20" s="10">
        <v>6</v>
      </c>
      <c r="J20" s="10">
        <v>1501</v>
      </c>
      <c r="K20" s="10">
        <v>25542222.848275594</v>
      </c>
    </row>
    <row r="21" spans="1:11" x14ac:dyDescent="0.35">
      <c r="A21" s="9" t="s">
        <v>42</v>
      </c>
      <c r="B21" s="10">
        <v>1861</v>
      </c>
      <c r="C21" s="10">
        <v>9</v>
      </c>
      <c r="D21" s="10">
        <v>5</v>
      </c>
      <c r="E21" s="10">
        <v>720</v>
      </c>
      <c r="F21" s="10">
        <v>39901126.864310905</v>
      </c>
      <c r="G21" s="10">
        <v>1932</v>
      </c>
      <c r="H21" s="10">
        <v>7</v>
      </c>
      <c r="I21" s="10">
        <v>5</v>
      </c>
      <c r="J21" s="10">
        <v>746</v>
      </c>
      <c r="K21" s="10">
        <v>1620283.708775419</v>
      </c>
    </row>
    <row r="22" spans="1:11" x14ac:dyDescent="0.35">
      <c r="A22" s="9" t="s">
        <v>43</v>
      </c>
      <c r="B22" s="10">
        <v>5630</v>
      </c>
      <c r="C22" s="10">
        <v>316</v>
      </c>
      <c r="D22" s="10">
        <v>12</v>
      </c>
      <c r="E22" s="10">
        <v>2411</v>
      </c>
      <c r="F22" s="10">
        <v>145808066.15961477</v>
      </c>
      <c r="G22" s="10">
        <v>5722</v>
      </c>
      <c r="H22" s="10">
        <v>412</v>
      </c>
      <c r="I22" s="10">
        <v>12</v>
      </c>
      <c r="J22" s="10">
        <v>2389</v>
      </c>
      <c r="K22" s="10">
        <v>7702867.2166500622</v>
      </c>
    </row>
    <row r="23" spans="1:11" x14ac:dyDescent="0.35">
      <c r="A23" s="9" t="s">
        <v>44</v>
      </c>
      <c r="B23" s="10">
        <v>2715</v>
      </c>
      <c r="C23" s="10">
        <v>9</v>
      </c>
      <c r="D23" s="10">
        <v>4</v>
      </c>
      <c r="E23" s="10">
        <v>1306</v>
      </c>
      <c r="F23" s="10">
        <v>77154360.829319432</v>
      </c>
      <c r="G23" s="10">
        <v>2791</v>
      </c>
      <c r="H23" s="10">
        <v>9</v>
      </c>
      <c r="I23" s="10">
        <v>5</v>
      </c>
      <c r="J23" s="10">
        <v>1362</v>
      </c>
      <c r="K23" s="10">
        <v>3066756.7668649638</v>
      </c>
    </row>
    <row r="24" spans="1:11" x14ac:dyDescent="0.35">
      <c r="A24" s="9" t="s">
        <v>45</v>
      </c>
      <c r="B24" s="10">
        <v>5053</v>
      </c>
      <c r="C24" s="10">
        <v>11</v>
      </c>
      <c r="D24" s="10">
        <v>13</v>
      </c>
      <c r="E24" s="10">
        <v>2014</v>
      </c>
      <c r="F24" s="10">
        <v>135719264.00472814</v>
      </c>
      <c r="G24" s="10">
        <v>5269</v>
      </c>
      <c r="H24" s="10">
        <v>10</v>
      </c>
      <c r="I24" s="10">
        <v>13</v>
      </c>
      <c r="J24" s="10">
        <v>2132</v>
      </c>
      <c r="K24" s="10">
        <v>2313187.6674080342</v>
      </c>
    </row>
    <row r="25" spans="1:11" x14ac:dyDescent="0.35">
      <c r="A25" s="9" t="s">
        <v>51</v>
      </c>
      <c r="B25" s="10">
        <v>1145</v>
      </c>
      <c r="C25" s="10">
        <v>3</v>
      </c>
      <c r="D25" s="10">
        <v>2</v>
      </c>
      <c r="E25" s="10">
        <v>565</v>
      </c>
      <c r="F25" s="10">
        <v>25495204.770201948</v>
      </c>
      <c r="G25" s="10">
        <v>1145</v>
      </c>
      <c r="H25" s="10">
        <v>1</v>
      </c>
      <c r="I25" s="10">
        <v>2</v>
      </c>
      <c r="J25" s="10">
        <v>603</v>
      </c>
      <c r="K25" s="10">
        <v>4887248.5047106687</v>
      </c>
    </row>
    <row r="26" spans="1:11" x14ac:dyDescent="0.35">
      <c r="A26" s="9" t="s">
        <v>54</v>
      </c>
      <c r="B26" s="10">
        <v>4340</v>
      </c>
      <c r="C26" s="10">
        <v>33</v>
      </c>
      <c r="D26" s="10">
        <v>3</v>
      </c>
      <c r="E26" s="10">
        <v>1998</v>
      </c>
      <c r="F26" s="10">
        <v>79048575.961677343</v>
      </c>
      <c r="G26" s="10">
        <v>4239</v>
      </c>
      <c r="H26" s="10">
        <v>36</v>
      </c>
      <c r="I26" s="10">
        <v>3</v>
      </c>
      <c r="J26" s="10">
        <v>1927</v>
      </c>
      <c r="K26" s="10">
        <v>20964712.981378168</v>
      </c>
    </row>
    <row r="27" spans="1:11" x14ac:dyDescent="0.35">
      <c r="A27" s="9" t="s">
        <v>52</v>
      </c>
      <c r="B27" s="10">
        <v>1912</v>
      </c>
      <c r="C27" s="10">
        <v>20</v>
      </c>
      <c r="D27" s="10">
        <v>1</v>
      </c>
      <c r="E27" s="10">
        <v>963</v>
      </c>
      <c r="F27" s="10">
        <v>28221963.134206302</v>
      </c>
      <c r="G27" s="10">
        <v>1864</v>
      </c>
      <c r="H27" s="10">
        <v>19</v>
      </c>
      <c r="I27" s="10">
        <v>2</v>
      </c>
      <c r="J27" s="10">
        <v>976</v>
      </c>
      <c r="K27" s="10">
        <v>3495010.0597433932</v>
      </c>
    </row>
    <row r="28" spans="1:11" x14ac:dyDescent="0.35">
      <c r="A28" s="9" t="s">
        <v>53</v>
      </c>
      <c r="B28" s="10">
        <v>1765</v>
      </c>
      <c r="C28" s="10">
        <v>5</v>
      </c>
      <c r="D28" s="10">
        <v>1</v>
      </c>
      <c r="E28" s="10">
        <v>728</v>
      </c>
      <c r="F28" s="10">
        <v>32488604.322730321</v>
      </c>
      <c r="G28" s="10">
        <v>1921</v>
      </c>
      <c r="H28" s="10">
        <v>3</v>
      </c>
      <c r="I28" s="10">
        <v>1</v>
      </c>
      <c r="J28" s="10">
        <v>752</v>
      </c>
      <c r="K28" s="10">
        <v>1686427.1408885401</v>
      </c>
    </row>
    <row r="29" spans="1:11" x14ac:dyDescent="0.35">
      <c r="A29" s="9" t="s">
        <v>57</v>
      </c>
      <c r="B29" s="10">
        <v>458</v>
      </c>
      <c r="C29" s="10">
        <v>1</v>
      </c>
      <c r="D29" s="10">
        <v>0</v>
      </c>
      <c r="E29" s="10">
        <v>209</v>
      </c>
      <c r="F29" s="10">
        <v>8768091.1672128979</v>
      </c>
      <c r="G29" s="10">
        <v>464</v>
      </c>
      <c r="H29" s="10">
        <v>0</v>
      </c>
      <c r="I29" s="10">
        <v>0</v>
      </c>
      <c r="J29" s="10">
        <v>196</v>
      </c>
      <c r="K29" s="10">
        <v>1385609.07395487</v>
      </c>
    </row>
    <row r="30" spans="1:11" x14ac:dyDescent="0.35">
      <c r="A30" s="9" t="s">
        <v>86</v>
      </c>
      <c r="B30" s="10">
        <v>3747</v>
      </c>
      <c r="C30" s="10">
        <v>12</v>
      </c>
      <c r="D30" s="10">
        <v>11</v>
      </c>
      <c r="E30" s="10">
        <v>1890</v>
      </c>
      <c r="F30" s="10">
        <v>77415885.942254573</v>
      </c>
      <c r="G30" s="10">
        <v>3586</v>
      </c>
      <c r="H30" s="10">
        <v>13</v>
      </c>
      <c r="I30" s="10">
        <v>11</v>
      </c>
      <c r="J30" s="10">
        <v>1745</v>
      </c>
      <c r="K30" s="10">
        <v>17749854.342010509</v>
      </c>
    </row>
    <row r="31" spans="1:11" x14ac:dyDescent="0.35">
      <c r="A31" s="9" t="s">
        <v>87</v>
      </c>
      <c r="B31" s="10">
        <v>1844</v>
      </c>
      <c r="C31" s="10">
        <v>5</v>
      </c>
      <c r="D31" s="10">
        <v>1</v>
      </c>
      <c r="E31" s="10">
        <v>789</v>
      </c>
      <c r="F31" s="10">
        <v>65705789.049595706</v>
      </c>
      <c r="G31" s="10">
        <v>1991</v>
      </c>
      <c r="H31" s="10">
        <v>3</v>
      </c>
      <c r="I31" s="10">
        <v>0</v>
      </c>
      <c r="J31" s="10">
        <v>787</v>
      </c>
      <c r="K31" s="10">
        <v>12215267.447420817</v>
      </c>
    </row>
    <row r="32" spans="1:11" x14ac:dyDescent="0.35">
      <c r="A32" s="9" t="s">
        <v>88</v>
      </c>
      <c r="B32" s="10">
        <v>2169</v>
      </c>
      <c r="C32" s="10">
        <v>7</v>
      </c>
      <c r="D32" s="10">
        <v>4</v>
      </c>
      <c r="E32" s="10">
        <v>987</v>
      </c>
      <c r="F32" s="10">
        <v>64123802.278644234</v>
      </c>
      <c r="G32" s="10">
        <v>2238</v>
      </c>
      <c r="H32" s="10">
        <v>10</v>
      </c>
      <c r="I32" s="10">
        <v>6</v>
      </c>
      <c r="J32" s="10">
        <v>1004</v>
      </c>
      <c r="K32" s="10">
        <v>6864131.8642021166</v>
      </c>
    </row>
    <row r="33" spans="1:11" x14ac:dyDescent="0.35">
      <c r="A33" s="9" t="s">
        <v>89</v>
      </c>
      <c r="B33" s="10">
        <v>2550</v>
      </c>
      <c r="C33" s="10">
        <v>3</v>
      </c>
      <c r="D33" s="10">
        <v>5</v>
      </c>
      <c r="E33" s="10">
        <v>1180</v>
      </c>
      <c r="F33" s="10">
        <v>92522741.490325287</v>
      </c>
      <c r="G33" s="10">
        <v>2632</v>
      </c>
      <c r="H33" s="10">
        <v>5</v>
      </c>
      <c r="I33" s="10">
        <v>4</v>
      </c>
      <c r="J33" s="10">
        <v>1188</v>
      </c>
      <c r="K33" s="10">
        <v>29167232.853043545</v>
      </c>
    </row>
    <row r="34" spans="1:11" x14ac:dyDescent="0.35">
      <c r="A34" s="9" t="s">
        <v>15</v>
      </c>
      <c r="B34" s="10">
        <v>2895</v>
      </c>
      <c r="C34" s="10">
        <v>9</v>
      </c>
      <c r="D34" s="10">
        <v>3</v>
      </c>
      <c r="E34" s="10">
        <v>1297</v>
      </c>
      <c r="F34" s="10">
        <v>85856257.315560088</v>
      </c>
      <c r="G34" s="10">
        <v>3049</v>
      </c>
      <c r="H34" s="10">
        <v>10</v>
      </c>
      <c r="I34" s="10">
        <v>4</v>
      </c>
      <c r="J34" s="10">
        <v>1287</v>
      </c>
      <c r="K34" s="10">
        <v>8853969.0071573257</v>
      </c>
    </row>
    <row r="35" spans="1:11" x14ac:dyDescent="0.35">
      <c r="A35" s="9" t="s">
        <v>17</v>
      </c>
      <c r="B35" s="10">
        <v>1606</v>
      </c>
      <c r="C35" s="10">
        <v>5</v>
      </c>
      <c r="D35" s="10">
        <v>4</v>
      </c>
      <c r="E35" s="10">
        <v>789</v>
      </c>
      <c r="F35" s="10">
        <v>42426649.684787288</v>
      </c>
      <c r="G35" s="10">
        <v>1384</v>
      </c>
      <c r="H35" s="10">
        <v>1</v>
      </c>
      <c r="I35" s="10">
        <v>3</v>
      </c>
      <c r="J35" s="10">
        <v>611</v>
      </c>
      <c r="K35" s="10">
        <v>3963028.5962643968</v>
      </c>
    </row>
    <row r="36" spans="1:11" x14ac:dyDescent="0.35">
      <c r="A36" s="9" t="s">
        <v>38</v>
      </c>
      <c r="B36" s="10">
        <v>3701</v>
      </c>
      <c r="C36" s="10">
        <v>7</v>
      </c>
      <c r="D36" s="10">
        <v>9</v>
      </c>
      <c r="E36" s="10">
        <v>1637</v>
      </c>
      <c r="F36" s="10">
        <v>91250280.132665247</v>
      </c>
      <c r="G36" s="10">
        <v>3747</v>
      </c>
      <c r="H36" s="10">
        <v>12</v>
      </c>
      <c r="I36" s="10">
        <v>11</v>
      </c>
      <c r="J36" s="10">
        <v>1631</v>
      </c>
      <c r="K36" s="10">
        <v>3806414.0378393559</v>
      </c>
    </row>
    <row r="37" spans="1:11" x14ac:dyDescent="0.35">
      <c r="A37" s="9" t="s">
        <v>108</v>
      </c>
      <c r="B37" s="10">
        <v>2059</v>
      </c>
      <c r="C37" s="10">
        <v>10</v>
      </c>
      <c r="D37" s="10">
        <v>5</v>
      </c>
      <c r="E37" s="10">
        <v>1093</v>
      </c>
      <c r="F37" s="10">
        <v>57261577.17661424</v>
      </c>
      <c r="G37" s="10">
        <v>2026</v>
      </c>
      <c r="H37" s="10">
        <v>5</v>
      </c>
      <c r="I37" s="10">
        <v>5</v>
      </c>
      <c r="J37" s="10">
        <v>988</v>
      </c>
      <c r="K37" s="10">
        <v>19213672.1610853</v>
      </c>
    </row>
    <row r="38" spans="1:11" x14ac:dyDescent="0.35">
      <c r="A38" s="9" t="s">
        <v>106</v>
      </c>
      <c r="B38" s="10">
        <v>1456</v>
      </c>
      <c r="C38" s="10">
        <v>9</v>
      </c>
      <c r="D38" s="10">
        <v>2</v>
      </c>
      <c r="E38" s="10">
        <v>420</v>
      </c>
      <c r="F38" s="10">
        <v>54982145.948791027</v>
      </c>
      <c r="G38" s="10">
        <v>1924</v>
      </c>
      <c r="H38" s="10">
        <v>11</v>
      </c>
      <c r="I38" s="10">
        <v>4</v>
      </c>
      <c r="J38" s="10">
        <v>1058</v>
      </c>
      <c r="K38" s="10">
        <v>26429960.794980764</v>
      </c>
    </row>
    <row r="39" spans="1:11" x14ac:dyDescent="0.35">
      <c r="A39" s="9" t="s">
        <v>110</v>
      </c>
      <c r="B39" s="10">
        <v>3782</v>
      </c>
      <c r="C39" s="10">
        <v>25</v>
      </c>
      <c r="D39" s="10">
        <v>4</v>
      </c>
      <c r="E39" s="10">
        <v>1956</v>
      </c>
      <c r="F39" s="10">
        <v>114783761.39022967</v>
      </c>
      <c r="G39" s="10">
        <v>3609</v>
      </c>
      <c r="H39" s="10">
        <v>24</v>
      </c>
      <c r="I39" s="10">
        <v>5</v>
      </c>
      <c r="J39" s="10">
        <v>1791</v>
      </c>
      <c r="K39" s="10">
        <v>51003532.163627915</v>
      </c>
    </row>
    <row r="40" spans="1:11" x14ac:dyDescent="0.35">
      <c r="A40" s="9" t="s">
        <v>2</v>
      </c>
      <c r="B40" s="10">
        <v>3552</v>
      </c>
      <c r="C40" s="10">
        <v>938</v>
      </c>
      <c r="D40" s="10">
        <v>4</v>
      </c>
      <c r="E40" s="10">
        <v>1318</v>
      </c>
      <c r="F40" s="10">
        <v>81275206.023476481</v>
      </c>
      <c r="G40" s="10">
        <v>4136</v>
      </c>
      <c r="H40" s="10">
        <v>1017</v>
      </c>
      <c r="I40" s="10">
        <v>4</v>
      </c>
      <c r="J40" s="10">
        <v>1355</v>
      </c>
      <c r="K40" s="10">
        <v>26694663.253313377</v>
      </c>
    </row>
    <row r="41" spans="1:11" x14ac:dyDescent="0.35">
      <c r="A41" s="9" t="s">
        <v>112</v>
      </c>
      <c r="B41" s="10">
        <v>6497</v>
      </c>
      <c r="C41" s="10">
        <v>777</v>
      </c>
      <c r="D41" s="10">
        <v>7</v>
      </c>
      <c r="E41" s="10">
        <v>2733</v>
      </c>
      <c r="F41" s="10">
        <v>155714515.19699842</v>
      </c>
      <c r="G41" s="10">
        <v>6405</v>
      </c>
      <c r="H41" s="10">
        <v>982</v>
      </c>
      <c r="I41" s="10">
        <v>8</v>
      </c>
      <c r="J41" s="10">
        <v>2748</v>
      </c>
      <c r="K41" s="10">
        <v>61680437.616830692</v>
      </c>
    </row>
    <row r="42" spans="1:11" x14ac:dyDescent="0.35">
      <c r="A42" s="9" t="s">
        <v>13</v>
      </c>
      <c r="B42" s="10">
        <v>1160</v>
      </c>
      <c r="C42" s="10">
        <v>3</v>
      </c>
      <c r="D42" s="10">
        <v>11</v>
      </c>
      <c r="E42" s="10">
        <v>495</v>
      </c>
      <c r="F42" s="10">
        <v>39244405.060410328</v>
      </c>
      <c r="G42" s="10">
        <v>1242</v>
      </c>
      <c r="H42" s="10">
        <v>8</v>
      </c>
      <c r="I42" s="10">
        <v>12</v>
      </c>
      <c r="J42" s="10">
        <v>500</v>
      </c>
      <c r="K42" s="10">
        <v>4689317.5541357342</v>
      </c>
    </row>
    <row r="43" spans="1:11" x14ac:dyDescent="0.35">
      <c r="A43" s="9" t="s">
        <v>7</v>
      </c>
      <c r="B43" s="10">
        <v>5119</v>
      </c>
      <c r="C43" s="10">
        <v>12</v>
      </c>
      <c r="D43" s="10">
        <v>9</v>
      </c>
      <c r="E43" s="10">
        <v>2827</v>
      </c>
      <c r="F43" s="10">
        <v>138474830.04849523</v>
      </c>
      <c r="G43" s="10">
        <v>5143</v>
      </c>
      <c r="H43" s="10">
        <v>11</v>
      </c>
      <c r="I43" s="10">
        <v>10</v>
      </c>
      <c r="J43" s="10">
        <v>2713</v>
      </c>
      <c r="K43" s="10">
        <v>32087166.509885389</v>
      </c>
    </row>
    <row r="44" spans="1:11" x14ac:dyDescent="0.35">
      <c r="A44" s="9" t="s">
        <v>34</v>
      </c>
      <c r="B44" s="10">
        <v>2052</v>
      </c>
      <c r="C44" s="10">
        <v>8</v>
      </c>
      <c r="D44" s="10">
        <v>7</v>
      </c>
      <c r="E44" s="10">
        <v>907</v>
      </c>
      <c r="F44" s="10">
        <v>85399761.647101119</v>
      </c>
      <c r="G44" s="10">
        <v>2235</v>
      </c>
      <c r="H44" s="10">
        <v>12</v>
      </c>
      <c r="I44" s="10">
        <v>7</v>
      </c>
      <c r="J44" s="10">
        <v>1107</v>
      </c>
      <c r="K44" s="10">
        <v>10226866.220155114</v>
      </c>
    </row>
    <row r="45" spans="1:11" x14ac:dyDescent="0.35">
      <c r="A45" s="9" t="s">
        <v>5</v>
      </c>
      <c r="B45" s="10">
        <v>2770</v>
      </c>
      <c r="C45" s="10">
        <v>10</v>
      </c>
      <c r="D45" s="10">
        <v>9</v>
      </c>
      <c r="E45" s="10">
        <v>1541</v>
      </c>
      <c r="F45" s="10">
        <v>79222657.26855363</v>
      </c>
      <c r="G45" s="10">
        <v>2589</v>
      </c>
      <c r="H45" s="10">
        <v>5</v>
      </c>
      <c r="I45" s="10">
        <v>13</v>
      </c>
      <c r="J45" s="10">
        <v>1340</v>
      </c>
      <c r="K45" s="10">
        <v>21823936.411166616</v>
      </c>
    </row>
    <row r="46" spans="1:11" x14ac:dyDescent="0.35">
      <c r="A46" s="9" t="s">
        <v>36</v>
      </c>
      <c r="B46" s="10">
        <v>1582</v>
      </c>
      <c r="C46" s="10">
        <v>4</v>
      </c>
      <c r="D46" s="10">
        <v>6</v>
      </c>
      <c r="E46" s="10">
        <v>684</v>
      </c>
      <c r="F46" s="10">
        <v>61157017.882429466</v>
      </c>
      <c r="G46" s="10">
        <v>1653</v>
      </c>
      <c r="H46" s="10">
        <v>9</v>
      </c>
      <c r="I46" s="10">
        <v>8</v>
      </c>
      <c r="J46" s="10">
        <v>672</v>
      </c>
      <c r="K46" s="10">
        <v>2951493.0702380859</v>
      </c>
    </row>
    <row r="47" spans="1:11" x14ac:dyDescent="0.35">
      <c r="A47" s="9" t="s">
        <v>114</v>
      </c>
      <c r="B47" s="10">
        <v>2065</v>
      </c>
      <c r="C47" s="10">
        <v>4</v>
      </c>
      <c r="D47" s="10">
        <v>11</v>
      </c>
      <c r="E47" s="10">
        <v>1171</v>
      </c>
      <c r="F47" s="10">
        <v>57711159.87159732</v>
      </c>
      <c r="G47" s="10">
        <v>1848</v>
      </c>
      <c r="H47" s="10">
        <v>5</v>
      </c>
      <c r="I47" s="10">
        <v>8</v>
      </c>
      <c r="J47" s="10">
        <v>939</v>
      </c>
      <c r="K47" s="10">
        <v>16856702.517390769</v>
      </c>
    </row>
    <row r="48" spans="1:11" x14ac:dyDescent="0.35">
      <c r="A48" s="9" t="s">
        <v>116</v>
      </c>
      <c r="B48" s="10">
        <v>1639</v>
      </c>
      <c r="C48" s="10">
        <v>2</v>
      </c>
      <c r="D48" s="10">
        <v>3</v>
      </c>
      <c r="E48" s="10">
        <v>994</v>
      </c>
      <c r="F48" s="10">
        <v>35321384.219743297</v>
      </c>
      <c r="G48" s="10">
        <v>1496</v>
      </c>
      <c r="H48" s="10">
        <v>1</v>
      </c>
      <c r="I48" s="10">
        <v>1</v>
      </c>
      <c r="J48" s="10">
        <v>752</v>
      </c>
      <c r="K48" s="10">
        <v>2569020.8324608789</v>
      </c>
    </row>
    <row r="49" spans="1:11" x14ac:dyDescent="0.35">
      <c r="A49" s="9" t="s">
        <v>60</v>
      </c>
      <c r="B49" s="10">
        <v>2585</v>
      </c>
      <c r="C49" s="10">
        <v>15</v>
      </c>
      <c r="D49" s="10">
        <v>9</v>
      </c>
      <c r="E49" s="10">
        <v>1217</v>
      </c>
      <c r="F49" s="10">
        <v>109397298.53121994</v>
      </c>
      <c r="G49" s="10">
        <v>2640</v>
      </c>
      <c r="H49" s="10">
        <v>14</v>
      </c>
      <c r="I49" s="10">
        <v>10</v>
      </c>
      <c r="J49" s="10">
        <v>1201</v>
      </c>
      <c r="K49" s="10">
        <v>5768394.1592582501</v>
      </c>
    </row>
    <row r="50" spans="1:11" x14ac:dyDescent="0.35">
      <c r="A50" s="9" t="s">
        <v>154</v>
      </c>
      <c r="B50" s="10">
        <v>946</v>
      </c>
      <c r="C50" s="10">
        <v>1</v>
      </c>
      <c r="D50" s="10">
        <v>2</v>
      </c>
      <c r="E50" s="10">
        <v>512</v>
      </c>
      <c r="F50" s="10">
        <v>18072985.843903463</v>
      </c>
      <c r="G50" s="10">
        <v>899</v>
      </c>
      <c r="H50" s="10">
        <v>1</v>
      </c>
      <c r="I50" s="10">
        <v>2</v>
      </c>
      <c r="J50" s="10">
        <v>534</v>
      </c>
      <c r="K50" s="10">
        <v>2092815.4532223491</v>
      </c>
    </row>
    <row r="51" spans="1:11" x14ac:dyDescent="0.35">
      <c r="A51" s="9" t="s">
        <v>26</v>
      </c>
      <c r="B51" s="10">
        <v>1688</v>
      </c>
      <c r="C51" s="10">
        <v>3</v>
      </c>
      <c r="D51" s="10">
        <v>5</v>
      </c>
      <c r="E51" s="10">
        <v>591</v>
      </c>
      <c r="F51" s="10">
        <v>41073262.703666233</v>
      </c>
      <c r="G51" s="10">
        <v>1840</v>
      </c>
      <c r="H51" s="10">
        <v>1</v>
      </c>
      <c r="I51" s="10">
        <v>5</v>
      </c>
      <c r="J51" s="10">
        <v>1052</v>
      </c>
      <c r="K51" s="10">
        <v>3029436.0557196401</v>
      </c>
    </row>
    <row r="52" spans="1:11" x14ac:dyDescent="0.35">
      <c r="A52" s="9" t="s">
        <v>28</v>
      </c>
      <c r="B52" s="10">
        <v>3966</v>
      </c>
      <c r="C52" s="10">
        <v>15</v>
      </c>
      <c r="D52" s="10">
        <v>20</v>
      </c>
      <c r="E52" s="10">
        <v>2000</v>
      </c>
      <c r="F52" s="10">
        <v>145279564.12726349</v>
      </c>
      <c r="G52" s="10">
        <v>3820</v>
      </c>
      <c r="H52" s="10">
        <v>6</v>
      </c>
      <c r="I52" s="10">
        <v>18</v>
      </c>
      <c r="J52" s="10">
        <v>1775</v>
      </c>
      <c r="K52" s="10">
        <v>58016787.723746665</v>
      </c>
    </row>
    <row r="53" spans="1:11" x14ac:dyDescent="0.35">
      <c r="A53" s="9" t="s">
        <v>62</v>
      </c>
      <c r="B53" s="10">
        <v>1056</v>
      </c>
      <c r="C53" s="10">
        <v>6</v>
      </c>
      <c r="D53" s="10">
        <v>8</v>
      </c>
      <c r="E53" s="10">
        <v>475</v>
      </c>
      <c r="F53" s="10">
        <v>47910481.546329409</v>
      </c>
      <c r="G53" s="10">
        <v>1056</v>
      </c>
      <c r="H53" s="10">
        <v>1</v>
      </c>
      <c r="I53" s="10">
        <v>7</v>
      </c>
      <c r="J53" s="10">
        <v>449</v>
      </c>
      <c r="K53" s="10">
        <v>6484173.5548857441</v>
      </c>
    </row>
    <row r="54" spans="1:11" x14ac:dyDescent="0.35">
      <c r="A54" s="9" t="s">
        <v>58</v>
      </c>
      <c r="B54" s="10">
        <v>965</v>
      </c>
      <c r="C54" s="10">
        <v>3</v>
      </c>
      <c r="D54" s="10">
        <v>4</v>
      </c>
      <c r="E54" s="10">
        <v>438</v>
      </c>
      <c r="F54" s="10">
        <v>39885351.45943132</v>
      </c>
      <c r="G54" s="10">
        <v>1001</v>
      </c>
      <c r="H54" s="10">
        <v>3</v>
      </c>
      <c r="I54" s="10">
        <v>5</v>
      </c>
      <c r="J54" s="10">
        <v>417</v>
      </c>
      <c r="K54" s="10">
        <v>7861233.4238390941</v>
      </c>
    </row>
    <row r="55" spans="1:11" x14ac:dyDescent="0.35">
      <c r="A55" s="9" t="s">
        <v>64</v>
      </c>
      <c r="B55" s="10">
        <v>926</v>
      </c>
      <c r="C55" s="10">
        <v>4</v>
      </c>
      <c r="D55" s="10">
        <v>3</v>
      </c>
      <c r="E55" s="10">
        <v>461</v>
      </c>
      <c r="F55" s="10">
        <v>32450020.964348182</v>
      </c>
      <c r="G55" s="10">
        <v>1012</v>
      </c>
      <c r="H55" s="10">
        <v>10</v>
      </c>
      <c r="I55" s="10">
        <v>5</v>
      </c>
      <c r="J55" s="10">
        <v>527</v>
      </c>
      <c r="K55" s="10">
        <v>22705335.934742805</v>
      </c>
    </row>
    <row r="56" spans="1:11" x14ac:dyDescent="0.35">
      <c r="A56" s="9" t="s">
        <v>122</v>
      </c>
      <c r="B56" s="10">
        <v>2098</v>
      </c>
      <c r="C56" s="10">
        <v>9</v>
      </c>
      <c r="D56" s="10">
        <v>0</v>
      </c>
      <c r="E56" s="10">
        <v>992</v>
      </c>
      <c r="F56" s="10">
        <v>71111317.301175833</v>
      </c>
      <c r="G56" s="10">
        <v>2227</v>
      </c>
      <c r="H56" s="10">
        <v>12</v>
      </c>
      <c r="I56" s="10">
        <v>0</v>
      </c>
      <c r="J56" s="10">
        <v>1000</v>
      </c>
      <c r="K56" s="10">
        <v>4254808.0376265245</v>
      </c>
    </row>
    <row r="57" spans="1:11" x14ac:dyDescent="0.35">
      <c r="A57" s="9" t="s">
        <v>70</v>
      </c>
      <c r="B57" s="10">
        <v>2646</v>
      </c>
      <c r="C57" s="10">
        <v>30</v>
      </c>
      <c r="D57" s="10">
        <v>5</v>
      </c>
      <c r="E57" s="10">
        <v>1816</v>
      </c>
      <c r="F57" s="10">
        <v>131533312.27499662</v>
      </c>
      <c r="G57" s="10">
        <v>2906</v>
      </c>
      <c r="H57" s="10">
        <v>143</v>
      </c>
      <c r="I57" s="10">
        <v>6</v>
      </c>
      <c r="J57" s="10">
        <v>1655</v>
      </c>
      <c r="K57" s="10">
        <v>54345145.197786175</v>
      </c>
    </row>
    <row r="58" spans="1:11" x14ac:dyDescent="0.35">
      <c r="A58" s="9" t="s">
        <v>72</v>
      </c>
      <c r="B58" s="10">
        <v>4875</v>
      </c>
      <c r="C58" s="10">
        <v>38</v>
      </c>
      <c r="D58" s="10">
        <v>10</v>
      </c>
      <c r="E58" s="10">
        <v>1735</v>
      </c>
      <c r="F58" s="10">
        <v>147405001.74823934</v>
      </c>
      <c r="G58" s="10">
        <v>4715</v>
      </c>
      <c r="H58" s="10">
        <v>46</v>
      </c>
      <c r="I58" s="10">
        <v>10</v>
      </c>
      <c r="J58" s="10">
        <v>2020</v>
      </c>
      <c r="K58" s="10">
        <v>39694081.67541907</v>
      </c>
    </row>
    <row r="59" spans="1:11" x14ac:dyDescent="0.35">
      <c r="A59" s="9" t="s">
        <v>130</v>
      </c>
      <c r="B59" s="10">
        <v>1251</v>
      </c>
      <c r="C59" s="10">
        <v>5</v>
      </c>
      <c r="D59" s="10">
        <v>1</v>
      </c>
      <c r="E59" s="10">
        <v>503</v>
      </c>
      <c r="F59" s="10">
        <v>33739423.475518584</v>
      </c>
      <c r="G59" s="10">
        <v>1321</v>
      </c>
      <c r="H59" s="10">
        <v>1</v>
      </c>
      <c r="I59" s="10">
        <v>1</v>
      </c>
      <c r="J59" s="10">
        <v>477</v>
      </c>
      <c r="K59" s="10">
        <v>2038963.085351937</v>
      </c>
    </row>
    <row r="60" spans="1:11" x14ac:dyDescent="0.35">
      <c r="A60" s="9" t="s">
        <v>76</v>
      </c>
      <c r="B60" s="10">
        <v>1978</v>
      </c>
      <c r="C60" s="10">
        <v>18</v>
      </c>
      <c r="D60" s="10">
        <v>10</v>
      </c>
      <c r="E60" s="10">
        <v>992</v>
      </c>
      <c r="F60" s="10">
        <v>64829787.822178975</v>
      </c>
      <c r="G60" s="10">
        <v>2002</v>
      </c>
      <c r="H60" s="10">
        <v>10</v>
      </c>
      <c r="I60" s="10">
        <v>10</v>
      </c>
      <c r="J60" s="10">
        <v>882</v>
      </c>
      <c r="K60" s="10">
        <v>5108351.2124788929</v>
      </c>
    </row>
    <row r="61" spans="1:11" x14ac:dyDescent="0.35">
      <c r="A61" s="9" t="s">
        <v>128</v>
      </c>
      <c r="B61" s="10">
        <v>1455</v>
      </c>
      <c r="C61" s="10">
        <v>3</v>
      </c>
      <c r="D61" s="10">
        <v>1</v>
      </c>
      <c r="E61" s="10">
        <v>739</v>
      </c>
      <c r="F61" s="10">
        <v>33171009.049394973</v>
      </c>
      <c r="G61" s="10">
        <v>1448</v>
      </c>
      <c r="H61" s="10">
        <v>61</v>
      </c>
      <c r="I61" s="10">
        <v>2</v>
      </c>
      <c r="J61" s="10">
        <v>655</v>
      </c>
      <c r="K61" s="10">
        <v>1844643.168482081</v>
      </c>
    </row>
    <row r="62" spans="1:11" x14ac:dyDescent="0.35">
      <c r="A62" s="9" t="s">
        <v>124</v>
      </c>
      <c r="B62" s="10">
        <v>2353</v>
      </c>
      <c r="C62" s="10">
        <v>10</v>
      </c>
      <c r="D62" s="10">
        <v>2</v>
      </c>
      <c r="E62" s="10">
        <v>1235</v>
      </c>
      <c r="F62" s="10">
        <v>77365631.91260691</v>
      </c>
      <c r="G62" s="10">
        <v>2351</v>
      </c>
      <c r="H62" s="10">
        <v>12</v>
      </c>
      <c r="I62" s="10">
        <v>1</v>
      </c>
      <c r="J62" s="10">
        <v>1133</v>
      </c>
      <c r="K62" s="10">
        <v>3884150.4937453428</v>
      </c>
    </row>
    <row r="63" spans="1:11" x14ac:dyDescent="0.35">
      <c r="A63" s="9" t="s">
        <v>78</v>
      </c>
      <c r="B63" s="10">
        <v>3499</v>
      </c>
      <c r="C63" s="10">
        <v>29</v>
      </c>
      <c r="D63" s="10">
        <v>9</v>
      </c>
      <c r="E63" s="10">
        <v>1647</v>
      </c>
      <c r="F63" s="10">
        <v>107811372.28224684</v>
      </c>
      <c r="G63" s="10">
        <v>3521</v>
      </c>
      <c r="H63" s="10">
        <v>10</v>
      </c>
      <c r="I63" s="10">
        <v>9</v>
      </c>
      <c r="J63" s="10">
        <v>1710</v>
      </c>
      <c r="K63" s="10">
        <v>5172385.785668659</v>
      </c>
    </row>
    <row r="64" spans="1:11" x14ac:dyDescent="0.35">
      <c r="A64" s="9" t="s">
        <v>80</v>
      </c>
      <c r="B64" s="10">
        <v>1343</v>
      </c>
      <c r="C64" s="10">
        <v>6</v>
      </c>
      <c r="D64" s="10">
        <v>5</v>
      </c>
      <c r="E64" s="10">
        <v>479</v>
      </c>
      <c r="F64" s="10">
        <v>39674693.87019936</v>
      </c>
      <c r="G64" s="10">
        <v>1686</v>
      </c>
      <c r="H64" s="10">
        <v>4</v>
      </c>
      <c r="I64" s="10">
        <v>7</v>
      </c>
      <c r="J64" s="10">
        <v>740</v>
      </c>
      <c r="K64" s="10">
        <v>2519951.391619524</v>
      </c>
    </row>
    <row r="65" spans="1:11" x14ac:dyDescent="0.35">
      <c r="A65" s="9" t="s">
        <v>82</v>
      </c>
      <c r="B65" s="10">
        <v>1321</v>
      </c>
      <c r="C65" s="10">
        <v>9</v>
      </c>
      <c r="D65" s="10">
        <v>8</v>
      </c>
      <c r="E65" s="10">
        <v>588</v>
      </c>
      <c r="F65" s="10">
        <v>54904923.760475948</v>
      </c>
      <c r="G65" s="10">
        <v>1281</v>
      </c>
      <c r="H65" s="10">
        <v>3</v>
      </c>
      <c r="I65" s="10">
        <v>8</v>
      </c>
      <c r="J65" s="10">
        <v>451</v>
      </c>
      <c r="K65" s="10">
        <v>1059671.0086861181</v>
      </c>
    </row>
    <row r="66" spans="1:11" x14ac:dyDescent="0.35">
      <c r="A66" s="9" t="s">
        <v>20</v>
      </c>
      <c r="B66" s="10">
        <v>4014</v>
      </c>
      <c r="C66" s="10">
        <v>31</v>
      </c>
      <c r="D66" s="10">
        <v>14</v>
      </c>
      <c r="E66" s="10">
        <v>1787</v>
      </c>
      <c r="F66" s="10">
        <v>173785924.35867625</v>
      </c>
      <c r="G66" s="10">
        <v>3872</v>
      </c>
      <c r="H66" s="10">
        <v>21</v>
      </c>
      <c r="I66" s="10">
        <v>13</v>
      </c>
      <c r="J66" s="10">
        <v>1695</v>
      </c>
      <c r="K66" s="10">
        <v>10162733.648864685</v>
      </c>
    </row>
    <row r="67" spans="1:11" x14ac:dyDescent="0.35">
      <c r="A67" s="9" t="s">
        <v>22</v>
      </c>
      <c r="B67" s="10">
        <v>3631</v>
      </c>
      <c r="C67" s="10">
        <v>33</v>
      </c>
      <c r="D67" s="10">
        <v>11</v>
      </c>
      <c r="E67" s="10">
        <v>1541</v>
      </c>
      <c r="F67" s="10">
        <v>138073816.18297487</v>
      </c>
      <c r="G67" s="10">
        <v>3655</v>
      </c>
      <c r="H67" s="10">
        <v>22</v>
      </c>
      <c r="I67" s="10">
        <v>12</v>
      </c>
      <c r="J67" s="10">
        <v>1493</v>
      </c>
      <c r="K67" s="10">
        <v>18067214.803626083</v>
      </c>
    </row>
    <row r="68" spans="1:11" x14ac:dyDescent="0.35">
      <c r="A68" s="9" t="s">
        <v>24</v>
      </c>
      <c r="B68" s="10">
        <v>1892</v>
      </c>
      <c r="C68" s="10">
        <v>10</v>
      </c>
      <c r="D68" s="10">
        <v>2</v>
      </c>
      <c r="E68" s="10">
        <v>828</v>
      </c>
      <c r="F68" s="10">
        <v>83376615.981993362</v>
      </c>
      <c r="G68" s="10">
        <v>1939</v>
      </c>
      <c r="H68" s="10">
        <v>4</v>
      </c>
      <c r="I68" s="10">
        <v>3</v>
      </c>
      <c r="J68" s="10">
        <v>803</v>
      </c>
      <c r="K68" s="10">
        <v>4427499.9637732701</v>
      </c>
    </row>
    <row r="69" spans="1:11" x14ac:dyDescent="0.35">
      <c r="A69" s="9" t="s">
        <v>46</v>
      </c>
      <c r="B69" s="10">
        <v>5085</v>
      </c>
      <c r="C69" s="10">
        <v>1009</v>
      </c>
      <c r="D69" s="10">
        <v>15</v>
      </c>
      <c r="E69" s="10">
        <v>1480</v>
      </c>
      <c r="F69" s="10">
        <v>118452903.73412867</v>
      </c>
      <c r="G69" s="10">
        <v>6362</v>
      </c>
      <c r="H69" s="10">
        <v>1339</v>
      </c>
      <c r="I69" s="10">
        <v>15</v>
      </c>
      <c r="J69" s="10">
        <v>1743</v>
      </c>
      <c r="K69" s="10">
        <v>7339266.0514752986</v>
      </c>
    </row>
    <row r="70" spans="1:11" x14ac:dyDescent="0.35">
      <c r="A70" s="9" t="s">
        <v>100</v>
      </c>
      <c r="B70" s="10">
        <v>750</v>
      </c>
      <c r="C70" s="10">
        <v>6</v>
      </c>
      <c r="D70" s="10">
        <v>1</v>
      </c>
      <c r="E70" s="10">
        <v>452</v>
      </c>
      <c r="F70" s="10">
        <v>16882266.62964619</v>
      </c>
      <c r="G70" s="10">
        <v>700</v>
      </c>
      <c r="H70" s="10">
        <v>4</v>
      </c>
      <c r="I70" s="10">
        <v>1</v>
      </c>
      <c r="J70" s="10">
        <v>452</v>
      </c>
      <c r="K70" s="10">
        <v>8382750.2172473548</v>
      </c>
    </row>
    <row r="71" spans="1:11" x14ac:dyDescent="0.35">
      <c r="A71" s="9" t="s">
        <v>9</v>
      </c>
      <c r="B71" s="10">
        <v>3801</v>
      </c>
      <c r="C71" s="10">
        <v>13</v>
      </c>
      <c r="D71" s="10">
        <v>11</v>
      </c>
      <c r="E71" s="10">
        <v>2033</v>
      </c>
      <c r="F71" s="10">
        <v>105365872.65252832</v>
      </c>
      <c r="G71" s="10">
        <v>3661</v>
      </c>
      <c r="H71" s="10">
        <v>15</v>
      </c>
      <c r="I71" s="10">
        <v>12</v>
      </c>
      <c r="J71" s="10">
        <v>2087</v>
      </c>
      <c r="K71" s="10">
        <v>22949546.306521486</v>
      </c>
    </row>
    <row r="72" spans="1:11" x14ac:dyDescent="0.35">
      <c r="A72" s="9" t="s">
        <v>11</v>
      </c>
      <c r="B72" s="10">
        <v>1721</v>
      </c>
      <c r="C72" s="10">
        <v>6</v>
      </c>
      <c r="D72" s="10">
        <v>6</v>
      </c>
      <c r="E72" s="10">
        <v>667</v>
      </c>
      <c r="F72" s="10">
        <v>46538174.475944117</v>
      </c>
      <c r="G72" s="10">
        <v>1763</v>
      </c>
      <c r="H72" s="10">
        <v>5</v>
      </c>
      <c r="I72" s="10">
        <v>5</v>
      </c>
      <c r="J72" s="10">
        <v>794</v>
      </c>
      <c r="K72" s="10">
        <v>11303026.99489294</v>
      </c>
    </row>
    <row r="73" spans="1:11" x14ac:dyDescent="0.35">
      <c r="A73" s="9" t="s">
        <v>118</v>
      </c>
      <c r="B73" s="10">
        <v>3380</v>
      </c>
      <c r="C73" s="10">
        <v>70</v>
      </c>
      <c r="D73" s="10">
        <v>11</v>
      </c>
      <c r="E73" s="10">
        <v>1519</v>
      </c>
      <c r="F73" s="10">
        <v>101144116.9889805</v>
      </c>
      <c r="G73" s="10">
        <v>3363</v>
      </c>
      <c r="H73" s="10">
        <v>60</v>
      </c>
      <c r="I73" s="10">
        <v>12</v>
      </c>
      <c r="J73" s="10">
        <v>1578</v>
      </c>
      <c r="K73" s="10">
        <v>38146634.35815163</v>
      </c>
    </row>
    <row r="74" spans="1:11" x14ac:dyDescent="0.35">
      <c r="A74" s="9" t="s">
        <v>49</v>
      </c>
      <c r="B74" s="10">
        <v>2833</v>
      </c>
      <c r="C74" s="10">
        <v>12</v>
      </c>
      <c r="D74" s="10">
        <v>6</v>
      </c>
      <c r="E74" s="10">
        <v>1391</v>
      </c>
      <c r="F74" s="10">
        <v>47060671.724853151</v>
      </c>
      <c r="G74" s="10">
        <v>2650</v>
      </c>
      <c r="H74" s="10">
        <v>9</v>
      </c>
      <c r="I74" s="10">
        <v>5</v>
      </c>
      <c r="J74" s="10">
        <v>1566</v>
      </c>
      <c r="K74" s="10">
        <v>1801778.234071786</v>
      </c>
    </row>
    <row r="75" spans="1:11" x14ac:dyDescent="0.35">
      <c r="A75" s="9" t="s">
        <v>47</v>
      </c>
      <c r="B75" s="10">
        <v>3349</v>
      </c>
      <c r="C75" s="10">
        <v>21</v>
      </c>
      <c r="D75" s="10">
        <v>12</v>
      </c>
      <c r="E75" s="10">
        <v>1355</v>
      </c>
      <c r="F75" s="10">
        <v>107902365.39183265</v>
      </c>
      <c r="G75" s="10">
        <v>3564</v>
      </c>
      <c r="H75" s="10">
        <v>9</v>
      </c>
      <c r="I75" s="10">
        <v>12</v>
      </c>
      <c r="J75" s="10">
        <v>1321</v>
      </c>
      <c r="K75" s="10">
        <v>2009602.4076383179</v>
      </c>
    </row>
    <row r="76" spans="1:11" x14ac:dyDescent="0.35">
      <c r="A76" s="9" t="s">
        <v>101</v>
      </c>
      <c r="B76" s="10">
        <v>1443</v>
      </c>
      <c r="C76" s="10">
        <v>9</v>
      </c>
      <c r="D76" s="10">
        <v>2</v>
      </c>
      <c r="E76" s="10">
        <v>979</v>
      </c>
      <c r="F76" s="10">
        <v>40892405.417212456</v>
      </c>
      <c r="G76" s="10">
        <v>1452</v>
      </c>
      <c r="H76" s="10">
        <v>17</v>
      </c>
      <c r="I76" s="10">
        <v>2</v>
      </c>
      <c r="J76" s="10">
        <v>931</v>
      </c>
      <c r="K76" s="10">
        <v>20466485.003654711</v>
      </c>
    </row>
    <row r="77" spans="1:11" x14ac:dyDescent="0.35">
      <c r="A77" s="9" t="s">
        <v>126</v>
      </c>
      <c r="B77" s="10">
        <v>1681</v>
      </c>
      <c r="C77" s="10">
        <v>5</v>
      </c>
      <c r="D77" s="10">
        <v>0</v>
      </c>
      <c r="E77" s="10">
        <v>744</v>
      </c>
      <c r="F77" s="10">
        <v>41843537.455111928</v>
      </c>
      <c r="G77" s="10">
        <v>1952</v>
      </c>
      <c r="H77" s="10">
        <v>4</v>
      </c>
      <c r="I77" s="10">
        <v>2</v>
      </c>
      <c r="J77" s="10">
        <v>920</v>
      </c>
      <c r="K77" s="10">
        <v>3557710.2473687078</v>
      </c>
    </row>
    <row r="78" spans="1:11" x14ac:dyDescent="0.35">
      <c r="A78" s="9" t="s">
        <v>48</v>
      </c>
      <c r="B78" s="10">
        <v>1294</v>
      </c>
      <c r="C78" s="10">
        <v>3</v>
      </c>
      <c r="D78" s="10">
        <v>4</v>
      </c>
      <c r="E78" s="10">
        <v>530</v>
      </c>
      <c r="F78" s="10">
        <v>39975905.474743128</v>
      </c>
      <c r="G78" s="10">
        <v>1335</v>
      </c>
      <c r="H78" s="10">
        <v>2</v>
      </c>
      <c r="I78" s="10">
        <v>5</v>
      </c>
      <c r="J78" s="10">
        <v>531</v>
      </c>
      <c r="K78" s="10">
        <v>3640982.131539972</v>
      </c>
    </row>
    <row r="79" spans="1:11" x14ac:dyDescent="0.35">
      <c r="A79" s="9" t="s">
        <v>96</v>
      </c>
      <c r="B79" s="10">
        <v>1999</v>
      </c>
      <c r="C79" s="10">
        <v>21</v>
      </c>
      <c r="D79" s="10">
        <v>2</v>
      </c>
      <c r="E79" s="10">
        <v>1341</v>
      </c>
      <c r="F79" s="10">
        <v>42993741.643620923</v>
      </c>
      <c r="G79" s="10">
        <v>2024</v>
      </c>
      <c r="H79" s="10">
        <v>15</v>
      </c>
      <c r="I79" s="10">
        <v>3</v>
      </c>
      <c r="J79" s="10">
        <v>1800</v>
      </c>
      <c r="K79" s="10">
        <v>21106674.161640465</v>
      </c>
    </row>
    <row r="80" spans="1:11" x14ac:dyDescent="0.35">
      <c r="A80" s="9" t="s">
        <v>30</v>
      </c>
      <c r="B80" s="10">
        <v>971</v>
      </c>
      <c r="C80" s="10">
        <v>5</v>
      </c>
      <c r="D80" s="10">
        <v>16</v>
      </c>
      <c r="E80" s="10">
        <v>477</v>
      </c>
      <c r="F80" s="10">
        <v>32887330.843816411</v>
      </c>
      <c r="G80" s="10">
        <v>984</v>
      </c>
      <c r="H80" s="10">
        <v>5</v>
      </c>
      <c r="I80" s="10">
        <v>15</v>
      </c>
      <c r="J80" s="10">
        <v>465</v>
      </c>
      <c r="K80" s="10">
        <v>7301101.6637530196</v>
      </c>
    </row>
    <row r="81" spans="1:11" x14ac:dyDescent="0.35">
      <c r="A81" s="9" t="s">
        <v>84</v>
      </c>
      <c r="B81" s="10">
        <v>1762</v>
      </c>
      <c r="C81" s="10">
        <v>13</v>
      </c>
      <c r="D81" s="10">
        <v>3</v>
      </c>
      <c r="E81" s="10">
        <v>819</v>
      </c>
      <c r="F81" s="10">
        <v>54813342.855466351</v>
      </c>
      <c r="G81" s="10">
        <v>1924</v>
      </c>
      <c r="H81" s="10">
        <v>12</v>
      </c>
      <c r="I81" s="10">
        <v>6</v>
      </c>
      <c r="J81" s="10">
        <v>783</v>
      </c>
      <c r="K81" s="10">
        <v>3303785.2801126912</v>
      </c>
    </row>
    <row r="82" spans="1:11" x14ac:dyDescent="0.35">
      <c r="A82" s="9" t="s">
        <v>32</v>
      </c>
      <c r="B82" s="10">
        <v>1683</v>
      </c>
      <c r="C82" s="10">
        <v>3</v>
      </c>
      <c r="D82" s="10">
        <v>14</v>
      </c>
      <c r="E82" s="10">
        <v>880</v>
      </c>
      <c r="F82" s="10">
        <v>53075703.229022741</v>
      </c>
      <c r="G82" s="10">
        <v>1726</v>
      </c>
      <c r="H82" s="10">
        <v>5</v>
      </c>
      <c r="I82" s="10">
        <v>14</v>
      </c>
      <c r="J82" s="10">
        <v>770</v>
      </c>
      <c r="K82" s="10">
        <v>10144456.55244264</v>
      </c>
    </row>
    <row r="83" spans="1:11" x14ac:dyDescent="0.35">
      <c r="A83" s="9" t="s">
        <v>55</v>
      </c>
      <c r="B83" s="10">
        <v>2006</v>
      </c>
      <c r="C83" s="10">
        <v>8</v>
      </c>
      <c r="D83" s="10">
        <v>2</v>
      </c>
      <c r="E83" s="10">
        <v>966</v>
      </c>
      <c r="F83" s="10">
        <v>41672706.309625395</v>
      </c>
      <c r="G83" s="10">
        <v>1878</v>
      </c>
      <c r="H83" s="10">
        <v>0</v>
      </c>
      <c r="I83" s="10">
        <v>3</v>
      </c>
      <c r="J83" s="10">
        <v>719</v>
      </c>
      <c r="K83" s="10">
        <v>5829042.3267883519</v>
      </c>
    </row>
    <row r="84" spans="1:11" x14ac:dyDescent="0.35">
      <c r="A84" s="9" t="s">
        <v>50</v>
      </c>
      <c r="B84" s="10">
        <v>1935</v>
      </c>
      <c r="C84" s="10">
        <v>8</v>
      </c>
      <c r="D84" s="10">
        <v>4</v>
      </c>
      <c r="E84" s="10">
        <v>924</v>
      </c>
      <c r="F84" s="10">
        <v>44498523.987773851</v>
      </c>
      <c r="G84" s="10">
        <v>1921</v>
      </c>
      <c r="H84" s="10">
        <v>9</v>
      </c>
      <c r="I84" s="10">
        <v>4</v>
      </c>
      <c r="J84" s="10">
        <v>947</v>
      </c>
      <c r="K84" s="10">
        <v>1469576.5804254119</v>
      </c>
    </row>
    <row r="85" spans="1:11" x14ac:dyDescent="0.35">
      <c r="A85" s="9" t="s">
        <v>66</v>
      </c>
      <c r="B85" s="10">
        <v>1662</v>
      </c>
      <c r="C85" s="10">
        <v>6</v>
      </c>
      <c r="D85" s="10">
        <v>8</v>
      </c>
      <c r="E85" s="10">
        <v>889</v>
      </c>
      <c r="F85" s="10">
        <v>55695439.744008735</v>
      </c>
      <c r="G85" s="10">
        <v>1652</v>
      </c>
      <c r="H85" s="10">
        <v>5</v>
      </c>
      <c r="I85" s="10">
        <v>8</v>
      </c>
      <c r="J85" s="10">
        <v>808</v>
      </c>
      <c r="K85" s="10">
        <v>2661166.0961867152</v>
      </c>
    </row>
    <row r="86" spans="1:11" x14ac:dyDescent="0.35">
      <c r="A86" s="9" t="s">
        <v>105</v>
      </c>
      <c r="B86" s="10">
        <v>1472</v>
      </c>
      <c r="C86" s="10">
        <v>11</v>
      </c>
      <c r="D86" s="10">
        <v>3</v>
      </c>
      <c r="E86" s="10">
        <v>867</v>
      </c>
      <c r="F86" s="10">
        <v>32128287.15332821</v>
      </c>
      <c r="G86" s="10">
        <v>1367</v>
      </c>
      <c r="H86" s="10">
        <v>6</v>
      </c>
      <c r="I86" s="10">
        <v>4</v>
      </c>
      <c r="J86" s="10">
        <v>824</v>
      </c>
      <c r="K86" s="10">
        <v>11596385.348198514</v>
      </c>
    </row>
    <row r="87" spans="1:11" x14ac:dyDescent="0.35">
      <c r="A87" s="9" t="s">
        <v>120</v>
      </c>
      <c r="B87" s="10">
        <v>2990</v>
      </c>
      <c r="C87" s="10">
        <v>4</v>
      </c>
      <c r="D87" s="10">
        <v>10</v>
      </c>
      <c r="E87" s="10">
        <v>1036</v>
      </c>
      <c r="F87" s="10">
        <v>99714033.565842718</v>
      </c>
      <c r="G87" s="10">
        <v>3688</v>
      </c>
      <c r="H87" s="10">
        <v>6</v>
      </c>
      <c r="I87" s="10">
        <v>11</v>
      </c>
      <c r="J87" s="10">
        <v>1479</v>
      </c>
      <c r="K87" s="10">
        <v>6779848.9919373058</v>
      </c>
    </row>
    <row r="88" spans="1:11" x14ac:dyDescent="0.35">
      <c r="A88" s="9" t="s">
        <v>68</v>
      </c>
      <c r="B88" s="10">
        <v>1536</v>
      </c>
      <c r="C88" s="10">
        <v>5</v>
      </c>
      <c r="D88" s="10">
        <v>5</v>
      </c>
      <c r="E88" s="10">
        <v>833</v>
      </c>
      <c r="F88" s="10">
        <v>32990070.241456818</v>
      </c>
      <c r="G88" s="10">
        <v>1456</v>
      </c>
      <c r="H88" s="10">
        <v>12</v>
      </c>
      <c r="I88" s="10">
        <v>5</v>
      </c>
      <c r="J88" s="10">
        <v>1051</v>
      </c>
      <c r="K88" s="10">
        <v>1743880.3025266121</v>
      </c>
    </row>
    <row r="89" spans="1:11" x14ac:dyDescent="0.35">
      <c r="A89" s="9" t="s">
        <v>74</v>
      </c>
      <c r="B89" s="10">
        <v>1651</v>
      </c>
      <c r="C89" s="10">
        <v>18</v>
      </c>
      <c r="D89" s="10">
        <v>10</v>
      </c>
      <c r="E89" s="10">
        <v>953</v>
      </c>
      <c r="F89" s="10">
        <v>66235932.049092099</v>
      </c>
      <c r="G89" s="10">
        <v>1694</v>
      </c>
      <c r="H89" s="10">
        <v>13</v>
      </c>
      <c r="I89" s="10">
        <v>10</v>
      </c>
      <c r="J89" s="10">
        <v>808</v>
      </c>
      <c r="K89" s="10">
        <v>16775504.762460722</v>
      </c>
    </row>
    <row r="90" spans="1:11" x14ac:dyDescent="0.35">
      <c r="A90" s="9" t="s">
        <v>56</v>
      </c>
      <c r="B90" s="10">
        <v>525</v>
      </c>
      <c r="C90" s="10">
        <v>2</v>
      </c>
      <c r="D90" s="10">
        <v>1</v>
      </c>
      <c r="E90" s="10">
        <v>145</v>
      </c>
      <c r="F90" s="10">
        <v>7090109.8863477018</v>
      </c>
      <c r="G90" s="10">
        <v>588</v>
      </c>
      <c r="H90" s="10">
        <v>2</v>
      </c>
      <c r="I90" s="10">
        <v>1</v>
      </c>
      <c r="J90" s="10">
        <v>269</v>
      </c>
      <c r="K90" s="10">
        <v>1276708.282503257</v>
      </c>
    </row>
    <row r="91" spans="1:11" x14ac:dyDescent="0.35">
      <c r="A91" s="9" t="s">
        <v>158</v>
      </c>
      <c r="B91" s="10">
        <v>2980</v>
      </c>
      <c r="C91" s="10">
        <v>11</v>
      </c>
      <c r="D91" s="10">
        <v>4</v>
      </c>
      <c r="E91" s="10">
        <v>1627</v>
      </c>
      <c r="F91" s="10">
        <v>110374849.23608649</v>
      </c>
      <c r="G91" s="10"/>
      <c r="H91" s="10"/>
      <c r="I91" s="10"/>
      <c r="J91" s="10"/>
      <c r="K91" s="10"/>
    </row>
    <row r="92" spans="1:11" x14ac:dyDescent="0.35">
      <c r="A92" s="9" t="s">
        <v>159</v>
      </c>
      <c r="B92" s="10">
        <v>1008</v>
      </c>
      <c r="C92" s="10">
        <v>10</v>
      </c>
      <c r="D92" s="10">
        <v>1</v>
      </c>
      <c r="E92" s="10">
        <v>611</v>
      </c>
      <c r="F92" s="10">
        <v>41813046.697462521</v>
      </c>
      <c r="G92" s="10"/>
      <c r="H92" s="10"/>
      <c r="I92" s="10"/>
      <c r="J92" s="10"/>
      <c r="K92" s="10"/>
    </row>
    <row r="93" spans="1:11" x14ac:dyDescent="0.35">
      <c r="A93" s="9" t="s">
        <v>160</v>
      </c>
      <c r="B93" s="10">
        <v>1694</v>
      </c>
      <c r="C93" s="10">
        <v>9</v>
      </c>
      <c r="D93" s="10">
        <v>2</v>
      </c>
      <c r="E93" s="10">
        <v>885</v>
      </c>
      <c r="F93" s="10">
        <v>53218903.612017363</v>
      </c>
      <c r="G93" s="10"/>
      <c r="H93" s="10"/>
      <c r="I93" s="10"/>
      <c r="J93" s="10"/>
      <c r="K93" s="10"/>
    </row>
    <row r="94" spans="1:11" x14ac:dyDescent="0.35">
      <c r="A94" s="9" t="s">
        <v>161</v>
      </c>
      <c r="B94" s="10">
        <v>824</v>
      </c>
      <c r="C94" s="10">
        <v>2</v>
      </c>
      <c r="D94" s="10">
        <v>1</v>
      </c>
      <c r="E94" s="10">
        <v>541</v>
      </c>
      <c r="F94" s="10">
        <v>23105427.056424603</v>
      </c>
      <c r="G94" s="10"/>
      <c r="H94" s="10"/>
      <c r="I94" s="10"/>
      <c r="J94" s="10"/>
      <c r="K94" s="10"/>
    </row>
    <row r="95" spans="1:11" x14ac:dyDescent="0.35">
      <c r="A95" s="9" t="s">
        <v>162</v>
      </c>
      <c r="B95" s="10">
        <v>662</v>
      </c>
      <c r="C95" s="10">
        <v>6</v>
      </c>
      <c r="D95" s="10">
        <v>2</v>
      </c>
      <c r="E95" s="10">
        <v>425</v>
      </c>
      <c r="F95" s="10">
        <v>24486976.007772643</v>
      </c>
      <c r="G95" s="10"/>
      <c r="H95" s="10"/>
      <c r="I95" s="10"/>
      <c r="J95" s="10"/>
      <c r="K95" s="10"/>
    </row>
    <row r="96" spans="1:11" x14ac:dyDescent="0.35">
      <c r="A96" s="9" t="s">
        <v>163</v>
      </c>
      <c r="B96" s="10">
        <v>1587</v>
      </c>
      <c r="C96" s="10">
        <v>7</v>
      </c>
      <c r="D96" s="10">
        <v>4</v>
      </c>
      <c r="E96" s="10">
        <v>897</v>
      </c>
      <c r="F96" s="10">
        <v>27991327.546048723</v>
      </c>
      <c r="G96" s="10"/>
      <c r="H96" s="10"/>
      <c r="I96" s="10"/>
      <c r="J96" s="10"/>
      <c r="K96" s="10"/>
    </row>
    <row r="97" spans="1:11" x14ac:dyDescent="0.35">
      <c r="A97" s="9" t="s">
        <v>164</v>
      </c>
      <c r="B97" s="10">
        <v>1560</v>
      </c>
      <c r="C97" s="10">
        <v>28</v>
      </c>
      <c r="D97" s="10">
        <v>5</v>
      </c>
      <c r="E97" s="10">
        <v>405</v>
      </c>
      <c r="F97" s="10">
        <v>45023354.88500867</v>
      </c>
      <c r="G97" s="10"/>
      <c r="H97" s="10"/>
      <c r="I97" s="10"/>
      <c r="J97" s="10"/>
      <c r="K97" s="10"/>
    </row>
    <row r="98" spans="1:11" x14ac:dyDescent="0.35">
      <c r="A98" s="9" t="s">
        <v>165</v>
      </c>
      <c r="B98" s="10">
        <v>911</v>
      </c>
      <c r="C98" s="10">
        <v>8</v>
      </c>
      <c r="D98" s="10">
        <v>2</v>
      </c>
      <c r="E98" s="10">
        <v>624</v>
      </c>
      <c r="F98" s="10">
        <v>20747612.572297983</v>
      </c>
      <c r="G98" s="10"/>
      <c r="H98" s="10"/>
      <c r="I98" s="10"/>
      <c r="J98" s="10"/>
      <c r="K98" s="10"/>
    </row>
    <row r="99" spans="1:11" x14ac:dyDescent="0.35">
      <c r="A99" s="9" t="s">
        <v>166</v>
      </c>
      <c r="B99" s="10">
        <v>932</v>
      </c>
      <c r="C99" s="10">
        <v>6</v>
      </c>
      <c r="D99" s="10">
        <v>2</v>
      </c>
      <c r="E99" s="10">
        <v>394</v>
      </c>
      <c r="F99" s="10">
        <v>21405079.180651862</v>
      </c>
      <c r="G99" s="10"/>
      <c r="H99" s="10"/>
      <c r="I99" s="10"/>
      <c r="J99" s="10"/>
      <c r="K99" s="10"/>
    </row>
    <row r="100" spans="1:11" x14ac:dyDescent="0.35">
      <c r="A100" s="9" t="s">
        <v>167</v>
      </c>
      <c r="B100" s="10">
        <v>727</v>
      </c>
      <c r="C100" s="10">
        <v>10</v>
      </c>
      <c r="D100" s="10">
        <v>2</v>
      </c>
      <c r="E100" s="10">
        <v>435</v>
      </c>
      <c r="F100" s="10">
        <v>17561538.315829538</v>
      </c>
      <c r="G100" s="10"/>
      <c r="H100" s="10"/>
      <c r="I100" s="10"/>
      <c r="J100" s="10"/>
      <c r="K100" s="10"/>
    </row>
    <row r="101" spans="1:11" x14ac:dyDescent="0.35">
      <c r="A101" s="9" t="s">
        <v>168</v>
      </c>
      <c r="B101" s="10">
        <v>1450</v>
      </c>
      <c r="C101" s="10">
        <v>9</v>
      </c>
      <c r="D101" s="10">
        <v>2</v>
      </c>
      <c r="E101" s="10">
        <v>854</v>
      </c>
      <c r="F101" s="10">
        <v>29478216.526522733</v>
      </c>
      <c r="G101" s="10"/>
      <c r="H101" s="10"/>
      <c r="I101" s="10"/>
      <c r="J101" s="10"/>
      <c r="K101" s="10"/>
    </row>
    <row r="102" spans="1:11" x14ac:dyDescent="0.35">
      <c r="A102" s="9" t="s">
        <v>169</v>
      </c>
      <c r="B102" s="10">
        <v>1284</v>
      </c>
      <c r="C102" s="10">
        <v>18</v>
      </c>
      <c r="D102" s="10">
        <v>5</v>
      </c>
      <c r="E102" s="10">
        <v>764</v>
      </c>
      <c r="F102" s="10">
        <v>31826119.794252589</v>
      </c>
      <c r="G102" s="10"/>
      <c r="H102" s="10"/>
      <c r="I102" s="10"/>
      <c r="J102" s="10"/>
      <c r="K102" s="10"/>
    </row>
    <row r="103" spans="1:11" x14ac:dyDescent="0.35">
      <c r="A103" s="9" t="s">
        <v>170</v>
      </c>
      <c r="B103" s="10">
        <v>2179</v>
      </c>
      <c r="C103" s="10">
        <v>16</v>
      </c>
      <c r="D103" s="10">
        <v>2</v>
      </c>
      <c r="E103" s="10">
        <v>1553</v>
      </c>
      <c r="F103" s="10">
        <v>44257557.029055774</v>
      </c>
      <c r="G103" s="10"/>
      <c r="H103" s="10"/>
      <c r="I103" s="10"/>
      <c r="J103" s="10"/>
      <c r="K103" s="10"/>
    </row>
    <row r="104" spans="1:11" x14ac:dyDescent="0.35">
      <c r="A104" s="9" t="s">
        <v>171</v>
      </c>
      <c r="B104" s="10">
        <v>2378</v>
      </c>
      <c r="C104" s="10">
        <v>19</v>
      </c>
      <c r="D104" s="10">
        <v>2</v>
      </c>
      <c r="E104" s="10">
        <v>1482</v>
      </c>
      <c r="F104" s="10">
        <v>50951568.976161622</v>
      </c>
      <c r="G104" s="10"/>
      <c r="H104" s="10"/>
      <c r="I104" s="10"/>
      <c r="J104" s="10"/>
      <c r="K104" s="10"/>
    </row>
    <row r="105" spans="1:11" x14ac:dyDescent="0.35">
      <c r="A105" s="9" t="s">
        <v>172</v>
      </c>
      <c r="B105" s="10">
        <v>1738</v>
      </c>
      <c r="C105" s="10">
        <v>11</v>
      </c>
      <c r="D105" s="10">
        <v>2</v>
      </c>
      <c r="E105" s="10">
        <v>988</v>
      </c>
      <c r="F105" s="10">
        <v>38211049.594554268</v>
      </c>
      <c r="G105" s="10"/>
      <c r="H105" s="10"/>
      <c r="I105" s="10"/>
      <c r="J105" s="10"/>
      <c r="K105" s="10"/>
    </row>
    <row r="106" spans="1:11" x14ac:dyDescent="0.35">
      <c r="A106" s="9" t="s">
        <v>173</v>
      </c>
      <c r="B106" s="10">
        <v>3504</v>
      </c>
      <c r="C106" s="10">
        <v>61</v>
      </c>
      <c r="D106" s="10">
        <v>5</v>
      </c>
      <c r="E106" s="10">
        <v>2293</v>
      </c>
      <c r="F106" s="10">
        <v>84347484.691182852</v>
      </c>
      <c r="G106" s="10"/>
      <c r="H106" s="10"/>
      <c r="I106" s="10"/>
      <c r="J106" s="10"/>
      <c r="K106" s="10"/>
    </row>
    <row r="107" spans="1:11" x14ac:dyDescent="0.35">
      <c r="A107" s="9" t="s">
        <v>174</v>
      </c>
      <c r="B107" s="10">
        <v>3311</v>
      </c>
      <c r="C107" s="10">
        <v>29</v>
      </c>
      <c r="D107" s="10">
        <v>3</v>
      </c>
      <c r="E107" s="10">
        <v>1732</v>
      </c>
      <c r="F107" s="10">
        <v>76489421.510997951</v>
      </c>
      <c r="G107" s="10"/>
      <c r="H107" s="10"/>
      <c r="I107" s="10"/>
      <c r="J107" s="10"/>
      <c r="K107" s="10"/>
    </row>
    <row r="108" spans="1:11" x14ac:dyDescent="0.35">
      <c r="A108" s="9" t="s">
        <v>175</v>
      </c>
      <c r="B108" s="10">
        <v>2347</v>
      </c>
      <c r="C108" s="10">
        <v>41</v>
      </c>
      <c r="D108" s="10">
        <v>1</v>
      </c>
      <c r="E108" s="10">
        <v>1517</v>
      </c>
      <c r="F108" s="10">
        <v>67167788.927189618</v>
      </c>
      <c r="G108" s="10"/>
      <c r="H108" s="10"/>
      <c r="I108" s="10"/>
      <c r="J108" s="10"/>
      <c r="K108" s="10"/>
    </row>
    <row r="109" spans="1:11" x14ac:dyDescent="0.35">
      <c r="A109" s="9" t="s">
        <v>176</v>
      </c>
      <c r="B109" s="10">
        <v>1206</v>
      </c>
      <c r="C109" s="10">
        <v>12</v>
      </c>
      <c r="D109" s="10">
        <v>4</v>
      </c>
      <c r="E109" s="10">
        <v>950</v>
      </c>
      <c r="F109" s="10">
        <v>26285838.269263111</v>
      </c>
      <c r="G109" s="10"/>
      <c r="H109" s="10"/>
      <c r="I109" s="10"/>
      <c r="J109" s="10"/>
      <c r="K109" s="10"/>
    </row>
    <row r="110" spans="1:11" x14ac:dyDescent="0.35">
      <c r="A110" s="9" t="s">
        <v>177</v>
      </c>
      <c r="B110" s="10">
        <v>1899</v>
      </c>
      <c r="C110" s="10">
        <v>40</v>
      </c>
      <c r="D110" s="10">
        <v>3</v>
      </c>
      <c r="E110" s="10">
        <v>1158</v>
      </c>
      <c r="F110" s="10">
        <v>42567705.015172467</v>
      </c>
      <c r="G110" s="10"/>
      <c r="H110" s="10"/>
      <c r="I110" s="10"/>
      <c r="J110" s="10"/>
      <c r="K110" s="10"/>
    </row>
    <row r="111" spans="1:11" x14ac:dyDescent="0.35">
      <c r="A111" s="9" t="s">
        <v>178</v>
      </c>
      <c r="B111" s="10">
        <v>3050</v>
      </c>
      <c r="C111" s="10">
        <v>32</v>
      </c>
      <c r="D111" s="10">
        <v>6</v>
      </c>
      <c r="E111" s="10">
        <v>2000</v>
      </c>
      <c r="F111" s="10">
        <v>63637743.539904118</v>
      </c>
      <c r="G111" s="10"/>
      <c r="H111" s="10"/>
      <c r="I111" s="10"/>
      <c r="J111" s="10"/>
      <c r="K111" s="10"/>
    </row>
    <row r="112" spans="1:11" x14ac:dyDescent="0.35">
      <c r="A112" s="9" t="s">
        <v>179</v>
      </c>
      <c r="B112" s="10">
        <v>1231</v>
      </c>
      <c r="C112" s="10">
        <v>12</v>
      </c>
      <c r="D112" s="10">
        <v>2</v>
      </c>
      <c r="E112" s="10">
        <v>818</v>
      </c>
      <c r="F112" s="10">
        <v>26195918.150180899</v>
      </c>
      <c r="G112" s="10"/>
      <c r="H112" s="10"/>
      <c r="I112" s="10"/>
      <c r="J112" s="10"/>
      <c r="K112" s="10"/>
    </row>
    <row r="113" spans="1:11" x14ac:dyDescent="0.35">
      <c r="A113" s="9" t="s">
        <v>180</v>
      </c>
      <c r="B113" s="10">
        <v>754</v>
      </c>
      <c r="C113" s="10">
        <v>2</v>
      </c>
      <c r="D113" s="10">
        <v>2</v>
      </c>
      <c r="E113" s="10">
        <v>587</v>
      </c>
      <c r="F113" s="10">
        <v>13447334.867986448</v>
      </c>
      <c r="G113" s="10"/>
      <c r="H113" s="10"/>
      <c r="I113" s="10"/>
      <c r="J113" s="10"/>
      <c r="K113" s="10"/>
    </row>
    <row r="114" spans="1:11" x14ac:dyDescent="0.35">
      <c r="A114" s="9" t="s">
        <v>181</v>
      </c>
      <c r="B114" s="10">
        <v>1988</v>
      </c>
      <c r="C114" s="10">
        <v>13</v>
      </c>
      <c r="D114" s="10">
        <v>5</v>
      </c>
      <c r="E114" s="10">
        <v>1010</v>
      </c>
      <c r="F114" s="10">
        <v>36204466.952342913</v>
      </c>
      <c r="G114" s="10"/>
      <c r="H114" s="10"/>
      <c r="I114" s="10"/>
      <c r="J114" s="10"/>
      <c r="K114" s="10"/>
    </row>
    <row r="115" spans="1:11" x14ac:dyDescent="0.35">
      <c r="A115" s="9" t="s">
        <v>182</v>
      </c>
      <c r="B115" s="10">
        <v>751</v>
      </c>
      <c r="C115" s="10">
        <v>4</v>
      </c>
      <c r="D115" s="10">
        <v>3</v>
      </c>
      <c r="E115" s="10">
        <v>471</v>
      </c>
      <c r="F115" s="10">
        <v>23619224.337943465</v>
      </c>
      <c r="G115" s="10"/>
      <c r="H115" s="10"/>
      <c r="I115" s="10"/>
      <c r="J115" s="10"/>
      <c r="K115" s="10"/>
    </row>
    <row r="116" spans="1:11" x14ac:dyDescent="0.35">
      <c r="A116" s="9" t="s">
        <v>183</v>
      </c>
      <c r="B116" s="10">
        <v>1449</v>
      </c>
      <c r="C116" s="10">
        <v>7</v>
      </c>
      <c r="D116" s="10">
        <v>3</v>
      </c>
      <c r="E116" s="10">
        <v>817</v>
      </c>
      <c r="F116" s="10">
        <v>19303544.6432142</v>
      </c>
      <c r="G116" s="10"/>
      <c r="H116" s="10"/>
      <c r="I116" s="10"/>
      <c r="J116" s="10"/>
      <c r="K116" s="10"/>
    </row>
    <row r="117" spans="1:11" x14ac:dyDescent="0.35">
      <c r="A117" s="9" t="s">
        <v>184</v>
      </c>
      <c r="B117" s="10">
        <v>2526</v>
      </c>
      <c r="C117" s="10">
        <v>23</v>
      </c>
      <c r="D117" s="10">
        <v>7</v>
      </c>
      <c r="E117" s="10">
        <v>1470</v>
      </c>
      <c r="F117" s="10">
        <v>57875327.004077218</v>
      </c>
      <c r="G117" s="10"/>
      <c r="H117" s="10"/>
      <c r="I117" s="10"/>
      <c r="J117" s="10"/>
      <c r="K117" s="10"/>
    </row>
    <row r="118" spans="1:11" x14ac:dyDescent="0.35">
      <c r="A118" s="9" t="s">
        <v>185</v>
      </c>
      <c r="B118" s="10">
        <v>1936</v>
      </c>
      <c r="C118" s="10">
        <v>23</v>
      </c>
      <c r="D118" s="10">
        <v>4</v>
      </c>
      <c r="E118" s="10">
        <v>1355</v>
      </c>
      <c r="F118" s="10">
        <v>42494938.983437993</v>
      </c>
      <c r="G118" s="10"/>
      <c r="H118" s="10"/>
      <c r="I118" s="10"/>
      <c r="J118" s="10"/>
      <c r="K118" s="10"/>
    </row>
    <row r="119" spans="1:11" x14ac:dyDescent="0.35">
      <c r="A119" s="9" t="s">
        <v>186</v>
      </c>
      <c r="B119" s="10">
        <v>1323</v>
      </c>
      <c r="C119" s="10">
        <v>12</v>
      </c>
      <c r="D119" s="10">
        <v>3</v>
      </c>
      <c r="E119" s="10">
        <v>831</v>
      </c>
      <c r="F119" s="10">
        <v>37047919.854707368</v>
      </c>
      <c r="G119" s="10"/>
      <c r="H119" s="10"/>
      <c r="I119" s="10"/>
      <c r="J119" s="10"/>
      <c r="K119" s="10"/>
    </row>
    <row r="120" spans="1:11" x14ac:dyDescent="0.35">
      <c r="A120" s="9" t="s">
        <v>187</v>
      </c>
      <c r="B120" s="10">
        <v>3435</v>
      </c>
      <c r="C120" s="10">
        <v>37</v>
      </c>
      <c r="D120" s="10">
        <v>7</v>
      </c>
      <c r="E120" s="10">
        <v>2051</v>
      </c>
      <c r="F120" s="10">
        <v>91565721.189668655</v>
      </c>
      <c r="G120" s="10"/>
      <c r="H120" s="10"/>
      <c r="I120" s="10"/>
      <c r="J120" s="10"/>
      <c r="K120" s="10"/>
    </row>
    <row r="121" spans="1:11" x14ac:dyDescent="0.35">
      <c r="A121" s="9" t="s">
        <v>188</v>
      </c>
      <c r="B121" s="10">
        <v>4348</v>
      </c>
      <c r="C121" s="10">
        <v>80</v>
      </c>
      <c r="D121" s="10">
        <v>5</v>
      </c>
      <c r="E121" s="10">
        <v>2182</v>
      </c>
      <c r="F121" s="10">
        <v>98623178.915806442</v>
      </c>
      <c r="G121" s="10"/>
      <c r="H121" s="10"/>
      <c r="I121" s="10"/>
      <c r="J121" s="10"/>
      <c r="K121" s="10"/>
    </row>
    <row r="122" spans="1:11" x14ac:dyDescent="0.35">
      <c r="A122" s="9" t="s">
        <v>189</v>
      </c>
      <c r="B122" s="10">
        <v>3006</v>
      </c>
      <c r="C122" s="10">
        <v>299</v>
      </c>
      <c r="D122" s="10">
        <v>2</v>
      </c>
      <c r="E122" s="10">
        <v>1541</v>
      </c>
      <c r="F122" s="10">
        <v>66121653.136006318</v>
      </c>
      <c r="G122" s="10"/>
      <c r="H122" s="10"/>
      <c r="I122" s="10"/>
      <c r="J122" s="10"/>
      <c r="K122" s="10"/>
    </row>
    <row r="123" spans="1:11" x14ac:dyDescent="0.35">
      <c r="A123" s="9" t="s">
        <v>190</v>
      </c>
      <c r="B123" s="10">
        <v>3037</v>
      </c>
      <c r="C123" s="10">
        <v>379</v>
      </c>
      <c r="D123" s="10">
        <v>8</v>
      </c>
      <c r="E123" s="10">
        <v>1667</v>
      </c>
      <c r="F123" s="10">
        <v>58801097.797902614</v>
      </c>
      <c r="G123" s="10"/>
      <c r="H123" s="10"/>
      <c r="I123" s="10"/>
      <c r="J123" s="10"/>
      <c r="K123" s="10"/>
    </row>
    <row r="124" spans="1:11" x14ac:dyDescent="0.35">
      <c r="A124" s="9" t="s">
        <v>191</v>
      </c>
      <c r="B124" s="10">
        <v>2251</v>
      </c>
      <c r="C124" s="10">
        <v>63</v>
      </c>
      <c r="D124" s="10">
        <v>1</v>
      </c>
      <c r="E124" s="10">
        <v>1483</v>
      </c>
      <c r="F124" s="10">
        <v>62867100.69075042</v>
      </c>
      <c r="G124" s="10"/>
      <c r="H124" s="10"/>
      <c r="I124" s="10"/>
      <c r="J124" s="10"/>
      <c r="K124" s="10"/>
    </row>
    <row r="125" spans="1:11" x14ac:dyDescent="0.35">
      <c r="A125" s="9" t="s">
        <v>192</v>
      </c>
      <c r="B125" s="10">
        <v>1809</v>
      </c>
      <c r="C125" s="10">
        <v>12</v>
      </c>
      <c r="D125" s="10">
        <v>4</v>
      </c>
      <c r="E125" s="10">
        <v>1407</v>
      </c>
      <c r="F125" s="10">
        <v>55247197.432252273</v>
      </c>
      <c r="G125" s="10"/>
      <c r="H125" s="10"/>
      <c r="I125" s="10"/>
      <c r="J125" s="10"/>
      <c r="K125" s="10"/>
    </row>
    <row r="126" spans="1:11" x14ac:dyDescent="0.35">
      <c r="A126" s="9" t="s">
        <v>193</v>
      </c>
      <c r="B126" s="10">
        <v>1586</v>
      </c>
      <c r="C126" s="10">
        <v>22</v>
      </c>
      <c r="D126" s="10">
        <v>2</v>
      </c>
      <c r="E126" s="10">
        <v>1010</v>
      </c>
      <c r="F126" s="10">
        <v>42914764.077968851</v>
      </c>
      <c r="G126" s="10"/>
      <c r="H126" s="10"/>
      <c r="I126" s="10"/>
      <c r="J126" s="10"/>
      <c r="K126" s="10"/>
    </row>
    <row r="127" spans="1:11" x14ac:dyDescent="0.35">
      <c r="A127" s="9" t="s">
        <v>194</v>
      </c>
      <c r="B127" s="10">
        <v>1989</v>
      </c>
      <c r="C127" s="10">
        <v>11</v>
      </c>
      <c r="D127" s="10">
        <v>4</v>
      </c>
      <c r="E127" s="10">
        <v>1504</v>
      </c>
      <c r="F127" s="10">
        <v>40539137.560403399</v>
      </c>
      <c r="G127" s="10"/>
      <c r="H127" s="10"/>
      <c r="I127" s="10"/>
      <c r="J127" s="10"/>
      <c r="K127" s="10"/>
    </row>
    <row r="128" spans="1:11" x14ac:dyDescent="0.35">
      <c r="A128" s="9" t="s">
        <v>195</v>
      </c>
      <c r="B128" s="10">
        <v>3610</v>
      </c>
      <c r="C128" s="10">
        <v>30</v>
      </c>
      <c r="D128" s="10">
        <v>1</v>
      </c>
      <c r="E128" s="10">
        <v>1847</v>
      </c>
      <c r="F128" s="10">
        <v>60537309.737498678</v>
      </c>
      <c r="G128" s="10"/>
      <c r="H128" s="10"/>
      <c r="I128" s="10"/>
      <c r="J128" s="10"/>
      <c r="K128" s="10"/>
    </row>
    <row r="129" spans="1:11" x14ac:dyDescent="0.35">
      <c r="A129" s="9" t="s">
        <v>196</v>
      </c>
      <c r="B129" s="10">
        <v>202</v>
      </c>
      <c r="C129" s="10">
        <v>1</v>
      </c>
      <c r="D129" s="10">
        <v>1</v>
      </c>
      <c r="E129" s="10">
        <v>34</v>
      </c>
      <c r="F129" s="10">
        <v>6528683.9999775216</v>
      </c>
      <c r="G129" s="10"/>
      <c r="H129" s="10"/>
      <c r="I129" s="10"/>
      <c r="J129" s="10"/>
      <c r="K129" s="10"/>
    </row>
    <row r="130" spans="1:11" x14ac:dyDescent="0.35">
      <c r="A130" s="9" t="s">
        <v>197</v>
      </c>
      <c r="B130" s="10">
        <v>1006</v>
      </c>
      <c r="C130" s="10">
        <v>8</v>
      </c>
      <c r="D130" s="10">
        <v>3</v>
      </c>
      <c r="E130" s="10">
        <v>583</v>
      </c>
      <c r="F130" s="10">
        <v>38295042.727389306</v>
      </c>
      <c r="G130" s="10"/>
      <c r="H130" s="10"/>
      <c r="I130" s="10"/>
      <c r="J130" s="10"/>
      <c r="K130" s="10"/>
    </row>
    <row r="131" spans="1:11" x14ac:dyDescent="0.35">
      <c r="A131" s="9" t="s">
        <v>198</v>
      </c>
      <c r="B131" s="10">
        <v>1659</v>
      </c>
      <c r="C131" s="10">
        <v>15</v>
      </c>
      <c r="D131" s="10">
        <v>5</v>
      </c>
      <c r="E131" s="10">
        <v>1090</v>
      </c>
      <c r="F131" s="10">
        <v>45410204.750632413</v>
      </c>
      <c r="G131" s="10"/>
      <c r="H131" s="10"/>
      <c r="I131" s="10"/>
      <c r="J131" s="10"/>
      <c r="K131" s="10"/>
    </row>
    <row r="132" spans="1:11" x14ac:dyDescent="0.35">
      <c r="A132" s="9" t="s">
        <v>199</v>
      </c>
      <c r="B132" s="10">
        <v>2245</v>
      </c>
      <c r="C132" s="10">
        <v>31</v>
      </c>
      <c r="D132" s="10">
        <v>8</v>
      </c>
      <c r="E132" s="10">
        <v>1221</v>
      </c>
      <c r="F132" s="10">
        <v>79109139.05183436</v>
      </c>
      <c r="G132" s="10"/>
      <c r="H132" s="10"/>
      <c r="I132" s="10"/>
      <c r="J132" s="10"/>
      <c r="K132" s="10"/>
    </row>
    <row r="133" spans="1:11" x14ac:dyDescent="0.35">
      <c r="A133" s="9" t="s">
        <v>200</v>
      </c>
      <c r="B133" s="10">
        <v>1405</v>
      </c>
      <c r="C133" s="10">
        <v>10</v>
      </c>
      <c r="D133" s="10">
        <v>4</v>
      </c>
      <c r="E133" s="10">
        <v>912</v>
      </c>
      <c r="F133" s="10">
        <v>38287535.579136238</v>
      </c>
      <c r="G133" s="10"/>
      <c r="H133" s="10"/>
      <c r="I133" s="10"/>
      <c r="J133" s="10"/>
      <c r="K133" s="10"/>
    </row>
    <row r="134" spans="1:11" x14ac:dyDescent="0.35">
      <c r="A134" s="9" t="s">
        <v>201</v>
      </c>
      <c r="B134" s="10">
        <v>1049</v>
      </c>
      <c r="C134" s="10">
        <v>8</v>
      </c>
      <c r="D134" s="10">
        <v>1</v>
      </c>
      <c r="E134" s="10">
        <v>539</v>
      </c>
      <c r="F134" s="10">
        <v>31147906.846736759</v>
      </c>
      <c r="G134" s="10"/>
      <c r="H134" s="10"/>
      <c r="I134" s="10"/>
      <c r="J134" s="10"/>
      <c r="K134" s="10"/>
    </row>
    <row r="135" spans="1:11" x14ac:dyDescent="0.35">
      <c r="A135" s="9" t="s">
        <v>202</v>
      </c>
      <c r="B135" s="10">
        <v>834</v>
      </c>
      <c r="C135" s="10">
        <v>4</v>
      </c>
      <c r="D135" s="10">
        <v>2</v>
      </c>
      <c r="E135" s="10">
        <v>387</v>
      </c>
      <c r="F135" s="10">
        <v>24003832.031723063</v>
      </c>
      <c r="G135" s="10"/>
      <c r="H135" s="10"/>
      <c r="I135" s="10"/>
      <c r="J135" s="10"/>
      <c r="K135" s="10"/>
    </row>
    <row r="136" spans="1:11" x14ac:dyDescent="0.35">
      <c r="A136" s="9" t="s">
        <v>203</v>
      </c>
      <c r="B136" s="10">
        <v>1504</v>
      </c>
      <c r="C136" s="10">
        <v>23</v>
      </c>
      <c r="D136" s="10">
        <v>1</v>
      </c>
      <c r="E136" s="10">
        <v>924</v>
      </c>
      <c r="F136" s="10">
        <v>54372751.26977428</v>
      </c>
      <c r="G136" s="10"/>
      <c r="H136" s="10"/>
      <c r="I136" s="10"/>
      <c r="J136" s="10"/>
      <c r="K136" s="10"/>
    </row>
    <row r="137" spans="1:11" x14ac:dyDescent="0.35">
      <c r="A137" s="9" t="s">
        <v>204</v>
      </c>
      <c r="B137" s="10">
        <v>2169</v>
      </c>
      <c r="C137" s="10">
        <v>14</v>
      </c>
      <c r="D137" s="10">
        <v>2</v>
      </c>
      <c r="E137" s="10">
        <v>1511</v>
      </c>
      <c r="F137" s="10">
        <v>66360536.224239945</v>
      </c>
      <c r="G137" s="10"/>
      <c r="H137" s="10"/>
      <c r="I137" s="10"/>
      <c r="J137" s="10"/>
      <c r="K137" s="10"/>
    </row>
    <row r="138" spans="1:11" x14ac:dyDescent="0.35">
      <c r="A138" s="9" t="s">
        <v>205</v>
      </c>
      <c r="B138" s="10">
        <v>2050</v>
      </c>
      <c r="C138" s="10">
        <v>70</v>
      </c>
      <c r="D138" s="10">
        <v>4</v>
      </c>
      <c r="E138" s="10">
        <v>1386</v>
      </c>
      <c r="F138" s="10">
        <v>76145945.026465401</v>
      </c>
      <c r="G138" s="10"/>
      <c r="H138" s="10"/>
      <c r="I138" s="10"/>
      <c r="J138" s="10"/>
      <c r="K138" s="10"/>
    </row>
    <row r="139" spans="1:11" x14ac:dyDescent="0.35">
      <c r="A139" s="9" t="s">
        <v>206</v>
      </c>
      <c r="B139" s="10">
        <v>612</v>
      </c>
      <c r="C139" s="10">
        <v>3</v>
      </c>
      <c r="D139" s="10">
        <v>2</v>
      </c>
      <c r="E139" s="10">
        <v>303</v>
      </c>
      <c r="F139" s="10">
        <v>17514226.296708886</v>
      </c>
      <c r="G139" s="10"/>
      <c r="H139" s="10"/>
      <c r="I139" s="10"/>
      <c r="J139" s="10"/>
      <c r="K139" s="10"/>
    </row>
    <row r="140" spans="1:11" x14ac:dyDescent="0.35">
      <c r="A140" s="9" t="s">
        <v>207</v>
      </c>
      <c r="B140" s="10">
        <v>3213</v>
      </c>
      <c r="C140" s="10">
        <v>59</v>
      </c>
      <c r="D140" s="10">
        <v>5</v>
      </c>
      <c r="E140" s="10">
        <v>1810</v>
      </c>
      <c r="F140" s="10">
        <v>107864723.0070204</v>
      </c>
      <c r="G140" s="10"/>
      <c r="H140" s="10"/>
      <c r="I140" s="10"/>
      <c r="J140" s="10"/>
      <c r="K140" s="10"/>
    </row>
    <row r="141" spans="1:11" x14ac:dyDescent="0.35">
      <c r="A141" s="9" t="s">
        <v>208</v>
      </c>
      <c r="B141" s="10">
        <v>1078</v>
      </c>
      <c r="C141" s="10">
        <v>12</v>
      </c>
      <c r="D141" s="10">
        <v>4</v>
      </c>
      <c r="E141" s="10">
        <v>678</v>
      </c>
      <c r="F141" s="10">
        <v>47939524.385578498</v>
      </c>
      <c r="G141" s="10"/>
      <c r="H141" s="10"/>
      <c r="I141" s="10"/>
      <c r="J141" s="10"/>
      <c r="K141" s="10"/>
    </row>
    <row r="142" spans="1:11" x14ac:dyDescent="0.35">
      <c r="A142" s="9" t="s">
        <v>209</v>
      </c>
      <c r="B142" s="10">
        <v>2194</v>
      </c>
      <c r="C142" s="10">
        <v>24</v>
      </c>
      <c r="D142" s="10">
        <v>1</v>
      </c>
      <c r="E142" s="10">
        <v>1567</v>
      </c>
      <c r="F142" s="10">
        <v>67667045.622171059</v>
      </c>
      <c r="G142" s="10"/>
      <c r="H142" s="10"/>
      <c r="I142" s="10"/>
      <c r="J142" s="10"/>
      <c r="K142" s="10"/>
    </row>
    <row r="143" spans="1:11" x14ac:dyDescent="0.35">
      <c r="A143" s="9" t="s">
        <v>210</v>
      </c>
      <c r="B143" s="10">
        <v>4187</v>
      </c>
      <c r="C143" s="10">
        <v>56</v>
      </c>
      <c r="D143" s="10">
        <v>7</v>
      </c>
      <c r="E143" s="10">
        <v>2217</v>
      </c>
      <c r="F143" s="10">
        <v>162905747.44353387</v>
      </c>
      <c r="G143" s="10"/>
      <c r="H143" s="10"/>
      <c r="I143" s="10"/>
      <c r="J143" s="10"/>
      <c r="K143" s="10"/>
    </row>
    <row r="144" spans="1:11" x14ac:dyDescent="0.35">
      <c r="A144" s="9" t="s">
        <v>211</v>
      </c>
      <c r="B144" s="10">
        <v>3472</v>
      </c>
      <c r="C144" s="10">
        <v>24</v>
      </c>
      <c r="D144" s="10">
        <v>7</v>
      </c>
      <c r="E144" s="10">
        <v>1025</v>
      </c>
      <c r="F144" s="10">
        <v>87847737.370853186</v>
      </c>
      <c r="G144" s="10"/>
      <c r="H144" s="10"/>
      <c r="I144" s="10"/>
      <c r="J144" s="10"/>
      <c r="K144" s="10"/>
    </row>
    <row r="145" spans="1:11" x14ac:dyDescent="0.35">
      <c r="A145" s="9" t="s">
        <v>212</v>
      </c>
      <c r="B145" s="10">
        <v>4358</v>
      </c>
      <c r="C145" s="10">
        <v>49</v>
      </c>
      <c r="D145" s="10">
        <v>3</v>
      </c>
      <c r="E145" s="10">
        <v>2434</v>
      </c>
      <c r="F145" s="10">
        <v>93722325.626445398</v>
      </c>
      <c r="G145" s="10"/>
      <c r="H145" s="10"/>
      <c r="I145" s="10"/>
      <c r="J145" s="10"/>
      <c r="K145" s="10"/>
    </row>
    <row r="146" spans="1:11" x14ac:dyDescent="0.35">
      <c r="A146" s="9" t="s">
        <v>213</v>
      </c>
      <c r="B146" s="10">
        <v>1765</v>
      </c>
      <c r="C146" s="10">
        <v>15</v>
      </c>
      <c r="D146" s="10">
        <v>7</v>
      </c>
      <c r="E146" s="10">
        <v>1147</v>
      </c>
      <c r="F146" s="10">
        <v>33280443.794726335</v>
      </c>
      <c r="G146" s="10"/>
      <c r="H146" s="10"/>
      <c r="I146" s="10"/>
      <c r="J146" s="10"/>
      <c r="K146" s="10"/>
    </row>
    <row r="147" spans="1:11" x14ac:dyDescent="0.35">
      <c r="A147" s="9" t="s">
        <v>214</v>
      </c>
      <c r="B147" s="10">
        <v>1131</v>
      </c>
      <c r="C147" s="10">
        <v>4</v>
      </c>
      <c r="D147" s="10">
        <v>4</v>
      </c>
      <c r="E147" s="10">
        <v>557</v>
      </c>
      <c r="F147" s="10">
        <v>44551319.231642835</v>
      </c>
      <c r="G147" s="10"/>
      <c r="H147" s="10"/>
      <c r="I147" s="10"/>
      <c r="J147" s="10"/>
      <c r="K147" s="10"/>
    </row>
    <row r="148" spans="1:11" x14ac:dyDescent="0.35">
      <c r="A148" s="9" t="s">
        <v>215</v>
      </c>
      <c r="B148" s="10">
        <v>4548</v>
      </c>
      <c r="C148" s="10">
        <v>172</v>
      </c>
      <c r="D148" s="10">
        <v>11</v>
      </c>
      <c r="E148" s="10">
        <v>3390</v>
      </c>
      <c r="F148" s="10">
        <v>122942222.39971295</v>
      </c>
      <c r="G148" s="10"/>
      <c r="H148" s="10"/>
      <c r="I148" s="10"/>
      <c r="J148" s="10"/>
      <c r="K148" s="10"/>
    </row>
    <row r="149" spans="1:11" x14ac:dyDescent="0.35">
      <c r="A149" s="9" t="s">
        <v>216</v>
      </c>
      <c r="B149" s="10">
        <v>1169</v>
      </c>
      <c r="C149" s="10">
        <v>10</v>
      </c>
      <c r="D149" s="10">
        <v>5</v>
      </c>
      <c r="E149" s="10">
        <v>1076</v>
      </c>
      <c r="F149" s="10">
        <v>27751334.540371485</v>
      </c>
      <c r="G149" s="10"/>
      <c r="H149" s="10"/>
      <c r="I149" s="10"/>
      <c r="J149" s="10"/>
      <c r="K149" s="10"/>
    </row>
    <row r="150" spans="1:11" x14ac:dyDescent="0.35">
      <c r="A150" s="9" t="s">
        <v>217</v>
      </c>
      <c r="B150" s="10">
        <v>1874</v>
      </c>
      <c r="C150" s="10">
        <v>19</v>
      </c>
      <c r="D150" s="10">
        <v>6</v>
      </c>
      <c r="E150" s="10">
        <v>889</v>
      </c>
      <c r="F150" s="10">
        <v>51274687.511663422</v>
      </c>
      <c r="G150" s="10"/>
      <c r="H150" s="10"/>
      <c r="I150" s="10"/>
      <c r="J150" s="10"/>
      <c r="K150" s="10"/>
    </row>
    <row r="151" spans="1:11" x14ac:dyDescent="0.35">
      <c r="A151" s="9" t="s">
        <v>218</v>
      </c>
      <c r="B151" s="10">
        <v>2110</v>
      </c>
      <c r="C151" s="10">
        <v>23</v>
      </c>
      <c r="D151" s="10">
        <v>3</v>
      </c>
      <c r="E151" s="10">
        <v>1365</v>
      </c>
      <c r="F151" s="10">
        <v>66002323.274439454</v>
      </c>
      <c r="G151" s="10"/>
      <c r="H151" s="10"/>
      <c r="I151" s="10"/>
      <c r="J151" s="10"/>
      <c r="K151" s="10"/>
    </row>
    <row r="152" spans="1:11" x14ac:dyDescent="0.35">
      <c r="A152" s="9" t="s">
        <v>219</v>
      </c>
      <c r="B152" s="10">
        <v>3305</v>
      </c>
      <c r="C152" s="10">
        <v>26</v>
      </c>
      <c r="D152" s="10">
        <v>3</v>
      </c>
      <c r="E152" s="10">
        <v>1695</v>
      </c>
      <c r="F152" s="10">
        <v>89243249.728088543</v>
      </c>
      <c r="G152" s="10"/>
      <c r="H152" s="10"/>
      <c r="I152" s="10"/>
      <c r="J152" s="10"/>
      <c r="K152" s="10"/>
    </row>
    <row r="153" spans="1:11" x14ac:dyDescent="0.35">
      <c r="A153" s="9" t="s">
        <v>220</v>
      </c>
      <c r="B153" s="10">
        <v>3094</v>
      </c>
      <c r="C153" s="10">
        <v>36</v>
      </c>
      <c r="D153" s="10">
        <v>20</v>
      </c>
      <c r="E153" s="10">
        <v>1480</v>
      </c>
      <c r="F153" s="10">
        <v>116999037.84059905</v>
      </c>
      <c r="G153" s="10"/>
      <c r="H153" s="10"/>
      <c r="I153" s="10"/>
      <c r="J153" s="10"/>
      <c r="K153" s="10"/>
    </row>
    <row r="154" spans="1:11" x14ac:dyDescent="0.35">
      <c r="A154" s="9" t="s">
        <v>221</v>
      </c>
      <c r="B154" s="10">
        <v>2037</v>
      </c>
      <c r="C154" s="10">
        <v>25</v>
      </c>
      <c r="D154" s="10">
        <v>2</v>
      </c>
      <c r="E154" s="10">
        <v>1276</v>
      </c>
      <c r="F154" s="10">
        <v>51228268.694665216</v>
      </c>
      <c r="G154" s="10"/>
      <c r="H154" s="10"/>
      <c r="I154" s="10"/>
      <c r="J154" s="10"/>
      <c r="K154" s="10"/>
    </row>
    <row r="155" spans="1:11" x14ac:dyDescent="0.35">
      <c r="A155" s="9" t="s">
        <v>222</v>
      </c>
      <c r="B155" s="10">
        <v>3507</v>
      </c>
      <c r="C155" s="10">
        <v>23</v>
      </c>
      <c r="D155" s="10">
        <v>4</v>
      </c>
      <c r="E155" s="10">
        <v>1952</v>
      </c>
      <c r="F155" s="10">
        <v>67508646.508751184</v>
      </c>
      <c r="G155" s="10"/>
      <c r="H155" s="10"/>
      <c r="I155" s="10"/>
      <c r="J155" s="10"/>
      <c r="K155" s="10"/>
    </row>
    <row r="156" spans="1:11" x14ac:dyDescent="0.35">
      <c r="A156" s="9" t="s">
        <v>223</v>
      </c>
      <c r="B156" s="10">
        <v>1796</v>
      </c>
      <c r="C156" s="10">
        <v>17</v>
      </c>
      <c r="D156" s="10">
        <v>7</v>
      </c>
      <c r="E156" s="10">
        <v>1145</v>
      </c>
      <c r="F156" s="10">
        <v>54171211.794437543</v>
      </c>
      <c r="G156" s="10"/>
      <c r="H156" s="10"/>
      <c r="I156" s="10"/>
      <c r="J156" s="10"/>
      <c r="K156" s="10"/>
    </row>
    <row r="157" spans="1:11" x14ac:dyDescent="0.35">
      <c r="A157" s="9" t="s">
        <v>224</v>
      </c>
      <c r="B157" s="10">
        <v>2606</v>
      </c>
      <c r="C157" s="10">
        <v>20</v>
      </c>
      <c r="D157" s="10">
        <v>3</v>
      </c>
      <c r="E157" s="10">
        <v>1749</v>
      </c>
      <c r="F157" s="10">
        <v>38351173.289760023</v>
      </c>
      <c r="G157" s="10"/>
      <c r="H157" s="10"/>
      <c r="I157" s="10"/>
      <c r="J157" s="10"/>
      <c r="K157" s="10"/>
    </row>
    <row r="158" spans="1:11" x14ac:dyDescent="0.35">
      <c r="A158" s="9" t="s">
        <v>225</v>
      </c>
      <c r="B158" s="10">
        <v>1832</v>
      </c>
      <c r="C158" s="10">
        <v>17</v>
      </c>
      <c r="D158" s="10">
        <v>5</v>
      </c>
      <c r="E158" s="10">
        <v>1039</v>
      </c>
      <c r="F158" s="10">
        <v>28981899.95960011</v>
      </c>
      <c r="G158" s="10"/>
      <c r="H158" s="10"/>
      <c r="I158" s="10"/>
      <c r="J158" s="10"/>
      <c r="K158" s="10"/>
    </row>
    <row r="159" spans="1:11" x14ac:dyDescent="0.35">
      <c r="A159" s="9" t="s">
        <v>226</v>
      </c>
      <c r="B159" s="10">
        <v>1729</v>
      </c>
      <c r="C159" s="10">
        <v>15</v>
      </c>
      <c r="D159" s="10">
        <v>2</v>
      </c>
      <c r="E159" s="10">
        <v>1053</v>
      </c>
      <c r="F159" s="10">
        <v>40916079.711889982</v>
      </c>
      <c r="G159" s="10"/>
      <c r="H159" s="10"/>
      <c r="I159" s="10"/>
      <c r="J159" s="10"/>
      <c r="K159" s="10"/>
    </row>
    <row r="160" spans="1:11" x14ac:dyDescent="0.35">
      <c r="A160" s="9" t="s">
        <v>227</v>
      </c>
      <c r="B160" s="10">
        <v>2218</v>
      </c>
      <c r="C160" s="10">
        <v>18</v>
      </c>
      <c r="D160" s="10">
        <v>2</v>
      </c>
      <c r="E160" s="10">
        <v>1306</v>
      </c>
      <c r="F160" s="10">
        <v>31309890.122747395</v>
      </c>
      <c r="G160" s="10"/>
      <c r="H160" s="10"/>
      <c r="I160" s="10"/>
      <c r="J160" s="10"/>
      <c r="K160" s="10"/>
    </row>
    <row r="161" spans="1:11" x14ac:dyDescent="0.35">
      <c r="A161" s="9" t="s">
        <v>228</v>
      </c>
      <c r="B161" s="10">
        <v>1468</v>
      </c>
      <c r="C161" s="10">
        <v>18</v>
      </c>
      <c r="D161" s="10">
        <v>2</v>
      </c>
      <c r="E161" s="10">
        <v>1038</v>
      </c>
      <c r="F161" s="10">
        <v>48092044.422258735</v>
      </c>
      <c r="G161" s="10"/>
      <c r="H161" s="10"/>
      <c r="I161" s="10"/>
      <c r="J161" s="10"/>
      <c r="K161" s="10"/>
    </row>
    <row r="162" spans="1:11" x14ac:dyDescent="0.35">
      <c r="A162" s="9" t="s">
        <v>229</v>
      </c>
      <c r="B162" s="10">
        <v>1264</v>
      </c>
      <c r="C162" s="10">
        <v>16</v>
      </c>
      <c r="D162" s="10">
        <v>6</v>
      </c>
      <c r="E162" s="10">
        <v>701</v>
      </c>
      <c r="F162" s="10">
        <v>61556880.171761416</v>
      </c>
      <c r="G162" s="10"/>
      <c r="H162" s="10"/>
      <c r="I162" s="10"/>
      <c r="J162" s="10"/>
      <c r="K162" s="10"/>
    </row>
    <row r="163" spans="1:11" x14ac:dyDescent="0.35">
      <c r="A163" s="9" t="s">
        <v>230</v>
      </c>
      <c r="B163" s="10">
        <v>1544</v>
      </c>
      <c r="C163" s="10">
        <v>11</v>
      </c>
      <c r="D163" s="10">
        <v>2</v>
      </c>
      <c r="E163" s="10">
        <v>859</v>
      </c>
      <c r="F163" s="10">
        <v>32492698.608861201</v>
      </c>
      <c r="G163" s="10"/>
      <c r="H163" s="10"/>
      <c r="I163" s="10"/>
      <c r="J163" s="10"/>
      <c r="K163" s="10"/>
    </row>
    <row r="164" spans="1:11" x14ac:dyDescent="0.35">
      <c r="A164" s="9" t="s">
        <v>231</v>
      </c>
      <c r="B164" s="10">
        <v>2442</v>
      </c>
      <c r="C164" s="10">
        <v>24</v>
      </c>
      <c r="D164" s="10">
        <v>2</v>
      </c>
      <c r="E164" s="10">
        <v>1601</v>
      </c>
      <c r="F164" s="10">
        <v>65359268.805792868</v>
      </c>
      <c r="G164" s="10"/>
      <c r="H164" s="10"/>
      <c r="I164" s="10"/>
      <c r="J164" s="10"/>
      <c r="K164" s="10"/>
    </row>
    <row r="165" spans="1:11" x14ac:dyDescent="0.35">
      <c r="A165" s="9" t="s">
        <v>232</v>
      </c>
      <c r="B165" s="10">
        <v>1703</v>
      </c>
      <c r="C165" s="10">
        <v>23</v>
      </c>
      <c r="D165" s="10">
        <v>3</v>
      </c>
      <c r="E165" s="10">
        <v>907</v>
      </c>
      <c r="F165" s="10">
        <v>21127933.464279164</v>
      </c>
      <c r="G165" s="10"/>
      <c r="H165" s="10"/>
      <c r="I165" s="10"/>
      <c r="J165" s="10"/>
      <c r="K165" s="10"/>
    </row>
    <row r="166" spans="1:11" x14ac:dyDescent="0.35">
      <c r="A166" s="9" t="s">
        <v>233</v>
      </c>
      <c r="B166" s="10">
        <v>1458</v>
      </c>
      <c r="C166" s="10">
        <v>7</v>
      </c>
      <c r="D166" s="10">
        <v>19</v>
      </c>
      <c r="E166" s="10">
        <v>816</v>
      </c>
      <c r="F166" s="10">
        <v>50105279.243546419</v>
      </c>
      <c r="G166" s="10"/>
      <c r="H166" s="10"/>
      <c r="I166" s="10"/>
      <c r="J166" s="10"/>
      <c r="K166" s="10"/>
    </row>
    <row r="167" spans="1:11" x14ac:dyDescent="0.35">
      <c r="A167" s="9" t="s">
        <v>234</v>
      </c>
      <c r="B167" s="10">
        <v>2170</v>
      </c>
      <c r="C167" s="10">
        <v>20</v>
      </c>
      <c r="D167" s="10">
        <v>4</v>
      </c>
      <c r="E167" s="10">
        <v>1100</v>
      </c>
      <c r="F167" s="10">
        <v>34870875.867779151</v>
      </c>
      <c r="G167" s="10"/>
      <c r="H167" s="10"/>
      <c r="I167" s="10"/>
      <c r="J167" s="10"/>
      <c r="K167" s="10"/>
    </row>
    <row r="168" spans="1:11" x14ac:dyDescent="0.35">
      <c r="A168" s="9" t="s">
        <v>235</v>
      </c>
      <c r="B168" s="10">
        <v>2211</v>
      </c>
      <c r="C168" s="10">
        <v>26</v>
      </c>
      <c r="D168" s="10">
        <v>3</v>
      </c>
      <c r="E168" s="10">
        <v>1219</v>
      </c>
      <c r="F168" s="10">
        <v>70836198.742634103</v>
      </c>
      <c r="G168" s="10"/>
      <c r="H168" s="10"/>
      <c r="I168" s="10"/>
      <c r="J168" s="10"/>
      <c r="K168" s="10"/>
    </row>
    <row r="169" spans="1:11" x14ac:dyDescent="0.35">
      <c r="A169" s="9" t="s">
        <v>236</v>
      </c>
      <c r="B169" s="10">
        <v>2632</v>
      </c>
      <c r="C169" s="10">
        <v>34</v>
      </c>
      <c r="D169" s="10">
        <v>10</v>
      </c>
      <c r="E169" s="10">
        <v>1131</v>
      </c>
      <c r="F169" s="10">
        <v>87730755.979680374</v>
      </c>
      <c r="G169" s="10"/>
      <c r="H169" s="10"/>
      <c r="I169" s="10"/>
      <c r="J169" s="10"/>
      <c r="K169" s="10"/>
    </row>
    <row r="170" spans="1:11" x14ac:dyDescent="0.35">
      <c r="A170" s="9" t="s">
        <v>237</v>
      </c>
      <c r="B170" s="10">
        <v>1931</v>
      </c>
      <c r="C170" s="10">
        <v>15</v>
      </c>
      <c r="D170" s="10">
        <v>16</v>
      </c>
      <c r="E170" s="10">
        <v>904</v>
      </c>
      <c r="F170" s="10">
        <v>56485276.229290053</v>
      </c>
      <c r="G170" s="10"/>
      <c r="H170" s="10"/>
      <c r="I170" s="10"/>
      <c r="J170" s="10"/>
      <c r="K170" s="10"/>
    </row>
    <row r="171" spans="1:11" x14ac:dyDescent="0.35">
      <c r="A171" s="9" t="s">
        <v>238</v>
      </c>
      <c r="B171" s="10">
        <v>3335</v>
      </c>
      <c r="C171" s="10">
        <v>45</v>
      </c>
      <c r="D171" s="10">
        <v>9</v>
      </c>
      <c r="E171" s="10">
        <v>1685</v>
      </c>
      <c r="F171" s="10">
        <v>83774044.75355193</v>
      </c>
      <c r="G171" s="10"/>
      <c r="H171" s="10"/>
      <c r="I171" s="10"/>
      <c r="J171" s="10"/>
      <c r="K171" s="10"/>
    </row>
    <row r="172" spans="1:11" x14ac:dyDescent="0.35">
      <c r="A172" s="9" t="s">
        <v>239</v>
      </c>
      <c r="B172" s="10">
        <v>1315</v>
      </c>
      <c r="C172" s="10">
        <v>12</v>
      </c>
      <c r="D172" s="10">
        <v>2</v>
      </c>
      <c r="E172" s="10">
        <v>628</v>
      </c>
      <c r="F172" s="10">
        <v>30694722.764525823</v>
      </c>
      <c r="G172" s="10">
        <v>1307</v>
      </c>
      <c r="H172" s="10">
        <v>11</v>
      </c>
      <c r="I172" s="10">
        <v>2</v>
      </c>
      <c r="J172" s="10">
        <v>610</v>
      </c>
      <c r="K172" s="10">
        <v>24391315.331598721</v>
      </c>
    </row>
    <row r="173" spans="1:11" x14ac:dyDescent="0.35">
      <c r="A173" s="9" t="s">
        <v>240</v>
      </c>
      <c r="B173" s="10">
        <v>376</v>
      </c>
      <c r="C173" s="10">
        <v>0</v>
      </c>
      <c r="D173" s="10">
        <v>0</v>
      </c>
      <c r="E173" s="10">
        <v>19</v>
      </c>
      <c r="F173" s="10">
        <v>44034.956886093001</v>
      </c>
      <c r="G173" s="10"/>
      <c r="H173" s="10"/>
      <c r="I173" s="10"/>
      <c r="J173" s="10"/>
      <c r="K173" s="10"/>
    </row>
    <row r="174" spans="1:11" x14ac:dyDescent="0.35">
      <c r="A174" s="9" t="s">
        <v>241</v>
      </c>
      <c r="B174" s="10">
        <v>1486</v>
      </c>
      <c r="C174" s="10">
        <v>17</v>
      </c>
      <c r="D174" s="10">
        <v>2</v>
      </c>
      <c r="E174" s="10">
        <v>881</v>
      </c>
      <c r="F174" s="10">
        <v>60988640.573177725</v>
      </c>
      <c r="G174" s="10">
        <v>1549</v>
      </c>
      <c r="H174" s="10">
        <v>15</v>
      </c>
      <c r="I174" s="10">
        <v>3</v>
      </c>
      <c r="J174" s="10">
        <v>927</v>
      </c>
      <c r="K174" s="10">
        <v>49149590.554076754</v>
      </c>
    </row>
    <row r="175" spans="1:11" x14ac:dyDescent="0.35">
      <c r="A175" s="9" t="s">
        <v>242</v>
      </c>
      <c r="B175" s="10">
        <v>1577</v>
      </c>
      <c r="C175" s="10">
        <v>21</v>
      </c>
      <c r="D175" s="10">
        <v>6</v>
      </c>
      <c r="E175" s="10">
        <v>1010</v>
      </c>
      <c r="F175" s="10">
        <v>57425695.497023925</v>
      </c>
      <c r="G175" s="10">
        <v>1564</v>
      </c>
      <c r="H175" s="10">
        <v>12</v>
      </c>
      <c r="I175" s="10">
        <v>6</v>
      </c>
      <c r="J175" s="10">
        <v>1024</v>
      </c>
      <c r="K175" s="10">
        <v>35728521.27588968</v>
      </c>
    </row>
    <row r="176" spans="1:11" x14ac:dyDescent="0.35">
      <c r="A176" s="9" t="s">
        <v>243</v>
      </c>
      <c r="B176" s="10">
        <v>1602</v>
      </c>
      <c r="C176" s="10">
        <v>42</v>
      </c>
      <c r="D176" s="10">
        <v>7</v>
      </c>
      <c r="E176" s="10">
        <v>1000</v>
      </c>
      <c r="F176" s="10">
        <v>35721656.239076726</v>
      </c>
      <c r="G176" s="10">
        <v>1654</v>
      </c>
      <c r="H176" s="10">
        <v>58</v>
      </c>
      <c r="I176" s="10">
        <v>5</v>
      </c>
      <c r="J176" s="10">
        <v>1106</v>
      </c>
      <c r="K176" s="10">
        <v>21676177.163834833</v>
      </c>
    </row>
    <row r="177" spans="1:11" x14ac:dyDescent="0.35">
      <c r="A177" s="9" t="s">
        <v>244</v>
      </c>
      <c r="B177" s="10">
        <v>2606</v>
      </c>
      <c r="C177" s="10">
        <v>174</v>
      </c>
      <c r="D177" s="10">
        <v>4</v>
      </c>
      <c r="E177" s="10">
        <v>1415</v>
      </c>
      <c r="F177" s="10">
        <v>56726301.2679611</v>
      </c>
      <c r="G177" s="10">
        <v>2307</v>
      </c>
      <c r="H177" s="10">
        <v>56</v>
      </c>
      <c r="I177" s="10">
        <v>4</v>
      </c>
      <c r="J177" s="10">
        <v>1337</v>
      </c>
      <c r="K177" s="10">
        <v>26476963.12253755</v>
      </c>
    </row>
    <row r="178" spans="1:11" x14ac:dyDescent="0.35">
      <c r="A178" s="9" t="s">
        <v>245</v>
      </c>
      <c r="B178" s="10">
        <v>2490</v>
      </c>
      <c r="C178" s="10">
        <v>91</v>
      </c>
      <c r="D178" s="10">
        <v>4</v>
      </c>
      <c r="E178" s="10">
        <v>1496</v>
      </c>
      <c r="F178" s="10">
        <v>70279339.464571625</v>
      </c>
      <c r="G178" s="10">
        <v>2736</v>
      </c>
      <c r="H178" s="10">
        <v>50</v>
      </c>
      <c r="I178" s="10">
        <v>6</v>
      </c>
      <c r="J178" s="10">
        <v>1963</v>
      </c>
      <c r="K178" s="10">
        <v>61221867.376995526</v>
      </c>
    </row>
    <row r="179" spans="1:11" x14ac:dyDescent="0.35">
      <c r="A179" s="9" t="s">
        <v>246</v>
      </c>
      <c r="B179" s="10">
        <v>2238</v>
      </c>
      <c r="C179" s="10">
        <v>38</v>
      </c>
      <c r="D179" s="10">
        <v>4</v>
      </c>
      <c r="E179" s="10">
        <v>1595</v>
      </c>
      <c r="F179" s="10">
        <v>71608965.525702119</v>
      </c>
      <c r="G179" s="10">
        <v>1963</v>
      </c>
      <c r="H179" s="10">
        <v>22</v>
      </c>
      <c r="I179" s="10">
        <v>5</v>
      </c>
      <c r="J179" s="10">
        <v>1377</v>
      </c>
      <c r="K179" s="10">
        <v>47324364.714341387</v>
      </c>
    </row>
    <row r="180" spans="1:11" x14ac:dyDescent="0.35">
      <c r="A180" s="9" t="s">
        <v>247</v>
      </c>
      <c r="B180" s="10">
        <v>821</v>
      </c>
      <c r="C180" s="10">
        <v>13</v>
      </c>
      <c r="D180" s="10">
        <v>5</v>
      </c>
      <c r="E180" s="10">
        <v>568</v>
      </c>
      <c r="F180" s="10">
        <v>45117663.049567461</v>
      </c>
      <c r="G180" s="10">
        <v>844</v>
      </c>
      <c r="H180" s="10">
        <v>10</v>
      </c>
      <c r="I180" s="10">
        <v>4</v>
      </c>
      <c r="J180" s="10">
        <v>594</v>
      </c>
      <c r="K180" s="10">
        <v>35915079.000188388</v>
      </c>
    </row>
    <row r="181" spans="1:11" x14ac:dyDescent="0.35">
      <c r="A181" s="9" t="s">
        <v>248</v>
      </c>
      <c r="B181" s="10">
        <v>2389</v>
      </c>
      <c r="C181" s="10">
        <v>47</v>
      </c>
      <c r="D181" s="10">
        <v>6</v>
      </c>
      <c r="E181" s="10">
        <v>1606</v>
      </c>
      <c r="F181" s="10">
        <v>50214053.774264082</v>
      </c>
      <c r="G181" s="10">
        <v>2677</v>
      </c>
      <c r="H181" s="10">
        <v>152</v>
      </c>
      <c r="I181" s="10">
        <v>6</v>
      </c>
      <c r="J181" s="10">
        <v>1618</v>
      </c>
      <c r="K181" s="10">
        <v>30558338.277405303</v>
      </c>
    </row>
    <row r="182" spans="1:11" x14ac:dyDescent="0.35">
      <c r="A182" s="9" t="s">
        <v>249</v>
      </c>
      <c r="B182" s="10">
        <v>1626</v>
      </c>
      <c r="C182" s="10">
        <v>17</v>
      </c>
      <c r="D182" s="10">
        <v>2</v>
      </c>
      <c r="E182" s="10">
        <v>978</v>
      </c>
      <c r="F182" s="10">
        <v>43507192.708652057</v>
      </c>
      <c r="G182" s="10">
        <v>1593</v>
      </c>
      <c r="H182" s="10">
        <v>16</v>
      </c>
      <c r="I182" s="10">
        <v>3</v>
      </c>
      <c r="J182" s="10">
        <v>1046</v>
      </c>
      <c r="K182" s="10">
        <v>25996205.916737869</v>
      </c>
    </row>
    <row r="183" spans="1:11" x14ac:dyDescent="0.35">
      <c r="A183" s="9" t="s">
        <v>250</v>
      </c>
      <c r="B183" s="10">
        <v>4568</v>
      </c>
      <c r="C183" s="10">
        <v>100</v>
      </c>
      <c r="D183" s="10">
        <v>7</v>
      </c>
      <c r="E183" s="10">
        <v>2743</v>
      </c>
      <c r="F183" s="10">
        <v>98023643.15925467</v>
      </c>
      <c r="G183" s="10">
        <v>4688</v>
      </c>
      <c r="H183" s="10">
        <v>48</v>
      </c>
      <c r="I183" s="10">
        <v>7</v>
      </c>
      <c r="J183" s="10">
        <v>2642</v>
      </c>
      <c r="K183" s="10">
        <v>52882782.031284973</v>
      </c>
    </row>
    <row r="184" spans="1:11" x14ac:dyDescent="0.35">
      <c r="A184" s="9" t="s">
        <v>251</v>
      </c>
      <c r="B184" s="10">
        <v>801</v>
      </c>
      <c r="C184" s="10">
        <v>9</v>
      </c>
      <c r="D184" s="10">
        <v>1</v>
      </c>
      <c r="E184" s="10">
        <v>433</v>
      </c>
      <c r="F184" s="10">
        <v>18962468.536634572</v>
      </c>
      <c r="G184" s="10">
        <v>753</v>
      </c>
      <c r="H184" s="10">
        <v>0</v>
      </c>
      <c r="I184" s="10">
        <v>1</v>
      </c>
      <c r="J184" s="10">
        <v>442</v>
      </c>
      <c r="K184" s="10">
        <v>11661453.212481195</v>
      </c>
    </row>
    <row r="185" spans="1:11" x14ac:dyDescent="0.35">
      <c r="A185" s="9" t="s">
        <v>252</v>
      </c>
      <c r="B185" s="10">
        <v>906</v>
      </c>
      <c r="C185" s="10">
        <v>362</v>
      </c>
      <c r="D185" s="10">
        <v>2</v>
      </c>
      <c r="E185" s="10">
        <v>462</v>
      </c>
      <c r="F185" s="10">
        <v>16787024.41508992</v>
      </c>
      <c r="G185" s="10">
        <v>877</v>
      </c>
      <c r="H185" s="10">
        <v>34</v>
      </c>
      <c r="I185" s="10">
        <v>3</v>
      </c>
      <c r="J185" s="10">
        <v>482</v>
      </c>
      <c r="K185" s="10">
        <v>10143272.99160156</v>
      </c>
    </row>
    <row r="186" spans="1:11" x14ac:dyDescent="0.35">
      <c r="A186" s="9" t="s">
        <v>253</v>
      </c>
      <c r="B186" s="10">
        <v>1589</v>
      </c>
      <c r="C186" s="10">
        <v>18</v>
      </c>
      <c r="D186" s="10">
        <v>2</v>
      </c>
      <c r="E186" s="10">
        <v>985</v>
      </c>
      <c r="F186" s="10">
        <v>51750633.72576949</v>
      </c>
      <c r="G186" s="10">
        <v>1683</v>
      </c>
      <c r="H186" s="10">
        <v>27</v>
      </c>
      <c r="I186" s="10">
        <v>3</v>
      </c>
      <c r="J186" s="10">
        <v>1035</v>
      </c>
      <c r="K186" s="10">
        <v>35442167.577809155</v>
      </c>
    </row>
    <row r="187" spans="1:11" x14ac:dyDescent="0.35">
      <c r="A187" s="9" t="s">
        <v>254</v>
      </c>
      <c r="B187" s="10">
        <v>1004</v>
      </c>
      <c r="C187" s="10">
        <v>12</v>
      </c>
      <c r="D187" s="10">
        <v>2</v>
      </c>
      <c r="E187" s="10">
        <v>465</v>
      </c>
      <c r="F187" s="10">
        <v>34308730.766069733</v>
      </c>
      <c r="G187" s="10">
        <v>1084</v>
      </c>
      <c r="H187" s="10">
        <v>16</v>
      </c>
      <c r="I187" s="10">
        <v>3</v>
      </c>
      <c r="J187" s="10">
        <v>719</v>
      </c>
      <c r="K187" s="10">
        <v>8446543.6182972267</v>
      </c>
    </row>
    <row r="188" spans="1:11" x14ac:dyDescent="0.35">
      <c r="A188" s="9" t="s">
        <v>255</v>
      </c>
      <c r="B188" s="10">
        <v>2112</v>
      </c>
      <c r="C188" s="10">
        <v>17</v>
      </c>
      <c r="D188" s="10">
        <v>3</v>
      </c>
      <c r="E188" s="10">
        <v>1143</v>
      </c>
      <c r="F188" s="10">
        <v>58155598.365615755</v>
      </c>
      <c r="G188" s="10">
        <v>2135</v>
      </c>
      <c r="H188" s="10">
        <v>13</v>
      </c>
      <c r="I188" s="10">
        <v>3</v>
      </c>
      <c r="J188" s="10">
        <v>1171</v>
      </c>
      <c r="K188" s="10">
        <v>12071920.689604841</v>
      </c>
    </row>
    <row r="189" spans="1:11" x14ac:dyDescent="0.35">
      <c r="A189" s="9" t="s">
        <v>256</v>
      </c>
      <c r="B189" s="10">
        <v>1315</v>
      </c>
      <c r="C189" s="10">
        <v>15</v>
      </c>
      <c r="D189" s="10">
        <v>2</v>
      </c>
      <c r="E189" s="10">
        <v>669</v>
      </c>
      <c r="F189" s="10">
        <v>33158280.167823128</v>
      </c>
      <c r="G189" s="10">
        <v>1367</v>
      </c>
      <c r="H189" s="10">
        <v>8</v>
      </c>
      <c r="I189" s="10">
        <v>1</v>
      </c>
      <c r="J189" s="10">
        <v>591</v>
      </c>
      <c r="K189" s="10">
        <v>4002385.6717841239</v>
      </c>
    </row>
    <row r="190" spans="1:11" x14ac:dyDescent="0.35">
      <c r="A190" s="9" t="s">
        <v>257</v>
      </c>
      <c r="B190" s="10">
        <v>751</v>
      </c>
      <c r="C190" s="10">
        <v>5</v>
      </c>
      <c r="D190" s="10">
        <v>3</v>
      </c>
      <c r="E190" s="10">
        <v>381</v>
      </c>
      <c r="F190" s="10">
        <v>23676715.758801691</v>
      </c>
      <c r="G190" s="10">
        <v>714</v>
      </c>
      <c r="H190" s="10">
        <v>4</v>
      </c>
      <c r="I190" s="10">
        <v>2</v>
      </c>
      <c r="J190" s="10">
        <v>366</v>
      </c>
      <c r="K190" s="10">
        <v>2609451.5834468668</v>
      </c>
    </row>
    <row r="191" spans="1:11" x14ac:dyDescent="0.35">
      <c r="A191" s="9" t="s">
        <v>258</v>
      </c>
      <c r="B191" s="10">
        <v>1877</v>
      </c>
      <c r="C191" s="10">
        <v>26</v>
      </c>
      <c r="D191" s="10">
        <v>6</v>
      </c>
      <c r="E191" s="10">
        <v>1177</v>
      </c>
      <c r="F191" s="10">
        <v>58536212.00938224</v>
      </c>
      <c r="G191" s="10">
        <v>2003</v>
      </c>
      <c r="H191" s="10">
        <v>22</v>
      </c>
      <c r="I191" s="10">
        <v>6</v>
      </c>
      <c r="J191" s="10">
        <v>1195</v>
      </c>
      <c r="K191" s="10">
        <v>39457512.185377613</v>
      </c>
    </row>
    <row r="192" spans="1:11" x14ac:dyDescent="0.35">
      <c r="A192" s="9" t="s">
        <v>259</v>
      </c>
      <c r="B192" s="10">
        <v>1188</v>
      </c>
      <c r="C192" s="10">
        <v>23</v>
      </c>
      <c r="D192" s="10">
        <v>3</v>
      </c>
      <c r="E192" s="10">
        <v>605</v>
      </c>
      <c r="F192" s="10">
        <v>23848573.236159649</v>
      </c>
      <c r="G192" s="10">
        <v>1204</v>
      </c>
      <c r="H192" s="10">
        <v>8</v>
      </c>
      <c r="I192" s="10">
        <v>2</v>
      </c>
      <c r="J192" s="10">
        <v>566</v>
      </c>
      <c r="K192" s="10">
        <v>6509541.110103271</v>
      </c>
    </row>
    <row r="193" spans="1:11" x14ac:dyDescent="0.35">
      <c r="A193" s="9" t="s">
        <v>260</v>
      </c>
      <c r="B193" s="10">
        <v>2000</v>
      </c>
      <c r="C193" s="10">
        <v>52</v>
      </c>
      <c r="D193" s="10">
        <v>4</v>
      </c>
      <c r="E193" s="10">
        <v>1022</v>
      </c>
      <c r="F193" s="10">
        <v>56674665.384544373</v>
      </c>
      <c r="G193" s="10">
        <v>1886</v>
      </c>
      <c r="H193" s="10">
        <v>14</v>
      </c>
      <c r="I193" s="10">
        <v>4</v>
      </c>
      <c r="J193" s="10">
        <v>884</v>
      </c>
      <c r="K193" s="10">
        <v>14911945.295445995</v>
      </c>
    </row>
    <row r="194" spans="1:11" x14ac:dyDescent="0.35">
      <c r="A194" s="9" t="s">
        <v>261</v>
      </c>
      <c r="B194" s="10">
        <v>2765</v>
      </c>
      <c r="C194" s="10">
        <v>80</v>
      </c>
      <c r="D194" s="10">
        <v>15</v>
      </c>
      <c r="E194" s="10">
        <v>1450</v>
      </c>
      <c r="F194" s="10">
        <v>109366447.44089535</v>
      </c>
      <c r="G194" s="10">
        <v>2831</v>
      </c>
      <c r="H194" s="10">
        <v>69</v>
      </c>
      <c r="I194" s="10">
        <v>15</v>
      </c>
      <c r="J194" s="10">
        <v>1436</v>
      </c>
      <c r="K194" s="10">
        <v>53729282.521069124</v>
      </c>
    </row>
    <row r="195" spans="1:11" x14ac:dyDescent="0.35">
      <c r="A195" s="9" t="s">
        <v>262</v>
      </c>
      <c r="B195" s="10">
        <v>759</v>
      </c>
      <c r="C195" s="10">
        <v>12</v>
      </c>
      <c r="D195" s="10">
        <v>0</v>
      </c>
      <c r="E195" s="10">
        <v>470</v>
      </c>
      <c r="F195" s="10">
        <v>23520807.747782502</v>
      </c>
      <c r="G195" s="10">
        <v>802</v>
      </c>
      <c r="H195" s="10">
        <v>9</v>
      </c>
      <c r="I195" s="10">
        <v>0</v>
      </c>
      <c r="J195" s="10">
        <v>430</v>
      </c>
      <c r="K195" s="10">
        <v>15465447.151118347</v>
      </c>
    </row>
    <row r="196" spans="1:11" x14ac:dyDescent="0.35">
      <c r="A196" s="9" t="s">
        <v>263</v>
      </c>
      <c r="B196" s="10">
        <v>917</v>
      </c>
      <c r="C196" s="10">
        <v>24</v>
      </c>
      <c r="D196" s="10">
        <v>2</v>
      </c>
      <c r="E196" s="10">
        <v>704</v>
      </c>
      <c r="F196" s="10">
        <v>38568215.809087969</v>
      </c>
      <c r="G196" s="10">
        <v>904</v>
      </c>
      <c r="H196" s="10">
        <v>40</v>
      </c>
      <c r="I196" s="10">
        <v>3</v>
      </c>
      <c r="J196" s="10">
        <v>621</v>
      </c>
      <c r="K196" s="10">
        <v>28213829.191541221</v>
      </c>
    </row>
    <row r="197" spans="1:11" x14ac:dyDescent="0.35">
      <c r="A197" s="9" t="s">
        <v>264</v>
      </c>
      <c r="B197" s="10">
        <v>1442</v>
      </c>
      <c r="C197" s="10">
        <v>62</v>
      </c>
      <c r="D197" s="10">
        <v>4</v>
      </c>
      <c r="E197" s="10">
        <v>626</v>
      </c>
      <c r="F197" s="10">
        <v>49333692.202986747</v>
      </c>
      <c r="G197" s="10">
        <v>1535</v>
      </c>
      <c r="H197" s="10">
        <v>29</v>
      </c>
      <c r="I197" s="10">
        <v>2</v>
      </c>
      <c r="J197" s="10">
        <v>776</v>
      </c>
      <c r="K197" s="10">
        <v>9430050.8364623673</v>
      </c>
    </row>
    <row r="198" spans="1:11" x14ac:dyDescent="0.35">
      <c r="A198" s="9" t="s">
        <v>265</v>
      </c>
      <c r="B198" s="10">
        <v>1070</v>
      </c>
      <c r="C198" s="10">
        <v>23</v>
      </c>
      <c r="D198" s="10">
        <v>1</v>
      </c>
      <c r="E198" s="10">
        <v>601</v>
      </c>
      <c r="F198" s="10">
        <v>44962676.342065021</v>
      </c>
      <c r="G198" s="10">
        <v>1097</v>
      </c>
      <c r="H198" s="10">
        <v>19</v>
      </c>
      <c r="I198" s="10">
        <v>2</v>
      </c>
      <c r="J198" s="10">
        <v>614</v>
      </c>
      <c r="K198" s="10">
        <v>24711091.328886736</v>
      </c>
    </row>
    <row r="199" spans="1:11" x14ac:dyDescent="0.35">
      <c r="A199" s="9" t="s">
        <v>266</v>
      </c>
      <c r="B199" s="10">
        <v>2688</v>
      </c>
      <c r="C199" s="10">
        <v>25</v>
      </c>
      <c r="D199" s="10">
        <v>7</v>
      </c>
      <c r="E199" s="10">
        <v>1276</v>
      </c>
      <c r="F199" s="10">
        <v>60935780.193424463</v>
      </c>
      <c r="G199" s="10">
        <v>2869</v>
      </c>
      <c r="H199" s="10">
        <v>20</v>
      </c>
      <c r="I199" s="10">
        <v>11</v>
      </c>
      <c r="J199" s="10">
        <v>1518</v>
      </c>
      <c r="K199" s="10">
        <v>8059314.986528527</v>
      </c>
    </row>
    <row r="200" spans="1:11" x14ac:dyDescent="0.35">
      <c r="A200" s="9" t="s">
        <v>267</v>
      </c>
      <c r="B200" s="10">
        <v>1372</v>
      </c>
      <c r="C200" s="10">
        <v>64</v>
      </c>
      <c r="D200" s="10">
        <v>2</v>
      </c>
      <c r="E200" s="10">
        <v>629</v>
      </c>
      <c r="F200" s="10">
        <v>34989783.611574978</v>
      </c>
      <c r="G200" s="10">
        <v>1385</v>
      </c>
      <c r="H200" s="10">
        <v>12</v>
      </c>
      <c r="I200" s="10">
        <v>2</v>
      </c>
      <c r="J200" s="10">
        <v>647</v>
      </c>
      <c r="K200" s="10">
        <v>1582105.3415990791</v>
      </c>
    </row>
    <row r="201" spans="1:11" x14ac:dyDescent="0.35">
      <c r="A201" s="9" t="s">
        <v>268</v>
      </c>
      <c r="B201" s="10">
        <v>1532</v>
      </c>
      <c r="C201" s="10">
        <v>21</v>
      </c>
      <c r="D201" s="10">
        <v>7</v>
      </c>
      <c r="E201" s="10">
        <v>661</v>
      </c>
      <c r="F201" s="10">
        <v>56283291.473487802</v>
      </c>
      <c r="G201" s="10">
        <v>1756</v>
      </c>
      <c r="H201" s="10">
        <v>10</v>
      </c>
      <c r="I201" s="10">
        <v>5</v>
      </c>
      <c r="J201" s="10">
        <v>839</v>
      </c>
      <c r="K201" s="10">
        <v>6119550.3129169364</v>
      </c>
    </row>
    <row r="202" spans="1:11" x14ac:dyDescent="0.35">
      <c r="A202" s="9" t="s">
        <v>269</v>
      </c>
      <c r="B202" s="10">
        <v>1480</v>
      </c>
      <c r="C202" s="10">
        <v>34</v>
      </c>
      <c r="D202" s="10">
        <v>10</v>
      </c>
      <c r="E202" s="10">
        <v>804</v>
      </c>
      <c r="F202" s="10">
        <v>58201772.38154459</v>
      </c>
      <c r="G202" s="10">
        <v>1474</v>
      </c>
      <c r="H202" s="10">
        <v>12</v>
      </c>
      <c r="I202" s="10">
        <v>11</v>
      </c>
      <c r="J202" s="10">
        <v>917</v>
      </c>
      <c r="K202" s="10">
        <v>19511214.237787519</v>
      </c>
    </row>
    <row r="203" spans="1:11" x14ac:dyDescent="0.35">
      <c r="A203" s="9" t="s">
        <v>270</v>
      </c>
      <c r="B203" s="10">
        <v>922</v>
      </c>
      <c r="C203" s="10">
        <v>7</v>
      </c>
      <c r="D203" s="10">
        <v>1</v>
      </c>
      <c r="E203" s="10">
        <v>433</v>
      </c>
      <c r="F203" s="10">
        <v>23973824.645553548</v>
      </c>
      <c r="G203" s="10">
        <v>1005</v>
      </c>
      <c r="H203" s="10">
        <v>14</v>
      </c>
      <c r="I203" s="10">
        <v>1</v>
      </c>
      <c r="J203" s="10">
        <v>451</v>
      </c>
      <c r="K203" s="10">
        <v>4077813.6923022261</v>
      </c>
    </row>
    <row r="204" spans="1:11" x14ac:dyDescent="0.35">
      <c r="A204" s="9" t="s">
        <v>271</v>
      </c>
      <c r="B204" s="10">
        <v>1929</v>
      </c>
      <c r="C204" s="10">
        <v>17</v>
      </c>
      <c r="D204" s="10">
        <v>11</v>
      </c>
      <c r="E204" s="10">
        <v>996</v>
      </c>
      <c r="F204" s="10">
        <v>60513397.815654062</v>
      </c>
      <c r="G204" s="10">
        <v>1966</v>
      </c>
      <c r="H204" s="10">
        <v>20</v>
      </c>
      <c r="I204" s="10">
        <v>11</v>
      </c>
      <c r="J204" s="10">
        <v>998</v>
      </c>
      <c r="K204" s="10">
        <v>6163344.767273372</v>
      </c>
    </row>
    <row r="205" spans="1:11" x14ac:dyDescent="0.35">
      <c r="A205" s="9" t="s">
        <v>272</v>
      </c>
      <c r="B205" s="10">
        <v>1174</v>
      </c>
      <c r="C205" s="10">
        <v>5</v>
      </c>
      <c r="D205" s="10">
        <v>5</v>
      </c>
      <c r="E205" s="10">
        <v>560</v>
      </c>
      <c r="F205" s="10">
        <v>33738394.666330457</v>
      </c>
      <c r="G205" s="10">
        <v>1202</v>
      </c>
      <c r="H205" s="10">
        <v>13</v>
      </c>
      <c r="I205" s="10">
        <v>6</v>
      </c>
      <c r="J205" s="10">
        <v>467</v>
      </c>
      <c r="K205" s="10">
        <v>1817739.704334843</v>
      </c>
    </row>
    <row r="206" spans="1:11" x14ac:dyDescent="0.35">
      <c r="A206" s="9" t="s">
        <v>273</v>
      </c>
      <c r="B206" s="10">
        <v>1300</v>
      </c>
      <c r="C206" s="10">
        <v>17</v>
      </c>
      <c r="D206" s="10">
        <v>2</v>
      </c>
      <c r="E206" s="10">
        <v>619</v>
      </c>
      <c r="F206" s="10">
        <v>32755437.367159519</v>
      </c>
      <c r="G206" s="10">
        <v>1183</v>
      </c>
      <c r="H206" s="10">
        <v>11</v>
      </c>
      <c r="I206" s="10">
        <v>1</v>
      </c>
      <c r="J206" s="10">
        <v>452</v>
      </c>
      <c r="K206" s="10">
        <v>6163244.7977883592</v>
      </c>
    </row>
    <row r="207" spans="1:11" x14ac:dyDescent="0.35">
      <c r="A207" s="9" t="s">
        <v>274</v>
      </c>
      <c r="B207" s="10">
        <v>502</v>
      </c>
      <c r="C207" s="10">
        <v>5</v>
      </c>
      <c r="D207" s="10">
        <v>2</v>
      </c>
      <c r="E207" s="10">
        <v>331</v>
      </c>
      <c r="F207" s="10">
        <v>19025019.105344918</v>
      </c>
      <c r="G207" s="10">
        <v>529</v>
      </c>
      <c r="H207" s="10">
        <v>9</v>
      </c>
      <c r="I207" s="10">
        <v>3</v>
      </c>
      <c r="J207" s="10">
        <v>356</v>
      </c>
      <c r="K207" s="10">
        <v>14240844.853310527</v>
      </c>
    </row>
    <row r="208" spans="1:11" x14ac:dyDescent="0.35">
      <c r="A208" s="9" t="s">
        <v>275</v>
      </c>
      <c r="B208" s="10">
        <v>2068</v>
      </c>
      <c r="C208" s="10">
        <v>35</v>
      </c>
      <c r="D208" s="10">
        <v>7</v>
      </c>
      <c r="E208" s="10">
        <v>1059</v>
      </c>
      <c r="F208" s="10">
        <v>76730590.196864277</v>
      </c>
      <c r="G208" s="10">
        <v>2143</v>
      </c>
      <c r="H208" s="10">
        <v>19</v>
      </c>
      <c r="I208" s="10">
        <v>6</v>
      </c>
      <c r="J208" s="10">
        <v>979</v>
      </c>
      <c r="K208" s="10">
        <v>16416259.530661264</v>
      </c>
    </row>
    <row r="209" spans="1:11" x14ac:dyDescent="0.35">
      <c r="A209" s="9" t="s">
        <v>276</v>
      </c>
      <c r="B209" s="10">
        <v>1371</v>
      </c>
      <c r="C209" s="10">
        <v>16</v>
      </c>
      <c r="D209" s="10">
        <v>3</v>
      </c>
      <c r="E209" s="10">
        <v>604</v>
      </c>
      <c r="F209" s="10">
        <v>39297695.473493904</v>
      </c>
      <c r="G209" s="10">
        <v>1318</v>
      </c>
      <c r="H209" s="10">
        <v>12</v>
      </c>
      <c r="I209" s="10">
        <v>3</v>
      </c>
      <c r="J209" s="10">
        <v>718</v>
      </c>
      <c r="K209" s="10">
        <v>10175019.232294824</v>
      </c>
    </row>
    <row r="210" spans="1:11" x14ac:dyDescent="0.35">
      <c r="A210" s="9" t="s">
        <v>277</v>
      </c>
      <c r="B210" s="10">
        <v>1885</v>
      </c>
      <c r="C210" s="10">
        <v>25</v>
      </c>
      <c r="D210" s="10">
        <v>7</v>
      </c>
      <c r="E210" s="10">
        <v>1023</v>
      </c>
      <c r="F210" s="10">
        <v>45657345.786885716</v>
      </c>
      <c r="G210" s="10">
        <v>2007</v>
      </c>
      <c r="H210" s="10">
        <v>26</v>
      </c>
      <c r="I210" s="10">
        <v>8</v>
      </c>
      <c r="J210" s="10">
        <v>1068</v>
      </c>
      <c r="K210" s="10">
        <v>8491614.0682271123</v>
      </c>
    </row>
    <row r="211" spans="1:11" x14ac:dyDescent="0.35">
      <c r="A211" s="9" t="s">
        <v>278</v>
      </c>
      <c r="B211" s="10">
        <v>792</v>
      </c>
      <c r="C211" s="10">
        <v>11</v>
      </c>
      <c r="D211" s="10">
        <v>2</v>
      </c>
      <c r="E211" s="10">
        <v>365</v>
      </c>
      <c r="F211" s="10">
        <v>27616922.234695517</v>
      </c>
      <c r="G211" s="10">
        <v>793</v>
      </c>
      <c r="H211" s="10">
        <v>9</v>
      </c>
      <c r="I211" s="10">
        <v>3</v>
      </c>
      <c r="J211" s="10">
        <v>296</v>
      </c>
      <c r="K211" s="10">
        <v>3274568.6029703701</v>
      </c>
    </row>
    <row r="212" spans="1:11" x14ac:dyDescent="0.35">
      <c r="A212" s="9" t="s">
        <v>279</v>
      </c>
      <c r="B212" s="10">
        <v>3038</v>
      </c>
      <c r="C212" s="10">
        <v>457</v>
      </c>
      <c r="D212" s="10">
        <v>12</v>
      </c>
      <c r="E212" s="10">
        <v>1444</v>
      </c>
      <c r="F212" s="10">
        <v>85788781.385988981</v>
      </c>
      <c r="G212" s="10">
        <v>2905</v>
      </c>
      <c r="H212" s="10">
        <v>103</v>
      </c>
      <c r="I212" s="10">
        <v>12</v>
      </c>
      <c r="J212" s="10">
        <v>1658</v>
      </c>
      <c r="K212" s="10">
        <v>55331529.981796458</v>
      </c>
    </row>
    <row r="213" spans="1:11" x14ac:dyDescent="0.35">
      <c r="A213" s="9" t="s">
        <v>280</v>
      </c>
      <c r="B213" s="10">
        <v>2469</v>
      </c>
      <c r="C213" s="10">
        <v>17</v>
      </c>
      <c r="D213" s="10">
        <v>3</v>
      </c>
      <c r="E213" s="10">
        <v>1233</v>
      </c>
      <c r="F213" s="10">
        <v>60187683.093750045</v>
      </c>
      <c r="G213" s="10">
        <v>2530</v>
      </c>
      <c r="H213" s="10">
        <v>20</v>
      </c>
      <c r="I213" s="10">
        <v>3</v>
      </c>
      <c r="J213" s="10">
        <v>1281</v>
      </c>
      <c r="K213" s="10">
        <v>3361120.77137759</v>
      </c>
    </row>
    <row r="214" spans="1:11" x14ac:dyDescent="0.35">
      <c r="A214" s="9" t="s">
        <v>281</v>
      </c>
      <c r="B214" s="10">
        <v>1466</v>
      </c>
      <c r="C214" s="10">
        <v>24</v>
      </c>
      <c r="D214" s="10">
        <v>8</v>
      </c>
      <c r="E214" s="10">
        <v>897</v>
      </c>
      <c r="F214" s="10">
        <v>56066637.158218339</v>
      </c>
      <c r="G214" s="10">
        <v>1471</v>
      </c>
      <c r="H214" s="10">
        <v>22</v>
      </c>
      <c r="I214" s="10">
        <v>10</v>
      </c>
      <c r="J214" s="10">
        <v>859</v>
      </c>
      <c r="K214" s="10">
        <v>34273318.793531239</v>
      </c>
    </row>
    <row r="215" spans="1:11" x14ac:dyDescent="0.35">
      <c r="A215" s="9" t="s">
        <v>282</v>
      </c>
      <c r="B215" s="10">
        <v>1569</v>
      </c>
      <c r="C215" s="10">
        <v>20</v>
      </c>
      <c r="D215" s="10">
        <v>1</v>
      </c>
      <c r="E215" s="10">
        <v>865</v>
      </c>
      <c r="F215" s="10">
        <v>45392342.768750302</v>
      </c>
      <c r="G215" s="10">
        <v>1751</v>
      </c>
      <c r="H215" s="10">
        <v>13</v>
      </c>
      <c r="I215" s="10">
        <v>3</v>
      </c>
      <c r="J215" s="10">
        <v>918</v>
      </c>
      <c r="K215" s="10">
        <v>11305761.788485575</v>
      </c>
    </row>
    <row r="216" spans="1:11" x14ac:dyDescent="0.35">
      <c r="A216" s="9" t="s">
        <v>283</v>
      </c>
      <c r="B216" s="10">
        <v>2072</v>
      </c>
      <c r="C216" s="10">
        <v>43</v>
      </c>
      <c r="D216" s="10">
        <v>6</v>
      </c>
      <c r="E216" s="10">
        <v>1008</v>
      </c>
      <c r="F216" s="10">
        <v>65583251.182235442</v>
      </c>
      <c r="G216" s="10">
        <v>2289</v>
      </c>
      <c r="H216" s="10">
        <v>320</v>
      </c>
      <c r="I216" s="10">
        <v>7</v>
      </c>
      <c r="J216" s="10">
        <v>1035</v>
      </c>
      <c r="K216" s="10">
        <v>22481881.9191714</v>
      </c>
    </row>
    <row r="217" spans="1:11" x14ac:dyDescent="0.35">
      <c r="A217" s="9" t="s">
        <v>284</v>
      </c>
      <c r="B217" s="10">
        <v>1102</v>
      </c>
      <c r="C217" s="10">
        <v>6</v>
      </c>
      <c r="D217" s="10">
        <v>3</v>
      </c>
      <c r="E217" s="10">
        <v>587</v>
      </c>
      <c r="F217" s="10">
        <v>48033248.334203243</v>
      </c>
      <c r="G217" s="10">
        <v>1114</v>
      </c>
      <c r="H217" s="10">
        <v>14</v>
      </c>
      <c r="I217" s="10">
        <v>3</v>
      </c>
      <c r="J217" s="10">
        <v>530</v>
      </c>
      <c r="K217" s="10">
        <v>24802979.296123102</v>
      </c>
    </row>
    <row r="218" spans="1:11" x14ac:dyDescent="0.35">
      <c r="A218" s="9" t="s">
        <v>285</v>
      </c>
      <c r="B218" s="10">
        <v>1130</v>
      </c>
      <c r="C218" s="10">
        <v>114</v>
      </c>
      <c r="D218" s="10">
        <v>4</v>
      </c>
      <c r="E218" s="10">
        <v>476</v>
      </c>
      <c r="F218" s="10">
        <v>32501155.442442462</v>
      </c>
      <c r="G218" s="10">
        <v>1175</v>
      </c>
      <c r="H218" s="10">
        <v>6</v>
      </c>
      <c r="I218" s="10">
        <v>5</v>
      </c>
      <c r="J218" s="10">
        <v>485</v>
      </c>
      <c r="K218" s="10">
        <v>3096531.5902460949</v>
      </c>
    </row>
    <row r="219" spans="1:11" x14ac:dyDescent="0.35">
      <c r="A219" s="9" t="s">
        <v>286</v>
      </c>
      <c r="B219" s="10">
        <v>3250</v>
      </c>
      <c r="C219" s="10">
        <v>77</v>
      </c>
      <c r="D219" s="10">
        <v>16</v>
      </c>
      <c r="E219" s="10">
        <v>1892</v>
      </c>
      <c r="F219" s="10">
        <v>113566317.82964884</v>
      </c>
      <c r="G219" s="10">
        <v>3288</v>
      </c>
      <c r="H219" s="10">
        <v>141</v>
      </c>
      <c r="I219" s="10">
        <v>19</v>
      </c>
      <c r="J219" s="10">
        <v>2031</v>
      </c>
      <c r="K219" s="10">
        <v>47189303.356950022</v>
      </c>
    </row>
    <row r="220" spans="1:11" x14ac:dyDescent="0.35">
      <c r="A220" s="9" t="s">
        <v>287</v>
      </c>
      <c r="B220" s="10">
        <v>1093</v>
      </c>
      <c r="C220" s="10">
        <v>14</v>
      </c>
      <c r="D220" s="10">
        <v>9</v>
      </c>
      <c r="E220" s="10">
        <v>617</v>
      </c>
      <c r="F220" s="10">
        <v>44759188.962157652</v>
      </c>
      <c r="G220" s="10">
        <v>966</v>
      </c>
      <c r="H220" s="10">
        <v>10</v>
      </c>
      <c r="I220" s="10">
        <v>9</v>
      </c>
      <c r="J220" s="10">
        <v>546</v>
      </c>
      <c r="K220" s="10">
        <v>25703165.993983023</v>
      </c>
    </row>
    <row r="221" spans="1:11" x14ac:dyDescent="0.35">
      <c r="A221" s="9" t="s">
        <v>288</v>
      </c>
      <c r="B221" s="10">
        <v>561</v>
      </c>
      <c r="C221" s="10">
        <v>14</v>
      </c>
      <c r="D221" s="10">
        <v>2</v>
      </c>
      <c r="E221" s="10">
        <v>292</v>
      </c>
      <c r="F221" s="10">
        <v>12385839.698336057</v>
      </c>
      <c r="G221" s="10">
        <v>556</v>
      </c>
      <c r="H221" s="10">
        <v>5</v>
      </c>
      <c r="I221" s="10">
        <v>1</v>
      </c>
      <c r="J221" s="10">
        <v>254</v>
      </c>
      <c r="K221" s="10">
        <v>6339089.7779774331</v>
      </c>
    </row>
    <row r="222" spans="1:11" x14ac:dyDescent="0.35">
      <c r="A222" s="9" t="s">
        <v>289</v>
      </c>
      <c r="B222" s="10">
        <v>1217</v>
      </c>
      <c r="C222" s="10">
        <v>19</v>
      </c>
      <c r="D222" s="10">
        <v>8</v>
      </c>
      <c r="E222" s="10">
        <v>554</v>
      </c>
      <c r="F222" s="10">
        <v>37928789.988122828</v>
      </c>
      <c r="G222" s="10">
        <v>1205</v>
      </c>
      <c r="H222" s="10">
        <v>8</v>
      </c>
      <c r="I222" s="10">
        <v>8</v>
      </c>
      <c r="J222" s="10">
        <v>512</v>
      </c>
      <c r="K222" s="10">
        <v>7440451.608198911</v>
      </c>
    </row>
    <row r="223" spans="1:11" x14ac:dyDescent="0.35">
      <c r="A223" s="9" t="s">
        <v>290</v>
      </c>
      <c r="B223" s="10">
        <v>1403</v>
      </c>
      <c r="C223" s="10">
        <v>49</v>
      </c>
      <c r="D223" s="10">
        <v>12</v>
      </c>
      <c r="E223" s="10">
        <v>664</v>
      </c>
      <c r="F223" s="10">
        <v>44748963.710922539</v>
      </c>
      <c r="G223" s="10">
        <v>1407</v>
      </c>
      <c r="H223" s="10">
        <v>95</v>
      </c>
      <c r="I223" s="10">
        <v>16</v>
      </c>
      <c r="J223" s="10">
        <v>657</v>
      </c>
      <c r="K223" s="10">
        <v>22121898.723539785</v>
      </c>
    </row>
    <row r="224" spans="1:11" x14ac:dyDescent="0.35">
      <c r="A224" s="9" t="s">
        <v>291</v>
      </c>
      <c r="B224" s="10">
        <v>2453</v>
      </c>
      <c r="C224" s="10">
        <v>38</v>
      </c>
      <c r="D224" s="10">
        <v>7</v>
      </c>
      <c r="E224" s="10">
        <v>1406</v>
      </c>
      <c r="F224" s="10">
        <v>73237677.724968091</v>
      </c>
      <c r="G224" s="10">
        <v>2530</v>
      </c>
      <c r="H224" s="10">
        <v>30</v>
      </c>
      <c r="I224" s="10">
        <v>7</v>
      </c>
      <c r="J224" s="10">
        <v>1389</v>
      </c>
      <c r="K224" s="10">
        <v>37295247.415850095</v>
      </c>
    </row>
    <row r="225" spans="1:11" x14ac:dyDescent="0.35">
      <c r="A225" s="9" t="s">
        <v>292</v>
      </c>
      <c r="B225" s="10">
        <v>972</v>
      </c>
      <c r="C225" s="10">
        <v>14</v>
      </c>
      <c r="D225" s="10">
        <v>8</v>
      </c>
      <c r="E225" s="10">
        <v>680</v>
      </c>
      <c r="F225" s="10">
        <v>26920234.571017701</v>
      </c>
      <c r="G225" s="10">
        <v>970</v>
      </c>
      <c r="H225" s="10">
        <v>13</v>
      </c>
      <c r="I225" s="10">
        <v>8</v>
      </c>
      <c r="J225" s="10">
        <v>657</v>
      </c>
      <c r="K225" s="10">
        <v>13806463.36921037</v>
      </c>
    </row>
    <row r="226" spans="1:11" x14ac:dyDescent="0.35">
      <c r="A226" s="9" t="s">
        <v>293</v>
      </c>
      <c r="B226" s="10">
        <v>1365</v>
      </c>
      <c r="C226" s="10">
        <v>15</v>
      </c>
      <c r="D226" s="10">
        <v>3</v>
      </c>
      <c r="E226" s="10">
        <v>730</v>
      </c>
      <c r="F226" s="10">
        <v>25987763.894087922</v>
      </c>
      <c r="G226" s="10">
        <v>1346</v>
      </c>
      <c r="H226" s="10">
        <v>12</v>
      </c>
      <c r="I226" s="10">
        <v>4</v>
      </c>
      <c r="J226" s="10">
        <v>728</v>
      </c>
      <c r="K226" s="10">
        <v>12580739.306689592</v>
      </c>
    </row>
    <row r="227" spans="1:11" x14ac:dyDescent="0.35">
      <c r="A227" s="9" t="s">
        <v>294</v>
      </c>
      <c r="B227" s="10">
        <v>1684</v>
      </c>
      <c r="C227" s="10">
        <v>26</v>
      </c>
      <c r="D227" s="10">
        <v>3</v>
      </c>
      <c r="E227" s="10">
        <v>811</v>
      </c>
      <c r="F227" s="10">
        <v>38554525.626500681</v>
      </c>
      <c r="G227" s="10">
        <v>1721</v>
      </c>
      <c r="H227" s="10">
        <v>20</v>
      </c>
      <c r="I227" s="10">
        <v>6</v>
      </c>
      <c r="J227" s="10">
        <v>834</v>
      </c>
      <c r="K227" s="10">
        <v>5205851.2530950308</v>
      </c>
    </row>
    <row r="228" spans="1:11" x14ac:dyDescent="0.35">
      <c r="A228" s="9" t="s">
        <v>295</v>
      </c>
      <c r="B228" s="10">
        <v>1128</v>
      </c>
      <c r="C228" s="10">
        <v>13</v>
      </c>
      <c r="D228" s="10">
        <v>3</v>
      </c>
      <c r="E228" s="10">
        <v>737</v>
      </c>
      <c r="F228" s="10">
        <v>40802162.322740898</v>
      </c>
      <c r="G228" s="10">
        <v>1247</v>
      </c>
      <c r="H228" s="10">
        <v>4</v>
      </c>
      <c r="I228" s="10">
        <v>3</v>
      </c>
      <c r="J228" s="10">
        <v>761</v>
      </c>
      <c r="K228" s="10">
        <v>25602482.85169559</v>
      </c>
    </row>
    <row r="229" spans="1:11" x14ac:dyDescent="0.35">
      <c r="A229" s="9" t="s">
        <v>296</v>
      </c>
      <c r="B229" s="10">
        <v>1270</v>
      </c>
      <c r="C229" s="10">
        <v>13</v>
      </c>
      <c r="D229" s="10">
        <v>5</v>
      </c>
      <c r="E229" s="10">
        <v>573</v>
      </c>
      <c r="F229" s="10">
        <v>49487747.046906397</v>
      </c>
      <c r="G229" s="10">
        <v>1401</v>
      </c>
      <c r="H229" s="10">
        <v>114</v>
      </c>
      <c r="I229" s="10">
        <v>7</v>
      </c>
      <c r="J229" s="10">
        <v>522</v>
      </c>
      <c r="K229" s="10">
        <v>18939632.651092265</v>
      </c>
    </row>
    <row r="230" spans="1:11" x14ac:dyDescent="0.35">
      <c r="A230" s="9" t="s">
        <v>297</v>
      </c>
      <c r="B230" s="10">
        <v>1443</v>
      </c>
      <c r="C230" s="10">
        <v>15</v>
      </c>
      <c r="D230" s="10">
        <v>5</v>
      </c>
      <c r="E230" s="10">
        <v>960</v>
      </c>
      <c r="F230" s="10">
        <v>50445363.671640232</v>
      </c>
      <c r="G230" s="10">
        <v>1513</v>
      </c>
      <c r="H230" s="10">
        <v>10</v>
      </c>
      <c r="I230" s="10">
        <v>6</v>
      </c>
      <c r="J230" s="10">
        <v>940</v>
      </c>
      <c r="K230" s="10">
        <v>38796391.27601096</v>
      </c>
    </row>
    <row r="231" spans="1:11" x14ac:dyDescent="0.35">
      <c r="A231" s="9" t="s">
        <v>298</v>
      </c>
      <c r="B231" s="10">
        <v>1190</v>
      </c>
      <c r="C231" s="10">
        <v>16</v>
      </c>
      <c r="D231" s="10">
        <v>2</v>
      </c>
      <c r="E231" s="10">
        <v>570</v>
      </c>
      <c r="F231" s="10">
        <v>18037916.985215493</v>
      </c>
      <c r="G231" s="10">
        <v>1309</v>
      </c>
      <c r="H231" s="10">
        <v>11</v>
      </c>
      <c r="I231" s="10">
        <v>2</v>
      </c>
      <c r="J231" s="10">
        <v>558</v>
      </c>
      <c r="K231" s="10">
        <v>2844142.9003502969</v>
      </c>
    </row>
    <row r="232" spans="1:11" x14ac:dyDescent="0.35">
      <c r="A232" s="9" t="s">
        <v>299</v>
      </c>
      <c r="B232" s="10">
        <v>1061</v>
      </c>
      <c r="C232" s="10">
        <v>15</v>
      </c>
      <c r="D232" s="10">
        <v>1</v>
      </c>
      <c r="E232" s="10">
        <v>573</v>
      </c>
      <c r="F232" s="10">
        <v>24390853.154635902</v>
      </c>
      <c r="G232" s="10">
        <v>1023</v>
      </c>
      <c r="H232" s="10">
        <v>9</v>
      </c>
      <c r="I232" s="10">
        <v>1</v>
      </c>
      <c r="J232" s="10">
        <v>593</v>
      </c>
      <c r="K232" s="10">
        <v>7063322.2309300946</v>
      </c>
    </row>
    <row r="233" spans="1:11" x14ac:dyDescent="0.35">
      <c r="A233" s="9" t="s">
        <v>300</v>
      </c>
      <c r="B233" s="10">
        <v>1103</v>
      </c>
      <c r="C233" s="10">
        <v>15</v>
      </c>
      <c r="D233" s="10">
        <v>2</v>
      </c>
      <c r="E233" s="10">
        <v>740</v>
      </c>
      <c r="F233" s="10">
        <v>35586257.390572459</v>
      </c>
      <c r="G233" s="10">
        <v>1106</v>
      </c>
      <c r="H233" s="10">
        <v>10</v>
      </c>
      <c r="I233" s="10">
        <v>2</v>
      </c>
      <c r="J233" s="10">
        <v>661</v>
      </c>
      <c r="K233" s="10">
        <v>22417173.961660314</v>
      </c>
    </row>
    <row r="234" spans="1:11" x14ac:dyDescent="0.35">
      <c r="A234" s="9" t="s">
        <v>301</v>
      </c>
      <c r="B234" s="10">
        <v>308</v>
      </c>
      <c r="C234" s="10">
        <v>1</v>
      </c>
      <c r="D234" s="10">
        <v>1</v>
      </c>
      <c r="E234" s="10">
        <v>39</v>
      </c>
      <c r="F234" s="10">
        <v>6476996.6017357251</v>
      </c>
      <c r="G234" s="10">
        <v>343</v>
      </c>
      <c r="H234" s="10">
        <v>1</v>
      </c>
      <c r="I234" s="10">
        <v>2</v>
      </c>
      <c r="J234" s="10">
        <v>3</v>
      </c>
      <c r="K234" s="10">
        <v>105956.924093297</v>
      </c>
    </row>
    <row r="235" spans="1:11" x14ac:dyDescent="0.35">
      <c r="A235" s="9" t="s">
        <v>302</v>
      </c>
      <c r="B235" s="10">
        <v>3922</v>
      </c>
      <c r="C235" s="10">
        <v>157</v>
      </c>
      <c r="D235" s="10">
        <v>11</v>
      </c>
      <c r="E235" s="10">
        <v>2731</v>
      </c>
      <c r="F235" s="10">
        <v>121079295.90383452</v>
      </c>
      <c r="G235" s="10">
        <v>3596</v>
      </c>
      <c r="H235" s="10">
        <v>143</v>
      </c>
      <c r="I235" s="10">
        <v>8</v>
      </c>
      <c r="J235" s="10">
        <v>2055</v>
      </c>
      <c r="K235" s="10">
        <v>64556833.257370941</v>
      </c>
    </row>
    <row r="236" spans="1:11" x14ac:dyDescent="0.35">
      <c r="A236" s="9" t="s">
        <v>303</v>
      </c>
      <c r="B236" s="10">
        <v>1790</v>
      </c>
      <c r="C236" s="10">
        <v>13</v>
      </c>
      <c r="D236" s="10">
        <v>2</v>
      </c>
      <c r="E236" s="10">
        <v>888</v>
      </c>
      <c r="F236" s="10">
        <v>56669474.201635763</v>
      </c>
      <c r="G236" s="10">
        <v>1893</v>
      </c>
      <c r="H236" s="10">
        <v>155</v>
      </c>
      <c r="I236" s="10">
        <v>3</v>
      </c>
      <c r="J236" s="10">
        <v>898</v>
      </c>
      <c r="K236" s="10">
        <v>30139630.529858552</v>
      </c>
    </row>
    <row r="237" spans="1:11" x14ac:dyDescent="0.35">
      <c r="A237" s="9" t="s">
        <v>304</v>
      </c>
      <c r="B237" s="10">
        <v>1022</v>
      </c>
      <c r="C237" s="10">
        <v>10</v>
      </c>
      <c r="D237" s="10">
        <v>3</v>
      </c>
      <c r="E237" s="10">
        <v>546</v>
      </c>
      <c r="F237" s="10">
        <v>18010721.30094922</v>
      </c>
      <c r="G237" s="10">
        <v>1059</v>
      </c>
      <c r="H237" s="10">
        <v>7</v>
      </c>
      <c r="I237" s="10">
        <v>3</v>
      </c>
      <c r="J237" s="10">
        <v>547</v>
      </c>
      <c r="K237" s="10">
        <v>3567404.2903433959</v>
      </c>
    </row>
    <row r="238" spans="1:11" x14ac:dyDescent="0.35">
      <c r="A238" s="9" t="s">
        <v>305</v>
      </c>
      <c r="B238" s="10">
        <v>1696</v>
      </c>
      <c r="C238" s="10">
        <v>11</v>
      </c>
      <c r="D238" s="10">
        <v>3</v>
      </c>
      <c r="E238" s="10">
        <v>870</v>
      </c>
      <c r="F238" s="10">
        <v>32165362.843811188</v>
      </c>
      <c r="G238" s="10">
        <v>1755</v>
      </c>
      <c r="H238" s="10">
        <v>12</v>
      </c>
      <c r="I238" s="10">
        <v>4</v>
      </c>
      <c r="J238" s="10">
        <v>783</v>
      </c>
      <c r="K238" s="10">
        <v>3203702.9102773839</v>
      </c>
    </row>
    <row r="239" spans="1:11" x14ac:dyDescent="0.35">
      <c r="A239" s="9" t="s">
        <v>306</v>
      </c>
      <c r="B239" s="10">
        <v>1407</v>
      </c>
      <c r="C239" s="10">
        <v>17</v>
      </c>
      <c r="D239" s="10">
        <v>5</v>
      </c>
      <c r="E239" s="10">
        <v>776</v>
      </c>
      <c r="F239" s="10">
        <v>44597525.216911286</v>
      </c>
      <c r="G239" s="10">
        <v>1466</v>
      </c>
      <c r="H239" s="10">
        <v>15</v>
      </c>
      <c r="I239" s="10">
        <v>4</v>
      </c>
      <c r="J239" s="10">
        <v>830</v>
      </c>
      <c r="K239" s="10">
        <v>20982116.655013431</v>
      </c>
    </row>
    <row r="240" spans="1:11" x14ac:dyDescent="0.35">
      <c r="A240" s="9" t="s">
        <v>307</v>
      </c>
      <c r="B240" s="10">
        <v>3116</v>
      </c>
      <c r="C240" s="10">
        <v>41</v>
      </c>
      <c r="D240" s="10">
        <v>5</v>
      </c>
      <c r="E240" s="10">
        <v>1431</v>
      </c>
      <c r="F240" s="10">
        <v>82475945.556131303</v>
      </c>
      <c r="G240" s="10">
        <v>2813</v>
      </c>
      <c r="H240" s="10">
        <v>55</v>
      </c>
      <c r="I240" s="10">
        <v>5</v>
      </c>
      <c r="J240" s="10">
        <v>1926</v>
      </c>
      <c r="K240" s="10">
        <v>66089913.187084705</v>
      </c>
    </row>
    <row r="241" spans="1:11" x14ac:dyDescent="0.35">
      <c r="A241" s="9" t="s">
        <v>308</v>
      </c>
      <c r="B241" s="10">
        <v>263</v>
      </c>
      <c r="C241" s="10">
        <v>5</v>
      </c>
      <c r="D241" s="10">
        <v>0</v>
      </c>
      <c r="E241" s="10">
        <v>183</v>
      </c>
      <c r="F241" s="10">
        <v>6323242.4453040501</v>
      </c>
      <c r="G241" s="10">
        <v>278</v>
      </c>
      <c r="H241" s="10">
        <v>2</v>
      </c>
      <c r="I241" s="10">
        <v>1</v>
      </c>
      <c r="J241" s="10">
        <v>213</v>
      </c>
      <c r="K241" s="10">
        <v>3044063.7294430882</v>
      </c>
    </row>
    <row r="242" spans="1:11" x14ac:dyDescent="0.35">
      <c r="A242" s="9" t="s">
        <v>309</v>
      </c>
      <c r="B242" s="10">
        <v>1267</v>
      </c>
      <c r="C242" s="10">
        <v>16</v>
      </c>
      <c r="D242" s="10">
        <v>6</v>
      </c>
      <c r="E242" s="10">
        <v>610</v>
      </c>
      <c r="F242" s="10">
        <v>25011256.783326905</v>
      </c>
      <c r="G242" s="10">
        <v>1437</v>
      </c>
      <c r="H242" s="10">
        <v>18</v>
      </c>
      <c r="I242" s="10">
        <v>6</v>
      </c>
      <c r="J242" s="10">
        <v>669</v>
      </c>
      <c r="K242" s="10">
        <v>3506232.695819906</v>
      </c>
    </row>
    <row r="243" spans="1:11" x14ac:dyDescent="0.35">
      <c r="A243" s="9" t="s">
        <v>310</v>
      </c>
      <c r="B243" s="10">
        <v>1134</v>
      </c>
      <c r="C243" s="10">
        <v>22</v>
      </c>
      <c r="D243" s="10">
        <v>1</v>
      </c>
      <c r="E243" s="10">
        <v>510</v>
      </c>
      <c r="F243" s="10">
        <v>24738719.346377488</v>
      </c>
      <c r="G243" s="10">
        <v>1168</v>
      </c>
      <c r="H243" s="10">
        <v>9</v>
      </c>
      <c r="I243" s="10">
        <v>1</v>
      </c>
      <c r="J243" s="10">
        <v>508</v>
      </c>
      <c r="K243" s="10">
        <v>3445409.8708151388</v>
      </c>
    </row>
    <row r="244" spans="1:11" x14ac:dyDescent="0.35">
      <c r="A244" s="9" t="s">
        <v>311</v>
      </c>
      <c r="B244" s="10">
        <v>1593</v>
      </c>
      <c r="C244" s="10">
        <v>12</v>
      </c>
      <c r="D244" s="10">
        <v>3</v>
      </c>
      <c r="E244" s="10">
        <v>884</v>
      </c>
      <c r="F244" s="10">
        <v>40968416.39667505</v>
      </c>
      <c r="G244" s="10">
        <v>1749</v>
      </c>
      <c r="H244" s="10">
        <v>6</v>
      </c>
      <c r="I244" s="10">
        <v>4</v>
      </c>
      <c r="J244" s="10">
        <v>819</v>
      </c>
      <c r="K244" s="10">
        <v>9851390.7908806466</v>
      </c>
    </row>
    <row r="245" spans="1:11" x14ac:dyDescent="0.35">
      <c r="A245" s="9" t="s">
        <v>312</v>
      </c>
      <c r="B245" s="10">
        <v>632</v>
      </c>
      <c r="C245" s="10">
        <v>8</v>
      </c>
      <c r="D245" s="10">
        <v>1</v>
      </c>
      <c r="E245" s="10">
        <v>352</v>
      </c>
      <c r="F245" s="10">
        <v>24556993.902783744</v>
      </c>
      <c r="G245" s="10">
        <v>692</v>
      </c>
      <c r="H245" s="10">
        <v>6</v>
      </c>
      <c r="I245" s="10">
        <v>1</v>
      </c>
      <c r="J245" s="10">
        <v>336</v>
      </c>
      <c r="K245" s="10">
        <v>15090588.614545928</v>
      </c>
    </row>
    <row r="246" spans="1:11" x14ac:dyDescent="0.35">
      <c r="A246" s="9" t="s">
        <v>313</v>
      </c>
      <c r="B246" s="10">
        <v>1714</v>
      </c>
      <c r="C246" s="10">
        <v>14</v>
      </c>
      <c r="D246" s="10">
        <v>3</v>
      </c>
      <c r="E246" s="10">
        <v>988</v>
      </c>
      <c r="F246" s="10">
        <v>30573549.517063327</v>
      </c>
      <c r="G246" s="10">
        <v>1780</v>
      </c>
      <c r="H246" s="10">
        <v>9</v>
      </c>
      <c r="I246" s="10">
        <v>4</v>
      </c>
      <c r="J246" s="10">
        <v>978</v>
      </c>
      <c r="K246" s="10">
        <v>8800070.5280884709</v>
      </c>
    </row>
    <row r="247" spans="1:11" x14ac:dyDescent="0.35">
      <c r="A247" s="9" t="s">
        <v>314</v>
      </c>
      <c r="B247" s="10">
        <v>2826</v>
      </c>
      <c r="C247" s="10">
        <v>136</v>
      </c>
      <c r="D247" s="10">
        <v>4</v>
      </c>
      <c r="E247" s="10">
        <v>1508</v>
      </c>
      <c r="F247" s="10">
        <v>43540921.459060818</v>
      </c>
      <c r="G247" s="10">
        <v>2792</v>
      </c>
      <c r="H247" s="10">
        <v>20</v>
      </c>
      <c r="I247" s="10">
        <v>6</v>
      </c>
      <c r="J247" s="10">
        <v>1477</v>
      </c>
      <c r="K247" s="10">
        <v>4296463.565642192</v>
      </c>
    </row>
    <row r="248" spans="1:11" x14ac:dyDescent="0.35">
      <c r="A248" s="9" t="s">
        <v>315</v>
      </c>
      <c r="B248" s="10">
        <v>1652</v>
      </c>
      <c r="C248" s="10">
        <v>14</v>
      </c>
      <c r="D248" s="10">
        <v>3</v>
      </c>
      <c r="E248" s="10">
        <v>955</v>
      </c>
      <c r="F248" s="10">
        <v>47463158.552544467</v>
      </c>
      <c r="G248" s="10">
        <v>1790</v>
      </c>
      <c r="H248" s="10">
        <v>19</v>
      </c>
      <c r="I248" s="10">
        <v>7</v>
      </c>
      <c r="J248" s="10">
        <v>1061</v>
      </c>
      <c r="K248" s="10">
        <v>31038063.985391293</v>
      </c>
    </row>
    <row r="249" spans="1:11" x14ac:dyDescent="0.35">
      <c r="A249" s="9" t="s">
        <v>316</v>
      </c>
      <c r="B249" s="10">
        <v>881</v>
      </c>
      <c r="C249" s="10">
        <v>14</v>
      </c>
      <c r="D249" s="10">
        <v>3</v>
      </c>
      <c r="E249" s="10">
        <v>561</v>
      </c>
      <c r="F249" s="10">
        <v>26189482.069283798</v>
      </c>
      <c r="G249" s="10">
        <v>819</v>
      </c>
      <c r="H249" s="10">
        <v>7</v>
      </c>
      <c r="I249" s="10">
        <v>3</v>
      </c>
      <c r="J249" s="10">
        <v>532</v>
      </c>
      <c r="K249" s="10">
        <v>18380354.314853713</v>
      </c>
    </row>
    <row r="250" spans="1:11" x14ac:dyDescent="0.35">
      <c r="A250" s="9" t="s">
        <v>317</v>
      </c>
      <c r="B250" s="10">
        <v>1144</v>
      </c>
      <c r="C250" s="10">
        <v>17</v>
      </c>
      <c r="D250" s="10">
        <v>3</v>
      </c>
      <c r="E250" s="10">
        <v>670</v>
      </c>
      <c r="F250" s="10">
        <v>42073838.012729436</v>
      </c>
      <c r="G250" s="10">
        <v>1180</v>
      </c>
      <c r="H250" s="10">
        <v>10</v>
      </c>
      <c r="I250" s="10">
        <v>3</v>
      </c>
      <c r="J250" s="10">
        <v>704</v>
      </c>
      <c r="K250" s="10">
        <v>31519334.774624377</v>
      </c>
    </row>
    <row r="251" spans="1:11" x14ac:dyDescent="0.35">
      <c r="A251" s="9" t="s">
        <v>318</v>
      </c>
      <c r="B251" s="10">
        <v>2157</v>
      </c>
      <c r="C251" s="10">
        <v>28</v>
      </c>
      <c r="D251" s="10">
        <v>0</v>
      </c>
      <c r="E251" s="10">
        <v>1038</v>
      </c>
      <c r="F251" s="10">
        <v>48864327.384862512</v>
      </c>
      <c r="G251" s="10">
        <v>2229</v>
      </c>
      <c r="H251" s="10">
        <v>11</v>
      </c>
      <c r="I251" s="10">
        <v>1</v>
      </c>
      <c r="J251" s="10">
        <v>1013</v>
      </c>
      <c r="K251" s="10">
        <v>2520292.7698363299</v>
      </c>
    </row>
    <row r="252" spans="1:11" x14ac:dyDescent="0.35">
      <c r="A252" s="9" t="s">
        <v>319</v>
      </c>
      <c r="B252" s="10">
        <v>1677</v>
      </c>
      <c r="C252" s="10">
        <v>111</v>
      </c>
      <c r="D252" s="10">
        <v>4</v>
      </c>
      <c r="E252" s="10">
        <v>829</v>
      </c>
      <c r="F252" s="10">
        <v>31254318.104634684</v>
      </c>
      <c r="G252" s="10">
        <v>1517</v>
      </c>
      <c r="H252" s="10">
        <v>15</v>
      </c>
      <c r="I252" s="10">
        <v>5</v>
      </c>
      <c r="J252" s="10">
        <v>803</v>
      </c>
      <c r="K252" s="10">
        <v>12118343.032142082</v>
      </c>
    </row>
    <row r="253" spans="1:11" x14ac:dyDescent="0.35">
      <c r="A253" s="9" t="s">
        <v>320</v>
      </c>
      <c r="B253" s="10">
        <v>1215</v>
      </c>
      <c r="C253" s="10">
        <v>11</v>
      </c>
      <c r="D253" s="10">
        <v>5</v>
      </c>
      <c r="E253" s="10">
        <v>676</v>
      </c>
      <c r="F253" s="10">
        <v>26381815.7806492</v>
      </c>
      <c r="G253" s="10">
        <v>1207</v>
      </c>
      <c r="H253" s="10">
        <v>5</v>
      </c>
      <c r="I253" s="10">
        <v>5</v>
      </c>
      <c r="J253" s="10">
        <v>652</v>
      </c>
      <c r="K253" s="10">
        <v>3593816.3807002022</v>
      </c>
    </row>
    <row r="254" spans="1:11" x14ac:dyDescent="0.35">
      <c r="A254" s="9" t="s">
        <v>321</v>
      </c>
      <c r="B254" s="10">
        <v>1393</v>
      </c>
      <c r="C254" s="10">
        <v>74</v>
      </c>
      <c r="D254" s="10">
        <v>7</v>
      </c>
      <c r="E254" s="10">
        <v>954</v>
      </c>
      <c r="F254" s="10">
        <v>40586461.486686602</v>
      </c>
      <c r="G254" s="10">
        <v>1355</v>
      </c>
      <c r="H254" s="10">
        <v>43</v>
      </c>
      <c r="I254" s="10">
        <v>6</v>
      </c>
      <c r="J254" s="10">
        <v>915</v>
      </c>
      <c r="K254" s="10">
        <v>23110283.798182376</v>
      </c>
    </row>
    <row r="255" spans="1:11" x14ac:dyDescent="0.35">
      <c r="A255" s="9" t="s">
        <v>322</v>
      </c>
      <c r="B255" s="10">
        <v>3514</v>
      </c>
      <c r="C255" s="10">
        <v>900</v>
      </c>
      <c r="D255" s="10">
        <v>7</v>
      </c>
      <c r="E255" s="10">
        <v>1470</v>
      </c>
      <c r="F255" s="10">
        <v>49087029.362289362</v>
      </c>
      <c r="G255" s="10">
        <v>4055</v>
      </c>
      <c r="H255" s="10">
        <v>583</v>
      </c>
      <c r="I255" s="10">
        <v>7</v>
      </c>
      <c r="J255" s="10">
        <v>1062</v>
      </c>
      <c r="K255" s="10">
        <v>33389787.119372834</v>
      </c>
    </row>
    <row r="256" spans="1:11" x14ac:dyDescent="0.35">
      <c r="A256" s="9" t="s">
        <v>323</v>
      </c>
      <c r="B256" s="10">
        <v>1698</v>
      </c>
      <c r="C256" s="10">
        <v>18</v>
      </c>
      <c r="D256" s="10">
        <v>6</v>
      </c>
      <c r="E256" s="10">
        <v>947</v>
      </c>
      <c r="F256" s="10">
        <v>41841969.563241422</v>
      </c>
      <c r="G256" s="10">
        <v>1952</v>
      </c>
      <c r="H256" s="10">
        <v>79</v>
      </c>
      <c r="I256" s="10">
        <v>6</v>
      </c>
      <c r="J256" s="10">
        <v>1018</v>
      </c>
      <c r="K256" s="10">
        <v>21965801.286992349</v>
      </c>
    </row>
    <row r="257" spans="1:11" x14ac:dyDescent="0.35">
      <c r="A257" s="9" t="s">
        <v>324</v>
      </c>
      <c r="B257" s="10">
        <v>1565</v>
      </c>
      <c r="C257" s="10">
        <v>11</v>
      </c>
      <c r="D257" s="10">
        <v>6</v>
      </c>
      <c r="E257" s="10">
        <v>855</v>
      </c>
      <c r="F257" s="10">
        <v>41621770.934140459</v>
      </c>
      <c r="G257" s="10">
        <v>1607</v>
      </c>
      <c r="H257" s="10">
        <v>15</v>
      </c>
      <c r="I257" s="10">
        <v>8</v>
      </c>
      <c r="J257" s="10">
        <v>890</v>
      </c>
      <c r="K257" s="10">
        <v>15751435.988018</v>
      </c>
    </row>
    <row r="258" spans="1:11" x14ac:dyDescent="0.35">
      <c r="A258" s="9" t="s">
        <v>325</v>
      </c>
      <c r="B258" s="10">
        <v>1775</v>
      </c>
      <c r="C258" s="10">
        <v>26</v>
      </c>
      <c r="D258" s="10">
        <v>5</v>
      </c>
      <c r="E258" s="10">
        <v>971</v>
      </c>
      <c r="F258" s="10">
        <v>45843525.747275956</v>
      </c>
      <c r="G258" s="10">
        <v>1884</v>
      </c>
      <c r="H258" s="10">
        <v>23</v>
      </c>
      <c r="I258" s="10">
        <v>6</v>
      </c>
      <c r="J258" s="10">
        <v>1044</v>
      </c>
      <c r="K258" s="10">
        <v>21568809.791713752</v>
      </c>
    </row>
    <row r="259" spans="1:11" x14ac:dyDescent="0.35">
      <c r="A259" s="9" t="s">
        <v>326</v>
      </c>
      <c r="B259" s="10">
        <v>1699</v>
      </c>
      <c r="C259" s="10">
        <v>10</v>
      </c>
      <c r="D259" s="10">
        <v>2</v>
      </c>
      <c r="E259" s="10">
        <v>833</v>
      </c>
      <c r="F259" s="10">
        <v>23388435.494324129</v>
      </c>
      <c r="G259" s="10">
        <v>1709</v>
      </c>
      <c r="H259" s="10">
        <v>12</v>
      </c>
      <c r="I259" s="10">
        <v>4</v>
      </c>
      <c r="J259" s="10">
        <v>850</v>
      </c>
      <c r="K259" s="10">
        <v>3375292.4166568541</v>
      </c>
    </row>
    <row r="260" spans="1:11" x14ac:dyDescent="0.35">
      <c r="A260" s="9" t="s">
        <v>327</v>
      </c>
      <c r="B260" s="10">
        <v>1622</v>
      </c>
      <c r="C260" s="10">
        <v>17</v>
      </c>
      <c r="D260" s="10">
        <v>1</v>
      </c>
      <c r="E260" s="10">
        <v>786</v>
      </c>
      <c r="F260" s="10">
        <v>36966456.439161547</v>
      </c>
      <c r="G260" s="10">
        <v>1663</v>
      </c>
      <c r="H260" s="10">
        <v>8</v>
      </c>
      <c r="I260" s="10">
        <v>1</v>
      </c>
      <c r="J260" s="10">
        <v>744</v>
      </c>
      <c r="K260" s="10">
        <v>1891867.3435470471</v>
      </c>
    </row>
    <row r="261" spans="1:11" x14ac:dyDescent="0.35">
      <c r="A261" s="9" t="s">
        <v>328</v>
      </c>
      <c r="B261" s="10">
        <v>2641</v>
      </c>
      <c r="C261" s="10">
        <v>39</v>
      </c>
      <c r="D261" s="10">
        <v>8</v>
      </c>
      <c r="E261" s="10">
        <v>1659</v>
      </c>
      <c r="F261" s="10">
        <v>67523338.146144837</v>
      </c>
      <c r="G261" s="10">
        <v>2707</v>
      </c>
      <c r="H261" s="10">
        <v>92</v>
      </c>
      <c r="I261" s="10">
        <v>6</v>
      </c>
      <c r="J261" s="10">
        <v>1588</v>
      </c>
      <c r="K261" s="10">
        <v>35811722.887449346</v>
      </c>
    </row>
    <row r="262" spans="1:11" x14ac:dyDescent="0.35">
      <c r="A262" s="9" t="s">
        <v>329</v>
      </c>
      <c r="B262" s="10">
        <v>3796</v>
      </c>
      <c r="C262" s="10">
        <v>52</v>
      </c>
      <c r="D262" s="10">
        <v>14</v>
      </c>
      <c r="E262" s="10">
        <v>2211</v>
      </c>
      <c r="F262" s="10">
        <v>101285114.16818494</v>
      </c>
      <c r="G262" s="10">
        <v>3663</v>
      </c>
      <c r="H262" s="10">
        <v>42</v>
      </c>
      <c r="I262" s="10">
        <v>14</v>
      </c>
      <c r="J262" s="10">
        <v>2186</v>
      </c>
      <c r="K262" s="10">
        <v>47227388.041415922</v>
      </c>
    </row>
    <row r="263" spans="1:11" x14ac:dyDescent="0.35">
      <c r="A263" s="9" t="s">
        <v>330</v>
      </c>
      <c r="B263" s="10">
        <v>1763</v>
      </c>
      <c r="C263" s="10">
        <v>23</v>
      </c>
      <c r="D263" s="10">
        <v>5</v>
      </c>
      <c r="E263" s="10">
        <v>958</v>
      </c>
      <c r="F263" s="10">
        <v>58600751.772914253</v>
      </c>
      <c r="G263" s="10">
        <v>1843</v>
      </c>
      <c r="H263" s="10">
        <v>26</v>
      </c>
      <c r="I263" s="10">
        <v>4</v>
      </c>
      <c r="J263" s="10">
        <v>956</v>
      </c>
      <c r="K263" s="10">
        <v>32871106.279203013</v>
      </c>
    </row>
    <row r="264" spans="1:11" x14ac:dyDescent="0.35">
      <c r="A264" s="9" t="s">
        <v>331</v>
      </c>
      <c r="B264" s="10">
        <v>1151</v>
      </c>
      <c r="C264" s="10">
        <v>11</v>
      </c>
      <c r="D264" s="10">
        <v>4</v>
      </c>
      <c r="E264" s="10">
        <v>642</v>
      </c>
      <c r="F264" s="10">
        <v>27010118.005896233</v>
      </c>
      <c r="G264" s="10">
        <v>1155</v>
      </c>
      <c r="H264" s="10">
        <v>24</v>
      </c>
      <c r="I264" s="10">
        <v>4</v>
      </c>
      <c r="J264" s="10">
        <v>675</v>
      </c>
      <c r="K264" s="10">
        <v>12351737.535506388</v>
      </c>
    </row>
    <row r="265" spans="1:11" x14ac:dyDescent="0.35">
      <c r="A265" s="9" t="s">
        <v>332</v>
      </c>
      <c r="B265" s="10">
        <v>2230</v>
      </c>
      <c r="C265" s="10">
        <v>45</v>
      </c>
      <c r="D265" s="10">
        <v>6</v>
      </c>
      <c r="E265" s="10">
        <v>1339</v>
      </c>
      <c r="F265" s="10">
        <v>79576371.121774256</v>
      </c>
      <c r="G265" s="10">
        <v>2029</v>
      </c>
      <c r="H265" s="10">
        <v>38</v>
      </c>
      <c r="I265" s="10">
        <v>5</v>
      </c>
      <c r="J265" s="10">
        <v>1322</v>
      </c>
      <c r="K265" s="10">
        <v>36263468.1408953</v>
      </c>
    </row>
    <row r="266" spans="1:11" x14ac:dyDescent="0.35">
      <c r="A266" s="9" t="s">
        <v>333</v>
      </c>
      <c r="B266" s="10">
        <v>1438</v>
      </c>
      <c r="C266" s="10">
        <v>9</v>
      </c>
      <c r="D266" s="10">
        <v>1</v>
      </c>
      <c r="E266" s="10">
        <v>728</v>
      </c>
      <c r="F266" s="10">
        <v>19973681.984719727</v>
      </c>
      <c r="G266" s="10">
        <v>1473</v>
      </c>
      <c r="H266" s="10">
        <v>8</v>
      </c>
      <c r="I266" s="10">
        <v>1</v>
      </c>
      <c r="J266" s="10">
        <v>707</v>
      </c>
      <c r="K266" s="10">
        <v>1709174.859399843</v>
      </c>
    </row>
    <row r="267" spans="1:11" x14ac:dyDescent="0.35">
      <c r="A267" s="9" t="s">
        <v>334</v>
      </c>
      <c r="B267" s="10">
        <v>3317</v>
      </c>
      <c r="C267" s="10">
        <v>159</v>
      </c>
      <c r="D267" s="10">
        <v>6</v>
      </c>
      <c r="E267" s="10">
        <v>2067</v>
      </c>
      <c r="F267" s="10">
        <v>82634588.810526505</v>
      </c>
      <c r="G267" s="10">
        <v>3217</v>
      </c>
      <c r="H267" s="10">
        <v>167</v>
      </c>
      <c r="I267" s="10">
        <v>6</v>
      </c>
      <c r="J267" s="10">
        <v>2173</v>
      </c>
      <c r="K267" s="10">
        <v>45322358.01218684</v>
      </c>
    </row>
    <row r="268" spans="1:11" x14ac:dyDescent="0.35">
      <c r="A268" s="9" t="s">
        <v>335</v>
      </c>
      <c r="B268" s="10">
        <v>2662</v>
      </c>
      <c r="C268" s="10">
        <v>25</v>
      </c>
      <c r="D268" s="10">
        <v>6</v>
      </c>
      <c r="E268" s="10">
        <v>1431</v>
      </c>
      <c r="F268" s="10">
        <v>83470300.294703379</v>
      </c>
      <c r="G268" s="10">
        <v>2995</v>
      </c>
      <c r="H268" s="10">
        <v>56</v>
      </c>
      <c r="I268" s="10">
        <v>7</v>
      </c>
      <c r="J268" s="10">
        <v>1563</v>
      </c>
      <c r="K268" s="10">
        <v>40178635.998641036</v>
      </c>
    </row>
    <row r="269" spans="1:11" x14ac:dyDescent="0.35">
      <c r="A269" s="9" t="s">
        <v>336</v>
      </c>
      <c r="B269" s="10">
        <v>1209</v>
      </c>
      <c r="C269" s="10">
        <v>14</v>
      </c>
      <c r="D269" s="10">
        <v>3</v>
      </c>
      <c r="E269" s="10">
        <v>665</v>
      </c>
      <c r="F269" s="10">
        <v>24286690.399526872</v>
      </c>
      <c r="G269" s="10">
        <v>1164</v>
      </c>
      <c r="H269" s="10">
        <v>9</v>
      </c>
      <c r="I269" s="10">
        <v>3</v>
      </c>
      <c r="J269" s="10">
        <v>615</v>
      </c>
      <c r="K269" s="10">
        <v>3266219.1936499309</v>
      </c>
    </row>
    <row r="270" spans="1:11" x14ac:dyDescent="0.35">
      <c r="A270" s="9" t="s">
        <v>337</v>
      </c>
      <c r="B270" s="10">
        <v>1998</v>
      </c>
      <c r="C270" s="10">
        <v>22</v>
      </c>
      <c r="D270" s="10">
        <v>6</v>
      </c>
      <c r="E270" s="10">
        <v>1398</v>
      </c>
      <c r="F270" s="10">
        <v>52369363.912124157</v>
      </c>
      <c r="G270" s="10">
        <v>1595</v>
      </c>
      <c r="H270" s="10">
        <v>23</v>
      </c>
      <c r="I270" s="10">
        <v>5</v>
      </c>
      <c r="J270" s="10">
        <v>1238</v>
      </c>
      <c r="K270" s="10">
        <v>23215369.979211401</v>
      </c>
    </row>
    <row r="271" spans="1:11" x14ac:dyDescent="0.35">
      <c r="A271" s="9" t="s">
        <v>338</v>
      </c>
      <c r="B271" s="10">
        <v>2284</v>
      </c>
      <c r="C271" s="10">
        <v>50</v>
      </c>
      <c r="D271" s="10">
        <v>5</v>
      </c>
      <c r="E271" s="10">
        <v>1430</v>
      </c>
      <c r="F271" s="10">
        <v>61384048.334330276</v>
      </c>
      <c r="G271" s="10">
        <v>2320</v>
      </c>
      <c r="H271" s="10">
        <v>22</v>
      </c>
      <c r="I271" s="10">
        <v>5</v>
      </c>
      <c r="J271" s="10">
        <v>1438</v>
      </c>
      <c r="K271" s="10">
        <v>35759921.655557469</v>
      </c>
    </row>
    <row r="272" spans="1:11" x14ac:dyDescent="0.35">
      <c r="A272" s="9" t="s">
        <v>339</v>
      </c>
      <c r="B272" s="10">
        <v>921</v>
      </c>
      <c r="C272" s="10">
        <v>12</v>
      </c>
      <c r="D272" s="10">
        <v>2</v>
      </c>
      <c r="E272" s="10">
        <v>612</v>
      </c>
      <c r="F272" s="10">
        <v>29705807.091421343</v>
      </c>
      <c r="G272" s="10">
        <v>865</v>
      </c>
      <c r="H272" s="10">
        <v>10</v>
      </c>
      <c r="I272" s="10">
        <v>2</v>
      </c>
      <c r="J272" s="10">
        <v>609</v>
      </c>
      <c r="K272" s="10">
        <v>15043108.810043279</v>
      </c>
    </row>
    <row r="273" spans="1:11" x14ac:dyDescent="0.35">
      <c r="A273" s="9" t="s">
        <v>340</v>
      </c>
      <c r="B273" s="10">
        <v>1846</v>
      </c>
      <c r="C273" s="10">
        <v>18</v>
      </c>
      <c r="D273" s="10">
        <v>2</v>
      </c>
      <c r="E273" s="10">
        <v>858</v>
      </c>
      <c r="F273" s="10">
        <v>34145926.159315169</v>
      </c>
      <c r="G273" s="10">
        <v>1970</v>
      </c>
      <c r="H273" s="10">
        <v>26</v>
      </c>
      <c r="I273" s="10">
        <v>2</v>
      </c>
      <c r="J273" s="10">
        <v>971</v>
      </c>
      <c r="K273" s="10">
        <v>7706064.019823364</v>
      </c>
    </row>
    <row r="274" spans="1:11" x14ac:dyDescent="0.35">
      <c r="A274" s="9" t="s">
        <v>341</v>
      </c>
      <c r="B274" s="10">
        <v>2476</v>
      </c>
      <c r="C274" s="10">
        <v>24</v>
      </c>
      <c r="D274" s="10">
        <v>3</v>
      </c>
      <c r="E274" s="10">
        <v>1119</v>
      </c>
      <c r="F274" s="10">
        <v>63725858.890336521</v>
      </c>
      <c r="G274" s="10">
        <v>2529</v>
      </c>
      <c r="H274" s="10">
        <v>13</v>
      </c>
      <c r="I274" s="10">
        <v>5</v>
      </c>
      <c r="J274" s="10">
        <v>1089</v>
      </c>
      <c r="K274" s="10">
        <v>6121773.7759494493</v>
      </c>
    </row>
    <row r="275" spans="1:11" x14ac:dyDescent="0.35">
      <c r="A275" s="9" t="s">
        <v>342</v>
      </c>
      <c r="B275" s="10">
        <v>1739</v>
      </c>
      <c r="C275" s="10">
        <v>27</v>
      </c>
      <c r="D275" s="10">
        <v>4</v>
      </c>
      <c r="E275" s="10">
        <v>1078</v>
      </c>
      <c r="F275" s="10">
        <v>60085395.928216934</v>
      </c>
      <c r="G275" s="10">
        <v>1661</v>
      </c>
      <c r="H275" s="10">
        <v>24</v>
      </c>
      <c r="I275" s="10">
        <v>5</v>
      </c>
      <c r="J275" s="10">
        <v>1128</v>
      </c>
      <c r="K275" s="10">
        <v>30619653.59507326</v>
      </c>
    </row>
    <row r="276" spans="1:11" x14ac:dyDescent="0.35">
      <c r="A276" s="9" t="s">
        <v>343</v>
      </c>
      <c r="B276" s="10">
        <v>1188</v>
      </c>
      <c r="C276" s="10">
        <v>13</v>
      </c>
      <c r="D276" s="10">
        <v>2</v>
      </c>
      <c r="E276" s="10">
        <v>662</v>
      </c>
      <c r="F276" s="10">
        <v>22814985.999275997</v>
      </c>
      <c r="G276" s="10">
        <v>1197</v>
      </c>
      <c r="H276" s="10">
        <v>14</v>
      </c>
      <c r="I276" s="10">
        <v>2</v>
      </c>
      <c r="J276" s="10">
        <v>815</v>
      </c>
      <c r="K276" s="10">
        <v>2703292.6974247368</v>
      </c>
    </row>
    <row r="277" spans="1:11" x14ac:dyDescent="0.35">
      <c r="A277" s="9" t="s">
        <v>344</v>
      </c>
      <c r="B277" s="10">
        <v>1556</v>
      </c>
      <c r="C277" s="10">
        <v>10</v>
      </c>
      <c r="D277" s="10">
        <v>9</v>
      </c>
      <c r="E277" s="10">
        <v>968</v>
      </c>
      <c r="F277" s="10">
        <v>49758969.089848787</v>
      </c>
      <c r="G277" s="10">
        <v>1572</v>
      </c>
      <c r="H277" s="10">
        <v>17</v>
      </c>
      <c r="I277" s="10">
        <v>7</v>
      </c>
      <c r="J277" s="10">
        <v>934</v>
      </c>
      <c r="K277" s="10">
        <v>21078253.7547502</v>
      </c>
    </row>
    <row r="278" spans="1:11" x14ac:dyDescent="0.35">
      <c r="A278" s="9" t="s">
        <v>345</v>
      </c>
      <c r="B278" s="10">
        <v>1217</v>
      </c>
      <c r="C278" s="10">
        <v>9</v>
      </c>
      <c r="D278" s="10">
        <v>6</v>
      </c>
      <c r="E278" s="10">
        <v>529</v>
      </c>
      <c r="F278" s="10">
        <v>20148249.569234911</v>
      </c>
      <c r="G278" s="10">
        <v>1355</v>
      </c>
      <c r="H278" s="10">
        <v>124</v>
      </c>
      <c r="I278" s="10">
        <v>7</v>
      </c>
      <c r="J278" s="10">
        <v>541</v>
      </c>
      <c r="K278" s="10">
        <v>4742832.8168879226</v>
      </c>
    </row>
    <row r="279" spans="1:11" x14ac:dyDescent="0.35">
      <c r="A279" s="9" t="s">
        <v>346</v>
      </c>
      <c r="B279" s="10">
        <v>533</v>
      </c>
      <c r="C279" s="10">
        <v>8</v>
      </c>
      <c r="D279" s="10">
        <v>3</v>
      </c>
      <c r="E279" s="10">
        <v>292</v>
      </c>
      <c r="F279" s="10">
        <v>20449648.615536824</v>
      </c>
      <c r="G279" s="10">
        <v>505</v>
      </c>
      <c r="H279" s="10">
        <v>5</v>
      </c>
      <c r="I279" s="10">
        <v>3</v>
      </c>
      <c r="J279" s="10">
        <v>273</v>
      </c>
      <c r="K279" s="10">
        <v>7604133.2594369929</v>
      </c>
    </row>
    <row r="280" spans="1:11" x14ac:dyDescent="0.35">
      <c r="A280" s="9" t="s">
        <v>347</v>
      </c>
      <c r="B280" s="10">
        <v>733</v>
      </c>
      <c r="C280" s="10">
        <v>13</v>
      </c>
      <c r="D280" s="10">
        <v>8</v>
      </c>
      <c r="E280" s="10">
        <v>319</v>
      </c>
      <c r="F280" s="10">
        <v>21880737.82710081</v>
      </c>
      <c r="G280" s="10">
        <v>743</v>
      </c>
      <c r="H280" s="10">
        <v>7</v>
      </c>
      <c r="I280" s="10">
        <v>8</v>
      </c>
      <c r="J280" s="10">
        <v>347</v>
      </c>
      <c r="K280" s="10">
        <v>6056366.0119816074</v>
      </c>
    </row>
    <row r="281" spans="1:11" x14ac:dyDescent="0.35">
      <c r="A281" s="9" t="s">
        <v>348</v>
      </c>
      <c r="B281" s="10">
        <v>1373</v>
      </c>
      <c r="C281" s="10">
        <v>12</v>
      </c>
      <c r="D281" s="10">
        <v>3</v>
      </c>
      <c r="E281" s="10">
        <v>752</v>
      </c>
      <c r="F281" s="10">
        <v>27650381.753143948</v>
      </c>
      <c r="G281" s="10">
        <v>1409</v>
      </c>
      <c r="H281" s="10">
        <v>8</v>
      </c>
      <c r="I281" s="10">
        <v>3</v>
      </c>
      <c r="J281" s="10">
        <v>707</v>
      </c>
      <c r="K281" s="10">
        <v>2616880.1329308408</v>
      </c>
    </row>
    <row r="282" spans="1:11" x14ac:dyDescent="0.35">
      <c r="A282" s="9" t="s">
        <v>349</v>
      </c>
      <c r="B282" s="10">
        <v>1207</v>
      </c>
      <c r="C282" s="10">
        <v>107</v>
      </c>
      <c r="D282" s="10">
        <v>5</v>
      </c>
      <c r="E282" s="10">
        <v>549</v>
      </c>
      <c r="F282" s="10">
        <v>18822525.543680537</v>
      </c>
      <c r="G282" s="10">
        <v>1041</v>
      </c>
      <c r="H282" s="10">
        <v>57</v>
      </c>
      <c r="I282" s="10">
        <v>6</v>
      </c>
      <c r="J282" s="10">
        <v>470</v>
      </c>
      <c r="K282" s="10">
        <v>3012996.9271118389</v>
      </c>
    </row>
    <row r="283" spans="1:11" x14ac:dyDescent="0.35">
      <c r="A283" s="9" t="s">
        <v>350</v>
      </c>
      <c r="B283" s="10">
        <v>500</v>
      </c>
      <c r="C283" s="10">
        <v>1</v>
      </c>
      <c r="D283" s="10">
        <v>2</v>
      </c>
      <c r="E283" s="10">
        <v>229</v>
      </c>
      <c r="F283" s="10">
        <v>9281713.6108184829</v>
      </c>
      <c r="G283" s="10">
        <v>462</v>
      </c>
      <c r="H283" s="10">
        <v>1</v>
      </c>
      <c r="I283" s="10">
        <v>2</v>
      </c>
      <c r="J283" s="10">
        <v>312</v>
      </c>
      <c r="K283" s="10">
        <v>791819.07901111594</v>
      </c>
    </row>
    <row r="284" spans="1:11" x14ac:dyDescent="0.35">
      <c r="A284" s="9" t="s">
        <v>351</v>
      </c>
      <c r="B284" s="10">
        <v>2110</v>
      </c>
      <c r="C284" s="10">
        <v>16</v>
      </c>
      <c r="D284" s="10">
        <v>3</v>
      </c>
      <c r="E284" s="10">
        <v>1191</v>
      </c>
      <c r="F284" s="10">
        <v>48690526.241551325</v>
      </c>
      <c r="G284" s="10">
        <v>2342</v>
      </c>
      <c r="H284" s="10">
        <v>45</v>
      </c>
      <c r="I284" s="10">
        <v>4</v>
      </c>
      <c r="J284" s="10">
        <v>1336</v>
      </c>
      <c r="K284" s="10">
        <v>5803385.5914610783</v>
      </c>
    </row>
    <row r="285" spans="1:11" x14ac:dyDescent="0.35">
      <c r="A285" s="9" t="s">
        <v>352</v>
      </c>
      <c r="B285" s="10">
        <v>3804</v>
      </c>
      <c r="C285" s="10">
        <v>46</v>
      </c>
      <c r="D285" s="10">
        <v>4</v>
      </c>
      <c r="E285" s="10">
        <v>1729</v>
      </c>
      <c r="F285" s="10">
        <v>74881102.068128452</v>
      </c>
      <c r="G285" s="10">
        <v>3875</v>
      </c>
      <c r="H285" s="10">
        <v>49</v>
      </c>
      <c r="I285" s="10">
        <v>4</v>
      </c>
      <c r="J285" s="10">
        <v>1837</v>
      </c>
      <c r="K285" s="10">
        <v>11061123.367244296</v>
      </c>
    </row>
    <row r="286" spans="1:11" x14ac:dyDescent="0.35">
      <c r="A286" s="9" t="s">
        <v>353</v>
      </c>
      <c r="B286" s="10">
        <v>753</v>
      </c>
      <c r="C286" s="10">
        <v>1</v>
      </c>
      <c r="D286" s="10">
        <v>29</v>
      </c>
      <c r="E286" s="10">
        <v>317</v>
      </c>
      <c r="F286" s="10">
        <v>27077023.157216467</v>
      </c>
      <c r="G286" s="10">
        <v>772</v>
      </c>
      <c r="H286" s="10">
        <v>0</v>
      </c>
      <c r="I286" s="10">
        <v>30</v>
      </c>
      <c r="J286" s="10">
        <v>348</v>
      </c>
      <c r="K286" s="10">
        <v>2642864.7181535591</v>
      </c>
    </row>
    <row r="287" spans="1:11" x14ac:dyDescent="0.35">
      <c r="A287" s="9" t="s">
        <v>354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</row>
    <row r="288" spans="1:11" x14ac:dyDescent="0.35">
      <c r="A288" s="9" t="s">
        <v>355</v>
      </c>
      <c r="B288" s="10">
        <v>1627</v>
      </c>
      <c r="C288" s="10">
        <v>2</v>
      </c>
      <c r="D288" s="10">
        <v>21</v>
      </c>
      <c r="E288" s="10">
        <v>917</v>
      </c>
      <c r="F288" s="10">
        <v>44967318.867820375</v>
      </c>
      <c r="G288" s="10">
        <v>1491</v>
      </c>
      <c r="H288" s="10">
        <v>7</v>
      </c>
      <c r="I288" s="10">
        <v>21</v>
      </c>
      <c r="J288" s="10">
        <v>846</v>
      </c>
      <c r="K288" s="10">
        <v>3875898.9409432369</v>
      </c>
    </row>
    <row r="289" spans="1:11" x14ac:dyDescent="0.35">
      <c r="A289" s="9" t="s">
        <v>356</v>
      </c>
      <c r="B289" s="10">
        <v>0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</row>
    <row r="290" spans="1:11" x14ac:dyDescent="0.35">
      <c r="A290" s="9" t="s">
        <v>357</v>
      </c>
      <c r="B290" s="10">
        <v>3526</v>
      </c>
      <c r="C290" s="10">
        <v>41</v>
      </c>
      <c r="D290" s="10">
        <v>10</v>
      </c>
      <c r="E290" s="10">
        <v>1773</v>
      </c>
      <c r="F290" s="10">
        <v>88721640.998137027</v>
      </c>
      <c r="G290" s="10">
        <v>3485</v>
      </c>
      <c r="H290" s="10">
        <v>20</v>
      </c>
      <c r="I290" s="10">
        <v>12</v>
      </c>
      <c r="J290" s="10">
        <v>1724</v>
      </c>
      <c r="K290" s="10">
        <v>8148168.913538848</v>
      </c>
    </row>
    <row r="291" spans="1:11" x14ac:dyDescent="0.35">
      <c r="A291" s="9" t="s">
        <v>358</v>
      </c>
      <c r="B291" s="10">
        <v>1262</v>
      </c>
      <c r="C291" s="10">
        <v>5</v>
      </c>
      <c r="D291" s="10">
        <v>3</v>
      </c>
      <c r="E291" s="10">
        <v>639</v>
      </c>
      <c r="F291" s="10">
        <v>32986588.483788755</v>
      </c>
      <c r="G291" s="10">
        <v>1384</v>
      </c>
      <c r="H291" s="10">
        <v>12</v>
      </c>
      <c r="I291" s="10">
        <v>4</v>
      </c>
      <c r="J291" s="10">
        <v>749</v>
      </c>
      <c r="K291" s="10">
        <v>3300879.9334857669</v>
      </c>
    </row>
    <row r="292" spans="1:11" x14ac:dyDescent="0.35">
      <c r="A292" s="9" t="s">
        <v>359</v>
      </c>
      <c r="B292" s="10">
        <v>3819</v>
      </c>
      <c r="C292" s="10">
        <v>29</v>
      </c>
      <c r="D292" s="10">
        <v>11</v>
      </c>
      <c r="E292" s="10">
        <v>1907</v>
      </c>
      <c r="F292" s="10">
        <v>102389800.11270899</v>
      </c>
      <c r="G292" s="10">
        <v>3680</v>
      </c>
      <c r="H292" s="10">
        <v>26</v>
      </c>
      <c r="I292" s="10">
        <v>9</v>
      </c>
      <c r="J292" s="10">
        <v>1837</v>
      </c>
      <c r="K292" s="10">
        <v>13168390.756640747</v>
      </c>
    </row>
    <row r="293" spans="1:11" x14ac:dyDescent="0.35">
      <c r="A293" s="9" t="s">
        <v>360</v>
      </c>
      <c r="B293" s="10">
        <v>1428</v>
      </c>
      <c r="C293" s="10">
        <v>6</v>
      </c>
      <c r="D293" s="10">
        <v>3</v>
      </c>
      <c r="E293" s="10">
        <v>674</v>
      </c>
      <c r="F293" s="10">
        <v>46164398.416278414</v>
      </c>
      <c r="G293" s="10">
        <v>1470</v>
      </c>
      <c r="H293" s="10">
        <v>3</v>
      </c>
      <c r="I293" s="10">
        <v>2</v>
      </c>
      <c r="J293" s="10">
        <v>663</v>
      </c>
      <c r="K293" s="10">
        <v>3475129.2787858471</v>
      </c>
    </row>
    <row r="294" spans="1:11" x14ac:dyDescent="0.35">
      <c r="A294" s="9" t="s">
        <v>361</v>
      </c>
      <c r="B294" s="10">
        <v>1585</v>
      </c>
      <c r="C294" s="10">
        <v>8</v>
      </c>
      <c r="D294" s="10">
        <v>1</v>
      </c>
      <c r="E294" s="10">
        <v>771</v>
      </c>
      <c r="F294" s="10">
        <v>41283405.437322922</v>
      </c>
      <c r="G294" s="10">
        <v>1628</v>
      </c>
      <c r="H294" s="10">
        <v>2</v>
      </c>
      <c r="I294" s="10">
        <v>1</v>
      </c>
      <c r="J294" s="10">
        <v>700</v>
      </c>
      <c r="K294" s="10">
        <v>2425761.6878903969</v>
      </c>
    </row>
    <row r="295" spans="1:11" x14ac:dyDescent="0.35">
      <c r="A295" s="9" t="s">
        <v>362</v>
      </c>
      <c r="B295" s="10">
        <v>2477</v>
      </c>
      <c r="C295" s="10">
        <v>27</v>
      </c>
      <c r="D295" s="10">
        <v>39</v>
      </c>
      <c r="E295" s="10">
        <v>1197</v>
      </c>
      <c r="F295" s="10">
        <v>111978300.13768446</v>
      </c>
      <c r="G295" s="10">
        <v>2406</v>
      </c>
      <c r="H295" s="10">
        <v>11</v>
      </c>
      <c r="I295" s="10">
        <v>40</v>
      </c>
      <c r="J295" s="10">
        <v>1214</v>
      </c>
      <c r="K295" s="10">
        <v>14882183.761624495</v>
      </c>
    </row>
    <row r="296" spans="1:11" x14ac:dyDescent="0.35">
      <c r="A296" s="9" t="s">
        <v>363</v>
      </c>
      <c r="B296" s="10">
        <v>1440</v>
      </c>
      <c r="C296" s="10">
        <v>4</v>
      </c>
      <c r="D296" s="10">
        <v>1</v>
      </c>
      <c r="E296" s="10">
        <v>731</v>
      </c>
      <c r="F296" s="10">
        <v>50670416.768635601</v>
      </c>
      <c r="G296" s="10">
        <v>1458</v>
      </c>
      <c r="H296" s="10">
        <v>5</v>
      </c>
      <c r="I296" s="10">
        <v>1</v>
      </c>
      <c r="J296" s="10">
        <v>616</v>
      </c>
      <c r="K296" s="10">
        <v>3033382.242801107</v>
      </c>
    </row>
    <row r="297" spans="1:11" x14ac:dyDescent="0.35">
      <c r="A297" s="9" t="s">
        <v>364</v>
      </c>
      <c r="B297" s="10">
        <v>1291</v>
      </c>
      <c r="C297" s="10">
        <v>4</v>
      </c>
      <c r="D297" s="10">
        <v>3</v>
      </c>
      <c r="E297" s="10">
        <v>566</v>
      </c>
      <c r="F297" s="10">
        <v>55893444.949399911</v>
      </c>
      <c r="G297" s="10">
        <v>1309</v>
      </c>
      <c r="H297" s="10">
        <v>3</v>
      </c>
      <c r="I297" s="10">
        <v>4</v>
      </c>
      <c r="J297" s="10">
        <v>567</v>
      </c>
      <c r="K297" s="10">
        <v>4753982.8056957377</v>
      </c>
    </row>
    <row r="298" spans="1:11" x14ac:dyDescent="0.35">
      <c r="A298" s="9" t="s">
        <v>365</v>
      </c>
      <c r="B298" s="10">
        <v>1012</v>
      </c>
      <c r="C298" s="10">
        <v>6</v>
      </c>
      <c r="D298" s="10">
        <v>5</v>
      </c>
      <c r="E298" s="10">
        <v>545</v>
      </c>
      <c r="F298" s="10">
        <v>34523707.823593259</v>
      </c>
      <c r="G298" s="10">
        <v>952</v>
      </c>
      <c r="H298" s="10">
        <v>4</v>
      </c>
      <c r="I298" s="10">
        <v>5</v>
      </c>
      <c r="J298" s="10">
        <v>499</v>
      </c>
      <c r="K298" s="10">
        <v>3771239.4668493979</v>
      </c>
    </row>
    <row r="299" spans="1:11" x14ac:dyDescent="0.35">
      <c r="A299" s="9" t="s">
        <v>366</v>
      </c>
      <c r="B299" s="10">
        <v>1865</v>
      </c>
      <c r="C299" s="10">
        <v>12</v>
      </c>
      <c r="D299" s="10">
        <v>9</v>
      </c>
      <c r="E299" s="10">
        <v>841</v>
      </c>
      <c r="F299" s="10">
        <v>76590759.412286431</v>
      </c>
      <c r="G299" s="10">
        <v>1898</v>
      </c>
      <c r="H299" s="10">
        <v>8</v>
      </c>
      <c r="I299" s="10">
        <v>10</v>
      </c>
      <c r="J299" s="10">
        <v>871</v>
      </c>
      <c r="K299" s="10">
        <v>6874071.5246293321</v>
      </c>
    </row>
    <row r="300" spans="1:11" x14ac:dyDescent="0.35">
      <c r="A300" s="9" t="s">
        <v>367</v>
      </c>
      <c r="B300" s="10">
        <v>513</v>
      </c>
      <c r="C300" s="10">
        <v>8</v>
      </c>
      <c r="D300" s="10">
        <v>0</v>
      </c>
      <c r="E300" s="10">
        <v>263</v>
      </c>
      <c r="F300" s="10">
        <v>3279890.7819129899</v>
      </c>
      <c r="G300" s="10">
        <v>480</v>
      </c>
      <c r="H300" s="10">
        <v>8</v>
      </c>
      <c r="I300" s="10">
        <v>0</v>
      </c>
      <c r="J300" s="10">
        <v>255</v>
      </c>
      <c r="K300" s="10">
        <v>83760.743396492995</v>
      </c>
    </row>
    <row r="301" spans="1:11" x14ac:dyDescent="0.35">
      <c r="A301" s="9" t="s">
        <v>368</v>
      </c>
      <c r="B301" s="10">
        <v>666</v>
      </c>
      <c r="C301" s="10">
        <v>2</v>
      </c>
      <c r="D301" s="10">
        <v>1</v>
      </c>
      <c r="E301" s="10">
        <v>257</v>
      </c>
      <c r="F301" s="10">
        <v>15003278.775463454</v>
      </c>
      <c r="G301" s="10">
        <v>625</v>
      </c>
      <c r="H301" s="10">
        <v>4</v>
      </c>
      <c r="I301" s="10">
        <v>1</v>
      </c>
      <c r="J301" s="10">
        <v>257</v>
      </c>
      <c r="K301" s="10">
        <v>1099593.919149807</v>
      </c>
    </row>
    <row r="302" spans="1:11" x14ac:dyDescent="0.35">
      <c r="A302" s="9" t="s">
        <v>369</v>
      </c>
      <c r="B302" s="10">
        <v>993</v>
      </c>
      <c r="C302" s="10">
        <v>18</v>
      </c>
      <c r="D302" s="10">
        <v>9</v>
      </c>
      <c r="E302" s="10">
        <v>480</v>
      </c>
      <c r="F302" s="10">
        <v>35528366.935677938</v>
      </c>
      <c r="G302" s="10">
        <v>1061</v>
      </c>
      <c r="H302" s="10">
        <v>78</v>
      </c>
      <c r="I302" s="10">
        <v>9</v>
      </c>
      <c r="J302" s="10">
        <v>422</v>
      </c>
      <c r="K302" s="10">
        <v>7183570.7025535814</v>
      </c>
    </row>
    <row r="303" spans="1:11" x14ac:dyDescent="0.35">
      <c r="A303" s="9" t="s">
        <v>370</v>
      </c>
      <c r="B303" s="10">
        <v>1317</v>
      </c>
      <c r="C303" s="10">
        <v>11</v>
      </c>
      <c r="D303" s="10">
        <v>2</v>
      </c>
      <c r="E303" s="10">
        <v>660</v>
      </c>
      <c r="F303" s="10">
        <v>22373987.868757192</v>
      </c>
      <c r="G303" s="10">
        <v>1311</v>
      </c>
      <c r="H303" s="10">
        <v>6</v>
      </c>
      <c r="I303" s="10">
        <v>2</v>
      </c>
      <c r="J303" s="10">
        <v>645</v>
      </c>
      <c r="K303" s="10">
        <v>1374409.8030271409</v>
      </c>
    </row>
    <row r="304" spans="1:11" x14ac:dyDescent="0.35">
      <c r="A304" s="9" t="s">
        <v>371</v>
      </c>
      <c r="B304" s="10">
        <v>1788</v>
      </c>
      <c r="C304" s="10">
        <v>25</v>
      </c>
      <c r="D304" s="10">
        <v>4</v>
      </c>
      <c r="E304" s="10">
        <v>806</v>
      </c>
      <c r="F304" s="10">
        <v>52736966.126554497</v>
      </c>
      <c r="G304" s="10">
        <v>1770</v>
      </c>
      <c r="H304" s="10">
        <v>20</v>
      </c>
      <c r="I304" s="10">
        <v>5</v>
      </c>
      <c r="J304" s="10">
        <v>204</v>
      </c>
      <c r="K304" s="10">
        <v>10021479.459948296</v>
      </c>
    </row>
    <row r="305" spans="1:11" x14ac:dyDescent="0.35">
      <c r="A305" s="9" t="s">
        <v>372</v>
      </c>
      <c r="B305" s="10">
        <v>1026</v>
      </c>
      <c r="C305" s="10">
        <v>19</v>
      </c>
      <c r="D305" s="10">
        <v>2</v>
      </c>
      <c r="E305" s="10">
        <v>628</v>
      </c>
      <c r="F305" s="10">
        <v>25881064.168050192</v>
      </c>
      <c r="G305" s="10">
        <v>1051</v>
      </c>
      <c r="H305" s="10">
        <v>15</v>
      </c>
      <c r="I305" s="10">
        <v>4</v>
      </c>
      <c r="J305" s="10">
        <v>694</v>
      </c>
      <c r="K305" s="10">
        <v>16003649.957375459</v>
      </c>
    </row>
    <row r="306" spans="1:11" x14ac:dyDescent="0.35">
      <c r="A306" s="9" t="s">
        <v>373</v>
      </c>
      <c r="B306" s="10">
        <v>1108</v>
      </c>
      <c r="C306" s="10">
        <v>22</v>
      </c>
      <c r="D306" s="10">
        <v>7</v>
      </c>
      <c r="E306" s="10">
        <v>515</v>
      </c>
      <c r="F306" s="10">
        <v>35201585.308937229</v>
      </c>
      <c r="G306" s="10">
        <v>1243</v>
      </c>
      <c r="H306" s="10">
        <v>15</v>
      </c>
      <c r="I306" s="10">
        <v>9</v>
      </c>
      <c r="J306" s="10">
        <v>624</v>
      </c>
      <c r="K306" s="10">
        <v>12169082.078930905</v>
      </c>
    </row>
    <row r="307" spans="1:11" x14ac:dyDescent="0.35">
      <c r="A307" s="9" t="s">
        <v>374</v>
      </c>
      <c r="B307" s="10">
        <v>1175</v>
      </c>
      <c r="C307" s="10">
        <v>14</v>
      </c>
      <c r="D307" s="10">
        <v>1</v>
      </c>
      <c r="E307" s="10">
        <v>570</v>
      </c>
      <c r="F307" s="10">
        <v>20983770.551251065</v>
      </c>
      <c r="G307" s="10">
        <v>1195</v>
      </c>
      <c r="H307" s="10">
        <v>20</v>
      </c>
      <c r="I307" s="10">
        <v>2</v>
      </c>
      <c r="J307" s="10">
        <v>555</v>
      </c>
      <c r="K307" s="10">
        <v>1282461.585723463</v>
      </c>
    </row>
    <row r="308" spans="1:11" x14ac:dyDescent="0.35">
      <c r="A308" s="9" t="s">
        <v>375</v>
      </c>
      <c r="B308" s="10">
        <v>461</v>
      </c>
      <c r="C308" s="10">
        <v>7</v>
      </c>
      <c r="D308" s="10">
        <v>0</v>
      </c>
      <c r="E308" s="10">
        <v>198</v>
      </c>
      <c r="F308" s="10">
        <v>10985952.791738784</v>
      </c>
      <c r="G308" s="10">
        <v>500</v>
      </c>
      <c r="H308" s="10">
        <v>2</v>
      </c>
      <c r="I308" s="10">
        <v>1</v>
      </c>
      <c r="J308" s="10">
        <v>179</v>
      </c>
      <c r="K308" s="10">
        <v>1076684.685449512</v>
      </c>
    </row>
    <row r="309" spans="1:11" x14ac:dyDescent="0.35">
      <c r="A309" s="9" t="s">
        <v>376</v>
      </c>
      <c r="B309" s="10">
        <v>1346</v>
      </c>
      <c r="C309" s="10">
        <v>28</v>
      </c>
      <c r="D309" s="10">
        <v>5</v>
      </c>
      <c r="E309" s="10">
        <v>580</v>
      </c>
      <c r="F309" s="10">
        <v>49620070.996608049</v>
      </c>
      <c r="G309" s="10">
        <v>1266</v>
      </c>
      <c r="H309" s="10">
        <v>12</v>
      </c>
      <c r="I309" s="10">
        <v>6</v>
      </c>
      <c r="J309" s="10">
        <v>585</v>
      </c>
      <c r="K309" s="10">
        <v>13322098.916402807</v>
      </c>
    </row>
    <row r="310" spans="1:11" x14ac:dyDescent="0.35">
      <c r="A310" s="9" t="s">
        <v>377</v>
      </c>
      <c r="B310" s="10">
        <v>1051</v>
      </c>
      <c r="C310" s="10">
        <v>14</v>
      </c>
      <c r="D310" s="10">
        <v>6</v>
      </c>
      <c r="E310" s="10">
        <v>728</v>
      </c>
      <c r="F310" s="10">
        <v>40866714.972694904</v>
      </c>
      <c r="G310" s="10">
        <v>1042</v>
      </c>
      <c r="H310" s="10">
        <v>36</v>
      </c>
      <c r="I310" s="10">
        <v>5</v>
      </c>
      <c r="J310" s="10">
        <v>714</v>
      </c>
      <c r="K310" s="10">
        <v>24085476.504070014</v>
      </c>
    </row>
    <row r="311" spans="1:11" x14ac:dyDescent="0.35">
      <c r="A311" s="9" t="s">
        <v>378</v>
      </c>
      <c r="B311" s="10">
        <v>616</v>
      </c>
      <c r="C311" s="10">
        <v>9</v>
      </c>
      <c r="D311" s="10">
        <v>2</v>
      </c>
      <c r="E311" s="10">
        <v>296</v>
      </c>
      <c r="F311" s="10">
        <v>16445613.216037178</v>
      </c>
      <c r="G311" s="10">
        <v>611</v>
      </c>
      <c r="H311" s="10">
        <v>18</v>
      </c>
      <c r="I311" s="10">
        <v>2</v>
      </c>
      <c r="J311" s="10">
        <v>256</v>
      </c>
      <c r="K311" s="10">
        <v>5059853.1165926959</v>
      </c>
    </row>
    <row r="312" spans="1:11" x14ac:dyDescent="0.35">
      <c r="A312" s="9" t="s">
        <v>379</v>
      </c>
      <c r="B312" s="10">
        <v>1996</v>
      </c>
      <c r="C312" s="10">
        <v>23</v>
      </c>
      <c r="D312" s="10">
        <v>4</v>
      </c>
      <c r="E312" s="10">
        <v>1022</v>
      </c>
      <c r="F312" s="10">
        <v>48073032.160811394</v>
      </c>
      <c r="G312" s="10">
        <v>2089</v>
      </c>
      <c r="H312" s="10">
        <v>22</v>
      </c>
      <c r="I312" s="10">
        <v>7</v>
      </c>
      <c r="J312" s="10">
        <v>975</v>
      </c>
      <c r="K312" s="10">
        <v>4774094.9860072881</v>
      </c>
    </row>
    <row r="313" spans="1:11" x14ac:dyDescent="0.35">
      <c r="A313" s="9" t="s">
        <v>380</v>
      </c>
      <c r="B313" s="10">
        <v>1259</v>
      </c>
      <c r="C313" s="10">
        <v>109</v>
      </c>
      <c r="D313" s="10">
        <v>4</v>
      </c>
      <c r="E313" s="10">
        <v>764</v>
      </c>
      <c r="F313" s="10">
        <v>42404475.298159063</v>
      </c>
      <c r="G313" s="10">
        <v>1058</v>
      </c>
      <c r="H313" s="10">
        <v>10</v>
      </c>
      <c r="I313" s="10">
        <v>4</v>
      </c>
      <c r="J313" s="10">
        <v>335</v>
      </c>
      <c r="K313" s="10">
        <v>15157926.370604772</v>
      </c>
    </row>
    <row r="314" spans="1:11" x14ac:dyDescent="0.35">
      <c r="A314" s="9" t="s">
        <v>381</v>
      </c>
      <c r="B314" s="10">
        <v>574</v>
      </c>
      <c r="C314" s="10">
        <v>11</v>
      </c>
      <c r="D314" s="10">
        <v>2</v>
      </c>
      <c r="E314" s="10">
        <v>292</v>
      </c>
      <c r="F314" s="10">
        <v>17745019.284646578</v>
      </c>
      <c r="G314" s="10">
        <v>563</v>
      </c>
      <c r="H314" s="10">
        <v>5</v>
      </c>
      <c r="I314" s="10">
        <v>2</v>
      </c>
      <c r="J314" s="10">
        <v>228</v>
      </c>
      <c r="K314" s="10">
        <v>1588125.1129816</v>
      </c>
    </row>
    <row r="315" spans="1:11" x14ac:dyDescent="0.35">
      <c r="A315" s="9" t="s">
        <v>382</v>
      </c>
      <c r="B315" s="10">
        <v>1866</v>
      </c>
      <c r="C315" s="10">
        <v>35</v>
      </c>
      <c r="D315" s="10">
        <v>3</v>
      </c>
      <c r="E315" s="10">
        <v>840</v>
      </c>
      <c r="F315" s="10">
        <v>44249866.096826226</v>
      </c>
      <c r="G315" s="10">
        <v>2061</v>
      </c>
      <c r="H315" s="10">
        <v>24</v>
      </c>
      <c r="I315" s="10">
        <v>5</v>
      </c>
      <c r="J315" s="10">
        <v>892</v>
      </c>
      <c r="K315" s="10">
        <v>5493575.8284433866</v>
      </c>
    </row>
    <row r="316" spans="1:11" x14ac:dyDescent="0.35">
      <c r="A316" s="9" t="s">
        <v>383</v>
      </c>
      <c r="B316" s="10">
        <v>2365</v>
      </c>
      <c r="C316" s="10">
        <v>27</v>
      </c>
      <c r="D316" s="10">
        <v>3</v>
      </c>
      <c r="E316" s="10">
        <v>1105</v>
      </c>
      <c r="F316" s="10">
        <v>59867487.106104016</v>
      </c>
      <c r="G316" s="10">
        <v>2412</v>
      </c>
      <c r="H316" s="10">
        <v>18</v>
      </c>
      <c r="I316" s="10">
        <v>2</v>
      </c>
      <c r="J316" s="10">
        <v>1090</v>
      </c>
      <c r="K316" s="10">
        <v>6820889.2937019849</v>
      </c>
    </row>
    <row r="317" spans="1:11" x14ac:dyDescent="0.35">
      <c r="A317" s="9" t="s">
        <v>384</v>
      </c>
      <c r="B317" s="10">
        <v>381</v>
      </c>
      <c r="C317" s="10">
        <v>49</v>
      </c>
      <c r="D317" s="10">
        <v>6</v>
      </c>
      <c r="E317" s="10">
        <v>161</v>
      </c>
      <c r="F317" s="10">
        <v>15622839.443841876</v>
      </c>
      <c r="G317" s="10">
        <v>409</v>
      </c>
      <c r="H317" s="10">
        <v>3</v>
      </c>
      <c r="I317" s="10">
        <v>5</v>
      </c>
      <c r="J317" s="10">
        <v>169</v>
      </c>
      <c r="K317" s="10">
        <v>2504223.7984794672</v>
      </c>
    </row>
    <row r="318" spans="1:11" x14ac:dyDescent="0.35">
      <c r="A318" s="9" t="s">
        <v>385</v>
      </c>
      <c r="B318" s="10">
        <v>1470</v>
      </c>
      <c r="C318" s="10">
        <v>18</v>
      </c>
      <c r="D318" s="10">
        <v>3</v>
      </c>
      <c r="E318" s="10">
        <v>652</v>
      </c>
      <c r="F318" s="10">
        <v>31623231.267560571</v>
      </c>
      <c r="G318" s="10">
        <v>1454</v>
      </c>
      <c r="H318" s="10">
        <v>11</v>
      </c>
      <c r="I318" s="10">
        <v>3</v>
      </c>
      <c r="J318" s="10">
        <v>530</v>
      </c>
      <c r="K318" s="10">
        <v>3773007.3033750332</v>
      </c>
    </row>
    <row r="319" spans="1:11" x14ac:dyDescent="0.35">
      <c r="A319" s="9" t="s">
        <v>386</v>
      </c>
      <c r="B319" s="10">
        <v>1668</v>
      </c>
      <c r="C319" s="10">
        <v>26</v>
      </c>
      <c r="D319" s="10">
        <v>8</v>
      </c>
      <c r="E319" s="10">
        <v>893</v>
      </c>
      <c r="F319" s="10">
        <v>55514192.792283192</v>
      </c>
      <c r="G319" s="10">
        <v>1760</v>
      </c>
      <c r="H319" s="10">
        <v>49</v>
      </c>
      <c r="I319" s="10">
        <v>8</v>
      </c>
      <c r="J319" s="10">
        <v>817</v>
      </c>
      <c r="K319" s="10">
        <v>19566113.125405546</v>
      </c>
    </row>
    <row r="320" spans="1:11" x14ac:dyDescent="0.35">
      <c r="A320" s="9" t="s">
        <v>387</v>
      </c>
      <c r="B320" s="10">
        <v>1260</v>
      </c>
      <c r="C320" s="10">
        <v>8</v>
      </c>
      <c r="D320" s="10">
        <v>2</v>
      </c>
      <c r="E320" s="10">
        <v>694</v>
      </c>
      <c r="F320" s="10">
        <v>27813731.668051764</v>
      </c>
      <c r="G320" s="10">
        <v>1291</v>
      </c>
      <c r="H320" s="10">
        <v>7</v>
      </c>
      <c r="I320" s="10">
        <v>3</v>
      </c>
      <c r="J320" s="10">
        <v>739</v>
      </c>
      <c r="K320" s="10">
        <v>7859306.8984793732</v>
      </c>
    </row>
    <row r="321" spans="1:11" x14ac:dyDescent="0.35">
      <c r="A321" s="9" t="s">
        <v>388</v>
      </c>
      <c r="B321" s="10">
        <v>1583</v>
      </c>
      <c r="C321" s="10">
        <v>20</v>
      </c>
      <c r="D321" s="10">
        <v>5</v>
      </c>
      <c r="E321" s="10">
        <v>930</v>
      </c>
      <c r="F321" s="10">
        <v>46716369.431905597</v>
      </c>
      <c r="G321" s="10">
        <v>1426</v>
      </c>
      <c r="H321" s="10">
        <v>12</v>
      </c>
      <c r="I321" s="10">
        <v>4</v>
      </c>
      <c r="J321" s="10">
        <v>951</v>
      </c>
      <c r="K321" s="10">
        <v>15614392.66624946</v>
      </c>
    </row>
    <row r="322" spans="1:11" x14ac:dyDescent="0.35">
      <c r="A322" s="9" t="s">
        <v>389</v>
      </c>
      <c r="B322" s="10">
        <v>1864</v>
      </c>
      <c r="C322" s="10">
        <v>23</v>
      </c>
      <c r="D322" s="10">
        <v>3</v>
      </c>
      <c r="E322" s="10">
        <v>905</v>
      </c>
      <c r="F322" s="10">
        <v>36343828.445677817</v>
      </c>
      <c r="G322" s="10">
        <v>2001</v>
      </c>
      <c r="H322" s="10">
        <v>17</v>
      </c>
      <c r="I322" s="10">
        <v>3</v>
      </c>
      <c r="J322" s="10">
        <v>907</v>
      </c>
      <c r="K322" s="10">
        <v>3601696.7186576249</v>
      </c>
    </row>
    <row r="323" spans="1:11" x14ac:dyDescent="0.35">
      <c r="A323" s="9" t="s">
        <v>390</v>
      </c>
      <c r="B323" s="10">
        <v>1453</v>
      </c>
      <c r="C323" s="10">
        <v>15</v>
      </c>
      <c r="D323" s="10">
        <v>2</v>
      </c>
      <c r="E323" s="10">
        <v>768</v>
      </c>
      <c r="F323" s="10">
        <v>21463097.941272389</v>
      </c>
      <c r="G323" s="10">
        <v>1380</v>
      </c>
      <c r="H323" s="10">
        <v>7</v>
      </c>
      <c r="I323" s="10">
        <v>2</v>
      </c>
      <c r="J323" s="10">
        <v>674</v>
      </c>
      <c r="K323" s="10">
        <v>1626654.0317156781</v>
      </c>
    </row>
    <row r="324" spans="1:11" x14ac:dyDescent="0.35">
      <c r="A324" s="9" t="s">
        <v>391</v>
      </c>
      <c r="B324" s="10">
        <v>1331</v>
      </c>
      <c r="C324" s="10">
        <v>13</v>
      </c>
      <c r="D324" s="10">
        <v>3</v>
      </c>
      <c r="E324" s="10">
        <v>592</v>
      </c>
      <c r="F324" s="10">
        <v>43245816.985087894</v>
      </c>
      <c r="G324" s="10">
        <v>1347</v>
      </c>
      <c r="H324" s="10">
        <v>16</v>
      </c>
      <c r="I324" s="10">
        <v>3</v>
      </c>
      <c r="J324" s="10">
        <v>779</v>
      </c>
      <c r="K324" s="10">
        <v>3863526.5409720908</v>
      </c>
    </row>
    <row r="325" spans="1:11" x14ac:dyDescent="0.35">
      <c r="A325" s="9" t="s">
        <v>392</v>
      </c>
      <c r="B325" s="10">
        <v>1694</v>
      </c>
      <c r="C325" s="10">
        <v>35</v>
      </c>
      <c r="D325" s="10">
        <v>5</v>
      </c>
      <c r="E325" s="10">
        <v>749</v>
      </c>
      <c r="F325" s="10">
        <v>77417952.563418329</v>
      </c>
      <c r="G325" s="10">
        <v>1727</v>
      </c>
      <c r="H325" s="10">
        <v>16</v>
      </c>
      <c r="I325" s="10">
        <v>3</v>
      </c>
      <c r="J325" s="10">
        <v>661</v>
      </c>
      <c r="K325" s="10">
        <v>5153653.179233958</v>
      </c>
    </row>
    <row r="326" spans="1:11" x14ac:dyDescent="0.35">
      <c r="A326" s="9" t="s">
        <v>393</v>
      </c>
      <c r="B326" s="10">
        <v>825</v>
      </c>
      <c r="C326" s="10">
        <v>12</v>
      </c>
      <c r="D326" s="10">
        <v>2</v>
      </c>
      <c r="E326" s="10">
        <v>380</v>
      </c>
      <c r="F326" s="10">
        <v>20815877.677939825</v>
      </c>
      <c r="G326" s="10">
        <v>867</v>
      </c>
      <c r="H326" s="10">
        <v>11</v>
      </c>
      <c r="I326" s="10">
        <v>3</v>
      </c>
      <c r="J326" s="10">
        <v>372</v>
      </c>
      <c r="K326" s="10">
        <v>2413661.8070864691</v>
      </c>
    </row>
    <row r="327" spans="1:11" x14ac:dyDescent="0.35">
      <c r="A327" s="9" t="s">
        <v>394</v>
      </c>
      <c r="B327" s="10">
        <v>3752</v>
      </c>
      <c r="C327" s="10">
        <v>42</v>
      </c>
      <c r="D327" s="10">
        <v>4</v>
      </c>
      <c r="E327" s="10">
        <v>1671</v>
      </c>
      <c r="F327" s="10">
        <v>82953327.984208748</v>
      </c>
      <c r="G327" s="10">
        <v>3716</v>
      </c>
      <c r="H327" s="10">
        <v>30</v>
      </c>
      <c r="I327" s="10">
        <v>4</v>
      </c>
      <c r="J327" s="10">
        <v>1368</v>
      </c>
      <c r="K327" s="10">
        <v>6742840.4621256422</v>
      </c>
    </row>
    <row r="328" spans="1:11" x14ac:dyDescent="0.35">
      <c r="A328" s="9" t="s">
        <v>395</v>
      </c>
      <c r="B328" s="10">
        <v>2048</v>
      </c>
      <c r="C328" s="10">
        <v>25</v>
      </c>
      <c r="D328" s="10">
        <v>6</v>
      </c>
      <c r="E328" s="10">
        <v>952</v>
      </c>
      <c r="F328" s="10">
        <v>49530936.263780534</v>
      </c>
      <c r="G328" s="10">
        <v>2295</v>
      </c>
      <c r="H328" s="10">
        <v>12</v>
      </c>
      <c r="I328" s="10">
        <v>5</v>
      </c>
      <c r="J328" s="10">
        <v>1097</v>
      </c>
      <c r="K328" s="10">
        <v>3498204.9276191802</v>
      </c>
    </row>
    <row r="329" spans="1:11" x14ac:dyDescent="0.35">
      <c r="A329" s="9" t="s">
        <v>396</v>
      </c>
      <c r="B329" s="10">
        <v>920</v>
      </c>
      <c r="C329" s="10">
        <v>9</v>
      </c>
      <c r="D329" s="10">
        <v>1</v>
      </c>
      <c r="E329" s="10">
        <v>582</v>
      </c>
      <c r="F329" s="10">
        <v>31457261.333937258</v>
      </c>
      <c r="G329" s="10">
        <v>872</v>
      </c>
      <c r="H329" s="10">
        <v>12</v>
      </c>
      <c r="I329" s="10">
        <v>1</v>
      </c>
      <c r="J329" s="10">
        <v>603</v>
      </c>
      <c r="K329" s="10">
        <v>21135439.344705313</v>
      </c>
    </row>
    <row r="330" spans="1:11" x14ac:dyDescent="0.35">
      <c r="A330" s="9" t="s">
        <v>397</v>
      </c>
      <c r="B330" s="10">
        <v>1833</v>
      </c>
      <c r="C330" s="10">
        <v>47</v>
      </c>
      <c r="D330" s="10">
        <v>16</v>
      </c>
      <c r="E330" s="10">
        <v>839</v>
      </c>
      <c r="F330" s="10">
        <v>57324176.498092689</v>
      </c>
      <c r="G330" s="10">
        <v>1935</v>
      </c>
      <c r="H330" s="10">
        <v>213</v>
      </c>
      <c r="I330" s="10">
        <v>17</v>
      </c>
      <c r="J330" s="10">
        <v>872</v>
      </c>
      <c r="K330" s="10">
        <v>9717776.2254017629</v>
      </c>
    </row>
    <row r="331" spans="1:11" x14ac:dyDescent="0.35">
      <c r="A331" s="9" t="s">
        <v>398</v>
      </c>
      <c r="B331" s="10">
        <v>1246</v>
      </c>
      <c r="C331" s="10">
        <v>21</v>
      </c>
      <c r="D331" s="10">
        <v>1</v>
      </c>
      <c r="E331" s="10">
        <v>618</v>
      </c>
      <c r="F331" s="10">
        <v>27361790.967578106</v>
      </c>
      <c r="G331" s="10">
        <v>1322</v>
      </c>
      <c r="H331" s="10">
        <v>5</v>
      </c>
      <c r="I331" s="10">
        <v>1</v>
      </c>
      <c r="J331" s="10">
        <v>612</v>
      </c>
      <c r="K331" s="10">
        <v>948071.79145714198</v>
      </c>
    </row>
    <row r="332" spans="1:11" x14ac:dyDescent="0.35">
      <c r="A332" s="9" t="s">
        <v>399</v>
      </c>
      <c r="B332" s="10">
        <v>687</v>
      </c>
      <c r="C332" s="10">
        <v>11</v>
      </c>
      <c r="D332" s="10">
        <v>1</v>
      </c>
      <c r="E332" s="10">
        <v>545</v>
      </c>
      <c r="F332" s="10">
        <v>18019566.807440571</v>
      </c>
      <c r="G332" s="10">
        <v>635</v>
      </c>
      <c r="H332" s="10">
        <v>9</v>
      </c>
      <c r="I332" s="10">
        <v>2</v>
      </c>
      <c r="J332" s="10">
        <v>509</v>
      </c>
      <c r="K332" s="10">
        <v>10107903.311476866</v>
      </c>
    </row>
    <row r="333" spans="1:11" x14ac:dyDescent="0.35">
      <c r="A333" s="9" t="s">
        <v>400</v>
      </c>
      <c r="B333" s="10">
        <v>2406</v>
      </c>
      <c r="C333" s="10">
        <v>353</v>
      </c>
      <c r="D333" s="10">
        <v>12</v>
      </c>
      <c r="E333" s="10">
        <v>1019</v>
      </c>
      <c r="F333" s="10">
        <v>69010755.753257126</v>
      </c>
      <c r="G333" s="10">
        <v>2537</v>
      </c>
      <c r="H333" s="10">
        <v>203</v>
      </c>
      <c r="I333" s="10">
        <v>13</v>
      </c>
      <c r="J333" s="10">
        <v>936</v>
      </c>
      <c r="K333" s="10">
        <v>10722041.097379038</v>
      </c>
    </row>
    <row r="334" spans="1:11" x14ac:dyDescent="0.35">
      <c r="A334" s="9" t="s">
        <v>401</v>
      </c>
      <c r="B334" s="10">
        <v>1679</v>
      </c>
      <c r="C334" s="10">
        <v>16</v>
      </c>
      <c r="D334" s="10">
        <v>3</v>
      </c>
      <c r="E334" s="10">
        <v>797</v>
      </c>
      <c r="F334" s="10">
        <v>40586259.288533241</v>
      </c>
      <c r="G334" s="10">
        <v>1784</v>
      </c>
      <c r="H334" s="10">
        <v>27</v>
      </c>
      <c r="I334" s="10">
        <v>3</v>
      </c>
      <c r="J334" s="10">
        <v>753</v>
      </c>
      <c r="K334" s="10">
        <v>2901058.7191358148</v>
      </c>
    </row>
    <row r="335" spans="1:11" x14ac:dyDescent="0.35">
      <c r="A335" s="9" t="s">
        <v>402</v>
      </c>
      <c r="B335" s="10">
        <v>958</v>
      </c>
      <c r="C335" s="10">
        <v>13</v>
      </c>
      <c r="D335" s="10">
        <v>4</v>
      </c>
      <c r="E335" s="10">
        <v>506</v>
      </c>
      <c r="F335" s="10">
        <v>22955208.3442537</v>
      </c>
      <c r="G335" s="10">
        <v>1042</v>
      </c>
      <c r="H335" s="10">
        <v>13</v>
      </c>
      <c r="I335" s="10">
        <v>5</v>
      </c>
      <c r="J335" s="10">
        <v>520</v>
      </c>
      <c r="K335" s="10">
        <v>5554937.0166894495</v>
      </c>
    </row>
    <row r="336" spans="1:11" x14ac:dyDescent="0.35">
      <c r="A336" s="9" t="s">
        <v>403</v>
      </c>
      <c r="B336" s="10">
        <v>483</v>
      </c>
      <c r="C336" s="10">
        <v>2</v>
      </c>
      <c r="D336" s="10">
        <v>0</v>
      </c>
      <c r="E336" s="10">
        <v>235</v>
      </c>
      <c r="F336" s="10">
        <v>10196293.263716483</v>
      </c>
      <c r="G336" s="10">
        <v>503</v>
      </c>
      <c r="H336" s="10">
        <v>5</v>
      </c>
      <c r="I336" s="10">
        <v>0</v>
      </c>
      <c r="J336" s="10">
        <v>254</v>
      </c>
      <c r="K336" s="10">
        <v>2723495.848394495</v>
      </c>
    </row>
    <row r="337" spans="1:11" x14ac:dyDescent="0.35">
      <c r="A337" s="9" t="s">
        <v>404</v>
      </c>
      <c r="B337" s="10">
        <v>1452</v>
      </c>
      <c r="C337" s="10">
        <v>25</v>
      </c>
      <c r="D337" s="10">
        <v>4</v>
      </c>
      <c r="E337" s="10">
        <v>863</v>
      </c>
      <c r="F337" s="10">
        <v>43218048.392660469</v>
      </c>
      <c r="G337" s="10">
        <v>1575</v>
      </c>
      <c r="H337" s="10">
        <v>21</v>
      </c>
      <c r="I337" s="10">
        <v>4</v>
      </c>
      <c r="J337" s="10">
        <v>848</v>
      </c>
      <c r="K337" s="10">
        <v>12402060.599355459</v>
      </c>
    </row>
    <row r="338" spans="1:11" x14ac:dyDescent="0.35">
      <c r="A338" s="9" t="s">
        <v>405</v>
      </c>
      <c r="B338" s="10">
        <v>1265</v>
      </c>
      <c r="C338" s="10">
        <v>11</v>
      </c>
      <c r="D338" s="10">
        <v>3</v>
      </c>
      <c r="E338" s="10">
        <v>574</v>
      </c>
      <c r="F338" s="10">
        <v>35520920.629084632</v>
      </c>
      <c r="G338" s="10">
        <v>1263</v>
      </c>
      <c r="H338" s="10">
        <v>5</v>
      </c>
      <c r="I338" s="10">
        <v>3</v>
      </c>
      <c r="J338" s="10">
        <v>558</v>
      </c>
      <c r="K338" s="10">
        <v>3190063.6842729021</v>
      </c>
    </row>
    <row r="339" spans="1:11" x14ac:dyDescent="0.35">
      <c r="A339" s="9" t="s">
        <v>406</v>
      </c>
      <c r="B339" s="10">
        <v>421</v>
      </c>
      <c r="C339" s="10">
        <v>3</v>
      </c>
      <c r="D339" s="10">
        <v>3</v>
      </c>
      <c r="E339" s="10">
        <v>154</v>
      </c>
      <c r="F339" s="10">
        <v>14203831.685067624</v>
      </c>
      <c r="G339" s="10">
        <v>420</v>
      </c>
      <c r="H339" s="10">
        <v>1</v>
      </c>
      <c r="I339" s="10">
        <v>3</v>
      </c>
      <c r="J339" s="10">
        <v>175</v>
      </c>
      <c r="K339" s="10">
        <v>1532646.466466595</v>
      </c>
    </row>
    <row r="340" spans="1:11" x14ac:dyDescent="0.35">
      <c r="A340" s="9" t="s">
        <v>407</v>
      </c>
      <c r="B340" s="10">
        <v>1680</v>
      </c>
      <c r="C340" s="10">
        <v>37</v>
      </c>
      <c r="D340" s="10">
        <v>5</v>
      </c>
      <c r="E340" s="10">
        <v>892</v>
      </c>
      <c r="F340" s="10">
        <v>35479048.594658725</v>
      </c>
      <c r="G340" s="10">
        <v>1692</v>
      </c>
      <c r="H340" s="10">
        <v>14</v>
      </c>
      <c r="I340" s="10">
        <v>6</v>
      </c>
      <c r="J340" s="10">
        <v>835</v>
      </c>
      <c r="K340" s="10">
        <v>6555382.3396291304</v>
      </c>
    </row>
    <row r="341" spans="1:11" x14ac:dyDescent="0.35">
      <c r="A341" s="9" t="s">
        <v>408</v>
      </c>
      <c r="B341" s="10">
        <v>2370</v>
      </c>
      <c r="C341" s="10">
        <v>28</v>
      </c>
      <c r="D341" s="10">
        <v>7</v>
      </c>
      <c r="E341" s="10">
        <v>1190</v>
      </c>
      <c r="F341" s="10">
        <v>77408784.314710125</v>
      </c>
      <c r="G341" s="10">
        <v>2306</v>
      </c>
      <c r="H341" s="10">
        <v>23</v>
      </c>
      <c r="I341" s="10">
        <v>8</v>
      </c>
      <c r="J341" s="10">
        <v>1025</v>
      </c>
      <c r="K341" s="10">
        <v>19068495.302860159</v>
      </c>
    </row>
    <row r="342" spans="1:11" x14ac:dyDescent="0.35">
      <c r="A342" s="9" t="s">
        <v>409</v>
      </c>
      <c r="B342" s="10">
        <v>290</v>
      </c>
      <c r="C342" s="10">
        <v>0</v>
      </c>
      <c r="D342" s="10">
        <v>5</v>
      </c>
      <c r="E342" s="10">
        <v>124</v>
      </c>
      <c r="F342" s="10">
        <v>11164653.650183104</v>
      </c>
      <c r="G342" s="10">
        <v>304</v>
      </c>
      <c r="H342" s="10">
        <v>2</v>
      </c>
      <c r="I342" s="10">
        <v>4</v>
      </c>
      <c r="J342" s="10">
        <v>128</v>
      </c>
      <c r="K342" s="10">
        <v>3233808.2075181152</v>
      </c>
    </row>
    <row r="343" spans="1:11" x14ac:dyDescent="0.35">
      <c r="A343" s="9" t="s">
        <v>410</v>
      </c>
      <c r="B343" s="10">
        <v>2817</v>
      </c>
      <c r="C343" s="10">
        <v>17</v>
      </c>
      <c r="D343" s="10">
        <v>5</v>
      </c>
      <c r="E343" s="10">
        <v>1315</v>
      </c>
      <c r="F343" s="10">
        <v>76604387.490030229</v>
      </c>
      <c r="G343" s="10">
        <v>2784</v>
      </c>
      <c r="H343" s="10">
        <v>16</v>
      </c>
      <c r="I343" s="10">
        <v>4</v>
      </c>
      <c r="J343" s="10">
        <v>1265</v>
      </c>
      <c r="K343" s="10">
        <v>9339179.5625869241</v>
      </c>
    </row>
    <row r="344" spans="1:11" x14ac:dyDescent="0.35">
      <c r="A344" s="9" t="s">
        <v>411</v>
      </c>
      <c r="B344" s="10">
        <v>276</v>
      </c>
      <c r="C344" s="10">
        <v>0</v>
      </c>
      <c r="D344" s="10">
        <v>0</v>
      </c>
      <c r="E344" s="10">
        <v>173</v>
      </c>
      <c r="F344" s="10">
        <v>7925782.4865517076</v>
      </c>
      <c r="G344" s="10">
        <v>271</v>
      </c>
      <c r="H344" s="10">
        <v>1</v>
      </c>
      <c r="I344" s="10">
        <v>1</v>
      </c>
      <c r="J344" s="10">
        <v>162</v>
      </c>
      <c r="K344" s="10">
        <v>3841203.9181298139</v>
      </c>
    </row>
    <row r="345" spans="1:11" x14ac:dyDescent="0.35">
      <c r="A345" s="9" t="s">
        <v>412</v>
      </c>
      <c r="B345" s="10">
        <v>1467</v>
      </c>
      <c r="C345" s="10">
        <v>29</v>
      </c>
      <c r="D345" s="10">
        <v>3</v>
      </c>
      <c r="E345" s="10">
        <v>707</v>
      </c>
      <c r="F345" s="10">
        <v>46777606.050596386</v>
      </c>
      <c r="G345" s="10">
        <v>1454</v>
      </c>
      <c r="H345" s="10">
        <v>9</v>
      </c>
      <c r="I345" s="10">
        <v>3</v>
      </c>
      <c r="J345" s="10">
        <v>693</v>
      </c>
      <c r="K345" s="10">
        <v>5330172.2188619208</v>
      </c>
    </row>
    <row r="346" spans="1:11" x14ac:dyDescent="0.35">
      <c r="A346" s="9" t="s">
        <v>413</v>
      </c>
      <c r="B346" s="10">
        <v>1300</v>
      </c>
      <c r="C346" s="10">
        <v>28</v>
      </c>
      <c r="D346" s="10">
        <v>3</v>
      </c>
      <c r="E346" s="10">
        <v>759</v>
      </c>
      <c r="F346" s="10">
        <v>30663133.947578304</v>
      </c>
      <c r="G346" s="10">
        <v>1237</v>
      </c>
      <c r="H346" s="10">
        <v>5</v>
      </c>
      <c r="I346" s="10">
        <v>5</v>
      </c>
      <c r="J346" s="10">
        <v>661</v>
      </c>
      <c r="K346" s="10">
        <v>5977119.2659422588</v>
      </c>
    </row>
    <row r="347" spans="1:11" x14ac:dyDescent="0.35">
      <c r="A347" s="9" t="s">
        <v>414</v>
      </c>
      <c r="B347" s="10">
        <v>1760</v>
      </c>
      <c r="C347" s="10">
        <v>25</v>
      </c>
      <c r="D347" s="10">
        <v>9</v>
      </c>
      <c r="E347" s="10">
        <v>1154</v>
      </c>
      <c r="F347" s="10">
        <v>59579241.162953615</v>
      </c>
      <c r="G347" s="10">
        <v>1848</v>
      </c>
      <c r="H347" s="10">
        <v>24</v>
      </c>
      <c r="I347" s="10">
        <v>9</v>
      </c>
      <c r="J347" s="10">
        <v>1143</v>
      </c>
      <c r="K347" s="10">
        <v>27315236.685924772</v>
      </c>
    </row>
    <row r="348" spans="1:11" x14ac:dyDescent="0.35">
      <c r="A348" s="9" t="s">
        <v>415</v>
      </c>
      <c r="B348" s="10">
        <v>1416</v>
      </c>
      <c r="C348" s="10">
        <v>9</v>
      </c>
      <c r="D348" s="10">
        <v>1</v>
      </c>
      <c r="E348" s="10">
        <v>705</v>
      </c>
      <c r="F348" s="10">
        <v>24992532.741761334</v>
      </c>
      <c r="G348" s="10">
        <v>1411</v>
      </c>
      <c r="H348" s="10">
        <v>9</v>
      </c>
      <c r="I348" s="10">
        <v>2</v>
      </c>
      <c r="J348" s="10">
        <v>668</v>
      </c>
      <c r="K348" s="10">
        <v>876244.05809202197</v>
      </c>
    </row>
    <row r="349" spans="1:11" x14ac:dyDescent="0.35">
      <c r="A349" s="9" t="s">
        <v>416</v>
      </c>
      <c r="B349" s="10">
        <v>1272</v>
      </c>
      <c r="C349" s="10">
        <v>25</v>
      </c>
      <c r="D349" s="10">
        <v>10</v>
      </c>
      <c r="E349" s="10">
        <v>613</v>
      </c>
      <c r="F349" s="10">
        <v>16931078.033462998</v>
      </c>
      <c r="G349" s="10">
        <v>1068</v>
      </c>
      <c r="H349" s="10">
        <v>10</v>
      </c>
      <c r="I349" s="10">
        <v>8</v>
      </c>
      <c r="J349" s="10">
        <v>557</v>
      </c>
      <c r="K349" s="10">
        <v>2540632.1221100092</v>
      </c>
    </row>
    <row r="350" spans="1:11" x14ac:dyDescent="0.35">
      <c r="A350" s="9" t="s">
        <v>417</v>
      </c>
      <c r="B350" s="10">
        <v>2021</v>
      </c>
      <c r="C350" s="10">
        <v>19</v>
      </c>
      <c r="D350" s="10">
        <v>3</v>
      </c>
      <c r="E350" s="10">
        <v>953</v>
      </c>
      <c r="F350" s="10">
        <v>42245885.155125797</v>
      </c>
      <c r="G350" s="10">
        <v>2058</v>
      </c>
      <c r="H350" s="10">
        <v>16</v>
      </c>
      <c r="I350" s="10">
        <v>2</v>
      </c>
      <c r="J350" s="10">
        <v>899</v>
      </c>
      <c r="K350" s="10">
        <v>4815841.2296698904</v>
      </c>
    </row>
    <row r="351" spans="1:11" x14ac:dyDescent="0.35">
      <c r="A351" s="9" t="s">
        <v>418</v>
      </c>
      <c r="B351" s="10">
        <v>1083</v>
      </c>
      <c r="C351" s="10">
        <v>21</v>
      </c>
      <c r="D351" s="10">
        <v>4</v>
      </c>
      <c r="E351" s="10">
        <v>665</v>
      </c>
      <c r="F351" s="10">
        <v>25353578.430092908</v>
      </c>
      <c r="G351" s="10">
        <v>1203</v>
      </c>
      <c r="H351" s="10">
        <v>16</v>
      </c>
      <c r="I351" s="10">
        <v>3</v>
      </c>
      <c r="J351" s="10">
        <v>692</v>
      </c>
      <c r="K351" s="10">
        <v>3846620.7978144921</v>
      </c>
    </row>
    <row r="352" spans="1:11" x14ac:dyDescent="0.35">
      <c r="A352" s="9" t="s">
        <v>419</v>
      </c>
      <c r="B352" s="10">
        <v>2087</v>
      </c>
      <c r="C352" s="10">
        <v>33</v>
      </c>
      <c r="D352" s="10">
        <v>7</v>
      </c>
      <c r="E352" s="10">
        <v>1107</v>
      </c>
      <c r="F352" s="10">
        <v>64236132.065919109</v>
      </c>
      <c r="G352" s="10">
        <v>2150</v>
      </c>
      <c r="H352" s="10">
        <v>32</v>
      </c>
      <c r="I352" s="10">
        <v>6</v>
      </c>
      <c r="J352" s="10">
        <v>1066</v>
      </c>
      <c r="K352" s="10">
        <v>22673522.948436722</v>
      </c>
    </row>
    <row r="353" spans="1:11" x14ac:dyDescent="0.35">
      <c r="A353" s="9" t="s">
        <v>420</v>
      </c>
      <c r="B353" s="10">
        <v>867</v>
      </c>
      <c r="C353" s="10">
        <v>3</v>
      </c>
      <c r="D353" s="10">
        <v>2</v>
      </c>
      <c r="E353" s="10">
        <v>496</v>
      </c>
      <c r="F353" s="10">
        <v>15686446.930361655</v>
      </c>
      <c r="G353" s="10">
        <v>773</v>
      </c>
      <c r="H353" s="10">
        <v>5</v>
      </c>
      <c r="I353" s="10">
        <v>2</v>
      </c>
      <c r="J353" s="10">
        <v>374</v>
      </c>
      <c r="K353" s="10">
        <v>2037129.842097261</v>
      </c>
    </row>
    <row r="354" spans="1:11" x14ac:dyDescent="0.35">
      <c r="A354" s="9" t="s">
        <v>421</v>
      </c>
      <c r="B354" s="10">
        <v>1728</v>
      </c>
      <c r="C354" s="10">
        <v>15</v>
      </c>
      <c r="D354" s="10">
        <v>4</v>
      </c>
      <c r="E354" s="10">
        <v>812</v>
      </c>
      <c r="F354" s="10">
        <v>39157798.931359679</v>
      </c>
      <c r="G354" s="10">
        <v>1730</v>
      </c>
      <c r="H354" s="10">
        <v>5</v>
      </c>
      <c r="I354" s="10">
        <v>3</v>
      </c>
      <c r="J354" s="10">
        <v>901</v>
      </c>
      <c r="K354" s="10">
        <v>11548897.991860559</v>
      </c>
    </row>
    <row r="355" spans="1:11" x14ac:dyDescent="0.35">
      <c r="A355" s="9" t="s">
        <v>422</v>
      </c>
      <c r="B355" s="10">
        <v>2405</v>
      </c>
      <c r="C355" s="10">
        <v>7</v>
      </c>
      <c r="D355" s="10">
        <v>4</v>
      </c>
      <c r="E355" s="10">
        <v>395</v>
      </c>
      <c r="F355" s="10">
        <v>18900454.799778316</v>
      </c>
      <c r="G355" s="10">
        <v>1439</v>
      </c>
      <c r="H355" s="10">
        <v>3</v>
      </c>
      <c r="I355" s="10">
        <v>3</v>
      </c>
      <c r="J355" s="10">
        <v>381</v>
      </c>
      <c r="K355" s="10">
        <v>4579769.0379905244</v>
      </c>
    </row>
    <row r="356" spans="1:11" x14ac:dyDescent="0.35">
      <c r="A356" s="9" t="s">
        <v>423</v>
      </c>
      <c r="B356" s="10">
        <v>3836</v>
      </c>
      <c r="C356" s="10">
        <v>31</v>
      </c>
      <c r="D356" s="10">
        <v>23</v>
      </c>
      <c r="E356" s="10">
        <v>2085</v>
      </c>
      <c r="F356" s="10">
        <v>102894915.66773768</v>
      </c>
      <c r="G356" s="10">
        <v>3338</v>
      </c>
      <c r="H356" s="10">
        <v>13</v>
      </c>
      <c r="I356" s="10">
        <v>20</v>
      </c>
      <c r="J356" s="10">
        <v>1852</v>
      </c>
      <c r="K356" s="10">
        <v>41408273.981452599</v>
      </c>
    </row>
    <row r="357" spans="1:11" x14ac:dyDescent="0.35">
      <c r="A357" s="9" t="s">
        <v>424</v>
      </c>
      <c r="B357" s="10">
        <v>2394</v>
      </c>
      <c r="C357" s="10">
        <v>39</v>
      </c>
      <c r="D357" s="10">
        <v>8</v>
      </c>
      <c r="E357" s="10">
        <v>775</v>
      </c>
      <c r="F357" s="10">
        <v>69988776.658721954</v>
      </c>
      <c r="G357" s="10">
        <v>3548</v>
      </c>
      <c r="H357" s="10">
        <v>41</v>
      </c>
      <c r="I357" s="10">
        <v>9</v>
      </c>
      <c r="J357" s="10">
        <v>2222</v>
      </c>
      <c r="K357" s="10">
        <v>33747066.924188077</v>
      </c>
    </row>
    <row r="358" spans="1:11" x14ac:dyDescent="0.35">
      <c r="A358" s="9" t="s">
        <v>425</v>
      </c>
      <c r="B358" s="10">
        <v>1484</v>
      </c>
      <c r="C358" s="10">
        <v>10</v>
      </c>
      <c r="D358" s="10">
        <v>5</v>
      </c>
      <c r="E358" s="10">
        <v>1412</v>
      </c>
      <c r="F358" s="10">
        <v>28554900.234529093</v>
      </c>
      <c r="G358" s="10">
        <v>959</v>
      </c>
      <c r="H358" s="10">
        <v>8</v>
      </c>
      <c r="I358" s="10">
        <v>4</v>
      </c>
      <c r="J358" s="10">
        <v>526</v>
      </c>
      <c r="K358" s="10">
        <v>10784330.305260822</v>
      </c>
    </row>
    <row r="359" spans="1:11" x14ac:dyDescent="0.35">
      <c r="A359" s="9" t="s">
        <v>426</v>
      </c>
      <c r="B359" s="10">
        <v>2075</v>
      </c>
      <c r="C359" s="10">
        <v>19</v>
      </c>
      <c r="D359" s="10">
        <v>4</v>
      </c>
      <c r="E359" s="10">
        <v>1350</v>
      </c>
      <c r="F359" s="10">
        <v>55198814.877665296</v>
      </c>
      <c r="G359" s="10">
        <v>1807</v>
      </c>
      <c r="H359" s="10">
        <v>21</v>
      </c>
      <c r="I359" s="10">
        <v>4</v>
      </c>
      <c r="J359" s="10">
        <v>1166</v>
      </c>
      <c r="K359" s="10">
        <v>36437417.611136712</v>
      </c>
    </row>
    <row r="360" spans="1:11" x14ac:dyDescent="0.35">
      <c r="A360" s="9" t="s">
        <v>427</v>
      </c>
      <c r="B360" s="10">
        <v>2127</v>
      </c>
      <c r="C360" s="10">
        <v>21</v>
      </c>
      <c r="D360" s="10">
        <v>7</v>
      </c>
      <c r="E360" s="10">
        <v>1451</v>
      </c>
      <c r="F360" s="10">
        <v>42213543.102512725</v>
      </c>
      <c r="G360" s="10">
        <v>2078</v>
      </c>
      <c r="H360" s="10">
        <v>17</v>
      </c>
      <c r="I360" s="10">
        <v>7</v>
      </c>
      <c r="J360" s="10">
        <v>1395</v>
      </c>
      <c r="K360" s="10">
        <v>24452894.908786103</v>
      </c>
    </row>
    <row r="361" spans="1:11" x14ac:dyDescent="0.35">
      <c r="A361" s="9" t="s">
        <v>428</v>
      </c>
      <c r="B361" s="10">
        <v>1194</v>
      </c>
      <c r="C361" s="10">
        <v>18</v>
      </c>
      <c r="D361" s="10">
        <v>2</v>
      </c>
      <c r="E361" s="10">
        <v>885</v>
      </c>
      <c r="F361" s="10">
        <v>48096917.768475242</v>
      </c>
      <c r="G361" s="10">
        <v>1251</v>
      </c>
      <c r="H361" s="10">
        <v>12</v>
      </c>
      <c r="I361" s="10">
        <v>2</v>
      </c>
      <c r="J361" s="10">
        <v>853</v>
      </c>
      <c r="K361" s="10">
        <v>33614222.487658523</v>
      </c>
    </row>
    <row r="362" spans="1:11" x14ac:dyDescent="0.35">
      <c r="A362" s="9" t="s">
        <v>429</v>
      </c>
      <c r="B362" s="10">
        <v>3842</v>
      </c>
      <c r="C362" s="10">
        <v>55</v>
      </c>
      <c r="D362" s="10">
        <v>3</v>
      </c>
      <c r="E362" s="10">
        <v>2652</v>
      </c>
      <c r="F362" s="10">
        <v>109588422.20082007</v>
      </c>
      <c r="G362" s="10">
        <v>3709</v>
      </c>
      <c r="H362" s="10">
        <v>26</v>
      </c>
      <c r="I362" s="10">
        <v>3</v>
      </c>
      <c r="J362" s="10">
        <v>2520</v>
      </c>
      <c r="K362" s="10">
        <v>72022600.775948733</v>
      </c>
    </row>
    <row r="363" spans="1:11" x14ac:dyDescent="0.35">
      <c r="A363" s="9" t="s">
        <v>430</v>
      </c>
      <c r="B363" s="10">
        <v>1436</v>
      </c>
      <c r="C363" s="10">
        <v>23</v>
      </c>
      <c r="D363" s="10">
        <v>8</v>
      </c>
      <c r="E363" s="10">
        <v>849</v>
      </c>
      <c r="F363" s="10">
        <v>42712865.04481563</v>
      </c>
      <c r="G363" s="10">
        <v>1379</v>
      </c>
      <c r="H363" s="10">
        <v>10</v>
      </c>
      <c r="I363" s="10">
        <v>9</v>
      </c>
      <c r="J363" s="10">
        <v>851</v>
      </c>
      <c r="K363" s="10">
        <v>18808541.41089287</v>
      </c>
    </row>
    <row r="364" spans="1:11" x14ac:dyDescent="0.35">
      <c r="A364" s="9" t="s">
        <v>431</v>
      </c>
      <c r="B364" s="10">
        <v>4885</v>
      </c>
      <c r="C364" s="10">
        <v>71</v>
      </c>
      <c r="D364" s="10">
        <v>6</v>
      </c>
      <c r="E364" s="10">
        <v>2948</v>
      </c>
      <c r="F364" s="10">
        <v>129433061.1281011</v>
      </c>
      <c r="G364" s="10">
        <v>4693</v>
      </c>
      <c r="H364" s="10">
        <v>51</v>
      </c>
      <c r="I364" s="10">
        <v>7</v>
      </c>
      <c r="J364" s="10">
        <v>2932</v>
      </c>
      <c r="K364" s="10">
        <v>90300978.821493044</v>
      </c>
    </row>
    <row r="365" spans="1:11" x14ac:dyDescent="0.35">
      <c r="A365" s="9" t="s">
        <v>432</v>
      </c>
      <c r="B365" s="10">
        <v>2350</v>
      </c>
      <c r="C365" s="10">
        <v>29</v>
      </c>
      <c r="D365" s="10">
        <v>4</v>
      </c>
      <c r="E365" s="10">
        <v>1751</v>
      </c>
      <c r="F365" s="10">
        <v>86210862.331020355</v>
      </c>
      <c r="G365" s="10">
        <v>2505</v>
      </c>
      <c r="H365" s="10">
        <v>23</v>
      </c>
      <c r="I365" s="10">
        <v>5</v>
      </c>
      <c r="J365" s="10">
        <v>1698</v>
      </c>
      <c r="K365" s="10">
        <v>58232527.259761758</v>
      </c>
    </row>
    <row r="366" spans="1:11" x14ac:dyDescent="0.35">
      <c r="A366" s="9" t="s">
        <v>433</v>
      </c>
      <c r="B366" s="10">
        <v>1775</v>
      </c>
      <c r="C366" s="10">
        <v>24</v>
      </c>
      <c r="D366" s="10">
        <v>3</v>
      </c>
      <c r="E366" s="10">
        <v>1188</v>
      </c>
      <c r="F366" s="10">
        <v>59169976.077826679</v>
      </c>
      <c r="G366" s="10">
        <v>1780</v>
      </c>
      <c r="H366" s="10">
        <v>19</v>
      </c>
      <c r="I366" s="10">
        <v>3</v>
      </c>
      <c r="J366" s="10">
        <v>1180</v>
      </c>
      <c r="K366" s="10">
        <v>34656851.665655889</v>
      </c>
    </row>
    <row r="367" spans="1:11" x14ac:dyDescent="0.35">
      <c r="A367" s="9" t="s">
        <v>434</v>
      </c>
      <c r="B367" s="10">
        <v>1184</v>
      </c>
      <c r="C367" s="10">
        <v>12</v>
      </c>
      <c r="D367" s="10">
        <v>1</v>
      </c>
      <c r="E367" s="10">
        <v>672</v>
      </c>
      <c r="F367" s="10">
        <v>32794787.852252141</v>
      </c>
      <c r="G367" s="10">
        <v>1059</v>
      </c>
      <c r="H367" s="10">
        <v>7</v>
      </c>
      <c r="I367" s="10">
        <v>1</v>
      </c>
      <c r="J367" s="10">
        <v>599</v>
      </c>
      <c r="K367" s="10">
        <v>20510488.762776639</v>
      </c>
    </row>
    <row r="368" spans="1:11" x14ac:dyDescent="0.35">
      <c r="A368" s="9" t="s">
        <v>435</v>
      </c>
      <c r="B368" s="10">
        <v>2876</v>
      </c>
      <c r="C368" s="10">
        <v>34</v>
      </c>
      <c r="D368" s="10">
        <v>3</v>
      </c>
      <c r="E368" s="10">
        <v>1993</v>
      </c>
      <c r="F368" s="10">
        <v>85296565.366977274</v>
      </c>
      <c r="G368" s="10">
        <v>3336</v>
      </c>
      <c r="H368" s="10">
        <v>70</v>
      </c>
      <c r="I368" s="10">
        <v>3</v>
      </c>
      <c r="J368" s="10">
        <v>2358</v>
      </c>
      <c r="K368" s="10">
        <v>76277860.051263943</v>
      </c>
    </row>
    <row r="369" spans="1:11" x14ac:dyDescent="0.35">
      <c r="A369" s="9" t="s">
        <v>436</v>
      </c>
      <c r="B369" s="10">
        <v>2217</v>
      </c>
      <c r="C369" s="10">
        <v>25</v>
      </c>
      <c r="D369" s="10">
        <v>6</v>
      </c>
      <c r="E369" s="10">
        <v>1590</v>
      </c>
      <c r="F369" s="10">
        <v>57126941.99085661</v>
      </c>
      <c r="G369" s="10">
        <v>2377</v>
      </c>
      <c r="H369" s="10">
        <v>24</v>
      </c>
      <c r="I369" s="10">
        <v>8</v>
      </c>
      <c r="J369" s="10">
        <v>1743</v>
      </c>
      <c r="K369" s="10">
        <v>41083052.575020529</v>
      </c>
    </row>
    <row r="370" spans="1:11" x14ac:dyDescent="0.35">
      <c r="A370" s="9" t="s">
        <v>437</v>
      </c>
      <c r="B370" s="10">
        <v>1629</v>
      </c>
      <c r="C370" s="10">
        <v>50</v>
      </c>
      <c r="D370" s="10">
        <v>2</v>
      </c>
      <c r="E370" s="10">
        <v>1051</v>
      </c>
      <c r="F370" s="10">
        <v>50263615.079662606</v>
      </c>
      <c r="G370" s="10">
        <v>1552</v>
      </c>
      <c r="H370" s="10">
        <v>17</v>
      </c>
      <c r="I370" s="10">
        <v>2</v>
      </c>
      <c r="J370" s="10">
        <v>1197</v>
      </c>
      <c r="K370" s="10">
        <v>36495088.346880279</v>
      </c>
    </row>
    <row r="371" spans="1:11" x14ac:dyDescent="0.35">
      <c r="A371" s="9" t="s">
        <v>438</v>
      </c>
      <c r="B371" s="10">
        <v>4737</v>
      </c>
      <c r="C371" s="10">
        <v>48</v>
      </c>
      <c r="D371" s="10">
        <v>5</v>
      </c>
      <c r="E371" s="10">
        <v>2557</v>
      </c>
      <c r="F371" s="10">
        <v>122840799.56942034</v>
      </c>
      <c r="G371" s="10">
        <v>5333</v>
      </c>
      <c r="H371" s="10">
        <v>48</v>
      </c>
      <c r="I371" s="10">
        <v>6</v>
      </c>
      <c r="J371" s="10">
        <v>2539</v>
      </c>
      <c r="K371" s="10">
        <v>70851377.640162662</v>
      </c>
    </row>
    <row r="372" spans="1:11" x14ac:dyDescent="0.35">
      <c r="A372" s="9" t="s">
        <v>439</v>
      </c>
      <c r="B372" s="10">
        <v>1593</v>
      </c>
      <c r="C372" s="10">
        <v>12</v>
      </c>
      <c r="D372" s="10">
        <v>10</v>
      </c>
      <c r="E372" s="10">
        <v>963</v>
      </c>
      <c r="F372" s="10">
        <v>47687564.865769595</v>
      </c>
      <c r="G372" s="10">
        <v>1657</v>
      </c>
      <c r="H372" s="10">
        <v>10</v>
      </c>
      <c r="I372" s="10">
        <v>10</v>
      </c>
      <c r="J372" s="10">
        <v>962</v>
      </c>
      <c r="K372" s="10">
        <v>26201576.328479093</v>
      </c>
    </row>
    <row r="373" spans="1:11" x14ac:dyDescent="0.35">
      <c r="A373" s="9" t="s">
        <v>440</v>
      </c>
      <c r="B373" s="10">
        <v>2222</v>
      </c>
      <c r="C373" s="10">
        <v>14</v>
      </c>
      <c r="D373" s="10">
        <v>14</v>
      </c>
      <c r="E373" s="10">
        <v>1034</v>
      </c>
      <c r="F373" s="10">
        <v>56625723.421728648</v>
      </c>
      <c r="G373" s="10">
        <v>2192</v>
      </c>
      <c r="H373" s="10">
        <v>9</v>
      </c>
      <c r="I373" s="10">
        <v>14</v>
      </c>
      <c r="J373" s="10">
        <v>1064</v>
      </c>
      <c r="K373" s="10">
        <v>7578160.9512142539</v>
      </c>
    </row>
    <row r="374" spans="1:11" x14ac:dyDescent="0.35">
      <c r="A374" s="9" t="s">
        <v>441</v>
      </c>
      <c r="B374" s="10">
        <v>2886</v>
      </c>
      <c r="C374" s="10">
        <v>34</v>
      </c>
      <c r="D374" s="10">
        <v>5</v>
      </c>
      <c r="E374" s="10">
        <v>2048</v>
      </c>
      <c r="F374" s="10">
        <v>86124239.084069908</v>
      </c>
      <c r="G374" s="10">
        <v>2905</v>
      </c>
      <c r="H374" s="10">
        <v>397</v>
      </c>
      <c r="I374" s="10">
        <v>4</v>
      </c>
      <c r="J374" s="10">
        <v>1583</v>
      </c>
      <c r="K374" s="10">
        <v>51099371.500210457</v>
      </c>
    </row>
    <row r="375" spans="1:11" x14ac:dyDescent="0.35">
      <c r="A375" s="9" t="s">
        <v>442</v>
      </c>
      <c r="B375" s="10">
        <v>2420</v>
      </c>
      <c r="C375" s="10">
        <v>61</v>
      </c>
      <c r="D375" s="10">
        <v>2</v>
      </c>
      <c r="E375" s="10">
        <v>1700</v>
      </c>
      <c r="F375" s="10">
        <v>74079615.125004709</v>
      </c>
      <c r="G375" s="10">
        <v>2408</v>
      </c>
      <c r="H375" s="10">
        <v>61</v>
      </c>
      <c r="I375" s="10">
        <v>4</v>
      </c>
      <c r="J375" s="10">
        <v>1629</v>
      </c>
      <c r="K375" s="10">
        <v>46585562.415800311</v>
      </c>
    </row>
    <row r="376" spans="1:11" x14ac:dyDescent="0.35">
      <c r="A376" s="9" t="s">
        <v>443</v>
      </c>
      <c r="B376" s="10">
        <v>1616</v>
      </c>
      <c r="C376" s="10">
        <v>232</v>
      </c>
      <c r="D376" s="10">
        <v>4</v>
      </c>
      <c r="E376" s="10">
        <v>756</v>
      </c>
      <c r="F376" s="10">
        <v>43287152.429020301</v>
      </c>
      <c r="G376" s="10">
        <v>1799</v>
      </c>
      <c r="H376" s="10">
        <v>161</v>
      </c>
      <c r="I376" s="10">
        <v>2</v>
      </c>
      <c r="J376" s="10">
        <v>885</v>
      </c>
      <c r="K376" s="10">
        <v>27182989.924034383</v>
      </c>
    </row>
    <row r="377" spans="1:11" x14ac:dyDescent="0.35">
      <c r="A377" s="9" t="s">
        <v>444</v>
      </c>
      <c r="B377" s="10">
        <v>1315</v>
      </c>
      <c r="C377" s="10">
        <v>14</v>
      </c>
      <c r="D377" s="10">
        <v>3</v>
      </c>
      <c r="E377" s="10">
        <v>1091</v>
      </c>
      <c r="F377" s="10">
        <v>45155848.299938671</v>
      </c>
      <c r="G377" s="10">
        <v>1215</v>
      </c>
      <c r="H377" s="10">
        <v>6</v>
      </c>
      <c r="I377" s="10">
        <v>3</v>
      </c>
      <c r="J377" s="10">
        <v>1120</v>
      </c>
      <c r="K377" s="10">
        <v>28384370.123754513</v>
      </c>
    </row>
    <row r="378" spans="1:11" x14ac:dyDescent="0.35">
      <c r="A378" s="9" t="s">
        <v>445</v>
      </c>
      <c r="B378" s="10">
        <v>6497</v>
      </c>
      <c r="C378" s="10">
        <v>372</v>
      </c>
      <c r="D378" s="10">
        <v>6</v>
      </c>
      <c r="E378" s="10">
        <v>3721</v>
      </c>
      <c r="F378" s="10">
        <v>139221853.43179202</v>
      </c>
      <c r="G378" s="10">
        <v>5239</v>
      </c>
      <c r="H378" s="10">
        <v>96</v>
      </c>
      <c r="I378" s="10">
        <v>7</v>
      </c>
      <c r="J378" s="10">
        <v>3428</v>
      </c>
      <c r="K378" s="10">
        <v>101455475.32622881</v>
      </c>
    </row>
    <row r="379" spans="1:11" x14ac:dyDescent="0.35">
      <c r="A379" s="9" t="s">
        <v>446</v>
      </c>
      <c r="B379" s="10">
        <v>3270</v>
      </c>
      <c r="C379" s="10">
        <v>512</v>
      </c>
      <c r="D379" s="10">
        <v>5</v>
      </c>
      <c r="E379" s="10">
        <v>2065</v>
      </c>
      <c r="F379" s="10">
        <v>66720043.274555221</v>
      </c>
      <c r="G379" s="10">
        <v>2360</v>
      </c>
      <c r="H379" s="10">
        <v>49</v>
      </c>
      <c r="I379" s="10">
        <v>4</v>
      </c>
      <c r="J379" s="10">
        <v>1648</v>
      </c>
      <c r="K379" s="10">
        <v>48726896.261537232</v>
      </c>
    </row>
    <row r="380" spans="1:11" x14ac:dyDescent="0.35">
      <c r="A380" s="9" t="s">
        <v>447</v>
      </c>
      <c r="B380" s="10">
        <v>2233</v>
      </c>
      <c r="C380" s="10">
        <v>30</v>
      </c>
      <c r="D380" s="10">
        <v>2</v>
      </c>
      <c r="E380" s="10">
        <v>1505</v>
      </c>
      <c r="F380" s="10">
        <v>53412284.35310626</v>
      </c>
      <c r="G380" s="10">
        <v>2094</v>
      </c>
      <c r="H380" s="10">
        <v>15</v>
      </c>
      <c r="I380" s="10">
        <v>2</v>
      </c>
      <c r="J380" s="10">
        <v>1345</v>
      </c>
      <c r="K380" s="10">
        <v>36727817.993530013</v>
      </c>
    </row>
    <row r="381" spans="1:11" x14ac:dyDescent="0.35">
      <c r="A381" s="9" t="s">
        <v>448</v>
      </c>
      <c r="B381" s="10">
        <v>2937</v>
      </c>
      <c r="C381" s="10">
        <v>29</v>
      </c>
      <c r="D381" s="10">
        <v>8</v>
      </c>
      <c r="E381" s="10">
        <v>2064</v>
      </c>
      <c r="F381" s="10">
        <v>94053585.224565849</v>
      </c>
      <c r="G381" s="10">
        <v>2883</v>
      </c>
      <c r="H381" s="10">
        <v>62</v>
      </c>
      <c r="I381" s="10">
        <v>9</v>
      </c>
      <c r="J381" s="10">
        <v>2074</v>
      </c>
      <c r="K381" s="10">
        <v>65510067.251443401</v>
      </c>
    </row>
    <row r="382" spans="1:11" x14ac:dyDescent="0.35">
      <c r="A382" s="9" t="s">
        <v>449</v>
      </c>
      <c r="B382" s="10">
        <v>1901</v>
      </c>
      <c r="C382" s="10">
        <v>18</v>
      </c>
      <c r="D382" s="10">
        <v>3</v>
      </c>
      <c r="E382" s="10">
        <v>1469</v>
      </c>
      <c r="F382" s="10">
        <v>53414937.452565372</v>
      </c>
      <c r="G382" s="10">
        <v>1909</v>
      </c>
      <c r="H382" s="10">
        <v>12</v>
      </c>
      <c r="I382" s="10">
        <v>2</v>
      </c>
      <c r="J382" s="10">
        <v>1285</v>
      </c>
      <c r="K382" s="10">
        <v>34140359.753548093</v>
      </c>
    </row>
    <row r="383" spans="1:11" x14ac:dyDescent="0.35">
      <c r="A383" s="9" t="s">
        <v>450</v>
      </c>
      <c r="B383" s="10">
        <v>883</v>
      </c>
      <c r="C383" s="10">
        <v>10</v>
      </c>
      <c r="D383" s="10">
        <v>3</v>
      </c>
      <c r="E383" s="10">
        <v>450</v>
      </c>
      <c r="F383" s="10">
        <v>19088830.883009065</v>
      </c>
      <c r="G383" s="10">
        <v>927</v>
      </c>
      <c r="H383" s="10">
        <v>2</v>
      </c>
      <c r="I383" s="10">
        <v>3</v>
      </c>
      <c r="J383" s="10">
        <v>443</v>
      </c>
      <c r="K383" s="10">
        <v>12969339.291780155</v>
      </c>
    </row>
    <row r="384" spans="1:11" x14ac:dyDescent="0.35">
      <c r="A384" s="9" t="s">
        <v>451</v>
      </c>
      <c r="B384" s="10">
        <v>2640</v>
      </c>
      <c r="C384" s="10">
        <v>345</v>
      </c>
      <c r="D384" s="10">
        <v>6</v>
      </c>
      <c r="E384" s="10">
        <v>1476</v>
      </c>
      <c r="F384" s="10">
        <v>60698164.840669021</v>
      </c>
      <c r="G384" s="10">
        <v>6140</v>
      </c>
      <c r="H384" s="10">
        <v>2503</v>
      </c>
      <c r="I384" s="10">
        <v>5</v>
      </c>
      <c r="J384" s="10">
        <v>1996</v>
      </c>
      <c r="K384" s="10">
        <v>47489249.179885827</v>
      </c>
    </row>
    <row r="385" spans="1:11" x14ac:dyDescent="0.35">
      <c r="A385" s="9" t="s">
        <v>452</v>
      </c>
      <c r="B385" s="10">
        <v>1742</v>
      </c>
      <c r="C385" s="10">
        <v>14</v>
      </c>
      <c r="D385" s="10">
        <v>6</v>
      </c>
      <c r="E385" s="10">
        <v>1207</v>
      </c>
      <c r="F385" s="10">
        <v>62019654.915668309</v>
      </c>
      <c r="G385" s="10">
        <v>1753</v>
      </c>
      <c r="H385" s="10">
        <v>19</v>
      </c>
      <c r="I385" s="10">
        <v>6</v>
      </c>
      <c r="J385" s="10">
        <v>1205</v>
      </c>
      <c r="K385" s="10">
        <v>34996577.007858537</v>
      </c>
    </row>
    <row r="386" spans="1:11" x14ac:dyDescent="0.35">
      <c r="A386" s="9" t="s">
        <v>453</v>
      </c>
      <c r="B386" s="10">
        <v>1850</v>
      </c>
      <c r="C386" s="10">
        <v>24</v>
      </c>
      <c r="D386" s="10">
        <v>4</v>
      </c>
      <c r="E386" s="10">
        <v>1317</v>
      </c>
      <c r="F386" s="10">
        <v>54155283.206621692</v>
      </c>
      <c r="G386" s="10">
        <v>1967</v>
      </c>
      <c r="H386" s="10">
        <v>20</v>
      </c>
      <c r="I386" s="10">
        <v>5</v>
      </c>
      <c r="J386" s="10">
        <v>1406</v>
      </c>
      <c r="K386" s="10">
        <v>39037715.611889042</v>
      </c>
    </row>
    <row r="387" spans="1:11" x14ac:dyDescent="0.35">
      <c r="A387" s="9" t="s">
        <v>454</v>
      </c>
      <c r="B387" s="10">
        <v>3690</v>
      </c>
      <c r="C387" s="10">
        <v>74</v>
      </c>
      <c r="D387" s="10">
        <v>8</v>
      </c>
      <c r="E387" s="10">
        <v>2424</v>
      </c>
      <c r="F387" s="10">
        <v>103030635.76196091</v>
      </c>
      <c r="G387" s="10">
        <v>4185</v>
      </c>
      <c r="H387" s="10">
        <v>247</v>
      </c>
      <c r="I387" s="10">
        <v>7</v>
      </c>
      <c r="J387" s="10">
        <v>2514</v>
      </c>
      <c r="K387" s="10">
        <v>75806705.584789678</v>
      </c>
    </row>
    <row r="388" spans="1:11" x14ac:dyDescent="0.35">
      <c r="A388" s="9" t="s">
        <v>455</v>
      </c>
      <c r="B388" s="10">
        <v>4706</v>
      </c>
      <c r="C388" s="10">
        <v>48</v>
      </c>
      <c r="D388" s="10">
        <v>30</v>
      </c>
      <c r="E388" s="10">
        <v>2447</v>
      </c>
      <c r="F388" s="10">
        <v>148480024.42360601</v>
      </c>
      <c r="G388" s="10">
        <v>4661</v>
      </c>
      <c r="H388" s="10">
        <v>16</v>
      </c>
      <c r="I388" s="10">
        <v>22</v>
      </c>
      <c r="J388" s="10">
        <v>2186</v>
      </c>
      <c r="K388" s="10">
        <v>42349893.396175668</v>
      </c>
    </row>
    <row r="389" spans="1:11" x14ac:dyDescent="0.35">
      <c r="A389" s="9" t="s">
        <v>456</v>
      </c>
      <c r="B389" s="10">
        <v>1870</v>
      </c>
      <c r="C389" s="10">
        <v>33</v>
      </c>
      <c r="D389" s="10">
        <v>4</v>
      </c>
      <c r="E389" s="10">
        <v>1339</v>
      </c>
      <c r="F389" s="10">
        <v>58856999.222978882</v>
      </c>
      <c r="G389" s="10">
        <v>1980</v>
      </c>
      <c r="H389" s="10">
        <v>25</v>
      </c>
      <c r="I389" s="10">
        <v>3</v>
      </c>
      <c r="J389" s="10">
        <v>1523</v>
      </c>
      <c r="K389" s="10">
        <v>42886779.357322551</v>
      </c>
    </row>
    <row r="390" spans="1:11" x14ac:dyDescent="0.35">
      <c r="A390" s="9" t="s">
        <v>457</v>
      </c>
      <c r="B390" s="10">
        <v>905</v>
      </c>
      <c r="C390" s="10">
        <v>12</v>
      </c>
      <c r="D390" s="10">
        <v>0</v>
      </c>
      <c r="E390" s="10">
        <v>731</v>
      </c>
      <c r="F390" s="10">
        <v>29322206.537891135</v>
      </c>
      <c r="G390" s="10">
        <v>857</v>
      </c>
      <c r="H390" s="10">
        <v>9</v>
      </c>
      <c r="I390" s="10">
        <v>1</v>
      </c>
      <c r="J390" s="10">
        <v>781</v>
      </c>
      <c r="K390" s="10">
        <v>21186707.340532504</v>
      </c>
    </row>
    <row r="391" spans="1:11" x14ac:dyDescent="0.35">
      <c r="A391" s="9" t="s">
        <v>458</v>
      </c>
      <c r="B391" s="10">
        <v>2721</v>
      </c>
      <c r="C391" s="10">
        <v>22</v>
      </c>
      <c r="D391" s="10">
        <v>5</v>
      </c>
      <c r="E391" s="10">
        <v>1875</v>
      </c>
      <c r="F391" s="10">
        <v>66808837.548229739</v>
      </c>
      <c r="G391" s="10">
        <v>2696</v>
      </c>
      <c r="H391" s="10">
        <v>17</v>
      </c>
      <c r="I391" s="10">
        <v>4</v>
      </c>
      <c r="J391" s="10">
        <v>1826</v>
      </c>
      <c r="K391" s="10">
        <v>39266687.876808815</v>
      </c>
    </row>
    <row r="392" spans="1:11" x14ac:dyDescent="0.35">
      <c r="A392" s="9" t="s">
        <v>459</v>
      </c>
      <c r="B392" s="10">
        <v>3221</v>
      </c>
      <c r="C392" s="10">
        <v>48</v>
      </c>
      <c r="D392" s="10">
        <v>5</v>
      </c>
      <c r="E392" s="10">
        <v>1868</v>
      </c>
      <c r="F392" s="10">
        <v>87680936.172557324</v>
      </c>
      <c r="G392" s="10">
        <v>3580</v>
      </c>
      <c r="H392" s="10">
        <v>293</v>
      </c>
      <c r="I392" s="10">
        <v>4</v>
      </c>
      <c r="J392" s="10">
        <v>1637</v>
      </c>
      <c r="K392" s="10">
        <v>53102746.398650281</v>
      </c>
    </row>
    <row r="393" spans="1:11" x14ac:dyDescent="0.35">
      <c r="A393" s="9" t="s">
        <v>460</v>
      </c>
      <c r="B393" s="10">
        <v>4497</v>
      </c>
      <c r="C393" s="10">
        <v>152</v>
      </c>
      <c r="D393" s="10">
        <v>3</v>
      </c>
      <c r="E393" s="10">
        <v>2621</v>
      </c>
      <c r="F393" s="10">
        <v>118647058.51730251</v>
      </c>
      <c r="G393" s="10">
        <v>3276</v>
      </c>
      <c r="H393" s="10">
        <v>125</v>
      </c>
      <c r="I393" s="10">
        <v>2</v>
      </c>
      <c r="J393" s="10">
        <v>2379</v>
      </c>
      <c r="K393" s="10">
        <v>70306513.348917156</v>
      </c>
    </row>
    <row r="394" spans="1:11" x14ac:dyDescent="0.35">
      <c r="A394" s="9" t="s">
        <v>461</v>
      </c>
      <c r="B394" s="10">
        <v>2297</v>
      </c>
      <c r="C394" s="10">
        <v>42</v>
      </c>
      <c r="D394" s="10">
        <v>4</v>
      </c>
      <c r="E394" s="10">
        <v>1697</v>
      </c>
      <c r="F394" s="10">
        <v>55533307.883630805</v>
      </c>
      <c r="G394" s="10">
        <v>2197</v>
      </c>
      <c r="H394" s="10">
        <v>67</v>
      </c>
      <c r="I394" s="10">
        <v>3</v>
      </c>
      <c r="J394" s="10">
        <v>1703</v>
      </c>
      <c r="K394" s="10">
        <v>34225599.247787841</v>
      </c>
    </row>
    <row r="395" spans="1:11" x14ac:dyDescent="0.35">
      <c r="A395" s="9" t="s">
        <v>462</v>
      </c>
      <c r="B395" s="10">
        <v>1724</v>
      </c>
      <c r="C395" s="10">
        <v>25</v>
      </c>
      <c r="D395" s="10">
        <v>3</v>
      </c>
      <c r="E395" s="10">
        <v>1426</v>
      </c>
      <c r="F395" s="10">
        <v>52742843.378120586</v>
      </c>
      <c r="G395" s="10">
        <v>1977</v>
      </c>
      <c r="H395" s="10">
        <v>21</v>
      </c>
      <c r="I395" s="10">
        <v>4</v>
      </c>
      <c r="J395" s="10">
        <v>1503</v>
      </c>
      <c r="K395" s="10">
        <v>43116529.242401175</v>
      </c>
    </row>
    <row r="396" spans="1:11" x14ac:dyDescent="0.35">
      <c r="A396" s="9" t="s">
        <v>463</v>
      </c>
      <c r="B396" s="10">
        <v>1346</v>
      </c>
      <c r="C396" s="10">
        <v>14</v>
      </c>
      <c r="D396" s="10">
        <v>1</v>
      </c>
      <c r="E396" s="10">
        <v>811</v>
      </c>
      <c r="F396" s="10">
        <v>39963931.448142476</v>
      </c>
      <c r="G396" s="10">
        <v>1194</v>
      </c>
      <c r="H396" s="10">
        <v>5</v>
      </c>
      <c r="I396" s="10">
        <v>0</v>
      </c>
      <c r="J396" s="10">
        <v>306</v>
      </c>
      <c r="K396" s="10">
        <v>14188138.787076453</v>
      </c>
    </row>
    <row r="397" spans="1:11" x14ac:dyDescent="0.35">
      <c r="A397" s="9" t="s">
        <v>464</v>
      </c>
      <c r="B397" s="10">
        <v>1071</v>
      </c>
      <c r="C397" s="10">
        <v>16</v>
      </c>
      <c r="D397" s="10">
        <v>2</v>
      </c>
      <c r="E397" s="10">
        <v>718</v>
      </c>
      <c r="F397" s="10">
        <v>40776751.466388933</v>
      </c>
      <c r="G397" s="10">
        <v>1060</v>
      </c>
      <c r="H397" s="10">
        <v>11</v>
      </c>
      <c r="I397" s="10">
        <v>2</v>
      </c>
      <c r="J397" s="10">
        <v>680</v>
      </c>
      <c r="K397" s="10">
        <v>27255891.70657564</v>
      </c>
    </row>
    <row r="398" spans="1:11" x14ac:dyDescent="0.35">
      <c r="A398" s="9" t="s">
        <v>465</v>
      </c>
      <c r="B398" s="10">
        <v>2298</v>
      </c>
      <c r="C398" s="10">
        <v>26</v>
      </c>
      <c r="D398" s="10">
        <v>6</v>
      </c>
      <c r="E398" s="10">
        <v>1393</v>
      </c>
      <c r="F398" s="10">
        <v>65075540.716466703</v>
      </c>
      <c r="G398" s="10">
        <v>2242</v>
      </c>
      <c r="H398" s="10">
        <v>22</v>
      </c>
      <c r="I398" s="10">
        <v>7</v>
      </c>
      <c r="J398" s="10">
        <v>1410</v>
      </c>
      <c r="K398" s="10">
        <v>40864269.743434235</v>
      </c>
    </row>
    <row r="399" spans="1:11" x14ac:dyDescent="0.35">
      <c r="A399" s="9" t="s">
        <v>466</v>
      </c>
      <c r="B399" s="10">
        <v>3307</v>
      </c>
      <c r="C399" s="10">
        <v>45</v>
      </c>
      <c r="D399" s="10">
        <v>3</v>
      </c>
      <c r="E399" s="10">
        <v>2058</v>
      </c>
      <c r="F399" s="10">
        <v>90300644.621244892</v>
      </c>
      <c r="G399" s="10">
        <v>4035</v>
      </c>
      <c r="H399" s="10">
        <v>54</v>
      </c>
      <c r="I399" s="10">
        <v>3</v>
      </c>
      <c r="J399" s="10">
        <v>2410</v>
      </c>
      <c r="K399" s="10">
        <v>75539531.068117037</v>
      </c>
    </row>
    <row r="400" spans="1:11" x14ac:dyDescent="0.35">
      <c r="A400" s="9" t="s">
        <v>467</v>
      </c>
      <c r="B400" s="10">
        <v>2544</v>
      </c>
      <c r="C400" s="10">
        <v>32</v>
      </c>
      <c r="D400" s="10">
        <v>4</v>
      </c>
      <c r="E400" s="10">
        <v>2178</v>
      </c>
      <c r="F400" s="10">
        <v>78603885.278805271</v>
      </c>
      <c r="G400" s="10">
        <v>3287</v>
      </c>
      <c r="H400" s="10">
        <v>295</v>
      </c>
      <c r="I400" s="10">
        <v>5</v>
      </c>
      <c r="J400" s="10">
        <v>2654</v>
      </c>
      <c r="K400" s="10">
        <v>62017417.43779254</v>
      </c>
    </row>
    <row r="401" spans="1:11" x14ac:dyDescent="0.35">
      <c r="A401" s="9" t="s">
        <v>468</v>
      </c>
      <c r="B401" s="10">
        <v>3673</v>
      </c>
      <c r="C401" s="10">
        <v>63</v>
      </c>
      <c r="D401" s="10">
        <v>2</v>
      </c>
      <c r="E401" s="10">
        <v>2699</v>
      </c>
      <c r="F401" s="10">
        <v>107792110.55220862</v>
      </c>
      <c r="G401" s="10">
        <v>3639</v>
      </c>
      <c r="H401" s="10">
        <v>170</v>
      </c>
      <c r="I401" s="10">
        <v>2</v>
      </c>
      <c r="J401" s="10">
        <v>2762</v>
      </c>
      <c r="K401" s="10">
        <v>69365762.007026643</v>
      </c>
    </row>
    <row r="402" spans="1:11" x14ac:dyDescent="0.35">
      <c r="A402" s="9" t="s">
        <v>469</v>
      </c>
      <c r="B402" s="10">
        <v>1382</v>
      </c>
      <c r="C402" s="10">
        <v>18</v>
      </c>
      <c r="D402" s="10">
        <v>3</v>
      </c>
      <c r="E402" s="10">
        <v>1217</v>
      </c>
      <c r="F402" s="10">
        <v>45138852.775162488</v>
      </c>
      <c r="G402" s="10">
        <v>1360</v>
      </c>
      <c r="H402" s="10">
        <v>14</v>
      </c>
      <c r="I402" s="10">
        <v>3</v>
      </c>
      <c r="J402" s="10">
        <v>1103</v>
      </c>
      <c r="K402" s="10">
        <v>33097029.208084349</v>
      </c>
    </row>
    <row r="403" spans="1:11" x14ac:dyDescent="0.35">
      <c r="A403" s="9" t="s">
        <v>470</v>
      </c>
      <c r="B403" s="10">
        <v>2981</v>
      </c>
      <c r="C403" s="10">
        <v>30</v>
      </c>
      <c r="D403" s="10">
        <v>4</v>
      </c>
      <c r="E403" s="10">
        <v>2195</v>
      </c>
      <c r="F403" s="10">
        <v>79122321.610445708</v>
      </c>
      <c r="G403" s="10">
        <v>3267</v>
      </c>
      <c r="H403" s="10">
        <v>34</v>
      </c>
      <c r="I403" s="10">
        <v>4</v>
      </c>
      <c r="J403" s="10">
        <v>2426</v>
      </c>
      <c r="K403" s="10">
        <v>59602856.232155748</v>
      </c>
    </row>
    <row r="404" spans="1:11" x14ac:dyDescent="0.35">
      <c r="A404" s="9" t="s">
        <v>471</v>
      </c>
      <c r="B404" s="10">
        <v>1897</v>
      </c>
      <c r="C404" s="10">
        <v>19</v>
      </c>
      <c r="D404" s="10">
        <v>3</v>
      </c>
      <c r="E404" s="10">
        <v>1407</v>
      </c>
      <c r="F404" s="10">
        <v>45150067.428608015</v>
      </c>
      <c r="G404" s="10">
        <v>1870</v>
      </c>
      <c r="H404" s="10">
        <v>15</v>
      </c>
      <c r="I404" s="10">
        <v>3</v>
      </c>
      <c r="J404" s="10">
        <v>687</v>
      </c>
      <c r="K404" s="10">
        <v>27518365.590569135</v>
      </c>
    </row>
    <row r="405" spans="1:11" x14ac:dyDescent="0.35">
      <c r="A405" s="9" t="s">
        <v>472</v>
      </c>
      <c r="B405" s="10">
        <v>3278</v>
      </c>
      <c r="C405" s="10">
        <v>31</v>
      </c>
      <c r="D405" s="10">
        <v>8</v>
      </c>
      <c r="E405" s="10">
        <v>2453</v>
      </c>
      <c r="F405" s="10">
        <v>102500672.90082934</v>
      </c>
      <c r="G405" s="10">
        <v>3429</v>
      </c>
      <c r="H405" s="10">
        <v>25</v>
      </c>
      <c r="I405" s="10">
        <v>9</v>
      </c>
      <c r="J405" s="10">
        <v>2311</v>
      </c>
      <c r="K405" s="10">
        <v>59304315.742769562</v>
      </c>
    </row>
    <row r="406" spans="1:11" x14ac:dyDescent="0.35">
      <c r="A406" s="9" t="s">
        <v>473</v>
      </c>
      <c r="B406" s="10">
        <v>2652</v>
      </c>
      <c r="C406" s="10">
        <v>448</v>
      </c>
      <c r="D406" s="10">
        <v>1</v>
      </c>
      <c r="E406" s="10">
        <v>1287</v>
      </c>
      <c r="F406" s="10">
        <v>55519307.36208722</v>
      </c>
      <c r="G406" s="10">
        <v>2072</v>
      </c>
      <c r="H406" s="10">
        <v>15</v>
      </c>
      <c r="I406" s="10">
        <v>1</v>
      </c>
      <c r="J406" s="10">
        <v>1238</v>
      </c>
      <c r="K406" s="10">
        <v>37228165.052988313</v>
      </c>
    </row>
    <row r="407" spans="1:11" x14ac:dyDescent="0.35">
      <c r="A407" s="9" t="s">
        <v>474</v>
      </c>
      <c r="B407" s="10">
        <v>2376</v>
      </c>
      <c r="C407" s="10">
        <v>51</v>
      </c>
      <c r="D407" s="10">
        <v>4</v>
      </c>
      <c r="E407" s="10">
        <v>1524</v>
      </c>
      <c r="F407" s="10">
        <v>61267806.299601763</v>
      </c>
      <c r="G407" s="10">
        <v>2391</v>
      </c>
      <c r="H407" s="10">
        <v>25</v>
      </c>
      <c r="I407" s="10">
        <v>4</v>
      </c>
      <c r="J407" s="10">
        <v>1389</v>
      </c>
      <c r="K407" s="10">
        <v>38360544.474219181</v>
      </c>
    </row>
    <row r="408" spans="1:11" x14ac:dyDescent="0.35">
      <c r="A408" s="9" t="s">
        <v>475</v>
      </c>
      <c r="B408" s="10">
        <v>2310</v>
      </c>
      <c r="C408" s="10">
        <v>21</v>
      </c>
      <c r="D408" s="10">
        <v>5</v>
      </c>
      <c r="E408" s="10">
        <v>1539</v>
      </c>
      <c r="F408" s="10">
        <v>55779228.55049108</v>
      </c>
      <c r="G408" s="10">
        <v>1962</v>
      </c>
      <c r="H408" s="10">
        <v>19</v>
      </c>
      <c r="I408" s="10">
        <v>4</v>
      </c>
      <c r="J408" s="10">
        <v>1601</v>
      </c>
      <c r="K408" s="10">
        <v>36514647.389285207</v>
      </c>
    </row>
    <row r="409" spans="1:11" x14ac:dyDescent="0.35">
      <c r="A409" s="9" t="s">
        <v>476</v>
      </c>
      <c r="B409" s="10">
        <v>1572</v>
      </c>
      <c r="C409" s="10">
        <v>21</v>
      </c>
      <c r="D409" s="10">
        <v>4</v>
      </c>
      <c r="E409" s="10">
        <v>1297</v>
      </c>
      <c r="F409" s="10">
        <v>51807023.16168578</v>
      </c>
      <c r="G409" s="10">
        <v>1706</v>
      </c>
      <c r="H409" s="10">
        <v>15</v>
      </c>
      <c r="I409" s="10">
        <v>5</v>
      </c>
      <c r="J409" s="10">
        <v>1545</v>
      </c>
      <c r="K409" s="10">
        <v>35609733.512906909</v>
      </c>
    </row>
    <row r="410" spans="1:11" x14ac:dyDescent="0.35">
      <c r="A410" s="9" t="s">
        <v>477</v>
      </c>
      <c r="B410" s="10">
        <v>2398</v>
      </c>
      <c r="C410" s="10">
        <v>20</v>
      </c>
      <c r="D410" s="10">
        <v>4</v>
      </c>
      <c r="E410" s="10">
        <v>1854</v>
      </c>
      <c r="F410" s="10">
        <v>60403685.834231839</v>
      </c>
      <c r="G410" s="10">
        <v>2522</v>
      </c>
      <c r="H410" s="10">
        <v>18</v>
      </c>
      <c r="I410" s="10">
        <v>4</v>
      </c>
      <c r="J410" s="10">
        <v>2097</v>
      </c>
      <c r="K410" s="10">
        <v>45048112.14211949</v>
      </c>
    </row>
    <row r="411" spans="1:11" x14ac:dyDescent="0.35">
      <c r="A411" s="9" t="s">
        <v>478</v>
      </c>
      <c r="B411" s="10">
        <v>2879</v>
      </c>
      <c r="C411" s="10">
        <v>42</v>
      </c>
      <c r="D411" s="10">
        <v>6</v>
      </c>
      <c r="E411" s="10">
        <v>1937</v>
      </c>
      <c r="F411" s="10">
        <v>68229948.374423772</v>
      </c>
      <c r="G411" s="10">
        <v>3049</v>
      </c>
      <c r="H411" s="10">
        <v>33</v>
      </c>
      <c r="I411" s="10">
        <v>5</v>
      </c>
      <c r="J411" s="10">
        <v>1925</v>
      </c>
      <c r="K411" s="10">
        <v>42505945.711232722</v>
      </c>
    </row>
    <row r="412" spans="1:11" x14ac:dyDescent="0.35">
      <c r="A412" s="9" t="s">
        <v>479</v>
      </c>
      <c r="B412" s="10">
        <v>4226</v>
      </c>
      <c r="C412" s="10">
        <v>28</v>
      </c>
      <c r="D412" s="10">
        <v>5</v>
      </c>
      <c r="E412" s="10">
        <v>3021</v>
      </c>
      <c r="F412" s="10">
        <v>105645066.59601691</v>
      </c>
      <c r="G412" s="10">
        <v>4136</v>
      </c>
      <c r="H412" s="10">
        <v>22</v>
      </c>
      <c r="I412" s="10">
        <v>4</v>
      </c>
      <c r="J412" s="10">
        <v>2676</v>
      </c>
      <c r="K412" s="10">
        <v>62484784.369419776</v>
      </c>
    </row>
    <row r="413" spans="1:11" x14ac:dyDescent="0.35">
      <c r="A413" s="9" t="s">
        <v>480</v>
      </c>
      <c r="B413" s="10">
        <v>2368</v>
      </c>
      <c r="C413" s="10">
        <v>12</v>
      </c>
      <c r="D413" s="10">
        <v>2</v>
      </c>
      <c r="E413" s="10">
        <v>1686</v>
      </c>
      <c r="F413" s="10">
        <v>65118263.403980747</v>
      </c>
      <c r="G413" s="10">
        <v>2475</v>
      </c>
      <c r="H413" s="10">
        <v>12</v>
      </c>
      <c r="I413" s="10">
        <v>2</v>
      </c>
      <c r="J413" s="10">
        <v>1760</v>
      </c>
      <c r="K413" s="10">
        <v>42591976.191125758</v>
      </c>
    </row>
    <row r="414" spans="1:11" x14ac:dyDescent="0.35">
      <c r="A414" s="9" t="s">
        <v>481</v>
      </c>
      <c r="B414" s="10">
        <v>2636</v>
      </c>
      <c r="C414" s="10">
        <v>16</v>
      </c>
      <c r="D414" s="10">
        <v>7</v>
      </c>
      <c r="E414" s="10">
        <v>1646</v>
      </c>
      <c r="F414" s="10">
        <v>66849046.82986249</v>
      </c>
      <c r="G414" s="10">
        <v>2589</v>
      </c>
      <c r="H414" s="10">
        <v>11</v>
      </c>
      <c r="I414" s="10">
        <v>8</v>
      </c>
      <c r="J414" s="10">
        <v>1538</v>
      </c>
      <c r="K414" s="10">
        <v>34171216.875876941</v>
      </c>
    </row>
    <row r="415" spans="1:11" x14ac:dyDescent="0.35">
      <c r="A415" s="9" t="s">
        <v>482</v>
      </c>
      <c r="B415" s="10">
        <v>2101</v>
      </c>
      <c r="C415" s="10">
        <v>17</v>
      </c>
      <c r="D415" s="10">
        <v>11</v>
      </c>
      <c r="E415" s="10">
        <v>1571</v>
      </c>
      <c r="F415" s="10">
        <v>64162001.757547736</v>
      </c>
      <c r="G415" s="10">
        <v>2186</v>
      </c>
      <c r="H415" s="10">
        <v>12</v>
      </c>
      <c r="I415" s="10">
        <v>15</v>
      </c>
      <c r="J415" s="10">
        <v>1558</v>
      </c>
      <c r="K415" s="10">
        <v>35009968.778467819</v>
      </c>
    </row>
    <row r="416" spans="1:11" x14ac:dyDescent="0.35">
      <c r="A416" s="9" t="s">
        <v>483</v>
      </c>
      <c r="B416" s="10">
        <v>4004</v>
      </c>
      <c r="C416" s="10">
        <v>58</v>
      </c>
      <c r="D416" s="10">
        <v>30</v>
      </c>
      <c r="E416" s="10">
        <v>1770</v>
      </c>
      <c r="F416" s="10">
        <v>119758706.30758162</v>
      </c>
      <c r="G416" s="10">
        <v>3898</v>
      </c>
      <c r="H416" s="10">
        <v>19</v>
      </c>
      <c r="I416" s="10">
        <v>22</v>
      </c>
      <c r="J416" s="10">
        <v>1361</v>
      </c>
      <c r="K416" s="10">
        <v>18211404.010217968</v>
      </c>
    </row>
    <row r="417" spans="1:11" x14ac:dyDescent="0.35">
      <c r="A417" s="9" t="s">
        <v>484</v>
      </c>
      <c r="B417" s="10">
        <v>3388</v>
      </c>
      <c r="C417" s="10">
        <v>41</v>
      </c>
      <c r="D417" s="10">
        <v>14</v>
      </c>
      <c r="E417" s="10">
        <v>2214</v>
      </c>
      <c r="F417" s="10">
        <v>94278196.884589612</v>
      </c>
      <c r="G417" s="10">
        <v>3361</v>
      </c>
      <c r="H417" s="10">
        <v>18</v>
      </c>
      <c r="I417" s="10">
        <v>14</v>
      </c>
      <c r="J417" s="10">
        <v>2188</v>
      </c>
      <c r="K417" s="10">
        <v>45724985.92211625</v>
      </c>
    </row>
    <row r="418" spans="1:11" x14ac:dyDescent="0.35">
      <c r="A418" s="9" t="s">
        <v>485</v>
      </c>
      <c r="B418" s="10">
        <v>1966</v>
      </c>
      <c r="C418" s="10">
        <v>14</v>
      </c>
      <c r="D418" s="10">
        <v>5</v>
      </c>
      <c r="E418" s="10">
        <v>1191</v>
      </c>
      <c r="F418" s="10">
        <v>35912040.641075954</v>
      </c>
      <c r="G418" s="10">
        <v>2024</v>
      </c>
      <c r="H418" s="10">
        <v>40</v>
      </c>
      <c r="I418" s="10">
        <v>6</v>
      </c>
      <c r="J418" s="10">
        <v>1156</v>
      </c>
      <c r="K418" s="10">
        <v>9601002.66684906</v>
      </c>
    </row>
    <row r="419" spans="1:11" x14ac:dyDescent="0.35">
      <c r="A419" s="9" t="s">
        <v>486</v>
      </c>
      <c r="B419" s="10">
        <v>1868</v>
      </c>
      <c r="C419" s="10">
        <v>34</v>
      </c>
      <c r="D419" s="10">
        <v>3</v>
      </c>
      <c r="E419" s="10">
        <v>1166</v>
      </c>
      <c r="F419" s="10">
        <v>55414692.405708939</v>
      </c>
      <c r="G419" s="10">
        <v>1903</v>
      </c>
      <c r="H419" s="10">
        <v>12</v>
      </c>
      <c r="I419" s="10">
        <v>2</v>
      </c>
      <c r="J419" s="10">
        <v>1073</v>
      </c>
      <c r="K419" s="10">
        <v>30960882.551317509</v>
      </c>
    </row>
    <row r="420" spans="1:11" x14ac:dyDescent="0.35">
      <c r="A420" s="9" t="s">
        <v>487</v>
      </c>
      <c r="B420" s="10">
        <v>3156</v>
      </c>
      <c r="C420" s="10">
        <v>50</v>
      </c>
      <c r="D420" s="10">
        <v>42</v>
      </c>
      <c r="E420" s="10">
        <v>1754</v>
      </c>
      <c r="F420" s="10">
        <v>84296421.5766626</v>
      </c>
      <c r="G420" s="10">
        <v>3197</v>
      </c>
      <c r="H420" s="10">
        <v>11</v>
      </c>
      <c r="I420" s="10">
        <v>39</v>
      </c>
      <c r="J420" s="10">
        <v>1910</v>
      </c>
      <c r="K420" s="10">
        <v>35969728.80481711</v>
      </c>
    </row>
    <row r="421" spans="1:11" x14ac:dyDescent="0.35">
      <c r="A421" s="9" t="s">
        <v>488</v>
      </c>
      <c r="B421" s="10">
        <v>2328</v>
      </c>
      <c r="C421" s="10">
        <v>38</v>
      </c>
      <c r="D421" s="10">
        <v>10</v>
      </c>
      <c r="E421" s="10">
        <v>949</v>
      </c>
      <c r="F421" s="10">
        <v>42790277.144708157</v>
      </c>
      <c r="G421" s="10">
        <v>2315</v>
      </c>
      <c r="H421" s="10">
        <v>20</v>
      </c>
      <c r="I421" s="10">
        <v>8</v>
      </c>
      <c r="J421" s="10">
        <v>940</v>
      </c>
      <c r="K421" s="10">
        <v>10594051.573218962</v>
      </c>
    </row>
    <row r="422" spans="1:11" x14ac:dyDescent="0.35">
      <c r="A422" s="9" t="s">
        <v>489</v>
      </c>
      <c r="B422" s="10">
        <v>3106</v>
      </c>
      <c r="C422" s="10">
        <v>12</v>
      </c>
      <c r="D422" s="10">
        <v>24</v>
      </c>
      <c r="E422" s="10">
        <v>1504</v>
      </c>
      <c r="F422" s="10">
        <v>75714672.28274557</v>
      </c>
      <c r="G422" s="10">
        <v>3039</v>
      </c>
      <c r="H422" s="10">
        <v>4</v>
      </c>
      <c r="I422" s="10">
        <v>20</v>
      </c>
      <c r="J422" s="10">
        <v>1294</v>
      </c>
      <c r="K422" s="10">
        <v>4472657.346261316</v>
      </c>
    </row>
    <row r="423" spans="1:11" x14ac:dyDescent="0.35">
      <c r="A423" s="9" t="s">
        <v>490</v>
      </c>
      <c r="B423" s="10">
        <v>1413</v>
      </c>
      <c r="C423" s="10">
        <v>29</v>
      </c>
      <c r="D423" s="10">
        <v>2</v>
      </c>
      <c r="E423" s="10">
        <v>1405</v>
      </c>
      <c r="F423" s="10">
        <v>58485470.334404431</v>
      </c>
      <c r="G423" s="10">
        <v>1634</v>
      </c>
      <c r="H423" s="10">
        <v>36</v>
      </c>
      <c r="I423" s="10">
        <v>4</v>
      </c>
      <c r="J423" s="10">
        <v>1604</v>
      </c>
      <c r="K423" s="10">
        <v>50494359.924578123</v>
      </c>
    </row>
    <row r="424" spans="1:11" x14ac:dyDescent="0.35">
      <c r="A424" s="9" t="s">
        <v>491</v>
      </c>
      <c r="B424" s="10">
        <v>1524</v>
      </c>
      <c r="C424" s="10">
        <v>13</v>
      </c>
      <c r="D424" s="10">
        <v>3</v>
      </c>
      <c r="E424" s="10">
        <v>937</v>
      </c>
      <c r="F424" s="10">
        <v>46161702.824667066</v>
      </c>
      <c r="G424" s="10">
        <v>1632</v>
      </c>
      <c r="H424" s="10">
        <v>9</v>
      </c>
      <c r="I424" s="10">
        <v>2</v>
      </c>
      <c r="J424" s="10">
        <v>992</v>
      </c>
      <c r="K424" s="10">
        <v>23960733.722304907</v>
      </c>
    </row>
    <row r="425" spans="1:11" x14ac:dyDescent="0.35">
      <c r="A425" s="9" t="s">
        <v>492</v>
      </c>
      <c r="B425" s="10">
        <v>2934</v>
      </c>
      <c r="C425" s="10">
        <v>2</v>
      </c>
      <c r="D425" s="10">
        <v>29</v>
      </c>
      <c r="E425" s="10">
        <v>1660</v>
      </c>
      <c r="F425" s="10">
        <v>61620717.725771733</v>
      </c>
      <c r="G425" s="10">
        <v>2763</v>
      </c>
      <c r="H425" s="10">
        <v>8</v>
      </c>
      <c r="I425" s="10">
        <v>31</v>
      </c>
      <c r="J425" s="10">
        <v>1621</v>
      </c>
      <c r="K425" s="10">
        <v>8544559.8251299951</v>
      </c>
    </row>
    <row r="426" spans="1:11" x14ac:dyDescent="0.35">
      <c r="A426" s="9" t="s">
        <v>493</v>
      </c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x14ac:dyDescent="0.35">
      <c r="A427" s="14" t="s">
        <v>156</v>
      </c>
      <c r="B427" s="13">
        <v>824921</v>
      </c>
      <c r="C427" s="13">
        <v>17162</v>
      </c>
      <c r="D427" s="13">
        <v>2180</v>
      </c>
      <c r="E427" s="13">
        <v>453051</v>
      </c>
      <c r="F427" s="13">
        <v>22560769454.66011</v>
      </c>
      <c r="G427" s="13">
        <v>668977</v>
      </c>
      <c r="H427" s="13">
        <v>15826</v>
      </c>
      <c r="I427" s="13">
        <v>1891</v>
      </c>
      <c r="J427" s="13">
        <v>354075</v>
      </c>
      <c r="K427" s="13">
        <v>6685957082.6179132</v>
      </c>
    </row>
    <row r="428" spans="1:11" x14ac:dyDescent="0.35">
      <c r="A428" s="9" t="s">
        <v>493</v>
      </c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x14ac:dyDescent="0.35">
      <c r="A429" s="14" t="s">
        <v>156</v>
      </c>
      <c r="B429" s="13">
        <v>307283</v>
      </c>
      <c r="C429" s="13">
        <v>8677</v>
      </c>
      <c r="D429" s="13">
        <v>1226</v>
      </c>
      <c r="E429" s="13">
        <v>268338</v>
      </c>
      <c r="F429" s="13">
        <v>13152436343.974794</v>
      </c>
      <c r="G429" s="13">
        <v>303999</v>
      </c>
      <c r="H429" s="13">
        <v>11824</v>
      </c>
      <c r="I429" s="13">
        <v>1208</v>
      </c>
      <c r="J429" s="13">
        <v>267526</v>
      </c>
      <c r="K429" s="13">
        <v>13474719491.392582</v>
      </c>
    </row>
  </sheetData>
  <autoFilter ref="A5:K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AMN-IOH</dc:creator>
  <cp:lastModifiedBy>AMN-IOH</cp:lastModifiedBy>
  <dcterms:created xsi:type="dcterms:W3CDTF">2024-10-24T02:40:19Z</dcterms:created>
  <dcterms:modified xsi:type="dcterms:W3CDTF">2026-10-31T07:12:36Z</dcterms:modified>
</cp:coreProperties>
</file>