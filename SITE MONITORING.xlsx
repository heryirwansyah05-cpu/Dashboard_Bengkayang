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<sst xmlns="http://schemas.openxmlformats.org/spreadsheetml/2006/main" count="540" uniqueCount="205">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</sst>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B68" activePane="bottomRight" state="frozen"/>
      <selection pane="topRight" activeCell="C1" sqref="C1"/>
      <selection pane="bottomLeft" activeCell="A2" sqref="A2"/>
      <selection pane="bottomRight" activeCell="F2" sqref="F2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4683644.9632336674</v>
      </c>
      <c r="G2" s="1">
        <f>VLOOKUP(A:A,MASTER!A:K,11,0)</f>
        <v>4978053.2402117653</v>
      </c>
      <c r="H2" s="12">
        <f>IFERROR(G2/F2-1,0)</f>
        <v>6.2858794654416572E-2</v>
      </c>
      <c r="I2" s="2">
        <f>VLOOKUP(A:A,MASTER!A:E,5,0)</f>
        <v>362</v>
      </c>
      <c r="J2" s="2">
        <f>VLOOKUP(A:A,MASTER!A:J,10,0)</f>
        <v>401</v>
      </c>
      <c r="K2" s="12">
        <f>IFERROR(J2/I2-1,0)</f>
        <v>0.10773480662983426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0</v>
      </c>
      <c r="P2" s="1">
        <f>VLOOKUP(A:A,MASTER!A:H,8,0)</f>
        <v>1</v>
      </c>
      <c r="Q2" s="12">
        <f>IFERROR(P2/O2-1,0)</f>
        <v>0</v>
      </c>
      <c r="R2" s="1">
        <f>VLOOKUP(A:A,MASTER!A:B,2,0)</f>
        <v>409</v>
      </c>
      <c r="S2">
        <f>VLOOKUP(A:A,MASTER!A:G,7,0)</f>
        <v>438</v>
      </c>
      <c r="T2" s="12">
        <f>IFERROR(S2/R2-1,0)</f>
        <v>7.0904645476772554E-2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5879330.2206863789</v>
      </c>
      <c r="G3" s="1">
        <f>VLOOKUP(A:A,MASTER!A:K,11,0)</f>
        <v>5256335.7833330818</v>
      </c>
      <c r="H3" s="12">
        <f t="shared" ref="H3:H66" si="0">IFERROR(G3/F3-1,0)</f>
        <v>-0.10596350501989082</v>
      </c>
      <c r="I3" s="2">
        <f>VLOOKUP(A:A,MASTER!A:E,5,0)</f>
        <v>510</v>
      </c>
      <c r="J3" s="2">
        <f>VLOOKUP(A:A,MASTER!A:J,10,0)</f>
        <v>453</v>
      </c>
      <c r="K3" s="12">
        <f t="shared" ref="K3:K66" si="1">IFERROR(J3/I3-1,0)</f>
        <v>-0.11176470588235299</v>
      </c>
      <c r="L3" s="2">
        <f>VLOOKUP(A:A,MASTER!A:D,4,0)</f>
        <v>2</v>
      </c>
      <c r="M3" s="2">
        <f>VLOOKUP(A:A,MASTER!A:I,9,0)</f>
        <v>3</v>
      </c>
      <c r="N3" s="12">
        <f t="shared" ref="N3:N66" si="2">IFERROR(M3/L3-1,0)</f>
        <v>0.5</v>
      </c>
      <c r="O3" s="1">
        <f>VLOOKUP(A:A,MASTER!A:C,3,0)</f>
        <v>1</v>
      </c>
      <c r="P3" s="1">
        <f>VLOOKUP(A:A,MASTER!A:H,8,0)</f>
        <v>4</v>
      </c>
      <c r="Q3" s="12">
        <f t="shared" ref="Q3:Q66" si="3">IFERROR(P3/O3-1,0)</f>
        <v>3</v>
      </c>
      <c r="R3" s="1">
        <f>VLOOKUP(A:A,MASTER!A:B,2,0)</f>
        <v>647</v>
      </c>
      <c r="S3">
        <f>VLOOKUP(A:A,MASTER!A:G,7,0)</f>
        <v>579</v>
      </c>
      <c r="T3" s="12">
        <f t="shared" ref="T3:T66" si="4">IFERROR(S3/R3-1,0)</f>
        <v>-0.10510046367851622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5460614.0816717949</v>
      </c>
      <c r="G4" s="1">
        <f>VLOOKUP(A:A,MASTER!A:K,11,0)</f>
        <v>8085340.3775927443</v>
      </c>
      <c r="H4" s="12">
        <f t="shared" si="0"/>
        <v>0.48066504181840597</v>
      </c>
      <c r="I4" s="2">
        <f>VLOOKUP(A:A,MASTER!A:E,5,0)</f>
        <v>640</v>
      </c>
      <c r="J4" s="2">
        <f>VLOOKUP(A:A,MASTER!A:J,10,0)</f>
        <v>651</v>
      </c>
      <c r="K4" s="12">
        <f t="shared" si="1"/>
        <v>1.7187499999999911E-2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2</v>
      </c>
      <c r="P4" s="1">
        <f>VLOOKUP(A:A,MASTER!A:H,8,0)</f>
        <v>3</v>
      </c>
      <c r="Q4" s="12">
        <f t="shared" si="3"/>
        <v>0.5</v>
      </c>
      <c r="R4" s="1">
        <f>VLOOKUP(A:A,MASTER!A:B,2,0)</f>
        <v>725</v>
      </c>
      <c r="S4">
        <f>VLOOKUP(A:A,MASTER!A:G,7,0)</f>
        <v>784</v>
      </c>
      <c r="T4" s="12">
        <f t="shared" si="4"/>
        <v>8.1379310344827482E-2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12236857.910525</v>
      </c>
      <c r="G5" s="1">
        <f>VLOOKUP(A:A,MASTER!A:K,11,0)</f>
        <v>13156974.89442178</v>
      </c>
      <c r="H5" s="12">
        <f t="shared" si="0"/>
        <v>7.5192258554002134E-2</v>
      </c>
      <c r="I5" s="2">
        <f>VLOOKUP(A:A,MASTER!A:E,5,0)</f>
        <v>997</v>
      </c>
      <c r="J5" s="2">
        <f>VLOOKUP(A:A,MASTER!A:J,10,0)</f>
        <v>875</v>
      </c>
      <c r="K5" s="12">
        <f t="shared" si="1"/>
        <v>-0.12236710130391171</v>
      </c>
      <c r="L5" s="2">
        <f>VLOOKUP(A:A,MASTER!A:D,4,0)</f>
        <v>3</v>
      </c>
      <c r="M5" s="2">
        <f>VLOOKUP(A:A,MASTER!A:I,9,0)</f>
        <v>2</v>
      </c>
      <c r="N5" s="12">
        <f t="shared" si="2"/>
        <v>-0.33333333333333337</v>
      </c>
      <c r="O5" s="1">
        <f>VLOOKUP(A:A,MASTER!A:C,3,0)</f>
        <v>2</v>
      </c>
      <c r="P5" s="1">
        <f>VLOOKUP(A:A,MASTER!A:H,8,0)</f>
        <v>1</v>
      </c>
      <c r="Q5" s="12">
        <f t="shared" si="3"/>
        <v>-0.5</v>
      </c>
      <c r="R5" s="1">
        <f>VLOOKUP(A:A,MASTER!A:B,2,0)</f>
        <v>1212</v>
      </c>
      <c r="S5">
        <f>VLOOKUP(A:A,MASTER!A:G,7,0)</f>
        <v>1247</v>
      </c>
      <c r="T5" s="12">
        <f t="shared" si="4"/>
        <v>2.8877887788778978E-2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4990212.0529561229</v>
      </c>
      <c r="G6" s="1">
        <f>VLOOKUP(A:A,MASTER!A:K,11,0)</f>
        <v>5765746.5138189644</v>
      </c>
      <c r="H6" s="12">
        <f t="shared" si="0"/>
        <v>0.15541112334162777</v>
      </c>
      <c r="I6" s="2">
        <f>VLOOKUP(A:A,MASTER!A:E,5,0)</f>
        <v>376</v>
      </c>
      <c r="J6" s="2">
        <f>VLOOKUP(A:A,MASTER!A:J,10,0)</f>
        <v>404</v>
      </c>
      <c r="K6" s="12">
        <f t="shared" si="1"/>
        <v>7.4468085106383031E-2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2</v>
      </c>
      <c r="Q6" s="12">
        <f t="shared" si="3"/>
        <v>1</v>
      </c>
      <c r="R6" s="1">
        <f>VLOOKUP(A:A,MASTER!A:B,2,0)</f>
        <v>407</v>
      </c>
      <c r="S6">
        <f>VLOOKUP(A:A,MASTER!A:G,7,0)</f>
        <v>383</v>
      </c>
      <c r="T6" s="12">
        <f t="shared" si="4"/>
        <v>-5.8968058968059012E-2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4660087.1207807027</v>
      </c>
      <c r="G7" s="1">
        <f>VLOOKUP(A:A,MASTER!A:K,11,0)</f>
        <v>3539355.9540657159</v>
      </c>
      <c r="H7" s="12">
        <f t="shared" si="0"/>
        <v>-0.24049575419251623</v>
      </c>
      <c r="I7" s="2">
        <f>VLOOKUP(A:A,MASTER!A:E,5,0)</f>
        <v>280</v>
      </c>
      <c r="J7" s="2">
        <f>VLOOKUP(A:A,MASTER!A:J,10,0)</f>
        <v>257</v>
      </c>
      <c r="K7" s="12">
        <f t="shared" si="1"/>
        <v>-8.2142857142857184E-2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2</v>
      </c>
      <c r="P7" s="1">
        <f>VLOOKUP(A:A,MASTER!A:H,8,0)</f>
        <v>0</v>
      </c>
      <c r="Q7" s="12">
        <f t="shared" si="3"/>
        <v>-1</v>
      </c>
      <c r="R7" s="1">
        <f>VLOOKUP(A:A,MASTER!A:B,2,0)</f>
        <v>382</v>
      </c>
      <c r="S7">
        <f>VLOOKUP(A:A,MASTER!A:G,7,0)</f>
        <v>375</v>
      </c>
      <c r="T7" s="12">
        <f t="shared" si="4"/>
        <v>-1.8324607329842979E-2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5192514.5237986036</v>
      </c>
      <c r="G8" s="1">
        <f>VLOOKUP(A:A,MASTER!A:K,11,0)</f>
        <v>5711430.5063493485</v>
      </c>
      <c r="H8" s="12">
        <f t="shared" si="0"/>
        <v>9.9935393569420272E-2</v>
      </c>
      <c r="I8" s="2">
        <f>VLOOKUP(A:A,MASTER!A:E,5,0)</f>
        <v>1456</v>
      </c>
      <c r="J8" s="2">
        <f>VLOOKUP(A:A,MASTER!A:J,10,0)</f>
        <v>482</v>
      </c>
      <c r="K8" s="12">
        <f t="shared" si="1"/>
        <v>-0.66895604395604402</v>
      </c>
      <c r="L8" s="2">
        <f>VLOOKUP(A:A,MASTER!A:D,4,0)</f>
        <v>5</v>
      </c>
      <c r="M8" s="2">
        <f>VLOOKUP(A:A,MASTER!A:I,9,0)</f>
        <v>0</v>
      </c>
      <c r="N8" s="12">
        <f t="shared" si="2"/>
        <v>-1</v>
      </c>
      <c r="O8" s="1">
        <f>VLOOKUP(A:A,MASTER!A:C,3,0)</f>
        <v>0</v>
      </c>
      <c r="P8" s="1">
        <f>VLOOKUP(A:A,MASTER!A:H,8,0)</f>
        <v>0</v>
      </c>
      <c r="Q8" s="12">
        <f t="shared" si="3"/>
        <v>0</v>
      </c>
      <c r="R8" s="1">
        <f>VLOOKUP(A:A,MASTER!A:B,2,0)</f>
        <v>589</v>
      </c>
      <c r="S8">
        <f>VLOOKUP(A:A,MASTER!A:G,7,0)</f>
        <v>638</v>
      </c>
      <c r="T8" s="12">
        <f t="shared" si="4"/>
        <v>8.3191850594227512E-2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2421093.126122572</v>
      </c>
      <c r="G9" s="1">
        <f>VLOOKUP(A:A,MASTER!A:K,11,0)</f>
        <v>2701606.931086258</v>
      </c>
      <c r="H9" s="12">
        <f t="shared" si="0"/>
        <v>0.11586245978606136</v>
      </c>
      <c r="I9" s="2">
        <f>VLOOKUP(A:A,MASTER!A:E,5,0)</f>
        <v>131</v>
      </c>
      <c r="J9" s="2">
        <f>VLOOKUP(A:A,MASTER!A:J,10,0)</f>
        <v>145</v>
      </c>
      <c r="K9" s="12">
        <f t="shared" si="1"/>
        <v>0.10687022900763354</v>
      </c>
      <c r="L9" s="2">
        <f>VLOOKUP(A:A,MASTER!A:D,4,0)</f>
        <v>0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172</v>
      </c>
      <c r="S9">
        <f>VLOOKUP(A:A,MASTER!A:G,7,0)</f>
        <v>188</v>
      </c>
      <c r="T9" s="12">
        <f t="shared" si="4"/>
        <v>9.3023255813953432E-2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92512.887112622004</v>
      </c>
      <c r="G10" s="1">
        <f>VLOOKUP(A:A,MASTER!A:K,11,0)</f>
        <v>2582938.6074092332</v>
      </c>
      <c r="H10" s="12">
        <f t="shared" si="0"/>
        <v>26.919770834357948</v>
      </c>
      <c r="I10" s="2">
        <f>VLOOKUP(A:A,MASTER!A:E,5,0)</f>
        <v>143</v>
      </c>
      <c r="J10" s="2">
        <f>VLOOKUP(A:A,MASTER!A:J,10,0)</f>
        <v>197</v>
      </c>
      <c r="K10" s="12">
        <f t="shared" si="1"/>
        <v>0.37762237762237771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0</v>
      </c>
      <c r="P10" s="1">
        <f>VLOOKUP(A:A,MASTER!A:H,8,0)</f>
        <v>0</v>
      </c>
      <c r="Q10" s="12">
        <f t="shared" si="3"/>
        <v>0</v>
      </c>
      <c r="R10" s="1">
        <f>VLOOKUP(A:A,MASTER!A:B,2,0)</f>
        <v>186</v>
      </c>
      <c r="S10">
        <f>VLOOKUP(A:A,MASTER!A:G,7,0)</f>
        <v>197</v>
      </c>
      <c r="T10" s="12">
        <f t="shared" si="4"/>
        <v>5.9139784946236507E-2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5235008.8514380706</v>
      </c>
      <c r="G11" s="1">
        <f>VLOOKUP(A:A,MASTER!A:K,11,0)</f>
        <v>4425235.5813336251</v>
      </c>
      <c r="H11" s="12">
        <f t="shared" si="0"/>
        <v>-0.15468422176249019</v>
      </c>
      <c r="I11" s="2">
        <f>VLOOKUP(A:A,MASTER!A:E,5,0)</f>
        <v>381</v>
      </c>
      <c r="J11" s="2">
        <f>VLOOKUP(A:A,MASTER!A:J,10,0)</f>
        <v>352</v>
      </c>
      <c r="K11" s="12">
        <f t="shared" si="1"/>
        <v>-7.6115485564304475E-2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1</v>
      </c>
      <c r="P11" s="1">
        <f>VLOOKUP(A:A,MASTER!A:H,8,0)</f>
        <v>3</v>
      </c>
      <c r="Q11" s="12">
        <f t="shared" si="3"/>
        <v>2</v>
      </c>
      <c r="R11" s="1">
        <f>VLOOKUP(A:A,MASTER!A:B,2,0)</f>
        <v>370</v>
      </c>
      <c r="S11">
        <f>VLOOKUP(A:A,MASTER!A:G,7,0)</f>
        <v>379</v>
      </c>
      <c r="T11" s="12">
        <f t="shared" si="4"/>
        <v>2.4324324324324298E-2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2323341.2957096952</v>
      </c>
      <c r="G12" s="1">
        <f>VLOOKUP(A:A,MASTER!A:K,11,0)</f>
        <v>2334648.5484479172</v>
      </c>
      <c r="H12" s="12">
        <f t="shared" si="0"/>
        <v>4.8668065940644656E-3</v>
      </c>
      <c r="I12" s="2">
        <f>VLOOKUP(A:A,MASTER!A:E,5,0)</f>
        <v>244</v>
      </c>
      <c r="J12" s="2">
        <f>VLOOKUP(A:A,MASTER!A:J,10,0)</f>
        <v>208</v>
      </c>
      <c r="K12" s="12">
        <f t="shared" si="1"/>
        <v>-0.14754098360655743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195</v>
      </c>
      <c r="S12">
        <f>VLOOKUP(A:A,MASTER!A:G,7,0)</f>
        <v>242</v>
      </c>
      <c r="T12" s="12">
        <f t="shared" si="4"/>
        <v>0.24102564102564106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2554428.9615312158</v>
      </c>
      <c r="G13" s="1">
        <f>VLOOKUP(A:A,MASTER!A:K,11,0)</f>
        <v>2606607.2763832328</v>
      </c>
      <c r="H13" s="12">
        <f t="shared" si="0"/>
        <v>2.0426606352262455E-2</v>
      </c>
      <c r="I13" s="2">
        <f>VLOOKUP(A:A,MASTER!A:E,5,0)</f>
        <v>237</v>
      </c>
      <c r="J13" s="2">
        <f>VLOOKUP(A:A,MASTER!A:J,10,0)</f>
        <v>191</v>
      </c>
      <c r="K13" s="12">
        <f t="shared" si="1"/>
        <v>-0.19409282700421937</v>
      </c>
      <c r="L13" s="2">
        <f>VLOOKUP(A:A,MASTER!A:D,4,0)</f>
        <v>1</v>
      </c>
      <c r="M13" s="2">
        <f>VLOOKUP(A:A,MASTER!A:I,9,0)</f>
        <v>0</v>
      </c>
      <c r="N13" s="12">
        <f t="shared" si="2"/>
        <v>-1</v>
      </c>
      <c r="O13" s="1">
        <f>VLOOKUP(A:A,MASTER!A:C,3,0)</f>
        <v>0</v>
      </c>
      <c r="P13" s="1">
        <f>VLOOKUP(A:A,MASTER!A:H,8,0)</f>
        <v>0</v>
      </c>
      <c r="Q13" s="12">
        <f t="shared" si="3"/>
        <v>0</v>
      </c>
      <c r="R13" s="1">
        <f>VLOOKUP(A:A,MASTER!A:B,2,0)</f>
        <v>241</v>
      </c>
      <c r="S13">
        <f>VLOOKUP(A:A,MASTER!A:G,7,0)</f>
        <v>248</v>
      </c>
      <c r="T13" s="12">
        <f t="shared" si="4"/>
        <v>2.9045643153526868E-2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7511605.4967705691</v>
      </c>
      <c r="G14" s="1">
        <f>VLOOKUP(A:A,MASTER!A:K,11,0)</f>
        <v>14950801.397865187</v>
      </c>
      <c r="H14" s="12">
        <f t="shared" si="0"/>
        <v>0.99036030370510253</v>
      </c>
      <c r="I14" s="2">
        <f>VLOOKUP(A:A,MASTER!A:E,5,0)</f>
        <v>890</v>
      </c>
      <c r="J14" s="2">
        <f>VLOOKUP(A:A,MASTER!A:J,10,0)</f>
        <v>1246</v>
      </c>
      <c r="K14" s="12">
        <f t="shared" si="1"/>
        <v>0.39999999999999991</v>
      </c>
      <c r="L14" s="2">
        <f>VLOOKUP(A:A,MASTER!A:D,4,0)</f>
        <v>2</v>
      </c>
      <c r="M14" s="2">
        <f>VLOOKUP(A:A,MASTER!A:I,9,0)</f>
        <v>5</v>
      </c>
      <c r="N14" s="12">
        <f t="shared" si="2"/>
        <v>1.5</v>
      </c>
      <c r="O14" s="1">
        <f>VLOOKUP(A:A,MASTER!A:C,3,0)</f>
        <v>2</v>
      </c>
      <c r="P14" s="1">
        <f>VLOOKUP(A:A,MASTER!A:H,8,0)</f>
        <v>1</v>
      </c>
      <c r="Q14" s="12">
        <f t="shared" si="3"/>
        <v>-0.5</v>
      </c>
      <c r="R14" s="1">
        <f>VLOOKUP(A:A,MASTER!A:B,2,0)</f>
        <v>1437</v>
      </c>
      <c r="S14">
        <f>VLOOKUP(A:A,MASTER!A:G,7,0)</f>
        <v>1331</v>
      </c>
      <c r="T14" s="12">
        <f t="shared" si="4"/>
        <v>-7.3764787752261696E-2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16637366.689033663</v>
      </c>
      <c r="G15" s="1">
        <f>VLOOKUP(A:A,MASTER!A:K,11,0)</f>
        <v>21440809.742618386</v>
      </c>
      <c r="H15" s="12">
        <f t="shared" si="0"/>
        <v>0.28871414228976877</v>
      </c>
      <c r="I15" s="2">
        <f>VLOOKUP(A:A,MASTER!A:E,5,0)</f>
        <v>1111</v>
      </c>
      <c r="J15" s="2">
        <f>VLOOKUP(A:A,MASTER!A:J,10,0)</f>
        <v>1038</v>
      </c>
      <c r="K15" s="12">
        <f t="shared" si="1"/>
        <v>-6.5706570657065755E-2</v>
      </c>
      <c r="L15" s="2">
        <f>VLOOKUP(A:A,MASTER!A:D,4,0)</f>
        <v>4</v>
      </c>
      <c r="M15" s="2">
        <f>VLOOKUP(A:A,MASTER!A:I,9,0)</f>
        <v>2</v>
      </c>
      <c r="N15" s="12">
        <f t="shared" si="2"/>
        <v>-0.5</v>
      </c>
      <c r="O15" s="1">
        <f>VLOOKUP(A:A,MASTER!A:C,3,0)</f>
        <v>1</v>
      </c>
      <c r="P15" s="1">
        <f>VLOOKUP(A:A,MASTER!A:H,8,0)</f>
        <v>0</v>
      </c>
      <c r="Q15" s="12">
        <f t="shared" si="3"/>
        <v>-1</v>
      </c>
      <c r="R15" s="1">
        <f>VLOOKUP(A:A,MASTER!A:B,2,0)</f>
        <v>1230</v>
      </c>
      <c r="S15">
        <f>VLOOKUP(A:A,MASTER!A:G,7,0)</f>
        <v>1230</v>
      </c>
      <c r="T15" s="12">
        <f t="shared" si="4"/>
        <v>0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10171617.039237237</v>
      </c>
      <c r="G16" s="1">
        <f>VLOOKUP(A:A,MASTER!A:K,11,0)</f>
        <v>10350974.70972267</v>
      </c>
      <c r="H16" s="12">
        <f t="shared" si="0"/>
        <v>1.7633152112742412E-2</v>
      </c>
      <c r="I16" s="2">
        <f>VLOOKUP(A:A,MASTER!A:E,5,0)</f>
        <v>989</v>
      </c>
      <c r="J16" s="2">
        <f>VLOOKUP(A:A,MASTER!A:J,10,0)</f>
        <v>971</v>
      </c>
      <c r="K16" s="12">
        <f t="shared" si="1"/>
        <v>-1.8200202224469164E-2</v>
      </c>
      <c r="L16" s="2">
        <f>VLOOKUP(A:A,MASTER!A:D,4,0)</f>
        <v>5</v>
      </c>
      <c r="M16" s="2">
        <f>VLOOKUP(A:A,MASTER!A:I,9,0)</f>
        <v>5</v>
      </c>
      <c r="N16" s="12">
        <f t="shared" si="2"/>
        <v>0</v>
      </c>
      <c r="O16" s="1">
        <f>VLOOKUP(A:A,MASTER!A:C,3,0)</f>
        <v>1</v>
      </c>
      <c r="P16" s="1">
        <f>VLOOKUP(A:A,MASTER!A:H,8,0)</f>
        <v>3</v>
      </c>
      <c r="Q16" s="12">
        <f t="shared" si="3"/>
        <v>2</v>
      </c>
      <c r="R16" s="1">
        <f>VLOOKUP(A:A,MASTER!A:B,2,0)</f>
        <v>1026</v>
      </c>
      <c r="S16">
        <f>VLOOKUP(A:A,MASTER!A:G,7,0)</f>
        <v>1007</v>
      </c>
      <c r="T16" s="12">
        <f t="shared" si="4"/>
        <v>-1.851851851851849E-2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6648035.906247532</v>
      </c>
      <c r="G17" s="1">
        <f>VLOOKUP(A:A,MASTER!A:K,11,0)</f>
        <v>9968411.1441797502</v>
      </c>
      <c r="H17" s="12">
        <f t="shared" si="0"/>
        <v>0.49945206144447507</v>
      </c>
      <c r="I17" s="2">
        <f>VLOOKUP(A:A,MASTER!A:E,5,0)</f>
        <v>679</v>
      </c>
      <c r="J17" s="2">
        <f>VLOOKUP(A:A,MASTER!A:J,10,0)</f>
        <v>731</v>
      </c>
      <c r="K17" s="12">
        <f t="shared" si="1"/>
        <v>7.658321060382911E-2</v>
      </c>
      <c r="L17" s="2">
        <f>VLOOKUP(A:A,MASTER!A:D,4,0)</f>
        <v>4</v>
      </c>
      <c r="M17" s="2">
        <f>VLOOKUP(A:A,MASTER!A:I,9,0)</f>
        <v>3</v>
      </c>
      <c r="N17" s="12">
        <f t="shared" si="2"/>
        <v>-0.25</v>
      </c>
      <c r="O17" s="1">
        <f>VLOOKUP(A:A,MASTER!A:C,3,0)</f>
        <v>2</v>
      </c>
      <c r="P17" s="1">
        <f>VLOOKUP(A:A,MASTER!A:H,8,0)</f>
        <v>0</v>
      </c>
      <c r="Q17" s="12">
        <f t="shared" si="3"/>
        <v>-1</v>
      </c>
      <c r="R17" s="1">
        <f>VLOOKUP(A:A,MASTER!A:B,2,0)</f>
        <v>919</v>
      </c>
      <c r="S17">
        <f>VLOOKUP(A:A,MASTER!A:G,7,0)</f>
        <v>919</v>
      </c>
      <c r="T17" s="12">
        <f t="shared" si="4"/>
        <v>0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37415449.301750354</v>
      </c>
      <c r="G18" s="1">
        <f>VLOOKUP(A:A,MASTER!A:K,11,0)</f>
        <v>34225342.631954283</v>
      </c>
      <c r="H18" s="12">
        <f t="shared" si="0"/>
        <v>-8.5261749606915238E-2</v>
      </c>
      <c r="I18" s="2">
        <f>VLOOKUP(A:A,MASTER!A:E,5,0)</f>
        <v>2837</v>
      </c>
      <c r="J18" s="2">
        <f>VLOOKUP(A:A,MASTER!A:J,10,0)</f>
        <v>2830</v>
      </c>
      <c r="K18" s="12">
        <f t="shared" si="1"/>
        <v>-2.467395135706707E-3</v>
      </c>
      <c r="L18" s="2">
        <f>VLOOKUP(A:A,MASTER!A:D,4,0)</f>
        <v>10</v>
      </c>
      <c r="M18" s="2">
        <f>VLOOKUP(A:A,MASTER!A:I,9,0)</f>
        <v>12</v>
      </c>
      <c r="N18" s="12">
        <f t="shared" si="2"/>
        <v>0.19999999999999996</v>
      </c>
      <c r="O18" s="1">
        <f>VLOOKUP(A:A,MASTER!A:C,3,0)</f>
        <v>165</v>
      </c>
      <c r="P18" s="1">
        <f>VLOOKUP(A:A,MASTER!A:H,8,0)</f>
        <v>5</v>
      </c>
      <c r="Q18" s="12">
        <f t="shared" si="3"/>
        <v>-0.96969696969696972</v>
      </c>
      <c r="R18" s="1">
        <f>VLOOKUP(A:A,MASTER!A:B,2,0)</f>
        <v>2994</v>
      </c>
      <c r="S18">
        <f>VLOOKUP(A:A,MASTER!A:G,7,0)</f>
        <v>2664</v>
      </c>
      <c r="T18" s="12">
        <f t="shared" si="4"/>
        <v>-0.11022044088176353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8067110.564200094</v>
      </c>
      <c r="G19" s="1">
        <f>VLOOKUP(A:A,MASTER!A:K,11,0)</f>
        <v>18408395.350092616</v>
      </c>
      <c r="H19" s="12">
        <f t="shared" si="0"/>
        <v>1.2819069112284973</v>
      </c>
      <c r="I19" s="2">
        <f>VLOOKUP(A:A,MASTER!A:E,5,0)</f>
        <v>11</v>
      </c>
      <c r="J19" s="2">
        <f>VLOOKUP(A:A,MASTER!A:J,10,0)</f>
        <v>1302</v>
      </c>
      <c r="K19" s="12">
        <f t="shared" si="1"/>
        <v>117.36363636363636</v>
      </c>
      <c r="L19" s="2">
        <f>VLOOKUP(A:A,MASTER!A:D,4,0)</f>
        <v>1</v>
      </c>
      <c r="M19" s="2">
        <f>VLOOKUP(A:A,MASTER!A:I,9,0)</f>
        <v>2</v>
      </c>
      <c r="N19" s="12">
        <f t="shared" si="2"/>
        <v>1</v>
      </c>
      <c r="O19" s="1">
        <f>VLOOKUP(A:A,MASTER!A:C,3,0)</f>
        <v>2</v>
      </c>
      <c r="P19" s="1">
        <f>VLOOKUP(A:A,MASTER!A:H,8,0)</f>
        <v>4</v>
      </c>
      <c r="Q19" s="12">
        <f t="shared" si="3"/>
        <v>1</v>
      </c>
      <c r="R19" s="1">
        <f>VLOOKUP(A:A,MASTER!A:B,2,0)</f>
        <v>1381</v>
      </c>
      <c r="S19">
        <f>VLOOKUP(A:A,MASTER!A:G,7,0)</f>
        <v>1310</v>
      </c>
      <c r="T19" s="12">
        <f t="shared" si="4"/>
        <v>-5.1412020275162895E-2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36772959.372504324</v>
      </c>
      <c r="G20" s="1">
        <f>VLOOKUP(A:A,MASTER!A:K,11,0)</f>
        <v>36687579.764128327</v>
      </c>
      <c r="H20" s="12">
        <f t="shared" si="0"/>
        <v>-2.3218041145700585E-3</v>
      </c>
      <c r="I20" s="2">
        <f>VLOOKUP(A:A,MASTER!A:E,5,0)</f>
        <v>2154</v>
      </c>
      <c r="J20" s="2">
        <f>VLOOKUP(A:A,MASTER!A:J,10,0)</f>
        <v>848</v>
      </c>
      <c r="K20" s="12">
        <f t="shared" si="1"/>
        <v>-0.60631383472609102</v>
      </c>
      <c r="L20" s="2">
        <f>VLOOKUP(A:A,MASTER!A:D,4,0)</f>
        <v>10</v>
      </c>
      <c r="M20" s="2">
        <f>VLOOKUP(A:A,MASTER!A:I,9,0)</f>
        <v>10</v>
      </c>
      <c r="N20" s="12">
        <f t="shared" si="2"/>
        <v>0</v>
      </c>
      <c r="O20" s="1">
        <f>VLOOKUP(A:A,MASTER!A:C,3,0)</f>
        <v>8</v>
      </c>
      <c r="P20" s="1">
        <f>VLOOKUP(A:A,MASTER!A:H,8,0)</f>
        <v>3</v>
      </c>
      <c r="Q20" s="12">
        <f t="shared" si="3"/>
        <v>-0.625</v>
      </c>
      <c r="R20" s="1">
        <f>VLOOKUP(A:A,MASTER!A:B,2,0)</f>
        <v>2960</v>
      </c>
      <c r="S20">
        <f>VLOOKUP(A:A,MASTER!A:G,7,0)</f>
        <v>2748</v>
      </c>
      <c r="T20" s="12">
        <f t="shared" si="4"/>
        <v>-7.1621621621621667E-2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5656965.5075137829</v>
      </c>
      <c r="G21" s="1">
        <f>VLOOKUP(A:A,MASTER!A:K,11,0)</f>
        <v>5277682.2879215516</v>
      </c>
      <c r="H21" s="12">
        <f t="shared" si="0"/>
        <v>-6.7047115470026064E-2</v>
      </c>
      <c r="I21" s="2">
        <f>VLOOKUP(A:A,MASTER!A:E,5,0)</f>
        <v>493</v>
      </c>
      <c r="J21" s="2">
        <f>VLOOKUP(A:A,MASTER!A:J,10,0)</f>
        <v>596</v>
      </c>
      <c r="K21" s="12">
        <f t="shared" si="1"/>
        <v>0.20892494929006089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3</v>
      </c>
      <c r="P21" s="1">
        <f>VLOOKUP(A:A,MASTER!A:H,8,0)</f>
        <v>2</v>
      </c>
      <c r="Q21" s="12">
        <f t="shared" si="3"/>
        <v>-0.33333333333333337</v>
      </c>
      <c r="R21" s="1">
        <f>VLOOKUP(A:A,MASTER!A:B,2,0)</f>
        <v>534</v>
      </c>
      <c r="S21">
        <f>VLOOKUP(A:A,MASTER!A:G,7,0)</f>
        <v>507</v>
      </c>
      <c r="T21" s="12">
        <f t="shared" si="4"/>
        <v>-5.0561797752809001E-2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15178043.299457587</v>
      </c>
      <c r="G22" s="1">
        <f>VLOOKUP(A:A,MASTER!A:K,11,0)</f>
        <v>13909501.57793038</v>
      </c>
      <c r="H22" s="12">
        <f t="shared" si="0"/>
        <v>-8.3577421443549405E-2</v>
      </c>
      <c r="I22" s="2">
        <f>VLOOKUP(A:A,MASTER!A:E,5,0)</f>
        <v>1323</v>
      </c>
      <c r="J22" s="2">
        <f>VLOOKUP(A:A,MASTER!A:J,10,0)</f>
        <v>1770</v>
      </c>
      <c r="K22" s="12">
        <f t="shared" si="1"/>
        <v>0.33786848072562359</v>
      </c>
      <c r="L22" s="2">
        <f>VLOOKUP(A:A,MASTER!A:D,4,0)</f>
        <v>1</v>
      </c>
      <c r="M22" s="2">
        <f>VLOOKUP(A:A,MASTER!A:I,9,0)</f>
        <v>1</v>
      </c>
      <c r="N22" s="12">
        <f t="shared" si="2"/>
        <v>0</v>
      </c>
      <c r="O22" s="1">
        <f>VLOOKUP(A:A,MASTER!A:C,3,0)</f>
        <v>7</v>
      </c>
      <c r="P22" s="1">
        <f>VLOOKUP(A:A,MASTER!A:H,8,0)</f>
        <v>8</v>
      </c>
      <c r="Q22" s="12">
        <f t="shared" si="3"/>
        <v>0.14285714285714279</v>
      </c>
      <c r="R22" s="1">
        <f>VLOOKUP(A:A,MASTER!A:B,2,0)</f>
        <v>1731</v>
      </c>
      <c r="S22">
        <f>VLOOKUP(A:A,MASTER!A:G,7,0)</f>
        <v>1795</v>
      </c>
      <c r="T22" s="12">
        <f t="shared" si="4"/>
        <v>3.6972848064702468E-2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6137430.2428186694</v>
      </c>
      <c r="G23" s="1">
        <f>VLOOKUP(A:A,MASTER!A:K,11,0)</f>
        <v>6252286.9941610703</v>
      </c>
      <c r="H23" s="12">
        <f t="shared" si="0"/>
        <v>1.8714143672230454E-2</v>
      </c>
      <c r="I23" s="2">
        <f>VLOOKUP(A:A,MASTER!A:E,5,0)</f>
        <v>772</v>
      </c>
      <c r="J23" s="2">
        <f>VLOOKUP(A:A,MASTER!A:J,10,0)</f>
        <v>259</v>
      </c>
      <c r="K23" s="12">
        <f t="shared" si="1"/>
        <v>-0.66450777202072531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5</v>
      </c>
      <c r="P23" s="1">
        <f>VLOOKUP(A:A,MASTER!A:H,8,0)</f>
        <v>3</v>
      </c>
      <c r="Q23" s="12">
        <f t="shared" si="3"/>
        <v>-0.4</v>
      </c>
      <c r="R23" s="1">
        <f>VLOOKUP(A:A,MASTER!A:B,2,0)</f>
        <v>883</v>
      </c>
      <c r="S23">
        <f>VLOOKUP(A:A,MASTER!A:G,7,0)</f>
        <v>852</v>
      </c>
      <c r="T23" s="12">
        <f t="shared" si="4"/>
        <v>-3.5107587768969384E-2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7894924.2449640203</v>
      </c>
      <c r="G24" s="1">
        <f>VLOOKUP(A:A,MASTER!A:K,11,0)</f>
        <v>7869489.6136996793</v>
      </c>
      <c r="H24" s="12">
        <f t="shared" si="0"/>
        <v>-3.2216434857579301E-3</v>
      </c>
      <c r="I24" s="2">
        <f>VLOOKUP(A:A,MASTER!A:E,5,0)</f>
        <v>730</v>
      </c>
      <c r="J24" s="2">
        <f>VLOOKUP(A:A,MASTER!A:J,10,0)</f>
        <v>204</v>
      </c>
      <c r="K24" s="12">
        <f t="shared" si="1"/>
        <v>-0.72054794520547949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4</v>
      </c>
      <c r="P24" s="1">
        <f>VLOOKUP(A:A,MASTER!A:H,8,0)</f>
        <v>1</v>
      </c>
      <c r="Q24" s="12">
        <f t="shared" si="3"/>
        <v>-0.75</v>
      </c>
      <c r="R24" s="1">
        <f>VLOOKUP(A:A,MASTER!A:B,2,0)</f>
        <v>882</v>
      </c>
      <c r="S24">
        <f>VLOOKUP(A:A,MASTER!A:G,7,0)</f>
        <v>885</v>
      </c>
      <c r="T24" s="12">
        <f t="shared" si="4"/>
        <v>3.4013605442175798E-3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1739467.098542948</v>
      </c>
      <c r="G25" s="1">
        <f>VLOOKUP(A:A,MASTER!A:K,11,0)</f>
        <v>2094624.198882482</v>
      </c>
      <c r="H25" s="12">
        <f t="shared" si="0"/>
        <v>0.20417580800293877</v>
      </c>
      <c r="I25" s="2">
        <f>VLOOKUP(A:A,MASTER!A:E,5,0)</f>
        <v>145</v>
      </c>
      <c r="J25" s="2">
        <f>VLOOKUP(A:A,MASTER!A:J,10,0)</f>
        <v>49</v>
      </c>
      <c r="K25" s="12">
        <f t="shared" si="1"/>
        <v>-0.66206896551724137</v>
      </c>
      <c r="L25" s="2">
        <f>VLOOKUP(A:A,MASTER!A:D,4,0)</f>
        <v>0</v>
      </c>
      <c r="M25" s="2">
        <f>VLOOKUP(A:A,MASTER!A:I,9,0)</f>
        <v>0</v>
      </c>
      <c r="N25" s="12">
        <f t="shared" si="2"/>
        <v>0</v>
      </c>
      <c r="O25" s="1">
        <f>VLOOKUP(A:A,MASTER!A:C,3,0)</f>
        <v>1</v>
      </c>
      <c r="P25" s="1">
        <f>VLOOKUP(A:A,MASTER!A:H,8,0)</f>
        <v>0</v>
      </c>
      <c r="Q25" s="12">
        <f t="shared" si="3"/>
        <v>-1</v>
      </c>
      <c r="R25" s="1">
        <f>VLOOKUP(A:A,MASTER!A:B,2,0)</f>
        <v>234</v>
      </c>
      <c r="S25">
        <f>VLOOKUP(A:A,MASTER!A:G,7,0)</f>
        <v>214</v>
      </c>
      <c r="T25" s="12">
        <f t="shared" si="4"/>
        <v>-8.54700854700855E-2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14505582.349979963</v>
      </c>
      <c r="G26" s="1">
        <f>VLOOKUP(A:A,MASTER!A:K,11,0)</f>
        <v>15252371.060816515</v>
      </c>
      <c r="H26" s="12">
        <f t="shared" si="0"/>
        <v>5.1482849348518878E-2</v>
      </c>
      <c r="I26" s="2">
        <f>VLOOKUP(A:A,MASTER!A:E,5,0)</f>
        <v>1318</v>
      </c>
      <c r="J26" s="2">
        <f>VLOOKUP(A:A,MASTER!A:J,10,0)</f>
        <v>2248</v>
      </c>
      <c r="K26" s="12">
        <f t="shared" si="1"/>
        <v>0.70561456752655549</v>
      </c>
      <c r="L26" s="2">
        <f>VLOOKUP(A:A,MASTER!A:D,4,0)</f>
        <v>6</v>
      </c>
      <c r="M26" s="2">
        <f>VLOOKUP(A:A,MASTER!A:I,9,0)</f>
        <v>6</v>
      </c>
      <c r="N26" s="12">
        <f t="shared" si="2"/>
        <v>0</v>
      </c>
      <c r="O26" s="1">
        <f>VLOOKUP(A:A,MASTER!A:C,3,0)</f>
        <v>9</v>
      </c>
      <c r="P26" s="1">
        <f>VLOOKUP(A:A,MASTER!A:H,8,0)</f>
        <v>2</v>
      </c>
      <c r="Q26" s="12">
        <f t="shared" si="3"/>
        <v>-0.77777777777777779</v>
      </c>
      <c r="R26" s="1">
        <f>VLOOKUP(A:A,MASTER!A:B,2,0)</f>
        <v>1655</v>
      </c>
      <c r="S26">
        <f>VLOOKUP(A:A,MASTER!A:G,7,0)</f>
        <v>1617</v>
      </c>
      <c r="T26" s="12">
        <f t="shared" si="4"/>
        <v>-2.296072507552871E-2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11306333.148250431</v>
      </c>
      <c r="G27" s="1">
        <f>VLOOKUP(A:A,MASTER!A:K,11,0)</f>
        <v>12372261.524191203</v>
      </c>
      <c r="H27" s="12">
        <f t="shared" si="0"/>
        <v>9.4277106641397435E-2</v>
      </c>
      <c r="I27" s="2">
        <f>VLOOKUP(A:A,MASTER!A:E,5,0)</f>
        <v>704</v>
      </c>
      <c r="J27" s="2">
        <f>VLOOKUP(A:A,MASTER!A:J,10,0)</f>
        <v>668</v>
      </c>
      <c r="K27" s="12">
        <f t="shared" si="1"/>
        <v>-5.1136363636363646E-2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0</v>
      </c>
      <c r="P27" s="1">
        <f>VLOOKUP(A:A,MASTER!A:H,8,0)</f>
        <v>2</v>
      </c>
      <c r="Q27" s="12">
        <f t="shared" si="3"/>
        <v>0</v>
      </c>
      <c r="R27" s="1">
        <f>VLOOKUP(A:A,MASTER!A:B,2,0)</f>
        <v>872</v>
      </c>
      <c r="S27">
        <f>VLOOKUP(A:A,MASTER!A:G,7,0)</f>
        <v>903</v>
      </c>
      <c r="T27" s="12">
        <f t="shared" si="4"/>
        <v>3.5550458715596367E-2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10861387.139972234</v>
      </c>
      <c r="G28" s="1">
        <f>VLOOKUP(A:A,MASTER!A:K,11,0)</f>
        <v>12560664.568087993</v>
      </c>
      <c r="H28" s="12">
        <f t="shared" si="0"/>
        <v>0.15645123465510724</v>
      </c>
      <c r="I28" s="2">
        <f>VLOOKUP(A:A,MASTER!A:E,5,0)</f>
        <v>814</v>
      </c>
      <c r="J28" s="2">
        <f>VLOOKUP(A:A,MASTER!A:J,10,0)</f>
        <v>762</v>
      </c>
      <c r="K28" s="12">
        <f t="shared" si="1"/>
        <v>-6.3882063882063855E-2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1</v>
      </c>
      <c r="P28" s="1">
        <f>VLOOKUP(A:A,MASTER!A:H,8,0)</f>
        <v>1</v>
      </c>
      <c r="Q28" s="12">
        <f t="shared" si="3"/>
        <v>0</v>
      </c>
      <c r="R28" s="1">
        <f>VLOOKUP(A:A,MASTER!A:B,2,0)</f>
        <v>1057</v>
      </c>
      <c r="S28">
        <f>VLOOKUP(A:A,MASTER!A:G,7,0)</f>
        <v>998</v>
      </c>
      <c r="T28" s="12">
        <f t="shared" si="4"/>
        <v>-5.5818353831598833E-2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15358316.512845395</v>
      </c>
      <c r="G29" s="1">
        <f>VLOOKUP(A:A,MASTER!A:K,11,0)</f>
        <v>17214720.459502291</v>
      </c>
      <c r="H29" s="12">
        <f t="shared" si="0"/>
        <v>0.12087287985660633</v>
      </c>
      <c r="I29" s="2">
        <f>VLOOKUP(A:A,MASTER!A:E,5,0)</f>
        <v>878</v>
      </c>
      <c r="J29" s="2">
        <f>VLOOKUP(A:A,MASTER!A:J,10,0)</f>
        <v>952</v>
      </c>
      <c r="K29" s="12">
        <f t="shared" si="1"/>
        <v>8.4282460136674286E-2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1</v>
      </c>
      <c r="P29" s="1">
        <f>VLOOKUP(A:A,MASTER!A:H,8,0)</f>
        <v>1</v>
      </c>
      <c r="Q29" s="12">
        <f t="shared" si="3"/>
        <v>0</v>
      </c>
      <c r="R29" s="1">
        <f>VLOOKUP(A:A,MASTER!A:B,2,0)</f>
        <v>1109</v>
      </c>
      <c r="S29">
        <f>VLOOKUP(A:A,MASTER!A:G,7,0)</f>
        <v>1145</v>
      </c>
      <c r="T29" s="12">
        <f t="shared" si="4"/>
        <v>3.2461677186654603E-2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21723024.225463841</v>
      </c>
      <c r="G30" s="1">
        <f>VLOOKUP(A:A,MASTER!A:K,11,0)</f>
        <v>23684227.935952146</v>
      </c>
      <c r="H30" s="12">
        <f t="shared" si="0"/>
        <v>9.0282259511057061E-2</v>
      </c>
      <c r="I30" s="2">
        <f>VLOOKUP(A:A,MASTER!A:E,5,0)</f>
        <v>1113</v>
      </c>
      <c r="J30" s="2">
        <f>VLOOKUP(A:A,MASTER!A:J,10,0)</f>
        <v>1203</v>
      </c>
      <c r="K30" s="12">
        <f t="shared" si="1"/>
        <v>8.0862533692722449E-2</v>
      </c>
      <c r="L30" s="2">
        <f>VLOOKUP(A:A,MASTER!A:D,4,0)</f>
        <v>5</v>
      </c>
      <c r="M30" s="2">
        <f>VLOOKUP(A:A,MASTER!A:I,9,0)</f>
        <v>2</v>
      </c>
      <c r="N30" s="12">
        <f t="shared" si="2"/>
        <v>-0.6</v>
      </c>
      <c r="O30" s="1">
        <f>VLOOKUP(A:A,MASTER!A:C,3,0)</f>
        <v>1</v>
      </c>
      <c r="P30" s="1">
        <f>VLOOKUP(A:A,MASTER!A:H,8,0)</f>
        <v>1</v>
      </c>
      <c r="Q30" s="12">
        <f t="shared" si="3"/>
        <v>0</v>
      </c>
      <c r="R30" s="1">
        <f>VLOOKUP(A:A,MASTER!A:B,2,0)</f>
        <v>1473</v>
      </c>
      <c r="S30">
        <f>VLOOKUP(A:A,MASTER!A:G,7,0)</f>
        <v>1417</v>
      </c>
      <c r="T30" s="12">
        <f t="shared" si="4"/>
        <v>-3.8017651052274282E-2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8860477.7151947524</v>
      </c>
      <c r="G31" s="1">
        <f>VLOOKUP(A:A,MASTER!A:K,11,0)</f>
        <v>8280131.5895204283</v>
      </c>
      <c r="H31" s="12">
        <f t="shared" si="0"/>
        <v>-6.5498288504139413E-2</v>
      </c>
      <c r="I31" s="2">
        <f>VLOOKUP(A:A,MASTER!A:E,5,0)</f>
        <v>1081</v>
      </c>
      <c r="J31" s="2">
        <f>VLOOKUP(A:A,MASTER!A:J,10,0)</f>
        <v>587</v>
      </c>
      <c r="K31" s="12">
        <f t="shared" si="1"/>
        <v>-0.45698427382053652</v>
      </c>
      <c r="L31" s="2">
        <f>VLOOKUP(A:A,MASTER!A:D,4,0)</f>
        <v>5</v>
      </c>
      <c r="M31" s="2">
        <f>VLOOKUP(A:A,MASTER!A:I,9,0)</f>
        <v>5</v>
      </c>
      <c r="N31" s="12">
        <f t="shared" si="2"/>
        <v>0</v>
      </c>
      <c r="O31" s="1">
        <f>VLOOKUP(A:A,MASTER!A:C,3,0)</f>
        <v>0</v>
      </c>
      <c r="P31" s="1">
        <f>VLOOKUP(A:A,MASTER!A:H,8,0)</f>
        <v>0</v>
      </c>
      <c r="Q31" s="12">
        <f t="shared" si="3"/>
        <v>0</v>
      </c>
      <c r="R31" s="1">
        <f>VLOOKUP(A:A,MASTER!A:B,2,0)</f>
        <v>679</v>
      </c>
      <c r="S31">
        <f>VLOOKUP(A:A,MASTER!A:G,7,0)</f>
        <v>649</v>
      </c>
      <c r="T31" s="12">
        <f t="shared" si="4"/>
        <v>-4.4182621502209085E-2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27435087.405697864</v>
      </c>
      <c r="G32" s="1">
        <f>VLOOKUP(A:A,MASTER!A:K,11,0)</f>
        <v>12977891.15821732</v>
      </c>
      <c r="H32" s="12">
        <f t="shared" si="0"/>
        <v>-0.52696009433809921</v>
      </c>
      <c r="I32" s="2">
        <f>VLOOKUP(A:A,MASTER!A:E,5,0)</f>
        <v>1521</v>
      </c>
      <c r="J32" s="2">
        <f>VLOOKUP(A:A,MASTER!A:J,10,0)</f>
        <v>1598</v>
      </c>
      <c r="K32" s="12">
        <f t="shared" si="1"/>
        <v>5.0624589086127658E-2</v>
      </c>
      <c r="L32" s="2">
        <f>VLOOKUP(A:A,MASTER!A:D,4,0)</f>
        <v>11</v>
      </c>
      <c r="M32" s="2">
        <f>VLOOKUP(A:A,MASTER!A:I,9,0)</f>
        <v>5</v>
      </c>
      <c r="N32" s="12">
        <f t="shared" si="2"/>
        <v>-0.54545454545454541</v>
      </c>
      <c r="O32" s="1">
        <f>VLOOKUP(A:A,MASTER!A:C,3,0)</f>
        <v>3</v>
      </c>
      <c r="P32" s="1">
        <f>VLOOKUP(A:A,MASTER!A:H,8,0)</f>
        <v>2</v>
      </c>
      <c r="Q32" s="12">
        <f t="shared" si="3"/>
        <v>-0.33333333333333337</v>
      </c>
      <c r="R32" s="1">
        <f>VLOOKUP(A:A,MASTER!A:B,2,0)</f>
        <v>1937</v>
      </c>
      <c r="S32">
        <f>VLOOKUP(A:A,MASTER!A:G,7,0)</f>
        <v>1816</v>
      </c>
      <c r="T32" s="12">
        <f t="shared" si="4"/>
        <v>-6.2467733608673193E-2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9021769.9548970889</v>
      </c>
      <c r="G33" s="1">
        <f>VLOOKUP(A:A,MASTER!A:K,11,0)</f>
        <v>9880278.2513982244</v>
      </c>
      <c r="H33" s="12">
        <f t="shared" si="0"/>
        <v>9.5159630626042491E-2</v>
      </c>
      <c r="I33" s="2">
        <f>VLOOKUP(A:A,MASTER!A:E,5,0)</f>
        <v>650</v>
      </c>
      <c r="J33" s="2">
        <f>VLOOKUP(A:A,MASTER!A:J,10,0)</f>
        <v>733</v>
      </c>
      <c r="K33" s="12">
        <f t="shared" si="1"/>
        <v>0.12769230769230777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1</v>
      </c>
      <c r="P33" s="1">
        <f>VLOOKUP(A:A,MASTER!A:H,8,0)</f>
        <v>1</v>
      </c>
      <c r="Q33" s="12">
        <f t="shared" si="3"/>
        <v>0</v>
      </c>
      <c r="R33" s="1">
        <f>VLOOKUP(A:A,MASTER!A:B,2,0)</f>
        <v>841</v>
      </c>
      <c r="S33">
        <f>VLOOKUP(A:A,MASTER!A:G,7,0)</f>
        <v>854</v>
      </c>
      <c r="T33" s="12">
        <f t="shared" si="4"/>
        <v>1.5457788347205792E-2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8722039.7988735847</v>
      </c>
      <c r="G34" s="1">
        <f>VLOOKUP(A:A,MASTER!A:K,11,0)</f>
        <v>8519777.8392761592</v>
      </c>
      <c r="H34" s="12">
        <f t="shared" si="0"/>
        <v>-2.3189754261789375E-2</v>
      </c>
      <c r="I34" s="2">
        <f>VLOOKUP(A:A,MASTER!A:E,5,0)</f>
        <v>521</v>
      </c>
      <c r="J34" s="2">
        <f>VLOOKUP(A:A,MASTER!A:J,10,0)</f>
        <v>572</v>
      </c>
      <c r="K34" s="12">
        <f t="shared" si="1"/>
        <v>9.7888675623800436E-2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0</v>
      </c>
      <c r="P34" s="1">
        <f>VLOOKUP(A:A,MASTER!A:H,8,0)</f>
        <v>1</v>
      </c>
      <c r="Q34" s="12">
        <f t="shared" si="3"/>
        <v>0</v>
      </c>
      <c r="R34" s="1">
        <f>VLOOKUP(A:A,MASTER!A:B,2,0)</f>
        <v>713</v>
      </c>
      <c r="S34">
        <f>VLOOKUP(A:A,MASTER!A:G,7,0)</f>
        <v>705</v>
      </c>
      <c r="T34" s="12">
        <f t="shared" si="4"/>
        <v>-1.1220196353436185E-2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13307600.907234676</v>
      </c>
      <c r="G35" s="1">
        <f>VLOOKUP(A:A,MASTER!A:K,11,0)</f>
        <v>15183906.641224124</v>
      </c>
      <c r="H35" s="12">
        <f t="shared" si="0"/>
        <v>0.14099504088444625</v>
      </c>
      <c r="I35" s="2">
        <f>VLOOKUP(A:A,MASTER!A:E,5,0)</f>
        <v>767</v>
      </c>
      <c r="J35" s="2">
        <f>VLOOKUP(A:A,MASTER!A:J,10,0)</f>
        <v>902</v>
      </c>
      <c r="K35" s="12">
        <f t="shared" si="1"/>
        <v>0.17601043024771834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5</v>
      </c>
      <c r="P35" s="1">
        <f>VLOOKUP(A:A,MASTER!A:H,8,0)</f>
        <v>5</v>
      </c>
      <c r="Q35" s="12">
        <f t="shared" si="3"/>
        <v>0</v>
      </c>
      <c r="R35" s="1">
        <f>VLOOKUP(A:A,MASTER!A:B,2,0)</f>
        <v>1178</v>
      </c>
      <c r="S35">
        <f>VLOOKUP(A:A,MASTER!A:G,7,0)</f>
        <v>1210</v>
      </c>
      <c r="T35" s="12">
        <f t="shared" si="4"/>
        <v>2.7164685908319219E-2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12165696.746204032</v>
      </c>
      <c r="G36" s="1">
        <f>VLOOKUP(A:A,MASTER!A:K,11,0)</f>
        <v>13968627.485154161</v>
      </c>
      <c r="H36" s="12">
        <f t="shared" si="0"/>
        <v>0.14819790239409714</v>
      </c>
      <c r="I36" s="2">
        <f>VLOOKUP(A:A,MASTER!A:E,5,0)</f>
        <v>900</v>
      </c>
      <c r="J36" s="2">
        <f>VLOOKUP(A:A,MASTER!A:J,10,0)</f>
        <v>917</v>
      </c>
      <c r="K36" s="12">
        <f t="shared" si="1"/>
        <v>1.8888888888888955E-2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120</v>
      </c>
      <c r="P36" s="1">
        <f>VLOOKUP(A:A,MASTER!A:H,8,0)</f>
        <v>33</v>
      </c>
      <c r="Q36" s="12">
        <f t="shared" si="3"/>
        <v>-0.72499999999999998</v>
      </c>
      <c r="R36" s="1">
        <f>VLOOKUP(A:A,MASTER!A:B,2,0)</f>
        <v>1403</v>
      </c>
      <c r="S36">
        <f>VLOOKUP(A:A,MASTER!A:G,7,0)</f>
        <v>1172</v>
      </c>
      <c r="T36" s="12">
        <f t="shared" si="4"/>
        <v>-0.16464718460441907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22135295.404027767</v>
      </c>
      <c r="G37" s="1">
        <f>VLOOKUP(A:A,MASTER!A:K,11,0)</f>
        <v>23018133.887720969</v>
      </c>
      <c r="H37" s="12">
        <f t="shared" si="0"/>
        <v>3.9883745284581051E-2</v>
      </c>
      <c r="I37" s="2">
        <f>VLOOKUP(A:A,MASTER!A:E,5,0)</f>
        <v>1511</v>
      </c>
      <c r="J37" s="2">
        <f>VLOOKUP(A:A,MASTER!A:J,10,0)</f>
        <v>1428</v>
      </c>
      <c r="K37" s="12">
        <f t="shared" si="1"/>
        <v>-5.4930509596293864E-2</v>
      </c>
      <c r="L37" s="2">
        <f>VLOOKUP(A:A,MASTER!A:D,4,0)</f>
        <v>5</v>
      </c>
      <c r="M37" s="2">
        <f>VLOOKUP(A:A,MASTER!A:I,9,0)</f>
        <v>5</v>
      </c>
      <c r="N37" s="12">
        <f t="shared" si="2"/>
        <v>0</v>
      </c>
      <c r="O37" s="1">
        <f>VLOOKUP(A:A,MASTER!A:C,3,0)</f>
        <v>67</v>
      </c>
      <c r="P37" s="1">
        <f>VLOOKUP(A:A,MASTER!A:H,8,0)</f>
        <v>23</v>
      </c>
      <c r="Q37" s="12">
        <f t="shared" si="3"/>
        <v>-0.65671641791044777</v>
      </c>
      <c r="R37" s="1">
        <f>VLOOKUP(A:A,MASTER!A:B,2,0)</f>
        <v>2551</v>
      </c>
      <c r="S37">
        <f>VLOOKUP(A:A,MASTER!A:G,7,0)</f>
        <v>2143</v>
      </c>
      <c r="T37" s="12">
        <f t="shared" si="4"/>
        <v>-0.159937279498236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8005985.6852862546</v>
      </c>
      <c r="G38" s="1">
        <f>VLOOKUP(A:A,MASTER!A:K,11,0)</f>
        <v>8771063.2381540779</v>
      </c>
      <c r="H38" s="12">
        <f t="shared" si="0"/>
        <v>9.5563192708914668E-2</v>
      </c>
      <c r="I38" s="2">
        <f>VLOOKUP(A:A,MASTER!A:E,5,0)</f>
        <v>450</v>
      </c>
      <c r="J38" s="2">
        <f>VLOOKUP(A:A,MASTER!A:J,10,0)</f>
        <v>455</v>
      </c>
      <c r="K38" s="12">
        <f t="shared" si="1"/>
        <v>1.1111111111111072E-2</v>
      </c>
      <c r="L38" s="2">
        <f>VLOOKUP(A:A,MASTER!A:D,4,0)</f>
        <v>6</v>
      </c>
      <c r="M38" s="2">
        <f>VLOOKUP(A:A,MASTER!A:I,9,0)</f>
        <v>8</v>
      </c>
      <c r="N38" s="12">
        <f t="shared" si="2"/>
        <v>0.33333333333333326</v>
      </c>
      <c r="O38" s="1">
        <f>VLOOKUP(A:A,MASTER!A:C,3,0)</f>
        <v>0</v>
      </c>
      <c r="P38" s="1">
        <f>VLOOKUP(A:A,MASTER!A:H,8,0)</f>
        <v>2</v>
      </c>
      <c r="Q38" s="12">
        <f t="shared" si="3"/>
        <v>0</v>
      </c>
      <c r="R38" s="1">
        <f>VLOOKUP(A:A,MASTER!A:B,2,0)</f>
        <v>614</v>
      </c>
      <c r="S38">
        <f>VLOOKUP(A:A,MASTER!A:G,7,0)</f>
        <v>586</v>
      </c>
      <c r="T38" s="12">
        <f t="shared" si="4"/>
        <v>-4.5602605863192203E-2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27408595.795075551</v>
      </c>
      <c r="G39" s="1">
        <f>VLOOKUP(A:A,MASTER!A:K,11,0)</f>
        <v>26156470.790119909</v>
      </c>
      <c r="H39" s="12">
        <f t="shared" si="0"/>
        <v>-4.5683661225016436E-2</v>
      </c>
      <c r="I39" s="2">
        <f>VLOOKUP(A:A,MASTER!A:E,5,0)</f>
        <v>1909</v>
      </c>
      <c r="J39" s="2">
        <f>VLOOKUP(A:A,MASTER!A:J,10,0)</f>
        <v>2009</v>
      </c>
      <c r="K39" s="12">
        <f t="shared" si="1"/>
        <v>5.2383446830801539E-2</v>
      </c>
      <c r="L39" s="2">
        <f>VLOOKUP(A:A,MASTER!A:D,4,0)</f>
        <v>6</v>
      </c>
      <c r="M39" s="2">
        <f>VLOOKUP(A:A,MASTER!A:I,9,0)</f>
        <v>5</v>
      </c>
      <c r="N39" s="12">
        <f t="shared" si="2"/>
        <v>-0.16666666666666663</v>
      </c>
      <c r="O39" s="1">
        <f>VLOOKUP(A:A,MASTER!A:C,3,0)</f>
        <v>2</v>
      </c>
      <c r="P39" s="1">
        <f>VLOOKUP(A:A,MASTER!A:H,8,0)</f>
        <v>4</v>
      </c>
      <c r="Q39" s="12">
        <f t="shared" si="3"/>
        <v>1</v>
      </c>
      <c r="R39" s="1">
        <f>VLOOKUP(A:A,MASTER!A:B,2,0)</f>
        <v>2057</v>
      </c>
      <c r="S39">
        <f>VLOOKUP(A:A,MASTER!A:G,7,0)</f>
        <v>2101</v>
      </c>
      <c r="T39" s="12">
        <f t="shared" si="4"/>
        <v>2.1390374331550888E-2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17417841.547293611</v>
      </c>
      <c r="G40" s="1">
        <f>VLOOKUP(A:A,MASTER!A:K,11,0)</f>
        <v>21061640.286754575</v>
      </c>
      <c r="H40" s="12">
        <f t="shared" si="0"/>
        <v>0.2091992127478699</v>
      </c>
      <c r="I40" s="2">
        <f>VLOOKUP(A:A,MASTER!A:E,5,0)</f>
        <v>808</v>
      </c>
      <c r="J40" s="2">
        <f>VLOOKUP(A:A,MASTER!A:J,10,0)</f>
        <v>889</v>
      </c>
      <c r="K40" s="12">
        <f t="shared" si="1"/>
        <v>0.10024752475247523</v>
      </c>
      <c r="L40" s="2">
        <f>VLOOKUP(A:A,MASTER!A:D,4,0)</f>
        <v>2</v>
      </c>
      <c r="M40" s="2">
        <f>VLOOKUP(A:A,MASTER!A:I,9,0)</f>
        <v>6</v>
      </c>
      <c r="N40" s="12">
        <f t="shared" si="2"/>
        <v>2</v>
      </c>
      <c r="O40" s="1">
        <f>VLOOKUP(A:A,MASTER!A:C,3,0)</f>
        <v>2</v>
      </c>
      <c r="P40" s="1">
        <f>VLOOKUP(A:A,MASTER!A:H,8,0)</f>
        <v>3</v>
      </c>
      <c r="Q40" s="12">
        <f t="shared" si="3"/>
        <v>0.5</v>
      </c>
      <c r="R40" s="1">
        <f>VLOOKUP(A:A,MASTER!A:B,2,0)</f>
        <v>894</v>
      </c>
      <c r="S40">
        <f>VLOOKUP(A:A,MASTER!A:G,7,0)</f>
        <v>946</v>
      </c>
      <c r="T40" s="12">
        <f t="shared" si="4"/>
        <v>5.8165548098433995E-2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7292694.8874335634</v>
      </c>
      <c r="G41" s="1">
        <f>VLOOKUP(A:A,MASTER!A:K,11,0)</f>
        <v>15095536.852726772</v>
      </c>
      <c r="H41" s="12">
        <f t="shared" si="0"/>
        <v>1.06995316350595</v>
      </c>
      <c r="I41" s="2">
        <f>VLOOKUP(A:A,MASTER!A:E,5,0)</f>
        <v>484</v>
      </c>
      <c r="J41" s="2">
        <f>VLOOKUP(A:A,MASTER!A:J,10,0)</f>
        <v>985</v>
      </c>
      <c r="K41" s="12">
        <f t="shared" si="1"/>
        <v>1.0351239669421486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0</v>
      </c>
      <c r="P41" s="1">
        <f>VLOOKUP(A:A,MASTER!A:H,8,0)</f>
        <v>4</v>
      </c>
      <c r="Q41" s="12">
        <f t="shared" si="3"/>
        <v>0</v>
      </c>
      <c r="R41" s="1">
        <f>VLOOKUP(A:A,MASTER!A:B,2,0)</f>
        <v>1098</v>
      </c>
      <c r="S41">
        <f>VLOOKUP(A:A,MASTER!A:G,7,0)</f>
        <v>1070</v>
      </c>
      <c r="T41" s="12">
        <f t="shared" si="4"/>
        <v>-2.5500910746812377E-2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13620793.951905912</v>
      </c>
      <c r="G42" s="1">
        <f>VLOOKUP(A:A,MASTER!A:K,11,0)</f>
        <v>14494444.737129457</v>
      </c>
      <c r="H42" s="12">
        <f t="shared" si="0"/>
        <v>6.414095891240601E-2</v>
      </c>
      <c r="I42" s="2">
        <f>VLOOKUP(A:A,MASTER!A:E,5,0)</f>
        <v>646</v>
      </c>
      <c r="J42" s="2">
        <f>VLOOKUP(A:A,MASTER!A:J,10,0)</f>
        <v>840</v>
      </c>
      <c r="K42" s="12">
        <f t="shared" si="1"/>
        <v>0.30030959752321973</v>
      </c>
      <c r="L42" s="2">
        <f>VLOOKUP(A:A,MASTER!A:D,4,0)</f>
        <v>4</v>
      </c>
      <c r="M42" s="2">
        <f>VLOOKUP(A:A,MASTER!A:I,9,0)</f>
        <v>4</v>
      </c>
      <c r="N42" s="12">
        <f t="shared" si="2"/>
        <v>0</v>
      </c>
      <c r="O42" s="1">
        <f>VLOOKUP(A:A,MASTER!A:C,3,0)</f>
        <v>1</v>
      </c>
      <c r="P42" s="1">
        <f>VLOOKUP(A:A,MASTER!A:H,8,0)</f>
        <v>2</v>
      </c>
      <c r="Q42" s="12">
        <f t="shared" si="3"/>
        <v>1</v>
      </c>
      <c r="R42" s="1">
        <f>VLOOKUP(A:A,MASTER!A:B,2,0)</f>
        <v>827</v>
      </c>
      <c r="S42">
        <f>VLOOKUP(A:A,MASTER!A:G,7,0)</f>
        <v>821</v>
      </c>
      <c r="T42" s="12">
        <f t="shared" si="4"/>
        <v>-7.2551390568319496E-3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8811668.1083757151</v>
      </c>
      <c r="G43" s="1">
        <f>VLOOKUP(A:A,MASTER!A:K,11,0)</f>
        <v>8898057.3251833227</v>
      </c>
      <c r="H43" s="12">
        <f t="shared" si="0"/>
        <v>9.8039571787198465E-3</v>
      </c>
      <c r="I43" s="2">
        <f>VLOOKUP(A:A,MASTER!A:E,5,0)</f>
        <v>583</v>
      </c>
      <c r="J43" s="2">
        <f>VLOOKUP(A:A,MASTER!A:J,10,0)</f>
        <v>591</v>
      </c>
      <c r="K43" s="12">
        <f t="shared" si="1"/>
        <v>1.3722126929674117E-2</v>
      </c>
      <c r="L43" s="2">
        <f>VLOOKUP(A:A,MASTER!A:D,4,0)</f>
        <v>10</v>
      </c>
      <c r="M43" s="2">
        <f>VLOOKUP(A:A,MASTER!A:I,9,0)</f>
        <v>9</v>
      </c>
      <c r="N43" s="12">
        <f t="shared" si="2"/>
        <v>-9.9999999999999978E-2</v>
      </c>
      <c r="O43" s="1">
        <f>VLOOKUP(A:A,MASTER!A:C,3,0)</f>
        <v>1</v>
      </c>
      <c r="P43" s="1">
        <f>VLOOKUP(A:A,MASTER!A:H,8,0)</f>
        <v>0</v>
      </c>
      <c r="Q43" s="12">
        <f t="shared" si="3"/>
        <v>-1</v>
      </c>
      <c r="R43" s="1">
        <f>VLOOKUP(A:A,MASTER!A:B,2,0)</f>
        <v>684</v>
      </c>
      <c r="S43">
        <f>VLOOKUP(A:A,MASTER!A:G,7,0)</f>
        <v>728</v>
      </c>
      <c r="T43" s="12">
        <f t="shared" si="4"/>
        <v>6.4327485380117011E-2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7493954.5295029702</v>
      </c>
      <c r="G44" s="1">
        <f>VLOOKUP(A:A,MASTER!A:K,11,0)</f>
        <v>8100280.4279145114</v>
      </c>
      <c r="H44" s="12">
        <f t="shared" si="0"/>
        <v>8.0908670585669418E-2</v>
      </c>
      <c r="I44" s="2">
        <f>VLOOKUP(A:A,MASTER!A:E,5,0)</f>
        <v>681</v>
      </c>
      <c r="J44" s="2">
        <f>VLOOKUP(A:A,MASTER!A:J,10,0)</f>
        <v>784</v>
      </c>
      <c r="K44" s="12">
        <f t="shared" si="1"/>
        <v>0.15124816446402356</v>
      </c>
      <c r="L44" s="2">
        <f>VLOOKUP(A:A,MASTER!A:D,4,0)</f>
        <v>3</v>
      </c>
      <c r="M44" s="2">
        <f>VLOOKUP(A:A,MASTER!A:I,9,0)</f>
        <v>2</v>
      </c>
      <c r="N44" s="12">
        <f t="shared" si="2"/>
        <v>-0.33333333333333337</v>
      </c>
      <c r="O44" s="1">
        <f>VLOOKUP(A:A,MASTER!A:C,3,0)</f>
        <v>0</v>
      </c>
      <c r="P44" s="1">
        <f>VLOOKUP(A:A,MASTER!A:H,8,0)</f>
        <v>0</v>
      </c>
      <c r="Q44" s="12">
        <f t="shared" si="3"/>
        <v>0</v>
      </c>
      <c r="R44" s="1">
        <f>VLOOKUP(A:A,MASTER!A:B,2,0)</f>
        <v>692</v>
      </c>
      <c r="S44">
        <f>VLOOKUP(A:A,MASTER!A:G,7,0)</f>
        <v>704</v>
      </c>
      <c r="T44" s="12">
        <f t="shared" si="4"/>
        <v>1.7341040462427681E-2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23978544.831586152</v>
      </c>
      <c r="G45" s="1">
        <f>VLOOKUP(A:A,MASTER!A:K,11,0)</f>
        <v>27613776.459842417</v>
      </c>
      <c r="H45" s="12">
        <f t="shared" si="0"/>
        <v>0.15160351279814499</v>
      </c>
      <c r="I45" s="2">
        <f>VLOOKUP(A:A,MASTER!A:E,5,0)</f>
        <v>1106</v>
      </c>
      <c r="J45" s="2">
        <f>VLOOKUP(A:A,MASTER!A:J,10,0)</f>
        <v>1157</v>
      </c>
      <c r="K45" s="12">
        <f t="shared" si="1"/>
        <v>4.6112115732368952E-2</v>
      </c>
      <c r="L45" s="2">
        <f>VLOOKUP(A:A,MASTER!A:D,4,0)</f>
        <v>4</v>
      </c>
      <c r="M45" s="2">
        <f>VLOOKUP(A:A,MASTER!A:I,9,0)</f>
        <v>7</v>
      </c>
      <c r="N45" s="12">
        <f t="shared" si="2"/>
        <v>0.75</v>
      </c>
      <c r="O45" s="1">
        <f>VLOOKUP(A:A,MASTER!A:C,3,0)</f>
        <v>0</v>
      </c>
      <c r="P45" s="1">
        <f>VLOOKUP(A:A,MASTER!A:H,8,0)</f>
        <v>1</v>
      </c>
      <c r="Q45" s="12">
        <f t="shared" si="3"/>
        <v>0</v>
      </c>
      <c r="R45" s="1">
        <f>VLOOKUP(A:A,MASTER!A:B,2,0)</f>
        <v>1238</v>
      </c>
      <c r="S45">
        <f>VLOOKUP(A:A,MASTER!A:G,7,0)</f>
        <v>1286</v>
      </c>
      <c r="T45" s="12">
        <f t="shared" si="4"/>
        <v>3.8772213247172838E-2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11509046.651324764</v>
      </c>
      <c r="G46" s="1">
        <f>VLOOKUP(A:A,MASTER!A:K,11,0)</f>
        <v>11732046.860500628</v>
      </c>
      <c r="H46" s="12">
        <f t="shared" si="0"/>
        <v>1.9376080046577648E-2</v>
      </c>
      <c r="I46" s="2">
        <f>VLOOKUP(A:A,MASTER!A:E,5,0)</f>
        <v>868</v>
      </c>
      <c r="J46" s="2">
        <f>VLOOKUP(A:A,MASTER!A:J,10,0)</f>
        <v>897</v>
      </c>
      <c r="K46" s="12">
        <f t="shared" si="1"/>
        <v>3.3410138248847865E-2</v>
      </c>
      <c r="L46" s="2">
        <f>VLOOKUP(A:A,MASTER!A:D,4,0)</f>
        <v>5</v>
      </c>
      <c r="M46" s="2">
        <f>VLOOKUP(A:A,MASTER!A:I,9,0)</f>
        <v>4</v>
      </c>
      <c r="N46" s="12">
        <f t="shared" si="2"/>
        <v>-0.19999999999999996</v>
      </c>
      <c r="O46" s="1">
        <f>VLOOKUP(A:A,MASTER!A:C,3,0)</f>
        <v>2</v>
      </c>
      <c r="P46" s="1">
        <f>VLOOKUP(A:A,MASTER!A:H,8,0)</f>
        <v>1</v>
      </c>
      <c r="Q46" s="12">
        <f t="shared" si="3"/>
        <v>-0.5</v>
      </c>
      <c r="R46" s="1">
        <f>VLOOKUP(A:A,MASTER!A:B,2,0)</f>
        <v>918</v>
      </c>
      <c r="S46">
        <f>VLOOKUP(A:A,MASTER!A:G,7,0)</f>
        <v>910</v>
      </c>
      <c r="T46" s="12">
        <f t="shared" si="4"/>
        <v>-8.7145969498910736E-3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20599510.20797307</v>
      </c>
      <c r="G47" s="1">
        <f>VLOOKUP(A:A,MASTER!A:K,11,0)</f>
        <v>21038858.951671384</v>
      </c>
      <c r="H47" s="12">
        <f t="shared" si="0"/>
        <v>2.1328116021334553E-2</v>
      </c>
      <c r="I47" s="2">
        <f>VLOOKUP(A:A,MASTER!A:E,5,0)</f>
        <v>1014</v>
      </c>
      <c r="J47" s="2">
        <f>VLOOKUP(A:A,MASTER!A:J,10,0)</f>
        <v>1062</v>
      </c>
      <c r="K47" s="12">
        <f t="shared" si="1"/>
        <v>4.7337278106508895E-2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3</v>
      </c>
      <c r="P47" s="1">
        <f>VLOOKUP(A:A,MASTER!A:H,8,0)</f>
        <v>1</v>
      </c>
      <c r="Q47" s="12">
        <f t="shared" si="3"/>
        <v>-0.66666666666666674</v>
      </c>
      <c r="R47" s="1">
        <f>VLOOKUP(A:A,MASTER!A:B,2,0)</f>
        <v>1357</v>
      </c>
      <c r="S47">
        <f>VLOOKUP(A:A,MASTER!A:G,7,0)</f>
        <v>1428</v>
      </c>
      <c r="T47" s="12">
        <f t="shared" si="4"/>
        <v>5.2321296978629306E-2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10792658.213887241</v>
      </c>
      <c r="G48" s="1">
        <f>VLOOKUP(A:A,MASTER!A:K,11,0)</f>
        <v>9628834.1808318123</v>
      </c>
      <c r="H48" s="12">
        <f t="shared" si="0"/>
        <v>-0.10783479009442742</v>
      </c>
      <c r="I48" s="2">
        <f>VLOOKUP(A:A,MASTER!A:E,5,0)</f>
        <v>397</v>
      </c>
      <c r="J48" s="2">
        <f>VLOOKUP(A:A,MASTER!A:J,10,0)</f>
        <v>375</v>
      </c>
      <c r="K48" s="12">
        <f t="shared" si="1"/>
        <v>-5.5415617128463435E-2</v>
      </c>
      <c r="L48" s="2">
        <f>VLOOKUP(A:A,MASTER!A:D,4,0)</f>
        <v>6</v>
      </c>
      <c r="M48" s="2">
        <f>VLOOKUP(A:A,MASTER!A:I,9,0)</f>
        <v>7</v>
      </c>
      <c r="N48" s="12">
        <f t="shared" si="2"/>
        <v>0.16666666666666674</v>
      </c>
      <c r="O48" s="1">
        <f>VLOOKUP(A:A,MASTER!A:C,3,0)</f>
        <v>0</v>
      </c>
      <c r="P48" s="1">
        <f>VLOOKUP(A:A,MASTER!A:H,8,0)</f>
        <v>2</v>
      </c>
      <c r="Q48" s="12">
        <f t="shared" si="3"/>
        <v>0</v>
      </c>
      <c r="R48" s="1">
        <f>VLOOKUP(A:A,MASTER!A:B,2,0)</f>
        <v>484</v>
      </c>
      <c r="S48">
        <f>VLOOKUP(A:A,MASTER!A:G,7,0)</f>
        <v>478</v>
      </c>
      <c r="T48" s="12">
        <f t="shared" si="4"/>
        <v>-1.2396694214875992E-2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7781689.2134891581</v>
      </c>
      <c r="G49" s="1">
        <f>VLOOKUP(A:A,MASTER!A:K,11,0)</f>
        <v>8317366.331311157</v>
      </c>
      <c r="H49" s="12">
        <f t="shared" si="0"/>
        <v>6.8838153661216595E-2</v>
      </c>
      <c r="I49" s="2">
        <f>VLOOKUP(A:A,MASTER!A:E,5,0)</f>
        <v>304</v>
      </c>
      <c r="J49" s="2">
        <f>VLOOKUP(A:A,MASTER!A:J,10,0)</f>
        <v>427</v>
      </c>
      <c r="K49" s="12">
        <f t="shared" si="1"/>
        <v>0.40460526315789469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0</v>
      </c>
      <c r="P49" s="1">
        <f>VLOOKUP(A:A,MASTER!A:H,8,0)</f>
        <v>1</v>
      </c>
      <c r="Q49" s="12">
        <f t="shared" si="3"/>
        <v>0</v>
      </c>
      <c r="R49" s="1">
        <f>VLOOKUP(A:A,MASTER!A:B,2,0)</f>
        <v>453</v>
      </c>
      <c r="S49">
        <f>VLOOKUP(A:A,MASTER!A:G,7,0)</f>
        <v>459</v>
      </c>
      <c r="T49" s="12">
        <f t="shared" si="4"/>
        <v>1.3245033112582849E-2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6698176.9213968087</v>
      </c>
      <c r="G50" s="1">
        <f>VLOOKUP(A:A,MASTER!A:K,11,0)</f>
        <v>4964107.3769024704</v>
      </c>
      <c r="H50" s="12">
        <f t="shared" si="0"/>
        <v>-0.25888679335342535</v>
      </c>
      <c r="I50" s="2">
        <f>VLOOKUP(A:A,MASTER!A:E,5,0)</f>
        <v>322</v>
      </c>
      <c r="J50" s="2">
        <f>VLOOKUP(A:A,MASTER!A:J,10,0)</f>
        <v>10</v>
      </c>
      <c r="K50" s="12">
        <f t="shared" si="1"/>
        <v>-0.96894409937888204</v>
      </c>
      <c r="L50" s="2">
        <f>VLOOKUP(A:A,MASTER!A:D,4,0)</f>
        <v>3</v>
      </c>
      <c r="M50" s="2">
        <f>VLOOKUP(A:A,MASTER!A:I,9,0)</f>
        <v>2</v>
      </c>
      <c r="N50" s="12">
        <f t="shared" si="2"/>
        <v>-0.33333333333333337</v>
      </c>
      <c r="O50" s="1">
        <f>VLOOKUP(A:A,MASTER!A:C,3,0)</f>
        <v>1</v>
      </c>
      <c r="P50" s="1">
        <f>VLOOKUP(A:A,MASTER!A:H,8,0)</f>
        <v>0</v>
      </c>
      <c r="Q50" s="12">
        <f t="shared" si="3"/>
        <v>-1</v>
      </c>
      <c r="R50" s="1">
        <f>VLOOKUP(A:A,MASTER!A:B,2,0)</f>
        <v>429</v>
      </c>
      <c r="S50">
        <f>VLOOKUP(A:A,MASTER!A:G,7,0)</f>
        <v>395</v>
      </c>
      <c r="T50" s="12">
        <f t="shared" si="4"/>
        <v>-7.9254079254079235E-2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15831443.161390798</v>
      </c>
      <c r="G51" s="1">
        <f>VLOOKUP(A:A,MASTER!A:K,11,0)</f>
        <v>17039420.751405135</v>
      </c>
      <c r="H51" s="12">
        <f t="shared" si="0"/>
        <v>7.6302430403837995E-2</v>
      </c>
      <c r="I51" s="2">
        <f>VLOOKUP(A:A,MASTER!A:E,5,0)</f>
        <v>872</v>
      </c>
      <c r="J51" s="2">
        <f>VLOOKUP(A:A,MASTER!A:J,10,0)</f>
        <v>958</v>
      </c>
      <c r="K51" s="12">
        <f t="shared" si="1"/>
        <v>9.8623853211009083E-2</v>
      </c>
      <c r="L51" s="2">
        <f>VLOOKUP(A:A,MASTER!A:D,4,0)</f>
        <v>0</v>
      </c>
      <c r="M51" s="2">
        <f>VLOOKUP(A:A,MASTER!A:I,9,0)</f>
        <v>0</v>
      </c>
      <c r="N51" s="12">
        <f t="shared" si="2"/>
        <v>0</v>
      </c>
      <c r="O51" s="1">
        <f>VLOOKUP(A:A,MASTER!A:C,3,0)</f>
        <v>0</v>
      </c>
      <c r="P51" s="1">
        <f>VLOOKUP(A:A,MASTER!A:H,8,0)</f>
        <v>2</v>
      </c>
      <c r="Q51" s="12">
        <f t="shared" si="3"/>
        <v>0</v>
      </c>
      <c r="R51" s="1">
        <f>VLOOKUP(A:A,MASTER!A:B,2,0)</f>
        <v>1104</v>
      </c>
      <c r="S51">
        <f>VLOOKUP(A:A,MASTER!A:G,7,0)</f>
        <v>1089</v>
      </c>
      <c r="T51" s="12">
        <f t="shared" si="4"/>
        <v>-1.3586956521739135E-2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12551344.592039876</v>
      </c>
      <c r="G52" s="1">
        <f>VLOOKUP(A:A,MASTER!A:K,11,0)</f>
        <v>17106745.084853016</v>
      </c>
      <c r="H52" s="12">
        <f t="shared" si="0"/>
        <v>0.36294123385809973</v>
      </c>
      <c r="I52" s="2">
        <f>VLOOKUP(A:A,MASTER!A:E,5,0)</f>
        <v>847</v>
      </c>
      <c r="J52" s="2">
        <f>VLOOKUP(A:A,MASTER!A:J,10,0)</f>
        <v>850</v>
      </c>
      <c r="K52" s="12">
        <f t="shared" si="1"/>
        <v>3.5419126328217754E-3</v>
      </c>
      <c r="L52" s="2">
        <f>VLOOKUP(A:A,MASTER!A:D,4,0)</f>
        <v>1</v>
      </c>
      <c r="M52" s="2">
        <f>VLOOKUP(A:A,MASTER!A:I,9,0)</f>
        <v>2</v>
      </c>
      <c r="N52" s="12">
        <f t="shared" si="2"/>
        <v>1</v>
      </c>
      <c r="O52" s="1">
        <f>VLOOKUP(A:A,MASTER!A:C,3,0)</f>
        <v>1</v>
      </c>
      <c r="P52" s="1">
        <f>VLOOKUP(A:A,MASTER!A:H,8,0)</f>
        <v>4</v>
      </c>
      <c r="Q52" s="12">
        <f t="shared" si="3"/>
        <v>3</v>
      </c>
      <c r="R52" s="1">
        <f>VLOOKUP(A:A,MASTER!A:B,2,0)</f>
        <v>965</v>
      </c>
      <c r="S52">
        <f>VLOOKUP(A:A,MASTER!A:G,7,0)</f>
        <v>951</v>
      </c>
      <c r="T52" s="12">
        <f t="shared" si="4"/>
        <v>-1.4507772020725396E-2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31243179.661967892</v>
      </c>
      <c r="G53" s="1">
        <f>VLOOKUP(A:A,MASTER!A:K,11,0)</f>
        <v>31839316.928509369</v>
      </c>
      <c r="H53" s="12">
        <f t="shared" si="0"/>
        <v>1.9080556876454935E-2</v>
      </c>
      <c r="I53" s="2">
        <f>VLOOKUP(A:A,MASTER!A:E,5,0)</f>
        <v>1554</v>
      </c>
      <c r="J53" s="2">
        <f>VLOOKUP(A:A,MASTER!A:J,10,0)</f>
        <v>1562</v>
      </c>
      <c r="K53" s="12">
        <f t="shared" si="1"/>
        <v>5.1480051480050637E-3</v>
      </c>
      <c r="L53" s="2">
        <f>VLOOKUP(A:A,MASTER!A:D,4,0)</f>
        <v>8</v>
      </c>
      <c r="M53" s="2">
        <f>VLOOKUP(A:A,MASTER!A:I,9,0)</f>
        <v>10</v>
      </c>
      <c r="N53" s="12">
        <f t="shared" si="2"/>
        <v>0.25</v>
      </c>
      <c r="O53" s="1">
        <f>VLOOKUP(A:A,MASTER!A:C,3,0)</f>
        <v>5</v>
      </c>
      <c r="P53" s="1">
        <f>VLOOKUP(A:A,MASTER!A:H,8,0)</f>
        <v>7</v>
      </c>
      <c r="Q53" s="12">
        <f t="shared" si="3"/>
        <v>0.39999999999999991</v>
      </c>
      <c r="R53" s="1">
        <f>VLOOKUP(A:A,MASTER!A:B,2,0)</f>
        <v>2050</v>
      </c>
      <c r="S53">
        <f>VLOOKUP(A:A,MASTER!A:G,7,0)</f>
        <v>2057</v>
      </c>
      <c r="T53" s="12">
        <f t="shared" si="4"/>
        <v>3.4146341463414664E-3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6722857.7511186348</v>
      </c>
      <c r="G54" s="1">
        <f>VLOOKUP(A:A,MASTER!A:K,11,0)</f>
        <v>8550540.4844489023</v>
      </c>
      <c r="H54" s="12">
        <f t="shared" si="0"/>
        <v>0.2718609854605587</v>
      </c>
      <c r="I54" s="2">
        <f>VLOOKUP(A:A,MASTER!A:E,5,0)</f>
        <v>482</v>
      </c>
      <c r="J54" s="2">
        <f>VLOOKUP(A:A,MASTER!A:J,10,0)</f>
        <v>600</v>
      </c>
      <c r="K54" s="12">
        <f t="shared" si="1"/>
        <v>0.24481327800829877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0</v>
      </c>
      <c r="P54" s="1">
        <f>VLOOKUP(A:A,MASTER!A:H,8,0)</f>
        <v>1</v>
      </c>
      <c r="Q54" s="12">
        <f t="shared" si="3"/>
        <v>0</v>
      </c>
      <c r="R54" s="1">
        <f>VLOOKUP(A:A,MASTER!A:B,2,0)</f>
        <v>676</v>
      </c>
      <c r="S54">
        <f>VLOOKUP(A:A,MASTER!A:G,7,0)</f>
        <v>660</v>
      </c>
      <c r="T54" s="12">
        <f t="shared" si="4"/>
        <v>-2.3668639053254448E-2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11967837.758290725</v>
      </c>
      <c r="G55" s="1">
        <f>VLOOKUP(A:A,MASTER!A:K,11,0)</f>
        <v>14438194.812734611</v>
      </c>
      <c r="H55" s="12">
        <f t="shared" si="0"/>
        <v>0.20641632217419947</v>
      </c>
      <c r="I55" s="2">
        <f>VLOOKUP(A:A,MASTER!A:E,5,0)</f>
        <v>744</v>
      </c>
      <c r="J55" s="2">
        <f>VLOOKUP(A:A,MASTER!A:J,10,0)</f>
        <v>787</v>
      </c>
      <c r="K55" s="12">
        <f t="shared" si="1"/>
        <v>5.7795698924731242E-2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3</v>
      </c>
      <c r="P55" s="1">
        <f>VLOOKUP(A:A,MASTER!A:H,8,0)</f>
        <v>3</v>
      </c>
      <c r="Q55" s="12">
        <f t="shared" si="3"/>
        <v>0</v>
      </c>
      <c r="R55" s="1">
        <f>VLOOKUP(A:A,MASTER!A:B,2,0)</f>
        <v>870</v>
      </c>
      <c r="S55">
        <f>VLOOKUP(A:A,MASTER!A:G,7,0)</f>
        <v>909</v>
      </c>
      <c r="T55" s="12">
        <f t="shared" si="4"/>
        <v>4.482758620689653E-2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7329802.6173267029</v>
      </c>
      <c r="G56" s="1">
        <f>VLOOKUP(A:A,MASTER!A:K,11,0)</f>
        <v>8029527.1801732192</v>
      </c>
      <c r="H56" s="12">
        <f t="shared" si="0"/>
        <v>9.5462947555021271E-2</v>
      </c>
      <c r="I56" s="2">
        <f>VLOOKUP(A:A,MASTER!A:E,5,0)</f>
        <v>560</v>
      </c>
      <c r="J56" s="2">
        <f>VLOOKUP(A:A,MASTER!A:J,10,0)</f>
        <v>582</v>
      </c>
      <c r="K56" s="12">
        <f t="shared" si="1"/>
        <v>3.9285714285714368E-2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2</v>
      </c>
      <c r="P56" s="1">
        <f>VLOOKUP(A:A,MASTER!A:H,8,0)</f>
        <v>0</v>
      </c>
      <c r="Q56" s="12">
        <f t="shared" si="3"/>
        <v>-1</v>
      </c>
      <c r="R56" s="1">
        <f>VLOOKUP(A:A,MASTER!A:B,2,0)</f>
        <v>751</v>
      </c>
      <c r="S56">
        <f>VLOOKUP(A:A,MASTER!A:G,7,0)</f>
        <v>673</v>
      </c>
      <c r="T56" s="12">
        <f t="shared" si="4"/>
        <v>-0.10386151797603194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16275917.065953039</v>
      </c>
      <c r="G57" s="1">
        <f>VLOOKUP(A:A,MASTER!A:K,11,0)</f>
        <v>17993812.776039165</v>
      </c>
      <c r="H57" s="12">
        <f t="shared" si="0"/>
        <v>0.10554832044946494</v>
      </c>
      <c r="I57" s="2">
        <f>VLOOKUP(A:A,MASTER!A:E,5,0)</f>
        <v>1036</v>
      </c>
      <c r="J57" s="2">
        <f>VLOOKUP(A:A,MASTER!A:J,10,0)</f>
        <v>1091</v>
      </c>
      <c r="K57" s="12">
        <f t="shared" si="1"/>
        <v>5.3088803088803038E-2</v>
      </c>
      <c r="L57" s="2">
        <f>VLOOKUP(A:A,MASTER!A:D,4,0)</f>
        <v>0</v>
      </c>
      <c r="M57" s="2">
        <f>VLOOKUP(A:A,MASTER!A:I,9,0)</f>
        <v>0</v>
      </c>
      <c r="N57" s="12">
        <f t="shared" si="2"/>
        <v>0</v>
      </c>
      <c r="O57" s="1">
        <f>VLOOKUP(A:A,MASTER!A:C,3,0)</f>
        <v>4</v>
      </c>
      <c r="P57" s="1">
        <f>VLOOKUP(A:A,MASTER!A:H,8,0)</f>
        <v>3</v>
      </c>
      <c r="Q57" s="12">
        <f t="shared" si="3"/>
        <v>-0.25</v>
      </c>
      <c r="R57" s="1">
        <f>VLOOKUP(A:A,MASTER!A:B,2,0)</f>
        <v>1104</v>
      </c>
      <c r="S57">
        <f>VLOOKUP(A:A,MASTER!A:G,7,0)</f>
        <v>1085</v>
      </c>
      <c r="T57" s="12">
        <f t="shared" si="4"/>
        <v>-1.7210144927536253E-2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19609609.267563015</v>
      </c>
      <c r="G58" s="1">
        <f>VLOOKUP(A:A,MASTER!A:K,11,0)</f>
        <v>24573216.867517643</v>
      </c>
      <c r="H58" s="12">
        <f t="shared" si="0"/>
        <v>0.25312118830256947</v>
      </c>
      <c r="I58" s="2">
        <f>VLOOKUP(A:A,MASTER!A:E,5,0)</f>
        <v>1488</v>
      </c>
      <c r="J58" s="2">
        <f>VLOOKUP(A:A,MASTER!A:J,10,0)</f>
        <v>1611</v>
      </c>
      <c r="K58" s="12">
        <f t="shared" si="1"/>
        <v>8.2661290322580738E-2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1</v>
      </c>
      <c r="P58" s="1">
        <f>VLOOKUP(A:A,MASTER!A:H,8,0)</f>
        <v>4</v>
      </c>
      <c r="Q58" s="12">
        <f t="shared" si="3"/>
        <v>3</v>
      </c>
      <c r="R58" s="1">
        <f>VLOOKUP(A:A,MASTER!A:B,2,0)</f>
        <v>1375</v>
      </c>
      <c r="S58">
        <f>VLOOKUP(A:A,MASTER!A:G,7,0)</f>
        <v>1573</v>
      </c>
      <c r="T58" s="12">
        <f t="shared" si="4"/>
        <v>0.14399999999999991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10974032.746516893</v>
      </c>
      <c r="G59" s="1">
        <f>VLOOKUP(A:A,MASTER!A:K,11,0)</f>
        <v>10278246.095594628</v>
      </c>
      <c r="H59" s="12">
        <f t="shared" si="0"/>
        <v>-6.340300480177663E-2</v>
      </c>
      <c r="I59" s="2">
        <f>VLOOKUP(A:A,MASTER!A:E,5,0)</f>
        <v>678</v>
      </c>
      <c r="J59" s="2">
        <f>VLOOKUP(A:A,MASTER!A:J,10,0)</f>
        <v>701</v>
      </c>
      <c r="K59" s="12">
        <f t="shared" si="1"/>
        <v>3.3923303834808349E-2</v>
      </c>
      <c r="L59" s="2">
        <f>VLOOKUP(A:A,MASTER!A:D,4,0)</f>
        <v>3</v>
      </c>
      <c r="M59" s="2">
        <f>VLOOKUP(A:A,MASTER!A:I,9,0)</f>
        <v>5</v>
      </c>
      <c r="N59" s="12">
        <f t="shared" si="2"/>
        <v>0.66666666666666674</v>
      </c>
      <c r="O59" s="1">
        <f>VLOOKUP(A:A,MASTER!A:C,3,0)</f>
        <v>1</v>
      </c>
      <c r="P59" s="1">
        <f>VLOOKUP(A:A,MASTER!A:H,8,0)</f>
        <v>0</v>
      </c>
      <c r="Q59" s="12">
        <f t="shared" si="3"/>
        <v>-1</v>
      </c>
      <c r="R59" s="1">
        <f>VLOOKUP(A:A,MASTER!A:B,2,0)</f>
        <v>773</v>
      </c>
      <c r="S59">
        <f>VLOOKUP(A:A,MASTER!A:G,7,0)</f>
        <v>798</v>
      </c>
      <c r="T59" s="12">
        <f t="shared" si="4"/>
        <v>3.2341526520051733E-2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12377204.484379064</v>
      </c>
      <c r="G60" s="1">
        <f>VLOOKUP(A:A,MASTER!A:K,11,0)</f>
        <v>13053578.192840053</v>
      </c>
      <c r="H60" s="12">
        <f t="shared" si="0"/>
        <v>5.4646726513617905E-2</v>
      </c>
      <c r="I60" s="2">
        <f>VLOOKUP(A:A,MASTER!A:E,5,0)</f>
        <v>449</v>
      </c>
      <c r="J60" s="2">
        <f>VLOOKUP(A:A,MASTER!A:J,10,0)</f>
        <v>485</v>
      </c>
      <c r="K60" s="12">
        <f t="shared" si="1"/>
        <v>8.01781737193763E-2</v>
      </c>
      <c r="L60" s="2">
        <f>VLOOKUP(A:A,MASTER!A:D,4,0)</f>
        <v>5</v>
      </c>
      <c r="M60" s="2">
        <f>VLOOKUP(A:A,MASTER!A:I,9,0)</f>
        <v>6</v>
      </c>
      <c r="N60" s="12">
        <f t="shared" si="2"/>
        <v>0.19999999999999996</v>
      </c>
      <c r="O60" s="1">
        <f>VLOOKUP(A:A,MASTER!A:C,3,0)</f>
        <v>2</v>
      </c>
      <c r="P60" s="1">
        <f>VLOOKUP(A:A,MASTER!A:H,8,0)</f>
        <v>3</v>
      </c>
      <c r="Q60" s="12">
        <f t="shared" si="3"/>
        <v>0.5</v>
      </c>
      <c r="R60" s="1">
        <f>VLOOKUP(A:A,MASTER!A:B,2,0)</f>
        <v>653</v>
      </c>
      <c r="S60">
        <f>VLOOKUP(A:A,MASTER!A:G,7,0)</f>
        <v>633</v>
      </c>
      <c r="T60" s="12">
        <f t="shared" si="4"/>
        <v>-3.0627871362940318E-2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39998936.331379116</v>
      </c>
      <c r="G61" s="1">
        <f>VLOOKUP(A:A,MASTER!A:K,11,0)</f>
        <v>41690120.062259182</v>
      </c>
      <c r="H61" s="12">
        <f t="shared" si="0"/>
        <v>4.2280717588815797E-2</v>
      </c>
      <c r="I61" s="2">
        <f>VLOOKUP(A:A,MASTER!A:E,5,0)</f>
        <v>1700</v>
      </c>
      <c r="J61" s="2">
        <f>VLOOKUP(A:A,MASTER!A:J,10,0)</f>
        <v>1901</v>
      </c>
      <c r="K61" s="12">
        <f t="shared" si="1"/>
        <v>0.11823529411764699</v>
      </c>
      <c r="L61" s="2">
        <f>VLOOKUP(A:A,MASTER!A:D,4,0)</f>
        <v>10</v>
      </c>
      <c r="M61" s="2">
        <f>VLOOKUP(A:A,MASTER!A:I,9,0)</f>
        <v>12</v>
      </c>
      <c r="N61" s="12">
        <f t="shared" si="2"/>
        <v>0.19999999999999996</v>
      </c>
      <c r="O61" s="1">
        <f>VLOOKUP(A:A,MASTER!A:C,3,0)</f>
        <v>2</v>
      </c>
      <c r="P61" s="1">
        <f>VLOOKUP(A:A,MASTER!A:H,8,0)</f>
        <v>8</v>
      </c>
      <c r="Q61" s="12">
        <f t="shared" si="3"/>
        <v>3</v>
      </c>
      <c r="R61" s="1">
        <f>VLOOKUP(A:A,MASTER!A:B,2,0)</f>
        <v>2014</v>
      </c>
      <c r="S61">
        <f>VLOOKUP(A:A,MASTER!A:G,7,0)</f>
        <v>1983</v>
      </c>
      <c r="T61" s="12">
        <f t="shared" si="4"/>
        <v>-1.5392254220456758E-2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27341280.596631687</v>
      </c>
      <c r="G62" s="1">
        <f>VLOOKUP(A:A,MASTER!A:K,11,0)</f>
        <v>29810368.226529896</v>
      </c>
      <c r="H62" s="12">
        <f t="shared" si="0"/>
        <v>9.0306217412595924E-2</v>
      </c>
      <c r="I62" s="2">
        <f>VLOOKUP(A:A,MASTER!A:E,5,0)</f>
        <v>1201</v>
      </c>
      <c r="J62" s="2">
        <f>VLOOKUP(A:A,MASTER!A:J,10,0)</f>
        <v>1278</v>
      </c>
      <c r="K62" s="12">
        <f t="shared" si="1"/>
        <v>6.4113238967526964E-2</v>
      </c>
      <c r="L62" s="2">
        <f>VLOOKUP(A:A,MASTER!A:D,4,0)</f>
        <v>6</v>
      </c>
      <c r="M62" s="2">
        <f>VLOOKUP(A:A,MASTER!A:I,9,0)</f>
        <v>6</v>
      </c>
      <c r="N62" s="12">
        <f t="shared" si="2"/>
        <v>0</v>
      </c>
      <c r="O62" s="1">
        <f>VLOOKUP(A:A,MASTER!A:C,3,0)</f>
        <v>3</v>
      </c>
      <c r="P62" s="1">
        <f>VLOOKUP(A:A,MASTER!A:H,8,0)</f>
        <v>8</v>
      </c>
      <c r="Q62" s="12">
        <f t="shared" si="3"/>
        <v>1.6666666666666665</v>
      </c>
      <c r="R62" s="1">
        <f>VLOOKUP(A:A,MASTER!A:B,2,0)</f>
        <v>1580</v>
      </c>
      <c r="S62">
        <f>VLOOKUP(A:A,MASTER!A:G,7,0)</f>
        <v>1601</v>
      </c>
      <c r="T62" s="12">
        <f t="shared" si="4"/>
        <v>1.32911392405064E-2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18909853.881245047</v>
      </c>
      <c r="G63" s="1">
        <f>VLOOKUP(A:A,MASTER!A:K,11,0)</f>
        <v>20519538.968589839</v>
      </c>
      <c r="H63" s="12">
        <f t="shared" si="0"/>
        <v>8.5124142018955018E-2</v>
      </c>
      <c r="I63" s="2">
        <f>VLOOKUP(A:A,MASTER!A:E,5,0)</f>
        <v>732</v>
      </c>
      <c r="J63" s="2">
        <f>VLOOKUP(A:A,MASTER!A:J,10,0)</f>
        <v>741</v>
      </c>
      <c r="K63" s="12">
        <f t="shared" si="1"/>
        <v>1.2295081967213184E-2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3</v>
      </c>
      <c r="P63" s="1">
        <f>VLOOKUP(A:A,MASTER!A:H,8,0)</f>
        <v>0</v>
      </c>
      <c r="Q63" s="12">
        <f t="shared" si="3"/>
        <v>-1</v>
      </c>
      <c r="R63" s="1">
        <f>VLOOKUP(A:A,MASTER!A:B,2,0)</f>
        <v>884</v>
      </c>
      <c r="S63">
        <f>VLOOKUP(A:A,MASTER!A:G,7,0)</f>
        <v>904</v>
      </c>
      <c r="T63" s="12">
        <f t="shared" si="4"/>
        <v>2.2624434389140191E-2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29190131.687550914</v>
      </c>
      <c r="G64" s="1">
        <f>VLOOKUP(A:A,MASTER!A:K,11,0)</f>
        <v>26995201.724576522</v>
      </c>
      <c r="H64" s="12">
        <f t="shared" si="0"/>
        <v>-7.519424668818786E-2</v>
      </c>
      <c r="I64" s="2">
        <f>VLOOKUP(A:A,MASTER!A:E,5,0)</f>
        <v>1400</v>
      </c>
      <c r="J64" s="2">
        <f>VLOOKUP(A:A,MASTER!A:J,10,0)</f>
        <v>1742</v>
      </c>
      <c r="K64" s="12">
        <f t="shared" si="1"/>
        <v>0.24428571428571422</v>
      </c>
      <c r="L64" s="2">
        <f>VLOOKUP(A:A,MASTER!A:D,4,0)</f>
        <v>12</v>
      </c>
      <c r="M64" s="2">
        <f>VLOOKUP(A:A,MASTER!A:I,9,0)</f>
        <v>12</v>
      </c>
      <c r="N64" s="12">
        <f t="shared" si="2"/>
        <v>0</v>
      </c>
      <c r="O64" s="1">
        <f>VLOOKUP(A:A,MASTER!A:C,3,0)</f>
        <v>101</v>
      </c>
      <c r="P64" s="1">
        <f>VLOOKUP(A:A,MASTER!A:H,8,0)</f>
        <v>316</v>
      </c>
      <c r="Q64" s="12">
        <f t="shared" si="3"/>
        <v>2.1287128712871288</v>
      </c>
      <c r="R64" s="1">
        <f>VLOOKUP(A:A,MASTER!A:B,2,0)</f>
        <v>2103</v>
      </c>
      <c r="S64">
        <f>VLOOKUP(A:A,MASTER!A:G,7,0)</f>
        <v>2422</v>
      </c>
      <c r="T64" s="12">
        <f t="shared" si="4"/>
        <v>0.15168806466951978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97571.767325919995</v>
      </c>
      <c r="G65" s="1">
        <f>VLOOKUP(A:A,MASTER!A:K,11,0)</f>
        <v>2232403.0006668</v>
      </c>
      <c r="H65" s="12">
        <f t="shared" si="0"/>
        <v>21.879599927813963</v>
      </c>
      <c r="I65" s="2">
        <f>VLOOKUP(A:A,MASTER!A:E,5,0)</f>
        <v>225</v>
      </c>
      <c r="J65" s="2">
        <f>VLOOKUP(A:A,MASTER!A:J,10,0)</f>
        <v>248</v>
      </c>
      <c r="K65" s="12">
        <f t="shared" si="1"/>
        <v>0.10222222222222221</v>
      </c>
      <c r="L65" s="2">
        <f>VLOOKUP(A:A,MASTER!A:D,4,0)</f>
        <v>0</v>
      </c>
      <c r="M65" s="2">
        <f>VLOOKUP(A:A,MASTER!A:I,9,0)</f>
        <v>0</v>
      </c>
      <c r="N65" s="12">
        <f t="shared" si="2"/>
        <v>0</v>
      </c>
      <c r="O65" s="1">
        <f>VLOOKUP(A:A,MASTER!A:C,3,0)</f>
        <v>0</v>
      </c>
      <c r="P65" s="1">
        <f>VLOOKUP(A:A,MASTER!A:H,8,0)</f>
        <v>1</v>
      </c>
      <c r="Q65" s="12">
        <f t="shared" si="3"/>
        <v>0</v>
      </c>
      <c r="R65" s="1">
        <f>VLOOKUP(A:A,MASTER!A:B,2,0)</f>
        <v>250</v>
      </c>
      <c r="S65">
        <f>VLOOKUP(A:A,MASTER!A:G,7,0)</f>
        <v>239</v>
      </c>
      <c r="T65" s="12">
        <f t="shared" si="4"/>
        <v>-4.4000000000000039E-2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20689674.761604756</v>
      </c>
      <c r="G66" s="1">
        <f>VLOOKUP(A:A,MASTER!A:K,11,0)</f>
        <v>20636321.072238777</v>
      </c>
      <c r="H66" s="12">
        <f t="shared" si="0"/>
        <v>-2.5787592110916302E-3</v>
      </c>
      <c r="I66" s="2">
        <f>VLOOKUP(A:A,MASTER!A:E,5,0)</f>
        <v>2134</v>
      </c>
      <c r="J66" s="2">
        <f>VLOOKUP(A:A,MASTER!A:J,10,0)</f>
        <v>1592</v>
      </c>
      <c r="K66" s="12">
        <f t="shared" si="1"/>
        <v>-0.25398313027179009</v>
      </c>
      <c r="L66" s="2">
        <f>VLOOKUP(A:A,MASTER!A:D,4,0)</f>
        <v>5</v>
      </c>
      <c r="M66" s="2">
        <f>VLOOKUP(A:A,MASTER!A:I,9,0)</f>
        <v>7</v>
      </c>
      <c r="N66" s="12">
        <f t="shared" si="2"/>
        <v>0.39999999999999991</v>
      </c>
      <c r="O66" s="1">
        <f>VLOOKUP(A:A,MASTER!A:C,3,0)</f>
        <v>4</v>
      </c>
      <c r="P66" s="1">
        <f>VLOOKUP(A:A,MASTER!A:H,8,0)</f>
        <v>10</v>
      </c>
      <c r="Q66" s="12">
        <f t="shared" si="3"/>
        <v>1.5</v>
      </c>
      <c r="R66" s="1">
        <f>VLOOKUP(A:A,MASTER!A:B,2,0)</f>
        <v>1666</v>
      </c>
      <c r="S66">
        <f>VLOOKUP(A:A,MASTER!A:G,7,0)</f>
        <v>1600</v>
      </c>
      <c r="T66" s="12">
        <f t="shared" si="4"/>
        <v>-3.9615846338535432E-2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10123977.138241217</v>
      </c>
      <c r="G67" s="1">
        <f>VLOOKUP(A:A,MASTER!A:K,11,0)</f>
        <v>9680738.9874051437</v>
      </c>
      <c r="H67" s="12">
        <f t="shared" ref="H67:H85" si="5">IFERROR(G67/F67-1,0)</f>
        <v>-4.3781030397810117E-2</v>
      </c>
      <c r="I67" s="2">
        <f>VLOOKUP(A:A,MASTER!A:E,5,0)</f>
        <v>643</v>
      </c>
      <c r="J67" s="2">
        <f>VLOOKUP(A:A,MASTER!A:J,10,0)</f>
        <v>610</v>
      </c>
      <c r="K67" s="12">
        <f t="shared" ref="K67:K85" si="6">IFERROR(J67/I67-1,0)</f>
        <v>-5.1321928460342114E-2</v>
      </c>
      <c r="L67" s="2">
        <f>VLOOKUP(A:A,MASTER!A:D,4,0)</f>
        <v>3</v>
      </c>
      <c r="M67" s="2">
        <f>VLOOKUP(A:A,MASTER!A:I,9,0)</f>
        <v>3</v>
      </c>
      <c r="N67" s="12">
        <f t="shared" ref="N67:N85" si="7">IFERROR(M67/L67-1,0)</f>
        <v>0</v>
      </c>
      <c r="O67" s="1">
        <f>VLOOKUP(A:A,MASTER!A:C,3,0)</f>
        <v>1</v>
      </c>
      <c r="P67" s="1">
        <f>VLOOKUP(A:A,MASTER!A:H,8,0)</f>
        <v>0</v>
      </c>
      <c r="Q67" s="12">
        <f t="shared" ref="Q67:Q85" si="8">IFERROR(P67/O67-1,0)</f>
        <v>-1</v>
      </c>
      <c r="R67" s="1">
        <f>VLOOKUP(A:A,MASTER!A:B,2,0)</f>
        <v>715</v>
      </c>
      <c r="S67">
        <f>VLOOKUP(A:A,MASTER!A:G,7,0)</f>
        <v>802</v>
      </c>
      <c r="T67" s="12">
        <f t="shared" ref="T67:T85" si="9">IFERROR(S67/R67-1,0)</f>
        <v>0.12167832167832171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13704193.321781749</v>
      </c>
      <c r="G68" s="1">
        <f>VLOOKUP(A:A,MASTER!A:K,11,0)</f>
        <v>15347479.699871952</v>
      </c>
      <c r="H68" s="12">
        <f t="shared" si="5"/>
        <v>0.11991120816125145</v>
      </c>
      <c r="I68" s="2">
        <f>VLOOKUP(A:A,MASTER!A:E,5,0)</f>
        <v>823</v>
      </c>
      <c r="J68" s="2">
        <f>VLOOKUP(A:A,MASTER!A:J,10,0)</f>
        <v>891</v>
      </c>
      <c r="K68" s="12">
        <f t="shared" si="6"/>
        <v>8.2624544349939155E-2</v>
      </c>
      <c r="L68" s="2">
        <f>VLOOKUP(A:A,MASTER!A:D,4,0)</f>
        <v>4</v>
      </c>
      <c r="M68" s="2">
        <f>VLOOKUP(A:A,MASTER!A:I,9,0)</f>
        <v>5</v>
      </c>
      <c r="N68" s="12">
        <f t="shared" si="7"/>
        <v>0.25</v>
      </c>
      <c r="O68" s="1">
        <f>VLOOKUP(A:A,MASTER!A:C,3,0)</f>
        <v>19</v>
      </c>
      <c r="P68" s="1">
        <f>VLOOKUP(A:A,MASTER!A:H,8,0)</f>
        <v>1</v>
      </c>
      <c r="Q68" s="12">
        <f t="shared" si="8"/>
        <v>-0.94736842105263164</v>
      </c>
      <c r="R68" s="1">
        <f>VLOOKUP(A:A,MASTER!A:B,2,0)</f>
        <v>1365</v>
      </c>
      <c r="S68">
        <f>VLOOKUP(A:A,MASTER!A:G,7,0)</f>
        <v>1535</v>
      </c>
      <c r="T68" s="12">
        <f t="shared" si="9"/>
        <v>0.12454212454212454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10820461.568128884</v>
      </c>
      <c r="G69" s="1">
        <f>VLOOKUP(A:A,MASTER!A:K,11,0)</f>
        <v>12112610.684452156</v>
      </c>
      <c r="H69" s="12">
        <f t="shared" si="5"/>
        <v>0.1194171901251635</v>
      </c>
      <c r="I69" s="2">
        <f>VLOOKUP(A:A,MASTER!A:E,5,0)</f>
        <v>1308</v>
      </c>
      <c r="J69" s="2">
        <f>VLOOKUP(A:A,MASTER!A:J,10,0)</f>
        <v>1378</v>
      </c>
      <c r="K69" s="12">
        <f t="shared" si="6"/>
        <v>5.3516819571865382E-2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1</v>
      </c>
      <c r="P69" s="1">
        <f>VLOOKUP(A:A,MASTER!A:H,8,0)</f>
        <v>1</v>
      </c>
      <c r="Q69" s="12">
        <f t="shared" si="8"/>
        <v>0</v>
      </c>
      <c r="R69" s="1">
        <f>VLOOKUP(A:A,MASTER!A:B,2,0)</f>
        <v>1303</v>
      </c>
      <c r="S69">
        <f>VLOOKUP(A:A,MASTER!A:G,7,0)</f>
        <v>1288</v>
      </c>
      <c r="T69" s="12">
        <f t="shared" si="9"/>
        <v>-1.1511895625479718E-2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25643241.569389533</v>
      </c>
      <c r="G70" s="1">
        <f>VLOOKUP(A:A,MASTER!A:K,11,0)</f>
        <v>26623138.930157941</v>
      </c>
      <c r="H70" s="12">
        <f t="shared" si="5"/>
        <v>3.821269468280164E-2</v>
      </c>
      <c r="I70" s="2">
        <f>VLOOKUP(A:A,MASTER!A:E,5,0)</f>
        <v>1206</v>
      </c>
      <c r="J70" s="2">
        <f>VLOOKUP(A:A,MASTER!A:J,10,0)</f>
        <v>1548</v>
      </c>
      <c r="K70" s="12">
        <f t="shared" si="6"/>
        <v>0.28358208955223874</v>
      </c>
      <c r="L70" s="2">
        <f>VLOOKUP(A:A,MASTER!A:D,4,0)</f>
        <v>4</v>
      </c>
      <c r="M70" s="2">
        <f>VLOOKUP(A:A,MASTER!A:I,9,0)</f>
        <v>7</v>
      </c>
      <c r="N70" s="12">
        <f t="shared" si="7"/>
        <v>0.75</v>
      </c>
      <c r="O70" s="1">
        <f>VLOOKUP(A:A,MASTER!A:C,3,0)</f>
        <v>6</v>
      </c>
      <c r="P70" s="1">
        <f>VLOOKUP(A:A,MASTER!A:H,8,0)</f>
        <v>6</v>
      </c>
      <c r="Q70" s="12">
        <f t="shared" si="8"/>
        <v>0</v>
      </c>
      <c r="R70" s="1">
        <f>VLOOKUP(A:A,MASTER!A:B,2,0)</f>
        <v>1737</v>
      </c>
      <c r="S70">
        <f>VLOOKUP(A:A,MASTER!A:G,7,0)</f>
        <v>1756</v>
      </c>
      <c r="T70" s="12">
        <f t="shared" si="9"/>
        <v>1.0938399539435872E-2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5183528.0759746609</v>
      </c>
      <c r="G71" s="1">
        <f>VLOOKUP(A:A,MASTER!A:K,11,0)</f>
        <v>5068686.295953582</v>
      </c>
      <c r="H71" s="12">
        <f t="shared" si="5"/>
        <v>-2.215513803298641E-2</v>
      </c>
      <c r="I71" s="2">
        <f>VLOOKUP(A:A,MASTER!A:E,5,0)</f>
        <v>513</v>
      </c>
      <c r="J71" s="2">
        <f>VLOOKUP(A:A,MASTER!A:J,10,0)</f>
        <v>435</v>
      </c>
      <c r="K71" s="12">
        <f t="shared" si="6"/>
        <v>-0.15204678362573099</v>
      </c>
      <c r="L71" s="2">
        <f>VLOOKUP(A:A,MASTER!A:D,4,0)</f>
        <v>1</v>
      </c>
      <c r="M71" s="2">
        <f>VLOOKUP(A:A,MASTER!A:I,9,0)</f>
        <v>1</v>
      </c>
      <c r="N71" s="12">
        <f t="shared" si="7"/>
        <v>0</v>
      </c>
      <c r="O71" s="1">
        <f>VLOOKUP(A:A,MASTER!A:C,3,0)</f>
        <v>2</v>
      </c>
      <c r="P71" s="1">
        <f>VLOOKUP(A:A,MASTER!A:H,8,0)</f>
        <v>1</v>
      </c>
      <c r="Q71" s="12">
        <f t="shared" si="8"/>
        <v>-0.5</v>
      </c>
      <c r="R71" s="1">
        <f>VLOOKUP(A:A,MASTER!A:B,2,0)</f>
        <v>502</v>
      </c>
      <c r="S71">
        <f>VLOOKUP(A:A,MASTER!A:G,7,0)</f>
        <v>513</v>
      </c>
      <c r="T71" s="12">
        <f t="shared" si="9"/>
        <v>2.1912350597609542E-2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7745280.6005880423</v>
      </c>
      <c r="G72" s="1">
        <f>VLOOKUP(A:A,MASTER!A:K,11,0)</f>
        <v>9719022.6098180842</v>
      </c>
      <c r="H72" s="12">
        <f t="shared" si="5"/>
        <v>0.25483156918552319</v>
      </c>
      <c r="I72" s="2">
        <f>VLOOKUP(A:A,MASTER!A:E,5,0)</f>
        <v>1088</v>
      </c>
      <c r="J72" s="2">
        <f>VLOOKUP(A:A,MASTER!A:J,10,0)</f>
        <v>811</v>
      </c>
      <c r="K72" s="12">
        <f t="shared" si="6"/>
        <v>-0.25459558823529416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3</v>
      </c>
      <c r="P72" s="1">
        <f>VLOOKUP(A:A,MASTER!A:H,8,0)</f>
        <v>1</v>
      </c>
      <c r="Q72" s="12">
        <f t="shared" si="8"/>
        <v>-0.66666666666666674</v>
      </c>
      <c r="R72" s="1">
        <f>VLOOKUP(A:A,MASTER!A:B,2,0)</f>
        <v>887</v>
      </c>
      <c r="S72">
        <f>VLOOKUP(A:A,MASTER!A:G,7,0)</f>
        <v>893</v>
      </c>
      <c r="T72" s="12">
        <f t="shared" si="9"/>
        <v>6.7643742953775732E-3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7669961.9689565534</v>
      </c>
      <c r="G73" s="1">
        <f>VLOOKUP(A:A,MASTER!A:K,11,0)</f>
        <v>8378230.702728969</v>
      </c>
      <c r="H73" s="12">
        <f t="shared" si="5"/>
        <v>9.2343187181249009E-2</v>
      </c>
      <c r="I73" s="2">
        <f>VLOOKUP(A:A,MASTER!A:E,5,0)</f>
        <v>471</v>
      </c>
      <c r="J73" s="2">
        <f>VLOOKUP(A:A,MASTER!A:J,10,0)</f>
        <v>391</v>
      </c>
      <c r="K73" s="12">
        <f t="shared" si="6"/>
        <v>-0.16985138004246281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0</v>
      </c>
      <c r="P73" s="1">
        <f>VLOOKUP(A:A,MASTER!A:H,8,0)</f>
        <v>2</v>
      </c>
      <c r="Q73" s="12">
        <f t="shared" si="8"/>
        <v>0</v>
      </c>
      <c r="R73" s="1">
        <f>VLOOKUP(A:A,MASTER!A:B,2,0)</f>
        <v>645</v>
      </c>
      <c r="S73">
        <f>VLOOKUP(A:A,MASTER!A:G,7,0)</f>
        <v>618</v>
      </c>
      <c r="T73" s="12">
        <f t="shared" si="9"/>
        <v>-4.1860465116279055E-2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7103193.7451434499</v>
      </c>
      <c r="G74" s="1">
        <f>VLOOKUP(A:A,MASTER!A:K,11,0)</f>
        <v>4911969.5232522739</v>
      </c>
      <c r="H74" s="12">
        <f t="shared" si="5"/>
        <v>-0.30848436640058507</v>
      </c>
      <c r="I74" s="2">
        <f>VLOOKUP(A:A,MASTER!A:E,5,0)</f>
        <v>732</v>
      </c>
      <c r="J74" s="2">
        <f>VLOOKUP(A:A,MASTER!A:J,10,0)</f>
        <v>790</v>
      </c>
      <c r="K74" s="12">
        <f t="shared" si="6"/>
        <v>7.9234972677595605E-2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3</v>
      </c>
      <c r="P74" s="1">
        <f>VLOOKUP(A:A,MASTER!A:H,8,0)</f>
        <v>1</v>
      </c>
      <c r="Q74" s="12">
        <f t="shared" si="8"/>
        <v>-0.66666666666666674</v>
      </c>
      <c r="R74" s="1">
        <f>VLOOKUP(A:A,MASTER!A:B,2,0)</f>
        <v>594</v>
      </c>
      <c r="S74">
        <f>VLOOKUP(A:A,MASTER!A:G,7,0)</f>
        <v>571</v>
      </c>
      <c r="T74" s="12">
        <f t="shared" si="9"/>
        <v>-3.8720538720538711E-2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7272562.1932009552</v>
      </c>
      <c r="G75" s="1">
        <f>VLOOKUP(A:A,MASTER!A:K,11,0)</f>
        <v>5969888.0537138022</v>
      </c>
      <c r="H75" s="12">
        <f t="shared" si="5"/>
        <v>-0.17912175996308566</v>
      </c>
      <c r="I75" s="2">
        <f>VLOOKUP(A:A,MASTER!A:E,5,0)</f>
        <v>459</v>
      </c>
      <c r="J75" s="2">
        <f>VLOOKUP(A:A,MASTER!A:J,10,0)</f>
        <v>451</v>
      </c>
      <c r="K75" s="12">
        <f t="shared" si="6"/>
        <v>-1.7429193899782147E-2</v>
      </c>
      <c r="L75" s="2">
        <f>VLOOKUP(A:A,MASTER!A:D,4,0)</f>
        <v>7</v>
      </c>
      <c r="M75" s="2">
        <f>VLOOKUP(A:A,MASTER!A:I,9,0)</f>
        <v>7</v>
      </c>
      <c r="N75" s="12">
        <f t="shared" si="7"/>
        <v>0</v>
      </c>
      <c r="O75" s="1">
        <f>VLOOKUP(A:A,MASTER!A:C,3,0)</f>
        <v>0</v>
      </c>
      <c r="P75" s="1">
        <f>VLOOKUP(A:A,MASTER!A:H,8,0)</f>
        <v>1</v>
      </c>
      <c r="Q75" s="12">
        <f t="shared" si="8"/>
        <v>0</v>
      </c>
      <c r="R75" s="1">
        <f>VLOOKUP(A:A,MASTER!A:B,2,0)</f>
        <v>448</v>
      </c>
      <c r="S75">
        <f>VLOOKUP(A:A,MASTER!A:G,7,0)</f>
        <v>447</v>
      </c>
      <c r="T75" s="12">
        <f t="shared" si="9"/>
        <v>-2.2321428571429047E-3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18218440.988546677</v>
      </c>
      <c r="G76" s="1">
        <f>VLOOKUP(A:A,MASTER!A:K,11,0)</f>
        <v>15724644.328045188</v>
      </c>
      <c r="H76" s="12">
        <f t="shared" si="5"/>
        <v>-0.13688309894733885</v>
      </c>
      <c r="I76" s="2">
        <f>VLOOKUP(A:A,MASTER!A:E,5,0)</f>
        <v>710</v>
      </c>
      <c r="J76" s="2">
        <f>VLOOKUP(A:A,MASTER!A:J,10,0)</f>
        <v>540</v>
      </c>
      <c r="K76" s="12">
        <f t="shared" si="6"/>
        <v>-0.23943661971830987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4</v>
      </c>
      <c r="P76" s="1">
        <f>VLOOKUP(A:A,MASTER!A:H,8,0)</f>
        <v>3</v>
      </c>
      <c r="Q76" s="12">
        <f t="shared" si="8"/>
        <v>-0.25</v>
      </c>
      <c r="R76" s="1">
        <f>VLOOKUP(A:A,MASTER!A:B,2,0)</f>
        <v>954</v>
      </c>
      <c r="S76">
        <f>VLOOKUP(A:A,MASTER!A:G,7,0)</f>
        <v>893</v>
      </c>
      <c r="T76" s="12">
        <f t="shared" si="9"/>
        <v>-6.3941299790356343E-2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11379663.824611437</v>
      </c>
      <c r="G77" s="1">
        <f>VLOOKUP(A:A,MASTER!A:K,11,0)</f>
        <v>11280389.067696506</v>
      </c>
      <c r="H77" s="12">
        <f t="shared" si="5"/>
        <v>-8.7238743116666573E-3</v>
      </c>
      <c r="I77" s="2">
        <f>VLOOKUP(A:A,MASTER!A:E,5,0)</f>
        <v>752</v>
      </c>
      <c r="J77" s="2">
        <f>VLOOKUP(A:A,MASTER!A:J,10,0)</f>
        <v>724</v>
      </c>
      <c r="K77" s="12">
        <f t="shared" si="6"/>
        <v>-3.7234042553191515E-2</v>
      </c>
      <c r="L77" s="2">
        <f>VLOOKUP(A:A,MASTER!A:D,4,0)</f>
        <v>10</v>
      </c>
      <c r="M77" s="2">
        <f>VLOOKUP(A:A,MASTER!A:I,9,0)</f>
        <v>8</v>
      </c>
      <c r="N77" s="12">
        <f t="shared" si="7"/>
        <v>-0.19999999999999996</v>
      </c>
      <c r="O77" s="1">
        <f>VLOOKUP(A:A,MASTER!A:C,3,0)</f>
        <v>2</v>
      </c>
      <c r="P77" s="1">
        <f>VLOOKUP(A:A,MASTER!A:H,8,0)</f>
        <v>2</v>
      </c>
      <c r="Q77" s="12">
        <f t="shared" si="8"/>
        <v>0</v>
      </c>
      <c r="R77" s="1">
        <f>VLOOKUP(A:A,MASTER!A:B,2,0)</f>
        <v>777</v>
      </c>
      <c r="S77">
        <f>VLOOKUP(A:A,MASTER!A:G,7,0)</f>
        <v>783</v>
      </c>
      <c r="T77" s="12">
        <f t="shared" si="9"/>
        <v>7.7220077220077066E-3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10004405.666505504</v>
      </c>
      <c r="G78" s="1">
        <f>VLOOKUP(A:A,MASTER!A:K,11,0)</f>
        <v>9539740.5912767146</v>
      </c>
      <c r="H78" s="12">
        <f t="shared" si="5"/>
        <v>-4.6446044944426501E-2</v>
      </c>
      <c r="I78" s="2">
        <f>VLOOKUP(A:A,MASTER!A:E,5,0)</f>
        <v>1089</v>
      </c>
      <c r="J78" s="2">
        <f>VLOOKUP(A:A,MASTER!A:J,10,0)</f>
        <v>923</v>
      </c>
      <c r="K78" s="12">
        <f t="shared" si="6"/>
        <v>-0.15243342516069791</v>
      </c>
      <c r="L78" s="2">
        <f>VLOOKUP(A:A,MASTER!A:D,4,0)</f>
        <v>1</v>
      </c>
      <c r="M78" s="2">
        <f>VLOOKUP(A:A,MASTER!A:I,9,0)</f>
        <v>2</v>
      </c>
      <c r="N78" s="12">
        <f t="shared" si="7"/>
        <v>1</v>
      </c>
      <c r="O78" s="1">
        <f>VLOOKUP(A:A,MASTER!A:C,3,0)</f>
        <v>1</v>
      </c>
      <c r="P78" s="1">
        <f>VLOOKUP(A:A,MASTER!A:H,8,0)</f>
        <v>0</v>
      </c>
      <c r="Q78" s="12">
        <f t="shared" si="8"/>
        <v>-1</v>
      </c>
      <c r="R78" s="1">
        <f>VLOOKUP(A:A,MASTER!A:B,2,0)</f>
        <v>967</v>
      </c>
      <c r="S78">
        <f>VLOOKUP(A:A,MASTER!A:G,7,0)</f>
        <v>942</v>
      </c>
      <c r="T78" s="12">
        <f t="shared" si="9"/>
        <v>-2.585315408479838E-2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7144179.9428527737</v>
      </c>
      <c r="G79" s="1">
        <f>VLOOKUP(A:A,MASTER!A:K,11,0)</f>
        <v>11431988.978976691</v>
      </c>
      <c r="H79" s="12">
        <f t="shared" si="5"/>
        <v>0.60018211613126504</v>
      </c>
      <c r="I79" s="2">
        <f>VLOOKUP(A:A,MASTER!A:E,5,0)</f>
        <v>944</v>
      </c>
      <c r="J79" s="2">
        <f>VLOOKUP(A:A,MASTER!A:J,10,0)</f>
        <v>838</v>
      </c>
      <c r="K79" s="12">
        <f t="shared" si="6"/>
        <v>-0.11228813559322037</v>
      </c>
      <c r="L79" s="2">
        <f>VLOOKUP(A:A,MASTER!A:D,4,0)</f>
        <v>4</v>
      </c>
      <c r="M79" s="2">
        <f>VLOOKUP(A:A,MASTER!A:I,9,0)</f>
        <v>4</v>
      </c>
      <c r="N79" s="12">
        <f t="shared" si="7"/>
        <v>0</v>
      </c>
      <c r="O79" s="1">
        <f>VLOOKUP(A:A,MASTER!A:C,3,0)</f>
        <v>1</v>
      </c>
      <c r="P79" s="1">
        <f>VLOOKUP(A:A,MASTER!A:H,8,0)</f>
        <v>0</v>
      </c>
      <c r="Q79" s="12">
        <f t="shared" si="8"/>
        <v>-1</v>
      </c>
      <c r="R79" s="1">
        <f>VLOOKUP(A:A,MASTER!A:B,2,0)</f>
        <v>1006</v>
      </c>
      <c r="S79">
        <f>VLOOKUP(A:A,MASTER!A:G,7,0)</f>
        <v>963</v>
      </c>
      <c r="T79" s="12">
        <f t="shared" si="9"/>
        <v>-4.2743538767395672E-2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10826680.297395928</v>
      </c>
      <c r="G80" s="1">
        <f>VLOOKUP(A:A,MASTER!A:K,11,0)</f>
        <v>12931009.572741892</v>
      </c>
      <c r="H80" s="12">
        <f t="shared" si="5"/>
        <v>0.19436514402776872</v>
      </c>
      <c r="I80" s="2">
        <f>VLOOKUP(A:A,MASTER!A:E,5,0)</f>
        <v>766</v>
      </c>
      <c r="J80" s="2">
        <f>VLOOKUP(A:A,MASTER!A:J,10,0)</f>
        <v>733</v>
      </c>
      <c r="K80" s="12">
        <f t="shared" si="6"/>
        <v>-4.3080939947780728E-2</v>
      </c>
      <c r="L80" s="2">
        <f>VLOOKUP(A:A,MASTER!A:D,4,0)</f>
        <v>6</v>
      </c>
      <c r="M80" s="2">
        <f>VLOOKUP(A:A,MASTER!A:I,9,0)</f>
        <v>6</v>
      </c>
      <c r="N80" s="12">
        <f t="shared" si="7"/>
        <v>0</v>
      </c>
      <c r="O80" s="1">
        <f>VLOOKUP(A:A,MASTER!A:C,3,0)</f>
        <v>0</v>
      </c>
      <c r="P80" s="1">
        <f>VLOOKUP(A:A,MASTER!A:H,8,0)</f>
        <v>0</v>
      </c>
      <c r="Q80" s="12">
        <f t="shared" si="8"/>
        <v>0</v>
      </c>
      <c r="R80" s="1">
        <f>VLOOKUP(A:A,MASTER!A:B,2,0)</f>
        <v>735</v>
      </c>
      <c r="S80">
        <f>VLOOKUP(A:A,MASTER!A:G,7,0)</f>
        <v>763</v>
      </c>
      <c r="T80" s="12">
        <f t="shared" si="9"/>
        <v>3.8095238095238182E-2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5814083.3944980819</v>
      </c>
      <c r="G81" s="1">
        <f>VLOOKUP(A:A,MASTER!A:K,11,0)</f>
        <v>5326640.4818217522</v>
      </c>
      <c r="H81" s="12">
        <f t="shared" si="5"/>
        <v>-8.3838307709449333E-2</v>
      </c>
      <c r="I81" s="2">
        <f>VLOOKUP(A:A,MASTER!A:E,5,0)</f>
        <v>861</v>
      </c>
      <c r="J81" s="2">
        <f>VLOOKUP(A:A,MASTER!A:J,10,0)</f>
        <v>513</v>
      </c>
      <c r="K81" s="12">
        <f t="shared" si="6"/>
        <v>-0.40418118466898956</v>
      </c>
      <c r="L81" s="2">
        <f>VLOOKUP(A:A,MASTER!A:D,4,0)</f>
        <v>1</v>
      </c>
      <c r="M81" s="2">
        <f>VLOOKUP(A:A,MASTER!A:I,9,0)</f>
        <v>0</v>
      </c>
      <c r="N81" s="12">
        <f t="shared" si="7"/>
        <v>-1</v>
      </c>
      <c r="O81" s="1">
        <f>VLOOKUP(A:A,MASTER!A:C,3,0)</f>
        <v>0</v>
      </c>
      <c r="P81" s="1">
        <f>VLOOKUP(A:A,MASTER!A:H,8,0)</f>
        <v>3</v>
      </c>
      <c r="Q81" s="12">
        <f t="shared" si="8"/>
        <v>0</v>
      </c>
      <c r="R81" s="1">
        <f>VLOOKUP(A:A,MASTER!A:B,2,0)</f>
        <v>577</v>
      </c>
      <c r="S81">
        <f>VLOOKUP(A:A,MASTER!A:G,7,0)</f>
        <v>573</v>
      </c>
      <c r="T81" s="12">
        <f t="shared" si="9"/>
        <v>-6.9324090121317683E-3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21580628.194866084</v>
      </c>
      <c r="G82" s="1">
        <f>VLOOKUP(A:A,MASTER!A:K,11,0)</f>
        <v>28273032.276224513</v>
      </c>
      <c r="H82" s="12">
        <f t="shared" si="5"/>
        <v>0.31011164368933963</v>
      </c>
      <c r="I82" s="2">
        <f>VLOOKUP(A:A,MASTER!A:E,5,0)</f>
        <v>1318</v>
      </c>
      <c r="J82" s="2">
        <f>VLOOKUP(A:A,MASTER!A:J,10,0)</f>
        <v>1448</v>
      </c>
      <c r="K82" s="12">
        <f t="shared" si="6"/>
        <v>9.8634294385432364E-2</v>
      </c>
      <c r="L82" s="2">
        <f>VLOOKUP(A:A,MASTER!A:D,4,0)</f>
        <v>10</v>
      </c>
      <c r="M82" s="2">
        <f>VLOOKUP(A:A,MASTER!A:I,9,0)</f>
        <v>9</v>
      </c>
      <c r="N82" s="12">
        <f t="shared" si="7"/>
        <v>-9.9999999999999978E-2</v>
      </c>
      <c r="O82" s="1">
        <f>VLOOKUP(A:A,MASTER!A:C,3,0)</f>
        <v>0</v>
      </c>
      <c r="P82" s="1">
        <f>VLOOKUP(A:A,MASTER!A:H,8,0)</f>
        <v>1</v>
      </c>
      <c r="Q82" s="12">
        <f t="shared" si="8"/>
        <v>0</v>
      </c>
      <c r="R82" s="1">
        <f>VLOOKUP(A:A,MASTER!A:B,2,0)</f>
        <v>1750</v>
      </c>
      <c r="S82">
        <f>VLOOKUP(A:A,MASTER!A:G,7,0)</f>
        <v>1762</v>
      </c>
      <c r="T82" s="12">
        <f t="shared" si="9"/>
        <v>6.857142857142895E-3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4666513.239576634</v>
      </c>
      <c r="G83" s="1">
        <f>VLOOKUP(A:A,MASTER!A:K,11,0)</f>
        <v>5951578.0922576673</v>
      </c>
      <c r="H83" s="12">
        <f t="shared" si="5"/>
        <v>0.27538009359588145</v>
      </c>
      <c r="I83" s="2">
        <f>VLOOKUP(A:A,MASTER!A:E,5,0)</f>
        <v>639</v>
      </c>
      <c r="J83" s="2">
        <f>VLOOKUP(A:A,MASTER!A:J,10,0)</f>
        <v>974</v>
      </c>
      <c r="K83" s="12">
        <f t="shared" si="6"/>
        <v>0.52425665101721441</v>
      </c>
      <c r="L83" s="2">
        <f>VLOOKUP(A:A,MASTER!A:D,4,0)</f>
        <v>2</v>
      </c>
      <c r="M83" s="2">
        <f>VLOOKUP(A:A,MASTER!A:I,9,0)</f>
        <v>3</v>
      </c>
      <c r="N83" s="12">
        <f t="shared" si="7"/>
        <v>0.5</v>
      </c>
      <c r="O83" s="1">
        <f>VLOOKUP(A:A,MASTER!A:C,3,0)</f>
        <v>0</v>
      </c>
      <c r="P83" s="1">
        <f>VLOOKUP(A:A,MASTER!A:H,8,0)</f>
        <v>1</v>
      </c>
      <c r="Q83" s="12">
        <f t="shared" si="8"/>
        <v>0</v>
      </c>
      <c r="R83" s="1">
        <f>VLOOKUP(A:A,MASTER!A:B,2,0)</f>
        <v>599</v>
      </c>
      <c r="S83">
        <f>VLOOKUP(A:A,MASTER!A:G,7,0)</f>
        <v>639</v>
      </c>
      <c r="T83" s="12">
        <f t="shared" si="9"/>
        <v>6.6777963272120155E-2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10601802.325064782</v>
      </c>
      <c r="G84" s="1">
        <f>VLOOKUP(A:A,MASTER!A:K,11,0)</f>
        <v>10574835.153834917</v>
      </c>
      <c r="H84" s="12">
        <f t="shared" si="5"/>
        <v>-2.5436402606856534E-3</v>
      </c>
      <c r="I84" s="2">
        <f>VLOOKUP(A:A,MASTER!A:E,5,0)</f>
        <v>564</v>
      </c>
      <c r="J84" s="2">
        <f>VLOOKUP(A:A,MASTER!A:J,10,0)</f>
        <v>737</v>
      </c>
      <c r="K84" s="12">
        <f t="shared" si="6"/>
        <v>0.30673758865248235</v>
      </c>
      <c r="L84" s="2">
        <f>VLOOKUP(A:A,MASTER!A:D,4,0)</f>
        <v>7</v>
      </c>
      <c r="M84" s="2">
        <f>VLOOKUP(A:A,MASTER!A:I,9,0)</f>
        <v>8</v>
      </c>
      <c r="N84" s="12">
        <f t="shared" si="7"/>
        <v>0.14285714285714279</v>
      </c>
      <c r="O84" s="1">
        <f>VLOOKUP(A:A,MASTER!A:C,3,0)</f>
        <v>3</v>
      </c>
      <c r="P84" s="1">
        <f>VLOOKUP(A:A,MASTER!A:H,8,0)</f>
        <v>3</v>
      </c>
      <c r="Q84" s="12">
        <f t="shared" si="8"/>
        <v>0</v>
      </c>
      <c r="R84" s="1">
        <f>VLOOKUP(A:A,MASTER!A:B,2,0)</f>
        <v>621</v>
      </c>
      <c r="S84">
        <f>VLOOKUP(A:A,MASTER!A:G,7,0)</f>
        <v>679</v>
      </c>
      <c r="T84" s="12">
        <f t="shared" si="9"/>
        <v>9.3397745571658586E-2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2783526.335356662</v>
      </c>
      <c r="G85" s="1">
        <f>VLOOKUP(A:A,MASTER!A:K,11,0)</f>
        <v>3099948.8521163808</v>
      </c>
      <c r="H85" s="12">
        <f t="shared" si="5"/>
        <v>0.11367685397493266</v>
      </c>
      <c r="I85" s="2">
        <f>VLOOKUP(A:A,MASTER!A:E,5,0)</f>
        <v>327</v>
      </c>
      <c r="J85" s="2">
        <f>VLOOKUP(A:A,MASTER!A:J,10,0)</f>
        <v>397</v>
      </c>
      <c r="K85" s="12">
        <f t="shared" si="6"/>
        <v>0.21406727828746175</v>
      </c>
      <c r="L85" s="2">
        <f>VLOOKUP(A:A,MASTER!A:D,4,0)</f>
        <v>0</v>
      </c>
      <c r="M85" s="2">
        <f>VLOOKUP(A:A,MASTER!A:I,9,0)</f>
        <v>1</v>
      </c>
      <c r="N85" s="12">
        <f t="shared" si="7"/>
        <v>0</v>
      </c>
      <c r="O85" s="1">
        <f>VLOOKUP(A:A,MASTER!A:C,3,0)</f>
        <v>1</v>
      </c>
      <c r="P85" s="1">
        <f>VLOOKUP(A:A,MASTER!A:H,8,0)</f>
        <v>2</v>
      </c>
      <c r="Q85" s="12">
        <f t="shared" si="8"/>
        <v>1</v>
      </c>
      <c r="R85" s="1">
        <f>VLOOKUP(A:A,MASTER!A:B,2,0)</f>
        <v>360</v>
      </c>
      <c r="S85">
        <f>VLOOKUP(A:A,MASTER!A:G,7,0)</f>
        <v>368</v>
      </c>
      <c r="T85" s="12">
        <f t="shared" si="9"/>
        <v>2.2222222222222143E-2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84752</v>
      </c>
      <c r="C3" s="11">
        <f t="shared" si="0"/>
        <v>609</v>
      </c>
      <c r="D3" s="11">
        <f t="shared" si="0"/>
        <v>305</v>
      </c>
      <c r="E3" s="11">
        <f t="shared" si="0"/>
        <v>71013</v>
      </c>
      <c r="F3" s="11">
        <f t="shared" si="0"/>
        <v>1045849348.6982355</v>
      </c>
      <c r="G3" s="11">
        <f t="shared" si="0"/>
        <v>84094</v>
      </c>
      <c r="H3" s="11">
        <f t="shared" si="0"/>
        <v>536</v>
      </c>
      <c r="I3" s="11">
        <f t="shared" si="0"/>
        <v>311</v>
      </c>
      <c r="J3" s="11">
        <f t="shared" si="0"/>
        <v>71841</v>
      </c>
      <c r="K3" s="11">
        <f t="shared" si="0"/>
        <v>1122335013.4611881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409</v>
      </c>
      <c r="C6" s="10">
        <v>0</v>
      </c>
      <c r="D6" s="10">
        <v>2</v>
      </c>
      <c r="E6" s="10">
        <v>362</v>
      </c>
      <c r="F6" s="10">
        <v>4683644.9632336674</v>
      </c>
      <c r="G6" s="10">
        <v>438</v>
      </c>
      <c r="H6" s="10">
        <v>1</v>
      </c>
      <c r="I6" s="10">
        <v>2</v>
      </c>
      <c r="J6" s="10">
        <v>401</v>
      </c>
      <c r="K6" s="10">
        <v>4978053.2402117653</v>
      </c>
    </row>
    <row r="7" spans="1:11" x14ac:dyDescent="0.35">
      <c r="A7" s="9" t="s">
        <v>127</v>
      </c>
      <c r="B7" s="10">
        <v>647</v>
      </c>
      <c r="C7" s="10">
        <v>1</v>
      </c>
      <c r="D7" s="10">
        <v>2</v>
      </c>
      <c r="E7" s="10">
        <v>510</v>
      </c>
      <c r="F7" s="10">
        <v>5879330.2206863789</v>
      </c>
      <c r="G7" s="10">
        <v>579</v>
      </c>
      <c r="H7" s="10">
        <v>4</v>
      </c>
      <c r="I7" s="10">
        <v>3</v>
      </c>
      <c r="J7" s="10">
        <v>453</v>
      </c>
      <c r="K7" s="10">
        <v>5256335.7833330818</v>
      </c>
    </row>
    <row r="8" spans="1:11" x14ac:dyDescent="0.35">
      <c r="A8" s="9" t="s">
        <v>119</v>
      </c>
      <c r="B8" s="10">
        <v>725</v>
      </c>
      <c r="C8" s="10">
        <v>2</v>
      </c>
      <c r="D8" s="10">
        <v>1</v>
      </c>
      <c r="E8" s="10">
        <v>640</v>
      </c>
      <c r="F8" s="10">
        <v>5460614.0816717949</v>
      </c>
      <c r="G8" s="10">
        <v>784</v>
      </c>
      <c r="H8" s="10">
        <v>3</v>
      </c>
      <c r="I8" s="10">
        <v>1</v>
      </c>
      <c r="J8" s="10">
        <v>651</v>
      </c>
      <c r="K8" s="10">
        <v>8085340.3775927443</v>
      </c>
    </row>
    <row r="9" spans="1:11" x14ac:dyDescent="0.35">
      <c r="A9" s="9" t="s">
        <v>121</v>
      </c>
      <c r="B9" s="10">
        <v>1212</v>
      </c>
      <c r="C9" s="10">
        <v>2</v>
      </c>
      <c r="D9" s="10">
        <v>3</v>
      </c>
      <c r="E9" s="10">
        <v>997</v>
      </c>
      <c r="F9" s="10">
        <v>12236857.910525</v>
      </c>
      <c r="G9" s="10">
        <v>1247</v>
      </c>
      <c r="H9" s="10">
        <v>1</v>
      </c>
      <c r="I9" s="10">
        <v>2</v>
      </c>
      <c r="J9" s="10">
        <v>875</v>
      </c>
      <c r="K9" s="10">
        <v>13156974.89442178</v>
      </c>
    </row>
    <row r="10" spans="1:11" x14ac:dyDescent="0.35">
      <c r="A10" s="9" t="s">
        <v>123</v>
      </c>
      <c r="B10" s="10">
        <v>407</v>
      </c>
      <c r="C10" s="10">
        <v>1</v>
      </c>
      <c r="D10" s="10">
        <v>1</v>
      </c>
      <c r="E10" s="10">
        <v>376</v>
      </c>
      <c r="F10" s="10">
        <v>4990212.0529561229</v>
      </c>
      <c r="G10" s="10">
        <v>383</v>
      </c>
      <c r="H10" s="10">
        <v>2</v>
      </c>
      <c r="I10" s="10">
        <v>1</v>
      </c>
      <c r="J10" s="10">
        <v>404</v>
      </c>
      <c r="K10" s="10">
        <v>5765746.5138189644</v>
      </c>
    </row>
    <row r="11" spans="1:11" x14ac:dyDescent="0.35">
      <c r="A11" s="9" t="s">
        <v>125</v>
      </c>
      <c r="B11" s="10">
        <v>382</v>
      </c>
      <c r="C11" s="10">
        <v>2</v>
      </c>
      <c r="D11" s="10">
        <v>2</v>
      </c>
      <c r="E11" s="10">
        <v>280</v>
      </c>
      <c r="F11" s="10">
        <v>4660087.1207807027</v>
      </c>
      <c r="G11" s="10">
        <v>375</v>
      </c>
      <c r="H11" s="10">
        <v>0</v>
      </c>
      <c r="I11" s="10">
        <v>2</v>
      </c>
      <c r="J11" s="10">
        <v>257</v>
      </c>
      <c r="K11" s="10">
        <v>3539355.9540657159</v>
      </c>
    </row>
    <row r="12" spans="1:11" x14ac:dyDescent="0.35">
      <c r="A12" s="9" t="s">
        <v>131</v>
      </c>
      <c r="B12" s="10">
        <v>589</v>
      </c>
      <c r="C12" s="10">
        <v>0</v>
      </c>
      <c r="D12" s="10">
        <v>5</v>
      </c>
      <c r="E12" s="10">
        <v>1456</v>
      </c>
      <c r="F12" s="10">
        <v>5192514.5237986036</v>
      </c>
      <c r="G12" s="10">
        <v>638</v>
      </c>
      <c r="H12" s="10">
        <v>0</v>
      </c>
      <c r="I12" s="10">
        <v>0</v>
      </c>
      <c r="J12" s="10">
        <v>482</v>
      </c>
      <c r="K12" s="10">
        <v>5711430.5063493485</v>
      </c>
    </row>
    <row r="13" spans="1:11" x14ac:dyDescent="0.35">
      <c r="A13" s="9" t="s">
        <v>133</v>
      </c>
      <c r="B13" s="10">
        <v>172</v>
      </c>
      <c r="C13" s="10">
        <v>0</v>
      </c>
      <c r="D13" s="10">
        <v>0</v>
      </c>
      <c r="E13" s="10">
        <v>131</v>
      </c>
      <c r="F13" s="10">
        <v>2421093.126122572</v>
      </c>
      <c r="G13" s="10">
        <v>188</v>
      </c>
      <c r="H13" s="10">
        <v>0</v>
      </c>
      <c r="I13" s="10">
        <v>1</v>
      </c>
      <c r="J13" s="10">
        <v>145</v>
      </c>
      <c r="K13" s="10">
        <v>2701606.931086258</v>
      </c>
    </row>
    <row r="14" spans="1:11" x14ac:dyDescent="0.35">
      <c r="A14" s="9" t="s">
        <v>141</v>
      </c>
      <c r="B14" s="10">
        <v>186</v>
      </c>
      <c r="C14" s="10">
        <v>0</v>
      </c>
      <c r="D14" s="10">
        <v>1</v>
      </c>
      <c r="E14" s="10">
        <v>143</v>
      </c>
      <c r="F14" s="10">
        <v>92512.887112622004</v>
      </c>
      <c r="G14" s="10">
        <v>197</v>
      </c>
      <c r="H14" s="10">
        <v>0</v>
      </c>
      <c r="I14" s="10">
        <v>1</v>
      </c>
      <c r="J14" s="10">
        <v>197</v>
      </c>
      <c r="K14" s="10">
        <v>2582938.6074092332</v>
      </c>
    </row>
    <row r="15" spans="1:11" x14ac:dyDescent="0.35">
      <c r="A15" s="9" t="s">
        <v>135</v>
      </c>
      <c r="B15" s="10">
        <v>370</v>
      </c>
      <c r="C15" s="10">
        <v>1</v>
      </c>
      <c r="D15" s="10">
        <v>1</v>
      </c>
      <c r="E15" s="10">
        <v>381</v>
      </c>
      <c r="F15" s="10">
        <v>5235008.8514380706</v>
      </c>
      <c r="G15" s="10">
        <v>379</v>
      </c>
      <c r="H15" s="10">
        <v>3</v>
      </c>
      <c r="I15" s="10">
        <v>1</v>
      </c>
      <c r="J15" s="10">
        <v>352</v>
      </c>
      <c r="K15" s="10">
        <v>4425235.5813336251</v>
      </c>
    </row>
    <row r="16" spans="1:11" x14ac:dyDescent="0.35">
      <c r="A16" s="9" t="s">
        <v>143</v>
      </c>
      <c r="B16" s="10">
        <v>195</v>
      </c>
      <c r="C16" s="10">
        <v>0</v>
      </c>
      <c r="D16" s="10">
        <v>2</v>
      </c>
      <c r="E16" s="10">
        <v>244</v>
      </c>
      <c r="F16" s="10">
        <v>2323341.2957096952</v>
      </c>
      <c r="G16" s="10">
        <v>242</v>
      </c>
      <c r="H16" s="10">
        <v>0</v>
      </c>
      <c r="I16" s="10">
        <v>2</v>
      </c>
      <c r="J16" s="10">
        <v>208</v>
      </c>
      <c r="K16" s="10">
        <v>2334648.5484479172</v>
      </c>
    </row>
    <row r="17" spans="1:11" x14ac:dyDescent="0.35">
      <c r="A17" s="9" t="s">
        <v>145</v>
      </c>
      <c r="B17" s="10">
        <v>241</v>
      </c>
      <c r="C17" s="10">
        <v>0</v>
      </c>
      <c r="D17" s="10">
        <v>1</v>
      </c>
      <c r="E17" s="10">
        <v>237</v>
      </c>
      <c r="F17" s="10">
        <v>2554428.9615312158</v>
      </c>
      <c r="G17" s="10">
        <v>248</v>
      </c>
      <c r="H17" s="10">
        <v>0</v>
      </c>
      <c r="I17" s="10">
        <v>0</v>
      </c>
      <c r="J17" s="10">
        <v>191</v>
      </c>
      <c r="K17" s="10">
        <v>2606607.2763832328</v>
      </c>
    </row>
    <row r="18" spans="1:11" x14ac:dyDescent="0.35">
      <c r="A18" s="9" t="s">
        <v>20</v>
      </c>
      <c r="B18" s="10">
        <v>1437</v>
      </c>
      <c r="C18" s="10">
        <v>2</v>
      </c>
      <c r="D18" s="10">
        <v>2</v>
      </c>
      <c r="E18" s="10">
        <v>890</v>
      </c>
      <c r="F18" s="10">
        <v>7511605.4967705691</v>
      </c>
      <c r="G18" s="10">
        <v>1331</v>
      </c>
      <c r="H18" s="10">
        <v>1</v>
      </c>
      <c r="I18" s="10">
        <v>5</v>
      </c>
      <c r="J18" s="10">
        <v>1246</v>
      </c>
      <c r="K18" s="10">
        <v>14950801.397865187</v>
      </c>
    </row>
    <row r="19" spans="1:11" x14ac:dyDescent="0.35">
      <c r="A19" s="9" t="s">
        <v>45</v>
      </c>
      <c r="B19" s="10">
        <v>1230</v>
      </c>
      <c r="C19" s="10">
        <v>1</v>
      </c>
      <c r="D19" s="10">
        <v>4</v>
      </c>
      <c r="E19" s="10">
        <v>1111</v>
      </c>
      <c r="F19" s="10">
        <v>16637366.689033663</v>
      </c>
      <c r="G19" s="10">
        <v>1230</v>
      </c>
      <c r="H19" s="10">
        <v>0</v>
      </c>
      <c r="I19" s="10">
        <v>2</v>
      </c>
      <c r="J19" s="10">
        <v>1038</v>
      </c>
      <c r="K19" s="10">
        <v>21440809.742618386</v>
      </c>
    </row>
    <row r="20" spans="1:11" x14ac:dyDescent="0.35">
      <c r="A20" s="9" t="s">
        <v>47</v>
      </c>
      <c r="B20" s="10">
        <v>1026</v>
      </c>
      <c r="C20" s="10">
        <v>1</v>
      </c>
      <c r="D20" s="10">
        <v>5</v>
      </c>
      <c r="E20" s="10">
        <v>989</v>
      </c>
      <c r="F20" s="10">
        <v>10171617.039237237</v>
      </c>
      <c r="G20" s="10">
        <v>1007</v>
      </c>
      <c r="H20" s="10">
        <v>3</v>
      </c>
      <c r="I20" s="10">
        <v>5</v>
      </c>
      <c r="J20" s="10">
        <v>971</v>
      </c>
      <c r="K20" s="10">
        <v>10350974.70972267</v>
      </c>
    </row>
    <row r="21" spans="1:11" x14ac:dyDescent="0.35">
      <c r="A21" s="9" t="s">
        <v>49</v>
      </c>
      <c r="B21" s="10">
        <v>919</v>
      </c>
      <c r="C21" s="10">
        <v>2</v>
      </c>
      <c r="D21" s="10">
        <v>4</v>
      </c>
      <c r="E21" s="10">
        <v>679</v>
      </c>
      <c r="F21" s="10">
        <v>6648035.906247532</v>
      </c>
      <c r="G21" s="10">
        <v>919</v>
      </c>
      <c r="H21" s="10">
        <v>0</v>
      </c>
      <c r="I21" s="10">
        <v>3</v>
      </c>
      <c r="J21" s="10">
        <v>731</v>
      </c>
      <c r="K21" s="10">
        <v>9968411.1441797502</v>
      </c>
    </row>
    <row r="22" spans="1:11" x14ac:dyDescent="0.35">
      <c r="A22" s="9" t="s">
        <v>51</v>
      </c>
      <c r="B22" s="10">
        <v>2994</v>
      </c>
      <c r="C22" s="10">
        <v>165</v>
      </c>
      <c r="D22" s="10">
        <v>10</v>
      </c>
      <c r="E22" s="10">
        <v>2837</v>
      </c>
      <c r="F22" s="10">
        <v>37415449.301750354</v>
      </c>
      <c r="G22" s="10">
        <v>2664</v>
      </c>
      <c r="H22" s="10">
        <v>5</v>
      </c>
      <c r="I22" s="10">
        <v>12</v>
      </c>
      <c r="J22" s="10">
        <v>2830</v>
      </c>
      <c r="K22" s="10">
        <v>34225342.631954283</v>
      </c>
    </row>
    <row r="23" spans="1:11" x14ac:dyDescent="0.35">
      <c r="A23" s="9" t="s">
        <v>53</v>
      </c>
      <c r="B23" s="10">
        <v>1381</v>
      </c>
      <c r="C23" s="10">
        <v>2</v>
      </c>
      <c r="D23" s="10">
        <v>1</v>
      </c>
      <c r="E23" s="10">
        <v>11</v>
      </c>
      <c r="F23" s="10">
        <v>8067110.564200094</v>
      </c>
      <c r="G23" s="10">
        <v>1310</v>
      </c>
      <c r="H23" s="10">
        <v>4</v>
      </c>
      <c r="I23" s="10">
        <v>2</v>
      </c>
      <c r="J23" s="10">
        <v>1302</v>
      </c>
      <c r="K23" s="10">
        <v>18408395.350092616</v>
      </c>
    </row>
    <row r="24" spans="1:11" x14ac:dyDescent="0.35">
      <c r="A24" s="9" t="s">
        <v>55</v>
      </c>
      <c r="B24" s="10">
        <v>2960</v>
      </c>
      <c r="C24" s="10">
        <v>8</v>
      </c>
      <c r="D24" s="10">
        <v>10</v>
      </c>
      <c r="E24" s="10">
        <v>2154</v>
      </c>
      <c r="F24" s="10">
        <v>36772959.372504324</v>
      </c>
      <c r="G24" s="10">
        <v>2748</v>
      </c>
      <c r="H24" s="10">
        <v>3</v>
      </c>
      <c r="I24" s="10">
        <v>10</v>
      </c>
      <c r="J24" s="10">
        <v>848</v>
      </c>
      <c r="K24" s="10">
        <v>36687579.764128327</v>
      </c>
    </row>
    <row r="25" spans="1:11" x14ac:dyDescent="0.35">
      <c r="A25" s="9" t="s">
        <v>67</v>
      </c>
      <c r="B25" s="10">
        <v>534</v>
      </c>
      <c r="C25" s="10">
        <v>3</v>
      </c>
      <c r="D25" s="10">
        <v>1</v>
      </c>
      <c r="E25" s="10">
        <v>493</v>
      </c>
      <c r="F25" s="10">
        <v>5656965.5075137829</v>
      </c>
      <c r="G25" s="10">
        <v>507</v>
      </c>
      <c r="H25" s="10">
        <v>2</v>
      </c>
      <c r="I25" s="10">
        <v>1</v>
      </c>
      <c r="J25" s="10">
        <v>596</v>
      </c>
      <c r="K25" s="10">
        <v>5277682.2879215516</v>
      </c>
    </row>
    <row r="26" spans="1:11" x14ac:dyDescent="0.35">
      <c r="A26" s="9" t="s">
        <v>74</v>
      </c>
      <c r="B26" s="10">
        <v>1731</v>
      </c>
      <c r="C26" s="10">
        <v>7</v>
      </c>
      <c r="D26" s="10">
        <v>1</v>
      </c>
      <c r="E26" s="10">
        <v>1323</v>
      </c>
      <c r="F26" s="10">
        <v>15178043.299457587</v>
      </c>
      <c r="G26" s="10">
        <v>1795</v>
      </c>
      <c r="H26" s="10">
        <v>8</v>
      </c>
      <c r="I26" s="10">
        <v>1</v>
      </c>
      <c r="J26" s="10">
        <v>1770</v>
      </c>
      <c r="K26" s="10">
        <v>13909501.57793038</v>
      </c>
    </row>
    <row r="27" spans="1:11" x14ac:dyDescent="0.35">
      <c r="A27" s="9" t="s">
        <v>70</v>
      </c>
      <c r="B27" s="10">
        <v>883</v>
      </c>
      <c r="C27" s="10">
        <v>5</v>
      </c>
      <c r="D27" s="10">
        <v>1</v>
      </c>
      <c r="E27" s="10">
        <v>772</v>
      </c>
      <c r="F27" s="10">
        <v>6137430.2428186694</v>
      </c>
      <c r="G27" s="10">
        <v>852</v>
      </c>
      <c r="H27" s="10">
        <v>3</v>
      </c>
      <c r="I27" s="10">
        <v>0</v>
      </c>
      <c r="J27" s="10">
        <v>259</v>
      </c>
      <c r="K27" s="10">
        <v>6252286.9941610703</v>
      </c>
    </row>
    <row r="28" spans="1:11" x14ac:dyDescent="0.35">
      <c r="A28" s="9" t="s">
        <v>72</v>
      </c>
      <c r="B28" s="10">
        <v>882</v>
      </c>
      <c r="C28" s="10">
        <v>4</v>
      </c>
      <c r="D28" s="10">
        <v>1</v>
      </c>
      <c r="E28" s="10">
        <v>730</v>
      </c>
      <c r="F28" s="10">
        <v>7894924.2449640203</v>
      </c>
      <c r="G28" s="10">
        <v>885</v>
      </c>
      <c r="H28" s="10">
        <v>1</v>
      </c>
      <c r="I28" s="10">
        <v>0</v>
      </c>
      <c r="J28" s="10">
        <v>204</v>
      </c>
      <c r="K28" s="10">
        <v>7869489.6136996793</v>
      </c>
    </row>
    <row r="29" spans="1:11" x14ac:dyDescent="0.35">
      <c r="A29" s="9" t="s">
        <v>79</v>
      </c>
      <c r="B29" s="10">
        <v>234</v>
      </c>
      <c r="C29" s="10">
        <v>1</v>
      </c>
      <c r="D29" s="10">
        <v>0</v>
      </c>
      <c r="E29" s="10">
        <v>145</v>
      </c>
      <c r="F29" s="10">
        <v>1739467.098542948</v>
      </c>
      <c r="G29" s="10">
        <v>214</v>
      </c>
      <c r="H29" s="10">
        <v>0</v>
      </c>
      <c r="I29" s="10">
        <v>0</v>
      </c>
      <c r="J29" s="10">
        <v>49</v>
      </c>
      <c r="K29" s="10">
        <v>2094624.198882482</v>
      </c>
    </row>
    <row r="30" spans="1:11" x14ac:dyDescent="0.35">
      <c r="A30" s="9" t="s">
        <v>109</v>
      </c>
      <c r="B30" s="10">
        <v>1655</v>
      </c>
      <c r="C30" s="10">
        <v>9</v>
      </c>
      <c r="D30" s="10">
        <v>6</v>
      </c>
      <c r="E30" s="10">
        <v>1318</v>
      </c>
      <c r="F30" s="10">
        <v>14505582.349979963</v>
      </c>
      <c r="G30" s="10">
        <v>1617</v>
      </c>
      <c r="H30" s="10">
        <v>2</v>
      </c>
      <c r="I30" s="10">
        <v>6</v>
      </c>
      <c r="J30" s="10">
        <v>2248</v>
      </c>
      <c r="K30" s="10">
        <v>15252371.060816515</v>
      </c>
    </row>
    <row r="31" spans="1:11" x14ac:dyDescent="0.35">
      <c r="A31" s="9" t="s">
        <v>111</v>
      </c>
      <c r="B31" s="10">
        <v>872</v>
      </c>
      <c r="C31" s="10">
        <v>0</v>
      </c>
      <c r="D31" s="10">
        <v>1</v>
      </c>
      <c r="E31" s="10">
        <v>704</v>
      </c>
      <c r="F31" s="10">
        <v>11306333.148250431</v>
      </c>
      <c r="G31" s="10">
        <v>903</v>
      </c>
      <c r="H31" s="10">
        <v>2</v>
      </c>
      <c r="I31" s="10">
        <v>1</v>
      </c>
      <c r="J31" s="10">
        <v>668</v>
      </c>
      <c r="K31" s="10">
        <v>12372261.524191203</v>
      </c>
    </row>
    <row r="32" spans="1:11" x14ac:dyDescent="0.35">
      <c r="A32" s="9" t="s">
        <v>113</v>
      </c>
      <c r="B32" s="10">
        <v>1057</v>
      </c>
      <c r="C32" s="10">
        <v>1</v>
      </c>
      <c r="D32" s="10">
        <v>1</v>
      </c>
      <c r="E32" s="10">
        <v>814</v>
      </c>
      <c r="F32" s="10">
        <v>10861387.139972234</v>
      </c>
      <c r="G32" s="10">
        <v>998</v>
      </c>
      <c r="H32" s="10">
        <v>1</v>
      </c>
      <c r="I32" s="10">
        <v>2</v>
      </c>
      <c r="J32" s="10">
        <v>762</v>
      </c>
      <c r="K32" s="10">
        <v>12560664.568087993</v>
      </c>
    </row>
    <row r="33" spans="1:11" x14ac:dyDescent="0.35">
      <c r="A33" s="9" t="s">
        <v>115</v>
      </c>
      <c r="B33" s="10">
        <v>1109</v>
      </c>
      <c r="C33" s="10">
        <v>1</v>
      </c>
      <c r="D33" s="10">
        <v>2</v>
      </c>
      <c r="E33" s="10">
        <v>878</v>
      </c>
      <c r="F33" s="10">
        <v>15358316.512845395</v>
      </c>
      <c r="G33" s="10">
        <v>1145</v>
      </c>
      <c r="H33" s="10">
        <v>1</v>
      </c>
      <c r="I33" s="10">
        <v>3</v>
      </c>
      <c r="J33" s="10">
        <v>952</v>
      </c>
      <c r="K33" s="10">
        <v>17214720.459502291</v>
      </c>
    </row>
    <row r="34" spans="1:11" x14ac:dyDescent="0.35">
      <c r="A34" s="9" t="s">
        <v>16</v>
      </c>
      <c r="B34" s="10">
        <v>1473</v>
      </c>
      <c r="C34" s="10">
        <v>1</v>
      </c>
      <c r="D34" s="10">
        <v>5</v>
      </c>
      <c r="E34" s="10">
        <v>1113</v>
      </c>
      <c r="F34" s="10">
        <v>21723024.225463841</v>
      </c>
      <c r="G34" s="10">
        <v>1417</v>
      </c>
      <c r="H34" s="10">
        <v>1</v>
      </c>
      <c r="I34" s="10">
        <v>2</v>
      </c>
      <c r="J34" s="10">
        <v>1203</v>
      </c>
      <c r="K34" s="10">
        <v>23684227.935952146</v>
      </c>
    </row>
    <row r="35" spans="1:11" x14ac:dyDescent="0.35">
      <c r="A35" s="9" t="s">
        <v>18</v>
      </c>
      <c r="B35" s="10">
        <v>679</v>
      </c>
      <c r="C35" s="10">
        <v>0</v>
      </c>
      <c r="D35" s="10">
        <v>5</v>
      </c>
      <c r="E35" s="10">
        <v>1081</v>
      </c>
      <c r="F35" s="10">
        <v>8860477.7151947524</v>
      </c>
      <c r="G35" s="10">
        <v>649</v>
      </c>
      <c r="H35" s="10">
        <v>0</v>
      </c>
      <c r="I35" s="10">
        <v>5</v>
      </c>
      <c r="J35" s="10">
        <v>587</v>
      </c>
      <c r="K35" s="10">
        <v>8280131.5895204283</v>
      </c>
    </row>
    <row r="36" spans="1:11" x14ac:dyDescent="0.35">
      <c r="A36" s="9" t="s">
        <v>43</v>
      </c>
      <c r="B36" s="10">
        <v>1937</v>
      </c>
      <c r="C36" s="10">
        <v>3</v>
      </c>
      <c r="D36" s="10">
        <v>11</v>
      </c>
      <c r="E36" s="10">
        <v>1521</v>
      </c>
      <c r="F36" s="10">
        <v>27435087.405697864</v>
      </c>
      <c r="G36" s="10">
        <v>1816</v>
      </c>
      <c r="H36" s="10">
        <v>2</v>
      </c>
      <c r="I36" s="10">
        <v>5</v>
      </c>
      <c r="J36" s="10">
        <v>1598</v>
      </c>
      <c r="K36" s="10">
        <v>12977891.15821732</v>
      </c>
    </row>
    <row r="37" spans="1:11" x14ac:dyDescent="0.35">
      <c r="A37" s="9" t="s">
        <v>152</v>
      </c>
      <c r="B37" s="10">
        <v>841</v>
      </c>
      <c r="C37" s="10">
        <v>1</v>
      </c>
      <c r="D37" s="10">
        <v>2</v>
      </c>
      <c r="E37" s="10">
        <v>650</v>
      </c>
      <c r="F37" s="10">
        <v>9021769.9548970889</v>
      </c>
      <c r="G37" s="10">
        <v>854</v>
      </c>
      <c r="H37" s="10">
        <v>1</v>
      </c>
      <c r="I37" s="10">
        <v>2</v>
      </c>
      <c r="J37" s="10">
        <v>733</v>
      </c>
      <c r="K37" s="10">
        <v>9880278.2513982244</v>
      </c>
    </row>
    <row r="38" spans="1:11" x14ac:dyDescent="0.35">
      <c r="A38" s="9" t="s">
        <v>149</v>
      </c>
      <c r="B38" s="10">
        <v>713</v>
      </c>
      <c r="C38" s="10">
        <v>0</v>
      </c>
      <c r="D38" s="10">
        <v>1</v>
      </c>
      <c r="E38" s="10">
        <v>521</v>
      </c>
      <c r="F38" s="10">
        <v>8722039.7988735847</v>
      </c>
      <c r="G38" s="10">
        <v>705</v>
      </c>
      <c r="H38" s="10">
        <v>1</v>
      </c>
      <c r="I38" s="10">
        <v>1</v>
      </c>
      <c r="J38" s="10">
        <v>572</v>
      </c>
      <c r="K38" s="10">
        <v>8519777.8392761592</v>
      </c>
    </row>
    <row r="39" spans="1:11" x14ac:dyDescent="0.35">
      <c r="A39" s="9" t="s">
        <v>154</v>
      </c>
      <c r="B39" s="10">
        <v>1178</v>
      </c>
      <c r="C39" s="10">
        <v>5</v>
      </c>
      <c r="D39" s="10">
        <v>1</v>
      </c>
      <c r="E39" s="10">
        <v>767</v>
      </c>
      <c r="F39" s="10">
        <v>13307600.907234676</v>
      </c>
      <c r="G39" s="10">
        <v>1210</v>
      </c>
      <c r="H39" s="10">
        <v>5</v>
      </c>
      <c r="I39" s="10">
        <v>2</v>
      </c>
      <c r="J39" s="10">
        <v>902</v>
      </c>
      <c r="K39" s="10">
        <v>15183906.641224124</v>
      </c>
    </row>
    <row r="40" spans="1:11" x14ac:dyDescent="0.35">
      <c r="A40" s="9" t="s">
        <v>2</v>
      </c>
      <c r="B40" s="10">
        <v>1403</v>
      </c>
      <c r="C40" s="10">
        <v>120</v>
      </c>
      <c r="D40" s="10">
        <v>1</v>
      </c>
      <c r="E40" s="10">
        <v>900</v>
      </c>
      <c r="F40" s="10">
        <v>12165696.746204032</v>
      </c>
      <c r="G40" s="10">
        <v>1172</v>
      </c>
      <c r="H40" s="10">
        <v>33</v>
      </c>
      <c r="I40" s="10">
        <v>1</v>
      </c>
      <c r="J40" s="10">
        <v>917</v>
      </c>
      <c r="K40" s="10">
        <v>13968627.485154161</v>
      </c>
    </row>
    <row r="41" spans="1:11" x14ac:dyDescent="0.35">
      <c r="A41" s="9" t="s">
        <v>156</v>
      </c>
      <c r="B41" s="10">
        <v>2551</v>
      </c>
      <c r="C41" s="10">
        <v>67</v>
      </c>
      <c r="D41" s="10">
        <v>5</v>
      </c>
      <c r="E41" s="10">
        <v>1511</v>
      </c>
      <c r="F41" s="10">
        <v>22135295.404027767</v>
      </c>
      <c r="G41" s="10">
        <v>2143</v>
      </c>
      <c r="H41" s="10">
        <v>23</v>
      </c>
      <c r="I41" s="10">
        <v>5</v>
      </c>
      <c r="J41" s="10">
        <v>1428</v>
      </c>
      <c r="K41" s="10">
        <v>23018133.887720969</v>
      </c>
    </row>
    <row r="42" spans="1:11" x14ac:dyDescent="0.35">
      <c r="A42" s="9" t="s">
        <v>14</v>
      </c>
      <c r="B42" s="10">
        <v>614</v>
      </c>
      <c r="C42" s="10">
        <v>0</v>
      </c>
      <c r="D42" s="10">
        <v>6</v>
      </c>
      <c r="E42" s="10">
        <v>450</v>
      </c>
      <c r="F42" s="10">
        <v>8005985.6852862546</v>
      </c>
      <c r="G42" s="10">
        <v>586</v>
      </c>
      <c r="H42" s="10">
        <v>2</v>
      </c>
      <c r="I42" s="10">
        <v>8</v>
      </c>
      <c r="J42" s="10">
        <v>455</v>
      </c>
      <c r="K42" s="10">
        <v>8771063.2381540779</v>
      </c>
    </row>
    <row r="43" spans="1:11" x14ac:dyDescent="0.35">
      <c r="A43" s="9" t="s">
        <v>8</v>
      </c>
      <c r="B43" s="10">
        <v>2057</v>
      </c>
      <c r="C43" s="10">
        <v>2</v>
      </c>
      <c r="D43" s="10">
        <v>6</v>
      </c>
      <c r="E43" s="10">
        <v>1909</v>
      </c>
      <c r="F43" s="10">
        <v>27408595.795075551</v>
      </c>
      <c r="G43" s="10">
        <v>2101</v>
      </c>
      <c r="H43" s="10">
        <v>4</v>
      </c>
      <c r="I43" s="10">
        <v>5</v>
      </c>
      <c r="J43" s="10">
        <v>2009</v>
      </c>
      <c r="K43" s="10">
        <v>26156470.790119909</v>
      </c>
    </row>
    <row r="44" spans="1:11" x14ac:dyDescent="0.35">
      <c r="A44" s="9" t="s">
        <v>39</v>
      </c>
      <c r="B44" s="10">
        <v>894</v>
      </c>
      <c r="C44" s="10">
        <v>2</v>
      </c>
      <c r="D44" s="10">
        <v>2</v>
      </c>
      <c r="E44" s="10">
        <v>808</v>
      </c>
      <c r="F44" s="10">
        <v>17417841.547293611</v>
      </c>
      <c r="G44" s="10">
        <v>946</v>
      </c>
      <c r="H44" s="10">
        <v>3</v>
      </c>
      <c r="I44" s="10">
        <v>6</v>
      </c>
      <c r="J44" s="10">
        <v>889</v>
      </c>
      <c r="K44" s="10">
        <v>21061640.286754575</v>
      </c>
    </row>
    <row r="45" spans="1:11" x14ac:dyDescent="0.35">
      <c r="A45" s="9" t="s">
        <v>6</v>
      </c>
      <c r="B45" s="10">
        <v>1098</v>
      </c>
      <c r="C45" s="10">
        <v>0</v>
      </c>
      <c r="D45" s="10">
        <v>3</v>
      </c>
      <c r="E45" s="10">
        <v>484</v>
      </c>
      <c r="F45" s="10">
        <v>7292694.8874335634</v>
      </c>
      <c r="G45" s="10">
        <v>1070</v>
      </c>
      <c r="H45" s="10">
        <v>4</v>
      </c>
      <c r="I45" s="10">
        <v>3</v>
      </c>
      <c r="J45" s="10">
        <v>985</v>
      </c>
      <c r="K45" s="10">
        <v>15095536.852726772</v>
      </c>
    </row>
    <row r="46" spans="1:11" x14ac:dyDescent="0.35">
      <c r="A46" s="9" t="s">
        <v>41</v>
      </c>
      <c r="B46" s="10">
        <v>827</v>
      </c>
      <c r="C46" s="10">
        <v>1</v>
      </c>
      <c r="D46" s="10">
        <v>4</v>
      </c>
      <c r="E46" s="10">
        <v>646</v>
      </c>
      <c r="F46" s="10">
        <v>13620793.951905912</v>
      </c>
      <c r="G46" s="10">
        <v>821</v>
      </c>
      <c r="H46" s="10">
        <v>2</v>
      </c>
      <c r="I46" s="10">
        <v>4</v>
      </c>
      <c r="J46" s="10">
        <v>840</v>
      </c>
      <c r="K46" s="10">
        <v>14494444.737129457</v>
      </c>
    </row>
    <row r="47" spans="1:11" x14ac:dyDescent="0.35">
      <c r="A47" s="9" t="s">
        <v>158</v>
      </c>
      <c r="B47" s="10">
        <v>684</v>
      </c>
      <c r="C47" s="10">
        <v>1</v>
      </c>
      <c r="D47" s="10">
        <v>10</v>
      </c>
      <c r="E47" s="10">
        <v>583</v>
      </c>
      <c r="F47" s="10">
        <v>8811668.1083757151</v>
      </c>
      <c r="G47" s="10">
        <v>728</v>
      </c>
      <c r="H47" s="10">
        <v>0</v>
      </c>
      <c r="I47" s="10">
        <v>9</v>
      </c>
      <c r="J47" s="10">
        <v>591</v>
      </c>
      <c r="K47" s="10">
        <v>8898057.3251833227</v>
      </c>
    </row>
    <row r="48" spans="1:11" x14ac:dyDescent="0.35">
      <c r="A48" s="9" t="s">
        <v>160</v>
      </c>
      <c r="B48" s="10">
        <v>692</v>
      </c>
      <c r="C48" s="10">
        <v>0</v>
      </c>
      <c r="D48" s="10">
        <v>3</v>
      </c>
      <c r="E48" s="10">
        <v>681</v>
      </c>
      <c r="F48" s="10">
        <v>7493954.5295029702</v>
      </c>
      <c r="G48" s="10">
        <v>704</v>
      </c>
      <c r="H48" s="10">
        <v>0</v>
      </c>
      <c r="I48" s="10">
        <v>2</v>
      </c>
      <c r="J48" s="10">
        <v>784</v>
      </c>
      <c r="K48" s="10">
        <v>8100280.4279145114</v>
      </c>
    </row>
    <row r="49" spans="1:11" x14ac:dyDescent="0.35">
      <c r="A49" s="9" t="s">
        <v>83</v>
      </c>
      <c r="B49" s="10">
        <v>1238</v>
      </c>
      <c r="C49" s="10">
        <v>0</v>
      </c>
      <c r="D49" s="10">
        <v>4</v>
      </c>
      <c r="E49" s="10">
        <v>1106</v>
      </c>
      <c r="F49" s="10">
        <v>23978544.831586152</v>
      </c>
      <c r="G49" s="10">
        <v>1286</v>
      </c>
      <c r="H49" s="10">
        <v>1</v>
      </c>
      <c r="I49" s="10">
        <v>7</v>
      </c>
      <c r="J49" s="10">
        <v>1157</v>
      </c>
      <c r="K49" s="10">
        <v>27613776.459842417</v>
      </c>
    </row>
    <row r="50" spans="1:11" x14ac:dyDescent="0.35">
      <c r="A50" s="9" t="s">
        <v>201</v>
      </c>
      <c r="B50" s="10">
        <v>433</v>
      </c>
      <c r="C50" s="10">
        <v>0</v>
      </c>
      <c r="D50" s="10">
        <v>1</v>
      </c>
      <c r="E50" s="10">
        <v>457</v>
      </c>
      <c r="F50" s="10">
        <v>4077953.5634919931</v>
      </c>
      <c r="G50" s="10">
        <v>428</v>
      </c>
      <c r="H50" s="10">
        <v>0</v>
      </c>
      <c r="I50" s="10">
        <v>1</v>
      </c>
      <c r="J50" s="10">
        <v>469</v>
      </c>
      <c r="K50" s="10">
        <v>4237238.5021515312</v>
      </c>
    </row>
    <row r="51" spans="1:11" x14ac:dyDescent="0.35">
      <c r="A51" s="9" t="s">
        <v>31</v>
      </c>
      <c r="B51" s="10">
        <v>918</v>
      </c>
      <c r="C51" s="10">
        <v>2</v>
      </c>
      <c r="D51" s="10">
        <v>5</v>
      </c>
      <c r="E51" s="10">
        <v>868</v>
      </c>
      <c r="F51" s="10">
        <v>11509046.651324764</v>
      </c>
      <c r="G51" s="10">
        <v>910</v>
      </c>
      <c r="H51" s="10">
        <v>1</v>
      </c>
      <c r="I51" s="10">
        <v>4</v>
      </c>
      <c r="J51" s="10">
        <v>897</v>
      </c>
      <c r="K51" s="10">
        <v>11732046.860500628</v>
      </c>
    </row>
    <row r="52" spans="1:11" x14ac:dyDescent="0.35">
      <c r="A52" s="9" t="s">
        <v>33</v>
      </c>
      <c r="B52" s="10">
        <v>1357</v>
      </c>
      <c r="C52" s="10">
        <v>3</v>
      </c>
      <c r="D52" s="10">
        <v>12</v>
      </c>
      <c r="E52" s="10">
        <v>1014</v>
      </c>
      <c r="F52" s="10">
        <v>20599510.20797307</v>
      </c>
      <c r="G52" s="10">
        <v>1428</v>
      </c>
      <c r="H52" s="10">
        <v>1</v>
      </c>
      <c r="I52" s="10">
        <v>12</v>
      </c>
      <c r="J52" s="10">
        <v>1062</v>
      </c>
      <c r="K52" s="10">
        <v>21038858.951671384</v>
      </c>
    </row>
    <row r="53" spans="1:11" x14ac:dyDescent="0.35">
      <c r="A53" s="9" t="s">
        <v>85</v>
      </c>
      <c r="B53" s="10">
        <v>484</v>
      </c>
      <c r="C53" s="10">
        <v>0</v>
      </c>
      <c r="D53" s="10">
        <v>6</v>
      </c>
      <c r="E53" s="10">
        <v>397</v>
      </c>
      <c r="F53" s="10">
        <v>10792658.213887241</v>
      </c>
      <c r="G53" s="10">
        <v>478</v>
      </c>
      <c r="H53" s="10">
        <v>2</v>
      </c>
      <c r="I53" s="10">
        <v>7</v>
      </c>
      <c r="J53" s="10">
        <v>375</v>
      </c>
      <c r="K53" s="10">
        <v>9628834.1808318123</v>
      </c>
    </row>
    <row r="54" spans="1:11" x14ac:dyDescent="0.35">
      <c r="A54" s="9" t="s">
        <v>81</v>
      </c>
      <c r="B54" s="10">
        <v>453</v>
      </c>
      <c r="C54" s="10">
        <v>0</v>
      </c>
      <c r="D54" s="10">
        <v>4</v>
      </c>
      <c r="E54" s="10">
        <v>304</v>
      </c>
      <c r="F54" s="10">
        <v>7781689.2134891581</v>
      </c>
      <c r="G54" s="10">
        <v>459</v>
      </c>
      <c r="H54" s="10">
        <v>1</v>
      </c>
      <c r="I54" s="10">
        <v>3</v>
      </c>
      <c r="J54" s="10">
        <v>427</v>
      </c>
      <c r="K54" s="10">
        <v>8317366.331311157</v>
      </c>
    </row>
    <row r="55" spans="1:11" x14ac:dyDescent="0.35">
      <c r="A55" s="9" t="s">
        <v>87</v>
      </c>
      <c r="B55" s="10">
        <v>429</v>
      </c>
      <c r="C55" s="10">
        <v>1</v>
      </c>
      <c r="D55" s="10">
        <v>3</v>
      </c>
      <c r="E55" s="10">
        <v>322</v>
      </c>
      <c r="F55" s="10">
        <v>6698176.9213968087</v>
      </c>
      <c r="G55" s="10">
        <v>395</v>
      </c>
      <c r="H55" s="10">
        <v>0</v>
      </c>
      <c r="I55" s="10">
        <v>2</v>
      </c>
      <c r="J55" s="10">
        <v>10</v>
      </c>
      <c r="K55" s="10">
        <v>4964107.3769024704</v>
      </c>
    </row>
    <row r="56" spans="1:11" x14ac:dyDescent="0.35">
      <c r="A56" s="9" t="s">
        <v>166</v>
      </c>
      <c r="B56" s="10">
        <v>1104</v>
      </c>
      <c r="C56" s="10">
        <v>0</v>
      </c>
      <c r="D56" s="10">
        <v>0</v>
      </c>
      <c r="E56" s="10">
        <v>872</v>
      </c>
      <c r="F56" s="10">
        <v>15831443.161390798</v>
      </c>
      <c r="G56" s="10">
        <v>1089</v>
      </c>
      <c r="H56" s="10">
        <v>2</v>
      </c>
      <c r="I56" s="10">
        <v>0</v>
      </c>
      <c r="J56" s="10">
        <v>958</v>
      </c>
      <c r="K56" s="10">
        <v>17039420.751405135</v>
      </c>
    </row>
    <row r="57" spans="1:11" x14ac:dyDescent="0.35">
      <c r="A57" s="9" t="s">
        <v>93</v>
      </c>
      <c r="B57" s="10">
        <v>965</v>
      </c>
      <c r="C57" s="10">
        <v>1</v>
      </c>
      <c r="D57" s="10">
        <v>1</v>
      </c>
      <c r="E57" s="10">
        <v>847</v>
      </c>
      <c r="F57" s="10">
        <v>12551344.592039876</v>
      </c>
      <c r="G57" s="10">
        <v>951</v>
      </c>
      <c r="H57" s="10">
        <v>4</v>
      </c>
      <c r="I57" s="10">
        <v>2</v>
      </c>
      <c r="J57" s="10">
        <v>850</v>
      </c>
      <c r="K57" s="10">
        <v>17106745.084853016</v>
      </c>
    </row>
    <row r="58" spans="1:11" x14ac:dyDescent="0.35">
      <c r="A58" s="9" t="s">
        <v>95</v>
      </c>
      <c r="B58" s="10">
        <v>2050</v>
      </c>
      <c r="C58" s="10">
        <v>5</v>
      </c>
      <c r="D58" s="10">
        <v>8</v>
      </c>
      <c r="E58" s="10">
        <v>1554</v>
      </c>
      <c r="F58" s="10">
        <v>31243179.661967892</v>
      </c>
      <c r="G58" s="10">
        <v>2057</v>
      </c>
      <c r="H58" s="10">
        <v>7</v>
      </c>
      <c r="I58" s="10">
        <v>10</v>
      </c>
      <c r="J58" s="10">
        <v>1562</v>
      </c>
      <c r="K58" s="10">
        <v>31839316.928509369</v>
      </c>
    </row>
    <row r="59" spans="1:11" x14ac:dyDescent="0.35">
      <c r="A59" s="9" t="s">
        <v>174</v>
      </c>
      <c r="B59" s="10">
        <v>676</v>
      </c>
      <c r="C59" s="10">
        <v>0</v>
      </c>
      <c r="D59" s="10">
        <v>0</v>
      </c>
      <c r="E59" s="10">
        <v>482</v>
      </c>
      <c r="F59" s="10">
        <v>6722857.7511186348</v>
      </c>
      <c r="G59" s="10">
        <v>660</v>
      </c>
      <c r="H59" s="10">
        <v>1</v>
      </c>
      <c r="I59" s="10">
        <v>0</v>
      </c>
      <c r="J59" s="10">
        <v>600</v>
      </c>
      <c r="K59" s="10">
        <v>8550540.4844489023</v>
      </c>
    </row>
    <row r="60" spans="1:11" x14ac:dyDescent="0.35">
      <c r="A60" s="9" t="s">
        <v>99</v>
      </c>
      <c r="B60" s="10">
        <v>870</v>
      </c>
      <c r="C60" s="10">
        <v>3</v>
      </c>
      <c r="D60" s="10">
        <v>5</v>
      </c>
      <c r="E60" s="10">
        <v>744</v>
      </c>
      <c r="F60" s="10">
        <v>11967837.758290725</v>
      </c>
      <c r="G60" s="10">
        <v>909</v>
      </c>
      <c r="H60" s="10">
        <v>3</v>
      </c>
      <c r="I60" s="10">
        <v>5</v>
      </c>
      <c r="J60" s="10">
        <v>787</v>
      </c>
      <c r="K60" s="10">
        <v>14438194.812734611</v>
      </c>
    </row>
    <row r="61" spans="1:11" x14ac:dyDescent="0.35">
      <c r="A61" s="9" t="s">
        <v>172</v>
      </c>
      <c r="B61" s="10">
        <v>751</v>
      </c>
      <c r="C61" s="10">
        <v>2</v>
      </c>
      <c r="D61" s="10">
        <v>1</v>
      </c>
      <c r="E61" s="10">
        <v>560</v>
      </c>
      <c r="F61" s="10">
        <v>7329802.6173267029</v>
      </c>
      <c r="G61" s="10">
        <v>673</v>
      </c>
      <c r="H61" s="10">
        <v>0</v>
      </c>
      <c r="I61" s="10">
        <v>0</v>
      </c>
      <c r="J61" s="10">
        <v>582</v>
      </c>
      <c r="K61" s="10">
        <v>8029527.1801732192</v>
      </c>
    </row>
    <row r="62" spans="1:11" x14ac:dyDescent="0.35">
      <c r="A62" s="9" t="s">
        <v>168</v>
      </c>
      <c r="B62" s="10">
        <v>1104</v>
      </c>
      <c r="C62" s="10">
        <v>4</v>
      </c>
      <c r="D62" s="10">
        <v>0</v>
      </c>
      <c r="E62" s="10">
        <v>1036</v>
      </c>
      <c r="F62" s="10">
        <v>16275917.065953039</v>
      </c>
      <c r="G62" s="10">
        <v>1085</v>
      </c>
      <c r="H62" s="10">
        <v>3</v>
      </c>
      <c r="I62" s="10">
        <v>0</v>
      </c>
      <c r="J62" s="10">
        <v>1091</v>
      </c>
      <c r="K62" s="10">
        <v>17993812.776039165</v>
      </c>
    </row>
    <row r="63" spans="1:11" x14ac:dyDescent="0.35">
      <c r="A63" s="9" t="s">
        <v>101</v>
      </c>
      <c r="B63" s="10">
        <v>1375</v>
      </c>
      <c r="C63" s="10">
        <v>1</v>
      </c>
      <c r="D63" s="10">
        <v>4</v>
      </c>
      <c r="E63" s="10">
        <v>1488</v>
      </c>
      <c r="F63" s="10">
        <v>19609609.267563015</v>
      </c>
      <c r="G63" s="10">
        <v>1573</v>
      </c>
      <c r="H63" s="10">
        <v>4</v>
      </c>
      <c r="I63" s="10">
        <v>5</v>
      </c>
      <c r="J63" s="10">
        <v>1611</v>
      </c>
      <c r="K63" s="10">
        <v>24573216.867517643</v>
      </c>
    </row>
    <row r="64" spans="1:11" x14ac:dyDescent="0.35">
      <c r="A64" s="9" t="s">
        <v>103</v>
      </c>
      <c r="B64" s="10">
        <v>773</v>
      </c>
      <c r="C64" s="10">
        <v>1</v>
      </c>
      <c r="D64" s="10">
        <v>3</v>
      </c>
      <c r="E64" s="10">
        <v>678</v>
      </c>
      <c r="F64" s="10">
        <v>10974032.746516893</v>
      </c>
      <c r="G64" s="10">
        <v>798</v>
      </c>
      <c r="H64" s="10">
        <v>0</v>
      </c>
      <c r="I64" s="10">
        <v>5</v>
      </c>
      <c r="J64" s="10">
        <v>701</v>
      </c>
      <c r="K64" s="10">
        <v>10278246.095594628</v>
      </c>
    </row>
    <row r="65" spans="1:11" x14ac:dyDescent="0.35">
      <c r="A65" s="9" t="s">
        <v>105</v>
      </c>
      <c r="B65" s="10">
        <v>653</v>
      </c>
      <c r="C65" s="10">
        <v>2</v>
      </c>
      <c r="D65" s="10">
        <v>5</v>
      </c>
      <c r="E65" s="10">
        <v>449</v>
      </c>
      <c r="F65" s="10">
        <v>12377204.484379064</v>
      </c>
      <c r="G65" s="10">
        <v>633</v>
      </c>
      <c r="H65" s="10">
        <v>3</v>
      </c>
      <c r="I65" s="10">
        <v>6</v>
      </c>
      <c r="J65" s="10">
        <v>485</v>
      </c>
      <c r="K65" s="10">
        <v>13053578.192840053</v>
      </c>
    </row>
    <row r="66" spans="1:11" x14ac:dyDescent="0.35">
      <c r="A66" s="9" t="s">
        <v>24</v>
      </c>
      <c r="B66" s="10">
        <v>2014</v>
      </c>
      <c r="C66" s="10">
        <v>2</v>
      </c>
      <c r="D66" s="10">
        <v>10</v>
      </c>
      <c r="E66" s="10">
        <v>1700</v>
      </c>
      <c r="F66" s="10">
        <v>39998936.331379116</v>
      </c>
      <c r="G66" s="10">
        <v>1983</v>
      </c>
      <c r="H66" s="10">
        <v>8</v>
      </c>
      <c r="I66" s="10">
        <v>12</v>
      </c>
      <c r="J66" s="10">
        <v>1901</v>
      </c>
      <c r="K66" s="10">
        <v>41690120.062259182</v>
      </c>
    </row>
    <row r="67" spans="1:11" x14ac:dyDescent="0.35">
      <c r="A67" s="9" t="s">
        <v>27</v>
      </c>
      <c r="B67" s="10">
        <v>1580</v>
      </c>
      <c r="C67" s="10">
        <v>3</v>
      </c>
      <c r="D67" s="10">
        <v>6</v>
      </c>
      <c r="E67" s="10">
        <v>1201</v>
      </c>
      <c r="F67" s="10">
        <v>27341280.596631687</v>
      </c>
      <c r="G67" s="10">
        <v>1601</v>
      </c>
      <c r="H67" s="10">
        <v>8</v>
      </c>
      <c r="I67" s="10">
        <v>6</v>
      </c>
      <c r="J67" s="10">
        <v>1278</v>
      </c>
      <c r="K67" s="10">
        <v>29810368.226529896</v>
      </c>
    </row>
    <row r="68" spans="1:11" x14ac:dyDescent="0.35">
      <c r="A68" s="9" t="s">
        <v>29</v>
      </c>
      <c r="B68" s="10">
        <v>884</v>
      </c>
      <c r="C68" s="10">
        <v>3</v>
      </c>
      <c r="D68" s="10">
        <v>1</v>
      </c>
      <c r="E68" s="10">
        <v>732</v>
      </c>
      <c r="F68" s="10">
        <v>18909853.881245047</v>
      </c>
      <c r="G68" s="10">
        <v>904</v>
      </c>
      <c r="H68" s="10">
        <v>0</v>
      </c>
      <c r="I68" s="10">
        <v>1</v>
      </c>
      <c r="J68" s="10">
        <v>741</v>
      </c>
      <c r="K68" s="10">
        <v>20519538.968589839</v>
      </c>
    </row>
    <row r="69" spans="1:11" x14ac:dyDescent="0.35">
      <c r="A69" s="9" t="s">
        <v>57</v>
      </c>
      <c r="B69" s="10">
        <v>2103</v>
      </c>
      <c r="C69" s="10">
        <v>101</v>
      </c>
      <c r="D69" s="10">
        <v>12</v>
      </c>
      <c r="E69" s="10">
        <v>1400</v>
      </c>
      <c r="F69" s="10">
        <v>29190131.687550914</v>
      </c>
      <c r="G69" s="10">
        <v>2422</v>
      </c>
      <c r="H69" s="10">
        <v>316</v>
      </c>
      <c r="I69" s="10">
        <v>12</v>
      </c>
      <c r="J69" s="10">
        <v>1742</v>
      </c>
      <c r="K69" s="10">
        <v>26995201.724576522</v>
      </c>
    </row>
    <row r="70" spans="1:11" x14ac:dyDescent="0.35">
      <c r="A70" s="9" t="s">
        <v>137</v>
      </c>
      <c r="B70" s="10">
        <v>250</v>
      </c>
      <c r="C70" s="10">
        <v>0</v>
      </c>
      <c r="D70" s="10">
        <v>0</v>
      </c>
      <c r="E70" s="10">
        <v>225</v>
      </c>
      <c r="F70" s="10">
        <v>97571.767325919995</v>
      </c>
      <c r="G70" s="10">
        <v>239</v>
      </c>
      <c r="H70" s="10">
        <v>1</v>
      </c>
      <c r="I70" s="10">
        <v>0</v>
      </c>
      <c r="J70" s="10">
        <v>248</v>
      </c>
      <c r="K70" s="10">
        <v>2232403.0006668</v>
      </c>
    </row>
    <row r="71" spans="1:11" x14ac:dyDescent="0.35">
      <c r="A71" s="9" t="s">
        <v>10</v>
      </c>
      <c r="B71" s="10">
        <v>1666</v>
      </c>
      <c r="C71" s="10">
        <v>4</v>
      </c>
      <c r="D71" s="10">
        <v>5</v>
      </c>
      <c r="E71" s="10">
        <v>2134</v>
      </c>
      <c r="F71" s="10">
        <v>20689674.761604756</v>
      </c>
      <c r="G71" s="10">
        <v>1600</v>
      </c>
      <c r="H71" s="10">
        <v>10</v>
      </c>
      <c r="I71" s="10">
        <v>7</v>
      </c>
      <c r="J71" s="10">
        <v>1592</v>
      </c>
      <c r="K71" s="10">
        <v>20636321.072238777</v>
      </c>
    </row>
    <row r="72" spans="1:11" x14ac:dyDescent="0.35">
      <c r="A72" s="9" t="s">
        <v>12</v>
      </c>
      <c r="B72" s="10">
        <v>715</v>
      </c>
      <c r="C72" s="10">
        <v>1</v>
      </c>
      <c r="D72" s="10">
        <v>3</v>
      </c>
      <c r="E72" s="10">
        <v>643</v>
      </c>
      <c r="F72" s="10">
        <v>10123977.138241217</v>
      </c>
      <c r="G72" s="10">
        <v>802</v>
      </c>
      <c r="H72" s="10">
        <v>0</v>
      </c>
      <c r="I72" s="10">
        <v>3</v>
      </c>
      <c r="J72" s="10">
        <v>610</v>
      </c>
      <c r="K72" s="10">
        <v>9680738.9874051437</v>
      </c>
    </row>
    <row r="73" spans="1:11" x14ac:dyDescent="0.35">
      <c r="A73" s="9" t="s">
        <v>162</v>
      </c>
      <c r="B73" s="10">
        <v>1365</v>
      </c>
      <c r="C73" s="10">
        <v>19</v>
      </c>
      <c r="D73" s="10">
        <v>4</v>
      </c>
      <c r="E73" s="10">
        <v>823</v>
      </c>
      <c r="F73" s="10">
        <v>13704193.321781749</v>
      </c>
      <c r="G73" s="10">
        <v>1535</v>
      </c>
      <c r="H73" s="10">
        <v>1</v>
      </c>
      <c r="I73" s="10">
        <v>5</v>
      </c>
      <c r="J73" s="10">
        <v>891</v>
      </c>
      <c r="K73" s="10">
        <v>15347479.699871952</v>
      </c>
    </row>
    <row r="74" spans="1:11" x14ac:dyDescent="0.35">
      <c r="A74" s="9" t="s">
        <v>63</v>
      </c>
      <c r="B74" s="10">
        <v>1303</v>
      </c>
      <c r="C74" s="10">
        <v>1</v>
      </c>
      <c r="D74" s="10">
        <v>5</v>
      </c>
      <c r="E74" s="10">
        <v>1308</v>
      </c>
      <c r="F74" s="10">
        <v>10820461.568128884</v>
      </c>
      <c r="G74" s="10">
        <v>1288</v>
      </c>
      <c r="H74" s="10">
        <v>1</v>
      </c>
      <c r="I74" s="10">
        <v>4</v>
      </c>
      <c r="J74" s="10">
        <v>1378</v>
      </c>
      <c r="K74" s="10">
        <v>12112610.684452156</v>
      </c>
    </row>
    <row r="75" spans="1:11" x14ac:dyDescent="0.35">
      <c r="A75" s="9" t="s">
        <v>59</v>
      </c>
      <c r="B75" s="10">
        <v>1737</v>
      </c>
      <c r="C75" s="10">
        <v>6</v>
      </c>
      <c r="D75" s="10">
        <v>4</v>
      </c>
      <c r="E75" s="10">
        <v>1206</v>
      </c>
      <c r="F75" s="10">
        <v>25643241.569389533</v>
      </c>
      <c r="G75" s="10">
        <v>1756</v>
      </c>
      <c r="H75" s="10">
        <v>6</v>
      </c>
      <c r="I75" s="10">
        <v>7</v>
      </c>
      <c r="J75" s="10">
        <v>1548</v>
      </c>
      <c r="K75" s="10">
        <v>26623138.930157941</v>
      </c>
    </row>
    <row r="76" spans="1:11" x14ac:dyDescent="0.35">
      <c r="A76" s="9" t="s">
        <v>139</v>
      </c>
      <c r="B76" s="10">
        <v>502</v>
      </c>
      <c r="C76" s="10">
        <v>2</v>
      </c>
      <c r="D76" s="10">
        <v>1</v>
      </c>
      <c r="E76" s="10">
        <v>513</v>
      </c>
      <c r="F76" s="10">
        <v>5183528.0759746609</v>
      </c>
      <c r="G76" s="10">
        <v>513</v>
      </c>
      <c r="H76" s="10">
        <v>1</v>
      </c>
      <c r="I76" s="10">
        <v>1</v>
      </c>
      <c r="J76" s="10">
        <v>435</v>
      </c>
      <c r="K76" s="10">
        <v>5068686.295953582</v>
      </c>
    </row>
    <row r="77" spans="1:11" x14ac:dyDescent="0.35">
      <c r="A77" s="9" t="s">
        <v>170</v>
      </c>
      <c r="B77" s="10">
        <v>887</v>
      </c>
      <c r="C77" s="10">
        <v>3</v>
      </c>
      <c r="D77" s="10">
        <v>1</v>
      </c>
      <c r="E77" s="10">
        <v>1088</v>
      </c>
      <c r="F77" s="10">
        <v>7745280.6005880423</v>
      </c>
      <c r="G77" s="10">
        <v>893</v>
      </c>
      <c r="H77" s="10">
        <v>1</v>
      </c>
      <c r="I77" s="10">
        <v>0</v>
      </c>
      <c r="J77" s="10">
        <v>811</v>
      </c>
      <c r="K77" s="10">
        <v>9719022.6098180842</v>
      </c>
    </row>
    <row r="78" spans="1:11" x14ac:dyDescent="0.35">
      <c r="A78" s="9" t="s">
        <v>61</v>
      </c>
      <c r="B78" s="10">
        <v>645</v>
      </c>
      <c r="C78" s="10">
        <v>0</v>
      </c>
      <c r="D78" s="10">
        <v>3</v>
      </c>
      <c r="E78" s="10">
        <v>471</v>
      </c>
      <c r="F78" s="10">
        <v>7669961.9689565534</v>
      </c>
      <c r="G78" s="10">
        <v>618</v>
      </c>
      <c r="H78" s="10">
        <v>2</v>
      </c>
      <c r="I78" s="10">
        <v>3</v>
      </c>
      <c r="J78" s="10">
        <v>391</v>
      </c>
      <c r="K78" s="10">
        <v>8378230.702728969</v>
      </c>
    </row>
    <row r="79" spans="1:11" x14ac:dyDescent="0.35">
      <c r="A79" s="9" t="s">
        <v>129</v>
      </c>
      <c r="B79" s="10">
        <v>594</v>
      </c>
      <c r="C79" s="10">
        <v>3</v>
      </c>
      <c r="D79" s="10">
        <v>1</v>
      </c>
      <c r="E79" s="10">
        <v>732</v>
      </c>
      <c r="F79" s="10">
        <v>7103193.7451434499</v>
      </c>
      <c r="G79" s="10">
        <v>571</v>
      </c>
      <c r="H79" s="10">
        <v>1</v>
      </c>
      <c r="I79" s="10">
        <v>1</v>
      </c>
      <c r="J79" s="10">
        <v>790</v>
      </c>
      <c r="K79" s="10">
        <v>4911969.5232522739</v>
      </c>
    </row>
    <row r="80" spans="1:11" x14ac:dyDescent="0.35">
      <c r="A80" s="9" t="s">
        <v>35</v>
      </c>
      <c r="B80" s="10">
        <v>448</v>
      </c>
      <c r="C80" s="10">
        <v>0</v>
      </c>
      <c r="D80" s="10">
        <v>7</v>
      </c>
      <c r="E80" s="10">
        <v>459</v>
      </c>
      <c r="F80" s="10">
        <v>7272562.1932009552</v>
      </c>
      <c r="G80" s="10">
        <v>447</v>
      </c>
      <c r="H80" s="10">
        <v>1</v>
      </c>
      <c r="I80" s="10">
        <v>7</v>
      </c>
      <c r="J80" s="10">
        <v>451</v>
      </c>
      <c r="K80" s="10">
        <v>5969888.0537138022</v>
      </c>
    </row>
    <row r="81" spans="1:11" x14ac:dyDescent="0.35">
      <c r="A81" s="9" t="s">
        <v>107</v>
      </c>
      <c r="B81" s="10">
        <v>954</v>
      </c>
      <c r="C81" s="10">
        <v>4</v>
      </c>
      <c r="D81" s="10">
        <v>3</v>
      </c>
      <c r="E81" s="10">
        <v>710</v>
      </c>
      <c r="F81" s="10">
        <v>18218440.988546677</v>
      </c>
      <c r="G81" s="10">
        <v>893</v>
      </c>
      <c r="H81" s="10">
        <v>3</v>
      </c>
      <c r="I81" s="10">
        <v>3</v>
      </c>
      <c r="J81" s="10">
        <v>540</v>
      </c>
      <c r="K81" s="10">
        <v>15724644.328045188</v>
      </c>
    </row>
    <row r="82" spans="1:11" x14ac:dyDescent="0.35">
      <c r="A82" s="9" t="s">
        <v>37</v>
      </c>
      <c r="B82" s="10">
        <v>777</v>
      </c>
      <c r="C82" s="10">
        <v>2</v>
      </c>
      <c r="D82" s="10">
        <v>10</v>
      </c>
      <c r="E82" s="10">
        <v>752</v>
      </c>
      <c r="F82" s="10">
        <v>11379663.824611437</v>
      </c>
      <c r="G82" s="10">
        <v>783</v>
      </c>
      <c r="H82" s="10">
        <v>2</v>
      </c>
      <c r="I82" s="10">
        <v>8</v>
      </c>
      <c r="J82" s="10">
        <v>724</v>
      </c>
      <c r="K82" s="10">
        <v>11280389.067696506</v>
      </c>
    </row>
    <row r="83" spans="1:11" x14ac:dyDescent="0.35">
      <c r="A83" s="9" t="s">
        <v>76</v>
      </c>
      <c r="B83" s="10">
        <v>967</v>
      </c>
      <c r="C83" s="10">
        <v>1</v>
      </c>
      <c r="D83" s="10">
        <v>1</v>
      </c>
      <c r="E83" s="10">
        <v>1089</v>
      </c>
      <c r="F83" s="10">
        <v>10004405.666505504</v>
      </c>
      <c r="G83" s="10">
        <v>942</v>
      </c>
      <c r="H83" s="10">
        <v>0</v>
      </c>
      <c r="I83" s="10">
        <v>2</v>
      </c>
      <c r="J83" s="10">
        <v>923</v>
      </c>
      <c r="K83" s="10">
        <v>9539740.5912767146</v>
      </c>
    </row>
    <row r="84" spans="1:11" x14ac:dyDescent="0.35">
      <c r="A84" s="9" t="s">
        <v>65</v>
      </c>
      <c r="B84" s="10">
        <v>1006</v>
      </c>
      <c r="C84" s="10">
        <v>1</v>
      </c>
      <c r="D84" s="10">
        <v>4</v>
      </c>
      <c r="E84" s="10">
        <v>944</v>
      </c>
      <c r="F84" s="10">
        <v>7144179.9428527737</v>
      </c>
      <c r="G84" s="10">
        <v>963</v>
      </c>
      <c r="H84" s="10">
        <v>0</v>
      </c>
      <c r="I84" s="10">
        <v>4</v>
      </c>
      <c r="J84" s="10">
        <v>838</v>
      </c>
      <c r="K84" s="10">
        <v>11431988.978976691</v>
      </c>
    </row>
    <row r="85" spans="1:11" x14ac:dyDescent="0.35">
      <c r="A85" s="9" t="s">
        <v>89</v>
      </c>
      <c r="B85" s="10">
        <v>735</v>
      </c>
      <c r="C85" s="10">
        <v>0</v>
      </c>
      <c r="D85" s="10">
        <v>6</v>
      </c>
      <c r="E85" s="10">
        <v>766</v>
      </c>
      <c r="F85" s="10">
        <v>10826680.297395928</v>
      </c>
      <c r="G85" s="10">
        <v>763</v>
      </c>
      <c r="H85" s="10">
        <v>0</v>
      </c>
      <c r="I85" s="10">
        <v>6</v>
      </c>
      <c r="J85" s="10">
        <v>733</v>
      </c>
      <c r="K85" s="10">
        <v>12931009.572741892</v>
      </c>
    </row>
    <row r="86" spans="1:11" x14ac:dyDescent="0.35">
      <c r="A86" s="9" t="s">
        <v>147</v>
      </c>
      <c r="B86" s="10">
        <v>577</v>
      </c>
      <c r="C86" s="10">
        <v>0</v>
      </c>
      <c r="D86" s="10">
        <v>1</v>
      </c>
      <c r="E86" s="10">
        <v>861</v>
      </c>
      <c r="F86" s="10">
        <v>5814083.3944980819</v>
      </c>
      <c r="G86" s="10">
        <v>573</v>
      </c>
      <c r="H86" s="10">
        <v>3</v>
      </c>
      <c r="I86" s="10">
        <v>0</v>
      </c>
      <c r="J86" s="10">
        <v>513</v>
      </c>
      <c r="K86" s="10">
        <v>5326640.4818217522</v>
      </c>
    </row>
    <row r="87" spans="1:11" x14ac:dyDescent="0.35">
      <c r="A87" s="9" t="s">
        <v>164</v>
      </c>
      <c r="B87" s="10">
        <v>1750</v>
      </c>
      <c r="C87" s="10">
        <v>0</v>
      </c>
      <c r="D87" s="10">
        <v>10</v>
      </c>
      <c r="E87" s="10">
        <v>1318</v>
      </c>
      <c r="F87" s="10">
        <v>21580628.194866084</v>
      </c>
      <c r="G87" s="10">
        <v>1762</v>
      </c>
      <c r="H87" s="10">
        <v>1</v>
      </c>
      <c r="I87" s="10">
        <v>9</v>
      </c>
      <c r="J87" s="10">
        <v>1448</v>
      </c>
      <c r="K87" s="10">
        <v>28273032.276224513</v>
      </c>
    </row>
    <row r="88" spans="1:11" x14ac:dyDescent="0.35">
      <c r="A88" s="9" t="s">
        <v>91</v>
      </c>
      <c r="B88" s="10">
        <v>599</v>
      </c>
      <c r="C88" s="10">
        <v>0</v>
      </c>
      <c r="D88" s="10">
        <v>2</v>
      </c>
      <c r="E88" s="10">
        <v>639</v>
      </c>
      <c r="F88" s="10">
        <v>4666513.239576634</v>
      </c>
      <c r="G88" s="10">
        <v>639</v>
      </c>
      <c r="H88" s="10">
        <v>1</v>
      </c>
      <c r="I88" s="10">
        <v>3</v>
      </c>
      <c r="J88" s="10">
        <v>974</v>
      </c>
      <c r="K88" s="10">
        <v>5951578.0922576673</v>
      </c>
    </row>
    <row r="89" spans="1:11" x14ac:dyDescent="0.35">
      <c r="A89" s="9" t="s">
        <v>97</v>
      </c>
      <c r="B89" s="10">
        <v>621</v>
      </c>
      <c r="C89" s="10">
        <v>3</v>
      </c>
      <c r="D89" s="10">
        <v>7</v>
      </c>
      <c r="E89" s="10">
        <v>564</v>
      </c>
      <c r="F89" s="10">
        <v>10601802.325064782</v>
      </c>
      <c r="G89" s="10">
        <v>679</v>
      </c>
      <c r="H89" s="10">
        <v>3</v>
      </c>
      <c r="I89" s="10">
        <v>8</v>
      </c>
      <c r="J89" s="10">
        <v>737</v>
      </c>
      <c r="K89" s="10">
        <v>10574835.153834917</v>
      </c>
    </row>
    <row r="90" spans="1:11" x14ac:dyDescent="0.35">
      <c r="A90" s="9" t="s">
        <v>78</v>
      </c>
      <c r="B90" s="10">
        <v>360</v>
      </c>
      <c r="C90" s="10">
        <v>1</v>
      </c>
      <c r="D90" s="10">
        <v>0</v>
      </c>
      <c r="E90" s="10">
        <v>327</v>
      </c>
      <c r="F90" s="10">
        <v>2783526.335356662</v>
      </c>
      <c r="G90" s="10">
        <v>368</v>
      </c>
      <c r="H90" s="10">
        <v>2</v>
      </c>
      <c r="I90" s="10">
        <v>1</v>
      </c>
      <c r="J90" s="10">
        <v>397</v>
      </c>
      <c r="K90" s="10">
        <v>3099948.8521163808</v>
      </c>
    </row>
    <row r="91" spans="1:11" x14ac:dyDescent="0.35">
      <c r="A91" s="14" t="s">
        <v>203</v>
      </c>
      <c r="B91" s="13">
        <v>84752</v>
      </c>
      <c r="C91" s="13">
        <v>609</v>
      </c>
      <c r="D91" s="13">
        <v>305</v>
      </c>
      <c r="E91" s="13">
        <v>71013</v>
      </c>
      <c r="F91" s="13">
        <v>1045849348.6982355</v>
      </c>
      <c r="G91" s="13">
        <v>84094</v>
      </c>
      <c r="H91" s="13">
        <v>536</v>
      </c>
      <c r="I91" s="13">
        <v>311</v>
      </c>
      <c r="J91" s="13">
        <v>71841</v>
      </c>
      <c r="K91" s="13">
        <v>1122335013.4611881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2026-09-09T08:12:48Z</dcterms:modified>
</cp:coreProperties>
</file>