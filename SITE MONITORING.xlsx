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H28" i="3" l="1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<sst xmlns="http://schemas.openxmlformats.org/spreadsheetml/2006/main" count="540" uniqueCount="205">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</sst>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M2" activePane="bottomRight" state="frozen"/>
      <selection pane="topRight" activeCell="C1" sqref="C1"/>
      <selection pane="bottomLeft" activeCell="A2" sqref="A2"/>
      <selection pane="bottomRight" activeCell="W2" sqref="W2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1347708.3735312989</v>
      </c>
      <c r="G2" s="1">
        <f>VLOOKUP(A:A,MASTER!A:K,11,0)</f>
        <v>1338580.839206849</v>
      </c>
      <c r="H2" s="12">
        <f>IFERROR(G2/F2-1,0)</f>
        <v>-6.7726330886657138E-3</v>
      </c>
      <c r="I2" s="2">
        <f>VLOOKUP(A:A,MASTER!A:E,5,0)</f>
        <v>381</v>
      </c>
      <c r="J2" s="2">
        <f>VLOOKUP(A:A,MASTER!A:J,10,0)</f>
        <v>353</v>
      </c>
      <c r="K2" s="12">
        <f>IFERROR(J2/I2-1,0)</f>
        <v>-7.3490813648294018E-2</v>
      </c>
      <c r="L2" s="2">
        <f>VLOOKUP(A:A,MASTER!A:D,4,0)</f>
        <v>2</v>
      </c>
      <c r="M2" s="2">
        <f>VLOOKUP(A:A,MASTER!A:I,9,0)</f>
        <v>1</v>
      </c>
      <c r="N2" s="12">
        <f>IFERROR(M2/L2-1,0)</f>
        <v>-0.5</v>
      </c>
      <c r="O2" s="1">
        <f>VLOOKUP(A:A,MASTER!A:C,3,0)</f>
        <v>0</v>
      </c>
      <c r="P2" s="1">
        <f>VLOOKUP(A:A,MASTER!A:H,8,0)</f>
        <v>0</v>
      </c>
      <c r="Q2" s="12">
        <f>IFERROR(P2/O2-1,0)</f>
        <v>0</v>
      </c>
      <c r="R2" s="1">
        <f>VLOOKUP(A:A,MASTER!A:B,2,0)</f>
        <v>402</v>
      </c>
      <c r="S2">
        <f>VLOOKUP(A:A,MASTER!A:G,7,0)</f>
        <v>403</v>
      </c>
      <c r="T2" s="12">
        <f>IFERROR(S2/R2-1,0)</f>
        <v>2.4875621890547706E-3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1663897.259947835</v>
      </c>
      <c r="G3" s="1">
        <f>VLOOKUP(A:A,MASTER!A:K,11,0)</f>
        <v>1683204.321561232</v>
      </c>
      <c r="H3" s="12">
        <f t="shared" ref="H3:H66" si="0">IFERROR(G3/F3-1,0)</f>
        <v>1.1603517884272607E-2</v>
      </c>
      <c r="I3" s="2">
        <f>VLOOKUP(A:A,MASTER!A:E,5,0)</f>
        <v>519</v>
      </c>
      <c r="J3" s="2">
        <f>VLOOKUP(A:A,MASTER!A:J,10,0)</f>
        <v>481</v>
      </c>
      <c r="K3" s="12">
        <f t="shared" ref="K3:K66" si="1">IFERROR(J3/I3-1,0)</f>
        <v>-7.3217726396917149E-2</v>
      </c>
      <c r="L3" s="2">
        <f>VLOOKUP(A:A,MASTER!A:D,4,0)</f>
        <v>1</v>
      </c>
      <c r="M3" s="2">
        <f>VLOOKUP(A:A,MASTER!A:I,9,0)</f>
        <v>3</v>
      </c>
      <c r="N3" s="12">
        <f t="shared" ref="N3:N66" si="2">IFERROR(M3/L3-1,0)</f>
        <v>2</v>
      </c>
      <c r="O3" s="1">
        <f>VLOOKUP(A:A,MASTER!A:C,3,0)</f>
        <v>0</v>
      </c>
      <c r="P3" s="1">
        <f>VLOOKUP(A:A,MASTER!A:H,8,0)</f>
        <v>1</v>
      </c>
      <c r="Q3" s="12">
        <f t="shared" ref="Q3:Q66" si="3">IFERROR(P3/O3-1,0)</f>
        <v>0</v>
      </c>
      <c r="R3" s="1">
        <f>VLOOKUP(A:A,MASTER!A:B,2,0)</f>
        <v>647</v>
      </c>
      <c r="S3">
        <f>VLOOKUP(A:A,MASTER!A:G,7,0)</f>
        <v>560</v>
      </c>
      <c r="T3" s="12">
        <f t="shared" ref="T3:T66" si="4">IFERROR(S3/R3-1,0)</f>
        <v>-0.13446676970633697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2813460.0459870691</v>
      </c>
      <c r="G4" s="1">
        <f>VLOOKUP(A:A,MASTER!A:K,11,0)</f>
        <v>2631331.0630666199</v>
      </c>
      <c r="H4" s="12">
        <f t="shared" si="0"/>
        <v>-6.4734874476083615E-2</v>
      </c>
      <c r="I4" s="2">
        <f>VLOOKUP(A:A,MASTER!A:E,5,0)</f>
        <v>740</v>
      </c>
      <c r="J4" s="2">
        <f>VLOOKUP(A:A,MASTER!A:J,10,0)</f>
        <v>780</v>
      </c>
      <c r="K4" s="12">
        <f t="shared" si="1"/>
        <v>5.4054054054053946E-2</v>
      </c>
      <c r="L4" s="2">
        <f>VLOOKUP(A:A,MASTER!A:D,4,0)</f>
        <v>1</v>
      </c>
      <c r="M4" s="2">
        <f>VLOOKUP(A:A,MASTER!A:I,9,0)</f>
        <v>0</v>
      </c>
      <c r="N4" s="12">
        <f t="shared" si="2"/>
        <v>-1</v>
      </c>
      <c r="O4" s="1">
        <f>VLOOKUP(A:A,MASTER!A:C,3,0)</f>
        <v>0</v>
      </c>
      <c r="P4" s="1">
        <f>VLOOKUP(A:A,MASTER!A:H,8,0)</f>
        <v>1</v>
      </c>
      <c r="Q4" s="12">
        <f t="shared" si="3"/>
        <v>0</v>
      </c>
      <c r="R4" s="1">
        <f>VLOOKUP(A:A,MASTER!A:B,2,0)</f>
        <v>733</v>
      </c>
      <c r="S4">
        <f>VLOOKUP(A:A,MASTER!A:G,7,0)</f>
        <v>816</v>
      </c>
      <c r="T4" s="12">
        <f t="shared" si="4"/>
        <v>0.11323328785811726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3701419.699240339</v>
      </c>
      <c r="G5" s="1">
        <f>VLOOKUP(A:A,MASTER!A:K,11,0)</f>
        <v>4049850.3989379331</v>
      </c>
      <c r="H5" s="12">
        <f t="shared" si="0"/>
        <v>9.4134339796458244E-2</v>
      </c>
      <c r="I5" s="2">
        <f>VLOOKUP(A:A,MASTER!A:E,5,0)</f>
        <v>1059</v>
      </c>
      <c r="J5" s="2">
        <f>VLOOKUP(A:A,MASTER!A:J,10,0)</f>
        <v>1105</v>
      </c>
      <c r="K5" s="12">
        <f t="shared" si="1"/>
        <v>4.3437204910292682E-2</v>
      </c>
      <c r="L5" s="2">
        <f>VLOOKUP(A:A,MASTER!A:D,4,0)</f>
        <v>4</v>
      </c>
      <c r="M5" s="2">
        <f>VLOOKUP(A:A,MASTER!A:I,9,0)</f>
        <v>1</v>
      </c>
      <c r="N5" s="12">
        <f t="shared" si="2"/>
        <v>-0.75</v>
      </c>
      <c r="O5" s="1">
        <f>VLOOKUP(A:A,MASTER!A:C,3,0)</f>
        <v>0</v>
      </c>
      <c r="P5" s="1">
        <f>VLOOKUP(A:A,MASTER!A:H,8,0)</f>
        <v>0</v>
      </c>
      <c r="Q5" s="12">
        <f t="shared" si="3"/>
        <v>0</v>
      </c>
      <c r="R5" s="1">
        <f>VLOOKUP(A:A,MASTER!A:B,2,0)</f>
        <v>1212</v>
      </c>
      <c r="S5">
        <f>VLOOKUP(A:A,MASTER!A:G,7,0)</f>
        <v>1124</v>
      </c>
      <c r="T5" s="12">
        <f t="shared" si="4"/>
        <v>-7.2607260726072598E-2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1299572.549698553</v>
      </c>
      <c r="G6" s="1">
        <f>VLOOKUP(A:A,MASTER!A:K,11,0)</f>
        <v>1588449.803850679</v>
      </c>
      <c r="H6" s="12">
        <f t="shared" si="0"/>
        <v>0.22228636194195817</v>
      </c>
      <c r="I6" s="2">
        <f>VLOOKUP(A:A,MASTER!A:E,5,0)</f>
        <v>331</v>
      </c>
      <c r="J6" s="2">
        <f>VLOOKUP(A:A,MASTER!A:J,10,0)</f>
        <v>428</v>
      </c>
      <c r="K6" s="12">
        <f t="shared" si="1"/>
        <v>0.29305135951661621</v>
      </c>
      <c r="L6" s="2">
        <f>VLOOKUP(A:A,MASTER!A:D,4,0)</f>
        <v>0</v>
      </c>
      <c r="M6" s="2">
        <f>VLOOKUP(A:A,MASTER!A:I,9,0)</f>
        <v>0</v>
      </c>
      <c r="N6" s="12">
        <f t="shared" si="2"/>
        <v>0</v>
      </c>
      <c r="O6" s="1">
        <f>VLOOKUP(A:A,MASTER!A:C,3,0)</f>
        <v>0</v>
      </c>
      <c r="P6" s="1">
        <f>VLOOKUP(A:A,MASTER!A:H,8,0)</f>
        <v>0</v>
      </c>
      <c r="Q6" s="12">
        <f t="shared" si="3"/>
        <v>0</v>
      </c>
      <c r="R6" s="1">
        <f>VLOOKUP(A:A,MASTER!A:B,2,0)</f>
        <v>404</v>
      </c>
      <c r="S6">
        <f>VLOOKUP(A:A,MASTER!A:G,7,0)</f>
        <v>445</v>
      </c>
      <c r="T6" s="12">
        <f t="shared" si="4"/>
        <v>0.10148514851485158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1148414.4177166671</v>
      </c>
      <c r="G7" s="1">
        <f>VLOOKUP(A:A,MASTER!A:K,11,0)</f>
        <v>1005004.846037623</v>
      </c>
      <c r="H7" s="12">
        <f t="shared" si="0"/>
        <v>-0.12487615051383438</v>
      </c>
      <c r="I7" s="2">
        <f>VLOOKUP(A:A,MASTER!A:E,5,0)</f>
        <v>297</v>
      </c>
      <c r="J7" s="2">
        <f>VLOOKUP(A:A,MASTER!A:J,10,0)</f>
        <v>31</v>
      </c>
      <c r="K7" s="12">
        <f t="shared" si="1"/>
        <v>-0.89562289562289565</v>
      </c>
      <c r="L7" s="2">
        <f>VLOOKUP(A:A,MASTER!A:D,4,0)</f>
        <v>2</v>
      </c>
      <c r="M7" s="2">
        <f>VLOOKUP(A:A,MASTER!A:I,9,0)</f>
        <v>1</v>
      </c>
      <c r="N7" s="12">
        <f t="shared" si="2"/>
        <v>-0.5</v>
      </c>
      <c r="O7" s="1">
        <f>VLOOKUP(A:A,MASTER!A:C,3,0)</f>
        <v>0</v>
      </c>
      <c r="P7" s="1">
        <f>VLOOKUP(A:A,MASTER!A:H,8,0)</f>
        <v>0</v>
      </c>
      <c r="Q7" s="12">
        <f t="shared" si="3"/>
        <v>0</v>
      </c>
      <c r="R7" s="1">
        <f>VLOOKUP(A:A,MASTER!A:B,2,0)</f>
        <v>369</v>
      </c>
      <c r="S7">
        <f>VLOOKUP(A:A,MASTER!A:G,7,0)</f>
        <v>172</v>
      </c>
      <c r="T7" s="12">
        <f t="shared" si="4"/>
        <v>-0.53387533875338755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1466114.7842948821</v>
      </c>
      <c r="G8" s="1">
        <f>VLOOKUP(A:A,MASTER!A:K,11,0)</f>
        <v>1720253.001962258</v>
      </c>
      <c r="H8" s="12">
        <f t="shared" si="0"/>
        <v>0.17334128295391404</v>
      </c>
      <c r="I8" s="2">
        <f>VLOOKUP(A:A,MASTER!A:E,5,0)</f>
        <v>1629</v>
      </c>
      <c r="J8" s="2">
        <f>VLOOKUP(A:A,MASTER!A:J,10,0)</f>
        <v>491</v>
      </c>
      <c r="K8" s="12">
        <f t="shared" si="1"/>
        <v>-0.69858809085328422</v>
      </c>
      <c r="L8" s="2">
        <f>VLOOKUP(A:A,MASTER!A:D,4,0)</f>
        <v>11</v>
      </c>
      <c r="M8" s="2">
        <f>VLOOKUP(A:A,MASTER!A:I,9,0)</f>
        <v>0</v>
      </c>
      <c r="N8" s="12">
        <f t="shared" si="2"/>
        <v>-1</v>
      </c>
      <c r="O8" s="1">
        <f>VLOOKUP(A:A,MASTER!A:C,3,0)</f>
        <v>0</v>
      </c>
      <c r="P8" s="1">
        <f>VLOOKUP(A:A,MASTER!A:H,8,0)</f>
        <v>0</v>
      </c>
      <c r="Q8" s="12">
        <f t="shared" si="3"/>
        <v>0</v>
      </c>
      <c r="R8" s="1">
        <f>VLOOKUP(A:A,MASTER!A:B,2,0)</f>
        <v>599</v>
      </c>
      <c r="S8">
        <f>VLOOKUP(A:A,MASTER!A:G,7,0)</f>
        <v>574</v>
      </c>
      <c r="T8" s="12">
        <f t="shared" si="4"/>
        <v>-4.173622704507518E-2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771011.74353831797</v>
      </c>
      <c r="G9" s="1">
        <f>VLOOKUP(A:A,MASTER!A:K,11,0)</f>
        <v>847725.10944279796</v>
      </c>
      <c r="H9" s="12">
        <f t="shared" si="0"/>
        <v>9.9497013563539127E-2</v>
      </c>
      <c r="I9" s="2">
        <f>VLOOKUP(A:A,MASTER!A:E,5,0)</f>
        <v>155</v>
      </c>
      <c r="J9" s="2">
        <f>VLOOKUP(A:A,MASTER!A:J,10,0)</f>
        <v>268</v>
      </c>
      <c r="K9" s="12">
        <f t="shared" si="1"/>
        <v>0.7290322580645161</v>
      </c>
      <c r="L9" s="2">
        <f>VLOOKUP(A:A,MASTER!A:D,4,0)</f>
        <v>0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173</v>
      </c>
      <c r="S9">
        <f>VLOOKUP(A:A,MASTER!A:G,7,0)</f>
        <v>228</v>
      </c>
      <c r="T9" s="12">
        <f t="shared" si="4"/>
        <v>0.31791907514450868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22.486592934000001</v>
      </c>
      <c r="G10" s="1">
        <f>VLOOKUP(A:A,MASTER!A:K,11,0)</f>
        <v>726412.21866034204</v>
      </c>
      <c r="H10" s="12">
        <f t="shared" si="0"/>
        <v>32303.236608561449</v>
      </c>
      <c r="I10" s="2">
        <f>VLOOKUP(A:A,MASTER!A:E,5,0)</f>
        <v>4</v>
      </c>
      <c r="J10" s="2">
        <f>VLOOKUP(A:A,MASTER!A:J,10,0)</f>
        <v>207</v>
      </c>
      <c r="K10" s="12">
        <f t="shared" si="1"/>
        <v>50.75</v>
      </c>
      <c r="L10" s="2">
        <f>VLOOKUP(A:A,MASTER!A:D,4,0)</f>
        <v>0</v>
      </c>
      <c r="M10" s="2">
        <f>VLOOKUP(A:A,MASTER!A:I,9,0)</f>
        <v>0</v>
      </c>
      <c r="N10" s="12">
        <f t="shared" si="2"/>
        <v>0</v>
      </c>
      <c r="O10" s="1">
        <f>VLOOKUP(A:A,MASTER!A:C,3,0)</f>
        <v>0</v>
      </c>
      <c r="P10" s="1">
        <f>VLOOKUP(A:A,MASTER!A:H,8,0)</f>
        <v>0</v>
      </c>
      <c r="Q10" s="12">
        <f t="shared" si="3"/>
        <v>0</v>
      </c>
      <c r="R10" s="1">
        <f>VLOOKUP(A:A,MASTER!A:B,2,0)</f>
        <v>196</v>
      </c>
      <c r="S10">
        <f>VLOOKUP(A:A,MASTER!A:G,7,0)</f>
        <v>231</v>
      </c>
      <c r="T10" s="12">
        <f t="shared" si="4"/>
        <v>0.1785714285714286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1409307.244637033</v>
      </c>
      <c r="G11" s="1">
        <f>VLOOKUP(A:A,MASTER!A:K,11,0)</f>
        <v>1284608.9517687541</v>
      </c>
      <c r="H11" s="12">
        <f t="shared" si="0"/>
        <v>-8.8481978179566489E-2</v>
      </c>
      <c r="I11" s="2">
        <f>VLOOKUP(A:A,MASTER!A:E,5,0)</f>
        <v>482</v>
      </c>
      <c r="J11" s="2">
        <f>VLOOKUP(A:A,MASTER!A:J,10,0)</f>
        <v>355</v>
      </c>
      <c r="K11" s="12">
        <f t="shared" si="1"/>
        <v>-0.26348547717842319</v>
      </c>
      <c r="L11" s="2">
        <f>VLOOKUP(A:A,MASTER!A:D,4,0)</f>
        <v>0</v>
      </c>
      <c r="M11" s="2">
        <f>VLOOKUP(A:A,MASTER!A:I,9,0)</f>
        <v>1</v>
      </c>
      <c r="N11" s="12">
        <f t="shared" si="2"/>
        <v>0</v>
      </c>
      <c r="O11" s="1">
        <f>VLOOKUP(A:A,MASTER!A:C,3,0)</f>
        <v>0</v>
      </c>
      <c r="P11" s="1">
        <f>VLOOKUP(A:A,MASTER!A:H,8,0)</f>
        <v>1</v>
      </c>
      <c r="Q11" s="12">
        <f t="shared" si="3"/>
        <v>0</v>
      </c>
      <c r="R11" s="1">
        <f>VLOOKUP(A:A,MASTER!A:B,2,0)</f>
        <v>350</v>
      </c>
      <c r="S11">
        <f>VLOOKUP(A:A,MASTER!A:G,7,0)</f>
        <v>468</v>
      </c>
      <c r="T11" s="12">
        <f t="shared" si="4"/>
        <v>0.33714285714285719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705242.63408661005</v>
      </c>
      <c r="G12" s="1">
        <f>VLOOKUP(A:A,MASTER!A:K,11,0)</f>
        <v>764339.67202014697</v>
      </c>
      <c r="H12" s="12">
        <f t="shared" si="0"/>
        <v>8.3796746080270657E-2</v>
      </c>
      <c r="I12" s="2">
        <f>VLOOKUP(A:A,MASTER!A:E,5,0)</f>
        <v>315</v>
      </c>
      <c r="J12" s="2">
        <f>VLOOKUP(A:A,MASTER!A:J,10,0)</f>
        <v>250</v>
      </c>
      <c r="K12" s="12">
        <f t="shared" si="1"/>
        <v>-0.20634920634920639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198</v>
      </c>
      <c r="S12">
        <f>VLOOKUP(A:A,MASTER!A:G,7,0)</f>
        <v>269</v>
      </c>
      <c r="T12" s="12">
        <f t="shared" si="4"/>
        <v>0.35858585858585856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740498.93216906197</v>
      </c>
      <c r="G13" s="1">
        <f>VLOOKUP(A:A,MASTER!A:K,11,0)</f>
        <v>790425.20905932004</v>
      </c>
      <c r="H13" s="12">
        <f t="shared" si="0"/>
        <v>6.7422483303270386E-2</v>
      </c>
      <c r="I13" s="2">
        <f>VLOOKUP(A:A,MASTER!A:E,5,0)</f>
        <v>213</v>
      </c>
      <c r="J13" s="2">
        <f>VLOOKUP(A:A,MASTER!A:J,10,0)</f>
        <v>268</v>
      </c>
      <c r="K13" s="12">
        <f t="shared" si="1"/>
        <v>0.25821596244131451</v>
      </c>
      <c r="L13" s="2">
        <f>VLOOKUP(A:A,MASTER!A:D,4,0)</f>
        <v>0</v>
      </c>
      <c r="M13" s="2">
        <f>VLOOKUP(A:A,MASTER!A:I,9,0)</f>
        <v>0</v>
      </c>
      <c r="N13" s="12">
        <f t="shared" si="2"/>
        <v>0</v>
      </c>
      <c r="O13" s="1">
        <f>VLOOKUP(A:A,MASTER!A:C,3,0)</f>
        <v>0</v>
      </c>
      <c r="P13" s="1">
        <f>VLOOKUP(A:A,MASTER!A:H,8,0)</f>
        <v>0</v>
      </c>
      <c r="Q13" s="12">
        <f t="shared" si="3"/>
        <v>0</v>
      </c>
      <c r="R13" s="1">
        <f>VLOOKUP(A:A,MASTER!A:B,2,0)</f>
        <v>235</v>
      </c>
      <c r="S13">
        <f>VLOOKUP(A:A,MASTER!A:G,7,0)</f>
        <v>315</v>
      </c>
      <c r="T13" s="12">
        <f t="shared" si="4"/>
        <v>0.34042553191489366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4568914.8551293071</v>
      </c>
      <c r="G14" s="1">
        <f>VLOOKUP(A:A,MASTER!A:K,11,0)</f>
        <v>4477237.9663267396</v>
      </c>
      <c r="H14" s="12">
        <f t="shared" si="0"/>
        <v>-2.0065352870309305E-2</v>
      </c>
      <c r="I14" s="2">
        <f>VLOOKUP(A:A,MASTER!A:E,5,0)</f>
        <v>1126</v>
      </c>
      <c r="J14" s="2">
        <f>VLOOKUP(A:A,MASTER!A:J,10,0)</f>
        <v>1227</v>
      </c>
      <c r="K14" s="12">
        <f t="shared" si="1"/>
        <v>8.9698046181172275E-2</v>
      </c>
      <c r="L14" s="2">
        <f>VLOOKUP(A:A,MASTER!A:D,4,0)</f>
        <v>3</v>
      </c>
      <c r="M14" s="2">
        <f>VLOOKUP(A:A,MASTER!A:I,9,0)</f>
        <v>6</v>
      </c>
      <c r="N14" s="12">
        <f t="shared" si="2"/>
        <v>1</v>
      </c>
      <c r="O14" s="1">
        <f>VLOOKUP(A:A,MASTER!A:C,3,0)</f>
        <v>2</v>
      </c>
      <c r="P14" s="1">
        <f>VLOOKUP(A:A,MASTER!A:H,8,0)</f>
        <v>1</v>
      </c>
      <c r="Q14" s="12">
        <f t="shared" si="3"/>
        <v>-0.5</v>
      </c>
      <c r="R14" s="1">
        <f>VLOOKUP(A:A,MASTER!A:B,2,0)</f>
        <v>1475</v>
      </c>
      <c r="S14">
        <f>VLOOKUP(A:A,MASTER!A:G,7,0)</f>
        <v>1379</v>
      </c>
      <c r="T14" s="12">
        <f t="shared" si="4"/>
        <v>-6.5084745762711838E-2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5360972.3425229657</v>
      </c>
      <c r="G15" s="1">
        <f>VLOOKUP(A:A,MASTER!A:K,11,0)</f>
        <v>6235618.9191209236</v>
      </c>
      <c r="H15" s="12">
        <f t="shared" si="0"/>
        <v>0.16315073473897734</v>
      </c>
      <c r="I15" s="2">
        <f>VLOOKUP(A:A,MASTER!A:E,5,0)</f>
        <v>862</v>
      </c>
      <c r="J15" s="2">
        <f>VLOOKUP(A:A,MASTER!A:J,10,0)</f>
        <v>978</v>
      </c>
      <c r="K15" s="12">
        <f t="shared" si="1"/>
        <v>0.13457076566125292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1</v>
      </c>
      <c r="P15" s="1">
        <f>VLOOKUP(A:A,MASTER!A:H,8,0)</f>
        <v>0</v>
      </c>
      <c r="Q15" s="12">
        <f t="shared" si="3"/>
        <v>-1</v>
      </c>
      <c r="R15" s="1">
        <f>VLOOKUP(A:A,MASTER!A:B,2,0)</f>
        <v>1250</v>
      </c>
      <c r="S15">
        <f>VLOOKUP(A:A,MASTER!A:G,7,0)</f>
        <v>1154</v>
      </c>
      <c r="T15" s="12">
        <f t="shared" si="4"/>
        <v>-7.6799999999999979E-2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3023576.3478298029</v>
      </c>
      <c r="G16" s="1">
        <f>VLOOKUP(A:A,MASTER!A:K,11,0)</f>
        <v>3025583.732716728</v>
      </c>
      <c r="H16" s="12">
        <f t="shared" si="0"/>
        <v>6.6391076526506332E-4</v>
      </c>
      <c r="I16" s="2">
        <f>VLOOKUP(A:A,MASTER!A:E,5,0)</f>
        <v>933</v>
      </c>
      <c r="J16" s="2">
        <f>VLOOKUP(A:A,MASTER!A:J,10,0)</f>
        <v>926</v>
      </c>
      <c r="K16" s="12">
        <f t="shared" si="1"/>
        <v>-7.5026795284030001E-3</v>
      </c>
      <c r="L16" s="2">
        <f>VLOOKUP(A:A,MASTER!A:D,4,0)</f>
        <v>4</v>
      </c>
      <c r="M16" s="2">
        <f>VLOOKUP(A:A,MASTER!A:I,9,0)</f>
        <v>6</v>
      </c>
      <c r="N16" s="12">
        <f t="shared" si="2"/>
        <v>0.5</v>
      </c>
      <c r="O16" s="1">
        <f>VLOOKUP(A:A,MASTER!A:C,3,0)</f>
        <v>1</v>
      </c>
      <c r="P16" s="1">
        <f>VLOOKUP(A:A,MASTER!A:H,8,0)</f>
        <v>1</v>
      </c>
      <c r="Q16" s="12">
        <f t="shared" si="3"/>
        <v>0</v>
      </c>
      <c r="R16" s="1">
        <f>VLOOKUP(A:A,MASTER!A:B,2,0)</f>
        <v>1029</v>
      </c>
      <c r="S16">
        <f>VLOOKUP(A:A,MASTER!A:G,7,0)</f>
        <v>1109</v>
      </c>
      <c r="T16" s="12">
        <f t="shared" si="4"/>
        <v>7.7745383867832807E-2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2097680.0000654659</v>
      </c>
      <c r="G17" s="1">
        <f>VLOOKUP(A:A,MASTER!A:K,11,0)</f>
        <v>2728454.7351668398</v>
      </c>
      <c r="H17" s="12">
        <f t="shared" si="0"/>
        <v>0.30070112461466381</v>
      </c>
      <c r="I17" s="2">
        <f>VLOOKUP(A:A,MASTER!A:E,5,0)</f>
        <v>638</v>
      </c>
      <c r="J17" s="2">
        <f>VLOOKUP(A:A,MASTER!A:J,10,0)</f>
        <v>643</v>
      </c>
      <c r="K17" s="12">
        <f t="shared" si="1"/>
        <v>7.8369905956112706E-3</v>
      </c>
      <c r="L17" s="2">
        <f>VLOOKUP(A:A,MASTER!A:D,4,0)</f>
        <v>2</v>
      </c>
      <c r="M17" s="2">
        <f>VLOOKUP(A:A,MASTER!A:I,9,0)</f>
        <v>3</v>
      </c>
      <c r="N17" s="12">
        <f t="shared" si="2"/>
        <v>0.5</v>
      </c>
      <c r="O17" s="1">
        <f>VLOOKUP(A:A,MASTER!A:C,3,0)</f>
        <v>1</v>
      </c>
      <c r="P17" s="1">
        <f>VLOOKUP(A:A,MASTER!A:H,8,0)</f>
        <v>0</v>
      </c>
      <c r="Q17" s="12">
        <f t="shared" si="3"/>
        <v>-1</v>
      </c>
      <c r="R17" s="1">
        <f>VLOOKUP(A:A,MASTER!A:B,2,0)</f>
        <v>930</v>
      </c>
      <c r="S17">
        <f>VLOOKUP(A:A,MASTER!A:G,7,0)</f>
        <v>763</v>
      </c>
      <c r="T17" s="12">
        <f t="shared" si="4"/>
        <v>-0.17956989247311828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10160972.524858693</v>
      </c>
      <c r="G18" s="1">
        <f>VLOOKUP(A:A,MASTER!A:K,11,0)</f>
        <v>10430336.925136324</v>
      </c>
      <c r="H18" s="12">
        <f t="shared" si="0"/>
        <v>2.6509706587497961E-2</v>
      </c>
      <c r="I18" s="2">
        <f>VLOOKUP(A:A,MASTER!A:E,5,0)</f>
        <v>2054</v>
      </c>
      <c r="J18" s="2">
        <f>VLOOKUP(A:A,MASTER!A:J,10,0)</f>
        <v>2235</v>
      </c>
      <c r="K18" s="12">
        <f t="shared" si="1"/>
        <v>8.812074001947412E-2</v>
      </c>
      <c r="L18" s="2">
        <f>VLOOKUP(A:A,MASTER!A:D,4,0)</f>
        <v>7</v>
      </c>
      <c r="M18" s="2">
        <f>VLOOKUP(A:A,MASTER!A:I,9,0)</f>
        <v>11</v>
      </c>
      <c r="N18" s="12">
        <f t="shared" si="2"/>
        <v>0.5714285714285714</v>
      </c>
      <c r="O18" s="1">
        <f>VLOOKUP(A:A,MASTER!A:C,3,0)</f>
        <v>1</v>
      </c>
      <c r="P18" s="1">
        <f>VLOOKUP(A:A,MASTER!A:H,8,0)</f>
        <v>1</v>
      </c>
      <c r="Q18" s="12">
        <f t="shared" si="3"/>
        <v>0</v>
      </c>
      <c r="R18" s="1">
        <f>VLOOKUP(A:A,MASTER!A:B,2,0)</f>
        <v>2855</v>
      </c>
      <c r="S18">
        <f>VLOOKUP(A:A,MASTER!A:G,7,0)</f>
        <v>2697</v>
      </c>
      <c r="T18" s="12">
        <f t="shared" si="4"/>
        <v>-5.5341506129597207E-2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5645292.1587212132</v>
      </c>
      <c r="G19" s="1">
        <f>VLOOKUP(A:A,MASTER!A:K,11,0)</f>
        <v>5617110.3139670752</v>
      </c>
      <c r="H19" s="12">
        <f t="shared" si="0"/>
        <v>-4.9920967705100461E-3</v>
      </c>
      <c r="I19" s="2">
        <f>VLOOKUP(A:A,MASTER!A:E,5,0)</f>
        <v>1143</v>
      </c>
      <c r="J19" s="2">
        <f>VLOOKUP(A:A,MASTER!A:J,10,0)</f>
        <v>1183</v>
      </c>
      <c r="K19" s="12">
        <f t="shared" si="1"/>
        <v>3.4995625546806686E-2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1</v>
      </c>
      <c r="P19" s="1">
        <f>VLOOKUP(A:A,MASTER!A:H,8,0)</f>
        <v>1</v>
      </c>
      <c r="Q19" s="12">
        <f t="shared" si="3"/>
        <v>0</v>
      </c>
      <c r="R19" s="1">
        <f>VLOOKUP(A:A,MASTER!A:B,2,0)</f>
        <v>1417</v>
      </c>
      <c r="S19">
        <f>VLOOKUP(A:A,MASTER!A:G,7,0)</f>
        <v>1286</v>
      </c>
      <c r="T19" s="12">
        <f t="shared" si="4"/>
        <v>-9.2448835568101573E-2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11074486.469207264</v>
      </c>
      <c r="G20" s="1">
        <f>VLOOKUP(A:A,MASTER!A:K,11,0)</f>
        <v>11965711.532582287</v>
      </c>
      <c r="H20" s="12">
        <f t="shared" si="0"/>
        <v>8.0475520544729839E-2</v>
      </c>
      <c r="I20" s="2">
        <f>VLOOKUP(A:A,MASTER!A:E,5,0)</f>
        <v>2268</v>
      </c>
      <c r="J20" s="2">
        <f>VLOOKUP(A:A,MASTER!A:J,10,0)</f>
        <v>2254</v>
      </c>
      <c r="K20" s="12">
        <f t="shared" si="1"/>
        <v>-6.1728395061728669E-3</v>
      </c>
      <c r="L20" s="2">
        <f>VLOOKUP(A:A,MASTER!A:D,4,0)</f>
        <v>10</v>
      </c>
      <c r="M20" s="2">
        <f>VLOOKUP(A:A,MASTER!A:I,9,0)</f>
        <v>11</v>
      </c>
      <c r="N20" s="12">
        <f t="shared" si="2"/>
        <v>0.10000000000000009</v>
      </c>
      <c r="O20" s="1">
        <f>VLOOKUP(A:A,MASTER!A:C,3,0)</f>
        <v>1</v>
      </c>
      <c r="P20" s="1">
        <f>VLOOKUP(A:A,MASTER!A:H,8,0)</f>
        <v>0</v>
      </c>
      <c r="Q20" s="12">
        <f t="shared" si="3"/>
        <v>-1</v>
      </c>
      <c r="R20" s="1">
        <f>VLOOKUP(A:A,MASTER!A:B,2,0)</f>
        <v>2955</v>
      </c>
      <c r="S20">
        <f>VLOOKUP(A:A,MASTER!A:G,7,0)</f>
        <v>2631</v>
      </c>
      <c r="T20" s="12">
        <f t="shared" si="4"/>
        <v>-0.10964467005076139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1577796.3940065589</v>
      </c>
      <c r="G21" s="1">
        <f>VLOOKUP(A:A,MASTER!A:K,11,0)</f>
        <v>1537475.823717213</v>
      </c>
      <c r="H21" s="12">
        <f t="shared" si="0"/>
        <v>-2.5554989504671388E-2</v>
      </c>
      <c r="I21" s="2">
        <f>VLOOKUP(A:A,MASTER!A:E,5,0)</f>
        <v>468</v>
      </c>
      <c r="J21" s="2">
        <f>VLOOKUP(A:A,MASTER!A:J,10,0)</f>
        <v>497</v>
      </c>
      <c r="K21" s="12">
        <f t="shared" si="1"/>
        <v>6.1965811965811968E-2</v>
      </c>
      <c r="L21" s="2">
        <f>VLOOKUP(A:A,MASTER!A:D,4,0)</f>
        <v>0</v>
      </c>
      <c r="M21" s="2">
        <f>VLOOKUP(A:A,MASTER!A:I,9,0)</f>
        <v>1</v>
      </c>
      <c r="N21" s="12">
        <f t="shared" si="2"/>
        <v>0</v>
      </c>
      <c r="O21" s="1">
        <f>VLOOKUP(A:A,MASTER!A:C,3,0)</f>
        <v>0</v>
      </c>
      <c r="P21" s="1">
        <f>VLOOKUP(A:A,MASTER!A:H,8,0)</f>
        <v>0</v>
      </c>
      <c r="Q21" s="12">
        <f t="shared" si="3"/>
        <v>0</v>
      </c>
      <c r="R21" s="1">
        <f>VLOOKUP(A:A,MASTER!A:B,2,0)</f>
        <v>529</v>
      </c>
      <c r="S21">
        <f>VLOOKUP(A:A,MASTER!A:G,7,0)</f>
        <v>489</v>
      </c>
      <c r="T21" s="12">
        <f t="shared" si="4"/>
        <v>-7.5614366729678584E-2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4058354.9701960068</v>
      </c>
      <c r="G22" s="1">
        <f>VLOOKUP(A:A,MASTER!A:K,11,0)</f>
        <v>3957917.2808496621</v>
      </c>
      <c r="H22" s="12">
        <f t="shared" si="0"/>
        <v>-2.4748374670019002E-2</v>
      </c>
      <c r="I22" s="2">
        <f>VLOOKUP(A:A,MASTER!A:E,5,0)</f>
        <v>1280</v>
      </c>
      <c r="J22" s="2">
        <f>VLOOKUP(A:A,MASTER!A:J,10,0)</f>
        <v>1429</v>
      </c>
      <c r="K22" s="12">
        <f t="shared" si="1"/>
        <v>0.11640625000000004</v>
      </c>
      <c r="L22" s="2">
        <f>VLOOKUP(A:A,MASTER!A:D,4,0)</f>
        <v>1</v>
      </c>
      <c r="M22" s="2">
        <f>VLOOKUP(A:A,MASTER!A:I,9,0)</f>
        <v>0</v>
      </c>
      <c r="N22" s="12">
        <f t="shared" si="2"/>
        <v>-1</v>
      </c>
      <c r="O22" s="1">
        <f>VLOOKUP(A:A,MASTER!A:C,3,0)</f>
        <v>4</v>
      </c>
      <c r="P22" s="1">
        <f>VLOOKUP(A:A,MASTER!A:H,8,0)</f>
        <v>4</v>
      </c>
      <c r="Q22" s="12">
        <f t="shared" si="3"/>
        <v>0</v>
      </c>
      <c r="R22" s="1">
        <f>VLOOKUP(A:A,MASTER!A:B,2,0)</f>
        <v>1758</v>
      </c>
      <c r="S22">
        <f>VLOOKUP(A:A,MASTER!A:G,7,0)</f>
        <v>1832</v>
      </c>
      <c r="T22" s="12">
        <f t="shared" si="4"/>
        <v>4.2093287827076331E-2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2162711.2918741028</v>
      </c>
      <c r="G23" s="1">
        <f>VLOOKUP(A:A,MASTER!A:K,11,0)</f>
        <v>2069918.161467927</v>
      </c>
      <c r="H23" s="12">
        <f t="shared" si="0"/>
        <v>-4.2905925887946728E-2</v>
      </c>
      <c r="I23" s="2">
        <f>VLOOKUP(A:A,MASTER!A:E,5,0)</f>
        <v>912</v>
      </c>
      <c r="J23" s="2">
        <f>VLOOKUP(A:A,MASTER!A:J,10,0)</f>
        <v>784</v>
      </c>
      <c r="K23" s="12">
        <f t="shared" si="1"/>
        <v>-0.14035087719298245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2</v>
      </c>
      <c r="P23" s="1">
        <f>VLOOKUP(A:A,MASTER!A:H,8,0)</f>
        <v>2</v>
      </c>
      <c r="Q23" s="12">
        <f t="shared" si="3"/>
        <v>0</v>
      </c>
      <c r="R23" s="1">
        <f>VLOOKUP(A:A,MASTER!A:B,2,0)</f>
        <v>888</v>
      </c>
      <c r="S23">
        <f>VLOOKUP(A:A,MASTER!A:G,7,0)</f>
        <v>923</v>
      </c>
      <c r="T23" s="12">
        <f t="shared" si="4"/>
        <v>3.94144144144144E-2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2501776.8118505129</v>
      </c>
      <c r="G24" s="1">
        <f>VLOOKUP(A:A,MASTER!A:K,11,0)</f>
        <v>2660409.733688659</v>
      </c>
      <c r="H24" s="12">
        <f t="shared" si="0"/>
        <v>6.3408103027707163E-2</v>
      </c>
      <c r="I24" s="2">
        <f>VLOOKUP(A:A,MASTER!A:E,5,0)</f>
        <v>855</v>
      </c>
      <c r="J24" s="2">
        <f>VLOOKUP(A:A,MASTER!A:J,10,0)</f>
        <v>764</v>
      </c>
      <c r="K24" s="12">
        <f t="shared" si="1"/>
        <v>-0.10643274853801166</v>
      </c>
      <c r="L24" s="2">
        <f>VLOOKUP(A:A,MASTER!A:D,4,0)</f>
        <v>0</v>
      </c>
      <c r="M24" s="2">
        <f>VLOOKUP(A:A,MASTER!A:I,9,0)</f>
        <v>0</v>
      </c>
      <c r="N24" s="12">
        <f t="shared" si="2"/>
        <v>0</v>
      </c>
      <c r="O24" s="1">
        <f>VLOOKUP(A:A,MASTER!A:C,3,0)</f>
        <v>0</v>
      </c>
      <c r="P24" s="1">
        <f>VLOOKUP(A:A,MASTER!A:H,8,0)</f>
        <v>1</v>
      </c>
      <c r="Q24" s="12">
        <f t="shared" si="3"/>
        <v>0</v>
      </c>
      <c r="R24" s="1">
        <f>VLOOKUP(A:A,MASTER!A:B,2,0)</f>
        <v>878</v>
      </c>
      <c r="S24">
        <f>VLOOKUP(A:A,MASTER!A:G,7,0)</f>
        <v>857</v>
      </c>
      <c r="T24" s="12">
        <f t="shared" si="4"/>
        <v>-2.3917995444191376E-2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548263.717388088</v>
      </c>
      <c r="G25" s="1">
        <f>VLOOKUP(A:A,MASTER!A:K,11,0)</f>
        <v>705900.22600010806</v>
      </c>
      <c r="H25" s="12">
        <f t="shared" si="0"/>
        <v>0.28751949766618834</v>
      </c>
      <c r="I25" s="2">
        <f>VLOOKUP(A:A,MASTER!A:E,5,0)</f>
        <v>183</v>
      </c>
      <c r="J25" s="2">
        <f>VLOOKUP(A:A,MASTER!A:J,10,0)</f>
        <v>172</v>
      </c>
      <c r="K25" s="12">
        <f t="shared" si="1"/>
        <v>-6.0109289617486295E-2</v>
      </c>
      <c r="L25" s="2">
        <f>VLOOKUP(A:A,MASTER!A:D,4,0)</f>
        <v>0</v>
      </c>
      <c r="M25" s="2">
        <f>VLOOKUP(A:A,MASTER!A:I,9,0)</f>
        <v>0</v>
      </c>
      <c r="N25" s="12">
        <f t="shared" si="2"/>
        <v>0</v>
      </c>
      <c r="O25" s="1">
        <f>VLOOKUP(A:A,MASTER!A:C,3,0)</f>
        <v>0</v>
      </c>
      <c r="P25" s="1">
        <f>VLOOKUP(A:A,MASTER!A:H,8,0)</f>
        <v>0</v>
      </c>
      <c r="Q25" s="12">
        <f t="shared" si="3"/>
        <v>0</v>
      </c>
      <c r="R25" s="1">
        <f>VLOOKUP(A:A,MASTER!A:B,2,0)</f>
        <v>239</v>
      </c>
      <c r="S25">
        <f>VLOOKUP(A:A,MASTER!A:G,7,0)</f>
        <v>179</v>
      </c>
      <c r="T25" s="12">
        <f t="shared" si="4"/>
        <v>-0.2510460251046025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4040244.5324205449</v>
      </c>
      <c r="G26" s="1">
        <f>VLOOKUP(A:A,MASTER!A:K,11,0)</f>
        <v>4583071.6783022182</v>
      </c>
      <c r="H26" s="12">
        <f t="shared" si="0"/>
        <v>0.13435502270365318</v>
      </c>
      <c r="I26" s="2">
        <f>VLOOKUP(A:A,MASTER!A:E,5,0)</f>
        <v>777</v>
      </c>
      <c r="J26" s="2">
        <f>VLOOKUP(A:A,MASTER!A:J,10,0)</f>
        <v>1424</v>
      </c>
      <c r="K26" s="12">
        <f t="shared" si="1"/>
        <v>0.83268983268983265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1</v>
      </c>
      <c r="P26" s="1">
        <f>VLOOKUP(A:A,MASTER!A:H,8,0)</f>
        <v>2</v>
      </c>
      <c r="Q26" s="12">
        <f t="shared" si="3"/>
        <v>1</v>
      </c>
      <c r="R26" s="1">
        <f>VLOOKUP(A:A,MASTER!A:B,2,0)</f>
        <v>1596</v>
      </c>
      <c r="S26">
        <f>VLOOKUP(A:A,MASTER!A:G,7,0)</f>
        <v>1618</v>
      </c>
      <c r="T26" s="12">
        <f t="shared" si="4"/>
        <v>1.3784461152882121E-2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3105479.9858465279</v>
      </c>
      <c r="G27" s="1">
        <f>VLOOKUP(A:A,MASTER!A:K,11,0)</f>
        <v>3683301.2334604911</v>
      </c>
      <c r="H27" s="12">
        <f t="shared" si="0"/>
        <v>0.18606503672457375</v>
      </c>
      <c r="I27" s="2">
        <f>VLOOKUP(A:A,MASTER!A:E,5,0)</f>
        <v>550</v>
      </c>
      <c r="J27" s="2">
        <f>VLOOKUP(A:A,MASTER!A:J,10,0)</f>
        <v>645</v>
      </c>
      <c r="K27" s="12">
        <f t="shared" si="1"/>
        <v>0.17272727272727262</v>
      </c>
      <c r="L27" s="2">
        <f>VLOOKUP(A:A,MASTER!A:D,4,0)</f>
        <v>0</v>
      </c>
      <c r="M27" s="2">
        <f>VLOOKUP(A:A,MASTER!A:I,9,0)</f>
        <v>0</v>
      </c>
      <c r="N27" s="12">
        <f t="shared" si="2"/>
        <v>0</v>
      </c>
      <c r="O27" s="1">
        <f>VLOOKUP(A:A,MASTER!A:C,3,0)</f>
        <v>0</v>
      </c>
      <c r="P27" s="1">
        <f>VLOOKUP(A:A,MASTER!A:H,8,0)</f>
        <v>0</v>
      </c>
      <c r="Q27" s="12">
        <f t="shared" si="3"/>
        <v>0</v>
      </c>
      <c r="R27" s="1">
        <f>VLOOKUP(A:A,MASTER!A:B,2,0)</f>
        <v>876</v>
      </c>
      <c r="S27">
        <f>VLOOKUP(A:A,MASTER!A:G,7,0)</f>
        <v>845</v>
      </c>
      <c r="T27" s="12">
        <f t="shared" si="4"/>
        <v>-3.5388127853881235E-2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3230017.2059268001</v>
      </c>
      <c r="G28" s="1">
        <f>VLOOKUP(A:A,MASTER!A:K,11,0)</f>
        <v>3648877.0437133471</v>
      </c>
      <c r="H28" s="12">
        <f t="shared" si="0"/>
        <v>0.1296772775754802</v>
      </c>
      <c r="I28" s="2">
        <f>VLOOKUP(A:A,MASTER!A:E,5,0)</f>
        <v>844</v>
      </c>
      <c r="J28" s="2">
        <f>VLOOKUP(A:A,MASTER!A:J,10,0)</f>
        <v>1017</v>
      </c>
      <c r="K28" s="12">
        <f t="shared" si="1"/>
        <v>0.20497630331753558</v>
      </c>
      <c r="L28" s="2">
        <f>VLOOKUP(A:A,MASTER!A:D,4,0)</f>
        <v>1</v>
      </c>
      <c r="M28" s="2">
        <f>VLOOKUP(A:A,MASTER!A:I,9,0)</f>
        <v>1</v>
      </c>
      <c r="N28" s="12">
        <f t="shared" si="2"/>
        <v>0</v>
      </c>
      <c r="O28" s="1">
        <f>VLOOKUP(A:A,MASTER!A:C,3,0)</f>
        <v>1</v>
      </c>
      <c r="P28" s="1">
        <f>VLOOKUP(A:A,MASTER!A:H,8,0)</f>
        <v>0</v>
      </c>
      <c r="Q28" s="12">
        <f t="shared" si="3"/>
        <v>-1</v>
      </c>
      <c r="R28" s="1">
        <f>VLOOKUP(A:A,MASTER!A:B,2,0)</f>
        <v>1067</v>
      </c>
      <c r="S28">
        <f>VLOOKUP(A:A,MASTER!A:G,7,0)</f>
        <v>907</v>
      </c>
      <c r="T28" s="12">
        <f t="shared" si="4"/>
        <v>-0.14995313964386126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4690577.5913680773</v>
      </c>
      <c r="G29" s="1">
        <f>VLOOKUP(A:A,MASTER!A:K,11,0)</f>
        <v>5353624.7159544239</v>
      </c>
      <c r="H29" s="12">
        <f t="shared" si="0"/>
        <v>0.14135724474668776</v>
      </c>
      <c r="I29" s="2">
        <f>VLOOKUP(A:A,MASTER!A:E,5,0)</f>
        <v>1126</v>
      </c>
      <c r="J29" s="2">
        <f>VLOOKUP(A:A,MASTER!A:J,10,0)</f>
        <v>628</v>
      </c>
      <c r="K29" s="12">
        <f t="shared" si="1"/>
        <v>-0.44227353463587926</v>
      </c>
      <c r="L29" s="2">
        <f>VLOOKUP(A:A,MASTER!A:D,4,0)</f>
        <v>3</v>
      </c>
      <c r="M29" s="2">
        <f>VLOOKUP(A:A,MASTER!A:I,9,0)</f>
        <v>2</v>
      </c>
      <c r="N29" s="12">
        <f t="shared" si="2"/>
        <v>-0.33333333333333337</v>
      </c>
      <c r="O29" s="1">
        <f>VLOOKUP(A:A,MASTER!A:C,3,0)</f>
        <v>0</v>
      </c>
      <c r="P29" s="1">
        <f>VLOOKUP(A:A,MASTER!A:H,8,0)</f>
        <v>0</v>
      </c>
      <c r="Q29" s="12">
        <f t="shared" si="3"/>
        <v>0</v>
      </c>
      <c r="R29" s="1">
        <f>VLOOKUP(A:A,MASTER!A:B,2,0)</f>
        <v>1098</v>
      </c>
      <c r="S29">
        <f>VLOOKUP(A:A,MASTER!A:G,7,0)</f>
        <v>1088</v>
      </c>
      <c r="T29" s="12">
        <f t="shared" si="4"/>
        <v>-9.1074681238615396E-3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6883471.1932831891</v>
      </c>
      <c r="G30" s="1">
        <f>VLOOKUP(A:A,MASTER!A:K,11,0)</f>
        <v>6937737.10068365</v>
      </c>
      <c r="H30" s="12">
        <f t="shared" si="0"/>
        <v>7.8835090431428334E-3</v>
      </c>
      <c r="I30" s="2">
        <f>VLOOKUP(A:A,MASTER!A:E,5,0)</f>
        <v>1159</v>
      </c>
      <c r="J30" s="2">
        <f>VLOOKUP(A:A,MASTER!A:J,10,0)</f>
        <v>1228</v>
      </c>
      <c r="K30" s="12">
        <f t="shared" si="1"/>
        <v>5.9534081104400283E-2</v>
      </c>
      <c r="L30" s="2">
        <f>VLOOKUP(A:A,MASTER!A:D,4,0)</f>
        <v>5</v>
      </c>
      <c r="M30" s="2">
        <f>VLOOKUP(A:A,MASTER!A:I,9,0)</f>
        <v>2</v>
      </c>
      <c r="N30" s="12">
        <f t="shared" si="2"/>
        <v>-0.6</v>
      </c>
      <c r="O30" s="1">
        <f>VLOOKUP(A:A,MASTER!A:C,3,0)</f>
        <v>1</v>
      </c>
      <c r="P30" s="1">
        <f>VLOOKUP(A:A,MASTER!A:H,8,0)</f>
        <v>0</v>
      </c>
      <c r="Q30" s="12">
        <f t="shared" si="3"/>
        <v>-1</v>
      </c>
      <c r="R30" s="1">
        <f>VLOOKUP(A:A,MASTER!A:B,2,0)</f>
        <v>1464</v>
      </c>
      <c r="S30">
        <f>VLOOKUP(A:A,MASTER!A:G,7,0)</f>
        <v>1348</v>
      </c>
      <c r="T30" s="12">
        <f t="shared" si="4"/>
        <v>-7.9234972677595605E-2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2568596.938947347</v>
      </c>
      <c r="G31" s="1">
        <f>VLOOKUP(A:A,MASTER!A:K,11,0)</f>
        <v>2023338.5569073369</v>
      </c>
      <c r="H31" s="12">
        <f t="shared" si="0"/>
        <v>-0.21227868560158991</v>
      </c>
      <c r="I31" s="2">
        <f>VLOOKUP(A:A,MASTER!A:E,5,0)</f>
        <v>549</v>
      </c>
      <c r="J31" s="2">
        <f>VLOOKUP(A:A,MASTER!A:J,10,0)</f>
        <v>629</v>
      </c>
      <c r="K31" s="12">
        <f t="shared" si="1"/>
        <v>0.14571948998178508</v>
      </c>
      <c r="L31" s="2">
        <f>VLOOKUP(A:A,MASTER!A:D,4,0)</f>
        <v>4</v>
      </c>
      <c r="M31" s="2">
        <f>VLOOKUP(A:A,MASTER!A:I,9,0)</f>
        <v>5</v>
      </c>
      <c r="N31" s="12">
        <f t="shared" si="2"/>
        <v>0.25</v>
      </c>
      <c r="O31" s="1">
        <f>VLOOKUP(A:A,MASTER!A:C,3,0)</f>
        <v>0</v>
      </c>
      <c r="P31" s="1">
        <f>VLOOKUP(A:A,MASTER!A:H,8,0)</f>
        <v>0</v>
      </c>
      <c r="Q31" s="12">
        <f t="shared" si="3"/>
        <v>0</v>
      </c>
      <c r="R31" s="1">
        <f>VLOOKUP(A:A,MASTER!A:B,2,0)</f>
        <v>691</v>
      </c>
      <c r="S31">
        <f>VLOOKUP(A:A,MASTER!A:G,7,0)</f>
        <v>660</v>
      </c>
      <c r="T31" s="12">
        <f t="shared" si="4"/>
        <v>-4.4862518089725079E-2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8181847.3958366001</v>
      </c>
      <c r="G32" s="1">
        <f>VLOOKUP(A:A,MASTER!A:K,11,0)</f>
        <v>4393017.9085983858</v>
      </c>
      <c r="H32" s="12">
        <f t="shared" si="0"/>
        <v>-0.4630775060857516</v>
      </c>
      <c r="I32" s="2">
        <f>VLOOKUP(A:A,MASTER!A:E,5,0)</f>
        <v>1645</v>
      </c>
      <c r="J32" s="2">
        <f>VLOOKUP(A:A,MASTER!A:J,10,0)</f>
        <v>161</v>
      </c>
      <c r="K32" s="12">
        <f t="shared" si="1"/>
        <v>-0.90212765957446805</v>
      </c>
      <c r="L32" s="2">
        <f>VLOOKUP(A:A,MASTER!A:D,4,0)</f>
        <v>10</v>
      </c>
      <c r="M32" s="2">
        <f>VLOOKUP(A:A,MASTER!A:I,9,0)</f>
        <v>4</v>
      </c>
      <c r="N32" s="12">
        <f t="shared" si="2"/>
        <v>-0.6</v>
      </c>
      <c r="O32" s="1">
        <f>VLOOKUP(A:A,MASTER!A:C,3,0)</f>
        <v>1</v>
      </c>
      <c r="P32" s="1">
        <f>VLOOKUP(A:A,MASTER!A:H,8,0)</f>
        <v>2</v>
      </c>
      <c r="Q32" s="12">
        <f t="shared" si="3"/>
        <v>1</v>
      </c>
      <c r="R32" s="1">
        <f>VLOOKUP(A:A,MASTER!A:B,2,0)</f>
        <v>1954</v>
      </c>
      <c r="S32">
        <f>VLOOKUP(A:A,MASTER!A:G,7,0)</f>
        <v>630</v>
      </c>
      <c r="T32" s="12">
        <f t="shared" si="4"/>
        <v>-0.67758444216990787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2804788.7314968561</v>
      </c>
      <c r="G33" s="1">
        <f>VLOOKUP(A:A,MASTER!A:K,11,0)</f>
        <v>3081040.9676898969</v>
      </c>
      <c r="H33" s="12">
        <f t="shared" si="0"/>
        <v>9.8493064055348967E-2</v>
      </c>
      <c r="I33" s="2">
        <f>VLOOKUP(A:A,MASTER!A:E,5,0)</f>
        <v>688</v>
      </c>
      <c r="J33" s="2">
        <f>VLOOKUP(A:A,MASTER!A:J,10,0)</f>
        <v>763</v>
      </c>
      <c r="K33" s="12">
        <f t="shared" si="1"/>
        <v>0.10901162790697683</v>
      </c>
      <c r="L33" s="2">
        <f>VLOOKUP(A:A,MASTER!A:D,4,0)</f>
        <v>0</v>
      </c>
      <c r="M33" s="2">
        <f>VLOOKUP(A:A,MASTER!A:I,9,0)</f>
        <v>2</v>
      </c>
      <c r="N33" s="12">
        <f t="shared" si="2"/>
        <v>0</v>
      </c>
      <c r="O33" s="1">
        <f>VLOOKUP(A:A,MASTER!A:C,3,0)</f>
        <v>0</v>
      </c>
      <c r="P33" s="1">
        <f>VLOOKUP(A:A,MASTER!A:H,8,0)</f>
        <v>1</v>
      </c>
      <c r="Q33" s="12">
        <f t="shared" si="3"/>
        <v>0</v>
      </c>
      <c r="R33" s="1">
        <f>VLOOKUP(A:A,MASTER!A:B,2,0)</f>
        <v>831</v>
      </c>
      <c r="S33">
        <f>VLOOKUP(A:A,MASTER!A:G,7,0)</f>
        <v>846</v>
      </c>
      <c r="T33" s="12">
        <f t="shared" si="4"/>
        <v>1.8050541516245522E-2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2644452.171210513</v>
      </c>
      <c r="G34" s="1">
        <f>VLOOKUP(A:A,MASTER!A:K,11,0)</f>
        <v>2269206.5658248542</v>
      </c>
      <c r="H34" s="12">
        <f t="shared" si="0"/>
        <v>-0.14189918406196322</v>
      </c>
      <c r="I34" s="2">
        <f>VLOOKUP(A:A,MASTER!A:E,5,0)</f>
        <v>540</v>
      </c>
      <c r="J34" s="2">
        <f>VLOOKUP(A:A,MASTER!A:J,10,0)</f>
        <v>601</v>
      </c>
      <c r="K34" s="12">
        <f t="shared" si="1"/>
        <v>0.11296296296296293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0</v>
      </c>
      <c r="P34" s="1">
        <f>VLOOKUP(A:A,MASTER!A:H,8,0)</f>
        <v>0</v>
      </c>
      <c r="Q34" s="12">
        <f t="shared" si="3"/>
        <v>0</v>
      </c>
      <c r="R34" s="1">
        <f>VLOOKUP(A:A,MASTER!A:B,2,0)</f>
        <v>713</v>
      </c>
      <c r="S34">
        <f>VLOOKUP(A:A,MASTER!A:G,7,0)</f>
        <v>708</v>
      </c>
      <c r="T34" s="12">
        <f t="shared" si="4"/>
        <v>-7.0126227208976433E-3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3996758.5997167942</v>
      </c>
      <c r="G35" s="1">
        <f>VLOOKUP(A:A,MASTER!A:K,11,0)</f>
        <v>4422193.3419590024</v>
      </c>
      <c r="H35" s="12">
        <f t="shared" si="0"/>
        <v>0.10644494322783316</v>
      </c>
      <c r="I35" s="2">
        <f>VLOOKUP(A:A,MASTER!A:E,5,0)</f>
        <v>816</v>
      </c>
      <c r="J35" s="2">
        <f>VLOOKUP(A:A,MASTER!A:J,10,0)</f>
        <v>888</v>
      </c>
      <c r="K35" s="12">
        <f t="shared" si="1"/>
        <v>8.8235294117646967E-2</v>
      </c>
      <c r="L35" s="2">
        <f>VLOOKUP(A:A,MASTER!A:D,4,0)</f>
        <v>1</v>
      </c>
      <c r="M35" s="2">
        <f>VLOOKUP(A:A,MASTER!A:I,9,0)</f>
        <v>1</v>
      </c>
      <c r="N35" s="12">
        <f t="shared" si="2"/>
        <v>0</v>
      </c>
      <c r="O35" s="1">
        <f>VLOOKUP(A:A,MASTER!A:C,3,0)</f>
        <v>1</v>
      </c>
      <c r="P35" s="1">
        <f>VLOOKUP(A:A,MASTER!A:H,8,0)</f>
        <v>0</v>
      </c>
      <c r="Q35" s="12">
        <f t="shared" si="3"/>
        <v>-1</v>
      </c>
      <c r="R35" s="1">
        <f>VLOOKUP(A:A,MASTER!A:B,2,0)</f>
        <v>1176</v>
      </c>
      <c r="S35">
        <f>VLOOKUP(A:A,MASTER!A:G,7,0)</f>
        <v>1298</v>
      </c>
      <c r="T35" s="12">
        <f t="shared" si="4"/>
        <v>0.1037414965986394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3686361.189313489</v>
      </c>
      <c r="G36" s="1">
        <f>VLOOKUP(A:A,MASTER!A:K,11,0)</f>
        <v>4066070.029280589</v>
      </c>
      <c r="H36" s="12">
        <f t="shared" si="0"/>
        <v>0.10300369943885324</v>
      </c>
      <c r="I36" s="2">
        <f>VLOOKUP(A:A,MASTER!A:E,5,0)</f>
        <v>869</v>
      </c>
      <c r="J36" s="2">
        <f>VLOOKUP(A:A,MASTER!A:J,10,0)</f>
        <v>855</v>
      </c>
      <c r="K36" s="12">
        <f t="shared" si="1"/>
        <v>-1.6110471806674354E-2</v>
      </c>
      <c r="L36" s="2">
        <f>VLOOKUP(A:A,MASTER!A:D,4,0)</f>
        <v>2</v>
      </c>
      <c r="M36" s="2">
        <f>VLOOKUP(A:A,MASTER!A:I,9,0)</f>
        <v>1</v>
      </c>
      <c r="N36" s="12">
        <f t="shared" si="2"/>
        <v>-0.5</v>
      </c>
      <c r="O36" s="1">
        <f>VLOOKUP(A:A,MASTER!A:C,3,0)</f>
        <v>0</v>
      </c>
      <c r="P36" s="1">
        <f>VLOOKUP(A:A,MASTER!A:H,8,0)</f>
        <v>1</v>
      </c>
      <c r="Q36" s="12">
        <f t="shared" si="3"/>
        <v>0</v>
      </c>
      <c r="R36" s="1">
        <f>VLOOKUP(A:A,MASTER!A:B,2,0)</f>
        <v>1314</v>
      </c>
      <c r="S36">
        <f>VLOOKUP(A:A,MASTER!A:G,7,0)</f>
        <v>1215</v>
      </c>
      <c r="T36" s="12">
        <f t="shared" si="4"/>
        <v>-7.5342465753424626E-2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6789965.9846690176</v>
      </c>
      <c r="G37" s="1">
        <f>VLOOKUP(A:A,MASTER!A:K,11,0)</f>
        <v>6533619.1627266798</v>
      </c>
      <c r="H37" s="12">
        <f t="shared" si="0"/>
        <v>-3.7753771156017635E-2</v>
      </c>
      <c r="I37" s="2">
        <f>VLOOKUP(A:A,MASTER!A:E,5,0)</f>
        <v>1686</v>
      </c>
      <c r="J37" s="2">
        <f>VLOOKUP(A:A,MASTER!A:J,10,0)</f>
        <v>1428</v>
      </c>
      <c r="K37" s="12">
        <f t="shared" si="1"/>
        <v>-0.15302491103202842</v>
      </c>
      <c r="L37" s="2">
        <f>VLOOKUP(A:A,MASTER!A:D,4,0)</f>
        <v>4</v>
      </c>
      <c r="M37" s="2">
        <f>VLOOKUP(A:A,MASTER!A:I,9,0)</f>
        <v>4</v>
      </c>
      <c r="N37" s="12">
        <f t="shared" si="2"/>
        <v>0</v>
      </c>
      <c r="O37" s="1">
        <f>VLOOKUP(A:A,MASTER!A:C,3,0)</f>
        <v>3</v>
      </c>
      <c r="P37" s="1">
        <f>VLOOKUP(A:A,MASTER!A:H,8,0)</f>
        <v>1</v>
      </c>
      <c r="Q37" s="12">
        <f t="shared" si="3"/>
        <v>-0.66666666666666674</v>
      </c>
      <c r="R37" s="1">
        <f>VLOOKUP(A:A,MASTER!A:B,2,0)</f>
        <v>2590</v>
      </c>
      <c r="S37">
        <f>VLOOKUP(A:A,MASTER!A:G,7,0)</f>
        <v>2179</v>
      </c>
      <c r="T37" s="12">
        <f t="shared" si="4"/>
        <v>-0.15868725868725864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2463905.4064653199</v>
      </c>
      <c r="G38" s="1">
        <f>VLOOKUP(A:A,MASTER!A:K,11,0)</f>
        <v>2668699.8789947932</v>
      </c>
      <c r="H38" s="12">
        <f t="shared" si="0"/>
        <v>8.3117830738180798E-2</v>
      </c>
      <c r="I38" s="2">
        <f>VLOOKUP(A:A,MASTER!A:E,5,0)</f>
        <v>483</v>
      </c>
      <c r="J38" s="2">
        <f>VLOOKUP(A:A,MASTER!A:J,10,0)</f>
        <v>679</v>
      </c>
      <c r="K38" s="12">
        <f t="shared" si="1"/>
        <v>0.40579710144927539</v>
      </c>
      <c r="L38" s="2">
        <f>VLOOKUP(A:A,MASTER!A:D,4,0)</f>
        <v>6</v>
      </c>
      <c r="M38" s="2">
        <f>VLOOKUP(A:A,MASTER!A:I,9,0)</f>
        <v>8</v>
      </c>
      <c r="N38" s="12">
        <f t="shared" si="2"/>
        <v>0.33333333333333326</v>
      </c>
      <c r="O38" s="1">
        <f>VLOOKUP(A:A,MASTER!A:C,3,0)</f>
        <v>0</v>
      </c>
      <c r="P38" s="1">
        <f>VLOOKUP(A:A,MASTER!A:H,8,0)</f>
        <v>0</v>
      </c>
      <c r="Q38" s="12">
        <f t="shared" si="3"/>
        <v>0</v>
      </c>
      <c r="R38" s="1">
        <f>VLOOKUP(A:A,MASTER!A:B,2,0)</f>
        <v>608</v>
      </c>
      <c r="S38">
        <f>VLOOKUP(A:A,MASTER!A:G,7,0)</f>
        <v>687</v>
      </c>
      <c r="T38" s="12">
        <f t="shared" si="4"/>
        <v>0.12993421052631571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8097675.4664721722</v>
      </c>
      <c r="G39" s="1">
        <f>VLOOKUP(A:A,MASTER!A:K,11,0)</f>
        <v>7617372.1073729843</v>
      </c>
      <c r="H39" s="12">
        <f t="shared" si="0"/>
        <v>-5.9313732822196763E-2</v>
      </c>
      <c r="I39" s="2">
        <f>VLOOKUP(A:A,MASTER!A:E,5,0)</f>
        <v>2728</v>
      </c>
      <c r="J39" s="2">
        <f>VLOOKUP(A:A,MASTER!A:J,10,0)</f>
        <v>1906</v>
      </c>
      <c r="K39" s="12">
        <f t="shared" si="1"/>
        <v>-0.3013196480938416</v>
      </c>
      <c r="L39" s="2">
        <f>VLOOKUP(A:A,MASTER!A:D,4,0)</f>
        <v>7</v>
      </c>
      <c r="M39" s="2">
        <f>VLOOKUP(A:A,MASTER!A:I,9,0)</f>
        <v>5</v>
      </c>
      <c r="N39" s="12">
        <f t="shared" si="2"/>
        <v>-0.2857142857142857</v>
      </c>
      <c r="O39" s="1">
        <f>VLOOKUP(A:A,MASTER!A:C,3,0)</f>
        <v>1</v>
      </c>
      <c r="P39" s="1">
        <f>VLOOKUP(A:A,MASTER!A:H,8,0)</f>
        <v>1</v>
      </c>
      <c r="Q39" s="12">
        <f t="shared" si="3"/>
        <v>0</v>
      </c>
      <c r="R39" s="1">
        <f>VLOOKUP(A:A,MASTER!A:B,2,0)</f>
        <v>2059</v>
      </c>
      <c r="S39">
        <f>VLOOKUP(A:A,MASTER!A:G,7,0)</f>
        <v>2200</v>
      </c>
      <c r="T39" s="12">
        <f t="shared" si="4"/>
        <v>6.8479844584749872E-2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5347088.5690272478</v>
      </c>
      <c r="G40" s="1">
        <f>VLOOKUP(A:A,MASTER!A:K,11,0)</f>
        <v>5684764.247369715</v>
      </c>
      <c r="H40" s="12">
        <f t="shared" si="0"/>
        <v>6.3151315708222411E-2</v>
      </c>
      <c r="I40" s="2">
        <f>VLOOKUP(A:A,MASTER!A:E,5,0)</f>
        <v>732</v>
      </c>
      <c r="J40" s="2">
        <f>VLOOKUP(A:A,MASTER!A:J,10,0)</f>
        <v>2087</v>
      </c>
      <c r="K40" s="12">
        <f t="shared" si="1"/>
        <v>1.8510928961748632</v>
      </c>
      <c r="L40" s="2">
        <f>VLOOKUP(A:A,MASTER!A:D,4,0)</f>
        <v>2</v>
      </c>
      <c r="M40" s="2">
        <f>VLOOKUP(A:A,MASTER!A:I,9,0)</f>
        <v>6</v>
      </c>
      <c r="N40" s="12">
        <f t="shared" si="2"/>
        <v>2</v>
      </c>
      <c r="O40" s="1">
        <f>VLOOKUP(A:A,MASTER!A:C,3,0)</f>
        <v>0</v>
      </c>
      <c r="P40" s="1">
        <f>VLOOKUP(A:A,MASTER!A:H,8,0)</f>
        <v>1</v>
      </c>
      <c r="Q40" s="12">
        <f t="shared" si="3"/>
        <v>0</v>
      </c>
      <c r="R40" s="1">
        <f>VLOOKUP(A:A,MASTER!A:B,2,0)</f>
        <v>890</v>
      </c>
      <c r="S40">
        <f>VLOOKUP(A:A,MASTER!A:G,7,0)</f>
        <v>1882</v>
      </c>
      <c r="T40" s="12">
        <f t="shared" si="4"/>
        <v>1.1146067415730339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2904965.5008437671</v>
      </c>
      <c r="G41" s="1">
        <f>VLOOKUP(A:A,MASTER!A:K,11,0)</f>
        <v>4236147.4779794589</v>
      </c>
      <c r="H41" s="12">
        <f t="shared" si="0"/>
        <v>0.45824364411523688</v>
      </c>
      <c r="I41" s="2">
        <f>VLOOKUP(A:A,MASTER!A:E,5,0)</f>
        <v>205</v>
      </c>
      <c r="J41" s="2">
        <f>VLOOKUP(A:A,MASTER!A:J,10,0)</f>
        <v>995</v>
      </c>
      <c r="K41" s="12">
        <f t="shared" si="1"/>
        <v>3.8536585365853657</v>
      </c>
      <c r="L41" s="2">
        <f>VLOOKUP(A:A,MASTER!A:D,4,0)</f>
        <v>4</v>
      </c>
      <c r="M41" s="2">
        <f>VLOOKUP(A:A,MASTER!A:I,9,0)</f>
        <v>3</v>
      </c>
      <c r="N41" s="12">
        <f t="shared" si="2"/>
        <v>-0.25</v>
      </c>
      <c r="O41" s="1">
        <f>VLOOKUP(A:A,MASTER!A:C,3,0)</f>
        <v>0</v>
      </c>
      <c r="P41" s="1">
        <f>VLOOKUP(A:A,MASTER!A:H,8,0)</f>
        <v>1</v>
      </c>
      <c r="Q41" s="12">
        <f t="shared" si="3"/>
        <v>0</v>
      </c>
      <c r="R41" s="1">
        <f>VLOOKUP(A:A,MASTER!A:B,2,0)</f>
        <v>1109</v>
      </c>
      <c r="S41">
        <f>VLOOKUP(A:A,MASTER!A:G,7,0)</f>
        <v>1150</v>
      </c>
      <c r="T41" s="12">
        <f t="shared" si="4"/>
        <v>3.6970243462578933E-2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4198078.3832837623</v>
      </c>
      <c r="G42" s="1">
        <f>VLOOKUP(A:A,MASTER!A:K,11,0)</f>
        <v>4419982.6356449472</v>
      </c>
      <c r="H42" s="12">
        <f t="shared" si="0"/>
        <v>5.2858530046694829E-2</v>
      </c>
      <c r="I42" s="2">
        <f>VLOOKUP(A:A,MASTER!A:E,5,0)</f>
        <v>671</v>
      </c>
      <c r="J42" s="2">
        <f>VLOOKUP(A:A,MASTER!A:J,10,0)</f>
        <v>660</v>
      </c>
      <c r="K42" s="12">
        <f t="shared" si="1"/>
        <v>-1.6393442622950838E-2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0</v>
      </c>
      <c r="P42" s="1">
        <f>VLOOKUP(A:A,MASTER!A:H,8,0)</f>
        <v>2</v>
      </c>
      <c r="Q42" s="12">
        <f t="shared" si="3"/>
        <v>0</v>
      </c>
      <c r="R42" s="1">
        <f>VLOOKUP(A:A,MASTER!A:B,2,0)</f>
        <v>830</v>
      </c>
      <c r="S42">
        <f>VLOOKUP(A:A,MASTER!A:G,7,0)</f>
        <v>765</v>
      </c>
      <c r="T42" s="12">
        <f t="shared" si="4"/>
        <v>-7.8313253012048167E-2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3003303.8863918618</v>
      </c>
      <c r="G43" s="1">
        <f>VLOOKUP(A:A,MASTER!A:K,11,0)</f>
        <v>2435645.6800864781</v>
      </c>
      <c r="H43" s="12">
        <f t="shared" si="0"/>
        <v>-0.18901124487517729</v>
      </c>
      <c r="I43" s="2">
        <f>VLOOKUP(A:A,MASTER!A:E,5,0)</f>
        <v>790</v>
      </c>
      <c r="J43" s="2">
        <f>VLOOKUP(A:A,MASTER!A:J,10,0)</f>
        <v>605</v>
      </c>
      <c r="K43" s="12">
        <f t="shared" si="1"/>
        <v>-0.23417721518987344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0</v>
      </c>
      <c r="P43" s="1">
        <f>VLOOKUP(A:A,MASTER!A:H,8,0)</f>
        <v>0</v>
      </c>
      <c r="Q43" s="12">
        <f t="shared" si="3"/>
        <v>0</v>
      </c>
      <c r="R43" s="1">
        <f>VLOOKUP(A:A,MASTER!A:B,2,0)</f>
        <v>674</v>
      </c>
      <c r="S43">
        <f>VLOOKUP(A:A,MASTER!A:G,7,0)</f>
        <v>714</v>
      </c>
      <c r="T43" s="12">
        <f t="shared" si="4"/>
        <v>5.9347181008902128E-2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2266285.231562505</v>
      </c>
      <c r="G44" s="1">
        <f>VLOOKUP(A:A,MASTER!A:K,11,0)</f>
        <v>2248564.3186675361</v>
      </c>
      <c r="H44" s="12">
        <f t="shared" si="0"/>
        <v>-7.8193656509648601E-3</v>
      </c>
      <c r="I44" s="2">
        <f>VLOOKUP(A:A,MASTER!A:E,5,0)</f>
        <v>731</v>
      </c>
      <c r="J44" s="2">
        <f>VLOOKUP(A:A,MASTER!A:J,10,0)</f>
        <v>747</v>
      </c>
      <c r="K44" s="12">
        <f t="shared" si="1"/>
        <v>2.188782489740082E-2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695</v>
      </c>
      <c r="S44">
        <f>VLOOKUP(A:A,MASTER!A:G,7,0)</f>
        <v>784</v>
      </c>
      <c r="T44" s="12">
        <f t="shared" si="4"/>
        <v>0.12805755395683449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7274311.6983727794</v>
      </c>
      <c r="G45" s="1">
        <f>VLOOKUP(A:A,MASTER!A:K,11,0)</f>
        <v>8534944.728233153</v>
      </c>
      <c r="H45" s="12">
        <f t="shared" si="0"/>
        <v>0.17329928687856055</v>
      </c>
      <c r="I45" s="2">
        <f>VLOOKUP(A:A,MASTER!A:E,5,0)</f>
        <v>1072</v>
      </c>
      <c r="J45" s="2">
        <f>VLOOKUP(A:A,MASTER!A:J,10,0)</f>
        <v>1155</v>
      </c>
      <c r="K45" s="12">
        <f t="shared" si="1"/>
        <v>7.7425373134328401E-2</v>
      </c>
      <c r="L45" s="2">
        <f>VLOOKUP(A:A,MASTER!A:D,4,0)</f>
        <v>4</v>
      </c>
      <c r="M45" s="2">
        <f>VLOOKUP(A:A,MASTER!A:I,9,0)</f>
        <v>6</v>
      </c>
      <c r="N45" s="12">
        <f t="shared" si="2"/>
        <v>0.5</v>
      </c>
      <c r="O45" s="1">
        <f>VLOOKUP(A:A,MASTER!A:C,3,0)</f>
        <v>0</v>
      </c>
      <c r="P45" s="1">
        <f>VLOOKUP(A:A,MASTER!A:H,8,0)</f>
        <v>1</v>
      </c>
      <c r="Q45" s="12">
        <f t="shared" si="3"/>
        <v>0</v>
      </c>
      <c r="R45" s="1">
        <f>VLOOKUP(A:A,MASTER!A:B,2,0)</f>
        <v>1237</v>
      </c>
      <c r="S45">
        <f>VLOOKUP(A:A,MASTER!A:G,7,0)</f>
        <v>1263</v>
      </c>
      <c r="T45" s="12">
        <f t="shared" si="4"/>
        <v>2.1018593371058936E-2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3463740.2241515219</v>
      </c>
      <c r="G46" s="1">
        <f>VLOOKUP(A:A,MASTER!A:K,11,0)</f>
        <v>3398244.8252335079</v>
      </c>
      <c r="H46" s="12">
        <f t="shared" si="0"/>
        <v>-1.8908865757696347E-2</v>
      </c>
      <c r="I46" s="2">
        <f>VLOOKUP(A:A,MASTER!A:E,5,0)</f>
        <v>897</v>
      </c>
      <c r="J46" s="2">
        <f>VLOOKUP(A:A,MASTER!A:J,10,0)</f>
        <v>925</v>
      </c>
      <c r="K46" s="12">
        <f t="shared" si="1"/>
        <v>3.1215161649944312E-2</v>
      </c>
      <c r="L46" s="2">
        <f>VLOOKUP(A:A,MASTER!A:D,4,0)</f>
        <v>5</v>
      </c>
      <c r="M46" s="2">
        <f>VLOOKUP(A:A,MASTER!A:I,9,0)</f>
        <v>3</v>
      </c>
      <c r="N46" s="12">
        <f t="shared" si="2"/>
        <v>-0.4</v>
      </c>
      <c r="O46" s="1">
        <f>VLOOKUP(A:A,MASTER!A:C,3,0)</f>
        <v>0</v>
      </c>
      <c r="P46" s="1">
        <f>VLOOKUP(A:A,MASTER!A:H,8,0)</f>
        <v>0</v>
      </c>
      <c r="Q46" s="12">
        <f t="shared" si="3"/>
        <v>0</v>
      </c>
      <c r="R46" s="1">
        <f>VLOOKUP(A:A,MASTER!A:B,2,0)</f>
        <v>899</v>
      </c>
      <c r="S46">
        <f>VLOOKUP(A:A,MASTER!A:G,7,0)</f>
        <v>954</v>
      </c>
      <c r="T46" s="12">
        <f t="shared" si="4"/>
        <v>6.1179087875417038E-2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5835070.6143912291</v>
      </c>
      <c r="G47" s="1">
        <f>VLOOKUP(A:A,MASTER!A:K,11,0)</f>
        <v>6299322.3928717198</v>
      </c>
      <c r="H47" s="12">
        <f t="shared" si="0"/>
        <v>7.9562323947801161E-2</v>
      </c>
      <c r="I47" s="2">
        <f>VLOOKUP(A:A,MASTER!A:E,5,0)</f>
        <v>991</v>
      </c>
      <c r="J47" s="2">
        <f>VLOOKUP(A:A,MASTER!A:J,10,0)</f>
        <v>1080</v>
      </c>
      <c r="K47" s="12">
        <f t="shared" si="1"/>
        <v>8.9808274470231986E-2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0</v>
      </c>
      <c r="P47" s="1">
        <f>VLOOKUP(A:A,MASTER!A:H,8,0)</f>
        <v>0</v>
      </c>
      <c r="Q47" s="12">
        <f t="shared" si="3"/>
        <v>0</v>
      </c>
      <c r="R47" s="1">
        <f>VLOOKUP(A:A,MASTER!A:B,2,0)</f>
        <v>1330</v>
      </c>
      <c r="S47">
        <f>VLOOKUP(A:A,MASTER!A:G,7,0)</f>
        <v>1444</v>
      </c>
      <c r="T47" s="12">
        <f t="shared" si="4"/>
        <v>8.5714285714285632E-2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3352063.8267784659</v>
      </c>
      <c r="G48" s="1">
        <f>VLOOKUP(A:A,MASTER!A:K,11,0)</f>
        <v>3055918.637868701</v>
      </c>
      <c r="H48" s="12">
        <f t="shared" si="0"/>
        <v>-8.8347121121013394E-2</v>
      </c>
      <c r="I48" s="2">
        <f>VLOOKUP(A:A,MASTER!A:E,5,0)</f>
        <v>397</v>
      </c>
      <c r="J48" s="2">
        <f>VLOOKUP(A:A,MASTER!A:J,10,0)</f>
        <v>393</v>
      </c>
      <c r="K48" s="12">
        <f t="shared" si="1"/>
        <v>-1.0075566750629705E-2</v>
      </c>
      <c r="L48" s="2">
        <f>VLOOKUP(A:A,MASTER!A:D,4,0)</f>
        <v>5</v>
      </c>
      <c r="M48" s="2">
        <f>VLOOKUP(A:A,MASTER!A:I,9,0)</f>
        <v>5</v>
      </c>
      <c r="N48" s="12">
        <f t="shared" si="2"/>
        <v>0</v>
      </c>
      <c r="O48" s="1">
        <f>VLOOKUP(A:A,MASTER!A:C,3,0)</f>
        <v>0</v>
      </c>
      <c r="P48" s="1">
        <f>VLOOKUP(A:A,MASTER!A:H,8,0)</f>
        <v>1</v>
      </c>
      <c r="Q48" s="12">
        <f t="shared" si="3"/>
        <v>0</v>
      </c>
      <c r="R48" s="1">
        <f>VLOOKUP(A:A,MASTER!A:B,2,0)</f>
        <v>482</v>
      </c>
      <c r="S48">
        <f>VLOOKUP(A:A,MASTER!A:G,7,0)</f>
        <v>437</v>
      </c>
      <c r="T48" s="12">
        <f t="shared" si="4"/>
        <v>-9.3360995850622408E-2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2581513.7041161391</v>
      </c>
      <c r="G49" s="1">
        <f>VLOOKUP(A:A,MASTER!A:K,11,0)</f>
        <v>2474332.9289486958</v>
      </c>
      <c r="H49" s="12">
        <f t="shared" si="0"/>
        <v>-4.1518576870828605E-2</v>
      </c>
      <c r="I49" s="2">
        <f>VLOOKUP(A:A,MASTER!A:E,5,0)</f>
        <v>332</v>
      </c>
      <c r="J49" s="2">
        <f>VLOOKUP(A:A,MASTER!A:J,10,0)</f>
        <v>334</v>
      </c>
      <c r="K49" s="12">
        <f t="shared" si="1"/>
        <v>6.0240963855422436E-3</v>
      </c>
      <c r="L49" s="2">
        <f>VLOOKUP(A:A,MASTER!A:D,4,0)</f>
        <v>5</v>
      </c>
      <c r="M49" s="2">
        <f>VLOOKUP(A:A,MASTER!A:I,9,0)</f>
        <v>3</v>
      </c>
      <c r="N49" s="12">
        <f t="shared" si="2"/>
        <v>-0.4</v>
      </c>
      <c r="O49" s="1">
        <f>VLOOKUP(A:A,MASTER!A:C,3,0)</f>
        <v>0</v>
      </c>
      <c r="P49" s="1">
        <f>VLOOKUP(A:A,MASTER!A:H,8,0)</f>
        <v>1</v>
      </c>
      <c r="Q49" s="12">
        <f t="shared" si="3"/>
        <v>0</v>
      </c>
      <c r="R49" s="1">
        <f>VLOOKUP(A:A,MASTER!A:B,2,0)</f>
        <v>457</v>
      </c>
      <c r="S49">
        <f>VLOOKUP(A:A,MASTER!A:G,7,0)</f>
        <v>399</v>
      </c>
      <c r="T49" s="12">
        <f t="shared" si="4"/>
        <v>-0.12691466083150982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2247592.5186191709</v>
      </c>
      <c r="G50" s="1">
        <f>VLOOKUP(A:A,MASTER!A:K,11,0)</f>
        <v>2113683.7262563398</v>
      </c>
      <c r="H50" s="12">
        <f t="shared" si="0"/>
        <v>-5.9578767616248807E-2</v>
      </c>
      <c r="I50" s="2">
        <f>VLOOKUP(A:A,MASTER!A:E,5,0)</f>
        <v>352</v>
      </c>
      <c r="J50" s="2">
        <f>VLOOKUP(A:A,MASTER!A:J,10,0)</f>
        <v>350</v>
      </c>
      <c r="K50" s="12">
        <f t="shared" si="1"/>
        <v>-5.6818181818182323E-3</v>
      </c>
      <c r="L50" s="2">
        <f>VLOOKUP(A:A,MASTER!A:D,4,0)</f>
        <v>3</v>
      </c>
      <c r="M50" s="2">
        <f>VLOOKUP(A:A,MASTER!A:I,9,0)</f>
        <v>2</v>
      </c>
      <c r="N50" s="12">
        <f t="shared" si="2"/>
        <v>-0.33333333333333337</v>
      </c>
      <c r="O50" s="1">
        <f>VLOOKUP(A:A,MASTER!A:C,3,0)</f>
        <v>0</v>
      </c>
      <c r="P50" s="1">
        <f>VLOOKUP(A:A,MASTER!A:H,8,0)</f>
        <v>0</v>
      </c>
      <c r="Q50" s="12">
        <f t="shared" si="3"/>
        <v>0</v>
      </c>
      <c r="R50" s="1">
        <f>VLOOKUP(A:A,MASTER!A:B,2,0)</f>
        <v>425</v>
      </c>
      <c r="S50">
        <f>VLOOKUP(A:A,MASTER!A:G,7,0)</f>
        <v>396</v>
      </c>
      <c r="T50" s="12">
        <f t="shared" si="4"/>
        <v>-6.8235294117647061E-2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4571772.4200392878</v>
      </c>
      <c r="G51" s="1">
        <f>VLOOKUP(A:A,MASTER!A:K,11,0)</f>
        <v>5068103.4100936558</v>
      </c>
      <c r="H51" s="12">
        <f t="shared" si="0"/>
        <v>0.10856423821072503</v>
      </c>
      <c r="I51" s="2">
        <f>VLOOKUP(A:A,MASTER!A:E,5,0)</f>
        <v>927</v>
      </c>
      <c r="J51" s="2">
        <f>VLOOKUP(A:A,MASTER!A:J,10,0)</f>
        <v>955</v>
      </c>
      <c r="K51" s="12">
        <f t="shared" si="1"/>
        <v>3.0204962243797207E-2</v>
      </c>
      <c r="L51" s="2">
        <f>VLOOKUP(A:A,MASTER!A:D,4,0)</f>
        <v>0</v>
      </c>
      <c r="M51" s="2">
        <f>VLOOKUP(A:A,MASTER!A:I,9,0)</f>
        <v>0</v>
      </c>
      <c r="N51" s="12">
        <f t="shared" si="2"/>
        <v>0</v>
      </c>
      <c r="O51" s="1">
        <f>VLOOKUP(A:A,MASTER!A:C,3,0)</f>
        <v>0</v>
      </c>
      <c r="P51" s="1">
        <f>VLOOKUP(A:A,MASTER!A:H,8,0)</f>
        <v>1</v>
      </c>
      <c r="Q51" s="12">
        <f t="shared" si="3"/>
        <v>0</v>
      </c>
      <c r="R51" s="1">
        <f>VLOOKUP(A:A,MASTER!A:B,2,0)</f>
        <v>1117</v>
      </c>
      <c r="S51">
        <f>VLOOKUP(A:A,MASTER!A:G,7,0)</f>
        <v>1031</v>
      </c>
      <c r="T51" s="12">
        <f t="shared" si="4"/>
        <v>-7.6991942703670491E-2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3519452.3522033789</v>
      </c>
      <c r="G52" s="1">
        <f>VLOOKUP(A:A,MASTER!A:K,11,0)</f>
        <v>4937700.3004492121</v>
      </c>
      <c r="H52" s="12">
        <f t="shared" si="0"/>
        <v>0.40297404434469142</v>
      </c>
      <c r="I52" s="2">
        <f>VLOOKUP(A:A,MASTER!A:E,5,0)</f>
        <v>713</v>
      </c>
      <c r="J52" s="2">
        <f>VLOOKUP(A:A,MASTER!A:J,10,0)</f>
        <v>902</v>
      </c>
      <c r="K52" s="12">
        <f t="shared" si="1"/>
        <v>0.26507713884992978</v>
      </c>
      <c r="L52" s="2">
        <f>VLOOKUP(A:A,MASTER!A:D,4,0)</f>
        <v>1</v>
      </c>
      <c r="M52" s="2">
        <f>VLOOKUP(A:A,MASTER!A:I,9,0)</f>
        <v>2</v>
      </c>
      <c r="N52" s="12">
        <f t="shared" si="2"/>
        <v>1</v>
      </c>
      <c r="O52" s="1">
        <f>VLOOKUP(A:A,MASTER!A:C,3,0)</f>
        <v>0</v>
      </c>
      <c r="P52" s="1">
        <f>VLOOKUP(A:A,MASTER!A:H,8,0)</f>
        <v>2</v>
      </c>
      <c r="Q52" s="12">
        <f t="shared" si="3"/>
        <v>0</v>
      </c>
      <c r="R52" s="1">
        <f>VLOOKUP(A:A,MASTER!A:B,2,0)</f>
        <v>953</v>
      </c>
      <c r="S52">
        <f>VLOOKUP(A:A,MASTER!A:G,7,0)</f>
        <v>1015</v>
      </c>
      <c r="T52" s="12">
        <f t="shared" si="4"/>
        <v>6.5057712486883634E-2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9665281.4774111714</v>
      </c>
      <c r="G53" s="1">
        <f>VLOOKUP(A:A,MASTER!A:K,11,0)</f>
        <v>8679277.7341568563</v>
      </c>
      <c r="H53" s="12">
        <f t="shared" si="0"/>
        <v>-0.1020150055183302</v>
      </c>
      <c r="I53" s="2">
        <f>VLOOKUP(A:A,MASTER!A:E,5,0)</f>
        <v>1792</v>
      </c>
      <c r="J53" s="2">
        <f>VLOOKUP(A:A,MASTER!A:J,10,0)</f>
        <v>1650</v>
      </c>
      <c r="K53" s="12">
        <f t="shared" si="1"/>
        <v>-7.9241071428571397E-2</v>
      </c>
      <c r="L53" s="2">
        <f>VLOOKUP(A:A,MASTER!A:D,4,0)</f>
        <v>8</v>
      </c>
      <c r="M53" s="2">
        <f>VLOOKUP(A:A,MASTER!A:I,9,0)</f>
        <v>9</v>
      </c>
      <c r="N53" s="12">
        <f t="shared" si="2"/>
        <v>0.125</v>
      </c>
      <c r="O53" s="1">
        <f>VLOOKUP(A:A,MASTER!A:C,3,0)</f>
        <v>1</v>
      </c>
      <c r="P53" s="1">
        <f>VLOOKUP(A:A,MASTER!A:H,8,0)</f>
        <v>3</v>
      </c>
      <c r="Q53" s="12">
        <f t="shared" si="3"/>
        <v>2</v>
      </c>
      <c r="R53" s="1">
        <f>VLOOKUP(A:A,MASTER!A:B,2,0)</f>
        <v>2015</v>
      </c>
      <c r="S53">
        <f>VLOOKUP(A:A,MASTER!A:G,7,0)</f>
        <v>1943</v>
      </c>
      <c r="T53" s="12">
        <f t="shared" si="4"/>
        <v>-3.5732009925558361E-2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1921742.156375498</v>
      </c>
      <c r="G54" s="1">
        <f>VLOOKUP(A:A,MASTER!A:K,11,0)</f>
        <v>2513363.161744447</v>
      </c>
      <c r="H54" s="12">
        <f t="shared" si="0"/>
        <v>0.30785659949552002</v>
      </c>
      <c r="I54" s="2">
        <f>VLOOKUP(A:A,MASTER!A:E,5,0)</f>
        <v>554</v>
      </c>
      <c r="J54" s="2">
        <f>VLOOKUP(A:A,MASTER!A:J,10,0)</f>
        <v>639</v>
      </c>
      <c r="K54" s="12">
        <f t="shared" si="1"/>
        <v>0.1534296028880866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0</v>
      </c>
      <c r="P54" s="1">
        <f>VLOOKUP(A:A,MASTER!A:H,8,0)</f>
        <v>1</v>
      </c>
      <c r="Q54" s="12">
        <f t="shared" si="3"/>
        <v>0</v>
      </c>
      <c r="R54" s="1">
        <f>VLOOKUP(A:A,MASTER!A:B,2,0)</f>
        <v>679</v>
      </c>
      <c r="S54">
        <f>VLOOKUP(A:A,MASTER!A:G,7,0)</f>
        <v>655</v>
      </c>
      <c r="T54" s="12">
        <f t="shared" si="4"/>
        <v>-3.534609720176729E-2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3483339.8112439979</v>
      </c>
      <c r="G55" s="1">
        <f>VLOOKUP(A:A,MASTER!A:K,11,0)</f>
        <v>4172621.4861221388</v>
      </c>
      <c r="H55" s="12">
        <f t="shared" si="0"/>
        <v>0.19787953866952157</v>
      </c>
      <c r="I55" s="2">
        <f>VLOOKUP(A:A,MASTER!A:E,5,0)</f>
        <v>773</v>
      </c>
      <c r="J55" s="2">
        <f>VLOOKUP(A:A,MASTER!A:J,10,0)</f>
        <v>784</v>
      </c>
      <c r="K55" s="12">
        <f t="shared" si="1"/>
        <v>1.4230271668822736E-2</v>
      </c>
      <c r="L55" s="2">
        <f>VLOOKUP(A:A,MASTER!A:D,4,0)</f>
        <v>5</v>
      </c>
      <c r="M55" s="2">
        <f>VLOOKUP(A:A,MASTER!A:I,9,0)</f>
        <v>4</v>
      </c>
      <c r="N55" s="12">
        <f t="shared" si="2"/>
        <v>-0.19999999999999996</v>
      </c>
      <c r="O55" s="1">
        <f>VLOOKUP(A:A,MASTER!A:C,3,0)</f>
        <v>1</v>
      </c>
      <c r="P55" s="1">
        <f>VLOOKUP(A:A,MASTER!A:H,8,0)</f>
        <v>0</v>
      </c>
      <c r="Q55" s="12">
        <f t="shared" si="3"/>
        <v>-1</v>
      </c>
      <c r="R55" s="1">
        <f>VLOOKUP(A:A,MASTER!A:B,2,0)</f>
        <v>861</v>
      </c>
      <c r="S55">
        <f>VLOOKUP(A:A,MASTER!A:G,7,0)</f>
        <v>947</v>
      </c>
      <c r="T55" s="12">
        <f t="shared" si="4"/>
        <v>9.9883855981417025E-2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2457382.1547172791</v>
      </c>
      <c r="G56" s="1">
        <f>VLOOKUP(A:A,MASTER!A:K,11,0)</f>
        <v>2527962.0009857891</v>
      </c>
      <c r="H56" s="12">
        <f t="shared" si="0"/>
        <v>2.8721558888601173E-2</v>
      </c>
      <c r="I56" s="2">
        <f>VLOOKUP(A:A,MASTER!A:E,5,0)</f>
        <v>684</v>
      </c>
      <c r="J56" s="2">
        <f>VLOOKUP(A:A,MASTER!A:J,10,0)</f>
        <v>636</v>
      </c>
      <c r="K56" s="12">
        <f t="shared" si="1"/>
        <v>-7.0175438596491224E-2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0</v>
      </c>
      <c r="P56" s="1">
        <f>VLOOKUP(A:A,MASTER!A:H,8,0)</f>
        <v>0</v>
      </c>
      <c r="Q56" s="12">
        <f t="shared" si="3"/>
        <v>0</v>
      </c>
      <c r="R56" s="1">
        <f>VLOOKUP(A:A,MASTER!A:B,2,0)</f>
        <v>760</v>
      </c>
      <c r="S56">
        <f>VLOOKUP(A:A,MASTER!A:G,7,0)</f>
        <v>727</v>
      </c>
      <c r="T56" s="12">
        <f t="shared" si="4"/>
        <v>-4.3421052631578916E-2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4997554.9460497582</v>
      </c>
      <c r="G57" s="1">
        <f>VLOOKUP(A:A,MASTER!A:K,11,0)</f>
        <v>5315662.0267726416</v>
      </c>
      <c r="H57" s="12">
        <f t="shared" si="0"/>
        <v>6.3652542924880873E-2</v>
      </c>
      <c r="I57" s="2">
        <f>VLOOKUP(A:A,MASTER!A:E,5,0)</f>
        <v>1049</v>
      </c>
      <c r="J57" s="2">
        <f>VLOOKUP(A:A,MASTER!A:J,10,0)</f>
        <v>999</v>
      </c>
      <c r="K57" s="12">
        <f t="shared" si="1"/>
        <v>-4.7664442326024736E-2</v>
      </c>
      <c r="L57" s="2">
        <f>VLOOKUP(A:A,MASTER!A:D,4,0)</f>
        <v>0</v>
      </c>
      <c r="M57" s="2">
        <f>VLOOKUP(A:A,MASTER!A:I,9,0)</f>
        <v>0</v>
      </c>
      <c r="N57" s="12">
        <f t="shared" si="2"/>
        <v>0</v>
      </c>
      <c r="O57" s="1">
        <f>VLOOKUP(A:A,MASTER!A:C,3,0)</f>
        <v>1</v>
      </c>
      <c r="P57" s="1">
        <f>VLOOKUP(A:A,MASTER!A:H,8,0)</f>
        <v>0</v>
      </c>
      <c r="Q57" s="12">
        <f t="shared" si="3"/>
        <v>-1</v>
      </c>
      <c r="R57" s="1">
        <f>VLOOKUP(A:A,MASTER!A:B,2,0)</f>
        <v>1099</v>
      </c>
      <c r="S57">
        <f>VLOOKUP(A:A,MASTER!A:G,7,0)</f>
        <v>1068</v>
      </c>
      <c r="T57" s="12">
        <f t="shared" si="4"/>
        <v>-2.8207461328480399E-2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5938836.022959522</v>
      </c>
      <c r="G58" s="1">
        <f>VLOOKUP(A:A,MASTER!A:K,11,0)</f>
        <v>7285094.0026759794</v>
      </c>
      <c r="H58" s="12">
        <f t="shared" si="0"/>
        <v>0.22668717817966821</v>
      </c>
      <c r="I58" s="2">
        <f>VLOOKUP(A:A,MASTER!A:E,5,0)</f>
        <v>1400</v>
      </c>
      <c r="J58" s="2">
        <f>VLOOKUP(A:A,MASTER!A:J,10,0)</f>
        <v>1531</v>
      </c>
      <c r="K58" s="12">
        <f t="shared" si="1"/>
        <v>9.3571428571428639E-2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0</v>
      </c>
      <c r="P58" s="1">
        <f>VLOOKUP(A:A,MASTER!A:H,8,0)</f>
        <v>1</v>
      </c>
      <c r="Q58" s="12">
        <f t="shared" si="3"/>
        <v>0</v>
      </c>
      <c r="R58" s="1">
        <f>VLOOKUP(A:A,MASTER!A:B,2,0)</f>
        <v>1340</v>
      </c>
      <c r="S58">
        <f>VLOOKUP(A:A,MASTER!A:G,7,0)</f>
        <v>1676</v>
      </c>
      <c r="T58" s="12">
        <f t="shared" si="4"/>
        <v>0.25074626865671634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3195791.850343734</v>
      </c>
      <c r="G59" s="1">
        <f>VLOOKUP(A:A,MASTER!A:K,11,0)</f>
        <v>3454942.3357604439</v>
      </c>
      <c r="H59" s="12">
        <f t="shared" si="0"/>
        <v>8.1091165367618068E-2</v>
      </c>
      <c r="I59" s="2">
        <f>VLOOKUP(A:A,MASTER!A:E,5,0)</f>
        <v>681</v>
      </c>
      <c r="J59" s="2">
        <f>VLOOKUP(A:A,MASTER!A:J,10,0)</f>
        <v>755</v>
      </c>
      <c r="K59" s="12">
        <f t="shared" si="1"/>
        <v>0.10866372980910421</v>
      </c>
      <c r="L59" s="2">
        <f>VLOOKUP(A:A,MASTER!A:D,4,0)</f>
        <v>3</v>
      </c>
      <c r="M59" s="2">
        <f>VLOOKUP(A:A,MASTER!A:I,9,0)</f>
        <v>5</v>
      </c>
      <c r="N59" s="12">
        <f t="shared" si="2"/>
        <v>0.66666666666666674</v>
      </c>
      <c r="O59" s="1">
        <f>VLOOKUP(A:A,MASTER!A:C,3,0)</f>
        <v>0</v>
      </c>
      <c r="P59" s="1">
        <f>VLOOKUP(A:A,MASTER!A:H,8,0)</f>
        <v>0</v>
      </c>
      <c r="Q59" s="12">
        <f t="shared" si="3"/>
        <v>0</v>
      </c>
      <c r="R59" s="1">
        <f>VLOOKUP(A:A,MASTER!A:B,2,0)</f>
        <v>783</v>
      </c>
      <c r="S59">
        <f>VLOOKUP(A:A,MASTER!A:G,7,0)</f>
        <v>862</v>
      </c>
      <c r="T59" s="12">
        <f t="shared" si="4"/>
        <v>0.10089399744572147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3555417.1306016222</v>
      </c>
      <c r="G60" s="1">
        <f>VLOOKUP(A:A,MASTER!A:K,11,0)</f>
        <v>3701623.364558856</v>
      </c>
      <c r="H60" s="12">
        <f t="shared" si="0"/>
        <v>4.1122104266987591E-2</v>
      </c>
      <c r="I60" s="2">
        <f>VLOOKUP(A:A,MASTER!A:E,5,0)</f>
        <v>474</v>
      </c>
      <c r="J60" s="2">
        <f>VLOOKUP(A:A,MASTER!A:J,10,0)</f>
        <v>479</v>
      </c>
      <c r="K60" s="12">
        <f t="shared" si="1"/>
        <v>1.0548523206751037E-2</v>
      </c>
      <c r="L60" s="2">
        <f>VLOOKUP(A:A,MASTER!A:D,4,0)</f>
        <v>5</v>
      </c>
      <c r="M60" s="2">
        <f>VLOOKUP(A:A,MASTER!A:I,9,0)</f>
        <v>6</v>
      </c>
      <c r="N60" s="12">
        <f t="shared" si="2"/>
        <v>0.19999999999999996</v>
      </c>
      <c r="O60" s="1">
        <f>VLOOKUP(A:A,MASTER!A:C,3,0)</f>
        <v>1</v>
      </c>
      <c r="P60" s="1">
        <f>VLOOKUP(A:A,MASTER!A:H,8,0)</f>
        <v>2</v>
      </c>
      <c r="Q60" s="12">
        <f t="shared" si="3"/>
        <v>1</v>
      </c>
      <c r="R60" s="1">
        <f>VLOOKUP(A:A,MASTER!A:B,2,0)</f>
        <v>666</v>
      </c>
      <c r="S60">
        <f>VLOOKUP(A:A,MASTER!A:G,7,0)</f>
        <v>564</v>
      </c>
      <c r="T60" s="12">
        <f t="shared" si="4"/>
        <v>-0.15315315315315314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11386062.3979028</v>
      </c>
      <c r="G61" s="1">
        <f>VLOOKUP(A:A,MASTER!A:K,11,0)</f>
        <v>11735567.629191903</v>
      </c>
      <c r="H61" s="12">
        <f t="shared" si="0"/>
        <v>3.0695882305499911E-2</v>
      </c>
      <c r="I61" s="2">
        <f>VLOOKUP(A:A,MASTER!A:E,5,0)</f>
        <v>1693</v>
      </c>
      <c r="J61" s="2">
        <f>VLOOKUP(A:A,MASTER!A:J,10,0)</f>
        <v>1651</v>
      </c>
      <c r="K61" s="12">
        <f t="shared" si="1"/>
        <v>-2.4808033077377445E-2</v>
      </c>
      <c r="L61" s="2">
        <f>VLOOKUP(A:A,MASTER!A:D,4,0)</f>
        <v>10</v>
      </c>
      <c r="M61" s="2">
        <f>VLOOKUP(A:A,MASTER!A:I,9,0)</f>
        <v>9</v>
      </c>
      <c r="N61" s="12">
        <f t="shared" si="2"/>
        <v>-9.9999999999999978E-2</v>
      </c>
      <c r="O61" s="1">
        <f>VLOOKUP(A:A,MASTER!A:C,3,0)</f>
        <v>0</v>
      </c>
      <c r="P61" s="1">
        <f>VLOOKUP(A:A,MASTER!A:H,8,0)</f>
        <v>2</v>
      </c>
      <c r="Q61" s="12">
        <f t="shared" si="3"/>
        <v>0</v>
      </c>
      <c r="R61" s="1">
        <f>VLOOKUP(A:A,MASTER!A:B,2,0)</f>
        <v>2022</v>
      </c>
      <c r="S61">
        <f>VLOOKUP(A:A,MASTER!A:G,7,0)</f>
        <v>1999</v>
      </c>
      <c r="T61" s="12">
        <f t="shared" si="4"/>
        <v>-1.1374876360039532E-2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7757869.2165903812</v>
      </c>
      <c r="G62" s="1">
        <f>VLOOKUP(A:A,MASTER!A:K,11,0)</f>
        <v>8803420.1098681837</v>
      </c>
      <c r="H62" s="12">
        <f t="shared" si="0"/>
        <v>0.13477294655107985</v>
      </c>
      <c r="I62" s="2">
        <f>VLOOKUP(A:A,MASTER!A:E,5,0)</f>
        <v>1159</v>
      </c>
      <c r="J62" s="2">
        <f>VLOOKUP(A:A,MASTER!A:J,10,0)</f>
        <v>1250</v>
      </c>
      <c r="K62" s="12">
        <f t="shared" si="1"/>
        <v>7.8515962036238118E-2</v>
      </c>
      <c r="L62" s="2">
        <f>VLOOKUP(A:A,MASTER!A:D,4,0)</f>
        <v>6</v>
      </c>
      <c r="M62" s="2">
        <f>VLOOKUP(A:A,MASTER!A:I,9,0)</f>
        <v>6</v>
      </c>
      <c r="N62" s="12">
        <f t="shared" si="2"/>
        <v>0</v>
      </c>
      <c r="O62" s="1">
        <f>VLOOKUP(A:A,MASTER!A:C,3,0)</f>
        <v>1</v>
      </c>
      <c r="P62" s="1">
        <f>VLOOKUP(A:A,MASTER!A:H,8,0)</f>
        <v>3</v>
      </c>
      <c r="Q62" s="12">
        <f t="shared" si="3"/>
        <v>2</v>
      </c>
      <c r="R62" s="1">
        <f>VLOOKUP(A:A,MASTER!A:B,2,0)</f>
        <v>1559</v>
      </c>
      <c r="S62">
        <f>VLOOKUP(A:A,MASTER!A:G,7,0)</f>
        <v>1612</v>
      </c>
      <c r="T62" s="12">
        <f t="shared" si="4"/>
        <v>3.3996151379089179E-2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5648568.6531709414</v>
      </c>
      <c r="G63" s="1">
        <f>VLOOKUP(A:A,MASTER!A:K,11,0)</f>
        <v>6137414.9424861614</v>
      </c>
      <c r="H63" s="12">
        <f t="shared" si="0"/>
        <v>8.6543391668046032E-2</v>
      </c>
      <c r="I63" s="2">
        <f>VLOOKUP(A:A,MASTER!A:E,5,0)</f>
        <v>731</v>
      </c>
      <c r="J63" s="2">
        <f>VLOOKUP(A:A,MASTER!A:J,10,0)</f>
        <v>736</v>
      </c>
      <c r="K63" s="12">
        <f t="shared" si="1"/>
        <v>6.8399452804377425E-3</v>
      </c>
      <c r="L63" s="2">
        <f>VLOOKUP(A:A,MASTER!A:D,4,0)</f>
        <v>0</v>
      </c>
      <c r="M63" s="2">
        <f>VLOOKUP(A:A,MASTER!A:I,9,0)</f>
        <v>1</v>
      </c>
      <c r="N63" s="12">
        <f t="shared" si="2"/>
        <v>0</v>
      </c>
      <c r="O63" s="1">
        <f>VLOOKUP(A:A,MASTER!A:C,3,0)</f>
        <v>1</v>
      </c>
      <c r="P63" s="1">
        <f>VLOOKUP(A:A,MASTER!A:H,8,0)</f>
        <v>0</v>
      </c>
      <c r="Q63" s="12">
        <f t="shared" si="3"/>
        <v>-1</v>
      </c>
      <c r="R63" s="1">
        <f>VLOOKUP(A:A,MASTER!A:B,2,0)</f>
        <v>875</v>
      </c>
      <c r="S63">
        <f>VLOOKUP(A:A,MASTER!A:G,7,0)</f>
        <v>933</v>
      </c>
      <c r="T63" s="12">
        <f t="shared" si="4"/>
        <v>6.6285714285714281E-2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8058340.5278196167</v>
      </c>
      <c r="G64" s="1">
        <f>VLOOKUP(A:A,MASTER!A:K,11,0)</f>
        <v>8098419.0821462711</v>
      </c>
      <c r="H64" s="12">
        <f t="shared" si="0"/>
        <v>4.9735493540254971E-3</v>
      </c>
      <c r="I64" s="2">
        <f>VLOOKUP(A:A,MASTER!A:E,5,0)</f>
        <v>1356</v>
      </c>
      <c r="J64" s="2">
        <f>VLOOKUP(A:A,MASTER!A:J,10,0)</f>
        <v>1354</v>
      </c>
      <c r="K64" s="12">
        <f t="shared" si="1"/>
        <v>-1.4749262536872809E-3</v>
      </c>
      <c r="L64" s="2">
        <f>VLOOKUP(A:A,MASTER!A:D,4,0)</f>
        <v>12</v>
      </c>
      <c r="M64" s="2">
        <f>VLOOKUP(A:A,MASTER!A:I,9,0)</f>
        <v>12</v>
      </c>
      <c r="N64" s="12">
        <f t="shared" si="2"/>
        <v>0</v>
      </c>
      <c r="O64" s="1">
        <f>VLOOKUP(A:A,MASTER!A:C,3,0)</f>
        <v>3</v>
      </c>
      <c r="P64" s="1">
        <f>VLOOKUP(A:A,MASTER!A:H,8,0)</f>
        <v>80</v>
      </c>
      <c r="Q64" s="12">
        <f t="shared" si="3"/>
        <v>25.666666666666668</v>
      </c>
      <c r="R64" s="1">
        <f>VLOOKUP(A:A,MASTER!A:B,2,0)</f>
        <v>2091</v>
      </c>
      <c r="S64">
        <f>VLOOKUP(A:A,MASTER!A:G,7,0)</f>
        <v>2097</v>
      </c>
      <c r="T64" s="12">
        <f t="shared" si="4"/>
        <v>2.8694404591105283E-3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1.0707901399999999</v>
      </c>
      <c r="G65" s="1">
        <f>VLOOKUP(A:A,MASTER!A:K,11,0)</f>
        <v>635672.23814705398</v>
      </c>
      <c r="H65" s="12">
        <f t="shared" si="0"/>
        <v>593646.82547124871</v>
      </c>
      <c r="I65" s="2">
        <f>VLOOKUP(A:A,MASTER!A:E,5,0)</f>
        <v>1</v>
      </c>
      <c r="J65" s="2">
        <f>VLOOKUP(A:A,MASTER!A:J,10,0)</f>
        <v>250</v>
      </c>
      <c r="K65" s="12">
        <f t="shared" si="1"/>
        <v>249</v>
      </c>
      <c r="L65" s="2">
        <f>VLOOKUP(A:A,MASTER!A:D,4,0)</f>
        <v>0</v>
      </c>
      <c r="M65" s="2">
        <f>VLOOKUP(A:A,MASTER!A:I,9,0)</f>
        <v>0</v>
      </c>
      <c r="N65" s="12">
        <f t="shared" si="2"/>
        <v>0</v>
      </c>
      <c r="O65" s="1">
        <f>VLOOKUP(A:A,MASTER!A:C,3,0)</f>
        <v>0</v>
      </c>
      <c r="P65" s="1">
        <f>VLOOKUP(A:A,MASTER!A:H,8,0)</f>
        <v>0</v>
      </c>
      <c r="Q65" s="12">
        <f t="shared" si="3"/>
        <v>0</v>
      </c>
      <c r="R65" s="1">
        <f>VLOOKUP(A:A,MASTER!A:B,2,0)</f>
        <v>259</v>
      </c>
      <c r="S65">
        <f>VLOOKUP(A:A,MASTER!A:G,7,0)</f>
        <v>263</v>
      </c>
      <c r="T65" s="12">
        <f t="shared" si="4"/>
        <v>1.5444015444015413E-2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5088618.1799947424</v>
      </c>
      <c r="G66" s="1">
        <f>VLOOKUP(A:A,MASTER!A:K,11,0)</f>
        <v>5899893.0168545712</v>
      </c>
      <c r="H66" s="12">
        <f t="shared" si="0"/>
        <v>0.15942930048264436</v>
      </c>
      <c r="I66" s="2">
        <f>VLOOKUP(A:A,MASTER!A:E,5,0)</f>
        <v>205</v>
      </c>
      <c r="J66" s="2">
        <f>VLOOKUP(A:A,MASTER!A:J,10,0)</f>
        <v>1567</v>
      </c>
      <c r="K66" s="12">
        <f t="shared" si="1"/>
        <v>6.6439024390243899</v>
      </c>
      <c r="L66" s="2">
        <f>VLOOKUP(A:A,MASTER!A:D,4,0)</f>
        <v>3</v>
      </c>
      <c r="M66" s="2">
        <f>VLOOKUP(A:A,MASTER!A:I,9,0)</f>
        <v>6</v>
      </c>
      <c r="N66" s="12">
        <f t="shared" si="2"/>
        <v>1</v>
      </c>
      <c r="O66" s="1">
        <f>VLOOKUP(A:A,MASTER!A:C,3,0)</f>
        <v>0</v>
      </c>
      <c r="P66" s="1">
        <f>VLOOKUP(A:A,MASTER!A:H,8,0)</f>
        <v>1</v>
      </c>
      <c r="Q66" s="12">
        <f t="shared" si="3"/>
        <v>0</v>
      </c>
      <c r="R66" s="1">
        <f>VLOOKUP(A:A,MASTER!A:B,2,0)</f>
        <v>1676</v>
      </c>
      <c r="S66">
        <f>VLOOKUP(A:A,MASTER!A:G,7,0)</f>
        <v>1825</v>
      </c>
      <c r="T66" s="12">
        <f t="shared" si="4"/>
        <v>8.8902147971360312E-2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2428886.8550216332</v>
      </c>
      <c r="G67" s="1">
        <f>VLOOKUP(A:A,MASTER!A:K,11,0)</f>
        <v>2495713.3272235831</v>
      </c>
      <c r="H67" s="12">
        <f t="shared" ref="H67:H85" si="5">IFERROR(G67/F67-1,0)</f>
        <v>2.7513209215072498E-2</v>
      </c>
      <c r="I67" s="2">
        <f>VLOOKUP(A:A,MASTER!A:E,5,0)</f>
        <v>1504</v>
      </c>
      <c r="J67" s="2">
        <f>VLOOKUP(A:A,MASTER!A:J,10,0)</f>
        <v>572</v>
      </c>
      <c r="K67" s="12">
        <f t="shared" ref="K67:K85" si="6">IFERROR(J67/I67-1,0)</f>
        <v>-0.61968085106382986</v>
      </c>
      <c r="L67" s="2">
        <f>VLOOKUP(A:A,MASTER!A:D,4,0)</f>
        <v>3</v>
      </c>
      <c r="M67" s="2">
        <f>VLOOKUP(A:A,MASTER!A:I,9,0)</f>
        <v>3</v>
      </c>
      <c r="N67" s="12">
        <f t="shared" ref="N67:N85" si="7">IFERROR(M67/L67-1,0)</f>
        <v>0</v>
      </c>
      <c r="O67" s="1">
        <f>VLOOKUP(A:A,MASTER!A:C,3,0)</f>
        <v>0</v>
      </c>
      <c r="P67" s="1">
        <f>VLOOKUP(A:A,MASTER!A:H,8,0)</f>
        <v>0</v>
      </c>
      <c r="Q67" s="12">
        <f t="shared" ref="Q67:Q85" si="8">IFERROR(P67/O67-1,0)</f>
        <v>0</v>
      </c>
      <c r="R67" s="1">
        <f>VLOOKUP(A:A,MASTER!A:B,2,0)</f>
        <v>695</v>
      </c>
      <c r="S67">
        <f>VLOOKUP(A:A,MASTER!A:G,7,0)</f>
        <v>748</v>
      </c>
      <c r="T67" s="12">
        <f t="shared" ref="T67:T85" si="9">IFERROR(S67/R67-1,0)</f>
        <v>7.6258992805755321E-2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4376091.4725618316</v>
      </c>
      <c r="G68" s="1">
        <f>VLOOKUP(A:A,MASTER!A:K,11,0)</f>
        <v>4268871.5791348601</v>
      </c>
      <c r="H68" s="12">
        <f t="shared" si="5"/>
        <v>-2.4501291643294509E-2</v>
      </c>
      <c r="I68" s="2">
        <f>VLOOKUP(A:A,MASTER!A:E,5,0)</f>
        <v>867</v>
      </c>
      <c r="J68" s="2">
        <f>VLOOKUP(A:A,MASTER!A:J,10,0)</f>
        <v>1108</v>
      </c>
      <c r="K68" s="12">
        <f t="shared" si="6"/>
        <v>0.27797001153402534</v>
      </c>
      <c r="L68" s="2">
        <f>VLOOKUP(A:A,MASTER!A:D,4,0)</f>
        <v>4</v>
      </c>
      <c r="M68" s="2">
        <f>VLOOKUP(A:A,MASTER!A:I,9,0)</f>
        <v>5</v>
      </c>
      <c r="N68" s="12">
        <f t="shared" si="7"/>
        <v>0.25</v>
      </c>
      <c r="O68" s="1">
        <f>VLOOKUP(A:A,MASTER!A:C,3,0)</f>
        <v>0</v>
      </c>
      <c r="P68" s="1">
        <f>VLOOKUP(A:A,MASTER!A:H,8,0)</f>
        <v>0</v>
      </c>
      <c r="Q68" s="12">
        <f t="shared" si="8"/>
        <v>0</v>
      </c>
      <c r="R68" s="1">
        <f>VLOOKUP(A:A,MASTER!A:B,2,0)</f>
        <v>1352</v>
      </c>
      <c r="S68">
        <f>VLOOKUP(A:A,MASTER!A:G,7,0)</f>
        <v>1668</v>
      </c>
      <c r="T68" s="12">
        <f t="shared" si="9"/>
        <v>0.23372781065088755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2879271.2472862988</v>
      </c>
      <c r="G69" s="1">
        <f>VLOOKUP(A:A,MASTER!A:K,11,0)</f>
        <v>3605718.8408622979</v>
      </c>
      <c r="H69" s="12">
        <f t="shared" si="5"/>
        <v>0.25230259019905565</v>
      </c>
      <c r="I69" s="2">
        <f>VLOOKUP(A:A,MASTER!A:E,5,0)</f>
        <v>1234</v>
      </c>
      <c r="J69" s="2">
        <f>VLOOKUP(A:A,MASTER!A:J,10,0)</f>
        <v>1401</v>
      </c>
      <c r="K69" s="12">
        <f t="shared" si="6"/>
        <v>0.13533225283630479</v>
      </c>
      <c r="L69" s="2">
        <f>VLOOKUP(A:A,MASTER!A:D,4,0)</f>
        <v>3</v>
      </c>
      <c r="M69" s="2">
        <f>VLOOKUP(A:A,MASTER!A:I,9,0)</f>
        <v>3</v>
      </c>
      <c r="N69" s="12">
        <f t="shared" si="7"/>
        <v>0</v>
      </c>
      <c r="O69" s="1">
        <f>VLOOKUP(A:A,MASTER!A:C,3,0)</f>
        <v>1</v>
      </c>
      <c r="P69" s="1">
        <f>VLOOKUP(A:A,MASTER!A:H,8,0)</f>
        <v>0</v>
      </c>
      <c r="Q69" s="12">
        <f t="shared" si="8"/>
        <v>-1</v>
      </c>
      <c r="R69" s="1">
        <f>VLOOKUP(A:A,MASTER!A:B,2,0)</f>
        <v>1302</v>
      </c>
      <c r="S69">
        <f>VLOOKUP(A:A,MASTER!A:G,7,0)</f>
        <v>1597</v>
      </c>
      <c r="T69" s="12">
        <f t="shared" si="9"/>
        <v>0.22657450076804908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8314089.7730293134</v>
      </c>
      <c r="G70" s="1">
        <f>VLOOKUP(A:A,MASTER!A:K,11,0)</f>
        <v>7787987.9146919688</v>
      </c>
      <c r="H70" s="12">
        <f t="shared" si="5"/>
        <v>-6.3278347083045139E-2</v>
      </c>
      <c r="I70" s="2">
        <f>VLOOKUP(A:A,MASTER!A:E,5,0)</f>
        <v>1207</v>
      </c>
      <c r="J70" s="2">
        <f>VLOOKUP(A:A,MASTER!A:J,10,0)</f>
        <v>1228</v>
      </c>
      <c r="K70" s="12">
        <f t="shared" si="6"/>
        <v>1.73985086992543E-2</v>
      </c>
      <c r="L70" s="2">
        <f>VLOOKUP(A:A,MASTER!A:D,4,0)</f>
        <v>5</v>
      </c>
      <c r="M70" s="2">
        <f>VLOOKUP(A:A,MASTER!A:I,9,0)</f>
        <v>6</v>
      </c>
      <c r="N70" s="12">
        <f t="shared" si="7"/>
        <v>0.19999999999999996</v>
      </c>
      <c r="O70" s="1">
        <f>VLOOKUP(A:A,MASTER!A:C,3,0)</f>
        <v>0</v>
      </c>
      <c r="P70" s="1">
        <f>VLOOKUP(A:A,MASTER!A:H,8,0)</f>
        <v>4</v>
      </c>
      <c r="Q70" s="12">
        <f t="shared" si="8"/>
        <v>0</v>
      </c>
      <c r="R70" s="1">
        <f>VLOOKUP(A:A,MASTER!A:B,2,0)</f>
        <v>1750</v>
      </c>
      <c r="S70">
        <f>VLOOKUP(A:A,MASTER!A:G,7,0)</f>
        <v>1535</v>
      </c>
      <c r="T70" s="12">
        <f t="shared" si="9"/>
        <v>-0.12285714285714289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1424564.5703001081</v>
      </c>
      <c r="G71" s="1">
        <f>VLOOKUP(A:A,MASTER!A:K,11,0)</f>
        <v>1395900.4376752439</v>
      </c>
      <c r="H71" s="12">
        <f t="shared" si="5"/>
        <v>-2.0121329157319678E-2</v>
      </c>
      <c r="I71" s="2">
        <f>VLOOKUP(A:A,MASTER!A:E,5,0)</f>
        <v>472</v>
      </c>
      <c r="J71" s="2">
        <f>VLOOKUP(A:A,MASTER!A:J,10,0)</f>
        <v>417</v>
      </c>
      <c r="K71" s="12">
        <f t="shared" si="6"/>
        <v>-0.11652542372881358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0</v>
      </c>
      <c r="P71" s="1">
        <f>VLOOKUP(A:A,MASTER!A:H,8,0)</f>
        <v>1</v>
      </c>
      <c r="Q71" s="12">
        <f t="shared" si="8"/>
        <v>0</v>
      </c>
      <c r="R71" s="1">
        <f>VLOOKUP(A:A,MASTER!A:B,2,0)</f>
        <v>488</v>
      </c>
      <c r="S71">
        <f>VLOOKUP(A:A,MASTER!A:G,7,0)</f>
        <v>482</v>
      </c>
      <c r="T71" s="12">
        <f t="shared" si="9"/>
        <v>-1.2295081967213073E-2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2280827.8111792081</v>
      </c>
      <c r="G72" s="1">
        <f>VLOOKUP(A:A,MASTER!A:K,11,0)</f>
        <v>2541371.6052585049</v>
      </c>
      <c r="H72" s="12">
        <f t="shared" si="5"/>
        <v>0.11423211905882247</v>
      </c>
      <c r="I72" s="2">
        <f>VLOOKUP(A:A,MASTER!A:E,5,0)</f>
        <v>815</v>
      </c>
      <c r="J72" s="2">
        <f>VLOOKUP(A:A,MASTER!A:J,10,0)</f>
        <v>787</v>
      </c>
      <c r="K72" s="12">
        <f t="shared" si="6"/>
        <v>-3.4355828220858919E-2</v>
      </c>
      <c r="L72" s="2">
        <f>VLOOKUP(A:A,MASTER!A:D,4,0)</f>
        <v>0</v>
      </c>
      <c r="M72" s="2">
        <f>VLOOKUP(A:A,MASTER!A:I,9,0)</f>
        <v>0</v>
      </c>
      <c r="N72" s="12">
        <f t="shared" si="7"/>
        <v>0</v>
      </c>
      <c r="O72" s="1">
        <f>VLOOKUP(A:A,MASTER!A:C,3,0)</f>
        <v>1</v>
      </c>
      <c r="P72" s="1">
        <f>VLOOKUP(A:A,MASTER!A:H,8,0)</f>
        <v>1</v>
      </c>
      <c r="Q72" s="12">
        <f t="shared" si="8"/>
        <v>0</v>
      </c>
      <c r="R72" s="1">
        <f>VLOOKUP(A:A,MASTER!A:B,2,0)</f>
        <v>896</v>
      </c>
      <c r="S72">
        <f>VLOOKUP(A:A,MASTER!A:G,7,0)</f>
        <v>777</v>
      </c>
      <c r="T72" s="12">
        <f t="shared" si="9"/>
        <v>-0.1328125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2334960.0901513491</v>
      </c>
      <c r="G73" s="1">
        <f>VLOOKUP(A:A,MASTER!A:K,11,0)</f>
        <v>2626330.1801084918</v>
      </c>
      <c r="H73" s="12">
        <f t="shared" si="5"/>
        <v>0.12478589727769451</v>
      </c>
      <c r="I73" s="2">
        <f>VLOOKUP(A:A,MASTER!A:E,5,0)</f>
        <v>461</v>
      </c>
      <c r="J73" s="2">
        <f>VLOOKUP(A:A,MASTER!A:J,10,0)</f>
        <v>478</v>
      </c>
      <c r="K73" s="12">
        <f t="shared" si="6"/>
        <v>3.6876355748373113E-2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0</v>
      </c>
      <c r="P73" s="1">
        <f>VLOOKUP(A:A,MASTER!A:H,8,0)</f>
        <v>1</v>
      </c>
      <c r="Q73" s="12">
        <f t="shared" si="8"/>
        <v>0</v>
      </c>
      <c r="R73" s="1">
        <f>VLOOKUP(A:A,MASTER!A:B,2,0)</f>
        <v>652</v>
      </c>
      <c r="S73">
        <f>VLOOKUP(A:A,MASTER!A:G,7,0)</f>
        <v>637</v>
      </c>
      <c r="T73" s="12">
        <f t="shared" si="9"/>
        <v>-2.3006134969325132E-2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1740047.3277532819</v>
      </c>
      <c r="G74" s="1">
        <f>VLOOKUP(A:A,MASTER!A:K,11,0)</f>
        <v>1184123.8615273731</v>
      </c>
      <c r="H74" s="12">
        <f t="shared" si="5"/>
        <v>-0.31948755494122527</v>
      </c>
      <c r="I74" s="2">
        <f>VLOOKUP(A:A,MASTER!A:E,5,0)</f>
        <v>687</v>
      </c>
      <c r="J74" s="2">
        <f>VLOOKUP(A:A,MASTER!A:J,10,0)</f>
        <v>508</v>
      </c>
      <c r="K74" s="12">
        <f t="shared" si="6"/>
        <v>-0.26055312954876275</v>
      </c>
      <c r="L74" s="2">
        <f>VLOOKUP(A:A,MASTER!A:D,4,0)</f>
        <v>0</v>
      </c>
      <c r="M74" s="2">
        <f>VLOOKUP(A:A,MASTER!A:I,9,0)</f>
        <v>0</v>
      </c>
      <c r="N74" s="12">
        <f t="shared" si="7"/>
        <v>0</v>
      </c>
      <c r="O74" s="1">
        <f>VLOOKUP(A:A,MASTER!A:C,3,0)</f>
        <v>2</v>
      </c>
      <c r="P74" s="1">
        <f>VLOOKUP(A:A,MASTER!A:H,8,0)</f>
        <v>0</v>
      </c>
      <c r="Q74" s="12">
        <f t="shared" si="8"/>
        <v>-1</v>
      </c>
      <c r="R74" s="1">
        <f>VLOOKUP(A:A,MASTER!A:B,2,0)</f>
        <v>580</v>
      </c>
      <c r="S74">
        <f>VLOOKUP(A:A,MASTER!A:G,7,0)</f>
        <v>604</v>
      </c>
      <c r="T74" s="12">
        <f t="shared" si="9"/>
        <v>4.1379310344827669E-2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2347390.2502442258</v>
      </c>
      <c r="G75" s="1">
        <f>VLOOKUP(A:A,MASTER!A:K,11,0)</f>
        <v>1900167.038378757</v>
      </c>
      <c r="H75" s="12">
        <f t="shared" si="5"/>
        <v>-0.19051932750378386</v>
      </c>
      <c r="I75" s="2">
        <f>VLOOKUP(A:A,MASTER!A:E,5,0)</f>
        <v>469</v>
      </c>
      <c r="J75" s="2">
        <f>VLOOKUP(A:A,MASTER!A:J,10,0)</f>
        <v>459</v>
      </c>
      <c r="K75" s="12">
        <f t="shared" si="6"/>
        <v>-2.1321961620469065E-2</v>
      </c>
      <c r="L75" s="2">
        <f>VLOOKUP(A:A,MASTER!A:D,4,0)</f>
        <v>7</v>
      </c>
      <c r="M75" s="2">
        <f>VLOOKUP(A:A,MASTER!A:I,9,0)</f>
        <v>7</v>
      </c>
      <c r="N75" s="12">
        <f t="shared" si="7"/>
        <v>0</v>
      </c>
      <c r="O75" s="1">
        <f>VLOOKUP(A:A,MASTER!A:C,3,0)</f>
        <v>0</v>
      </c>
      <c r="P75" s="1">
        <f>VLOOKUP(A:A,MASTER!A:H,8,0)</f>
        <v>1</v>
      </c>
      <c r="Q75" s="12">
        <f t="shared" si="8"/>
        <v>0</v>
      </c>
      <c r="R75" s="1">
        <f>VLOOKUP(A:A,MASTER!A:B,2,0)</f>
        <v>441</v>
      </c>
      <c r="S75">
        <f>VLOOKUP(A:A,MASTER!A:G,7,0)</f>
        <v>482</v>
      </c>
      <c r="T75" s="12">
        <f t="shared" si="9"/>
        <v>9.2970521541950069E-2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5500378.0680399928</v>
      </c>
      <c r="G76" s="1">
        <f>VLOOKUP(A:A,MASTER!A:K,11,0)</f>
        <v>6208430.0376553433</v>
      </c>
      <c r="H76" s="12">
        <f t="shared" si="5"/>
        <v>0.12872787304012689</v>
      </c>
      <c r="I76" s="2">
        <f>VLOOKUP(A:A,MASTER!A:E,5,0)</f>
        <v>847</v>
      </c>
      <c r="J76" s="2">
        <f>VLOOKUP(A:A,MASTER!A:J,10,0)</f>
        <v>745</v>
      </c>
      <c r="K76" s="12">
        <f t="shared" si="6"/>
        <v>-0.12042502951593859</v>
      </c>
      <c r="L76" s="2">
        <f>VLOOKUP(A:A,MASTER!A:D,4,0)</f>
        <v>4</v>
      </c>
      <c r="M76" s="2">
        <f>VLOOKUP(A:A,MASTER!A:I,9,0)</f>
        <v>4</v>
      </c>
      <c r="N76" s="12">
        <f t="shared" si="7"/>
        <v>0</v>
      </c>
      <c r="O76" s="1">
        <f>VLOOKUP(A:A,MASTER!A:C,3,0)</f>
        <v>2</v>
      </c>
      <c r="P76" s="1">
        <f>VLOOKUP(A:A,MASTER!A:H,8,0)</f>
        <v>2</v>
      </c>
      <c r="Q76" s="12">
        <f t="shared" si="8"/>
        <v>0</v>
      </c>
      <c r="R76" s="1">
        <f>VLOOKUP(A:A,MASTER!A:B,2,0)</f>
        <v>964</v>
      </c>
      <c r="S76">
        <f>VLOOKUP(A:A,MASTER!A:G,7,0)</f>
        <v>831</v>
      </c>
      <c r="T76" s="12">
        <f t="shared" si="9"/>
        <v>-0.13796680497925307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3369013.8625407722</v>
      </c>
      <c r="G77" s="1">
        <f>VLOOKUP(A:A,MASTER!A:K,11,0)</f>
        <v>3396790.8266082481</v>
      </c>
      <c r="H77" s="12">
        <f t="shared" si="5"/>
        <v>8.2448351953434695E-3</v>
      </c>
      <c r="I77" s="2">
        <f>VLOOKUP(A:A,MASTER!A:E,5,0)</f>
        <v>722</v>
      </c>
      <c r="J77" s="2">
        <f>VLOOKUP(A:A,MASTER!A:J,10,0)</f>
        <v>734</v>
      </c>
      <c r="K77" s="12">
        <f t="shared" si="6"/>
        <v>1.6620498614958512E-2</v>
      </c>
      <c r="L77" s="2">
        <f>VLOOKUP(A:A,MASTER!A:D,4,0)</f>
        <v>10</v>
      </c>
      <c r="M77" s="2">
        <f>VLOOKUP(A:A,MASTER!A:I,9,0)</f>
        <v>8</v>
      </c>
      <c r="N77" s="12">
        <f t="shared" si="7"/>
        <v>-0.19999999999999996</v>
      </c>
      <c r="O77" s="1">
        <f>VLOOKUP(A:A,MASTER!A:C,3,0)</f>
        <v>1</v>
      </c>
      <c r="P77" s="1">
        <f>VLOOKUP(A:A,MASTER!A:H,8,0)</f>
        <v>0</v>
      </c>
      <c r="Q77" s="12">
        <f t="shared" si="8"/>
        <v>-1</v>
      </c>
      <c r="R77" s="1">
        <f>VLOOKUP(A:A,MASTER!A:B,2,0)</f>
        <v>783</v>
      </c>
      <c r="S77">
        <f>VLOOKUP(A:A,MASTER!A:G,7,0)</f>
        <v>825</v>
      </c>
      <c r="T77" s="12">
        <f t="shared" si="9"/>
        <v>5.3639846743295028E-2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2888100.1140927752</v>
      </c>
      <c r="G78" s="1">
        <f>VLOOKUP(A:A,MASTER!A:K,11,0)</f>
        <v>2943452.070690813</v>
      </c>
      <c r="H78" s="12">
        <f t="shared" si="5"/>
        <v>1.9165525574387887E-2</v>
      </c>
      <c r="I78" s="2">
        <f>VLOOKUP(A:A,MASTER!A:E,5,0)</f>
        <v>936</v>
      </c>
      <c r="J78" s="2">
        <f>VLOOKUP(A:A,MASTER!A:J,10,0)</f>
        <v>925</v>
      </c>
      <c r="K78" s="12">
        <f t="shared" si="6"/>
        <v>-1.175213675213671E-2</v>
      </c>
      <c r="L78" s="2">
        <f>VLOOKUP(A:A,MASTER!A:D,4,0)</f>
        <v>1</v>
      </c>
      <c r="M78" s="2">
        <f>VLOOKUP(A:A,MASTER!A:I,9,0)</f>
        <v>1</v>
      </c>
      <c r="N78" s="12">
        <f t="shared" si="7"/>
        <v>0</v>
      </c>
      <c r="O78" s="1">
        <f>VLOOKUP(A:A,MASTER!A:C,3,0)</f>
        <v>0</v>
      </c>
      <c r="P78" s="1">
        <f>VLOOKUP(A:A,MASTER!A:H,8,0)</f>
        <v>0</v>
      </c>
      <c r="Q78" s="12">
        <f t="shared" si="8"/>
        <v>0</v>
      </c>
      <c r="R78" s="1">
        <f>VLOOKUP(A:A,MASTER!A:B,2,0)</f>
        <v>941</v>
      </c>
      <c r="S78">
        <f>VLOOKUP(A:A,MASTER!A:G,7,0)</f>
        <v>1067</v>
      </c>
      <c r="T78" s="12">
        <f t="shared" si="9"/>
        <v>0.13390010626992566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3126468.2318022992</v>
      </c>
      <c r="G79" s="1">
        <f>VLOOKUP(A:A,MASTER!A:K,11,0)</f>
        <v>3339267.5499992738</v>
      </c>
      <c r="H79" s="12">
        <f t="shared" si="5"/>
        <v>6.8063803122126565E-2</v>
      </c>
      <c r="I79" s="2">
        <f>VLOOKUP(A:A,MASTER!A:E,5,0)</f>
        <v>1287</v>
      </c>
      <c r="J79" s="2">
        <f>VLOOKUP(A:A,MASTER!A:J,10,0)</f>
        <v>847</v>
      </c>
      <c r="K79" s="12">
        <f t="shared" si="6"/>
        <v>-0.34188034188034189</v>
      </c>
      <c r="L79" s="2">
        <f>VLOOKUP(A:A,MASTER!A:D,4,0)</f>
        <v>6</v>
      </c>
      <c r="M79" s="2">
        <f>VLOOKUP(A:A,MASTER!A:I,9,0)</f>
        <v>5</v>
      </c>
      <c r="N79" s="12">
        <f t="shared" si="7"/>
        <v>-0.16666666666666663</v>
      </c>
      <c r="O79" s="1">
        <f>VLOOKUP(A:A,MASTER!A:C,3,0)</f>
        <v>0</v>
      </c>
      <c r="P79" s="1">
        <f>VLOOKUP(A:A,MASTER!A:H,8,0)</f>
        <v>0</v>
      </c>
      <c r="Q79" s="12">
        <f t="shared" si="8"/>
        <v>0</v>
      </c>
      <c r="R79" s="1">
        <f>VLOOKUP(A:A,MASTER!A:B,2,0)</f>
        <v>1000</v>
      </c>
      <c r="S79">
        <f>VLOOKUP(A:A,MASTER!A:G,7,0)</f>
        <v>931</v>
      </c>
      <c r="T79" s="12">
        <f t="shared" si="9"/>
        <v>-6.899999999999995E-2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1708894.8077382189</v>
      </c>
      <c r="G80" s="1">
        <f>VLOOKUP(A:A,MASTER!A:K,11,0)</f>
        <v>3851550.9000304919</v>
      </c>
      <c r="H80" s="12">
        <f t="shared" si="5"/>
        <v>1.2538256202721758</v>
      </c>
      <c r="I80" s="2">
        <f>VLOOKUP(A:A,MASTER!A:E,5,0)</f>
        <v>796</v>
      </c>
      <c r="J80" s="2">
        <f>VLOOKUP(A:A,MASTER!A:J,10,0)</f>
        <v>772</v>
      </c>
      <c r="K80" s="12">
        <f t="shared" si="6"/>
        <v>-3.0150753768844241E-2</v>
      </c>
      <c r="L80" s="2">
        <f>VLOOKUP(A:A,MASTER!A:D,4,0)</f>
        <v>3</v>
      </c>
      <c r="M80" s="2">
        <f>VLOOKUP(A:A,MASTER!A:I,9,0)</f>
        <v>6</v>
      </c>
      <c r="N80" s="12">
        <f t="shared" si="7"/>
        <v>1</v>
      </c>
      <c r="O80" s="1">
        <f>VLOOKUP(A:A,MASTER!A:C,3,0)</f>
        <v>0</v>
      </c>
      <c r="P80" s="1">
        <f>VLOOKUP(A:A,MASTER!A:H,8,0)</f>
        <v>0</v>
      </c>
      <c r="Q80" s="12">
        <f t="shared" si="8"/>
        <v>0</v>
      </c>
      <c r="R80" s="1">
        <f>VLOOKUP(A:A,MASTER!A:B,2,0)</f>
        <v>744</v>
      </c>
      <c r="S80">
        <f>VLOOKUP(A:A,MASTER!A:G,7,0)</f>
        <v>802</v>
      </c>
      <c r="T80" s="12">
        <f t="shared" si="9"/>
        <v>7.7956989247311759E-2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1520088.110324983</v>
      </c>
      <c r="G81" s="1">
        <f>VLOOKUP(A:A,MASTER!A:K,11,0)</f>
        <v>1682021.2464240999</v>
      </c>
      <c r="H81" s="12">
        <f t="shared" si="5"/>
        <v>0.1065287827720045</v>
      </c>
      <c r="I81" s="2">
        <f>VLOOKUP(A:A,MASTER!A:E,5,0)</f>
        <v>815</v>
      </c>
      <c r="J81" s="2">
        <f>VLOOKUP(A:A,MASTER!A:J,10,0)</f>
        <v>563</v>
      </c>
      <c r="K81" s="12">
        <f t="shared" si="6"/>
        <v>-0.30920245398773005</v>
      </c>
      <c r="L81" s="2">
        <f>VLOOKUP(A:A,MASTER!A:D,4,0)</f>
        <v>0</v>
      </c>
      <c r="M81" s="2">
        <f>VLOOKUP(A:A,MASTER!A:I,9,0)</f>
        <v>0</v>
      </c>
      <c r="N81" s="12">
        <f t="shared" si="7"/>
        <v>0</v>
      </c>
      <c r="O81" s="1">
        <f>VLOOKUP(A:A,MASTER!A:C,3,0)</f>
        <v>0</v>
      </c>
      <c r="P81" s="1">
        <f>VLOOKUP(A:A,MASTER!A:H,8,0)</f>
        <v>0</v>
      </c>
      <c r="Q81" s="12">
        <f t="shared" si="8"/>
        <v>0</v>
      </c>
      <c r="R81" s="1">
        <f>VLOOKUP(A:A,MASTER!A:B,2,0)</f>
        <v>574</v>
      </c>
      <c r="S81">
        <f>VLOOKUP(A:A,MASTER!A:G,7,0)</f>
        <v>577</v>
      </c>
      <c r="T81" s="12">
        <f t="shared" si="9"/>
        <v>5.2264808362370019E-3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6487224.5172241116</v>
      </c>
      <c r="G82" s="1">
        <f>VLOOKUP(A:A,MASTER!A:K,11,0)</f>
        <v>8094729.1422848776</v>
      </c>
      <c r="H82" s="12">
        <f t="shared" si="5"/>
        <v>0.2477954355969505</v>
      </c>
      <c r="I82" s="2">
        <f>VLOOKUP(A:A,MASTER!A:E,5,0)</f>
        <v>1296</v>
      </c>
      <c r="J82" s="2">
        <f>VLOOKUP(A:A,MASTER!A:J,10,0)</f>
        <v>1369</v>
      </c>
      <c r="K82" s="12">
        <f t="shared" si="6"/>
        <v>5.6327160493827133E-2</v>
      </c>
      <c r="L82" s="2">
        <f>VLOOKUP(A:A,MASTER!A:D,4,0)</f>
        <v>9</v>
      </c>
      <c r="M82" s="2">
        <f>VLOOKUP(A:A,MASTER!A:I,9,0)</f>
        <v>9</v>
      </c>
      <c r="N82" s="12">
        <f t="shared" si="7"/>
        <v>0</v>
      </c>
      <c r="O82" s="1">
        <f>VLOOKUP(A:A,MASTER!A:C,3,0)</f>
        <v>0</v>
      </c>
      <c r="P82" s="1">
        <f>VLOOKUP(A:A,MASTER!A:H,8,0)</f>
        <v>0</v>
      </c>
      <c r="Q82" s="12">
        <f t="shared" si="8"/>
        <v>0</v>
      </c>
      <c r="R82" s="1">
        <f>VLOOKUP(A:A,MASTER!A:B,2,0)</f>
        <v>1724</v>
      </c>
      <c r="S82">
        <f>VLOOKUP(A:A,MASTER!A:G,7,0)</f>
        <v>1591</v>
      </c>
      <c r="T82" s="12">
        <f t="shared" si="9"/>
        <v>-7.7146171693735499E-2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1187829.6673015449</v>
      </c>
      <c r="G83" s="1">
        <f>VLOOKUP(A:A,MASTER!A:K,11,0)</f>
        <v>1826965.902087007</v>
      </c>
      <c r="H83" s="12">
        <f t="shared" si="5"/>
        <v>0.53807061094661957</v>
      </c>
      <c r="I83" s="2">
        <f>VLOOKUP(A:A,MASTER!A:E,5,0)</f>
        <v>630</v>
      </c>
      <c r="J83" s="2">
        <f>VLOOKUP(A:A,MASTER!A:J,10,0)</f>
        <v>746</v>
      </c>
      <c r="K83" s="12">
        <f t="shared" si="6"/>
        <v>0.18412698412698414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0</v>
      </c>
      <c r="Q83" s="12">
        <f t="shared" si="8"/>
        <v>0</v>
      </c>
      <c r="R83" s="1">
        <f>VLOOKUP(A:A,MASTER!A:B,2,0)</f>
        <v>606</v>
      </c>
      <c r="S83">
        <f>VLOOKUP(A:A,MASTER!A:G,7,0)</f>
        <v>827</v>
      </c>
      <c r="T83" s="12">
        <f t="shared" si="9"/>
        <v>0.36468646864686471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3315378.7830691151</v>
      </c>
      <c r="G84" s="1">
        <f>VLOOKUP(A:A,MASTER!A:K,11,0)</f>
        <v>2893672.993127957</v>
      </c>
      <c r="H84" s="12">
        <f t="shared" si="5"/>
        <v>-0.12719686573815148</v>
      </c>
      <c r="I84" s="2">
        <f>VLOOKUP(A:A,MASTER!A:E,5,0)</f>
        <v>548</v>
      </c>
      <c r="J84" s="2">
        <f>VLOOKUP(A:A,MASTER!A:J,10,0)</f>
        <v>552</v>
      </c>
      <c r="K84" s="12">
        <f t="shared" si="6"/>
        <v>7.2992700729928028E-3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1</v>
      </c>
      <c r="P84" s="1">
        <f>VLOOKUP(A:A,MASTER!A:H,8,0)</f>
        <v>0</v>
      </c>
      <c r="Q84" s="12">
        <f t="shared" si="8"/>
        <v>-1</v>
      </c>
      <c r="R84" s="1">
        <f>VLOOKUP(A:A,MASTER!A:B,2,0)</f>
        <v>595</v>
      </c>
      <c r="S84">
        <f>VLOOKUP(A:A,MASTER!A:G,7,0)</f>
        <v>687</v>
      </c>
      <c r="T84" s="12">
        <f t="shared" si="9"/>
        <v>0.15462184873949569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884745.77418486204</v>
      </c>
      <c r="G85" s="1">
        <f>VLOOKUP(A:A,MASTER!A:K,11,0)</f>
        <v>946233.54200647504</v>
      </c>
      <c r="H85" s="12">
        <f t="shared" si="5"/>
        <v>6.9497667709419897E-2</v>
      </c>
      <c r="I85" s="2">
        <f>VLOOKUP(A:A,MASTER!A:E,5,0)</f>
        <v>628</v>
      </c>
      <c r="J85" s="2">
        <f>VLOOKUP(A:A,MASTER!A:J,10,0)</f>
        <v>322</v>
      </c>
      <c r="K85" s="12">
        <f t="shared" si="6"/>
        <v>-0.48726114649681529</v>
      </c>
      <c r="L85" s="2">
        <f>VLOOKUP(A:A,MASTER!A:D,4,0)</f>
        <v>0</v>
      </c>
      <c r="M85" s="2">
        <f>VLOOKUP(A:A,MASTER!A:I,9,0)</f>
        <v>1</v>
      </c>
      <c r="N85" s="12">
        <f t="shared" si="7"/>
        <v>0</v>
      </c>
      <c r="O85" s="1">
        <f>VLOOKUP(A:A,MASTER!A:C,3,0)</f>
        <v>0</v>
      </c>
      <c r="P85" s="1">
        <f>VLOOKUP(A:A,MASTER!A:H,8,0)</f>
        <v>0</v>
      </c>
      <c r="Q85" s="12">
        <f t="shared" si="8"/>
        <v>0</v>
      </c>
      <c r="R85" s="1">
        <f>VLOOKUP(A:A,MASTER!A:B,2,0)</f>
        <v>357</v>
      </c>
      <c r="S85">
        <f>VLOOKUP(A:A,MASTER!A:G,7,0)</f>
        <v>357</v>
      </c>
      <c r="T85" s="12">
        <f t="shared" si="9"/>
        <v>0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84431</v>
      </c>
      <c r="C3" s="11">
        <f t="shared" si="0"/>
        <v>40</v>
      </c>
      <c r="D3" s="11">
        <f t="shared" si="0"/>
        <v>288</v>
      </c>
      <c r="E3" s="11">
        <f t="shared" si="0"/>
        <v>71326</v>
      </c>
      <c r="F3" s="11">
        <f t="shared" si="0"/>
        <v>316172626.66268551</v>
      </c>
      <c r="G3" s="11">
        <f t="shared" si="0"/>
        <v>84069</v>
      </c>
      <c r="H3" s="11">
        <f t="shared" si="0"/>
        <v>135</v>
      </c>
      <c r="I3" s="11">
        <f t="shared" si="0"/>
        <v>289</v>
      </c>
      <c r="J3" s="11">
        <f t="shared" si="0"/>
        <v>71462</v>
      </c>
      <c r="K3" s="11">
        <f t="shared" si="0"/>
        <v>333234367.393525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402</v>
      </c>
      <c r="C6" s="10">
        <v>0</v>
      </c>
      <c r="D6" s="10">
        <v>2</v>
      </c>
      <c r="E6" s="10">
        <v>381</v>
      </c>
      <c r="F6" s="10">
        <v>1347708.3735312989</v>
      </c>
      <c r="G6" s="10">
        <v>403</v>
      </c>
      <c r="H6" s="10">
        <v>0</v>
      </c>
      <c r="I6" s="10">
        <v>1</v>
      </c>
      <c r="J6" s="10">
        <v>353</v>
      </c>
      <c r="K6" s="10">
        <v>1338580.839206849</v>
      </c>
    </row>
    <row r="7" spans="1:11" x14ac:dyDescent="0.35">
      <c r="A7" s="9" t="s">
        <v>127</v>
      </c>
      <c r="B7" s="10">
        <v>647</v>
      </c>
      <c r="C7" s="10">
        <v>0</v>
      </c>
      <c r="D7" s="10">
        <v>1</v>
      </c>
      <c r="E7" s="10">
        <v>519</v>
      </c>
      <c r="F7" s="10">
        <v>1663897.259947835</v>
      </c>
      <c r="G7" s="10">
        <v>560</v>
      </c>
      <c r="H7" s="10">
        <v>1</v>
      </c>
      <c r="I7" s="10">
        <v>3</v>
      </c>
      <c r="J7" s="10">
        <v>481</v>
      </c>
      <c r="K7" s="10">
        <v>1683204.321561232</v>
      </c>
    </row>
    <row r="8" spans="1:11" x14ac:dyDescent="0.35">
      <c r="A8" s="9" t="s">
        <v>119</v>
      </c>
      <c r="B8" s="10">
        <v>733</v>
      </c>
      <c r="C8" s="10">
        <v>0</v>
      </c>
      <c r="D8" s="10">
        <v>1</v>
      </c>
      <c r="E8" s="10">
        <v>740</v>
      </c>
      <c r="F8" s="10">
        <v>2813460.0459870691</v>
      </c>
      <c r="G8" s="10">
        <v>816</v>
      </c>
      <c r="H8" s="10">
        <v>1</v>
      </c>
      <c r="I8" s="10">
        <v>0</v>
      </c>
      <c r="J8" s="10">
        <v>780</v>
      </c>
      <c r="K8" s="10">
        <v>2631331.0630666199</v>
      </c>
    </row>
    <row r="9" spans="1:11" x14ac:dyDescent="0.35">
      <c r="A9" s="9" t="s">
        <v>121</v>
      </c>
      <c r="B9" s="10">
        <v>1212</v>
      </c>
      <c r="C9" s="10">
        <v>0</v>
      </c>
      <c r="D9" s="10">
        <v>4</v>
      </c>
      <c r="E9" s="10">
        <v>1059</v>
      </c>
      <c r="F9" s="10">
        <v>3701419.699240339</v>
      </c>
      <c r="G9" s="10">
        <v>1124</v>
      </c>
      <c r="H9" s="10">
        <v>0</v>
      </c>
      <c r="I9" s="10">
        <v>1</v>
      </c>
      <c r="J9" s="10">
        <v>1105</v>
      </c>
      <c r="K9" s="10">
        <v>4049850.3989379331</v>
      </c>
    </row>
    <row r="10" spans="1:11" x14ac:dyDescent="0.35">
      <c r="A10" s="9" t="s">
        <v>123</v>
      </c>
      <c r="B10" s="10">
        <v>404</v>
      </c>
      <c r="C10" s="10">
        <v>0</v>
      </c>
      <c r="D10" s="10">
        <v>0</v>
      </c>
      <c r="E10" s="10">
        <v>331</v>
      </c>
      <c r="F10" s="10">
        <v>1299572.549698553</v>
      </c>
      <c r="G10" s="10">
        <v>445</v>
      </c>
      <c r="H10" s="10">
        <v>0</v>
      </c>
      <c r="I10" s="10">
        <v>0</v>
      </c>
      <c r="J10" s="10">
        <v>428</v>
      </c>
      <c r="K10" s="10">
        <v>1588449.803850679</v>
      </c>
    </row>
    <row r="11" spans="1:11" x14ac:dyDescent="0.35">
      <c r="A11" s="9" t="s">
        <v>125</v>
      </c>
      <c r="B11" s="10">
        <v>369</v>
      </c>
      <c r="C11" s="10">
        <v>0</v>
      </c>
      <c r="D11" s="10">
        <v>2</v>
      </c>
      <c r="E11" s="10">
        <v>297</v>
      </c>
      <c r="F11" s="10">
        <v>1148414.4177166671</v>
      </c>
      <c r="G11" s="10">
        <v>172</v>
      </c>
      <c r="H11" s="10">
        <v>0</v>
      </c>
      <c r="I11" s="10">
        <v>1</v>
      </c>
      <c r="J11" s="10">
        <v>31</v>
      </c>
      <c r="K11" s="10">
        <v>1005004.846037623</v>
      </c>
    </row>
    <row r="12" spans="1:11" x14ac:dyDescent="0.35">
      <c r="A12" s="9" t="s">
        <v>131</v>
      </c>
      <c r="B12" s="10">
        <v>599</v>
      </c>
      <c r="C12" s="10">
        <v>0</v>
      </c>
      <c r="D12" s="10">
        <v>11</v>
      </c>
      <c r="E12" s="10">
        <v>1629</v>
      </c>
      <c r="F12" s="10">
        <v>1466114.7842948821</v>
      </c>
      <c r="G12" s="10">
        <v>574</v>
      </c>
      <c r="H12" s="10">
        <v>0</v>
      </c>
      <c r="I12" s="10">
        <v>0</v>
      </c>
      <c r="J12" s="10">
        <v>491</v>
      </c>
      <c r="K12" s="10">
        <v>1720253.001962258</v>
      </c>
    </row>
    <row r="13" spans="1:11" x14ac:dyDescent="0.35">
      <c r="A13" s="9" t="s">
        <v>133</v>
      </c>
      <c r="B13" s="10">
        <v>173</v>
      </c>
      <c r="C13" s="10">
        <v>0</v>
      </c>
      <c r="D13" s="10">
        <v>0</v>
      </c>
      <c r="E13" s="10">
        <v>155</v>
      </c>
      <c r="F13" s="10">
        <v>771011.74353831797</v>
      </c>
      <c r="G13" s="10">
        <v>228</v>
      </c>
      <c r="H13" s="10">
        <v>0</v>
      </c>
      <c r="I13" s="10">
        <v>1</v>
      </c>
      <c r="J13" s="10">
        <v>268</v>
      </c>
      <c r="K13" s="10">
        <v>847725.10944279796</v>
      </c>
    </row>
    <row r="14" spans="1:11" x14ac:dyDescent="0.35">
      <c r="A14" s="9" t="s">
        <v>141</v>
      </c>
      <c r="B14" s="10">
        <v>196</v>
      </c>
      <c r="C14" s="10">
        <v>0</v>
      </c>
      <c r="D14" s="10">
        <v>0</v>
      </c>
      <c r="E14" s="10">
        <v>4</v>
      </c>
      <c r="F14" s="10">
        <v>22.486592934000001</v>
      </c>
      <c r="G14" s="10">
        <v>231</v>
      </c>
      <c r="H14" s="10">
        <v>0</v>
      </c>
      <c r="I14" s="10">
        <v>0</v>
      </c>
      <c r="J14" s="10">
        <v>207</v>
      </c>
      <c r="K14" s="10">
        <v>726412.21866034204</v>
      </c>
    </row>
    <row r="15" spans="1:11" x14ac:dyDescent="0.35">
      <c r="A15" s="9" t="s">
        <v>135</v>
      </c>
      <c r="B15" s="10">
        <v>350</v>
      </c>
      <c r="C15" s="10">
        <v>0</v>
      </c>
      <c r="D15" s="10">
        <v>0</v>
      </c>
      <c r="E15" s="10">
        <v>482</v>
      </c>
      <c r="F15" s="10">
        <v>1409307.244637033</v>
      </c>
      <c r="G15" s="10">
        <v>468</v>
      </c>
      <c r="H15" s="10">
        <v>1</v>
      </c>
      <c r="I15" s="10">
        <v>1</v>
      </c>
      <c r="J15" s="10">
        <v>355</v>
      </c>
      <c r="K15" s="10">
        <v>1284608.9517687541</v>
      </c>
    </row>
    <row r="16" spans="1:11" x14ac:dyDescent="0.35">
      <c r="A16" s="9" t="s">
        <v>143</v>
      </c>
      <c r="B16" s="10">
        <v>198</v>
      </c>
      <c r="C16" s="10">
        <v>0</v>
      </c>
      <c r="D16" s="10">
        <v>2</v>
      </c>
      <c r="E16" s="10">
        <v>315</v>
      </c>
      <c r="F16" s="10">
        <v>705242.63408661005</v>
      </c>
      <c r="G16" s="10">
        <v>269</v>
      </c>
      <c r="H16" s="10">
        <v>0</v>
      </c>
      <c r="I16" s="10">
        <v>2</v>
      </c>
      <c r="J16" s="10">
        <v>250</v>
      </c>
      <c r="K16" s="10">
        <v>764339.67202014697</v>
      </c>
    </row>
    <row r="17" spans="1:11" x14ac:dyDescent="0.35">
      <c r="A17" s="9" t="s">
        <v>145</v>
      </c>
      <c r="B17" s="10">
        <v>235</v>
      </c>
      <c r="C17" s="10">
        <v>0</v>
      </c>
      <c r="D17" s="10">
        <v>0</v>
      </c>
      <c r="E17" s="10">
        <v>213</v>
      </c>
      <c r="F17" s="10">
        <v>740498.93216906197</v>
      </c>
      <c r="G17" s="10">
        <v>315</v>
      </c>
      <c r="H17" s="10">
        <v>0</v>
      </c>
      <c r="I17" s="10">
        <v>0</v>
      </c>
      <c r="J17" s="10">
        <v>268</v>
      </c>
      <c r="K17" s="10">
        <v>790425.20905932004</v>
      </c>
    </row>
    <row r="18" spans="1:11" x14ac:dyDescent="0.35">
      <c r="A18" s="9" t="s">
        <v>20</v>
      </c>
      <c r="B18" s="10">
        <v>1475</v>
      </c>
      <c r="C18" s="10">
        <v>2</v>
      </c>
      <c r="D18" s="10">
        <v>3</v>
      </c>
      <c r="E18" s="10">
        <v>1126</v>
      </c>
      <c r="F18" s="10">
        <v>4568914.8551293071</v>
      </c>
      <c r="G18" s="10">
        <v>1379</v>
      </c>
      <c r="H18" s="10">
        <v>1</v>
      </c>
      <c r="I18" s="10">
        <v>6</v>
      </c>
      <c r="J18" s="10">
        <v>1227</v>
      </c>
      <c r="K18" s="10">
        <v>4477237.9663267396</v>
      </c>
    </row>
    <row r="19" spans="1:11" x14ac:dyDescent="0.35">
      <c r="A19" s="9" t="s">
        <v>45</v>
      </c>
      <c r="B19" s="10">
        <v>1250</v>
      </c>
      <c r="C19" s="10">
        <v>1</v>
      </c>
      <c r="D19" s="10">
        <v>3</v>
      </c>
      <c r="E19" s="10">
        <v>862</v>
      </c>
      <c r="F19" s="10">
        <v>5360972.3425229657</v>
      </c>
      <c r="G19" s="10">
        <v>1154</v>
      </c>
      <c r="H19" s="10">
        <v>0</v>
      </c>
      <c r="I19" s="10">
        <v>2</v>
      </c>
      <c r="J19" s="10">
        <v>978</v>
      </c>
      <c r="K19" s="10">
        <v>6235618.9191209236</v>
      </c>
    </row>
    <row r="20" spans="1:11" x14ac:dyDescent="0.35">
      <c r="A20" s="9" t="s">
        <v>47</v>
      </c>
      <c r="B20" s="10">
        <v>1029</v>
      </c>
      <c r="C20" s="10">
        <v>1</v>
      </c>
      <c r="D20" s="10">
        <v>4</v>
      </c>
      <c r="E20" s="10">
        <v>933</v>
      </c>
      <c r="F20" s="10">
        <v>3023576.3478298029</v>
      </c>
      <c r="G20" s="10">
        <v>1109</v>
      </c>
      <c r="H20" s="10">
        <v>1</v>
      </c>
      <c r="I20" s="10">
        <v>6</v>
      </c>
      <c r="J20" s="10">
        <v>926</v>
      </c>
      <c r="K20" s="10">
        <v>3025583.732716728</v>
      </c>
    </row>
    <row r="21" spans="1:11" x14ac:dyDescent="0.35">
      <c r="A21" s="9" t="s">
        <v>49</v>
      </c>
      <c r="B21" s="10">
        <v>930</v>
      </c>
      <c r="C21" s="10">
        <v>1</v>
      </c>
      <c r="D21" s="10">
        <v>2</v>
      </c>
      <c r="E21" s="10">
        <v>638</v>
      </c>
      <c r="F21" s="10">
        <v>2097680.0000654659</v>
      </c>
      <c r="G21" s="10">
        <v>763</v>
      </c>
      <c r="H21" s="10">
        <v>0</v>
      </c>
      <c r="I21" s="10">
        <v>3</v>
      </c>
      <c r="J21" s="10">
        <v>643</v>
      </c>
      <c r="K21" s="10">
        <v>2728454.7351668398</v>
      </c>
    </row>
    <row r="22" spans="1:11" x14ac:dyDescent="0.35">
      <c r="A22" s="9" t="s">
        <v>51</v>
      </c>
      <c r="B22" s="10">
        <v>2855</v>
      </c>
      <c r="C22" s="10">
        <v>1</v>
      </c>
      <c r="D22" s="10">
        <v>7</v>
      </c>
      <c r="E22" s="10">
        <v>2054</v>
      </c>
      <c r="F22" s="10">
        <v>10160972.524858693</v>
      </c>
      <c r="G22" s="10">
        <v>2697</v>
      </c>
      <c r="H22" s="10">
        <v>1</v>
      </c>
      <c r="I22" s="10">
        <v>11</v>
      </c>
      <c r="J22" s="10">
        <v>2235</v>
      </c>
      <c r="K22" s="10">
        <v>10430336.925136324</v>
      </c>
    </row>
    <row r="23" spans="1:11" x14ac:dyDescent="0.35">
      <c r="A23" s="9" t="s">
        <v>53</v>
      </c>
      <c r="B23" s="10">
        <v>1417</v>
      </c>
      <c r="C23" s="10">
        <v>1</v>
      </c>
      <c r="D23" s="10">
        <v>2</v>
      </c>
      <c r="E23" s="10">
        <v>1143</v>
      </c>
      <c r="F23" s="10">
        <v>5645292.1587212132</v>
      </c>
      <c r="G23" s="10">
        <v>1286</v>
      </c>
      <c r="H23" s="10">
        <v>1</v>
      </c>
      <c r="I23" s="10">
        <v>2</v>
      </c>
      <c r="J23" s="10">
        <v>1183</v>
      </c>
      <c r="K23" s="10">
        <v>5617110.3139670752</v>
      </c>
    </row>
    <row r="24" spans="1:11" x14ac:dyDescent="0.35">
      <c r="A24" s="9" t="s">
        <v>55</v>
      </c>
      <c r="B24" s="10">
        <v>2955</v>
      </c>
      <c r="C24" s="10">
        <v>1</v>
      </c>
      <c r="D24" s="10">
        <v>10</v>
      </c>
      <c r="E24" s="10">
        <v>2268</v>
      </c>
      <c r="F24" s="10">
        <v>11074486.469207264</v>
      </c>
      <c r="G24" s="10">
        <v>2631</v>
      </c>
      <c r="H24" s="10">
        <v>0</v>
      </c>
      <c r="I24" s="10">
        <v>11</v>
      </c>
      <c r="J24" s="10">
        <v>2254</v>
      </c>
      <c r="K24" s="10">
        <v>11965711.532582287</v>
      </c>
    </row>
    <row r="25" spans="1:11" x14ac:dyDescent="0.35">
      <c r="A25" s="9" t="s">
        <v>67</v>
      </c>
      <c r="B25" s="10">
        <v>529</v>
      </c>
      <c r="C25" s="10">
        <v>0</v>
      </c>
      <c r="D25" s="10">
        <v>0</v>
      </c>
      <c r="E25" s="10">
        <v>468</v>
      </c>
      <c r="F25" s="10">
        <v>1577796.3940065589</v>
      </c>
      <c r="G25" s="10">
        <v>489</v>
      </c>
      <c r="H25" s="10">
        <v>0</v>
      </c>
      <c r="I25" s="10">
        <v>1</v>
      </c>
      <c r="J25" s="10">
        <v>497</v>
      </c>
      <c r="K25" s="10">
        <v>1537475.823717213</v>
      </c>
    </row>
    <row r="26" spans="1:11" x14ac:dyDescent="0.35">
      <c r="A26" s="9" t="s">
        <v>74</v>
      </c>
      <c r="B26" s="10">
        <v>1758</v>
      </c>
      <c r="C26" s="10">
        <v>4</v>
      </c>
      <c r="D26" s="10">
        <v>1</v>
      </c>
      <c r="E26" s="10">
        <v>1280</v>
      </c>
      <c r="F26" s="10">
        <v>4058354.9701960068</v>
      </c>
      <c r="G26" s="10">
        <v>1832</v>
      </c>
      <c r="H26" s="10">
        <v>4</v>
      </c>
      <c r="I26" s="10">
        <v>0</v>
      </c>
      <c r="J26" s="10">
        <v>1429</v>
      </c>
      <c r="K26" s="10">
        <v>3957917.2808496621</v>
      </c>
    </row>
    <row r="27" spans="1:11" x14ac:dyDescent="0.35">
      <c r="A27" s="9" t="s">
        <v>70</v>
      </c>
      <c r="B27" s="10">
        <v>888</v>
      </c>
      <c r="C27" s="10">
        <v>2</v>
      </c>
      <c r="D27" s="10">
        <v>1</v>
      </c>
      <c r="E27" s="10">
        <v>912</v>
      </c>
      <c r="F27" s="10">
        <v>2162711.2918741028</v>
      </c>
      <c r="G27" s="10">
        <v>923</v>
      </c>
      <c r="H27" s="10">
        <v>2</v>
      </c>
      <c r="I27" s="10">
        <v>0</v>
      </c>
      <c r="J27" s="10">
        <v>784</v>
      </c>
      <c r="K27" s="10">
        <v>2069918.161467927</v>
      </c>
    </row>
    <row r="28" spans="1:11" x14ac:dyDescent="0.35">
      <c r="A28" s="9" t="s">
        <v>72</v>
      </c>
      <c r="B28" s="10">
        <v>878</v>
      </c>
      <c r="C28" s="10">
        <v>0</v>
      </c>
      <c r="D28" s="10">
        <v>0</v>
      </c>
      <c r="E28" s="10">
        <v>855</v>
      </c>
      <c r="F28" s="10">
        <v>2501776.8118505129</v>
      </c>
      <c r="G28" s="10">
        <v>857</v>
      </c>
      <c r="H28" s="10">
        <v>1</v>
      </c>
      <c r="I28" s="10">
        <v>0</v>
      </c>
      <c r="J28" s="10">
        <v>764</v>
      </c>
      <c r="K28" s="10">
        <v>2660409.733688659</v>
      </c>
    </row>
    <row r="29" spans="1:11" x14ac:dyDescent="0.35">
      <c r="A29" s="9" t="s">
        <v>79</v>
      </c>
      <c r="B29" s="10">
        <v>239</v>
      </c>
      <c r="C29" s="10">
        <v>0</v>
      </c>
      <c r="D29" s="10">
        <v>0</v>
      </c>
      <c r="E29" s="10">
        <v>183</v>
      </c>
      <c r="F29" s="10">
        <v>548263.717388088</v>
      </c>
      <c r="G29" s="10">
        <v>179</v>
      </c>
      <c r="H29" s="10">
        <v>0</v>
      </c>
      <c r="I29" s="10">
        <v>0</v>
      </c>
      <c r="J29" s="10">
        <v>172</v>
      </c>
      <c r="K29" s="10">
        <v>705900.22600010806</v>
      </c>
    </row>
    <row r="30" spans="1:11" x14ac:dyDescent="0.35">
      <c r="A30" s="9" t="s">
        <v>109</v>
      </c>
      <c r="B30" s="10">
        <v>1596</v>
      </c>
      <c r="C30" s="10">
        <v>1</v>
      </c>
      <c r="D30" s="10">
        <v>5</v>
      </c>
      <c r="E30" s="10">
        <v>777</v>
      </c>
      <c r="F30" s="10">
        <v>4040244.5324205449</v>
      </c>
      <c r="G30" s="10">
        <v>1618</v>
      </c>
      <c r="H30" s="10">
        <v>2</v>
      </c>
      <c r="I30" s="10">
        <v>6</v>
      </c>
      <c r="J30" s="10">
        <v>1424</v>
      </c>
      <c r="K30" s="10">
        <v>4583071.6783022182</v>
      </c>
    </row>
    <row r="31" spans="1:11" x14ac:dyDescent="0.35">
      <c r="A31" s="9" t="s">
        <v>111</v>
      </c>
      <c r="B31" s="10">
        <v>876</v>
      </c>
      <c r="C31" s="10">
        <v>0</v>
      </c>
      <c r="D31" s="10">
        <v>0</v>
      </c>
      <c r="E31" s="10">
        <v>550</v>
      </c>
      <c r="F31" s="10">
        <v>3105479.9858465279</v>
      </c>
      <c r="G31" s="10">
        <v>845</v>
      </c>
      <c r="H31" s="10">
        <v>0</v>
      </c>
      <c r="I31" s="10">
        <v>0</v>
      </c>
      <c r="J31" s="10">
        <v>645</v>
      </c>
      <c r="K31" s="10">
        <v>3683301.2334604911</v>
      </c>
    </row>
    <row r="32" spans="1:11" x14ac:dyDescent="0.35">
      <c r="A32" s="9" t="s">
        <v>113</v>
      </c>
      <c r="B32" s="10">
        <v>1067</v>
      </c>
      <c r="C32" s="10">
        <v>1</v>
      </c>
      <c r="D32" s="10">
        <v>1</v>
      </c>
      <c r="E32" s="10">
        <v>844</v>
      </c>
      <c r="F32" s="10">
        <v>3230017.2059268001</v>
      </c>
      <c r="G32" s="10">
        <v>907</v>
      </c>
      <c r="H32" s="10">
        <v>0</v>
      </c>
      <c r="I32" s="10">
        <v>1</v>
      </c>
      <c r="J32" s="10">
        <v>1017</v>
      </c>
      <c r="K32" s="10">
        <v>3648877.0437133471</v>
      </c>
    </row>
    <row r="33" spans="1:11" x14ac:dyDescent="0.35">
      <c r="A33" s="9" t="s">
        <v>115</v>
      </c>
      <c r="B33" s="10">
        <v>1098</v>
      </c>
      <c r="C33" s="10">
        <v>0</v>
      </c>
      <c r="D33" s="10">
        <v>3</v>
      </c>
      <c r="E33" s="10">
        <v>1126</v>
      </c>
      <c r="F33" s="10">
        <v>4690577.5913680773</v>
      </c>
      <c r="G33" s="10">
        <v>1088</v>
      </c>
      <c r="H33" s="10">
        <v>0</v>
      </c>
      <c r="I33" s="10">
        <v>2</v>
      </c>
      <c r="J33" s="10">
        <v>628</v>
      </c>
      <c r="K33" s="10">
        <v>5353624.7159544239</v>
      </c>
    </row>
    <row r="34" spans="1:11" x14ac:dyDescent="0.35">
      <c r="A34" s="9" t="s">
        <v>16</v>
      </c>
      <c r="B34" s="10">
        <v>1464</v>
      </c>
      <c r="C34" s="10">
        <v>1</v>
      </c>
      <c r="D34" s="10">
        <v>5</v>
      </c>
      <c r="E34" s="10">
        <v>1159</v>
      </c>
      <c r="F34" s="10">
        <v>6883471.1932831891</v>
      </c>
      <c r="G34" s="10">
        <v>1348</v>
      </c>
      <c r="H34" s="10">
        <v>0</v>
      </c>
      <c r="I34" s="10">
        <v>2</v>
      </c>
      <c r="J34" s="10">
        <v>1228</v>
      </c>
      <c r="K34" s="10">
        <v>6937737.10068365</v>
      </c>
    </row>
    <row r="35" spans="1:11" x14ac:dyDescent="0.35">
      <c r="A35" s="9" t="s">
        <v>18</v>
      </c>
      <c r="B35" s="10">
        <v>691</v>
      </c>
      <c r="C35" s="10">
        <v>0</v>
      </c>
      <c r="D35" s="10">
        <v>4</v>
      </c>
      <c r="E35" s="10">
        <v>549</v>
      </c>
      <c r="F35" s="10">
        <v>2568596.938947347</v>
      </c>
      <c r="G35" s="10">
        <v>660</v>
      </c>
      <c r="H35" s="10">
        <v>0</v>
      </c>
      <c r="I35" s="10">
        <v>5</v>
      </c>
      <c r="J35" s="10">
        <v>629</v>
      </c>
      <c r="K35" s="10">
        <v>2023338.5569073369</v>
      </c>
    </row>
    <row r="36" spans="1:11" x14ac:dyDescent="0.35">
      <c r="A36" s="9" t="s">
        <v>43</v>
      </c>
      <c r="B36" s="10">
        <v>1954</v>
      </c>
      <c r="C36" s="10">
        <v>1</v>
      </c>
      <c r="D36" s="10">
        <v>10</v>
      </c>
      <c r="E36" s="10">
        <v>1645</v>
      </c>
      <c r="F36" s="10">
        <v>8181847.3958366001</v>
      </c>
      <c r="G36" s="10">
        <v>630</v>
      </c>
      <c r="H36" s="10">
        <v>2</v>
      </c>
      <c r="I36" s="10">
        <v>4</v>
      </c>
      <c r="J36" s="10">
        <v>161</v>
      </c>
      <c r="K36" s="10">
        <v>4393017.9085983858</v>
      </c>
    </row>
    <row r="37" spans="1:11" x14ac:dyDescent="0.35">
      <c r="A37" s="9" t="s">
        <v>152</v>
      </c>
      <c r="B37" s="10">
        <v>831</v>
      </c>
      <c r="C37" s="10">
        <v>0</v>
      </c>
      <c r="D37" s="10">
        <v>0</v>
      </c>
      <c r="E37" s="10">
        <v>688</v>
      </c>
      <c r="F37" s="10">
        <v>2804788.7314968561</v>
      </c>
      <c r="G37" s="10">
        <v>846</v>
      </c>
      <c r="H37" s="10">
        <v>1</v>
      </c>
      <c r="I37" s="10">
        <v>2</v>
      </c>
      <c r="J37" s="10">
        <v>763</v>
      </c>
      <c r="K37" s="10">
        <v>3081040.9676898969</v>
      </c>
    </row>
    <row r="38" spans="1:11" x14ac:dyDescent="0.35">
      <c r="A38" s="9" t="s">
        <v>149</v>
      </c>
      <c r="B38" s="10">
        <v>713</v>
      </c>
      <c r="C38" s="10">
        <v>0</v>
      </c>
      <c r="D38" s="10">
        <v>1</v>
      </c>
      <c r="E38" s="10">
        <v>540</v>
      </c>
      <c r="F38" s="10">
        <v>2644452.171210513</v>
      </c>
      <c r="G38" s="10">
        <v>708</v>
      </c>
      <c r="H38" s="10">
        <v>0</v>
      </c>
      <c r="I38" s="10">
        <v>1</v>
      </c>
      <c r="J38" s="10">
        <v>601</v>
      </c>
      <c r="K38" s="10">
        <v>2269206.5658248542</v>
      </c>
    </row>
    <row r="39" spans="1:11" x14ac:dyDescent="0.35">
      <c r="A39" s="9" t="s">
        <v>154</v>
      </c>
      <c r="B39" s="10">
        <v>1176</v>
      </c>
      <c r="C39" s="10">
        <v>1</v>
      </c>
      <c r="D39" s="10">
        <v>1</v>
      </c>
      <c r="E39" s="10">
        <v>816</v>
      </c>
      <c r="F39" s="10">
        <v>3996758.5997167942</v>
      </c>
      <c r="G39" s="10">
        <v>1298</v>
      </c>
      <c r="H39" s="10">
        <v>0</v>
      </c>
      <c r="I39" s="10">
        <v>1</v>
      </c>
      <c r="J39" s="10">
        <v>888</v>
      </c>
      <c r="K39" s="10">
        <v>4422193.3419590024</v>
      </c>
    </row>
    <row r="40" spans="1:11" x14ac:dyDescent="0.35">
      <c r="A40" s="9" t="s">
        <v>2</v>
      </c>
      <c r="B40" s="10">
        <v>1314</v>
      </c>
      <c r="C40" s="10">
        <v>0</v>
      </c>
      <c r="D40" s="10">
        <v>2</v>
      </c>
      <c r="E40" s="10">
        <v>869</v>
      </c>
      <c r="F40" s="10">
        <v>3686361.189313489</v>
      </c>
      <c r="G40" s="10">
        <v>1215</v>
      </c>
      <c r="H40" s="10">
        <v>1</v>
      </c>
      <c r="I40" s="10">
        <v>1</v>
      </c>
      <c r="J40" s="10">
        <v>855</v>
      </c>
      <c r="K40" s="10">
        <v>4066070.029280589</v>
      </c>
    </row>
    <row r="41" spans="1:11" x14ac:dyDescent="0.35">
      <c r="A41" s="9" t="s">
        <v>156</v>
      </c>
      <c r="B41" s="10">
        <v>2590</v>
      </c>
      <c r="C41" s="10">
        <v>3</v>
      </c>
      <c r="D41" s="10">
        <v>4</v>
      </c>
      <c r="E41" s="10">
        <v>1686</v>
      </c>
      <c r="F41" s="10">
        <v>6789965.9846690176</v>
      </c>
      <c r="G41" s="10">
        <v>2179</v>
      </c>
      <c r="H41" s="10">
        <v>1</v>
      </c>
      <c r="I41" s="10">
        <v>4</v>
      </c>
      <c r="J41" s="10">
        <v>1428</v>
      </c>
      <c r="K41" s="10">
        <v>6533619.1627266798</v>
      </c>
    </row>
    <row r="42" spans="1:11" x14ac:dyDescent="0.35">
      <c r="A42" s="9" t="s">
        <v>14</v>
      </c>
      <c r="B42" s="10">
        <v>608</v>
      </c>
      <c r="C42" s="10">
        <v>0</v>
      </c>
      <c r="D42" s="10">
        <v>6</v>
      </c>
      <c r="E42" s="10">
        <v>483</v>
      </c>
      <c r="F42" s="10">
        <v>2463905.4064653199</v>
      </c>
      <c r="G42" s="10">
        <v>687</v>
      </c>
      <c r="H42" s="10">
        <v>0</v>
      </c>
      <c r="I42" s="10">
        <v>8</v>
      </c>
      <c r="J42" s="10">
        <v>679</v>
      </c>
      <c r="K42" s="10">
        <v>2668699.8789947932</v>
      </c>
    </row>
    <row r="43" spans="1:11" x14ac:dyDescent="0.35">
      <c r="A43" s="9" t="s">
        <v>8</v>
      </c>
      <c r="B43" s="10">
        <v>2059</v>
      </c>
      <c r="C43" s="10">
        <v>1</v>
      </c>
      <c r="D43" s="10">
        <v>7</v>
      </c>
      <c r="E43" s="10">
        <v>2728</v>
      </c>
      <c r="F43" s="10">
        <v>8097675.4664721722</v>
      </c>
      <c r="G43" s="10">
        <v>2200</v>
      </c>
      <c r="H43" s="10">
        <v>1</v>
      </c>
      <c r="I43" s="10">
        <v>5</v>
      </c>
      <c r="J43" s="10">
        <v>1906</v>
      </c>
      <c r="K43" s="10">
        <v>7617372.1073729843</v>
      </c>
    </row>
    <row r="44" spans="1:11" x14ac:dyDescent="0.35">
      <c r="A44" s="9" t="s">
        <v>39</v>
      </c>
      <c r="B44" s="10">
        <v>890</v>
      </c>
      <c r="C44" s="10">
        <v>0</v>
      </c>
      <c r="D44" s="10">
        <v>2</v>
      </c>
      <c r="E44" s="10">
        <v>732</v>
      </c>
      <c r="F44" s="10">
        <v>5347088.5690272478</v>
      </c>
      <c r="G44" s="10">
        <v>1882</v>
      </c>
      <c r="H44" s="10">
        <v>1</v>
      </c>
      <c r="I44" s="10">
        <v>6</v>
      </c>
      <c r="J44" s="10">
        <v>2087</v>
      </c>
      <c r="K44" s="10">
        <v>5684764.247369715</v>
      </c>
    </row>
    <row r="45" spans="1:11" x14ac:dyDescent="0.35">
      <c r="A45" s="9" t="s">
        <v>6</v>
      </c>
      <c r="B45" s="10">
        <v>1109</v>
      </c>
      <c r="C45" s="10">
        <v>0</v>
      </c>
      <c r="D45" s="10">
        <v>4</v>
      </c>
      <c r="E45" s="10">
        <v>205</v>
      </c>
      <c r="F45" s="10">
        <v>2904965.5008437671</v>
      </c>
      <c r="G45" s="10">
        <v>1150</v>
      </c>
      <c r="H45" s="10">
        <v>1</v>
      </c>
      <c r="I45" s="10">
        <v>3</v>
      </c>
      <c r="J45" s="10">
        <v>995</v>
      </c>
      <c r="K45" s="10">
        <v>4236147.4779794589</v>
      </c>
    </row>
    <row r="46" spans="1:11" x14ac:dyDescent="0.35">
      <c r="A46" s="9" t="s">
        <v>41</v>
      </c>
      <c r="B46" s="10">
        <v>830</v>
      </c>
      <c r="C46" s="10">
        <v>0</v>
      </c>
      <c r="D46" s="10">
        <v>4</v>
      </c>
      <c r="E46" s="10">
        <v>671</v>
      </c>
      <c r="F46" s="10">
        <v>4198078.3832837623</v>
      </c>
      <c r="G46" s="10">
        <v>765</v>
      </c>
      <c r="H46" s="10">
        <v>2</v>
      </c>
      <c r="I46" s="10">
        <v>4</v>
      </c>
      <c r="J46" s="10">
        <v>660</v>
      </c>
      <c r="K46" s="10">
        <v>4419982.6356449472</v>
      </c>
    </row>
    <row r="47" spans="1:11" x14ac:dyDescent="0.35">
      <c r="A47" s="9" t="s">
        <v>158</v>
      </c>
      <c r="B47" s="10">
        <v>674</v>
      </c>
      <c r="C47" s="10">
        <v>0</v>
      </c>
      <c r="D47" s="10">
        <v>10</v>
      </c>
      <c r="E47" s="10">
        <v>790</v>
      </c>
      <c r="F47" s="10">
        <v>3003303.8863918618</v>
      </c>
      <c r="G47" s="10">
        <v>714</v>
      </c>
      <c r="H47" s="10">
        <v>0</v>
      </c>
      <c r="I47" s="10">
        <v>10</v>
      </c>
      <c r="J47" s="10">
        <v>605</v>
      </c>
      <c r="K47" s="10">
        <v>2435645.6800864781</v>
      </c>
    </row>
    <row r="48" spans="1:11" x14ac:dyDescent="0.35">
      <c r="A48" s="9" t="s">
        <v>160</v>
      </c>
      <c r="B48" s="10">
        <v>695</v>
      </c>
      <c r="C48" s="10">
        <v>0</v>
      </c>
      <c r="D48" s="10">
        <v>1</v>
      </c>
      <c r="E48" s="10">
        <v>731</v>
      </c>
      <c r="F48" s="10">
        <v>2266285.231562505</v>
      </c>
      <c r="G48" s="10">
        <v>784</v>
      </c>
      <c r="H48" s="10">
        <v>0</v>
      </c>
      <c r="I48" s="10">
        <v>2</v>
      </c>
      <c r="J48" s="10">
        <v>747</v>
      </c>
      <c r="K48" s="10">
        <v>2248564.3186675361</v>
      </c>
    </row>
    <row r="49" spans="1:11" x14ac:dyDescent="0.35">
      <c r="A49" s="9" t="s">
        <v>83</v>
      </c>
      <c r="B49" s="10">
        <v>1237</v>
      </c>
      <c r="C49" s="10">
        <v>0</v>
      </c>
      <c r="D49" s="10">
        <v>4</v>
      </c>
      <c r="E49" s="10">
        <v>1072</v>
      </c>
      <c r="F49" s="10">
        <v>7274311.6983727794</v>
      </c>
      <c r="G49" s="10">
        <v>1263</v>
      </c>
      <c r="H49" s="10">
        <v>1</v>
      </c>
      <c r="I49" s="10">
        <v>6</v>
      </c>
      <c r="J49" s="10">
        <v>1155</v>
      </c>
      <c r="K49" s="10">
        <v>8534944.728233153</v>
      </c>
    </row>
    <row r="50" spans="1:11" x14ac:dyDescent="0.35">
      <c r="A50" s="9" t="s">
        <v>201</v>
      </c>
      <c r="B50" s="10">
        <v>446</v>
      </c>
      <c r="C50" s="10">
        <v>0</v>
      </c>
      <c r="D50" s="10">
        <v>1</v>
      </c>
      <c r="E50" s="10">
        <v>436</v>
      </c>
      <c r="F50" s="10">
        <v>1306720.355023335</v>
      </c>
      <c r="G50" s="10">
        <v>506</v>
      </c>
      <c r="H50" s="10">
        <v>0</v>
      </c>
      <c r="I50" s="10">
        <v>1</v>
      </c>
      <c r="J50" s="10">
        <v>499</v>
      </c>
      <c r="K50" s="10">
        <v>1253748.878791193</v>
      </c>
    </row>
    <row r="51" spans="1:11" x14ac:dyDescent="0.35">
      <c r="A51" s="9" t="s">
        <v>31</v>
      </c>
      <c r="B51" s="10">
        <v>899</v>
      </c>
      <c r="C51" s="10">
        <v>0</v>
      </c>
      <c r="D51" s="10">
        <v>5</v>
      </c>
      <c r="E51" s="10">
        <v>897</v>
      </c>
      <c r="F51" s="10">
        <v>3463740.2241515219</v>
      </c>
      <c r="G51" s="10">
        <v>954</v>
      </c>
      <c r="H51" s="10">
        <v>0</v>
      </c>
      <c r="I51" s="10">
        <v>3</v>
      </c>
      <c r="J51" s="10">
        <v>925</v>
      </c>
      <c r="K51" s="10">
        <v>3398244.8252335079</v>
      </c>
    </row>
    <row r="52" spans="1:11" x14ac:dyDescent="0.35">
      <c r="A52" s="9" t="s">
        <v>33</v>
      </c>
      <c r="B52" s="10">
        <v>1330</v>
      </c>
      <c r="C52" s="10">
        <v>0</v>
      </c>
      <c r="D52" s="10">
        <v>12</v>
      </c>
      <c r="E52" s="10">
        <v>991</v>
      </c>
      <c r="F52" s="10">
        <v>5835070.6143912291</v>
      </c>
      <c r="G52" s="10">
        <v>1444</v>
      </c>
      <c r="H52" s="10">
        <v>0</v>
      </c>
      <c r="I52" s="10">
        <v>12</v>
      </c>
      <c r="J52" s="10">
        <v>1080</v>
      </c>
      <c r="K52" s="10">
        <v>6299322.3928717198</v>
      </c>
    </row>
    <row r="53" spans="1:11" x14ac:dyDescent="0.35">
      <c r="A53" s="9" t="s">
        <v>85</v>
      </c>
      <c r="B53" s="10">
        <v>482</v>
      </c>
      <c r="C53" s="10">
        <v>0</v>
      </c>
      <c r="D53" s="10">
        <v>5</v>
      </c>
      <c r="E53" s="10">
        <v>397</v>
      </c>
      <c r="F53" s="10">
        <v>3352063.8267784659</v>
      </c>
      <c r="G53" s="10">
        <v>437</v>
      </c>
      <c r="H53" s="10">
        <v>1</v>
      </c>
      <c r="I53" s="10">
        <v>5</v>
      </c>
      <c r="J53" s="10">
        <v>393</v>
      </c>
      <c r="K53" s="10">
        <v>3055918.637868701</v>
      </c>
    </row>
    <row r="54" spans="1:11" x14ac:dyDescent="0.35">
      <c r="A54" s="9" t="s">
        <v>81</v>
      </c>
      <c r="B54" s="10">
        <v>457</v>
      </c>
      <c r="C54" s="10">
        <v>0</v>
      </c>
      <c r="D54" s="10">
        <v>5</v>
      </c>
      <c r="E54" s="10">
        <v>332</v>
      </c>
      <c r="F54" s="10">
        <v>2581513.7041161391</v>
      </c>
      <c r="G54" s="10">
        <v>399</v>
      </c>
      <c r="H54" s="10">
        <v>1</v>
      </c>
      <c r="I54" s="10">
        <v>3</v>
      </c>
      <c r="J54" s="10">
        <v>334</v>
      </c>
      <c r="K54" s="10">
        <v>2474332.9289486958</v>
      </c>
    </row>
    <row r="55" spans="1:11" x14ac:dyDescent="0.35">
      <c r="A55" s="9" t="s">
        <v>87</v>
      </c>
      <c r="B55" s="10">
        <v>425</v>
      </c>
      <c r="C55" s="10">
        <v>0</v>
      </c>
      <c r="D55" s="10">
        <v>3</v>
      </c>
      <c r="E55" s="10">
        <v>352</v>
      </c>
      <c r="F55" s="10">
        <v>2247592.5186191709</v>
      </c>
      <c r="G55" s="10">
        <v>396</v>
      </c>
      <c r="H55" s="10">
        <v>0</v>
      </c>
      <c r="I55" s="10">
        <v>2</v>
      </c>
      <c r="J55" s="10">
        <v>350</v>
      </c>
      <c r="K55" s="10">
        <v>2113683.7262563398</v>
      </c>
    </row>
    <row r="56" spans="1:11" x14ac:dyDescent="0.35">
      <c r="A56" s="9" t="s">
        <v>166</v>
      </c>
      <c r="B56" s="10">
        <v>1117</v>
      </c>
      <c r="C56" s="10">
        <v>0</v>
      </c>
      <c r="D56" s="10">
        <v>0</v>
      </c>
      <c r="E56" s="10">
        <v>927</v>
      </c>
      <c r="F56" s="10">
        <v>4571772.4200392878</v>
      </c>
      <c r="G56" s="10">
        <v>1031</v>
      </c>
      <c r="H56" s="10">
        <v>1</v>
      </c>
      <c r="I56" s="10">
        <v>0</v>
      </c>
      <c r="J56" s="10">
        <v>955</v>
      </c>
      <c r="K56" s="10">
        <v>5068103.4100936558</v>
      </c>
    </row>
    <row r="57" spans="1:11" x14ac:dyDescent="0.35">
      <c r="A57" s="9" t="s">
        <v>93</v>
      </c>
      <c r="B57" s="10">
        <v>953</v>
      </c>
      <c r="C57" s="10">
        <v>0</v>
      </c>
      <c r="D57" s="10">
        <v>1</v>
      </c>
      <c r="E57" s="10">
        <v>713</v>
      </c>
      <c r="F57" s="10">
        <v>3519452.3522033789</v>
      </c>
      <c r="G57" s="10">
        <v>1015</v>
      </c>
      <c r="H57" s="10">
        <v>2</v>
      </c>
      <c r="I57" s="10">
        <v>2</v>
      </c>
      <c r="J57" s="10">
        <v>902</v>
      </c>
      <c r="K57" s="10">
        <v>4937700.3004492121</v>
      </c>
    </row>
    <row r="58" spans="1:11" x14ac:dyDescent="0.35">
      <c r="A58" s="9" t="s">
        <v>95</v>
      </c>
      <c r="B58" s="10">
        <v>2015</v>
      </c>
      <c r="C58" s="10">
        <v>1</v>
      </c>
      <c r="D58" s="10">
        <v>8</v>
      </c>
      <c r="E58" s="10">
        <v>1792</v>
      </c>
      <c r="F58" s="10">
        <v>9665281.4774111714</v>
      </c>
      <c r="G58" s="10">
        <v>1943</v>
      </c>
      <c r="H58" s="10">
        <v>3</v>
      </c>
      <c r="I58" s="10">
        <v>9</v>
      </c>
      <c r="J58" s="10">
        <v>1650</v>
      </c>
      <c r="K58" s="10">
        <v>8679277.7341568563</v>
      </c>
    </row>
    <row r="59" spans="1:11" x14ac:dyDescent="0.35">
      <c r="A59" s="9" t="s">
        <v>174</v>
      </c>
      <c r="B59" s="10">
        <v>679</v>
      </c>
      <c r="C59" s="10">
        <v>0</v>
      </c>
      <c r="D59" s="10">
        <v>0</v>
      </c>
      <c r="E59" s="10">
        <v>554</v>
      </c>
      <c r="F59" s="10">
        <v>1921742.156375498</v>
      </c>
      <c r="G59" s="10">
        <v>655</v>
      </c>
      <c r="H59" s="10">
        <v>1</v>
      </c>
      <c r="I59" s="10">
        <v>0</v>
      </c>
      <c r="J59" s="10">
        <v>639</v>
      </c>
      <c r="K59" s="10">
        <v>2513363.161744447</v>
      </c>
    </row>
    <row r="60" spans="1:11" x14ac:dyDescent="0.35">
      <c r="A60" s="9" t="s">
        <v>99</v>
      </c>
      <c r="B60" s="10">
        <v>861</v>
      </c>
      <c r="C60" s="10">
        <v>1</v>
      </c>
      <c r="D60" s="10">
        <v>5</v>
      </c>
      <c r="E60" s="10">
        <v>773</v>
      </c>
      <c r="F60" s="10">
        <v>3483339.8112439979</v>
      </c>
      <c r="G60" s="10">
        <v>947</v>
      </c>
      <c r="H60" s="10">
        <v>0</v>
      </c>
      <c r="I60" s="10">
        <v>4</v>
      </c>
      <c r="J60" s="10">
        <v>784</v>
      </c>
      <c r="K60" s="10">
        <v>4172621.4861221388</v>
      </c>
    </row>
    <row r="61" spans="1:11" x14ac:dyDescent="0.35">
      <c r="A61" s="9" t="s">
        <v>172</v>
      </c>
      <c r="B61" s="10">
        <v>760</v>
      </c>
      <c r="C61" s="10">
        <v>0</v>
      </c>
      <c r="D61" s="10">
        <v>1</v>
      </c>
      <c r="E61" s="10">
        <v>684</v>
      </c>
      <c r="F61" s="10">
        <v>2457382.1547172791</v>
      </c>
      <c r="G61" s="10">
        <v>727</v>
      </c>
      <c r="H61" s="10">
        <v>0</v>
      </c>
      <c r="I61" s="10">
        <v>0</v>
      </c>
      <c r="J61" s="10">
        <v>636</v>
      </c>
      <c r="K61" s="10">
        <v>2527962.0009857891</v>
      </c>
    </row>
    <row r="62" spans="1:11" x14ac:dyDescent="0.35">
      <c r="A62" s="9" t="s">
        <v>168</v>
      </c>
      <c r="B62" s="10">
        <v>1099</v>
      </c>
      <c r="C62" s="10">
        <v>1</v>
      </c>
      <c r="D62" s="10">
        <v>0</v>
      </c>
      <c r="E62" s="10">
        <v>1049</v>
      </c>
      <c r="F62" s="10">
        <v>4997554.9460497582</v>
      </c>
      <c r="G62" s="10">
        <v>1068</v>
      </c>
      <c r="H62" s="10">
        <v>0</v>
      </c>
      <c r="I62" s="10">
        <v>0</v>
      </c>
      <c r="J62" s="10">
        <v>999</v>
      </c>
      <c r="K62" s="10">
        <v>5315662.0267726416</v>
      </c>
    </row>
    <row r="63" spans="1:11" x14ac:dyDescent="0.35">
      <c r="A63" s="9" t="s">
        <v>101</v>
      </c>
      <c r="B63" s="10">
        <v>1340</v>
      </c>
      <c r="C63" s="10">
        <v>0</v>
      </c>
      <c r="D63" s="10">
        <v>4</v>
      </c>
      <c r="E63" s="10">
        <v>1400</v>
      </c>
      <c r="F63" s="10">
        <v>5938836.022959522</v>
      </c>
      <c r="G63" s="10">
        <v>1676</v>
      </c>
      <c r="H63" s="10">
        <v>1</v>
      </c>
      <c r="I63" s="10">
        <v>5</v>
      </c>
      <c r="J63" s="10">
        <v>1531</v>
      </c>
      <c r="K63" s="10">
        <v>7285094.0026759794</v>
      </c>
    </row>
    <row r="64" spans="1:11" x14ac:dyDescent="0.35">
      <c r="A64" s="9" t="s">
        <v>103</v>
      </c>
      <c r="B64" s="10">
        <v>783</v>
      </c>
      <c r="C64" s="10">
        <v>0</v>
      </c>
      <c r="D64" s="10">
        <v>3</v>
      </c>
      <c r="E64" s="10">
        <v>681</v>
      </c>
      <c r="F64" s="10">
        <v>3195791.850343734</v>
      </c>
      <c r="G64" s="10">
        <v>862</v>
      </c>
      <c r="H64" s="10">
        <v>0</v>
      </c>
      <c r="I64" s="10">
        <v>5</v>
      </c>
      <c r="J64" s="10">
        <v>755</v>
      </c>
      <c r="K64" s="10">
        <v>3454942.3357604439</v>
      </c>
    </row>
    <row r="65" spans="1:11" x14ac:dyDescent="0.35">
      <c r="A65" s="9" t="s">
        <v>105</v>
      </c>
      <c r="B65" s="10">
        <v>666</v>
      </c>
      <c r="C65" s="10">
        <v>1</v>
      </c>
      <c r="D65" s="10">
        <v>5</v>
      </c>
      <c r="E65" s="10">
        <v>474</v>
      </c>
      <c r="F65" s="10">
        <v>3555417.1306016222</v>
      </c>
      <c r="G65" s="10">
        <v>564</v>
      </c>
      <c r="H65" s="10">
        <v>2</v>
      </c>
      <c r="I65" s="10">
        <v>6</v>
      </c>
      <c r="J65" s="10">
        <v>479</v>
      </c>
      <c r="K65" s="10">
        <v>3701623.364558856</v>
      </c>
    </row>
    <row r="66" spans="1:11" x14ac:dyDescent="0.35">
      <c r="A66" s="9" t="s">
        <v>24</v>
      </c>
      <c r="B66" s="10">
        <v>2022</v>
      </c>
      <c r="C66" s="10">
        <v>0</v>
      </c>
      <c r="D66" s="10">
        <v>10</v>
      </c>
      <c r="E66" s="10">
        <v>1693</v>
      </c>
      <c r="F66" s="10">
        <v>11386062.3979028</v>
      </c>
      <c r="G66" s="10">
        <v>1999</v>
      </c>
      <c r="H66" s="10">
        <v>2</v>
      </c>
      <c r="I66" s="10">
        <v>9</v>
      </c>
      <c r="J66" s="10">
        <v>1651</v>
      </c>
      <c r="K66" s="10">
        <v>11735567.629191903</v>
      </c>
    </row>
    <row r="67" spans="1:11" x14ac:dyDescent="0.35">
      <c r="A67" s="9" t="s">
        <v>27</v>
      </c>
      <c r="B67" s="10">
        <v>1559</v>
      </c>
      <c r="C67" s="10">
        <v>1</v>
      </c>
      <c r="D67" s="10">
        <v>6</v>
      </c>
      <c r="E67" s="10">
        <v>1159</v>
      </c>
      <c r="F67" s="10">
        <v>7757869.2165903812</v>
      </c>
      <c r="G67" s="10">
        <v>1612</v>
      </c>
      <c r="H67" s="10">
        <v>3</v>
      </c>
      <c r="I67" s="10">
        <v>6</v>
      </c>
      <c r="J67" s="10">
        <v>1250</v>
      </c>
      <c r="K67" s="10">
        <v>8803420.1098681837</v>
      </c>
    </row>
    <row r="68" spans="1:11" x14ac:dyDescent="0.35">
      <c r="A68" s="9" t="s">
        <v>29</v>
      </c>
      <c r="B68" s="10">
        <v>875</v>
      </c>
      <c r="C68" s="10">
        <v>1</v>
      </c>
      <c r="D68" s="10">
        <v>0</v>
      </c>
      <c r="E68" s="10">
        <v>731</v>
      </c>
      <c r="F68" s="10">
        <v>5648568.6531709414</v>
      </c>
      <c r="G68" s="10">
        <v>933</v>
      </c>
      <c r="H68" s="10">
        <v>0</v>
      </c>
      <c r="I68" s="10">
        <v>1</v>
      </c>
      <c r="J68" s="10">
        <v>736</v>
      </c>
      <c r="K68" s="10">
        <v>6137414.9424861614</v>
      </c>
    </row>
    <row r="69" spans="1:11" x14ac:dyDescent="0.35">
      <c r="A69" s="9" t="s">
        <v>57</v>
      </c>
      <c r="B69" s="10">
        <v>2091</v>
      </c>
      <c r="C69" s="10">
        <v>3</v>
      </c>
      <c r="D69" s="10">
        <v>12</v>
      </c>
      <c r="E69" s="10">
        <v>1356</v>
      </c>
      <c r="F69" s="10">
        <v>8058340.5278196167</v>
      </c>
      <c r="G69" s="10">
        <v>2097</v>
      </c>
      <c r="H69" s="10">
        <v>80</v>
      </c>
      <c r="I69" s="10">
        <v>12</v>
      </c>
      <c r="J69" s="10">
        <v>1354</v>
      </c>
      <c r="K69" s="10">
        <v>8098419.0821462711</v>
      </c>
    </row>
    <row r="70" spans="1:11" x14ac:dyDescent="0.35">
      <c r="A70" s="9" t="s">
        <v>137</v>
      </c>
      <c r="B70" s="10">
        <v>259</v>
      </c>
      <c r="C70" s="10">
        <v>0</v>
      </c>
      <c r="D70" s="10">
        <v>0</v>
      </c>
      <c r="E70" s="10">
        <v>1</v>
      </c>
      <c r="F70" s="10">
        <v>1.0707901399999999</v>
      </c>
      <c r="G70" s="10">
        <v>263</v>
      </c>
      <c r="H70" s="10">
        <v>0</v>
      </c>
      <c r="I70" s="10">
        <v>0</v>
      </c>
      <c r="J70" s="10">
        <v>250</v>
      </c>
      <c r="K70" s="10">
        <v>635672.23814705398</v>
      </c>
    </row>
    <row r="71" spans="1:11" x14ac:dyDescent="0.35">
      <c r="A71" s="9" t="s">
        <v>10</v>
      </c>
      <c r="B71" s="10">
        <v>1676</v>
      </c>
      <c r="C71" s="10">
        <v>0</v>
      </c>
      <c r="D71" s="10">
        <v>3</v>
      </c>
      <c r="E71" s="10">
        <v>205</v>
      </c>
      <c r="F71" s="10">
        <v>5088618.1799947424</v>
      </c>
      <c r="G71" s="10">
        <v>1825</v>
      </c>
      <c r="H71" s="10">
        <v>1</v>
      </c>
      <c r="I71" s="10">
        <v>6</v>
      </c>
      <c r="J71" s="10">
        <v>1567</v>
      </c>
      <c r="K71" s="10">
        <v>5899893.0168545712</v>
      </c>
    </row>
    <row r="72" spans="1:11" x14ac:dyDescent="0.35">
      <c r="A72" s="9" t="s">
        <v>12</v>
      </c>
      <c r="B72" s="10">
        <v>695</v>
      </c>
      <c r="C72" s="10">
        <v>0</v>
      </c>
      <c r="D72" s="10">
        <v>3</v>
      </c>
      <c r="E72" s="10">
        <v>1504</v>
      </c>
      <c r="F72" s="10">
        <v>2428886.8550216332</v>
      </c>
      <c r="G72" s="10">
        <v>748</v>
      </c>
      <c r="H72" s="10">
        <v>0</v>
      </c>
      <c r="I72" s="10">
        <v>3</v>
      </c>
      <c r="J72" s="10">
        <v>572</v>
      </c>
      <c r="K72" s="10">
        <v>2495713.3272235831</v>
      </c>
    </row>
    <row r="73" spans="1:11" x14ac:dyDescent="0.35">
      <c r="A73" s="9" t="s">
        <v>162</v>
      </c>
      <c r="B73" s="10">
        <v>1352</v>
      </c>
      <c r="C73" s="10">
        <v>0</v>
      </c>
      <c r="D73" s="10">
        <v>4</v>
      </c>
      <c r="E73" s="10">
        <v>867</v>
      </c>
      <c r="F73" s="10">
        <v>4376091.4725618316</v>
      </c>
      <c r="G73" s="10">
        <v>1668</v>
      </c>
      <c r="H73" s="10">
        <v>0</v>
      </c>
      <c r="I73" s="10">
        <v>5</v>
      </c>
      <c r="J73" s="10">
        <v>1108</v>
      </c>
      <c r="K73" s="10">
        <v>4268871.5791348601</v>
      </c>
    </row>
    <row r="74" spans="1:11" x14ac:dyDescent="0.35">
      <c r="A74" s="9" t="s">
        <v>63</v>
      </c>
      <c r="B74" s="10">
        <v>1302</v>
      </c>
      <c r="C74" s="10">
        <v>1</v>
      </c>
      <c r="D74" s="10">
        <v>3</v>
      </c>
      <c r="E74" s="10">
        <v>1234</v>
      </c>
      <c r="F74" s="10">
        <v>2879271.2472862988</v>
      </c>
      <c r="G74" s="10">
        <v>1597</v>
      </c>
      <c r="H74" s="10">
        <v>0</v>
      </c>
      <c r="I74" s="10">
        <v>3</v>
      </c>
      <c r="J74" s="10">
        <v>1401</v>
      </c>
      <c r="K74" s="10">
        <v>3605718.8408622979</v>
      </c>
    </row>
    <row r="75" spans="1:11" x14ac:dyDescent="0.35">
      <c r="A75" s="9" t="s">
        <v>59</v>
      </c>
      <c r="B75" s="10">
        <v>1750</v>
      </c>
      <c r="C75" s="10">
        <v>0</v>
      </c>
      <c r="D75" s="10">
        <v>5</v>
      </c>
      <c r="E75" s="10">
        <v>1207</v>
      </c>
      <c r="F75" s="10">
        <v>8314089.7730293134</v>
      </c>
      <c r="G75" s="10">
        <v>1535</v>
      </c>
      <c r="H75" s="10">
        <v>4</v>
      </c>
      <c r="I75" s="10">
        <v>6</v>
      </c>
      <c r="J75" s="10">
        <v>1228</v>
      </c>
      <c r="K75" s="10">
        <v>7787987.9146919688</v>
      </c>
    </row>
    <row r="76" spans="1:11" x14ac:dyDescent="0.35">
      <c r="A76" s="9" t="s">
        <v>139</v>
      </c>
      <c r="B76" s="10">
        <v>488</v>
      </c>
      <c r="C76" s="10">
        <v>0</v>
      </c>
      <c r="D76" s="10">
        <v>1</v>
      </c>
      <c r="E76" s="10">
        <v>472</v>
      </c>
      <c r="F76" s="10">
        <v>1424564.5703001081</v>
      </c>
      <c r="G76" s="10">
        <v>482</v>
      </c>
      <c r="H76" s="10">
        <v>1</v>
      </c>
      <c r="I76" s="10">
        <v>1</v>
      </c>
      <c r="J76" s="10">
        <v>417</v>
      </c>
      <c r="K76" s="10">
        <v>1395900.4376752439</v>
      </c>
    </row>
    <row r="77" spans="1:11" x14ac:dyDescent="0.35">
      <c r="A77" s="9" t="s">
        <v>170</v>
      </c>
      <c r="B77" s="10">
        <v>896</v>
      </c>
      <c r="C77" s="10">
        <v>1</v>
      </c>
      <c r="D77" s="10">
        <v>0</v>
      </c>
      <c r="E77" s="10">
        <v>815</v>
      </c>
      <c r="F77" s="10">
        <v>2280827.8111792081</v>
      </c>
      <c r="G77" s="10">
        <v>777</v>
      </c>
      <c r="H77" s="10">
        <v>1</v>
      </c>
      <c r="I77" s="10">
        <v>0</v>
      </c>
      <c r="J77" s="10">
        <v>787</v>
      </c>
      <c r="K77" s="10">
        <v>2541371.6052585049</v>
      </c>
    </row>
    <row r="78" spans="1:11" x14ac:dyDescent="0.35">
      <c r="A78" s="9" t="s">
        <v>61</v>
      </c>
      <c r="B78" s="10">
        <v>652</v>
      </c>
      <c r="C78" s="10">
        <v>0</v>
      </c>
      <c r="D78" s="10">
        <v>3</v>
      </c>
      <c r="E78" s="10">
        <v>461</v>
      </c>
      <c r="F78" s="10">
        <v>2334960.0901513491</v>
      </c>
      <c r="G78" s="10">
        <v>637</v>
      </c>
      <c r="H78" s="10">
        <v>1</v>
      </c>
      <c r="I78" s="10">
        <v>3</v>
      </c>
      <c r="J78" s="10">
        <v>478</v>
      </c>
      <c r="K78" s="10">
        <v>2626330.1801084918</v>
      </c>
    </row>
    <row r="79" spans="1:11" x14ac:dyDescent="0.35">
      <c r="A79" s="9" t="s">
        <v>129</v>
      </c>
      <c r="B79" s="10">
        <v>580</v>
      </c>
      <c r="C79" s="10">
        <v>2</v>
      </c>
      <c r="D79" s="10">
        <v>0</v>
      </c>
      <c r="E79" s="10">
        <v>687</v>
      </c>
      <c r="F79" s="10">
        <v>1740047.3277532819</v>
      </c>
      <c r="G79" s="10">
        <v>604</v>
      </c>
      <c r="H79" s="10">
        <v>0</v>
      </c>
      <c r="I79" s="10">
        <v>0</v>
      </c>
      <c r="J79" s="10">
        <v>508</v>
      </c>
      <c r="K79" s="10">
        <v>1184123.8615273731</v>
      </c>
    </row>
    <row r="80" spans="1:11" x14ac:dyDescent="0.35">
      <c r="A80" s="9" t="s">
        <v>35</v>
      </c>
      <c r="B80" s="10">
        <v>441</v>
      </c>
      <c r="C80" s="10">
        <v>0</v>
      </c>
      <c r="D80" s="10">
        <v>7</v>
      </c>
      <c r="E80" s="10">
        <v>469</v>
      </c>
      <c r="F80" s="10">
        <v>2347390.2502442258</v>
      </c>
      <c r="G80" s="10">
        <v>482</v>
      </c>
      <c r="H80" s="10">
        <v>1</v>
      </c>
      <c r="I80" s="10">
        <v>7</v>
      </c>
      <c r="J80" s="10">
        <v>459</v>
      </c>
      <c r="K80" s="10">
        <v>1900167.038378757</v>
      </c>
    </row>
    <row r="81" spans="1:11" x14ac:dyDescent="0.35">
      <c r="A81" s="9" t="s">
        <v>107</v>
      </c>
      <c r="B81" s="10">
        <v>964</v>
      </c>
      <c r="C81" s="10">
        <v>2</v>
      </c>
      <c r="D81" s="10">
        <v>4</v>
      </c>
      <c r="E81" s="10">
        <v>847</v>
      </c>
      <c r="F81" s="10">
        <v>5500378.0680399928</v>
      </c>
      <c r="G81" s="10">
        <v>831</v>
      </c>
      <c r="H81" s="10">
        <v>2</v>
      </c>
      <c r="I81" s="10">
        <v>4</v>
      </c>
      <c r="J81" s="10">
        <v>745</v>
      </c>
      <c r="K81" s="10">
        <v>6208430.0376553433</v>
      </c>
    </row>
    <row r="82" spans="1:11" x14ac:dyDescent="0.35">
      <c r="A82" s="9" t="s">
        <v>37</v>
      </c>
      <c r="B82" s="10">
        <v>783</v>
      </c>
      <c r="C82" s="10">
        <v>1</v>
      </c>
      <c r="D82" s="10">
        <v>10</v>
      </c>
      <c r="E82" s="10">
        <v>722</v>
      </c>
      <c r="F82" s="10">
        <v>3369013.8625407722</v>
      </c>
      <c r="G82" s="10">
        <v>825</v>
      </c>
      <c r="H82" s="10">
        <v>0</v>
      </c>
      <c r="I82" s="10">
        <v>8</v>
      </c>
      <c r="J82" s="10">
        <v>734</v>
      </c>
      <c r="K82" s="10">
        <v>3396790.8266082481</v>
      </c>
    </row>
    <row r="83" spans="1:11" x14ac:dyDescent="0.35">
      <c r="A83" s="9" t="s">
        <v>76</v>
      </c>
      <c r="B83" s="10">
        <v>941</v>
      </c>
      <c r="C83" s="10">
        <v>0</v>
      </c>
      <c r="D83" s="10">
        <v>1</v>
      </c>
      <c r="E83" s="10">
        <v>936</v>
      </c>
      <c r="F83" s="10">
        <v>2888100.1140927752</v>
      </c>
      <c r="G83" s="10">
        <v>1067</v>
      </c>
      <c r="H83" s="10">
        <v>0</v>
      </c>
      <c r="I83" s="10">
        <v>1</v>
      </c>
      <c r="J83" s="10">
        <v>925</v>
      </c>
      <c r="K83" s="10">
        <v>2943452.070690813</v>
      </c>
    </row>
    <row r="84" spans="1:11" x14ac:dyDescent="0.35">
      <c r="A84" s="9" t="s">
        <v>65</v>
      </c>
      <c r="B84" s="10">
        <v>1000</v>
      </c>
      <c r="C84" s="10">
        <v>0</v>
      </c>
      <c r="D84" s="10">
        <v>6</v>
      </c>
      <c r="E84" s="10">
        <v>1287</v>
      </c>
      <c r="F84" s="10">
        <v>3126468.2318022992</v>
      </c>
      <c r="G84" s="10">
        <v>931</v>
      </c>
      <c r="H84" s="10">
        <v>0</v>
      </c>
      <c r="I84" s="10">
        <v>5</v>
      </c>
      <c r="J84" s="10">
        <v>847</v>
      </c>
      <c r="K84" s="10">
        <v>3339267.5499992738</v>
      </c>
    </row>
    <row r="85" spans="1:11" x14ac:dyDescent="0.35">
      <c r="A85" s="9" t="s">
        <v>89</v>
      </c>
      <c r="B85" s="10">
        <v>744</v>
      </c>
      <c r="C85" s="10">
        <v>0</v>
      </c>
      <c r="D85" s="10">
        <v>3</v>
      </c>
      <c r="E85" s="10">
        <v>796</v>
      </c>
      <c r="F85" s="10">
        <v>1708894.8077382189</v>
      </c>
      <c r="G85" s="10">
        <v>802</v>
      </c>
      <c r="H85" s="10">
        <v>0</v>
      </c>
      <c r="I85" s="10">
        <v>6</v>
      </c>
      <c r="J85" s="10">
        <v>772</v>
      </c>
      <c r="K85" s="10">
        <v>3851550.9000304919</v>
      </c>
    </row>
    <row r="86" spans="1:11" x14ac:dyDescent="0.35">
      <c r="A86" s="9" t="s">
        <v>147</v>
      </c>
      <c r="B86" s="10">
        <v>574</v>
      </c>
      <c r="C86" s="10">
        <v>0</v>
      </c>
      <c r="D86" s="10">
        <v>0</v>
      </c>
      <c r="E86" s="10">
        <v>815</v>
      </c>
      <c r="F86" s="10">
        <v>1520088.110324983</v>
      </c>
      <c r="G86" s="10">
        <v>577</v>
      </c>
      <c r="H86" s="10">
        <v>0</v>
      </c>
      <c r="I86" s="10">
        <v>0</v>
      </c>
      <c r="J86" s="10">
        <v>563</v>
      </c>
      <c r="K86" s="10">
        <v>1682021.2464240999</v>
      </c>
    </row>
    <row r="87" spans="1:11" x14ac:dyDescent="0.35">
      <c r="A87" s="9" t="s">
        <v>164</v>
      </c>
      <c r="B87" s="10">
        <v>1724</v>
      </c>
      <c r="C87" s="10">
        <v>0</v>
      </c>
      <c r="D87" s="10">
        <v>9</v>
      </c>
      <c r="E87" s="10">
        <v>1296</v>
      </c>
      <c r="F87" s="10">
        <v>6487224.5172241116</v>
      </c>
      <c r="G87" s="10">
        <v>1591</v>
      </c>
      <c r="H87" s="10">
        <v>0</v>
      </c>
      <c r="I87" s="10">
        <v>9</v>
      </c>
      <c r="J87" s="10">
        <v>1369</v>
      </c>
      <c r="K87" s="10">
        <v>8094729.1422848776</v>
      </c>
    </row>
    <row r="88" spans="1:11" x14ac:dyDescent="0.35">
      <c r="A88" s="9" t="s">
        <v>91</v>
      </c>
      <c r="B88" s="10">
        <v>606</v>
      </c>
      <c r="C88" s="10">
        <v>0</v>
      </c>
      <c r="D88" s="10">
        <v>3</v>
      </c>
      <c r="E88" s="10">
        <v>630</v>
      </c>
      <c r="F88" s="10">
        <v>1187829.6673015449</v>
      </c>
      <c r="G88" s="10">
        <v>827</v>
      </c>
      <c r="H88" s="10">
        <v>0</v>
      </c>
      <c r="I88" s="10">
        <v>3</v>
      </c>
      <c r="J88" s="10">
        <v>746</v>
      </c>
      <c r="K88" s="10">
        <v>1826965.902087007</v>
      </c>
    </row>
    <row r="89" spans="1:11" x14ac:dyDescent="0.35">
      <c r="A89" s="9" t="s">
        <v>97</v>
      </c>
      <c r="B89" s="10">
        <v>595</v>
      </c>
      <c r="C89" s="10">
        <v>1</v>
      </c>
      <c r="D89" s="10">
        <v>7</v>
      </c>
      <c r="E89" s="10">
        <v>548</v>
      </c>
      <c r="F89" s="10">
        <v>3315378.7830691151</v>
      </c>
      <c r="G89" s="10">
        <v>687</v>
      </c>
      <c r="H89" s="10">
        <v>0</v>
      </c>
      <c r="I89" s="10">
        <v>8</v>
      </c>
      <c r="J89" s="10">
        <v>552</v>
      </c>
      <c r="K89" s="10">
        <v>2893672.993127957</v>
      </c>
    </row>
    <row r="90" spans="1:11" x14ac:dyDescent="0.35">
      <c r="A90" s="9" t="s">
        <v>78</v>
      </c>
      <c r="B90" s="10">
        <v>357</v>
      </c>
      <c r="C90" s="10">
        <v>0</v>
      </c>
      <c r="D90" s="10">
        <v>0</v>
      </c>
      <c r="E90" s="10">
        <v>628</v>
      </c>
      <c r="F90" s="10">
        <v>884745.77418486204</v>
      </c>
      <c r="G90" s="10">
        <v>357</v>
      </c>
      <c r="H90" s="10">
        <v>0</v>
      </c>
      <c r="I90" s="10">
        <v>1</v>
      </c>
      <c r="J90" s="10">
        <v>322</v>
      </c>
      <c r="K90" s="10">
        <v>946233.54200647504</v>
      </c>
    </row>
    <row r="91" spans="1:11" x14ac:dyDescent="0.35">
      <c r="A91" s="14" t="s">
        <v>203</v>
      </c>
      <c r="B91" s="13">
        <v>84431</v>
      </c>
      <c r="C91" s="13">
        <v>40</v>
      </c>
      <c r="D91" s="13">
        <v>288</v>
      </c>
      <c r="E91" s="13">
        <v>71326</v>
      </c>
      <c r="F91" s="13">
        <v>316172626.66268551</v>
      </c>
      <c r="G91" s="13">
        <v>84069</v>
      </c>
      <c r="H91" s="13">
        <v>135</v>
      </c>
      <c r="I91" s="13">
        <v>289</v>
      </c>
      <c r="J91" s="13">
        <v>71462</v>
      </c>
      <c r="K91" s="13">
        <v>333234367.393525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2026-09-06T07:20:32Z</dcterms:modified>
</cp:coreProperties>
</file>