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MN-IOH\Documents\DASHBOARD MS\"/>
    </mc:Choice>
  </mc:AlternateContent>
  <bookViews>
    <workbookView xWindow="0" yWindow="0" windowWidth="19200" windowHeight="6930" activeTab="1"/>
  </bookViews>
  <sheets>
    <sheet name="Sheet1" sheetId="3" r:id="rId1"/>
    <sheet name="MASTER" sheetId="4" r:id="rId2"/>
  </sheets>
  <definedNames>
    <definedName name="_xlnm._FilterDatabase" localSheetId="1" hidden="1">MASTER!$A$5:$K$5</definedName>
    <definedName name="_xlnm._FilterDatabase" localSheetId="0" hidden="1">Sheet1!$A$1:$P$85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N3" i="3" l="1"/>
  <c r="N4" i="3"/>
  <c r="N5" i="3"/>
  <c r="N6" i="3"/>
  <c r="N7" i="3"/>
  <c r="N8" i="3"/>
  <c r="N9" i="3"/>
  <c r="N10" i="3"/>
  <c r="N11" i="3"/>
  <c r="N12" i="3"/>
  <c r="N13" i="3"/>
  <c r="N14" i="3"/>
  <c r="N15" i="3"/>
  <c r="N16" i="3"/>
  <c r="N17" i="3"/>
  <c r="N18" i="3"/>
  <c r="N19" i="3"/>
  <c r="N20" i="3"/>
  <c r="N21" i="3"/>
  <c r="N22" i="3"/>
  <c r="N23" i="3"/>
  <c r="N24" i="3"/>
  <c r="N25" i="3"/>
  <c r="N26" i="3"/>
  <c r="N27" i="3"/>
  <c r="N28" i="3"/>
  <c r="N29" i="3"/>
  <c r="N30" i="3"/>
  <c r="N31" i="3"/>
  <c r="N32" i="3"/>
  <c r="N33" i="3"/>
  <c r="N34" i="3"/>
  <c r="N35" i="3"/>
  <c r="N36" i="3"/>
  <c r="N37" i="3"/>
  <c r="N38" i="3"/>
  <c r="N39" i="3"/>
  <c r="N40" i="3"/>
  <c r="N41" i="3"/>
  <c r="N42" i="3"/>
  <c r="N43" i="3"/>
  <c r="N44" i="3"/>
  <c r="N45" i="3"/>
  <c r="N46" i="3"/>
  <c r="N47" i="3"/>
  <c r="N48" i="3"/>
  <c r="N49" i="3"/>
  <c r="N50" i="3"/>
  <c r="N51" i="3"/>
  <c r="N52" i="3"/>
  <c r="N53" i="3"/>
  <c r="N54" i="3"/>
  <c r="N55" i="3"/>
  <c r="N56" i="3"/>
  <c r="N57" i="3"/>
  <c r="N58" i="3"/>
  <c r="N59" i="3"/>
  <c r="N60" i="3"/>
  <c r="N61" i="3"/>
  <c r="N62" i="3"/>
  <c r="N63" i="3"/>
  <c r="N64" i="3"/>
  <c r="N65" i="3"/>
  <c r="N66" i="3"/>
  <c r="N67" i="3"/>
  <c r="N68" i="3"/>
  <c r="N69" i="3"/>
  <c r="N70" i="3"/>
  <c r="N71" i="3"/>
  <c r="N72" i="3"/>
  <c r="N73" i="3"/>
  <c r="N74" i="3"/>
  <c r="N75" i="3"/>
  <c r="N76" i="3"/>
  <c r="N77" i="3"/>
  <c r="N78" i="3"/>
  <c r="N79" i="3"/>
  <c r="N80" i="3"/>
  <c r="N81" i="3"/>
  <c r="N82" i="3"/>
  <c r="N83" i="3"/>
  <c r="N84" i="3"/>
  <c r="N85" i="3"/>
  <c r="N2" i="3"/>
  <c r="K3" i="4"/>
  <c r="J3" i="4"/>
  <c r="I3" i="4"/>
  <c r="H3" i="4"/>
  <c r="G3" i="4"/>
  <c r="F3" i="4"/>
  <c r="E3" i="4"/>
  <c r="D3" i="4"/>
  <c r="C3" i="4"/>
  <c r="B3" i="4"/>
  <c r="F3" i="3" l="1"/>
  <c r="G3" i="3"/>
  <c r="H3" i="3"/>
  <c r="I3" i="3"/>
  <c r="J3" i="3"/>
  <c r="K3" i="3"/>
  <c r="L3" i="3"/>
  <c r="M3" i="3"/>
  <c r="O3" i="3"/>
  <c r="F4" i="3"/>
  <c r="G4" i="3"/>
  <c r="H4" i="3"/>
  <c r="I4" i="3"/>
  <c r="J4" i="3"/>
  <c r="K4" i="3"/>
  <c r="L4" i="3"/>
  <c r="M4" i="3"/>
  <c r="O4" i="3"/>
  <c r="F5" i="3"/>
  <c r="G5" i="3"/>
  <c r="H5" i="3"/>
  <c r="I5" i="3"/>
  <c r="J5" i="3"/>
  <c r="K5" i="3"/>
  <c r="L5" i="3"/>
  <c r="M5" i="3"/>
  <c r="O5" i="3"/>
  <c r="F6" i="3"/>
  <c r="G6" i="3"/>
  <c r="H6" i="3"/>
  <c r="I6" i="3"/>
  <c r="J6" i="3"/>
  <c r="K6" i="3"/>
  <c r="L6" i="3"/>
  <c r="M6" i="3"/>
  <c r="O6" i="3"/>
  <c r="F7" i="3"/>
  <c r="G7" i="3"/>
  <c r="H7" i="3"/>
  <c r="I7" i="3"/>
  <c r="J7" i="3"/>
  <c r="K7" i="3"/>
  <c r="L7" i="3"/>
  <c r="M7" i="3"/>
  <c r="O7" i="3"/>
  <c r="F8" i="3"/>
  <c r="G8" i="3"/>
  <c r="H8" i="3"/>
  <c r="I8" i="3"/>
  <c r="J8" i="3"/>
  <c r="K8" i="3"/>
  <c r="L8" i="3"/>
  <c r="M8" i="3"/>
  <c r="O8" i="3"/>
  <c r="F9" i="3"/>
  <c r="G9" i="3"/>
  <c r="H9" i="3"/>
  <c r="I9" i="3"/>
  <c r="J9" i="3"/>
  <c r="K9" i="3"/>
  <c r="L9" i="3"/>
  <c r="M9" i="3"/>
  <c r="O9" i="3"/>
  <c r="F10" i="3"/>
  <c r="G10" i="3"/>
  <c r="H10" i="3"/>
  <c r="I10" i="3"/>
  <c r="J10" i="3"/>
  <c r="K10" i="3"/>
  <c r="L10" i="3"/>
  <c r="M10" i="3"/>
  <c r="O10" i="3"/>
  <c r="F11" i="3"/>
  <c r="G11" i="3"/>
  <c r="H11" i="3"/>
  <c r="I11" i="3"/>
  <c r="J11" i="3"/>
  <c r="K11" i="3"/>
  <c r="L11" i="3"/>
  <c r="M11" i="3"/>
  <c r="O11" i="3"/>
  <c r="F12" i="3"/>
  <c r="G12" i="3"/>
  <c r="H12" i="3"/>
  <c r="I12" i="3"/>
  <c r="J12" i="3"/>
  <c r="K12" i="3"/>
  <c r="L12" i="3"/>
  <c r="M12" i="3"/>
  <c r="O12" i="3"/>
  <c r="F13" i="3"/>
  <c r="G13" i="3"/>
  <c r="H13" i="3"/>
  <c r="I13" i="3"/>
  <c r="J13" i="3"/>
  <c r="K13" i="3"/>
  <c r="L13" i="3"/>
  <c r="M13" i="3"/>
  <c r="O13" i="3"/>
  <c r="F14" i="3"/>
  <c r="G14" i="3"/>
  <c r="H14" i="3"/>
  <c r="I14" i="3"/>
  <c r="J14" i="3"/>
  <c r="K14" i="3"/>
  <c r="L14" i="3"/>
  <c r="M14" i="3"/>
  <c r="O14" i="3"/>
  <c r="F15" i="3"/>
  <c r="G15" i="3"/>
  <c r="H15" i="3"/>
  <c r="I15" i="3"/>
  <c r="J15" i="3"/>
  <c r="K15" i="3"/>
  <c r="L15" i="3"/>
  <c r="M15" i="3"/>
  <c r="O15" i="3"/>
  <c r="F16" i="3"/>
  <c r="G16" i="3"/>
  <c r="H16" i="3"/>
  <c r="I16" i="3"/>
  <c r="J16" i="3"/>
  <c r="K16" i="3"/>
  <c r="L16" i="3"/>
  <c r="M16" i="3"/>
  <c r="O16" i="3"/>
  <c r="F17" i="3"/>
  <c r="G17" i="3"/>
  <c r="H17" i="3"/>
  <c r="I17" i="3"/>
  <c r="J17" i="3"/>
  <c r="K17" i="3"/>
  <c r="L17" i="3"/>
  <c r="M17" i="3"/>
  <c r="O17" i="3"/>
  <c r="F18" i="3"/>
  <c r="G18" i="3"/>
  <c r="H18" i="3"/>
  <c r="I18" i="3"/>
  <c r="J18" i="3"/>
  <c r="K18" i="3"/>
  <c r="L18" i="3"/>
  <c r="M18" i="3"/>
  <c r="O18" i="3"/>
  <c r="F19" i="3"/>
  <c r="G19" i="3"/>
  <c r="H19" i="3"/>
  <c r="I19" i="3"/>
  <c r="J19" i="3"/>
  <c r="K19" i="3"/>
  <c r="L19" i="3"/>
  <c r="M19" i="3"/>
  <c r="O19" i="3"/>
  <c r="F20" i="3"/>
  <c r="G20" i="3"/>
  <c r="H20" i="3"/>
  <c r="I20" i="3"/>
  <c r="J20" i="3"/>
  <c r="K20" i="3"/>
  <c r="L20" i="3"/>
  <c r="M20" i="3"/>
  <c r="O20" i="3"/>
  <c r="F21" i="3"/>
  <c r="G21" i="3"/>
  <c r="H21" i="3"/>
  <c r="I21" i="3"/>
  <c r="J21" i="3"/>
  <c r="K21" i="3"/>
  <c r="L21" i="3"/>
  <c r="M21" i="3"/>
  <c r="O21" i="3"/>
  <c r="F22" i="3"/>
  <c r="G22" i="3"/>
  <c r="H22" i="3"/>
  <c r="I22" i="3"/>
  <c r="J22" i="3"/>
  <c r="K22" i="3"/>
  <c r="L22" i="3"/>
  <c r="M22" i="3"/>
  <c r="O22" i="3"/>
  <c r="F23" i="3"/>
  <c r="G23" i="3"/>
  <c r="H23" i="3"/>
  <c r="I23" i="3"/>
  <c r="J23" i="3"/>
  <c r="K23" i="3"/>
  <c r="L23" i="3"/>
  <c r="M23" i="3"/>
  <c r="O23" i="3"/>
  <c r="F24" i="3"/>
  <c r="G24" i="3"/>
  <c r="H24" i="3"/>
  <c r="I24" i="3"/>
  <c r="J24" i="3"/>
  <c r="K24" i="3"/>
  <c r="L24" i="3"/>
  <c r="M24" i="3"/>
  <c r="O24" i="3"/>
  <c r="F25" i="3"/>
  <c r="G25" i="3"/>
  <c r="H25" i="3"/>
  <c r="I25" i="3"/>
  <c r="J25" i="3"/>
  <c r="K25" i="3"/>
  <c r="L25" i="3"/>
  <c r="M25" i="3"/>
  <c r="O25" i="3"/>
  <c r="F26" i="3"/>
  <c r="G26" i="3"/>
  <c r="H26" i="3"/>
  <c r="I26" i="3"/>
  <c r="J26" i="3"/>
  <c r="K26" i="3"/>
  <c r="L26" i="3"/>
  <c r="M26" i="3"/>
  <c r="O26" i="3"/>
  <c r="F27" i="3"/>
  <c r="G27" i="3"/>
  <c r="H27" i="3"/>
  <c r="I27" i="3"/>
  <c r="J27" i="3"/>
  <c r="K27" i="3"/>
  <c r="L27" i="3"/>
  <c r="M27" i="3"/>
  <c r="O27" i="3"/>
  <c r="F28" i="3"/>
  <c r="G28" i="3"/>
  <c r="H28" i="3"/>
  <c r="I28" i="3"/>
  <c r="J28" i="3"/>
  <c r="K28" i="3"/>
  <c r="L28" i="3"/>
  <c r="M28" i="3"/>
  <c r="O28" i="3"/>
  <c r="F29" i="3"/>
  <c r="G29" i="3"/>
  <c r="H29" i="3"/>
  <c r="I29" i="3"/>
  <c r="J29" i="3"/>
  <c r="K29" i="3"/>
  <c r="L29" i="3"/>
  <c r="M29" i="3"/>
  <c r="O29" i="3"/>
  <c r="F30" i="3"/>
  <c r="G30" i="3"/>
  <c r="H30" i="3"/>
  <c r="I30" i="3"/>
  <c r="J30" i="3"/>
  <c r="K30" i="3"/>
  <c r="L30" i="3"/>
  <c r="M30" i="3"/>
  <c r="O30" i="3"/>
  <c r="F31" i="3"/>
  <c r="G31" i="3"/>
  <c r="H31" i="3"/>
  <c r="I31" i="3"/>
  <c r="J31" i="3"/>
  <c r="K31" i="3"/>
  <c r="L31" i="3"/>
  <c r="M31" i="3"/>
  <c r="O31" i="3"/>
  <c r="F32" i="3"/>
  <c r="G32" i="3"/>
  <c r="H32" i="3"/>
  <c r="I32" i="3"/>
  <c r="J32" i="3"/>
  <c r="K32" i="3"/>
  <c r="L32" i="3"/>
  <c r="M32" i="3"/>
  <c r="O32" i="3"/>
  <c r="F33" i="3"/>
  <c r="G33" i="3"/>
  <c r="H33" i="3"/>
  <c r="I33" i="3"/>
  <c r="J33" i="3"/>
  <c r="K33" i="3"/>
  <c r="L33" i="3"/>
  <c r="M33" i="3"/>
  <c r="O33" i="3"/>
  <c r="F34" i="3"/>
  <c r="G34" i="3"/>
  <c r="H34" i="3"/>
  <c r="I34" i="3"/>
  <c r="J34" i="3"/>
  <c r="K34" i="3"/>
  <c r="L34" i="3"/>
  <c r="M34" i="3"/>
  <c r="O34" i="3"/>
  <c r="F35" i="3"/>
  <c r="G35" i="3"/>
  <c r="H35" i="3"/>
  <c r="I35" i="3"/>
  <c r="J35" i="3"/>
  <c r="K35" i="3"/>
  <c r="L35" i="3"/>
  <c r="M35" i="3"/>
  <c r="O35" i="3"/>
  <c r="F36" i="3"/>
  <c r="G36" i="3"/>
  <c r="H36" i="3"/>
  <c r="I36" i="3"/>
  <c r="J36" i="3"/>
  <c r="K36" i="3"/>
  <c r="L36" i="3"/>
  <c r="M36" i="3"/>
  <c r="O36" i="3"/>
  <c r="F37" i="3"/>
  <c r="G37" i="3"/>
  <c r="H37" i="3"/>
  <c r="I37" i="3"/>
  <c r="J37" i="3"/>
  <c r="K37" i="3"/>
  <c r="L37" i="3"/>
  <c r="M37" i="3"/>
  <c r="O37" i="3"/>
  <c r="F38" i="3"/>
  <c r="G38" i="3"/>
  <c r="H38" i="3"/>
  <c r="I38" i="3"/>
  <c r="J38" i="3"/>
  <c r="K38" i="3"/>
  <c r="L38" i="3"/>
  <c r="M38" i="3"/>
  <c r="O38" i="3"/>
  <c r="F39" i="3"/>
  <c r="G39" i="3"/>
  <c r="H39" i="3"/>
  <c r="I39" i="3"/>
  <c r="J39" i="3"/>
  <c r="K39" i="3"/>
  <c r="L39" i="3"/>
  <c r="M39" i="3"/>
  <c r="O39" i="3"/>
  <c r="F40" i="3"/>
  <c r="G40" i="3"/>
  <c r="H40" i="3"/>
  <c r="I40" i="3"/>
  <c r="J40" i="3"/>
  <c r="K40" i="3"/>
  <c r="L40" i="3"/>
  <c r="M40" i="3"/>
  <c r="O40" i="3"/>
  <c r="F41" i="3"/>
  <c r="G41" i="3"/>
  <c r="H41" i="3"/>
  <c r="I41" i="3"/>
  <c r="J41" i="3"/>
  <c r="K41" i="3"/>
  <c r="L41" i="3"/>
  <c r="M41" i="3"/>
  <c r="O41" i="3"/>
  <c r="F42" i="3"/>
  <c r="G42" i="3"/>
  <c r="H42" i="3"/>
  <c r="I42" i="3"/>
  <c r="J42" i="3"/>
  <c r="K42" i="3"/>
  <c r="L42" i="3"/>
  <c r="M42" i="3"/>
  <c r="O42" i="3"/>
  <c r="F43" i="3"/>
  <c r="G43" i="3"/>
  <c r="H43" i="3"/>
  <c r="I43" i="3"/>
  <c r="J43" i="3"/>
  <c r="K43" i="3"/>
  <c r="L43" i="3"/>
  <c r="M43" i="3"/>
  <c r="O43" i="3"/>
  <c r="F44" i="3"/>
  <c r="G44" i="3"/>
  <c r="H44" i="3"/>
  <c r="I44" i="3"/>
  <c r="J44" i="3"/>
  <c r="K44" i="3"/>
  <c r="L44" i="3"/>
  <c r="M44" i="3"/>
  <c r="O44" i="3"/>
  <c r="F45" i="3"/>
  <c r="G45" i="3"/>
  <c r="H45" i="3"/>
  <c r="I45" i="3"/>
  <c r="J45" i="3"/>
  <c r="K45" i="3"/>
  <c r="L45" i="3"/>
  <c r="M45" i="3"/>
  <c r="O45" i="3"/>
  <c r="F46" i="3"/>
  <c r="G46" i="3"/>
  <c r="H46" i="3"/>
  <c r="I46" i="3"/>
  <c r="J46" i="3"/>
  <c r="K46" i="3"/>
  <c r="L46" i="3"/>
  <c r="M46" i="3"/>
  <c r="O46" i="3"/>
  <c r="F47" i="3"/>
  <c r="G47" i="3"/>
  <c r="H47" i="3"/>
  <c r="I47" i="3"/>
  <c r="J47" i="3"/>
  <c r="K47" i="3"/>
  <c r="L47" i="3"/>
  <c r="M47" i="3"/>
  <c r="O47" i="3"/>
  <c r="F48" i="3"/>
  <c r="G48" i="3"/>
  <c r="H48" i="3"/>
  <c r="I48" i="3"/>
  <c r="J48" i="3"/>
  <c r="K48" i="3"/>
  <c r="L48" i="3"/>
  <c r="M48" i="3"/>
  <c r="O48" i="3"/>
  <c r="F49" i="3"/>
  <c r="G49" i="3"/>
  <c r="H49" i="3"/>
  <c r="I49" i="3"/>
  <c r="J49" i="3"/>
  <c r="K49" i="3"/>
  <c r="L49" i="3"/>
  <c r="M49" i="3"/>
  <c r="O49" i="3"/>
  <c r="F50" i="3"/>
  <c r="G50" i="3"/>
  <c r="H50" i="3"/>
  <c r="I50" i="3"/>
  <c r="J50" i="3"/>
  <c r="K50" i="3"/>
  <c r="L50" i="3"/>
  <c r="M50" i="3"/>
  <c r="O50" i="3"/>
  <c r="F51" i="3"/>
  <c r="G51" i="3"/>
  <c r="H51" i="3"/>
  <c r="I51" i="3"/>
  <c r="J51" i="3"/>
  <c r="K51" i="3"/>
  <c r="L51" i="3"/>
  <c r="M51" i="3"/>
  <c r="O51" i="3"/>
  <c r="F52" i="3"/>
  <c r="G52" i="3"/>
  <c r="H52" i="3"/>
  <c r="I52" i="3"/>
  <c r="J52" i="3"/>
  <c r="K52" i="3"/>
  <c r="L52" i="3"/>
  <c r="M52" i="3"/>
  <c r="O52" i="3"/>
  <c r="F53" i="3"/>
  <c r="G53" i="3"/>
  <c r="H53" i="3"/>
  <c r="I53" i="3"/>
  <c r="J53" i="3"/>
  <c r="K53" i="3"/>
  <c r="L53" i="3"/>
  <c r="M53" i="3"/>
  <c r="O53" i="3"/>
  <c r="F54" i="3"/>
  <c r="G54" i="3"/>
  <c r="H54" i="3"/>
  <c r="I54" i="3"/>
  <c r="J54" i="3"/>
  <c r="K54" i="3"/>
  <c r="L54" i="3"/>
  <c r="M54" i="3"/>
  <c r="O54" i="3"/>
  <c r="F55" i="3"/>
  <c r="G55" i="3"/>
  <c r="H55" i="3"/>
  <c r="I55" i="3"/>
  <c r="J55" i="3"/>
  <c r="K55" i="3"/>
  <c r="L55" i="3"/>
  <c r="M55" i="3"/>
  <c r="O55" i="3"/>
  <c r="F56" i="3"/>
  <c r="G56" i="3"/>
  <c r="H56" i="3"/>
  <c r="I56" i="3"/>
  <c r="J56" i="3"/>
  <c r="K56" i="3"/>
  <c r="L56" i="3"/>
  <c r="M56" i="3"/>
  <c r="O56" i="3"/>
  <c r="F57" i="3"/>
  <c r="G57" i="3"/>
  <c r="H57" i="3"/>
  <c r="I57" i="3"/>
  <c r="J57" i="3"/>
  <c r="K57" i="3"/>
  <c r="L57" i="3"/>
  <c r="M57" i="3"/>
  <c r="O57" i="3"/>
  <c r="F58" i="3"/>
  <c r="G58" i="3"/>
  <c r="H58" i="3"/>
  <c r="I58" i="3"/>
  <c r="J58" i="3"/>
  <c r="K58" i="3"/>
  <c r="L58" i="3"/>
  <c r="M58" i="3"/>
  <c r="O58" i="3"/>
  <c r="F59" i="3"/>
  <c r="G59" i="3"/>
  <c r="H59" i="3"/>
  <c r="I59" i="3"/>
  <c r="J59" i="3"/>
  <c r="K59" i="3"/>
  <c r="L59" i="3"/>
  <c r="M59" i="3"/>
  <c r="O59" i="3"/>
  <c r="F60" i="3"/>
  <c r="G60" i="3"/>
  <c r="H60" i="3"/>
  <c r="I60" i="3"/>
  <c r="J60" i="3"/>
  <c r="K60" i="3"/>
  <c r="L60" i="3"/>
  <c r="M60" i="3"/>
  <c r="O60" i="3"/>
  <c r="F61" i="3"/>
  <c r="G61" i="3"/>
  <c r="H61" i="3"/>
  <c r="I61" i="3"/>
  <c r="J61" i="3"/>
  <c r="K61" i="3"/>
  <c r="L61" i="3"/>
  <c r="M61" i="3"/>
  <c r="O61" i="3"/>
  <c r="F62" i="3"/>
  <c r="G62" i="3"/>
  <c r="H62" i="3"/>
  <c r="I62" i="3"/>
  <c r="J62" i="3"/>
  <c r="K62" i="3"/>
  <c r="L62" i="3"/>
  <c r="M62" i="3"/>
  <c r="O62" i="3"/>
  <c r="F63" i="3"/>
  <c r="G63" i="3"/>
  <c r="H63" i="3"/>
  <c r="I63" i="3"/>
  <c r="J63" i="3"/>
  <c r="K63" i="3"/>
  <c r="L63" i="3"/>
  <c r="M63" i="3"/>
  <c r="O63" i="3"/>
  <c r="F64" i="3"/>
  <c r="G64" i="3"/>
  <c r="H64" i="3"/>
  <c r="I64" i="3"/>
  <c r="J64" i="3"/>
  <c r="K64" i="3"/>
  <c r="L64" i="3"/>
  <c r="M64" i="3"/>
  <c r="O64" i="3"/>
  <c r="F65" i="3"/>
  <c r="G65" i="3"/>
  <c r="H65" i="3"/>
  <c r="I65" i="3"/>
  <c r="J65" i="3"/>
  <c r="K65" i="3"/>
  <c r="L65" i="3"/>
  <c r="M65" i="3"/>
  <c r="O65" i="3"/>
  <c r="F66" i="3"/>
  <c r="G66" i="3"/>
  <c r="H66" i="3"/>
  <c r="I66" i="3"/>
  <c r="J66" i="3"/>
  <c r="K66" i="3"/>
  <c r="L66" i="3"/>
  <c r="M66" i="3"/>
  <c r="O66" i="3"/>
  <c r="F67" i="3"/>
  <c r="G67" i="3"/>
  <c r="H67" i="3"/>
  <c r="I67" i="3"/>
  <c r="J67" i="3"/>
  <c r="K67" i="3"/>
  <c r="L67" i="3"/>
  <c r="M67" i="3"/>
  <c r="O67" i="3"/>
  <c r="F68" i="3"/>
  <c r="G68" i="3"/>
  <c r="H68" i="3"/>
  <c r="I68" i="3"/>
  <c r="J68" i="3"/>
  <c r="K68" i="3"/>
  <c r="L68" i="3"/>
  <c r="M68" i="3"/>
  <c r="O68" i="3"/>
  <c r="F69" i="3"/>
  <c r="G69" i="3"/>
  <c r="H69" i="3"/>
  <c r="I69" i="3"/>
  <c r="J69" i="3"/>
  <c r="K69" i="3"/>
  <c r="L69" i="3"/>
  <c r="M69" i="3"/>
  <c r="O69" i="3"/>
  <c r="F70" i="3"/>
  <c r="G70" i="3"/>
  <c r="H70" i="3"/>
  <c r="I70" i="3"/>
  <c r="J70" i="3"/>
  <c r="K70" i="3"/>
  <c r="L70" i="3"/>
  <c r="M70" i="3"/>
  <c r="O70" i="3"/>
  <c r="F71" i="3"/>
  <c r="G71" i="3"/>
  <c r="H71" i="3"/>
  <c r="I71" i="3"/>
  <c r="J71" i="3"/>
  <c r="K71" i="3"/>
  <c r="L71" i="3"/>
  <c r="M71" i="3"/>
  <c r="O71" i="3"/>
  <c r="F72" i="3"/>
  <c r="G72" i="3"/>
  <c r="H72" i="3"/>
  <c r="I72" i="3"/>
  <c r="J72" i="3"/>
  <c r="K72" i="3"/>
  <c r="L72" i="3"/>
  <c r="M72" i="3"/>
  <c r="O72" i="3"/>
  <c r="F73" i="3"/>
  <c r="G73" i="3"/>
  <c r="H73" i="3"/>
  <c r="I73" i="3"/>
  <c r="J73" i="3"/>
  <c r="K73" i="3"/>
  <c r="L73" i="3"/>
  <c r="M73" i="3"/>
  <c r="O73" i="3"/>
  <c r="F74" i="3"/>
  <c r="G74" i="3"/>
  <c r="H74" i="3"/>
  <c r="I74" i="3"/>
  <c r="J74" i="3"/>
  <c r="K74" i="3"/>
  <c r="L74" i="3"/>
  <c r="M74" i="3"/>
  <c r="O74" i="3"/>
  <c r="F75" i="3"/>
  <c r="G75" i="3"/>
  <c r="H75" i="3"/>
  <c r="I75" i="3"/>
  <c r="J75" i="3"/>
  <c r="K75" i="3"/>
  <c r="L75" i="3"/>
  <c r="M75" i="3"/>
  <c r="O75" i="3"/>
  <c r="F76" i="3"/>
  <c r="G76" i="3"/>
  <c r="H76" i="3"/>
  <c r="I76" i="3"/>
  <c r="J76" i="3"/>
  <c r="K76" i="3"/>
  <c r="L76" i="3"/>
  <c r="M76" i="3"/>
  <c r="O76" i="3"/>
  <c r="F77" i="3"/>
  <c r="G77" i="3"/>
  <c r="H77" i="3"/>
  <c r="I77" i="3"/>
  <c r="J77" i="3"/>
  <c r="K77" i="3"/>
  <c r="L77" i="3"/>
  <c r="M77" i="3"/>
  <c r="O77" i="3"/>
  <c r="F78" i="3"/>
  <c r="G78" i="3"/>
  <c r="H78" i="3"/>
  <c r="I78" i="3"/>
  <c r="J78" i="3"/>
  <c r="K78" i="3"/>
  <c r="L78" i="3"/>
  <c r="M78" i="3"/>
  <c r="O78" i="3"/>
  <c r="F79" i="3"/>
  <c r="G79" i="3"/>
  <c r="H79" i="3"/>
  <c r="I79" i="3"/>
  <c r="J79" i="3"/>
  <c r="K79" i="3"/>
  <c r="L79" i="3"/>
  <c r="M79" i="3"/>
  <c r="O79" i="3"/>
  <c r="F80" i="3"/>
  <c r="G80" i="3"/>
  <c r="H80" i="3"/>
  <c r="I80" i="3"/>
  <c r="J80" i="3"/>
  <c r="K80" i="3"/>
  <c r="L80" i="3"/>
  <c r="M80" i="3"/>
  <c r="O80" i="3"/>
  <c r="F81" i="3"/>
  <c r="G81" i="3"/>
  <c r="H81" i="3"/>
  <c r="I81" i="3"/>
  <c r="J81" i="3"/>
  <c r="K81" i="3"/>
  <c r="L81" i="3"/>
  <c r="M81" i="3"/>
  <c r="O81" i="3"/>
  <c r="F82" i="3"/>
  <c r="G82" i="3"/>
  <c r="H82" i="3"/>
  <c r="I82" i="3"/>
  <c r="J82" i="3"/>
  <c r="K82" i="3"/>
  <c r="L82" i="3"/>
  <c r="M82" i="3"/>
  <c r="O82" i="3"/>
  <c r="F83" i="3"/>
  <c r="G83" i="3"/>
  <c r="H83" i="3"/>
  <c r="I83" i="3"/>
  <c r="J83" i="3"/>
  <c r="K83" i="3"/>
  <c r="L83" i="3"/>
  <c r="M83" i="3"/>
  <c r="O83" i="3"/>
  <c r="F84" i="3"/>
  <c r="G84" i="3"/>
  <c r="H84" i="3"/>
  <c r="I84" i="3"/>
  <c r="J84" i="3"/>
  <c r="K84" i="3"/>
  <c r="L84" i="3"/>
  <c r="M84" i="3"/>
  <c r="O84" i="3"/>
  <c r="F85" i="3"/>
  <c r="G85" i="3"/>
  <c r="H85" i="3"/>
  <c r="I85" i="3"/>
  <c r="J85" i="3"/>
  <c r="K85" i="3"/>
  <c r="L85" i="3"/>
  <c r="M85" i="3"/>
  <c r="O85" i="3"/>
  <c r="O2" i="3"/>
  <c r="M2" i="3"/>
  <c r="L2" i="3"/>
  <c r="K2" i="3"/>
  <c r="J2" i="3"/>
  <c r="I2" i="3"/>
  <c r="H2" i="3"/>
  <c r="G2" i="3"/>
  <c r="F2" i="3"/>
</calcChain>
</file>

<file path=xl/sharedStrings.xml><?xml version="1.0" encoding="utf-8"?>
<sst xmlns="http://schemas.openxmlformats.org/spreadsheetml/2006/main" count="534" uniqueCount="203">
  <si>
    <t>SITE ID</t>
  </si>
  <si>
    <t>SITE NAME</t>
  </si>
  <si>
    <t>20BEK0038</t>
  </si>
  <si>
    <t>BUMI_EMAS_MT</t>
  </si>
  <si>
    <t>PT-JAGOI BABANG</t>
  </si>
  <si>
    <t>DSE-JAGOIBABNG02</t>
  </si>
  <si>
    <t>20BEK0043</t>
  </si>
  <si>
    <t>RANGKANG_BEK_EP</t>
  </si>
  <si>
    <t>20BEK0041</t>
  </si>
  <si>
    <t>TVRI_BUMI_AMAS_MT</t>
  </si>
  <si>
    <t>20BEK0072</t>
  </si>
  <si>
    <t>SEKAYOK_TAMANKENCANA_PL</t>
  </si>
  <si>
    <t>20BEK0074</t>
  </si>
  <si>
    <t>GUNABARU_TRANSRANGKAKNG_PL</t>
  </si>
  <si>
    <t>20BEK0040</t>
  </si>
  <si>
    <t>SEBALO_BEK_PL</t>
  </si>
  <si>
    <t>20BEK0032</t>
  </si>
  <si>
    <t>TIRTA_KENCANA_BEK_PL</t>
  </si>
  <si>
    <t>20BEK0033</t>
  </si>
  <si>
    <t>DESA_CIPTAKARYA_BEK_PL</t>
  </si>
  <si>
    <t>20BEK0013</t>
  </si>
  <si>
    <t>CAPKALA_MT</t>
  </si>
  <si>
    <t>PT-MONTERADO</t>
  </si>
  <si>
    <t>DSE1082</t>
  </si>
  <si>
    <t>20BEK0066</t>
  </si>
  <si>
    <t>SELUAS_BEK1_MT</t>
  </si>
  <si>
    <t>DSE1147</t>
  </si>
  <si>
    <t>20BEK0067</t>
  </si>
  <si>
    <t>JAGOI_SEKIDA_EB</t>
  </si>
  <si>
    <t>20BEK0068</t>
  </si>
  <si>
    <t>JAGOIBABANG_EP</t>
  </si>
  <si>
    <t>20BEK0050</t>
  </si>
  <si>
    <t>JESAPE_MT</t>
  </si>
  <si>
    <t>20BEK0051</t>
  </si>
  <si>
    <t>LEDO_MT</t>
  </si>
  <si>
    <t>20BEK0084</t>
  </si>
  <si>
    <t>SUKADAMAI_GADONG_MT</t>
  </si>
  <si>
    <t>20BEK0086</t>
  </si>
  <si>
    <t>TEBUAH_MARONG_PL</t>
  </si>
  <si>
    <t>20BEK0042</t>
  </si>
  <si>
    <t>BELIMBING_BEK_PL</t>
  </si>
  <si>
    <t>20BEK0044</t>
  </si>
  <si>
    <t>LAMOLDA_TB</t>
  </si>
  <si>
    <t>20BEK0034</t>
  </si>
  <si>
    <t>LUMAR_MT</t>
  </si>
  <si>
    <t>20BEK0014</t>
  </si>
  <si>
    <t>JAHANDUNG1_MT</t>
  </si>
  <si>
    <t>20BEK0015</t>
  </si>
  <si>
    <t>RANTAU_BEK_PL</t>
  </si>
  <si>
    <t>20BEK0016</t>
  </si>
  <si>
    <t>SIMPANG_MONTERADO_MT</t>
  </si>
  <si>
    <t>20BEK0017</t>
  </si>
  <si>
    <t>MONTERADO_MT</t>
  </si>
  <si>
    <t>20BEK0018</t>
  </si>
  <si>
    <t>NEK_GINAP_PL</t>
  </si>
  <si>
    <t>20BEK0020</t>
  </si>
  <si>
    <t>GINAP_MONTERADO_PL</t>
  </si>
  <si>
    <t>20BEK0069</t>
  </si>
  <si>
    <t>MONTERADO_CAPKALA_ST</t>
  </si>
  <si>
    <t>20BEK0077</t>
  </si>
  <si>
    <t>SIPKANYIN_JAHANDUNG_PL</t>
  </si>
  <si>
    <t>20BEK0082</t>
  </si>
  <si>
    <t>BOMA_MONTERADO_PL</t>
  </si>
  <si>
    <t>20BEK0076</t>
  </si>
  <si>
    <t>JAHANDUNG_BENGKAYANG_PL</t>
  </si>
  <si>
    <t>20BEK0088</t>
  </si>
  <si>
    <t>MONTERADO_BENGKAYANG_PL</t>
  </si>
  <si>
    <t>20BEK0022</t>
  </si>
  <si>
    <t>MARUNSU_PL</t>
  </si>
  <si>
    <t>DSE-BENGKAYANG01</t>
  </si>
  <si>
    <t>20BEK0025</t>
  </si>
  <si>
    <t>BUKIT_SERAYAN_PL</t>
  </si>
  <si>
    <t>20BEK0026</t>
  </si>
  <si>
    <t>BABANE_MT</t>
  </si>
  <si>
    <t>20BEK0023</t>
  </si>
  <si>
    <t>SAMALANTAN_MT</t>
  </si>
  <si>
    <t>20BEK0087</t>
  </si>
  <si>
    <t>DUSUN_JIRAK_PL</t>
  </si>
  <si>
    <t>20BEK0094</t>
  </si>
  <si>
    <t>20BEK0027</t>
  </si>
  <si>
    <t>PASTIJAYA_PL</t>
  </si>
  <si>
    <t>20BEK0053</t>
  </si>
  <si>
    <t>BANGE_BEK_MT</t>
  </si>
  <si>
    <t>20BEK0047</t>
  </si>
  <si>
    <t>DANTI_PL</t>
  </si>
  <si>
    <t>20BEK0052</t>
  </si>
  <si>
    <t>JESAPEG_PL</t>
  </si>
  <si>
    <t>20BEK0054</t>
  </si>
  <si>
    <t>LEMBANG_BEK_PL</t>
  </si>
  <si>
    <t>20BEK0089</t>
  </si>
  <si>
    <t>TRANS_SEBAKUL_PL</t>
  </si>
  <si>
    <t>20BEK0092</t>
  </si>
  <si>
    <t>GUA_DUGINANG_PL</t>
  </si>
  <si>
    <t>20BEK0056</t>
  </si>
  <si>
    <t>LEMBANGG_PL</t>
  </si>
  <si>
    <t>20BEK0057</t>
  </si>
  <si>
    <t>SANGGAU_LEDO_PL</t>
  </si>
  <si>
    <t>20BEK0093</t>
  </si>
  <si>
    <t>SIMPANG_PAKET_MT</t>
  </si>
  <si>
    <t>20BEK0060</t>
  </si>
  <si>
    <t>MAYAK_BEK_MT</t>
  </si>
  <si>
    <t>20BEK0063</t>
  </si>
  <si>
    <t>SELUAS_BEK2_TB</t>
  </si>
  <si>
    <t>20BEK0064</t>
  </si>
  <si>
    <t>RAYA_SELUAS_TB</t>
  </si>
  <si>
    <t>20BEK0065</t>
  </si>
  <si>
    <t>SENTANGAU_JAYA_EB</t>
  </si>
  <si>
    <t>20BEK0085</t>
  </si>
  <si>
    <t>LAPANGAN_PEREGES_PL</t>
  </si>
  <si>
    <t>20BEK0028</t>
  </si>
  <si>
    <t>GUNUNG_MANDERING_EP</t>
  </si>
  <si>
    <t>20BEK0029</t>
  </si>
  <si>
    <t>SUKA_MAJUG_PL</t>
  </si>
  <si>
    <t>20BEK0030</t>
  </si>
  <si>
    <t>SEMALAT_MT</t>
  </si>
  <si>
    <t>20BEK0031</t>
  </si>
  <si>
    <t>CIPTA_KARYA_BEK_PL</t>
  </si>
  <si>
    <t>20BEK0001</t>
  </si>
  <si>
    <t>KARIMUNTING_BEK2_PL</t>
  </si>
  <si>
    <t>20BEK0003</t>
  </si>
  <si>
    <t>RAYA_KEPULAUAN_ST</t>
  </si>
  <si>
    <t>20BEK0004</t>
  </si>
  <si>
    <t>SEI_RAYA_EP</t>
  </si>
  <si>
    <t>20BEK0005</t>
  </si>
  <si>
    <t>SEI_KERANG_PL</t>
  </si>
  <si>
    <t>20BEK0006</t>
  </si>
  <si>
    <t>RUKMA_JAYA_PL</t>
  </si>
  <si>
    <t>20BEK0002</t>
  </si>
  <si>
    <t>KARIMUNTING_BEK1_EP</t>
  </si>
  <si>
    <t>20BEK0083</t>
  </si>
  <si>
    <t>PANTAI_SOGA_PL</t>
  </si>
  <si>
    <t>20BEK0007</t>
  </si>
  <si>
    <t>SEI_DURI_PL</t>
  </si>
  <si>
    <t>20BEK0008</t>
  </si>
  <si>
    <t>RUKMA_JAYA1_PL</t>
  </si>
  <si>
    <t>20BEK0010</t>
  </si>
  <si>
    <t>SUNGAI_DURI1_MT</t>
  </si>
  <si>
    <t>20BEK0070</t>
  </si>
  <si>
    <t>SUNGAI_JAGA_MT</t>
  </si>
  <si>
    <t>20BEK0079</t>
  </si>
  <si>
    <t>SELUAS_SUNGAIRAYA_PL</t>
  </si>
  <si>
    <t>20BEK0009</t>
  </si>
  <si>
    <t>SUNGAI_DURI2_PL</t>
  </si>
  <si>
    <t>20BEK0011</t>
  </si>
  <si>
    <t>SUNGAI_JAGA_A_BEK_PL</t>
  </si>
  <si>
    <t>20BEK0012</t>
  </si>
  <si>
    <t>SEIPANGKALAN_EP</t>
  </si>
  <si>
    <t>20BEK0090</t>
  </si>
  <si>
    <t>SUNGAIDURI_BENGKAYANG_PL</t>
  </si>
  <si>
    <t>20BEK0036</t>
  </si>
  <si>
    <t>BUMI_MAS_PL</t>
  </si>
  <si>
    <t>DSE-JAGOIBABNG01</t>
  </si>
  <si>
    <t>20BEK0035</t>
  </si>
  <si>
    <t>JELAYAN_TERIAK_BEK_MT</t>
  </si>
  <si>
    <t>20BEK0037</t>
  </si>
  <si>
    <t>BUMI_EMAS_BENGKAYANG_MT</t>
  </si>
  <si>
    <t>20BEK0039</t>
  </si>
  <si>
    <t>BENGKAYANG_MT</t>
  </si>
  <si>
    <t>20BEK0045</t>
  </si>
  <si>
    <t>MALO_JELAYAN_IB</t>
  </si>
  <si>
    <t>20BEK0046</t>
  </si>
  <si>
    <t>BENGKAYANG2_MT</t>
  </si>
  <si>
    <t>20BEK0075</t>
  </si>
  <si>
    <t>NEW_LALAGOLDEN_PL</t>
  </si>
  <si>
    <t>20BEK0091</t>
  </si>
  <si>
    <t>TERIAK_BANA_PL</t>
  </si>
  <si>
    <t>20BEK0055</t>
  </si>
  <si>
    <t>PISAK_KAMUH_PL</t>
  </si>
  <si>
    <t>20BEK0062</t>
  </si>
  <si>
    <t>PISAK_MT</t>
  </si>
  <si>
    <t>20BEK0080</t>
  </si>
  <si>
    <t>PISAK_TUJUHBELAS_PL</t>
  </si>
  <si>
    <t>20BEK0061</t>
  </si>
  <si>
    <t>SEGUNDE_MT</t>
  </si>
  <si>
    <t>20BEK0058</t>
  </si>
  <si>
    <t>SINAR_TEBUDAK_MT</t>
  </si>
  <si>
    <t>CATEGORY</t>
  </si>
  <si>
    <t>BANDARA_SERUKAM_CM</t>
  </si>
  <si>
    <t>PARTNER</t>
  </si>
  <si>
    <t>DSE CODE</t>
  </si>
  <si>
    <t>LRS</t>
  </si>
  <si>
    <t>AT RISK</t>
  </si>
  <si>
    <t>PROFIT</t>
  </si>
  <si>
    <t>REVENUE MTD</t>
  </si>
  <si>
    <t>FWA VLR MTD</t>
  </si>
  <si>
    <t>OUTLET AGUSTUS</t>
  </si>
  <si>
    <t>REVENUE LMTD</t>
  </si>
  <si>
    <t>VLR MTD</t>
  </si>
  <si>
    <t>VLR LMTD</t>
  </si>
  <si>
    <t>FWA VLR LMTD</t>
  </si>
  <si>
    <t>RGU GA LMTD</t>
  </si>
  <si>
    <t>RGU GA MTD</t>
  </si>
  <si>
    <t>RGU 90D MTD</t>
  </si>
  <si>
    <t>RGU 90D LMTD</t>
  </si>
  <si>
    <t>lmtd</t>
  </si>
  <si>
    <t>mtd</t>
  </si>
  <si>
    <t>Row Labels</t>
  </si>
  <si>
    <t>Sum of RGU 90D</t>
  </si>
  <si>
    <t>Sum of RGU GA TRADE</t>
  </si>
  <si>
    <t>Sum of FWA VLR</t>
  </si>
  <si>
    <t>Sum of VLR SUBS</t>
  </si>
  <si>
    <t>Sum of PREPAID REVENUE NETT</t>
  </si>
  <si>
    <t>20BEK0049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</si>
</sst>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3" formatCode="_-* #,##0.00_-;\-* #,##0.00_-;_-* &quot;-&quot;??_-;_-@_-"/>
    <numFmt numFmtId="164" formatCode="_-* #,##0_-;\-* #,##0_-;_-* &quot;-&quot;??_-;_-@_-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/>
      <bottom style="thin">
        <color theme="4" tint="0.39997558519241921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2">
    <xf numFmtId="0" fontId="0" fillId="0" borderId="0" xfId="0"/>
    <xf numFmtId="164" fontId="0" fillId="0" borderId="0" xfId="1" applyNumberFormat="1" applyFont="1"/>
    <xf numFmtId="3" fontId="0" fillId="0" borderId="0" xfId="0" applyNumberFormat="1"/>
    <xf numFmtId="0" fontId="2" fillId="2" borderId="1" xfId="0" applyFont="1" applyFill="1" applyBorder="1"/>
    <xf numFmtId="0" fontId="2" fillId="2" borderId="0" xfId="0" applyFont="1" applyFill="1" applyBorder="1"/>
    <xf numFmtId="164" fontId="2" fillId="2" borderId="1" xfId="1" applyNumberFormat="1" applyFont="1" applyFill="1" applyBorder="1"/>
    <xf numFmtId="164" fontId="2" fillId="2" borderId="0" xfId="1" applyNumberFormat="1" applyFont="1" applyFill="1" applyBorder="1"/>
    <xf numFmtId="0" fontId="3" fillId="3" borderId="0" xfId="0" applyFont="1" applyFill="1"/>
    <xf numFmtId="0" fontId="3" fillId="3" borderId="2" xfId="0" applyFont="1" applyFill="1" applyBorder="1"/>
    <xf numFmtId="0" fontId="0" fillId="0" borderId="0" xfId="0" applyAlignment="1">
      <alignment horizontal="left"/>
    </xf>
    <xf numFmtId="0" fontId="0" fillId="0" borderId="0" xfId="0" applyNumberFormat="1"/>
    <xf numFmtId="164" fontId="3" fillId="3" borderId="0" xfId="1" applyNumberFormat="1" applyFont="1" applyFill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85"/>
  <sheetViews>
    <sheetView workbookViewId="0">
      <pane xSplit="1" ySplit="1" topLeftCell="B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defaultRowHeight="14.5" x14ac:dyDescent="0.35"/>
  <cols>
    <col min="1" max="1" width="9.90625" bestFit="1" customWidth="1"/>
    <col min="2" max="2" width="30.7265625" bestFit="1" customWidth="1"/>
    <col min="3" max="3" width="16.08984375" bestFit="1" customWidth="1"/>
    <col min="4" max="4" width="18.36328125" bestFit="1" customWidth="1"/>
    <col min="5" max="5" width="13" bestFit="1" customWidth="1"/>
    <col min="6" max="6" width="18.26953125" bestFit="1" customWidth="1"/>
    <col min="7" max="7" width="18.26953125" customWidth="1"/>
    <col min="8" max="8" width="12.08984375" bestFit="1" customWidth="1"/>
    <col min="9" max="9" width="12.08984375" customWidth="1"/>
    <col min="10" max="10" width="16.54296875" bestFit="1" customWidth="1"/>
    <col min="11" max="11" width="16.54296875" customWidth="1"/>
    <col min="12" max="12" width="17" style="1" bestFit="1" customWidth="1"/>
    <col min="13" max="13" width="17" style="1" customWidth="1"/>
    <col min="14" max="14" width="17.81640625" style="1" bestFit="1" customWidth="1"/>
    <col min="15" max="15" width="18.54296875" bestFit="1" customWidth="1"/>
    <col min="16" max="16" width="17" bestFit="1" customWidth="1"/>
  </cols>
  <sheetData>
    <row r="1" spans="1:16" x14ac:dyDescent="0.35">
      <c r="A1" s="3" t="s">
        <v>0</v>
      </c>
      <c r="B1" s="3" t="s">
        <v>1</v>
      </c>
      <c r="C1" s="4" t="s">
        <v>178</v>
      </c>
      <c r="D1" s="4" t="s">
        <v>179</v>
      </c>
      <c r="E1" s="3" t="s">
        <v>176</v>
      </c>
      <c r="F1" s="5" t="s">
        <v>186</v>
      </c>
      <c r="G1" s="5" t="s">
        <v>183</v>
      </c>
      <c r="H1" s="3" t="s">
        <v>188</v>
      </c>
      <c r="I1" s="3" t="s">
        <v>187</v>
      </c>
      <c r="J1" s="3" t="s">
        <v>189</v>
      </c>
      <c r="K1" s="3" t="s">
        <v>184</v>
      </c>
      <c r="L1" s="5" t="s">
        <v>190</v>
      </c>
      <c r="M1" s="5" t="s">
        <v>191</v>
      </c>
      <c r="N1" s="5" t="s">
        <v>193</v>
      </c>
      <c r="O1" s="5" t="s">
        <v>192</v>
      </c>
      <c r="P1" s="6" t="s">
        <v>185</v>
      </c>
    </row>
    <row r="2" spans="1:16" x14ac:dyDescent="0.35">
      <c r="A2" t="s">
        <v>117</v>
      </c>
      <c r="B2" t="s">
        <v>118</v>
      </c>
      <c r="C2" t="s">
        <v>22</v>
      </c>
      <c r="D2" t="s">
        <v>69</v>
      </c>
      <c r="E2" t="s">
        <v>180</v>
      </c>
      <c r="F2" s="1">
        <f>VLOOKUP(A:A,MASTER!A:F,6,0)</f>
        <v>6721217.3677318636</v>
      </c>
      <c r="G2" s="1">
        <f>VLOOKUP(A:A,MASTER!A:K,11,0)</f>
        <v>6152818.0823086826</v>
      </c>
      <c r="H2" s="2">
        <f>VLOOKUP(A:A,MASTER!A:E,5,0)</f>
        <v>331</v>
      </c>
      <c r="I2" s="2">
        <f>VLOOKUP(A:A,MASTER!A:J,10,0)</f>
        <v>336</v>
      </c>
      <c r="J2" s="2">
        <f>VLOOKUP(A:A,MASTER!A:D,4,0)</f>
        <v>2</v>
      </c>
      <c r="K2" s="2">
        <f>VLOOKUP(A:A,MASTER!A:I,9,0)</f>
        <v>2</v>
      </c>
      <c r="L2" s="1">
        <f>VLOOKUP(A:A,MASTER!A:C,3,0)</f>
        <v>3</v>
      </c>
      <c r="M2" s="1">
        <f>VLOOKUP(A:A,MASTER!A:H,8,0)</f>
        <v>0</v>
      </c>
      <c r="N2" s="1">
        <f>VLOOKUP(A:A,MASTER!A:B,2,0)</f>
        <v>410</v>
      </c>
      <c r="O2">
        <f>VLOOKUP(A:A,MASTER!A:G,7,0)</f>
        <v>417</v>
      </c>
      <c r="P2">
        <v>3</v>
      </c>
    </row>
    <row r="3" spans="1:16" x14ac:dyDescent="0.35">
      <c r="A3" t="s">
        <v>127</v>
      </c>
      <c r="B3" t="s">
        <v>128</v>
      </c>
      <c r="C3" t="s">
        <v>22</v>
      </c>
      <c r="D3" t="s">
        <v>69</v>
      </c>
      <c r="E3" t="s">
        <v>181</v>
      </c>
      <c r="F3" s="1">
        <f>VLOOKUP(A:A,MASTER!A:F,6,0)</f>
        <v>8156654.6793239554</v>
      </c>
      <c r="G3" s="1">
        <f>VLOOKUP(A:A,MASTER!A:K,11,0)</f>
        <v>7429191.778023608</v>
      </c>
      <c r="H3" s="2">
        <f>VLOOKUP(A:A,MASTER!A:E,5,0)</f>
        <v>577</v>
      </c>
      <c r="I3" s="2">
        <f>VLOOKUP(A:A,MASTER!A:J,10,0)</f>
        <v>487</v>
      </c>
      <c r="J3" s="2">
        <f>VLOOKUP(A:A,MASTER!A:D,4,0)</f>
        <v>1</v>
      </c>
      <c r="K3" s="2">
        <f>VLOOKUP(A:A,MASTER!A:I,9,0)</f>
        <v>2</v>
      </c>
      <c r="L3" s="1">
        <f>VLOOKUP(A:A,MASTER!A:C,3,0)</f>
        <v>1</v>
      </c>
      <c r="M3" s="1">
        <f>VLOOKUP(A:A,MASTER!A:H,8,0)</f>
        <v>1</v>
      </c>
      <c r="N3" s="1">
        <f>VLOOKUP(A:A,MASTER!A:B,2,0)</f>
        <v>675</v>
      </c>
      <c r="O3">
        <f>VLOOKUP(A:A,MASTER!A:G,7,0)</f>
        <v>638</v>
      </c>
      <c r="P3">
        <v>2</v>
      </c>
    </row>
    <row r="4" spans="1:16" x14ac:dyDescent="0.35">
      <c r="A4" t="s">
        <v>119</v>
      </c>
      <c r="B4" t="s">
        <v>120</v>
      </c>
      <c r="C4" t="s">
        <v>22</v>
      </c>
      <c r="D4" t="s">
        <v>69</v>
      </c>
      <c r="E4" t="s">
        <v>182</v>
      </c>
      <c r="F4" s="1">
        <f>VLOOKUP(A:A,MASTER!A:F,6,0)</f>
        <v>7399552.3442232348</v>
      </c>
      <c r="G4" s="1">
        <f>VLOOKUP(A:A,MASTER!A:K,11,0)</f>
        <v>7950360.3691030573</v>
      </c>
      <c r="H4" s="2">
        <f>VLOOKUP(A:A,MASTER!A:E,5,0)</f>
        <v>697</v>
      </c>
      <c r="I4" s="2">
        <f>VLOOKUP(A:A,MASTER!A:J,10,0)</f>
        <v>703</v>
      </c>
      <c r="J4" s="2">
        <f>VLOOKUP(A:A,MASTER!A:D,4,0)</f>
        <v>2</v>
      </c>
      <c r="K4" s="2">
        <f>VLOOKUP(A:A,MASTER!A:I,9,0)</f>
        <v>1</v>
      </c>
      <c r="L4" s="1">
        <f>VLOOKUP(A:A,MASTER!A:C,3,0)</f>
        <v>2</v>
      </c>
      <c r="M4" s="1">
        <f>VLOOKUP(A:A,MASTER!A:H,8,0)</f>
        <v>4</v>
      </c>
      <c r="N4" s="1">
        <f>VLOOKUP(A:A,MASTER!A:B,2,0)</f>
        <v>684</v>
      </c>
      <c r="O4">
        <f>VLOOKUP(A:A,MASTER!A:G,7,0)</f>
        <v>734</v>
      </c>
      <c r="P4">
        <v>4</v>
      </c>
    </row>
    <row r="5" spans="1:16" x14ac:dyDescent="0.35">
      <c r="A5" t="s">
        <v>121</v>
      </c>
      <c r="B5" t="s">
        <v>122</v>
      </c>
      <c r="C5" t="s">
        <v>22</v>
      </c>
      <c r="D5" t="s">
        <v>69</v>
      </c>
      <c r="E5" t="s">
        <v>182</v>
      </c>
      <c r="F5" s="1">
        <f>VLOOKUP(A:A,MASTER!A:F,6,0)</f>
        <v>15552827.417094398</v>
      </c>
      <c r="G5" s="1">
        <f>VLOOKUP(A:A,MASTER!A:K,11,0)</f>
        <v>15725446.023067832</v>
      </c>
      <c r="H5" s="2">
        <f>VLOOKUP(A:A,MASTER!A:E,5,0)</f>
        <v>980</v>
      </c>
      <c r="I5" s="2">
        <f>VLOOKUP(A:A,MASTER!A:J,10,0)</f>
        <v>1029</v>
      </c>
      <c r="J5" s="2">
        <f>VLOOKUP(A:A,MASTER!A:D,4,0)</f>
        <v>2</v>
      </c>
      <c r="K5" s="2">
        <f>VLOOKUP(A:A,MASTER!A:I,9,0)</f>
        <v>3</v>
      </c>
      <c r="L5" s="1">
        <f>VLOOKUP(A:A,MASTER!A:C,3,0)</f>
        <v>2</v>
      </c>
      <c r="M5" s="1">
        <f>VLOOKUP(A:A,MASTER!A:H,8,0)</f>
        <v>2</v>
      </c>
      <c r="N5" s="1">
        <f>VLOOKUP(A:A,MASTER!A:B,2,0)</f>
        <v>1200</v>
      </c>
      <c r="O5">
        <f>VLOOKUP(A:A,MASTER!A:G,7,0)</f>
        <v>1208</v>
      </c>
      <c r="P5">
        <v>3</v>
      </c>
    </row>
    <row r="6" spans="1:16" x14ac:dyDescent="0.35">
      <c r="A6" t="s">
        <v>123</v>
      </c>
      <c r="B6" t="s">
        <v>124</v>
      </c>
      <c r="C6" t="s">
        <v>22</v>
      </c>
      <c r="D6" t="s">
        <v>69</v>
      </c>
      <c r="E6" t="s">
        <v>182</v>
      </c>
      <c r="F6" s="1">
        <f>VLOOKUP(A:A,MASTER!A:F,6,0)</f>
        <v>5858964.4469372071</v>
      </c>
      <c r="G6" s="1">
        <f>VLOOKUP(A:A,MASTER!A:K,11,0)</f>
        <v>6781752.4824333154</v>
      </c>
      <c r="H6" s="2">
        <f>VLOOKUP(A:A,MASTER!A:E,5,0)</f>
        <v>337</v>
      </c>
      <c r="I6" s="2">
        <f>VLOOKUP(A:A,MASTER!A:J,10,0)</f>
        <v>356</v>
      </c>
      <c r="J6" s="2">
        <f>VLOOKUP(A:A,MASTER!A:D,4,0)</f>
        <v>0</v>
      </c>
      <c r="K6" s="2">
        <f>VLOOKUP(A:A,MASTER!A:I,9,0)</f>
        <v>1</v>
      </c>
      <c r="L6" s="1">
        <f>VLOOKUP(A:A,MASTER!A:C,3,0)</f>
        <v>1</v>
      </c>
      <c r="M6" s="1">
        <f>VLOOKUP(A:A,MASTER!A:H,8,0)</f>
        <v>1</v>
      </c>
      <c r="N6" s="1">
        <f>VLOOKUP(A:A,MASTER!A:B,2,0)</f>
        <v>405</v>
      </c>
      <c r="O6">
        <f>VLOOKUP(A:A,MASTER!A:G,7,0)</f>
        <v>409</v>
      </c>
      <c r="P6">
        <v>3</v>
      </c>
    </row>
    <row r="7" spans="1:16" x14ac:dyDescent="0.35">
      <c r="A7" t="s">
        <v>125</v>
      </c>
      <c r="B7" t="s">
        <v>126</v>
      </c>
      <c r="C7" t="s">
        <v>22</v>
      </c>
      <c r="D7" t="s">
        <v>69</v>
      </c>
      <c r="E7" t="s">
        <v>182</v>
      </c>
      <c r="F7" s="1">
        <f>VLOOKUP(A:A,MASTER!A:F,6,0)</f>
        <v>5921570.4369004704</v>
      </c>
      <c r="G7" s="1">
        <f>VLOOKUP(A:A,MASTER!A:K,11,0)</f>
        <v>5992231.4276800314</v>
      </c>
      <c r="H7" s="2">
        <f>VLOOKUP(A:A,MASTER!A:E,5,0)</f>
        <v>356</v>
      </c>
      <c r="I7" s="2">
        <f>VLOOKUP(A:A,MASTER!A:J,10,0)</f>
        <v>291</v>
      </c>
      <c r="J7" s="2">
        <f>VLOOKUP(A:A,MASTER!A:D,4,0)</f>
        <v>2</v>
      </c>
      <c r="K7" s="2">
        <f>VLOOKUP(A:A,MASTER!A:I,9,0)</f>
        <v>2</v>
      </c>
      <c r="L7" s="1">
        <f>VLOOKUP(A:A,MASTER!A:C,3,0)</f>
        <v>2</v>
      </c>
      <c r="M7" s="1">
        <f>VLOOKUP(A:A,MASTER!A:H,8,0)</f>
        <v>2</v>
      </c>
      <c r="N7" s="1">
        <f>VLOOKUP(A:A,MASTER!A:B,2,0)</f>
        <v>372</v>
      </c>
      <c r="O7">
        <f>VLOOKUP(A:A,MASTER!A:G,7,0)</f>
        <v>379</v>
      </c>
      <c r="P7">
        <v>2</v>
      </c>
    </row>
    <row r="8" spans="1:16" x14ac:dyDescent="0.35">
      <c r="A8" t="s">
        <v>131</v>
      </c>
      <c r="B8" t="s">
        <v>132</v>
      </c>
      <c r="C8" t="s">
        <v>22</v>
      </c>
      <c r="D8" t="s">
        <v>69</v>
      </c>
      <c r="E8" t="s">
        <v>182</v>
      </c>
      <c r="F8" s="1">
        <f>VLOOKUP(A:A,MASTER!A:F,6,0)</f>
        <v>6799052.3254508786</v>
      </c>
      <c r="G8" s="1">
        <f>VLOOKUP(A:A,MASTER!A:K,11,0)</f>
        <v>6874438.380801552</v>
      </c>
      <c r="H8" s="2">
        <f>VLOOKUP(A:A,MASTER!A:E,5,0)</f>
        <v>525</v>
      </c>
      <c r="I8" s="2">
        <f>VLOOKUP(A:A,MASTER!A:J,10,0)</f>
        <v>512</v>
      </c>
      <c r="J8" s="2">
        <f>VLOOKUP(A:A,MASTER!A:D,4,0)</f>
        <v>1</v>
      </c>
      <c r="K8" s="2">
        <f>VLOOKUP(A:A,MASTER!A:I,9,0)</f>
        <v>4</v>
      </c>
      <c r="L8" s="1">
        <f>VLOOKUP(A:A,MASTER!A:C,3,0)</f>
        <v>0</v>
      </c>
      <c r="M8" s="1">
        <f>VLOOKUP(A:A,MASTER!A:H,8,0)</f>
        <v>0</v>
      </c>
      <c r="N8" s="1">
        <f>VLOOKUP(A:A,MASTER!A:B,2,0)</f>
        <v>606</v>
      </c>
      <c r="O8">
        <f>VLOOKUP(A:A,MASTER!A:G,7,0)</f>
        <v>591</v>
      </c>
      <c r="P8">
        <v>9</v>
      </c>
    </row>
    <row r="9" spans="1:16" x14ac:dyDescent="0.35">
      <c r="A9" t="s">
        <v>133</v>
      </c>
      <c r="B9" t="s">
        <v>134</v>
      </c>
      <c r="C9" t="s">
        <v>22</v>
      </c>
      <c r="D9" t="s">
        <v>69</v>
      </c>
      <c r="E9" t="s">
        <v>182</v>
      </c>
      <c r="F9" s="1">
        <f>VLOOKUP(A:A,MASTER!A:F,6,0)</f>
        <v>2979868.2358265291</v>
      </c>
      <c r="G9" s="1">
        <f>VLOOKUP(A:A,MASTER!A:K,11,0)</f>
        <v>3098186.935847898</v>
      </c>
      <c r="H9" s="2">
        <f>VLOOKUP(A:A,MASTER!A:E,5,0)</f>
        <v>172</v>
      </c>
      <c r="I9" s="2">
        <f>VLOOKUP(A:A,MASTER!A:J,10,0)</f>
        <v>146</v>
      </c>
      <c r="J9" s="2">
        <f>VLOOKUP(A:A,MASTER!A:D,4,0)</f>
        <v>1</v>
      </c>
      <c r="K9" s="2">
        <f>VLOOKUP(A:A,MASTER!A:I,9,0)</f>
        <v>1</v>
      </c>
      <c r="L9" s="1">
        <f>VLOOKUP(A:A,MASTER!A:C,3,0)</f>
        <v>0</v>
      </c>
      <c r="M9" s="1">
        <f>VLOOKUP(A:A,MASTER!A:H,8,0)</f>
        <v>0</v>
      </c>
      <c r="N9" s="1">
        <f>VLOOKUP(A:A,MASTER!A:B,2,0)</f>
        <v>165</v>
      </c>
      <c r="O9">
        <f>VLOOKUP(A:A,MASTER!A:G,7,0)</f>
        <v>168</v>
      </c>
      <c r="P9">
        <v>1</v>
      </c>
    </row>
    <row r="10" spans="1:16" x14ac:dyDescent="0.35">
      <c r="A10" t="s">
        <v>141</v>
      </c>
      <c r="B10" t="s">
        <v>142</v>
      </c>
      <c r="C10" t="s">
        <v>22</v>
      </c>
      <c r="D10" t="s">
        <v>69</v>
      </c>
      <c r="E10" t="s">
        <v>180</v>
      </c>
      <c r="F10" s="1">
        <f>VLOOKUP(A:A,MASTER!A:F,6,0)</f>
        <v>3006238.1098317681</v>
      </c>
      <c r="G10" s="1">
        <f>VLOOKUP(A:A,MASTER!A:K,11,0)</f>
        <v>268270.17518669402</v>
      </c>
      <c r="H10" s="2">
        <f>VLOOKUP(A:A,MASTER!A:E,5,0)</f>
        <v>168</v>
      </c>
      <c r="I10" s="2">
        <f>VLOOKUP(A:A,MASTER!A:J,10,0)</f>
        <v>1</v>
      </c>
      <c r="J10" s="2">
        <f>VLOOKUP(A:A,MASTER!A:D,4,0)</f>
        <v>0</v>
      </c>
      <c r="K10" s="2">
        <f>VLOOKUP(A:A,MASTER!A:I,9,0)</f>
        <v>1</v>
      </c>
      <c r="L10" s="1">
        <f>VLOOKUP(A:A,MASTER!A:C,3,0)</f>
        <v>1</v>
      </c>
      <c r="M10" s="1">
        <f>VLOOKUP(A:A,MASTER!A:H,8,0)</f>
        <v>0</v>
      </c>
      <c r="N10" s="1">
        <f>VLOOKUP(A:A,MASTER!A:B,2,0)</f>
        <v>203</v>
      </c>
      <c r="O10">
        <f>VLOOKUP(A:A,MASTER!A:G,7,0)</f>
        <v>180</v>
      </c>
      <c r="P10">
        <v>1</v>
      </c>
    </row>
    <row r="11" spans="1:16" x14ac:dyDescent="0.35">
      <c r="A11" t="s">
        <v>135</v>
      </c>
      <c r="B11" t="s">
        <v>136</v>
      </c>
      <c r="C11" t="s">
        <v>22</v>
      </c>
      <c r="D11" t="s">
        <v>69</v>
      </c>
      <c r="E11" t="s">
        <v>182</v>
      </c>
      <c r="F11" s="1">
        <f>VLOOKUP(A:A,MASTER!A:F,6,0)</f>
        <v>4782564.6090684468</v>
      </c>
      <c r="G11" s="1">
        <f>VLOOKUP(A:A,MASTER!A:K,11,0)</f>
        <v>6812954.8209106149</v>
      </c>
      <c r="H11" s="2">
        <f>VLOOKUP(A:A,MASTER!A:E,5,0)</f>
        <v>286</v>
      </c>
      <c r="I11" s="2">
        <f>VLOOKUP(A:A,MASTER!A:J,10,0)</f>
        <v>509</v>
      </c>
      <c r="J11" s="2">
        <f>VLOOKUP(A:A,MASTER!A:D,4,0)</f>
        <v>0</v>
      </c>
      <c r="K11" s="2">
        <f>VLOOKUP(A:A,MASTER!A:I,9,0)</f>
        <v>1</v>
      </c>
      <c r="L11" s="1">
        <f>VLOOKUP(A:A,MASTER!A:C,3,0)</f>
        <v>0</v>
      </c>
      <c r="M11" s="1">
        <f>VLOOKUP(A:A,MASTER!A:H,8,0)</f>
        <v>1</v>
      </c>
      <c r="N11" s="1">
        <f>VLOOKUP(A:A,MASTER!A:B,2,0)</f>
        <v>352</v>
      </c>
      <c r="O11">
        <f>VLOOKUP(A:A,MASTER!A:G,7,0)</f>
        <v>383</v>
      </c>
      <c r="P11">
        <v>4</v>
      </c>
    </row>
    <row r="12" spans="1:16" x14ac:dyDescent="0.35">
      <c r="A12" t="s">
        <v>143</v>
      </c>
      <c r="B12" t="s">
        <v>144</v>
      </c>
      <c r="C12" t="s">
        <v>22</v>
      </c>
      <c r="D12" t="s">
        <v>69</v>
      </c>
      <c r="E12" t="s">
        <v>180</v>
      </c>
      <c r="F12" s="1">
        <f>VLOOKUP(A:A,MASTER!A:F,6,0)</f>
        <v>2250565.6269620662</v>
      </c>
      <c r="G12" s="1">
        <f>VLOOKUP(A:A,MASTER!A:K,11,0)</f>
        <v>2959702.482844451</v>
      </c>
      <c r="H12" s="2">
        <f>VLOOKUP(A:A,MASTER!A:E,5,0)</f>
        <v>321</v>
      </c>
      <c r="I12" s="2">
        <f>VLOOKUP(A:A,MASTER!A:J,10,0)</f>
        <v>273</v>
      </c>
      <c r="J12" s="2">
        <f>VLOOKUP(A:A,MASTER!A:D,4,0)</f>
        <v>1</v>
      </c>
      <c r="K12" s="2">
        <f>VLOOKUP(A:A,MASTER!A:I,9,0)</f>
        <v>2</v>
      </c>
      <c r="L12" s="1">
        <f>VLOOKUP(A:A,MASTER!A:C,3,0)</f>
        <v>0</v>
      </c>
      <c r="M12" s="1">
        <f>VLOOKUP(A:A,MASTER!A:H,8,0)</f>
        <v>0</v>
      </c>
      <c r="N12" s="1">
        <f>VLOOKUP(A:A,MASTER!A:B,2,0)</f>
        <v>212</v>
      </c>
      <c r="O12">
        <f>VLOOKUP(A:A,MASTER!A:G,7,0)</f>
        <v>201</v>
      </c>
      <c r="P12">
        <v>3</v>
      </c>
    </row>
    <row r="13" spans="1:16" x14ac:dyDescent="0.35">
      <c r="A13" t="s">
        <v>145</v>
      </c>
      <c r="B13" t="s">
        <v>146</v>
      </c>
      <c r="C13" t="s">
        <v>22</v>
      </c>
      <c r="D13" t="s">
        <v>69</v>
      </c>
      <c r="E13" t="s">
        <v>180</v>
      </c>
      <c r="F13" s="1">
        <f>VLOOKUP(A:A,MASTER!A:F,6,0)</f>
        <v>3008058.056240594</v>
      </c>
      <c r="G13" s="1">
        <f>VLOOKUP(A:A,MASTER!A:K,11,0)</f>
        <v>3318437.6932629938</v>
      </c>
      <c r="H13" s="2">
        <f>VLOOKUP(A:A,MASTER!A:E,5,0)</f>
        <v>229</v>
      </c>
      <c r="I13" s="2">
        <f>VLOOKUP(A:A,MASTER!A:J,10,0)</f>
        <v>219</v>
      </c>
      <c r="J13" s="2">
        <f>VLOOKUP(A:A,MASTER!A:D,4,0)</f>
        <v>0</v>
      </c>
      <c r="K13" s="2">
        <f>VLOOKUP(A:A,MASTER!A:I,9,0)</f>
        <v>1</v>
      </c>
      <c r="L13" s="1">
        <f>VLOOKUP(A:A,MASTER!A:C,3,0)</f>
        <v>6</v>
      </c>
      <c r="M13" s="1">
        <f>VLOOKUP(A:A,MASTER!A:H,8,0)</f>
        <v>0</v>
      </c>
      <c r="N13" s="1">
        <f>VLOOKUP(A:A,MASTER!A:B,2,0)</f>
        <v>256</v>
      </c>
      <c r="O13">
        <f>VLOOKUP(A:A,MASTER!A:G,7,0)</f>
        <v>246</v>
      </c>
      <c r="P13">
        <v>5</v>
      </c>
    </row>
    <row r="14" spans="1:16" x14ac:dyDescent="0.35">
      <c r="A14" t="s">
        <v>20</v>
      </c>
      <c r="B14" t="s">
        <v>21</v>
      </c>
      <c r="C14" t="s">
        <v>22</v>
      </c>
      <c r="D14" t="s">
        <v>69</v>
      </c>
      <c r="E14" t="s">
        <v>182</v>
      </c>
      <c r="F14" s="1">
        <f>VLOOKUP(A:A,MASTER!A:F,6,0)</f>
        <v>7512189.1632019328</v>
      </c>
      <c r="G14" s="1">
        <f>VLOOKUP(A:A,MASTER!A:K,11,0)</f>
        <v>9987199.9195197597</v>
      </c>
      <c r="H14" s="2">
        <f>VLOOKUP(A:A,MASTER!A:E,5,0)</f>
        <v>48</v>
      </c>
      <c r="I14" s="2">
        <f>VLOOKUP(A:A,MASTER!A:J,10,0)</f>
        <v>867</v>
      </c>
      <c r="J14" s="2">
        <f>VLOOKUP(A:A,MASTER!A:D,4,0)</f>
        <v>2</v>
      </c>
      <c r="K14" s="2">
        <f>VLOOKUP(A:A,MASTER!A:I,9,0)</f>
        <v>3</v>
      </c>
      <c r="L14" s="1">
        <f>VLOOKUP(A:A,MASTER!A:C,3,0)</f>
        <v>0</v>
      </c>
      <c r="M14" s="1">
        <f>VLOOKUP(A:A,MASTER!A:H,8,0)</f>
        <v>2</v>
      </c>
      <c r="N14" s="1">
        <f>VLOOKUP(A:A,MASTER!A:B,2,0)</f>
        <v>1445</v>
      </c>
      <c r="O14">
        <f>VLOOKUP(A:A,MASTER!A:G,7,0)</f>
        <v>1426</v>
      </c>
      <c r="P14">
        <v>2</v>
      </c>
    </row>
    <row r="15" spans="1:16" x14ac:dyDescent="0.35">
      <c r="A15" t="s">
        <v>45</v>
      </c>
      <c r="B15" t="s">
        <v>46</v>
      </c>
      <c r="C15" t="s">
        <v>22</v>
      </c>
      <c r="D15" t="s">
        <v>23</v>
      </c>
      <c r="E15" t="s">
        <v>182</v>
      </c>
      <c r="F15" s="1">
        <f>VLOOKUP(A:A,MASTER!A:F,6,0)</f>
        <v>21031434.832303733</v>
      </c>
      <c r="G15" s="1">
        <f>VLOOKUP(A:A,MASTER!A:K,11,0)</f>
        <v>21848454.097331937</v>
      </c>
      <c r="H15" s="2">
        <f>VLOOKUP(A:A,MASTER!A:E,5,0)</f>
        <v>1281</v>
      </c>
      <c r="I15" s="2">
        <f>VLOOKUP(A:A,MASTER!A:J,10,0)</f>
        <v>896</v>
      </c>
      <c r="J15" s="2">
        <f>VLOOKUP(A:A,MASTER!A:D,4,0)</f>
        <v>2</v>
      </c>
      <c r="K15" s="2">
        <f>VLOOKUP(A:A,MASTER!A:I,9,0)</f>
        <v>3</v>
      </c>
      <c r="L15" s="1">
        <f>VLOOKUP(A:A,MASTER!A:C,3,0)</f>
        <v>0</v>
      </c>
      <c r="M15" s="1">
        <f>VLOOKUP(A:A,MASTER!A:H,8,0)</f>
        <v>1</v>
      </c>
      <c r="N15" s="1">
        <f>VLOOKUP(A:A,MASTER!A:B,2,0)</f>
        <v>1279</v>
      </c>
      <c r="O15">
        <f>VLOOKUP(A:A,MASTER!A:G,7,0)</f>
        <v>1234</v>
      </c>
      <c r="P15">
        <v>4</v>
      </c>
    </row>
    <row r="16" spans="1:16" x14ac:dyDescent="0.35">
      <c r="A16" t="s">
        <v>47</v>
      </c>
      <c r="B16" t="s">
        <v>48</v>
      </c>
      <c r="C16" t="s">
        <v>22</v>
      </c>
      <c r="D16" t="s">
        <v>23</v>
      </c>
      <c r="E16" t="s">
        <v>182</v>
      </c>
      <c r="F16" s="1">
        <f>VLOOKUP(A:A,MASTER!A:F,6,0)</f>
        <v>12464962.956552835</v>
      </c>
      <c r="G16" s="1">
        <f>VLOOKUP(A:A,MASTER!A:K,11,0)</f>
        <v>12945342.206328144</v>
      </c>
      <c r="H16" s="2">
        <f>VLOOKUP(A:A,MASTER!A:E,5,0)</f>
        <v>909</v>
      </c>
      <c r="I16" s="2">
        <f>VLOOKUP(A:A,MASTER!A:J,10,0)</f>
        <v>943</v>
      </c>
      <c r="J16" s="2">
        <f>VLOOKUP(A:A,MASTER!A:D,4,0)</f>
        <v>3</v>
      </c>
      <c r="K16" s="2">
        <f>VLOOKUP(A:A,MASTER!A:I,9,0)</f>
        <v>5</v>
      </c>
      <c r="L16" s="1">
        <f>VLOOKUP(A:A,MASTER!A:C,3,0)</f>
        <v>1</v>
      </c>
      <c r="M16" s="1">
        <f>VLOOKUP(A:A,MASTER!A:H,8,0)</f>
        <v>2</v>
      </c>
      <c r="N16" s="1">
        <f>VLOOKUP(A:A,MASTER!A:B,2,0)</f>
        <v>1030</v>
      </c>
      <c r="O16">
        <f>VLOOKUP(A:A,MASTER!A:G,7,0)</f>
        <v>1026</v>
      </c>
      <c r="P16">
        <v>3</v>
      </c>
    </row>
    <row r="17" spans="1:16" x14ac:dyDescent="0.35">
      <c r="A17" t="s">
        <v>49</v>
      </c>
      <c r="B17" t="s">
        <v>50</v>
      </c>
      <c r="C17" t="s">
        <v>22</v>
      </c>
      <c r="D17" t="s">
        <v>23</v>
      </c>
      <c r="E17" t="s">
        <v>182</v>
      </c>
      <c r="F17" s="1">
        <f>VLOOKUP(A:A,MASTER!A:F,6,0)</f>
        <v>13216752.071126426</v>
      </c>
      <c r="G17" s="1">
        <f>VLOOKUP(A:A,MASTER!A:K,11,0)</f>
        <v>8571431.2894174531</v>
      </c>
      <c r="H17" s="2">
        <f>VLOOKUP(A:A,MASTER!A:E,5,0)</f>
        <v>636</v>
      </c>
      <c r="I17" s="2">
        <f>VLOOKUP(A:A,MASTER!A:J,10,0)</f>
        <v>726</v>
      </c>
      <c r="J17" s="2">
        <f>VLOOKUP(A:A,MASTER!A:D,4,0)</f>
        <v>2</v>
      </c>
      <c r="K17" s="2">
        <f>VLOOKUP(A:A,MASTER!A:I,9,0)</f>
        <v>3</v>
      </c>
      <c r="L17" s="1">
        <f>VLOOKUP(A:A,MASTER!A:C,3,0)</f>
        <v>0</v>
      </c>
      <c r="M17" s="1">
        <f>VLOOKUP(A:A,MASTER!A:H,8,0)</f>
        <v>3</v>
      </c>
      <c r="N17" s="1">
        <f>VLOOKUP(A:A,MASTER!A:B,2,0)</f>
        <v>953</v>
      </c>
      <c r="O17">
        <f>VLOOKUP(A:A,MASTER!A:G,7,0)</f>
        <v>917</v>
      </c>
      <c r="P17">
        <v>4</v>
      </c>
    </row>
    <row r="18" spans="1:16" x14ac:dyDescent="0.35">
      <c r="A18" t="s">
        <v>51</v>
      </c>
      <c r="B18" t="s">
        <v>52</v>
      </c>
      <c r="C18" t="s">
        <v>22</v>
      </c>
      <c r="D18" t="s">
        <v>23</v>
      </c>
      <c r="E18" t="s">
        <v>182</v>
      </c>
      <c r="F18" s="1">
        <f>VLOOKUP(A:A,MASTER!A:F,6,0)</f>
        <v>43765663.42008768</v>
      </c>
      <c r="G18" s="1">
        <f>VLOOKUP(A:A,MASTER!A:K,11,0)</f>
        <v>49075557.599973261</v>
      </c>
      <c r="H18" s="2">
        <f>VLOOKUP(A:A,MASTER!A:E,5,0)</f>
        <v>2035</v>
      </c>
      <c r="I18" s="2">
        <f>VLOOKUP(A:A,MASTER!A:J,10,0)</f>
        <v>2900</v>
      </c>
      <c r="J18" s="2">
        <f>VLOOKUP(A:A,MASTER!A:D,4,0)</f>
        <v>10</v>
      </c>
      <c r="K18" s="2">
        <f>VLOOKUP(A:A,MASTER!A:I,9,0)</f>
        <v>10</v>
      </c>
      <c r="L18" s="1">
        <f>VLOOKUP(A:A,MASTER!A:C,3,0)</f>
        <v>112</v>
      </c>
      <c r="M18" s="1">
        <f>VLOOKUP(A:A,MASTER!A:H,8,0)</f>
        <v>168</v>
      </c>
      <c r="N18" s="1">
        <f>VLOOKUP(A:A,MASTER!A:B,2,0)</f>
        <v>2802</v>
      </c>
      <c r="O18">
        <f>VLOOKUP(A:A,MASTER!A:G,7,0)</f>
        <v>2942</v>
      </c>
      <c r="P18">
        <v>5</v>
      </c>
    </row>
    <row r="19" spans="1:16" x14ac:dyDescent="0.35">
      <c r="A19" t="s">
        <v>53</v>
      </c>
      <c r="B19" t="s">
        <v>54</v>
      </c>
      <c r="C19" t="s">
        <v>22</v>
      </c>
      <c r="D19" t="s">
        <v>23</v>
      </c>
      <c r="E19" t="s">
        <v>182</v>
      </c>
      <c r="F19" s="1">
        <f>VLOOKUP(A:A,MASTER!A:F,6,0)</f>
        <v>24021205.021760464</v>
      </c>
      <c r="G19" s="1">
        <f>VLOOKUP(A:A,MASTER!A:K,11,0)</f>
        <v>8067116.1734909713</v>
      </c>
      <c r="H19" s="2">
        <f>VLOOKUP(A:A,MASTER!A:E,5,0)</f>
        <v>1139</v>
      </c>
      <c r="I19" s="2">
        <f>VLOOKUP(A:A,MASTER!A:J,10,0)</f>
        <v>9</v>
      </c>
      <c r="J19" s="2">
        <f>VLOOKUP(A:A,MASTER!A:D,4,0)</f>
        <v>2</v>
      </c>
      <c r="K19" s="2">
        <f>VLOOKUP(A:A,MASTER!A:I,9,0)</f>
        <v>1</v>
      </c>
      <c r="L19" s="1">
        <f>VLOOKUP(A:A,MASTER!A:C,3,0)</f>
        <v>0</v>
      </c>
      <c r="M19" s="1">
        <f>VLOOKUP(A:A,MASTER!A:H,8,0)</f>
        <v>2</v>
      </c>
      <c r="N19" s="1">
        <f>VLOOKUP(A:A,MASTER!A:B,2,0)</f>
        <v>1444</v>
      </c>
      <c r="O19">
        <f>VLOOKUP(A:A,MASTER!A:G,7,0)</f>
        <v>1367</v>
      </c>
      <c r="P19">
        <v>1</v>
      </c>
    </row>
    <row r="20" spans="1:16" x14ac:dyDescent="0.35">
      <c r="A20" t="s">
        <v>55</v>
      </c>
      <c r="B20" t="s">
        <v>56</v>
      </c>
      <c r="C20" t="s">
        <v>22</v>
      </c>
      <c r="D20" t="s">
        <v>23</v>
      </c>
      <c r="E20" t="s">
        <v>182</v>
      </c>
      <c r="F20" s="1">
        <f>VLOOKUP(A:A,MASTER!A:F,6,0)</f>
        <v>46803671.881852701</v>
      </c>
      <c r="G20" s="1">
        <f>VLOOKUP(A:A,MASTER!A:K,11,0)</f>
        <v>47738508.937325202</v>
      </c>
      <c r="H20" s="2">
        <f>VLOOKUP(A:A,MASTER!A:E,5,0)</f>
        <v>2383</v>
      </c>
      <c r="I20" s="2">
        <f>VLOOKUP(A:A,MASTER!A:J,10,0)</f>
        <v>2214</v>
      </c>
      <c r="J20" s="2">
        <f>VLOOKUP(A:A,MASTER!A:D,4,0)</f>
        <v>12</v>
      </c>
      <c r="K20" s="2">
        <f>VLOOKUP(A:A,MASTER!A:I,9,0)</f>
        <v>10</v>
      </c>
      <c r="L20" s="1">
        <f>VLOOKUP(A:A,MASTER!A:C,3,0)</f>
        <v>7</v>
      </c>
      <c r="M20" s="1">
        <f>VLOOKUP(A:A,MASTER!A:H,8,0)</f>
        <v>9</v>
      </c>
      <c r="N20" s="1">
        <f>VLOOKUP(A:A,MASTER!A:B,2,0)</f>
        <v>2984</v>
      </c>
      <c r="O20">
        <f>VLOOKUP(A:A,MASTER!A:G,7,0)</f>
        <v>2962</v>
      </c>
      <c r="P20">
        <v>8</v>
      </c>
    </row>
    <row r="21" spans="1:16" x14ac:dyDescent="0.35">
      <c r="A21" t="s">
        <v>67</v>
      </c>
      <c r="B21" t="s">
        <v>68</v>
      </c>
      <c r="C21" t="s">
        <v>22</v>
      </c>
      <c r="D21" t="s">
        <v>23</v>
      </c>
      <c r="E21" t="s">
        <v>180</v>
      </c>
      <c r="F21" s="1">
        <f>VLOOKUP(A:A,MASTER!A:F,6,0)</f>
        <v>6796338.2171994355</v>
      </c>
      <c r="G21" s="1">
        <f>VLOOKUP(A:A,MASTER!A:K,11,0)</f>
        <v>7122002.4557506125</v>
      </c>
      <c r="H21" s="2">
        <f>VLOOKUP(A:A,MASTER!A:E,5,0)</f>
        <v>463</v>
      </c>
      <c r="I21" s="2">
        <f>VLOOKUP(A:A,MASTER!A:J,10,0)</f>
        <v>515</v>
      </c>
      <c r="J21" s="2">
        <f>VLOOKUP(A:A,MASTER!A:D,4,0)</f>
        <v>1</v>
      </c>
      <c r="K21" s="2">
        <f>VLOOKUP(A:A,MASTER!A:I,9,0)</f>
        <v>1</v>
      </c>
      <c r="L21" s="1">
        <f>VLOOKUP(A:A,MASTER!A:C,3,0)</f>
        <v>3</v>
      </c>
      <c r="M21" s="1">
        <f>VLOOKUP(A:A,MASTER!A:H,8,0)</f>
        <v>4</v>
      </c>
      <c r="N21" s="1">
        <f>VLOOKUP(A:A,MASTER!A:B,2,0)</f>
        <v>549</v>
      </c>
      <c r="O21">
        <f>VLOOKUP(A:A,MASTER!A:G,7,0)</f>
        <v>533</v>
      </c>
      <c r="P21">
        <v>1</v>
      </c>
    </row>
    <row r="22" spans="1:16" x14ac:dyDescent="0.35">
      <c r="A22" t="s">
        <v>74</v>
      </c>
      <c r="B22" t="s">
        <v>75</v>
      </c>
      <c r="C22" t="s">
        <v>22</v>
      </c>
      <c r="D22" t="s">
        <v>23</v>
      </c>
      <c r="E22" t="s">
        <v>182</v>
      </c>
      <c r="F22" s="1">
        <f>VLOOKUP(A:A,MASTER!A:F,6,0)</f>
        <v>18988796.478382163</v>
      </c>
      <c r="G22" s="1">
        <f>VLOOKUP(A:A,MASTER!A:K,11,0)</f>
        <v>19306182.14601028</v>
      </c>
      <c r="H22" s="2">
        <f>VLOOKUP(A:A,MASTER!A:E,5,0)</f>
        <v>1251</v>
      </c>
      <c r="I22" s="2">
        <f>VLOOKUP(A:A,MASTER!A:J,10,0)</f>
        <v>1334</v>
      </c>
      <c r="J22" s="2">
        <f>VLOOKUP(A:A,MASTER!A:D,4,0)</f>
        <v>1</v>
      </c>
      <c r="K22" s="2">
        <f>VLOOKUP(A:A,MASTER!A:I,9,0)</f>
        <v>2</v>
      </c>
      <c r="L22" s="1">
        <f>VLOOKUP(A:A,MASTER!A:C,3,0)</f>
        <v>6</v>
      </c>
      <c r="M22" s="1">
        <f>VLOOKUP(A:A,MASTER!A:H,8,0)</f>
        <v>8</v>
      </c>
      <c r="N22" s="1">
        <f>VLOOKUP(A:A,MASTER!A:B,2,0)</f>
        <v>1709</v>
      </c>
      <c r="O22">
        <f>VLOOKUP(A:A,MASTER!A:G,7,0)</f>
        <v>1732</v>
      </c>
      <c r="P22">
        <v>8</v>
      </c>
    </row>
    <row r="23" spans="1:16" x14ac:dyDescent="0.35">
      <c r="A23" t="s">
        <v>70</v>
      </c>
      <c r="B23" t="s">
        <v>71</v>
      </c>
      <c r="C23" t="s">
        <v>22</v>
      </c>
      <c r="D23" t="s">
        <v>23</v>
      </c>
      <c r="E23" t="s">
        <v>180</v>
      </c>
      <c r="F23" s="1">
        <f>VLOOKUP(A:A,MASTER!A:F,6,0)</f>
        <v>8482004.1993926615</v>
      </c>
      <c r="G23" s="1">
        <f>VLOOKUP(A:A,MASTER!A:K,11,0)</f>
        <v>7846298.3074562633</v>
      </c>
      <c r="H23" s="2">
        <f>VLOOKUP(A:A,MASTER!A:E,5,0)</f>
        <v>826</v>
      </c>
      <c r="I23" s="2">
        <f>VLOOKUP(A:A,MASTER!A:J,10,0)</f>
        <v>766</v>
      </c>
      <c r="J23" s="2">
        <f>VLOOKUP(A:A,MASTER!A:D,4,0)</f>
        <v>1</v>
      </c>
      <c r="K23" s="2">
        <f>VLOOKUP(A:A,MASTER!A:I,9,0)</f>
        <v>1</v>
      </c>
      <c r="L23" s="1">
        <f>VLOOKUP(A:A,MASTER!A:C,3,0)</f>
        <v>4</v>
      </c>
      <c r="M23" s="1">
        <f>VLOOKUP(A:A,MASTER!A:H,8,0)</f>
        <v>7</v>
      </c>
      <c r="N23" s="1">
        <f>VLOOKUP(A:A,MASTER!A:B,2,0)</f>
        <v>868</v>
      </c>
      <c r="O23">
        <f>VLOOKUP(A:A,MASTER!A:G,7,0)</f>
        <v>886</v>
      </c>
      <c r="P23">
        <v>1</v>
      </c>
    </row>
    <row r="24" spans="1:16" x14ac:dyDescent="0.35">
      <c r="A24" t="s">
        <v>72</v>
      </c>
      <c r="B24" t="s">
        <v>73</v>
      </c>
      <c r="C24" t="s">
        <v>22</v>
      </c>
      <c r="D24" t="s">
        <v>23</v>
      </c>
      <c r="E24" t="s">
        <v>180</v>
      </c>
      <c r="F24" s="1">
        <f>VLOOKUP(A:A,MASTER!A:F,6,0)</f>
        <v>8755237.1310375761</v>
      </c>
      <c r="G24" s="1">
        <f>VLOOKUP(A:A,MASTER!A:K,11,0)</f>
        <v>9960916.6373697724</v>
      </c>
      <c r="H24" s="2">
        <f>VLOOKUP(A:A,MASTER!A:E,5,0)</f>
        <v>570</v>
      </c>
      <c r="I24" s="2">
        <f>VLOOKUP(A:A,MASTER!A:J,10,0)</f>
        <v>757</v>
      </c>
      <c r="J24" s="2">
        <f>VLOOKUP(A:A,MASTER!A:D,4,0)</f>
        <v>1</v>
      </c>
      <c r="K24" s="2">
        <f>VLOOKUP(A:A,MASTER!A:I,9,0)</f>
        <v>1</v>
      </c>
      <c r="L24" s="1">
        <f>VLOOKUP(A:A,MASTER!A:C,3,0)</f>
        <v>1</v>
      </c>
      <c r="M24" s="1">
        <f>VLOOKUP(A:A,MASTER!A:H,8,0)</f>
        <v>4</v>
      </c>
      <c r="N24" s="1">
        <f>VLOOKUP(A:A,MASTER!A:B,2,0)</f>
        <v>896</v>
      </c>
      <c r="O24">
        <f>VLOOKUP(A:A,MASTER!A:G,7,0)</f>
        <v>880</v>
      </c>
      <c r="P24">
        <v>3</v>
      </c>
    </row>
    <row r="25" spans="1:16" x14ac:dyDescent="0.35">
      <c r="A25" t="s">
        <v>79</v>
      </c>
      <c r="B25" t="s">
        <v>80</v>
      </c>
      <c r="C25" t="s">
        <v>22</v>
      </c>
      <c r="D25" t="s">
        <v>23</v>
      </c>
      <c r="E25" t="s">
        <v>180</v>
      </c>
      <c r="F25" s="1">
        <f>VLOOKUP(A:A,MASTER!A:F,6,0)</f>
        <v>2560118.3425952001</v>
      </c>
      <c r="G25" s="1">
        <f>VLOOKUP(A:A,MASTER!A:K,11,0)</f>
        <v>2055834.390430477</v>
      </c>
      <c r="H25" s="2">
        <f>VLOOKUP(A:A,MASTER!A:E,5,0)</f>
        <v>193</v>
      </c>
      <c r="I25" s="2">
        <f>VLOOKUP(A:A,MASTER!A:J,10,0)</f>
        <v>146</v>
      </c>
      <c r="J25" s="2">
        <f>VLOOKUP(A:A,MASTER!A:D,4,0)</f>
        <v>0</v>
      </c>
      <c r="K25" s="2">
        <f>VLOOKUP(A:A,MASTER!A:I,9,0)</f>
        <v>2</v>
      </c>
      <c r="L25" s="1">
        <f>VLOOKUP(A:A,MASTER!A:C,3,0)</f>
        <v>1</v>
      </c>
      <c r="M25" s="1">
        <f>VLOOKUP(A:A,MASTER!A:H,8,0)</f>
        <v>1</v>
      </c>
      <c r="N25" s="1">
        <f>VLOOKUP(A:A,MASTER!A:B,2,0)</f>
        <v>240</v>
      </c>
      <c r="O25">
        <f>VLOOKUP(A:A,MASTER!A:G,7,0)</f>
        <v>235</v>
      </c>
      <c r="P25">
        <v>1</v>
      </c>
    </row>
    <row r="26" spans="1:16" x14ac:dyDescent="0.35">
      <c r="A26" t="s">
        <v>109</v>
      </c>
      <c r="B26" t="s">
        <v>110</v>
      </c>
      <c r="C26" t="s">
        <v>22</v>
      </c>
      <c r="D26" t="s">
        <v>23</v>
      </c>
      <c r="E26" t="s">
        <v>182</v>
      </c>
      <c r="F26" s="1">
        <f>VLOOKUP(A:A,MASTER!A:F,6,0)</f>
        <v>22718777.941925272</v>
      </c>
      <c r="G26" s="1">
        <f>VLOOKUP(A:A,MASTER!A:K,11,0)</f>
        <v>18674864.213929038</v>
      </c>
      <c r="H26" s="2">
        <f>VLOOKUP(A:A,MASTER!A:E,5,0)</f>
        <v>1514</v>
      </c>
      <c r="I26" s="2">
        <f>VLOOKUP(A:A,MASTER!A:J,10,0)</f>
        <v>1398</v>
      </c>
      <c r="J26" s="2">
        <f>VLOOKUP(A:A,MASTER!A:D,4,0)</f>
        <v>5</v>
      </c>
      <c r="K26" s="2">
        <f>VLOOKUP(A:A,MASTER!A:I,9,0)</f>
        <v>6</v>
      </c>
      <c r="L26" s="1">
        <f>VLOOKUP(A:A,MASTER!A:C,3,0)</f>
        <v>1</v>
      </c>
      <c r="M26" s="1">
        <f>VLOOKUP(A:A,MASTER!A:H,8,0)</f>
        <v>9</v>
      </c>
      <c r="N26" s="1">
        <f>VLOOKUP(A:A,MASTER!A:B,2,0)</f>
        <v>1663</v>
      </c>
      <c r="O26">
        <f>VLOOKUP(A:A,MASTER!A:G,7,0)</f>
        <v>1661</v>
      </c>
      <c r="P26">
        <v>1</v>
      </c>
    </row>
    <row r="27" spans="1:16" x14ac:dyDescent="0.35">
      <c r="A27" t="s">
        <v>111</v>
      </c>
      <c r="B27" t="s">
        <v>112</v>
      </c>
      <c r="C27" t="s">
        <v>22</v>
      </c>
      <c r="D27" t="s">
        <v>23</v>
      </c>
      <c r="E27" t="s">
        <v>182</v>
      </c>
      <c r="F27" s="1">
        <f>VLOOKUP(A:A,MASTER!A:F,6,0)</f>
        <v>14153077.91888571</v>
      </c>
      <c r="G27" s="1">
        <f>VLOOKUP(A:A,MASTER!A:K,11,0)</f>
        <v>14551107.043437852</v>
      </c>
      <c r="H27" s="2">
        <f>VLOOKUP(A:A,MASTER!A:E,5,0)</f>
        <v>648</v>
      </c>
      <c r="I27" s="2">
        <f>VLOOKUP(A:A,MASTER!A:J,10,0)</f>
        <v>617</v>
      </c>
      <c r="J27" s="2">
        <f>VLOOKUP(A:A,MASTER!A:D,4,0)</f>
        <v>1</v>
      </c>
      <c r="K27" s="2">
        <f>VLOOKUP(A:A,MASTER!A:I,9,0)</f>
        <v>1</v>
      </c>
      <c r="L27" s="1">
        <f>VLOOKUP(A:A,MASTER!A:C,3,0)</f>
        <v>1</v>
      </c>
      <c r="M27" s="1">
        <f>VLOOKUP(A:A,MASTER!A:H,8,0)</f>
        <v>1</v>
      </c>
      <c r="N27" s="1">
        <f>VLOOKUP(A:A,MASTER!A:B,2,0)</f>
        <v>870</v>
      </c>
      <c r="O27">
        <f>VLOOKUP(A:A,MASTER!A:G,7,0)</f>
        <v>863</v>
      </c>
      <c r="P27">
        <v>1</v>
      </c>
    </row>
    <row r="28" spans="1:16" x14ac:dyDescent="0.35">
      <c r="A28" t="s">
        <v>113</v>
      </c>
      <c r="B28" t="s">
        <v>114</v>
      </c>
      <c r="C28" t="s">
        <v>22</v>
      </c>
      <c r="D28" t="s">
        <v>23</v>
      </c>
      <c r="E28" t="s">
        <v>182</v>
      </c>
      <c r="F28" s="1">
        <f>VLOOKUP(A:A,MASTER!A:F,6,0)</f>
        <v>15725447.580771975</v>
      </c>
      <c r="G28" s="1">
        <f>VLOOKUP(A:A,MASTER!A:K,11,0)</f>
        <v>14437291.715968899</v>
      </c>
      <c r="H28" s="2">
        <f>VLOOKUP(A:A,MASTER!A:E,5,0)</f>
        <v>733</v>
      </c>
      <c r="I28" s="2">
        <f>VLOOKUP(A:A,MASTER!A:J,10,0)</f>
        <v>826</v>
      </c>
      <c r="J28" s="2">
        <f>VLOOKUP(A:A,MASTER!A:D,4,0)</f>
        <v>1</v>
      </c>
      <c r="K28" s="2">
        <f>VLOOKUP(A:A,MASTER!A:I,9,0)</f>
        <v>1</v>
      </c>
      <c r="L28" s="1">
        <f>VLOOKUP(A:A,MASTER!A:C,3,0)</f>
        <v>0</v>
      </c>
      <c r="M28" s="1">
        <f>VLOOKUP(A:A,MASTER!A:H,8,0)</f>
        <v>1</v>
      </c>
      <c r="N28" s="1">
        <f>VLOOKUP(A:A,MASTER!A:B,2,0)</f>
        <v>1132</v>
      </c>
      <c r="O28">
        <f>VLOOKUP(A:A,MASTER!A:G,7,0)</f>
        <v>1066</v>
      </c>
      <c r="P28">
        <v>0</v>
      </c>
    </row>
    <row r="29" spans="1:16" x14ac:dyDescent="0.35">
      <c r="A29" t="s">
        <v>115</v>
      </c>
      <c r="B29" t="s">
        <v>116</v>
      </c>
      <c r="C29" t="s">
        <v>22</v>
      </c>
      <c r="D29" t="s">
        <v>23</v>
      </c>
      <c r="E29" t="s">
        <v>182</v>
      </c>
      <c r="F29" s="1">
        <f>VLOOKUP(A:A,MASTER!A:F,6,0)</f>
        <v>19703437.006434254</v>
      </c>
      <c r="G29" s="1">
        <f>VLOOKUP(A:A,MASTER!A:K,11,0)</f>
        <v>20056812.599486277</v>
      </c>
      <c r="H29" s="2">
        <f>VLOOKUP(A:A,MASTER!A:E,5,0)</f>
        <v>967</v>
      </c>
      <c r="I29" s="2">
        <f>VLOOKUP(A:A,MASTER!A:J,10,0)</f>
        <v>864</v>
      </c>
      <c r="J29" s="2">
        <f>VLOOKUP(A:A,MASTER!A:D,4,0)</f>
        <v>3</v>
      </c>
      <c r="K29" s="2">
        <f>VLOOKUP(A:A,MASTER!A:I,9,0)</f>
        <v>2</v>
      </c>
      <c r="L29" s="1">
        <f>VLOOKUP(A:A,MASTER!A:C,3,0)</f>
        <v>0</v>
      </c>
      <c r="M29" s="1">
        <f>VLOOKUP(A:A,MASTER!A:H,8,0)</f>
        <v>2</v>
      </c>
      <c r="N29" s="1">
        <f>VLOOKUP(A:A,MASTER!A:B,2,0)</f>
        <v>1111</v>
      </c>
      <c r="O29">
        <f>VLOOKUP(A:A,MASTER!A:G,7,0)</f>
        <v>1116</v>
      </c>
      <c r="P29">
        <v>1</v>
      </c>
    </row>
    <row r="30" spans="1:16" x14ac:dyDescent="0.35">
      <c r="A30" t="s">
        <v>16</v>
      </c>
      <c r="B30" t="s">
        <v>17</v>
      </c>
      <c r="C30" t="s">
        <v>4</v>
      </c>
      <c r="D30" t="s">
        <v>151</v>
      </c>
      <c r="E30" t="s">
        <v>182</v>
      </c>
      <c r="F30" s="1">
        <f>VLOOKUP(A:A,MASTER!A:F,6,0)</f>
        <v>29722501.854668796</v>
      </c>
      <c r="G30" s="1">
        <f>VLOOKUP(A:A,MASTER!A:K,11,0)</f>
        <v>28294835.68957008</v>
      </c>
      <c r="H30" s="2">
        <f>VLOOKUP(A:A,MASTER!A:E,5,0)</f>
        <v>1178</v>
      </c>
      <c r="I30" s="2">
        <f>VLOOKUP(A:A,MASTER!A:J,10,0)</f>
        <v>1146</v>
      </c>
      <c r="J30" s="2">
        <f>VLOOKUP(A:A,MASTER!A:D,4,0)</f>
        <v>5</v>
      </c>
      <c r="K30" s="2">
        <f>VLOOKUP(A:A,MASTER!A:I,9,0)</f>
        <v>5</v>
      </c>
      <c r="L30" s="1">
        <f>VLOOKUP(A:A,MASTER!A:C,3,0)</f>
        <v>0</v>
      </c>
      <c r="M30" s="1">
        <f>VLOOKUP(A:A,MASTER!A:H,8,0)</f>
        <v>3</v>
      </c>
      <c r="N30" s="1">
        <f>VLOOKUP(A:A,MASTER!A:B,2,0)</f>
        <v>1487</v>
      </c>
      <c r="O30">
        <f>VLOOKUP(A:A,MASTER!A:G,7,0)</f>
        <v>1478</v>
      </c>
      <c r="P30">
        <v>4</v>
      </c>
    </row>
    <row r="31" spans="1:16" x14ac:dyDescent="0.35">
      <c r="A31" t="s">
        <v>18</v>
      </c>
      <c r="B31" t="s">
        <v>19</v>
      </c>
      <c r="C31" t="s">
        <v>4</v>
      </c>
      <c r="D31" t="s">
        <v>151</v>
      </c>
      <c r="E31" t="s">
        <v>182</v>
      </c>
      <c r="F31" s="1">
        <f>VLOOKUP(A:A,MASTER!A:F,6,0)</f>
        <v>10980480.649050532</v>
      </c>
      <c r="G31" s="1">
        <f>VLOOKUP(A:A,MASTER!A:K,11,0)</f>
        <v>11557874.043439522</v>
      </c>
      <c r="H31" s="2">
        <f>VLOOKUP(A:A,MASTER!A:E,5,0)</f>
        <v>528</v>
      </c>
      <c r="I31" s="2">
        <f>VLOOKUP(A:A,MASTER!A:J,10,0)</f>
        <v>528</v>
      </c>
      <c r="J31" s="2">
        <f>VLOOKUP(A:A,MASTER!A:D,4,0)</f>
        <v>2</v>
      </c>
      <c r="K31" s="2">
        <f>VLOOKUP(A:A,MASTER!A:I,9,0)</f>
        <v>5</v>
      </c>
      <c r="L31" s="1">
        <f>VLOOKUP(A:A,MASTER!A:C,3,0)</f>
        <v>0</v>
      </c>
      <c r="M31" s="1">
        <f>VLOOKUP(A:A,MASTER!A:H,8,0)</f>
        <v>0</v>
      </c>
      <c r="N31" s="1">
        <f>VLOOKUP(A:A,MASTER!A:B,2,0)</f>
        <v>700</v>
      </c>
      <c r="O31">
        <f>VLOOKUP(A:A,MASTER!A:G,7,0)</f>
        <v>678</v>
      </c>
      <c r="P31">
        <v>3</v>
      </c>
    </row>
    <row r="32" spans="1:16" x14ac:dyDescent="0.35">
      <c r="A32" t="s">
        <v>43</v>
      </c>
      <c r="B32" t="s">
        <v>44</v>
      </c>
      <c r="C32" t="s">
        <v>4</v>
      </c>
      <c r="D32" t="s">
        <v>5</v>
      </c>
      <c r="E32" t="s">
        <v>182</v>
      </c>
      <c r="F32" s="1">
        <f>VLOOKUP(A:A,MASTER!A:F,6,0)</f>
        <v>35060631.354011633</v>
      </c>
      <c r="G32" s="1">
        <f>VLOOKUP(A:A,MASTER!A:K,11,0)</f>
        <v>35288715.200185522</v>
      </c>
      <c r="H32" s="2">
        <f>VLOOKUP(A:A,MASTER!A:E,5,0)</f>
        <v>1770</v>
      </c>
      <c r="I32" s="2">
        <f>VLOOKUP(A:A,MASTER!A:J,10,0)</f>
        <v>1579</v>
      </c>
      <c r="J32" s="2">
        <f>VLOOKUP(A:A,MASTER!A:D,4,0)</f>
        <v>10</v>
      </c>
      <c r="K32" s="2">
        <f>VLOOKUP(A:A,MASTER!A:I,9,0)</f>
        <v>11</v>
      </c>
      <c r="L32" s="1">
        <f>VLOOKUP(A:A,MASTER!A:C,3,0)</f>
        <v>0</v>
      </c>
      <c r="M32" s="1">
        <f>VLOOKUP(A:A,MASTER!A:H,8,0)</f>
        <v>6</v>
      </c>
      <c r="N32" s="1">
        <f>VLOOKUP(A:A,MASTER!A:B,2,0)</f>
        <v>1968</v>
      </c>
      <c r="O32">
        <f>VLOOKUP(A:A,MASTER!A:G,7,0)</f>
        <v>1937</v>
      </c>
      <c r="P32">
        <v>5</v>
      </c>
    </row>
    <row r="33" spans="1:16" x14ac:dyDescent="0.35">
      <c r="A33" t="s">
        <v>152</v>
      </c>
      <c r="B33" t="s">
        <v>153</v>
      </c>
      <c r="C33" t="s">
        <v>4</v>
      </c>
      <c r="D33" t="s">
        <v>151</v>
      </c>
      <c r="E33" t="s">
        <v>182</v>
      </c>
      <c r="F33" s="1">
        <f>VLOOKUP(A:A,MASTER!A:F,6,0)</f>
        <v>12333157.928200064</v>
      </c>
      <c r="G33" s="1">
        <f>VLOOKUP(A:A,MASTER!A:K,11,0)</f>
        <v>11529791.435436616</v>
      </c>
      <c r="H33" s="2">
        <f>VLOOKUP(A:A,MASTER!A:E,5,0)</f>
        <v>674</v>
      </c>
      <c r="I33" s="2">
        <f>VLOOKUP(A:A,MASTER!A:J,10,0)</f>
        <v>696</v>
      </c>
      <c r="J33" s="2">
        <f>VLOOKUP(A:A,MASTER!A:D,4,0)</f>
        <v>2</v>
      </c>
      <c r="K33" s="2">
        <f>VLOOKUP(A:A,MASTER!A:I,9,0)</f>
        <v>2</v>
      </c>
      <c r="L33" s="1">
        <f>VLOOKUP(A:A,MASTER!A:C,3,0)</f>
        <v>2</v>
      </c>
      <c r="M33" s="1">
        <f>VLOOKUP(A:A,MASTER!A:H,8,0)</f>
        <v>1</v>
      </c>
      <c r="N33" s="1">
        <f>VLOOKUP(A:A,MASTER!A:B,2,0)</f>
        <v>845</v>
      </c>
      <c r="O33">
        <f>VLOOKUP(A:A,MASTER!A:G,7,0)</f>
        <v>839</v>
      </c>
      <c r="P33">
        <v>3</v>
      </c>
    </row>
    <row r="34" spans="1:16" x14ac:dyDescent="0.35">
      <c r="A34" t="s">
        <v>149</v>
      </c>
      <c r="B34" t="s">
        <v>150</v>
      </c>
      <c r="C34" t="s">
        <v>4</v>
      </c>
      <c r="D34" t="s">
        <v>151</v>
      </c>
      <c r="E34" t="s">
        <v>182</v>
      </c>
      <c r="F34" s="1">
        <f>VLOOKUP(A:A,MASTER!A:F,6,0)</f>
        <v>10103964.004989509</v>
      </c>
      <c r="G34" s="1">
        <f>VLOOKUP(A:A,MASTER!A:K,11,0)</f>
        <v>11112334.557640174</v>
      </c>
      <c r="H34" s="2">
        <f>VLOOKUP(A:A,MASTER!A:E,5,0)</f>
        <v>459</v>
      </c>
      <c r="I34" s="2">
        <f>VLOOKUP(A:A,MASTER!A:J,10,0)</f>
        <v>557</v>
      </c>
      <c r="J34" s="2">
        <f>VLOOKUP(A:A,MASTER!A:D,4,0)</f>
        <v>1</v>
      </c>
      <c r="K34" s="2">
        <f>VLOOKUP(A:A,MASTER!A:I,9,0)</f>
        <v>1</v>
      </c>
      <c r="L34" s="1">
        <f>VLOOKUP(A:A,MASTER!A:C,3,0)</f>
        <v>0</v>
      </c>
      <c r="M34" s="1">
        <f>VLOOKUP(A:A,MASTER!A:H,8,0)</f>
        <v>0</v>
      </c>
      <c r="N34" s="1">
        <f>VLOOKUP(A:A,MASTER!A:B,2,0)</f>
        <v>696</v>
      </c>
      <c r="O34">
        <f>VLOOKUP(A:A,MASTER!A:G,7,0)</f>
        <v>732</v>
      </c>
      <c r="P34">
        <v>4</v>
      </c>
    </row>
    <row r="35" spans="1:16" x14ac:dyDescent="0.35">
      <c r="A35" t="s">
        <v>154</v>
      </c>
      <c r="B35" t="s">
        <v>155</v>
      </c>
      <c r="C35" t="s">
        <v>4</v>
      </c>
      <c r="D35" t="s">
        <v>151</v>
      </c>
      <c r="E35" t="s">
        <v>182</v>
      </c>
      <c r="F35" s="1">
        <f>VLOOKUP(A:A,MASTER!A:F,6,0)</f>
        <v>17854652.580006875</v>
      </c>
      <c r="G35" s="1">
        <f>VLOOKUP(A:A,MASTER!A:K,11,0)</f>
        <v>17193856.285997957</v>
      </c>
      <c r="H35" s="2">
        <f>VLOOKUP(A:A,MASTER!A:E,5,0)</f>
        <v>872</v>
      </c>
      <c r="I35" s="2">
        <f>VLOOKUP(A:A,MASTER!A:J,10,0)</f>
        <v>836</v>
      </c>
      <c r="J35" s="2">
        <f>VLOOKUP(A:A,MASTER!A:D,4,0)</f>
        <v>3</v>
      </c>
      <c r="K35" s="2">
        <f>VLOOKUP(A:A,MASTER!A:I,9,0)</f>
        <v>1</v>
      </c>
      <c r="L35" s="1">
        <f>VLOOKUP(A:A,MASTER!A:C,3,0)</f>
        <v>5</v>
      </c>
      <c r="M35" s="1">
        <f>VLOOKUP(A:A,MASTER!A:H,8,0)</f>
        <v>6</v>
      </c>
      <c r="N35" s="1">
        <f>VLOOKUP(A:A,MASTER!A:B,2,0)</f>
        <v>1122</v>
      </c>
      <c r="O35">
        <f>VLOOKUP(A:A,MASTER!A:G,7,0)</f>
        <v>1176</v>
      </c>
      <c r="P35">
        <v>13</v>
      </c>
    </row>
    <row r="36" spans="1:16" x14ac:dyDescent="0.35">
      <c r="A36" t="s">
        <v>2</v>
      </c>
      <c r="B36" t="s">
        <v>3</v>
      </c>
      <c r="C36" t="s">
        <v>4</v>
      </c>
      <c r="D36" t="s">
        <v>151</v>
      </c>
      <c r="E36" t="s">
        <v>182</v>
      </c>
      <c r="F36" s="1">
        <f>VLOOKUP(A:A,MASTER!A:F,6,0)</f>
        <v>17212785.665607128</v>
      </c>
      <c r="G36" s="1">
        <f>VLOOKUP(A:A,MASTER!A:K,11,0)</f>
        <v>15645497.955338975</v>
      </c>
      <c r="H36" s="2">
        <f>VLOOKUP(A:A,MASTER!A:E,5,0)</f>
        <v>869</v>
      </c>
      <c r="I36" s="2">
        <f>VLOOKUP(A:A,MASTER!A:J,10,0)</f>
        <v>769</v>
      </c>
      <c r="J36" s="2">
        <f>VLOOKUP(A:A,MASTER!A:D,4,0)</f>
        <v>1</v>
      </c>
      <c r="K36" s="2">
        <f>VLOOKUP(A:A,MASTER!A:I,9,0)</f>
        <v>1</v>
      </c>
      <c r="L36" s="1">
        <f>VLOOKUP(A:A,MASTER!A:C,3,0)</f>
        <v>36</v>
      </c>
      <c r="M36" s="1">
        <f>VLOOKUP(A:A,MASTER!A:H,8,0)</f>
        <v>120</v>
      </c>
      <c r="N36" s="1">
        <f>VLOOKUP(A:A,MASTER!A:B,2,0)</f>
        <v>1183</v>
      </c>
      <c r="O36">
        <f>VLOOKUP(A:A,MASTER!A:G,7,0)</f>
        <v>1365</v>
      </c>
      <c r="P36">
        <v>4</v>
      </c>
    </row>
    <row r="37" spans="1:16" x14ac:dyDescent="0.35">
      <c r="A37" t="s">
        <v>156</v>
      </c>
      <c r="B37" t="s">
        <v>157</v>
      </c>
      <c r="C37" t="s">
        <v>4</v>
      </c>
      <c r="D37" t="s">
        <v>151</v>
      </c>
      <c r="E37" t="s">
        <v>182</v>
      </c>
      <c r="F37" s="1">
        <f>VLOOKUP(A:A,MASTER!A:F,6,0)</f>
        <v>27010112.979283512</v>
      </c>
      <c r="G37" s="1">
        <f>VLOOKUP(A:A,MASTER!A:K,11,0)</f>
        <v>28638765.273579638</v>
      </c>
      <c r="H37" s="2">
        <f>VLOOKUP(A:A,MASTER!A:E,5,0)</f>
        <v>1382</v>
      </c>
      <c r="I37" s="2">
        <f>VLOOKUP(A:A,MASTER!A:J,10,0)</f>
        <v>1439</v>
      </c>
      <c r="J37" s="2">
        <f>VLOOKUP(A:A,MASTER!A:D,4,0)</f>
        <v>4</v>
      </c>
      <c r="K37" s="2">
        <f>VLOOKUP(A:A,MASTER!A:I,9,0)</f>
        <v>5</v>
      </c>
      <c r="L37" s="1">
        <f>VLOOKUP(A:A,MASTER!A:C,3,0)</f>
        <v>42</v>
      </c>
      <c r="M37" s="1">
        <f>VLOOKUP(A:A,MASTER!A:H,8,0)</f>
        <v>68</v>
      </c>
      <c r="N37" s="1">
        <f>VLOOKUP(A:A,MASTER!A:B,2,0)</f>
        <v>1840</v>
      </c>
      <c r="O37">
        <f>VLOOKUP(A:A,MASTER!A:G,7,0)</f>
        <v>2469</v>
      </c>
      <c r="P37">
        <v>16</v>
      </c>
    </row>
    <row r="38" spans="1:16" x14ac:dyDescent="0.35">
      <c r="A38" t="s">
        <v>14</v>
      </c>
      <c r="B38" t="s">
        <v>15</v>
      </c>
      <c r="C38" t="s">
        <v>4</v>
      </c>
      <c r="D38" t="s">
        <v>151</v>
      </c>
      <c r="E38" t="s">
        <v>182</v>
      </c>
      <c r="F38" s="1">
        <f>VLOOKUP(A:A,MASTER!A:F,6,0)</f>
        <v>11241543.166229179</v>
      </c>
      <c r="G38" s="1">
        <f>VLOOKUP(A:A,MASTER!A:K,11,0)</f>
        <v>10344833.566559069</v>
      </c>
      <c r="H38" s="2">
        <f>VLOOKUP(A:A,MASTER!A:E,5,0)</f>
        <v>460</v>
      </c>
      <c r="I38" s="2">
        <f>VLOOKUP(A:A,MASTER!A:J,10,0)</f>
        <v>466</v>
      </c>
      <c r="J38" s="2">
        <f>VLOOKUP(A:A,MASTER!A:D,4,0)</f>
        <v>6</v>
      </c>
      <c r="K38" s="2">
        <f>VLOOKUP(A:A,MASTER!A:I,9,0)</f>
        <v>6</v>
      </c>
      <c r="L38" s="1">
        <f>VLOOKUP(A:A,MASTER!A:C,3,0)</f>
        <v>2</v>
      </c>
      <c r="M38" s="1">
        <f>VLOOKUP(A:A,MASTER!A:H,8,0)</f>
        <v>0</v>
      </c>
      <c r="N38" s="1">
        <f>VLOOKUP(A:A,MASTER!A:B,2,0)</f>
        <v>627</v>
      </c>
      <c r="O38">
        <f>VLOOKUP(A:A,MASTER!A:G,7,0)</f>
        <v>624</v>
      </c>
      <c r="P38">
        <v>3</v>
      </c>
    </row>
    <row r="39" spans="1:16" x14ac:dyDescent="0.35">
      <c r="A39" t="s">
        <v>8</v>
      </c>
      <c r="B39" t="s">
        <v>9</v>
      </c>
      <c r="C39" t="s">
        <v>4</v>
      </c>
      <c r="D39" t="s">
        <v>151</v>
      </c>
      <c r="E39" t="s">
        <v>182</v>
      </c>
      <c r="F39" s="1">
        <f>VLOOKUP(A:A,MASTER!A:F,6,0)</f>
        <v>30939701.804248367</v>
      </c>
      <c r="G39" s="1">
        <f>VLOOKUP(A:A,MASTER!A:K,11,0)</f>
        <v>34562600.775030553</v>
      </c>
      <c r="H39" s="2">
        <f>VLOOKUP(A:A,MASTER!A:E,5,0)</f>
        <v>1917</v>
      </c>
      <c r="I39" s="2">
        <f>VLOOKUP(A:A,MASTER!A:J,10,0)</f>
        <v>1934</v>
      </c>
      <c r="J39" s="2">
        <f>VLOOKUP(A:A,MASTER!A:D,4,0)</f>
        <v>6</v>
      </c>
      <c r="K39" s="2">
        <f>VLOOKUP(A:A,MASTER!A:I,9,0)</f>
        <v>6</v>
      </c>
      <c r="L39" s="1">
        <f>VLOOKUP(A:A,MASTER!A:C,3,0)</f>
        <v>2</v>
      </c>
      <c r="M39" s="1">
        <f>VLOOKUP(A:A,MASTER!A:H,8,0)</f>
        <v>2</v>
      </c>
      <c r="N39" s="1">
        <f>VLOOKUP(A:A,MASTER!A:B,2,0)</f>
        <v>1946</v>
      </c>
      <c r="O39">
        <f>VLOOKUP(A:A,MASTER!A:G,7,0)</f>
        <v>2049</v>
      </c>
      <c r="P39">
        <v>4</v>
      </c>
    </row>
    <row r="40" spans="1:16" x14ac:dyDescent="0.35">
      <c r="A40" t="s">
        <v>39</v>
      </c>
      <c r="B40" t="s">
        <v>40</v>
      </c>
      <c r="C40" t="s">
        <v>4</v>
      </c>
      <c r="D40" t="s">
        <v>5</v>
      </c>
      <c r="E40" t="s">
        <v>182</v>
      </c>
      <c r="F40" s="1">
        <f>VLOOKUP(A:A,MASTER!A:F,6,0)</f>
        <v>21592902.705368832</v>
      </c>
      <c r="G40" s="1">
        <f>VLOOKUP(A:A,MASTER!A:K,11,0)</f>
        <v>22304769.355051536</v>
      </c>
      <c r="H40" s="2">
        <f>VLOOKUP(A:A,MASTER!A:E,5,0)</f>
        <v>743</v>
      </c>
      <c r="I40" s="2">
        <f>VLOOKUP(A:A,MASTER!A:J,10,0)</f>
        <v>797</v>
      </c>
      <c r="J40" s="2">
        <f>VLOOKUP(A:A,MASTER!A:D,4,0)</f>
        <v>4</v>
      </c>
      <c r="K40" s="2">
        <f>VLOOKUP(A:A,MASTER!A:I,9,0)</f>
        <v>2</v>
      </c>
      <c r="L40" s="1">
        <f>VLOOKUP(A:A,MASTER!A:C,3,0)</f>
        <v>3</v>
      </c>
      <c r="M40" s="1">
        <f>VLOOKUP(A:A,MASTER!A:H,8,0)</f>
        <v>2</v>
      </c>
      <c r="N40" s="1">
        <f>VLOOKUP(A:A,MASTER!A:B,2,0)</f>
        <v>871</v>
      </c>
      <c r="O40">
        <f>VLOOKUP(A:A,MASTER!A:G,7,0)</f>
        <v>899</v>
      </c>
      <c r="P40">
        <v>3</v>
      </c>
    </row>
    <row r="41" spans="1:16" x14ac:dyDescent="0.35">
      <c r="A41" t="s">
        <v>6</v>
      </c>
      <c r="B41" t="s">
        <v>7</v>
      </c>
      <c r="C41" t="s">
        <v>4</v>
      </c>
      <c r="D41" t="s">
        <v>151</v>
      </c>
      <c r="E41" t="s">
        <v>182</v>
      </c>
      <c r="F41" s="1">
        <f>VLOOKUP(A:A,MASTER!A:F,6,0)</f>
        <v>19361417.568360262</v>
      </c>
      <c r="G41" s="1">
        <f>VLOOKUP(A:A,MASTER!A:K,11,0)</f>
        <v>10411236.41967774</v>
      </c>
      <c r="H41" s="2">
        <f>VLOOKUP(A:A,MASTER!A:E,5,0)</f>
        <v>934</v>
      </c>
      <c r="I41" s="2">
        <f>VLOOKUP(A:A,MASTER!A:J,10,0)</f>
        <v>925</v>
      </c>
      <c r="J41" s="2">
        <f>VLOOKUP(A:A,MASTER!A:D,4,0)</f>
        <v>3</v>
      </c>
      <c r="K41" s="2">
        <f>VLOOKUP(A:A,MASTER!A:I,9,0)</f>
        <v>3</v>
      </c>
      <c r="L41" s="1">
        <f>VLOOKUP(A:A,MASTER!A:C,3,0)</f>
        <v>0</v>
      </c>
      <c r="M41" s="1">
        <f>VLOOKUP(A:A,MASTER!A:H,8,0)</f>
        <v>0</v>
      </c>
      <c r="N41" s="1">
        <f>VLOOKUP(A:A,MASTER!A:B,2,0)</f>
        <v>1154</v>
      </c>
      <c r="O41">
        <f>VLOOKUP(A:A,MASTER!A:G,7,0)</f>
        <v>1085</v>
      </c>
      <c r="P41">
        <v>4</v>
      </c>
    </row>
    <row r="42" spans="1:16" x14ac:dyDescent="0.35">
      <c r="A42" t="s">
        <v>41</v>
      </c>
      <c r="B42" t="s">
        <v>42</v>
      </c>
      <c r="C42" t="s">
        <v>4</v>
      </c>
      <c r="D42" t="s">
        <v>5</v>
      </c>
      <c r="E42" t="s">
        <v>182</v>
      </c>
      <c r="F42" s="1">
        <f>VLOOKUP(A:A,MASTER!A:F,6,0)</f>
        <v>18232693.534131359</v>
      </c>
      <c r="G42" s="1">
        <f>VLOOKUP(A:A,MASTER!A:K,11,0)</f>
        <v>17755224.245391376</v>
      </c>
      <c r="H42" s="2">
        <f>VLOOKUP(A:A,MASTER!A:E,5,0)</f>
        <v>630</v>
      </c>
      <c r="I42" s="2">
        <f>VLOOKUP(A:A,MASTER!A:J,10,0)</f>
        <v>645</v>
      </c>
      <c r="J42" s="2">
        <f>VLOOKUP(A:A,MASTER!A:D,4,0)</f>
        <v>5</v>
      </c>
      <c r="K42" s="2">
        <f>VLOOKUP(A:A,MASTER!A:I,9,0)</f>
        <v>4</v>
      </c>
      <c r="L42" s="1">
        <f>VLOOKUP(A:A,MASTER!A:C,3,0)</f>
        <v>0</v>
      </c>
      <c r="M42" s="1">
        <f>VLOOKUP(A:A,MASTER!A:H,8,0)</f>
        <v>3</v>
      </c>
      <c r="N42" s="1">
        <f>VLOOKUP(A:A,MASTER!A:B,2,0)</f>
        <v>853</v>
      </c>
      <c r="O42">
        <f>VLOOKUP(A:A,MASTER!A:G,7,0)</f>
        <v>819</v>
      </c>
      <c r="P42">
        <v>2</v>
      </c>
    </row>
    <row r="43" spans="1:16" x14ac:dyDescent="0.35">
      <c r="A43" t="s">
        <v>158</v>
      </c>
      <c r="B43" t="s">
        <v>159</v>
      </c>
      <c r="C43" t="s">
        <v>4</v>
      </c>
      <c r="D43" t="s">
        <v>151</v>
      </c>
      <c r="E43" t="s">
        <v>182</v>
      </c>
      <c r="F43" s="1">
        <f>VLOOKUP(A:A,MASTER!A:F,6,0)</f>
        <v>10453278.752228426</v>
      </c>
      <c r="G43" s="1">
        <f>VLOOKUP(A:A,MASTER!A:K,11,0)</f>
        <v>11363931.519229412</v>
      </c>
      <c r="H43" s="2">
        <f>VLOOKUP(A:A,MASTER!A:E,5,0)</f>
        <v>600</v>
      </c>
      <c r="I43" s="2">
        <f>VLOOKUP(A:A,MASTER!A:J,10,0)</f>
        <v>708</v>
      </c>
      <c r="J43" s="2">
        <f>VLOOKUP(A:A,MASTER!A:D,4,0)</f>
        <v>10</v>
      </c>
      <c r="K43" s="2">
        <f>VLOOKUP(A:A,MASTER!A:I,9,0)</f>
        <v>10</v>
      </c>
      <c r="L43" s="1">
        <f>VLOOKUP(A:A,MASTER!A:C,3,0)</f>
        <v>0</v>
      </c>
      <c r="M43" s="1">
        <f>VLOOKUP(A:A,MASTER!A:H,8,0)</f>
        <v>1</v>
      </c>
      <c r="N43" s="1">
        <f>VLOOKUP(A:A,MASTER!A:B,2,0)</f>
        <v>659</v>
      </c>
      <c r="O43">
        <f>VLOOKUP(A:A,MASTER!A:G,7,0)</f>
        <v>692</v>
      </c>
      <c r="P43">
        <v>2</v>
      </c>
    </row>
    <row r="44" spans="1:16" x14ac:dyDescent="0.35">
      <c r="A44" t="s">
        <v>160</v>
      </c>
      <c r="B44" t="s">
        <v>161</v>
      </c>
      <c r="C44" t="s">
        <v>4</v>
      </c>
      <c r="D44" t="s">
        <v>151</v>
      </c>
      <c r="E44" t="s">
        <v>182</v>
      </c>
      <c r="F44" s="1">
        <f>VLOOKUP(A:A,MASTER!A:F,6,0)</f>
        <v>10321050.736769276</v>
      </c>
      <c r="G44" s="1">
        <f>VLOOKUP(A:A,MASTER!A:K,11,0)</f>
        <v>9780767.8360642996</v>
      </c>
      <c r="H44" s="2">
        <f>VLOOKUP(A:A,MASTER!A:E,5,0)</f>
        <v>743</v>
      </c>
      <c r="I44" s="2">
        <f>VLOOKUP(A:A,MASTER!A:J,10,0)</f>
        <v>744</v>
      </c>
      <c r="J44" s="2">
        <f>VLOOKUP(A:A,MASTER!A:D,4,0)</f>
        <v>1</v>
      </c>
      <c r="K44" s="2">
        <f>VLOOKUP(A:A,MASTER!A:I,9,0)</f>
        <v>2</v>
      </c>
      <c r="L44" s="1">
        <f>VLOOKUP(A:A,MASTER!A:C,3,0)</f>
        <v>1</v>
      </c>
      <c r="M44" s="1">
        <f>VLOOKUP(A:A,MASTER!A:H,8,0)</f>
        <v>0</v>
      </c>
      <c r="N44" s="1">
        <f>VLOOKUP(A:A,MASTER!A:B,2,0)</f>
        <v>693</v>
      </c>
      <c r="O44">
        <f>VLOOKUP(A:A,MASTER!A:G,7,0)</f>
        <v>688</v>
      </c>
      <c r="P44">
        <v>3</v>
      </c>
    </row>
    <row r="45" spans="1:16" x14ac:dyDescent="0.35">
      <c r="A45" t="s">
        <v>83</v>
      </c>
      <c r="B45" t="s">
        <v>84</v>
      </c>
      <c r="C45" t="s">
        <v>4</v>
      </c>
      <c r="D45" t="s">
        <v>26</v>
      </c>
      <c r="E45" t="s">
        <v>182</v>
      </c>
      <c r="F45" s="1">
        <f>VLOOKUP(A:A,MASTER!A:F,6,0)</f>
        <v>36614471.61384137</v>
      </c>
      <c r="G45" s="1">
        <f>VLOOKUP(A:A,MASTER!A:K,11,0)</f>
        <v>30732060.500332795</v>
      </c>
      <c r="H45" s="2">
        <f>VLOOKUP(A:A,MASTER!A:E,5,0)</f>
        <v>1018</v>
      </c>
      <c r="I45" s="2">
        <f>VLOOKUP(A:A,MASTER!A:J,10,0)</f>
        <v>1127</v>
      </c>
      <c r="J45" s="2">
        <f>VLOOKUP(A:A,MASTER!A:D,4,0)</f>
        <v>7</v>
      </c>
      <c r="K45" s="2">
        <f>VLOOKUP(A:A,MASTER!A:I,9,0)</f>
        <v>4</v>
      </c>
      <c r="L45" s="1">
        <f>VLOOKUP(A:A,MASTER!A:C,3,0)</f>
        <v>7</v>
      </c>
      <c r="M45" s="1">
        <f>VLOOKUP(A:A,MASTER!A:H,8,0)</f>
        <v>0</v>
      </c>
      <c r="N45" s="1">
        <f>VLOOKUP(A:A,MASTER!A:B,2,0)</f>
        <v>1281</v>
      </c>
      <c r="O45">
        <f>VLOOKUP(A:A,MASTER!A:G,7,0)</f>
        <v>1243</v>
      </c>
      <c r="P45">
        <v>4</v>
      </c>
    </row>
    <row r="46" spans="1:16" x14ac:dyDescent="0.35">
      <c r="A46" t="s">
        <v>31</v>
      </c>
      <c r="B46" t="s">
        <v>32</v>
      </c>
      <c r="C46" t="s">
        <v>4</v>
      </c>
      <c r="D46" t="s">
        <v>5</v>
      </c>
      <c r="E46" t="s">
        <v>182</v>
      </c>
      <c r="F46" s="1">
        <f>VLOOKUP(A:A,MASTER!A:F,6,0)</f>
        <v>16076235.359384179</v>
      </c>
      <c r="G46" s="1">
        <f>VLOOKUP(A:A,MASTER!A:K,11,0)</f>
        <v>14733574.789885193</v>
      </c>
      <c r="H46" s="2">
        <f>VLOOKUP(A:A,MASTER!A:E,5,0)</f>
        <v>882</v>
      </c>
      <c r="I46" s="2">
        <f>VLOOKUP(A:A,MASTER!A:J,10,0)</f>
        <v>3212</v>
      </c>
      <c r="J46" s="2">
        <f>VLOOKUP(A:A,MASTER!A:D,4,0)</f>
        <v>4</v>
      </c>
      <c r="K46" s="2">
        <f>VLOOKUP(A:A,MASTER!A:I,9,0)</f>
        <v>8</v>
      </c>
      <c r="L46" s="1">
        <f>VLOOKUP(A:A,MASTER!A:C,3,0)</f>
        <v>0</v>
      </c>
      <c r="M46" s="1">
        <f>VLOOKUP(A:A,MASTER!A:H,8,0)</f>
        <v>2</v>
      </c>
      <c r="N46" s="1">
        <f>VLOOKUP(A:A,MASTER!A:B,2,0)</f>
        <v>864</v>
      </c>
      <c r="O46">
        <f>VLOOKUP(A:A,MASTER!A:G,7,0)</f>
        <v>914</v>
      </c>
      <c r="P46">
        <v>4</v>
      </c>
    </row>
    <row r="47" spans="1:16" x14ac:dyDescent="0.35">
      <c r="A47" t="s">
        <v>33</v>
      </c>
      <c r="B47" t="s">
        <v>34</v>
      </c>
      <c r="C47" t="s">
        <v>4</v>
      </c>
      <c r="D47" t="s">
        <v>5</v>
      </c>
      <c r="E47" t="s">
        <v>182</v>
      </c>
      <c r="F47" s="1">
        <f>VLOOKUP(A:A,MASTER!A:F,6,0)</f>
        <v>20734256.805620253</v>
      </c>
      <c r="G47" s="1">
        <f>VLOOKUP(A:A,MASTER!A:K,11,0)</f>
        <v>26407949.501988936</v>
      </c>
      <c r="H47" s="2">
        <f>VLOOKUP(A:A,MASTER!A:E,5,0)</f>
        <v>1001</v>
      </c>
      <c r="I47" s="2">
        <f>VLOOKUP(A:A,MASTER!A:J,10,0)</f>
        <v>1033</v>
      </c>
      <c r="J47" s="2">
        <f>VLOOKUP(A:A,MASTER!A:D,4,0)</f>
        <v>12</v>
      </c>
      <c r="K47" s="2">
        <f>VLOOKUP(A:A,MASTER!A:I,9,0)</f>
        <v>12</v>
      </c>
      <c r="L47" s="1">
        <f>VLOOKUP(A:A,MASTER!A:C,3,0)</f>
        <v>3</v>
      </c>
      <c r="M47" s="1">
        <f>VLOOKUP(A:A,MASTER!A:H,8,0)</f>
        <v>3</v>
      </c>
      <c r="N47" s="1">
        <f>VLOOKUP(A:A,MASTER!A:B,2,0)</f>
        <v>1310</v>
      </c>
      <c r="O47">
        <f>VLOOKUP(A:A,MASTER!A:G,7,0)</f>
        <v>1363</v>
      </c>
      <c r="P47">
        <v>6</v>
      </c>
    </row>
    <row r="48" spans="1:16" x14ac:dyDescent="0.35">
      <c r="A48" t="s">
        <v>85</v>
      </c>
      <c r="B48" t="s">
        <v>86</v>
      </c>
      <c r="C48" t="s">
        <v>4</v>
      </c>
      <c r="D48" t="s">
        <v>26</v>
      </c>
      <c r="E48" t="s">
        <v>182</v>
      </c>
      <c r="F48" s="1">
        <f>VLOOKUP(A:A,MASTER!A:F,6,0)</f>
        <v>10925987.34804726</v>
      </c>
      <c r="G48" s="1">
        <f>VLOOKUP(A:A,MASTER!A:K,11,0)</f>
        <v>13673852.473286686</v>
      </c>
      <c r="H48" s="2">
        <f>VLOOKUP(A:A,MASTER!A:E,5,0)</f>
        <v>392</v>
      </c>
      <c r="I48" s="2">
        <f>VLOOKUP(A:A,MASTER!A:J,10,0)</f>
        <v>373</v>
      </c>
      <c r="J48" s="2">
        <f>VLOOKUP(A:A,MASTER!A:D,4,0)</f>
        <v>5</v>
      </c>
      <c r="K48" s="2">
        <f>VLOOKUP(A:A,MASTER!A:I,9,0)</f>
        <v>6</v>
      </c>
      <c r="L48" s="1">
        <f>VLOOKUP(A:A,MASTER!A:C,3,0)</f>
        <v>0</v>
      </c>
      <c r="M48" s="1">
        <f>VLOOKUP(A:A,MASTER!A:H,8,0)</f>
        <v>0</v>
      </c>
      <c r="N48" s="1">
        <f>VLOOKUP(A:A,MASTER!A:B,2,0)</f>
        <v>483</v>
      </c>
      <c r="O48">
        <f>VLOOKUP(A:A,MASTER!A:G,7,0)</f>
        <v>483</v>
      </c>
      <c r="P48">
        <v>1</v>
      </c>
    </row>
    <row r="49" spans="1:16" x14ac:dyDescent="0.35">
      <c r="A49" t="s">
        <v>81</v>
      </c>
      <c r="B49" t="s">
        <v>82</v>
      </c>
      <c r="C49" t="s">
        <v>4</v>
      </c>
      <c r="D49" t="s">
        <v>26</v>
      </c>
      <c r="E49" t="s">
        <v>182</v>
      </c>
      <c r="F49" s="1">
        <f>VLOOKUP(A:A,MASTER!A:F,6,0)</f>
        <v>12764477.259903496</v>
      </c>
      <c r="G49" s="1">
        <f>VLOOKUP(A:A,MASTER!A:K,11,0)</f>
        <v>10116058.890716156</v>
      </c>
      <c r="H49" s="2">
        <f>VLOOKUP(A:A,MASTER!A:E,5,0)</f>
        <v>383</v>
      </c>
      <c r="I49" s="2">
        <f>VLOOKUP(A:A,MASTER!A:J,10,0)</f>
        <v>312</v>
      </c>
      <c r="J49" s="2">
        <f>VLOOKUP(A:A,MASTER!A:D,4,0)</f>
        <v>7</v>
      </c>
      <c r="K49" s="2">
        <f>VLOOKUP(A:A,MASTER!A:I,9,0)</f>
        <v>4</v>
      </c>
      <c r="L49" s="1">
        <f>VLOOKUP(A:A,MASTER!A:C,3,0)</f>
        <v>0</v>
      </c>
      <c r="M49" s="1">
        <f>VLOOKUP(A:A,MASTER!A:H,8,0)</f>
        <v>0</v>
      </c>
      <c r="N49" s="1">
        <f>VLOOKUP(A:A,MASTER!A:B,2,0)</f>
        <v>445</v>
      </c>
      <c r="O49">
        <f>VLOOKUP(A:A,MASTER!A:G,7,0)</f>
        <v>454</v>
      </c>
      <c r="P49">
        <v>5</v>
      </c>
    </row>
    <row r="50" spans="1:16" x14ac:dyDescent="0.35">
      <c r="A50" t="s">
        <v>87</v>
      </c>
      <c r="B50" t="s">
        <v>88</v>
      </c>
      <c r="C50" t="s">
        <v>4</v>
      </c>
      <c r="D50" t="s">
        <v>26</v>
      </c>
      <c r="E50" t="s">
        <v>182</v>
      </c>
      <c r="F50" s="1">
        <f>VLOOKUP(A:A,MASTER!A:F,6,0)</f>
        <v>9941003.7667885516</v>
      </c>
      <c r="G50" s="1">
        <f>VLOOKUP(A:A,MASTER!A:K,11,0)</f>
        <v>8825567.6649791468</v>
      </c>
      <c r="H50" s="2">
        <f>VLOOKUP(A:A,MASTER!A:E,5,0)</f>
        <v>327</v>
      </c>
      <c r="I50" s="2">
        <f>VLOOKUP(A:A,MASTER!A:J,10,0)</f>
        <v>346</v>
      </c>
      <c r="J50" s="2">
        <f>VLOOKUP(A:A,MASTER!A:D,4,0)</f>
        <v>2</v>
      </c>
      <c r="K50" s="2">
        <f>VLOOKUP(A:A,MASTER!A:I,9,0)</f>
        <v>3</v>
      </c>
      <c r="L50" s="1">
        <f>VLOOKUP(A:A,MASTER!A:C,3,0)</f>
        <v>9</v>
      </c>
      <c r="M50" s="1">
        <f>VLOOKUP(A:A,MASTER!A:H,8,0)</f>
        <v>1</v>
      </c>
      <c r="N50" s="1">
        <f>VLOOKUP(A:A,MASTER!A:B,2,0)</f>
        <v>423</v>
      </c>
      <c r="O50">
        <f>VLOOKUP(A:A,MASTER!A:G,7,0)</f>
        <v>429</v>
      </c>
      <c r="P50">
        <v>4</v>
      </c>
    </row>
    <row r="51" spans="1:16" x14ac:dyDescent="0.35">
      <c r="A51" t="s">
        <v>166</v>
      </c>
      <c r="B51" t="s">
        <v>167</v>
      </c>
      <c r="C51" t="s">
        <v>4</v>
      </c>
      <c r="D51" t="s">
        <v>5</v>
      </c>
      <c r="E51" t="s">
        <v>182</v>
      </c>
      <c r="F51" s="1">
        <f>VLOOKUP(A:A,MASTER!A:F,6,0)</f>
        <v>21509029.915585216</v>
      </c>
      <c r="G51" s="1">
        <f>VLOOKUP(A:A,MASTER!A:K,11,0)</f>
        <v>20653643.392732065</v>
      </c>
      <c r="H51" s="2">
        <f>VLOOKUP(A:A,MASTER!A:E,5,0)</f>
        <v>969</v>
      </c>
      <c r="I51" s="2">
        <f>VLOOKUP(A:A,MASTER!A:J,10,0)</f>
        <v>931</v>
      </c>
      <c r="J51" s="2">
        <f>VLOOKUP(A:A,MASTER!A:D,4,0)</f>
        <v>1</v>
      </c>
      <c r="K51" s="2">
        <f>VLOOKUP(A:A,MASTER!A:I,9,0)</f>
        <v>0</v>
      </c>
      <c r="L51" s="1">
        <f>VLOOKUP(A:A,MASTER!A:C,3,0)</f>
        <v>0</v>
      </c>
      <c r="M51" s="1">
        <f>VLOOKUP(A:A,MASTER!A:H,8,0)</f>
        <v>1</v>
      </c>
      <c r="N51" s="1">
        <f>VLOOKUP(A:A,MASTER!A:B,2,0)</f>
        <v>1136</v>
      </c>
      <c r="O51">
        <f>VLOOKUP(A:A,MASTER!A:G,7,0)</f>
        <v>1101</v>
      </c>
      <c r="P51">
        <v>5</v>
      </c>
    </row>
    <row r="52" spans="1:16" x14ac:dyDescent="0.35">
      <c r="A52" t="s">
        <v>93</v>
      </c>
      <c r="B52" t="s">
        <v>94</v>
      </c>
      <c r="C52" t="s">
        <v>4</v>
      </c>
      <c r="D52" t="s">
        <v>26</v>
      </c>
      <c r="E52" t="s">
        <v>182</v>
      </c>
      <c r="F52" s="1">
        <f>VLOOKUP(A:A,MASTER!A:F,6,0)</f>
        <v>22333476.918126777</v>
      </c>
      <c r="G52" s="1">
        <f>VLOOKUP(A:A,MASTER!A:K,11,0)</f>
        <v>18249780.65836753</v>
      </c>
      <c r="H52" s="2">
        <f>VLOOKUP(A:A,MASTER!A:E,5,0)</f>
        <v>1005</v>
      </c>
      <c r="I52" s="2">
        <f>VLOOKUP(A:A,MASTER!A:J,10,0)</f>
        <v>891</v>
      </c>
      <c r="J52" s="2">
        <f>VLOOKUP(A:A,MASTER!A:D,4,0)</f>
        <v>3</v>
      </c>
      <c r="K52" s="2">
        <f>VLOOKUP(A:A,MASTER!A:I,9,0)</f>
        <v>1</v>
      </c>
      <c r="L52" s="1">
        <f>VLOOKUP(A:A,MASTER!A:C,3,0)</f>
        <v>6</v>
      </c>
      <c r="M52" s="1">
        <f>VLOOKUP(A:A,MASTER!A:H,8,0)</f>
        <v>2</v>
      </c>
      <c r="N52" s="1">
        <f>VLOOKUP(A:A,MASTER!A:B,2,0)</f>
        <v>956</v>
      </c>
      <c r="O52">
        <f>VLOOKUP(A:A,MASTER!A:G,7,0)</f>
        <v>973</v>
      </c>
      <c r="P52">
        <v>4</v>
      </c>
    </row>
    <row r="53" spans="1:16" x14ac:dyDescent="0.35">
      <c r="A53" t="s">
        <v>95</v>
      </c>
      <c r="B53" t="s">
        <v>96</v>
      </c>
      <c r="C53" t="s">
        <v>4</v>
      </c>
      <c r="D53" t="s">
        <v>26</v>
      </c>
      <c r="E53" t="s">
        <v>182</v>
      </c>
      <c r="F53" s="1">
        <f>VLOOKUP(A:A,MASTER!A:F,6,0)</f>
        <v>30720766.019070383</v>
      </c>
      <c r="G53" s="1">
        <f>VLOOKUP(A:A,MASTER!A:K,11,0)</f>
        <v>39207641.101986013</v>
      </c>
      <c r="H53" s="2">
        <f>VLOOKUP(A:A,MASTER!A:E,5,0)</f>
        <v>1427</v>
      </c>
      <c r="I53" s="2">
        <f>VLOOKUP(A:A,MASTER!A:J,10,0)</f>
        <v>1631</v>
      </c>
      <c r="J53" s="2">
        <f>VLOOKUP(A:A,MASTER!A:D,4,0)</f>
        <v>7</v>
      </c>
      <c r="K53" s="2">
        <f>VLOOKUP(A:A,MASTER!A:I,9,0)</f>
        <v>8</v>
      </c>
      <c r="L53" s="1">
        <f>VLOOKUP(A:A,MASTER!A:C,3,0)</f>
        <v>30</v>
      </c>
      <c r="M53" s="1">
        <f>VLOOKUP(A:A,MASTER!A:H,8,0)</f>
        <v>6</v>
      </c>
      <c r="N53" s="1">
        <f>VLOOKUP(A:A,MASTER!A:B,2,0)</f>
        <v>2229</v>
      </c>
      <c r="O53">
        <f>VLOOKUP(A:A,MASTER!A:G,7,0)</f>
        <v>2075</v>
      </c>
      <c r="P53">
        <v>8</v>
      </c>
    </row>
    <row r="54" spans="1:16" x14ac:dyDescent="0.35">
      <c r="A54" t="s">
        <v>174</v>
      </c>
      <c r="B54" t="s">
        <v>175</v>
      </c>
      <c r="C54" t="s">
        <v>4</v>
      </c>
      <c r="D54" t="s">
        <v>5</v>
      </c>
      <c r="E54" t="s">
        <v>182</v>
      </c>
      <c r="F54" s="1">
        <f>VLOOKUP(A:A,MASTER!A:F,6,0)</f>
        <v>10654324.550770273</v>
      </c>
      <c r="G54" s="1">
        <f>VLOOKUP(A:A,MASTER!A:K,11,0)</f>
        <v>8875675.9081516638</v>
      </c>
      <c r="H54" s="2">
        <f>VLOOKUP(A:A,MASTER!A:E,5,0)</f>
        <v>554</v>
      </c>
      <c r="I54" s="2">
        <f>VLOOKUP(A:A,MASTER!A:J,10,0)</f>
        <v>520</v>
      </c>
      <c r="J54" s="2">
        <f>VLOOKUP(A:A,MASTER!A:D,4,0)</f>
        <v>0</v>
      </c>
      <c r="K54" s="2">
        <f>VLOOKUP(A:A,MASTER!A:I,9,0)</f>
        <v>0</v>
      </c>
      <c r="L54" s="1">
        <f>VLOOKUP(A:A,MASTER!A:C,3,0)</f>
        <v>0</v>
      </c>
      <c r="M54" s="1">
        <f>VLOOKUP(A:A,MASTER!A:H,8,0)</f>
        <v>0</v>
      </c>
      <c r="N54" s="1">
        <f>VLOOKUP(A:A,MASTER!A:B,2,0)</f>
        <v>686</v>
      </c>
      <c r="O54">
        <f>VLOOKUP(A:A,MASTER!A:G,7,0)</f>
        <v>681</v>
      </c>
      <c r="P54">
        <v>2</v>
      </c>
    </row>
    <row r="55" spans="1:16" x14ac:dyDescent="0.35">
      <c r="A55" t="s">
        <v>99</v>
      </c>
      <c r="B55" t="s">
        <v>100</v>
      </c>
      <c r="C55" t="s">
        <v>4</v>
      </c>
      <c r="D55" t="s">
        <v>26</v>
      </c>
      <c r="E55" t="s">
        <v>182</v>
      </c>
      <c r="F55" s="1">
        <f>VLOOKUP(A:A,MASTER!A:F,6,0)</f>
        <v>15305923.087041697</v>
      </c>
      <c r="G55" s="1">
        <f>VLOOKUP(A:A,MASTER!A:K,11,0)</f>
        <v>15926711.477734976</v>
      </c>
      <c r="H55" s="2">
        <f>VLOOKUP(A:A,MASTER!A:E,5,0)</f>
        <v>652</v>
      </c>
      <c r="I55" s="2">
        <f>VLOOKUP(A:A,MASTER!A:J,10,0)</f>
        <v>758</v>
      </c>
      <c r="J55" s="2">
        <f>VLOOKUP(A:A,MASTER!A:D,4,0)</f>
        <v>5</v>
      </c>
      <c r="K55" s="2">
        <f>VLOOKUP(A:A,MASTER!A:I,9,0)</f>
        <v>5</v>
      </c>
      <c r="L55" s="1">
        <f>VLOOKUP(A:A,MASTER!A:C,3,0)</f>
        <v>2</v>
      </c>
      <c r="M55" s="1">
        <f>VLOOKUP(A:A,MASTER!A:H,8,0)</f>
        <v>4</v>
      </c>
      <c r="N55" s="1">
        <f>VLOOKUP(A:A,MASTER!A:B,2,0)</f>
        <v>873</v>
      </c>
      <c r="O55">
        <f>VLOOKUP(A:A,MASTER!A:G,7,0)</f>
        <v>867</v>
      </c>
      <c r="P55">
        <v>6</v>
      </c>
    </row>
    <row r="56" spans="1:16" x14ac:dyDescent="0.35">
      <c r="A56" t="s">
        <v>172</v>
      </c>
      <c r="B56" t="s">
        <v>173</v>
      </c>
      <c r="C56" t="s">
        <v>4</v>
      </c>
      <c r="D56" t="s">
        <v>5</v>
      </c>
      <c r="E56" t="s">
        <v>182</v>
      </c>
      <c r="F56" s="1">
        <f>VLOOKUP(A:A,MASTER!A:F,6,0)</f>
        <v>12874140.232146041</v>
      </c>
      <c r="G56" s="1">
        <f>VLOOKUP(A:A,MASTER!A:K,11,0)</f>
        <v>9823421.513111636</v>
      </c>
      <c r="H56" s="2">
        <f>VLOOKUP(A:A,MASTER!A:E,5,0)</f>
        <v>594</v>
      </c>
      <c r="I56" s="2">
        <f>VLOOKUP(A:A,MASTER!A:J,10,0)</f>
        <v>639</v>
      </c>
      <c r="J56" s="2">
        <f>VLOOKUP(A:A,MASTER!A:D,4,0)</f>
        <v>1</v>
      </c>
      <c r="K56" s="2">
        <f>VLOOKUP(A:A,MASTER!A:I,9,0)</f>
        <v>1</v>
      </c>
      <c r="L56" s="1">
        <f>VLOOKUP(A:A,MASTER!A:C,3,0)</f>
        <v>0</v>
      </c>
      <c r="M56" s="1">
        <f>VLOOKUP(A:A,MASTER!A:H,8,0)</f>
        <v>2</v>
      </c>
      <c r="N56" s="1">
        <f>VLOOKUP(A:A,MASTER!A:B,2,0)</f>
        <v>789</v>
      </c>
      <c r="O56">
        <f>VLOOKUP(A:A,MASTER!A:G,7,0)</f>
        <v>742</v>
      </c>
      <c r="P56">
        <v>3</v>
      </c>
    </row>
    <row r="57" spans="1:16" x14ac:dyDescent="0.35">
      <c r="A57" t="s">
        <v>168</v>
      </c>
      <c r="B57" t="s">
        <v>169</v>
      </c>
      <c r="C57" t="s">
        <v>4</v>
      </c>
      <c r="D57" t="s">
        <v>5</v>
      </c>
      <c r="E57" t="s">
        <v>182</v>
      </c>
      <c r="F57" s="1">
        <f>VLOOKUP(A:A,MASTER!A:F,6,0)</f>
        <v>21103865.275950637</v>
      </c>
      <c r="G57" s="1">
        <f>VLOOKUP(A:A,MASTER!A:K,11,0)</f>
        <v>21418755.666532356</v>
      </c>
      <c r="H57" s="2">
        <f>VLOOKUP(A:A,MASTER!A:E,5,0)</f>
        <v>1199</v>
      </c>
      <c r="I57" s="2">
        <f>VLOOKUP(A:A,MASTER!A:J,10,0)</f>
        <v>999</v>
      </c>
      <c r="J57" s="2">
        <f>VLOOKUP(A:A,MASTER!A:D,4,0)</f>
        <v>1</v>
      </c>
      <c r="K57" s="2">
        <f>VLOOKUP(A:A,MASTER!A:I,9,0)</f>
        <v>0</v>
      </c>
      <c r="L57" s="1">
        <f>VLOOKUP(A:A,MASTER!A:C,3,0)</f>
        <v>2</v>
      </c>
      <c r="M57" s="1">
        <f>VLOOKUP(A:A,MASTER!A:H,8,0)</f>
        <v>4</v>
      </c>
      <c r="N57" s="1">
        <f>VLOOKUP(A:A,MASTER!A:B,2,0)</f>
        <v>1075</v>
      </c>
      <c r="O57">
        <f>VLOOKUP(A:A,MASTER!A:G,7,0)</f>
        <v>1103</v>
      </c>
      <c r="P57">
        <v>3</v>
      </c>
    </row>
    <row r="58" spans="1:16" x14ac:dyDescent="0.35">
      <c r="A58" t="s">
        <v>101</v>
      </c>
      <c r="B58" t="s">
        <v>102</v>
      </c>
      <c r="C58" t="s">
        <v>4</v>
      </c>
      <c r="D58" t="s">
        <v>26</v>
      </c>
      <c r="E58" t="s">
        <v>182</v>
      </c>
      <c r="F58" s="1">
        <f>VLOOKUP(A:A,MASTER!A:F,6,0)</f>
        <v>27064315.72966738</v>
      </c>
      <c r="G58" s="1">
        <f>VLOOKUP(A:A,MASTER!A:K,11,0)</f>
        <v>25056798.087375559</v>
      </c>
      <c r="H58" s="2">
        <f>VLOOKUP(A:A,MASTER!A:E,5,0)</f>
        <v>1500</v>
      </c>
      <c r="I58" s="2">
        <f>VLOOKUP(A:A,MASTER!A:J,10,0)</f>
        <v>1429</v>
      </c>
      <c r="J58" s="2">
        <f>VLOOKUP(A:A,MASTER!A:D,4,0)</f>
        <v>4</v>
      </c>
      <c r="K58" s="2">
        <f>VLOOKUP(A:A,MASTER!A:I,9,0)</f>
        <v>4</v>
      </c>
      <c r="L58" s="1">
        <f>VLOOKUP(A:A,MASTER!A:C,3,0)</f>
        <v>4</v>
      </c>
      <c r="M58" s="1">
        <f>VLOOKUP(A:A,MASTER!A:H,8,0)</f>
        <v>1</v>
      </c>
      <c r="N58" s="1">
        <f>VLOOKUP(A:A,MASTER!A:B,2,0)</f>
        <v>1327</v>
      </c>
      <c r="O58">
        <f>VLOOKUP(A:A,MASTER!A:G,7,0)</f>
        <v>1399</v>
      </c>
      <c r="P58">
        <v>4</v>
      </c>
    </row>
    <row r="59" spans="1:16" x14ac:dyDescent="0.35">
      <c r="A59" t="s">
        <v>103</v>
      </c>
      <c r="B59" t="s">
        <v>104</v>
      </c>
      <c r="C59" t="s">
        <v>4</v>
      </c>
      <c r="D59" t="s">
        <v>26</v>
      </c>
      <c r="E59" t="s">
        <v>182</v>
      </c>
      <c r="F59" s="1">
        <f>VLOOKUP(A:A,MASTER!A:F,6,0)</f>
        <v>14085926.081406619</v>
      </c>
      <c r="G59" s="1">
        <f>VLOOKUP(A:A,MASTER!A:K,11,0)</f>
        <v>14375514.953195609</v>
      </c>
      <c r="H59" s="2">
        <f>VLOOKUP(A:A,MASTER!A:E,5,0)</f>
        <v>732</v>
      </c>
      <c r="I59" s="2">
        <f>VLOOKUP(A:A,MASTER!A:J,10,0)</f>
        <v>688</v>
      </c>
      <c r="J59" s="2">
        <f>VLOOKUP(A:A,MASTER!A:D,4,0)</f>
        <v>5</v>
      </c>
      <c r="K59" s="2">
        <f>VLOOKUP(A:A,MASTER!A:I,9,0)</f>
        <v>3</v>
      </c>
      <c r="L59" s="1">
        <f>VLOOKUP(A:A,MASTER!A:C,3,0)</f>
        <v>4</v>
      </c>
      <c r="M59" s="1">
        <f>VLOOKUP(A:A,MASTER!A:H,8,0)</f>
        <v>1</v>
      </c>
      <c r="N59" s="1">
        <f>VLOOKUP(A:A,MASTER!A:B,2,0)</f>
        <v>784</v>
      </c>
      <c r="O59">
        <f>VLOOKUP(A:A,MASTER!A:G,7,0)</f>
        <v>773</v>
      </c>
      <c r="P59">
        <v>3</v>
      </c>
    </row>
    <row r="60" spans="1:16" x14ac:dyDescent="0.35">
      <c r="A60" t="s">
        <v>105</v>
      </c>
      <c r="B60" t="s">
        <v>106</v>
      </c>
      <c r="C60" t="s">
        <v>4</v>
      </c>
      <c r="D60" t="s">
        <v>26</v>
      </c>
      <c r="E60" t="s">
        <v>182</v>
      </c>
      <c r="F60" s="1">
        <f>VLOOKUP(A:A,MASTER!A:F,6,0)</f>
        <v>16366940.385502718</v>
      </c>
      <c r="G60" s="1">
        <f>VLOOKUP(A:A,MASTER!A:K,11,0)</f>
        <v>15961705.359798137</v>
      </c>
      <c r="H60" s="2">
        <f>VLOOKUP(A:A,MASTER!A:E,5,0)</f>
        <v>440</v>
      </c>
      <c r="I60" s="2">
        <f>VLOOKUP(A:A,MASTER!A:J,10,0)</f>
        <v>478</v>
      </c>
      <c r="J60" s="2">
        <f>VLOOKUP(A:A,MASTER!A:D,4,0)</f>
        <v>5</v>
      </c>
      <c r="K60" s="2">
        <f>VLOOKUP(A:A,MASTER!A:I,9,0)</f>
        <v>5</v>
      </c>
      <c r="L60" s="1">
        <f>VLOOKUP(A:A,MASTER!A:C,3,0)</f>
        <v>3</v>
      </c>
      <c r="M60" s="1">
        <f>VLOOKUP(A:A,MASTER!A:H,8,0)</f>
        <v>4</v>
      </c>
      <c r="N60" s="1">
        <f>VLOOKUP(A:A,MASTER!A:B,2,0)</f>
        <v>705</v>
      </c>
      <c r="O60">
        <f>VLOOKUP(A:A,MASTER!A:G,7,0)</f>
        <v>648</v>
      </c>
      <c r="P60">
        <v>8</v>
      </c>
    </row>
    <row r="61" spans="1:16" x14ac:dyDescent="0.35">
      <c r="A61" t="s">
        <v>24</v>
      </c>
      <c r="B61" t="s">
        <v>25</v>
      </c>
      <c r="C61" t="s">
        <v>4</v>
      </c>
      <c r="D61" t="s">
        <v>26</v>
      </c>
      <c r="E61" t="s">
        <v>182</v>
      </c>
      <c r="F61" s="1">
        <f>VLOOKUP(A:A,MASTER!A:F,6,0)</f>
        <v>37059990.447955251</v>
      </c>
      <c r="G61" s="1">
        <f>VLOOKUP(A:A,MASTER!A:K,11,0)</f>
        <v>51313919.349024072</v>
      </c>
      <c r="H61" s="2">
        <f>VLOOKUP(A:A,MASTER!A:E,5,0)</f>
        <v>1596</v>
      </c>
      <c r="I61" s="2">
        <f>VLOOKUP(A:A,MASTER!A:J,10,0)</f>
        <v>1633</v>
      </c>
      <c r="J61" s="2">
        <f>VLOOKUP(A:A,MASTER!A:D,4,0)</f>
        <v>9</v>
      </c>
      <c r="K61" s="2">
        <f>VLOOKUP(A:A,MASTER!A:I,9,0)</f>
        <v>11</v>
      </c>
      <c r="L61" s="1">
        <f>VLOOKUP(A:A,MASTER!A:C,3,0)</f>
        <v>3</v>
      </c>
      <c r="M61" s="1">
        <f>VLOOKUP(A:A,MASTER!A:H,8,0)</f>
        <v>2</v>
      </c>
      <c r="N61" s="1">
        <f>VLOOKUP(A:A,MASTER!A:B,2,0)</f>
        <v>2025</v>
      </c>
      <c r="O61">
        <f>VLOOKUP(A:A,MASTER!A:G,7,0)</f>
        <v>2000</v>
      </c>
      <c r="P61">
        <v>10</v>
      </c>
    </row>
    <row r="62" spans="1:16" x14ac:dyDescent="0.35">
      <c r="A62" t="s">
        <v>27</v>
      </c>
      <c r="B62" t="s">
        <v>28</v>
      </c>
      <c r="C62" t="s">
        <v>4</v>
      </c>
      <c r="D62" t="s">
        <v>26</v>
      </c>
      <c r="E62" t="s">
        <v>182</v>
      </c>
      <c r="F62" s="1">
        <f>VLOOKUP(A:A,MASTER!A:F,6,0)</f>
        <v>37740310.665981181</v>
      </c>
      <c r="G62" s="1">
        <f>VLOOKUP(A:A,MASTER!A:K,11,0)</f>
        <v>36316046.751808286</v>
      </c>
      <c r="H62" s="2">
        <f>VLOOKUP(A:A,MASTER!A:E,5,0)</f>
        <v>1140</v>
      </c>
      <c r="I62" s="2">
        <f>VLOOKUP(A:A,MASTER!A:J,10,0)</f>
        <v>1195</v>
      </c>
      <c r="J62" s="2">
        <f>VLOOKUP(A:A,MASTER!A:D,4,0)</f>
        <v>8</v>
      </c>
      <c r="K62" s="2">
        <f>VLOOKUP(A:A,MASTER!A:I,9,0)</f>
        <v>6</v>
      </c>
      <c r="L62" s="1">
        <f>VLOOKUP(A:A,MASTER!A:C,3,0)</f>
        <v>13</v>
      </c>
      <c r="M62" s="1">
        <f>VLOOKUP(A:A,MASTER!A:H,8,0)</f>
        <v>5</v>
      </c>
      <c r="N62" s="1">
        <f>VLOOKUP(A:A,MASTER!A:B,2,0)</f>
        <v>1622</v>
      </c>
      <c r="O62">
        <f>VLOOKUP(A:A,MASTER!A:G,7,0)</f>
        <v>1581</v>
      </c>
      <c r="P62">
        <v>9</v>
      </c>
    </row>
    <row r="63" spans="1:16" x14ac:dyDescent="0.35">
      <c r="A63" t="s">
        <v>29</v>
      </c>
      <c r="B63" t="s">
        <v>30</v>
      </c>
      <c r="C63" t="s">
        <v>4</v>
      </c>
      <c r="D63" t="s">
        <v>26</v>
      </c>
      <c r="E63" t="s">
        <v>182</v>
      </c>
      <c r="F63" s="1">
        <f>VLOOKUP(A:A,MASTER!A:F,6,0)</f>
        <v>24540614.424710989</v>
      </c>
      <c r="G63" s="1">
        <f>VLOOKUP(A:A,MASTER!A:K,11,0)</f>
        <v>24557087.2031748</v>
      </c>
      <c r="H63" s="2">
        <f>VLOOKUP(A:A,MASTER!A:E,5,0)</f>
        <v>723</v>
      </c>
      <c r="I63" s="2">
        <f>VLOOKUP(A:A,MASTER!A:J,10,0)</f>
        <v>743</v>
      </c>
      <c r="J63" s="2">
        <f>VLOOKUP(A:A,MASTER!A:D,4,0)</f>
        <v>1</v>
      </c>
      <c r="K63" s="2">
        <f>VLOOKUP(A:A,MASTER!A:I,9,0)</f>
        <v>1</v>
      </c>
      <c r="L63" s="1">
        <f>VLOOKUP(A:A,MASTER!A:C,3,0)</f>
        <v>1</v>
      </c>
      <c r="M63" s="1">
        <f>VLOOKUP(A:A,MASTER!A:H,8,0)</f>
        <v>3</v>
      </c>
      <c r="N63" s="1">
        <f>VLOOKUP(A:A,MASTER!A:B,2,0)</f>
        <v>857</v>
      </c>
      <c r="O63">
        <f>VLOOKUP(A:A,MASTER!A:G,7,0)</f>
        <v>886</v>
      </c>
      <c r="P63">
        <v>4</v>
      </c>
    </row>
    <row r="64" spans="1:16" x14ac:dyDescent="0.35">
      <c r="A64" t="s">
        <v>57</v>
      </c>
      <c r="B64" t="s">
        <v>58</v>
      </c>
      <c r="C64" t="s">
        <v>22</v>
      </c>
      <c r="D64" t="s">
        <v>23</v>
      </c>
      <c r="E64" t="s">
        <v>182</v>
      </c>
      <c r="F64" s="1">
        <f>VLOOKUP(A:A,MASTER!A:F,6,0)</f>
        <v>34664074.752712265</v>
      </c>
      <c r="G64" s="1">
        <f>VLOOKUP(A:A,MASTER!A:K,11,0)</f>
        <v>36884990.167373955</v>
      </c>
      <c r="H64" s="2">
        <f>VLOOKUP(A:A,MASTER!A:E,5,0)</f>
        <v>1336</v>
      </c>
      <c r="I64" s="2">
        <f>VLOOKUP(A:A,MASTER!A:J,10,0)</f>
        <v>1387</v>
      </c>
      <c r="J64" s="2">
        <f>VLOOKUP(A:A,MASTER!A:D,4,0)</f>
        <v>13</v>
      </c>
      <c r="K64" s="2">
        <f>VLOOKUP(A:A,MASTER!A:I,9,0)</f>
        <v>12</v>
      </c>
      <c r="L64" s="1">
        <f>VLOOKUP(A:A,MASTER!A:C,3,0)</f>
        <v>37</v>
      </c>
      <c r="M64" s="1">
        <f>VLOOKUP(A:A,MASTER!A:H,8,0)</f>
        <v>107</v>
      </c>
      <c r="N64" s="1">
        <f>VLOOKUP(A:A,MASTER!A:B,2,0)</f>
        <v>1875</v>
      </c>
      <c r="O64">
        <f>VLOOKUP(A:A,MASTER!A:G,7,0)</f>
        <v>2104</v>
      </c>
      <c r="P64">
        <v>9</v>
      </c>
    </row>
    <row r="65" spans="1:16" x14ac:dyDescent="0.35">
      <c r="A65" t="s">
        <v>137</v>
      </c>
      <c r="B65" t="s">
        <v>138</v>
      </c>
      <c r="C65" t="s">
        <v>22</v>
      </c>
      <c r="D65" t="s">
        <v>69</v>
      </c>
      <c r="E65" t="s">
        <v>180</v>
      </c>
      <c r="F65" s="1">
        <f>VLOOKUP(A:A,MASTER!A:F,6,0)</f>
        <v>2621075.0989817032</v>
      </c>
      <c r="G65" s="1">
        <f>VLOOKUP(A:A,MASTER!A:K,11,0)</f>
        <v>629491.53686487197</v>
      </c>
      <c r="H65" s="2">
        <f>VLOOKUP(A:A,MASTER!A:E,5,0)</f>
        <v>293</v>
      </c>
      <c r="I65" s="2">
        <f>VLOOKUP(A:A,MASTER!A:J,10,0)</f>
        <v>254</v>
      </c>
      <c r="J65" s="2">
        <f>VLOOKUP(A:A,MASTER!A:D,4,0)</f>
        <v>1</v>
      </c>
      <c r="K65" s="2">
        <f>VLOOKUP(A:A,MASTER!A:I,9,0)</f>
        <v>0</v>
      </c>
      <c r="L65" s="1">
        <f>VLOOKUP(A:A,MASTER!A:C,3,0)</f>
        <v>0</v>
      </c>
      <c r="M65" s="1">
        <f>VLOOKUP(A:A,MASTER!A:H,8,0)</f>
        <v>0</v>
      </c>
      <c r="N65" s="1">
        <f>VLOOKUP(A:A,MASTER!A:B,2,0)</f>
        <v>266</v>
      </c>
      <c r="O65">
        <f>VLOOKUP(A:A,MASTER!A:G,7,0)</f>
        <v>249</v>
      </c>
      <c r="P65">
        <v>3</v>
      </c>
    </row>
    <row r="66" spans="1:16" x14ac:dyDescent="0.35">
      <c r="A66" t="s">
        <v>10</v>
      </c>
      <c r="B66" t="s">
        <v>11</v>
      </c>
      <c r="C66" t="s">
        <v>4</v>
      </c>
      <c r="D66" t="s">
        <v>151</v>
      </c>
      <c r="E66" t="s">
        <v>182</v>
      </c>
      <c r="F66" s="1">
        <f>VLOOKUP(A:A,MASTER!A:F,6,0)</f>
        <v>28226150.449650105</v>
      </c>
      <c r="G66" s="1">
        <f>VLOOKUP(A:A,MASTER!A:K,11,0)</f>
        <v>26876970.800084837</v>
      </c>
      <c r="H66" s="2">
        <f>VLOOKUP(A:A,MASTER!A:E,5,0)</f>
        <v>1771</v>
      </c>
      <c r="I66" s="2">
        <f>VLOOKUP(A:A,MASTER!A:J,10,0)</f>
        <v>1623</v>
      </c>
      <c r="J66" s="2">
        <f>VLOOKUP(A:A,MASTER!A:D,4,0)</f>
        <v>7</v>
      </c>
      <c r="K66" s="2">
        <f>VLOOKUP(A:A,MASTER!A:I,9,0)</f>
        <v>5</v>
      </c>
      <c r="L66" s="1">
        <f>VLOOKUP(A:A,MASTER!A:C,3,0)</f>
        <v>2</v>
      </c>
      <c r="M66" s="1">
        <f>VLOOKUP(A:A,MASTER!A:H,8,0)</f>
        <v>4</v>
      </c>
      <c r="N66" s="1">
        <f>VLOOKUP(A:A,MASTER!A:B,2,0)</f>
        <v>1751</v>
      </c>
      <c r="O66">
        <f>VLOOKUP(A:A,MASTER!A:G,7,0)</f>
        <v>1674</v>
      </c>
      <c r="P66">
        <v>6</v>
      </c>
    </row>
    <row r="67" spans="1:16" x14ac:dyDescent="0.35">
      <c r="A67" t="s">
        <v>12</v>
      </c>
      <c r="B67" t="s">
        <v>13</v>
      </c>
      <c r="C67" t="s">
        <v>4</v>
      </c>
      <c r="D67" t="s">
        <v>151</v>
      </c>
      <c r="E67" t="s">
        <v>182</v>
      </c>
      <c r="F67" s="1">
        <f>VLOOKUP(A:A,MASTER!A:F,6,0)</f>
        <v>11149314.029646087</v>
      </c>
      <c r="G67" s="1">
        <f>VLOOKUP(A:A,MASTER!A:K,11,0)</f>
        <v>12473177.909479629</v>
      </c>
      <c r="H67" s="2">
        <f>VLOOKUP(A:A,MASTER!A:E,5,0)</f>
        <v>553</v>
      </c>
      <c r="I67" s="2">
        <f>VLOOKUP(A:A,MASTER!A:J,10,0)</f>
        <v>582</v>
      </c>
      <c r="J67" s="2">
        <f>VLOOKUP(A:A,MASTER!A:D,4,0)</f>
        <v>2</v>
      </c>
      <c r="K67" s="2">
        <f>VLOOKUP(A:A,MASTER!A:I,9,0)</f>
        <v>3</v>
      </c>
      <c r="L67" s="1">
        <f>VLOOKUP(A:A,MASTER!A:C,3,0)</f>
        <v>1</v>
      </c>
      <c r="M67" s="1">
        <f>VLOOKUP(A:A,MASTER!A:H,8,0)</f>
        <v>1</v>
      </c>
      <c r="N67" s="1">
        <f>VLOOKUP(A:A,MASTER!A:B,2,0)</f>
        <v>654</v>
      </c>
      <c r="O67">
        <f>VLOOKUP(A:A,MASTER!A:G,7,0)</f>
        <v>721</v>
      </c>
      <c r="P67">
        <v>3</v>
      </c>
    </row>
    <row r="68" spans="1:16" x14ac:dyDescent="0.35">
      <c r="A68" t="s">
        <v>162</v>
      </c>
      <c r="B68" t="s">
        <v>163</v>
      </c>
      <c r="C68" t="s">
        <v>4</v>
      </c>
      <c r="D68" t="s">
        <v>151</v>
      </c>
      <c r="E68" t="s">
        <v>182</v>
      </c>
      <c r="F68" s="1">
        <f>VLOOKUP(A:A,MASTER!A:F,6,0)</f>
        <v>18811212.930350754</v>
      </c>
      <c r="G68" s="1">
        <f>VLOOKUP(A:A,MASTER!A:K,11,0)</f>
        <v>17738676.445421282</v>
      </c>
      <c r="H68" s="2">
        <f>VLOOKUP(A:A,MASTER!A:E,5,0)</f>
        <v>899</v>
      </c>
      <c r="I68" s="2">
        <f>VLOOKUP(A:A,MASTER!A:J,10,0)</f>
        <v>946</v>
      </c>
      <c r="J68" s="2">
        <f>VLOOKUP(A:A,MASTER!A:D,4,0)</f>
        <v>5</v>
      </c>
      <c r="K68" s="2">
        <f>VLOOKUP(A:A,MASTER!A:I,9,0)</f>
        <v>4</v>
      </c>
      <c r="L68" s="1">
        <f>VLOOKUP(A:A,MASTER!A:C,3,0)</f>
        <v>20</v>
      </c>
      <c r="M68" s="1">
        <f>VLOOKUP(A:A,MASTER!A:H,8,0)</f>
        <v>19</v>
      </c>
      <c r="N68" s="1">
        <f>VLOOKUP(A:A,MASTER!A:B,2,0)</f>
        <v>1357</v>
      </c>
      <c r="O68">
        <f>VLOOKUP(A:A,MASTER!A:G,7,0)</f>
        <v>1365</v>
      </c>
      <c r="P68">
        <v>3</v>
      </c>
    </row>
    <row r="69" spans="1:16" x14ac:dyDescent="0.35">
      <c r="A69" t="s">
        <v>63</v>
      </c>
      <c r="B69" t="s">
        <v>64</v>
      </c>
      <c r="C69" t="s">
        <v>22</v>
      </c>
      <c r="D69" t="s">
        <v>23</v>
      </c>
      <c r="E69" t="s">
        <v>182</v>
      </c>
      <c r="F69" s="1">
        <f>VLOOKUP(A:A,MASTER!A:F,6,0)</f>
        <v>9657810.5725929085</v>
      </c>
      <c r="G69" s="1">
        <f>VLOOKUP(A:A,MASTER!A:K,11,0)</f>
        <v>12929426.00816833</v>
      </c>
      <c r="H69" s="2">
        <f>VLOOKUP(A:A,MASTER!A:E,5,0)</f>
        <v>1784</v>
      </c>
      <c r="I69" s="2">
        <f>VLOOKUP(A:A,MASTER!A:J,10,0)</f>
        <v>1218</v>
      </c>
      <c r="J69" s="2">
        <f>VLOOKUP(A:A,MASTER!A:D,4,0)</f>
        <v>5</v>
      </c>
      <c r="K69" s="2">
        <f>VLOOKUP(A:A,MASTER!A:I,9,0)</f>
        <v>5</v>
      </c>
      <c r="L69" s="1">
        <f>VLOOKUP(A:A,MASTER!A:C,3,0)</f>
        <v>3</v>
      </c>
      <c r="M69" s="1">
        <f>VLOOKUP(A:A,MASTER!A:H,8,0)</f>
        <v>1</v>
      </c>
      <c r="N69" s="1">
        <f>VLOOKUP(A:A,MASTER!A:B,2,0)</f>
        <v>1402</v>
      </c>
      <c r="O69">
        <f>VLOOKUP(A:A,MASTER!A:G,7,0)</f>
        <v>1296</v>
      </c>
      <c r="P69">
        <v>4</v>
      </c>
    </row>
    <row r="70" spans="1:16" x14ac:dyDescent="0.35">
      <c r="A70" t="s">
        <v>59</v>
      </c>
      <c r="B70" t="s">
        <v>60</v>
      </c>
      <c r="C70" t="s">
        <v>22</v>
      </c>
      <c r="D70" t="s">
        <v>23</v>
      </c>
      <c r="E70" t="s">
        <v>182</v>
      </c>
      <c r="F70" s="1">
        <f>VLOOKUP(A:A,MASTER!A:F,6,0)</f>
        <v>31676139.724773306</v>
      </c>
      <c r="G70" s="1">
        <f>VLOOKUP(A:A,MASTER!A:K,11,0)</f>
        <v>32852093.120552234</v>
      </c>
      <c r="H70" s="2">
        <f>VLOOKUP(A:A,MASTER!A:E,5,0)</f>
        <v>1261</v>
      </c>
      <c r="I70" s="2">
        <f>VLOOKUP(A:A,MASTER!A:J,10,0)</f>
        <v>1175</v>
      </c>
      <c r="J70" s="2">
        <f>VLOOKUP(A:A,MASTER!A:D,4,0)</f>
        <v>5</v>
      </c>
      <c r="K70" s="2">
        <f>VLOOKUP(A:A,MASTER!A:I,9,0)</f>
        <v>4</v>
      </c>
      <c r="L70" s="1">
        <f>VLOOKUP(A:A,MASTER!A:C,3,0)</f>
        <v>4</v>
      </c>
      <c r="M70" s="1">
        <f>VLOOKUP(A:A,MASTER!A:H,8,0)</f>
        <v>6</v>
      </c>
      <c r="N70" s="1">
        <f>VLOOKUP(A:A,MASTER!A:B,2,0)</f>
        <v>1748</v>
      </c>
      <c r="O70">
        <f>VLOOKUP(A:A,MASTER!A:G,7,0)</f>
        <v>1728</v>
      </c>
      <c r="P70">
        <v>4</v>
      </c>
    </row>
    <row r="71" spans="1:16" x14ac:dyDescent="0.35">
      <c r="A71" t="s">
        <v>139</v>
      </c>
      <c r="B71" t="s">
        <v>140</v>
      </c>
      <c r="C71" t="s">
        <v>22</v>
      </c>
      <c r="D71" t="s">
        <v>69</v>
      </c>
      <c r="E71" t="s">
        <v>180</v>
      </c>
      <c r="F71" s="1">
        <f>VLOOKUP(A:A,MASTER!A:F,6,0)</f>
        <v>7069736.1221274221</v>
      </c>
      <c r="G71" s="1">
        <f>VLOOKUP(A:A,MASTER!A:K,11,0)</f>
        <v>6760049.5165477693</v>
      </c>
      <c r="H71" s="2">
        <f>VLOOKUP(A:A,MASTER!A:E,5,0)</f>
        <v>563</v>
      </c>
      <c r="I71" s="2">
        <f>VLOOKUP(A:A,MASTER!A:J,10,0)</f>
        <v>473</v>
      </c>
      <c r="J71" s="2">
        <f>VLOOKUP(A:A,MASTER!A:D,4,0)</f>
        <v>2</v>
      </c>
      <c r="K71" s="2">
        <f>VLOOKUP(A:A,MASTER!A:I,9,0)</f>
        <v>1</v>
      </c>
      <c r="L71" s="1">
        <f>VLOOKUP(A:A,MASTER!A:C,3,0)</f>
        <v>1</v>
      </c>
      <c r="M71" s="1">
        <f>VLOOKUP(A:A,MASTER!A:H,8,0)</f>
        <v>2</v>
      </c>
      <c r="N71" s="1">
        <f>VLOOKUP(A:A,MASTER!A:B,2,0)</f>
        <v>484</v>
      </c>
      <c r="O71">
        <f>VLOOKUP(A:A,MASTER!A:G,7,0)</f>
        <v>512</v>
      </c>
      <c r="P71">
        <v>2</v>
      </c>
    </row>
    <row r="72" spans="1:16" x14ac:dyDescent="0.35">
      <c r="A72" t="s">
        <v>170</v>
      </c>
      <c r="B72" t="s">
        <v>171</v>
      </c>
      <c r="C72" t="s">
        <v>4</v>
      </c>
      <c r="D72" t="s">
        <v>5</v>
      </c>
      <c r="E72" t="s">
        <v>182</v>
      </c>
      <c r="F72" s="1">
        <f>VLOOKUP(A:A,MASTER!A:F,6,0)</f>
        <v>11067997.809093548</v>
      </c>
      <c r="G72" s="1">
        <f>VLOOKUP(A:A,MASTER!A:K,11,0)</f>
        <v>10338062.634815617</v>
      </c>
      <c r="H72" s="2">
        <f>VLOOKUP(A:A,MASTER!A:E,5,0)</f>
        <v>825</v>
      </c>
      <c r="I72" s="2">
        <f>VLOOKUP(A:A,MASTER!A:J,10,0)</f>
        <v>879</v>
      </c>
      <c r="J72" s="2">
        <f>VLOOKUP(A:A,MASTER!A:D,4,0)</f>
        <v>1</v>
      </c>
      <c r="K72" s="2">
        <f>VLOOKUP(A:A,MASTER!A:I,9,0)</f>
        <v>1</v>
      </c>
      <c r="L72" s="1">
        <f>VLOOKUP(A:A,MASTER!A:C,3,0)</f>
        <v>1</v>
      </c>
      <c r="M72" s="1">
        <f>VLOOKUP(A:A,MASTER!A:H,8,0)</f>
        <v>2</v>
      </c>
      <c r="N72" s="1">
        <f>VLOOKUP(A:A,MASTER!A:B,2,0)</f>
        <v>891</v>
      </c>
      <c r="O72">
        <f>VLOOKUP(A:A,MASTER!A:G,7,0)</f>
        <v>894</v>
      </c>
      <c r="P72">
        <v>3</v>
      </c>
    </row>
    <row r="73" spans="1:16" x14ac:dyDescent="0.35">
      <c r="A73" t="s">
        <v>61</v>
      </c>
      <c r="B73" t="s">
        <v>62</v>
      </c>
      <c r="C73" t="s">
        <v>22</v>
      </c>
      <c r="D73" t="s">
        <v>23</v>
      </c>
      <c r="E73" t="s">
        <v>182</v>
      </c>
      <c r="F73" s="1">
        <f>VLOOKUP(A:A,MASTER!A:F,6,0)</f>
        <v>6646183.4289873363</v>
      </c>
      <c r="G73" s="1">
        <f>VLOOKUP(A:A,MASTER!A:K,11,0)</f>
        <v>10027767.237602197</v>
      </c>
      <c r="H73" s="2">
        <f>VLOOKUP(A:A,MASTER!A:E,5,0)</f>
        <v>497</v>
      </c>
      <c r="I73" s="2">
        <f>VLOOKUP(A:A,MASTER!A:J,10,0)</f>
        <v>437</v>
      </c>
      <c r="J73" s="2">
        <f>VLOOKUP(A:A,MASTER!A:D,4,0)</f>
        <v>4</v>
      </c>
      <c r="K73" s="2">
        <f>VLOOKUP(A:A,MASTER!A:I,9,0)</f>
        <v>3</v>
      </c>
      <c r="L73" s="1">
        <f>VLOOKUP(A:A,MASTER!A:C,3,0)</f>
        <v>0</v>
      </c>
      <c r="M73" s="1">
        <f>VLOOKUP(A:A,MASTER!A:H,8,0)</f>
        <v>0</v>
      </c>
      <c r="N73" s="1">
        <f>VLOOKUP(A:A,MASTER!A:B,2,0)</f>
        <v>690</v>
      </c>
      <c r="O73">
        <f>VLOOKUP(A:A,MASTER!A:G,7,0)</f>
        <v>655</v>
      </c>
      <c r="P73">
        <v>7</v>
      </c>
    </row>
    <row r="74" spans="1:16" x14ac:dyDescent="0.35">
      <c r="A74" t="s">
        <v>129</v>
      </c>
      <c r="B74" t="s">
        <v>130</v>
      </c>
      <c r="C74" t="s">
        <v>22</v>
      </c>
      <c r="D74" t="s">
        <v>69</v>
      </c>
      <c r="E74" t="s">
        <v>180</v>
      </c>
      <c r="F74" s="1">
        <f>VLOOKUP(A:A,MASTER!A:F,6,0)</f>
        <v>7438912.9088206459</v>
      </c>
      <c r="G74" s="1">
        <f>VLOOKUP(A:A,MASTER!A:K,11,0)</f>
        <v>8685443.1066132579</v>
      </c>
      <c r="H74" s="2">
        <f>VLOOKUP(A:A,MASTER!A:E,5,0)</f>
        <v>759</v>
      </c>
      <c r="I74" s="2">
        <f>VLOOKUP(A:A,MASTER!A:J,10,0)</f>
        <v>710</v>
      </c>
      <c r="J74" s="2">
        <f>VLOOKUP(A:A,MASTER!A:D,4,0)</f>
        <v>1</v>
      </c>
      <c r="K74" s="2">
        <f>VLOOKUP(A:A,MASTER!A:I,9,0)</f>
        <v>1</v>
      </c>
      <c r="L74" s="1">
        <f>VLOOKUP(A:A,MASTER!A:C,3,0)</f>
        <v>1</v>
      </c>
      <c r="M74" s="1">
        <f>VLOOKUP(A:A,MASTER!A:H,8,0)</f>
        <v>4</v>
      </c>
      <c r="N74" s="1">
        <f>VLOOKUP(A:A,MASTER!A:B,2,0)</f>
        <v>589</v>
      </c>
      <c r="O74">
        <f>VLOOKUP(A:A,MASTER!A:G,7,0)</f>
        <v>589</v>
      </c>
      <c r="P74">
        <v>2</v>
      </c>
    </row>
    <row r="75" spans="1:16" x14ac:dyDescent="0.35">
      <c r="A75" t="s">
        <v>35</v>
      </c>
      <c r="B75" t="s">
        <v>36</v>
      </c>
      <c r="C75" t="s">
        <v>4</v>
      </c>
      <c r="D75" t="s">
        <v>5</v>
      </c>
      <c r="E75" t="s">
        <v>180</v>
      </c>
      <c r="F75" s="1">
        <f>VLOOKUP(A:A,MASTER!A:F,6,0)</f>
        <v>8497870.0991402362</v>
      </c>
      <c r="G75" s="1">
        <f>VLOOKUP(A:A,MASTER!A:K,11,0)</f>
        <v>9304320.9951788951</v>
      </c>
      <c r="H75" s="2">
        <f>VLOOKUP(A:A,MASTER!A:E,5,0)</f>
        <v>391</v>
      </c>
      <c r="I75" s="2">
        <f>VLOOKUP(A:A,MASTER!A:J,10,0)</f>
        <v>452</v>
      </c>
      <c r="J75" s="2">
        <f>VLOOKUP(A:A,MASTER!A:D,4,0)</f>
        <v>5</v>
      </c>
      <c r="K75" s="2">
        <f>VLOOKUP(A:A,MASTER!A:I,9,0)</f>
        <v>7</v>
      </c>
      <c r="L75" s="1">
        <f>VLOOKUP(A:A,MASTER!A:C,3,0)</f>
        <v>2</v>
      </c>
      <c r="M75" s="1">
        <f>VLOOKUP(A:A,MASTER!A:H,8,0)</f>
        <v>0</v>
      </c>
      <c r="N75" s="1">
        <f>VLOOKUP(A:A,MASTER!A:B,2,0)</f>
        <v>446</v>
      </c>
      <c r="O75">
        <f>VLOOKUP(A:A,MASTER!A:G,7,0)</f>
        <v>440</v>
      </c>
      <c r="P75">
        <v>1</v>
      </c>
    </row>
    <row r="76" spans="1:16" x14ac:dyDescent="0.35">
      <c r="A76" t="s">
        <v>107</v>
      </c>
      <c r="B76" t="s">
        <v>108</v>
      </c>
      <c r="C76" t="s">
        <v>4</v>
      </c>
      <c r="D76" t="s">
        <v>26</v>
      </c>
      <c r="E76" t="s">
        <v>182</v>
      </c>
      <c r="F76" s="1">
        <f>VLOOKUP(A:A,MASTER!A:F,6,0)</f>
        <v>23923392.832980826</v>
      </c>
      <c r="G76" s="1">
        <f>VLOOKUP(A:A,MASTER!A:K,11,0)</f>
        <v>23499947.38004652</v>
      </c>
      <c r="H76" s="2">
        <f>VLOOKUP(A:A,MASTER!A:E,5,0)</f>
        <v>725</v>
      </c>
      <c r="I76" s="2">
        <f>VLOOKUP(A:A,MASTER!A:J,10,0)</f>
        <v>747</v>
      </c>
      <c r="J76" s="2">
        <f>VLOOKUP(A:A,MASTER!A:D,4,0)</f>
        <v>4</v>
      </c>
      <c r="K76" s="2">
        <f>VLOOKUP(A:A,MASTER!A:I,9,0)</f>
        <v>3</v>
      </c>
      <c r="L76" s="1">
        <f>VLOOKUP(A:A,MASTER!A:C,3,0)</f>
        <v>1</v>
      </c>
      <c r="M76" s="1">
        <f>VLOOKUP(A:A,MASTER!A:H,8,0)</f>
        <v>4</v>
      </c>
      <c r="N76" s="1">
        <f>VLOOKUP(A:A,MASTER!A:B,2,0)</f>
        <v>966</v>
      </c>
      <c r="O76">
        <f>VLOOKUP(A:A,MASTER!A:G,7,0)</f>
        <v>950</v>
      </c>
      <c r="P76">
        <v>4</v>
      </c>
    </row>
    <row r="77" spans="1:16" x14ac:dyDescent="0.35">
      <c r="A77" t="s">
        <v>37</v>
      </c>
      <c r="B77" t="s">
        <v>38</v>
      </c>
      <c r="C77" t="s">
        <v>4</v>
      </c>
      <c r="D77" t="s">
        <v>5</v>
      </c>
      <c r="E77" t="s">
        <v>182</v>
      </c>
      <c r="F77" s="1">
        <f>VLOOKUP(A:A,MASTER!A:F,6,0)</f>
        <v>14714128.498747272</v>
      </c>
      <c r="G77" s="1">
        <f>VLOOKUP(A:A,MASTER!A:K,11,0)</f>
        <v>14617965.617096372</v>
      </c>
      <c r="H77" s="2">
        <f>VLOOKUP(A:A,MASTER!A:E,5,0)</f>
        <v>673</v>
      </c>
      <c r="I77" s="2">
        <f>VLOOKUP(A:A,MASTER!A:J,10,0)</f>
        <v>734</v>
      </c>
      <c r="J77" s="2">
        <f>VLOOKUP(A:A,MASTER!A:D,4,0)</f>
        <v>9</v>
      </c>
      <c r="K77" s="2">
        <f>VLOOKUP(A:A,MASTER!A:I,9,0)</f>
        <v>10</v>
      </c>
      <c r="L77" s="1">
        <f>VLOOKUP(A:A,MASTER!A:C,3,0)</f>
        <v>1</v>
      </c>
      <c r="M77" s="1">
        <f>VLOOKUP(A:A,MASTER!A:H,8,0)</f>
        <v>2</v>
      </c>
      <c r="N77" s="1">
        <f>VLOOKUP(A:A,MASTER!A:B,2,0)</f>
        <v>789</v>
      </c>
      <c r="O77">
        <f>VLOOKUP(A:A,MASTER!A:G,7,0)</f>
        <v>777</v>
      </c>
      <c r="P77">
        <v>2</v>
      </c>
    </row>
    <row r="78" spans="1:16" x14ac:dyDescent="0.35">
      <c r="A78" t="s">
        <v>76</v>
      </c>
      <c r="B78" t="s">
        <v>77</v>
      </c>
      <c r="C78" t="s">
        <v>22</v>
      </c>
      <c r="D78" t="s">
        <v>23</v>
      </c>
      <c r="E78" t="s">
        <v>182</v>
      </c>
      <c r="F78" s="1">
        <f>VLOOKUP(A:A,MASTER!A:F,6,0)</f>
        <v>11668411.154587179</v>
      </c>
      <c r="G78" s="1">
        <f>VLOOKUP(A:A,MASTER!A:K,11,0)</f>
        <v>12972567.696969476</v>
      </c>
      <c r="H78" s="2">
        <f>VLOOKUP(A:A,MASTER!A:E,5,0)</f>
        <v>1067</v>
      </c>
      <c r="I78" s="2">
        <f>VLOOKUP(A:A,MASTER!A:J,10,0)</f>
        <v>1182</v>
      </c>
      <c r="J78" s="2">
        <f>VLOOKUP(A:A,MASTER!A:D,4,0)</f>
        <v>2</v>
      </c>
      <c r="K78" s="2">
        <f>VLOOKUP(A:A,MASTER!A:I,9,0)</f>
        <v>2</v>
      </c>
      <c r="L78" s="1">
        <f>VLOOKUP(A:A,MASTER!A:C,3,0)</f>
        <v>0</v>
      </c>
      <c r="M78" s="1">
        <f>VLOOKUP(A:A,MASTER!A:H,8,0)</f>
        <v>1</v>
      </c>
      <c r="N78" s="1">
        <f>VLOOKUP(A:A,MASTER!A:B,2,0)</f>
        <v>931</v>
      </c>
      <c r="O78">
        <f>VLOOKUP(A:A,MASTER!A:G,7,0)</f>
        <v>971</v>
      </c>
      <c r="P78">
        <v>3</v>
      </c>
    </row>
    <row r="79" spans="1:16" x14ac:dyDescent="0.35">
      <c r="A79" t="s">
        <v>65</v>
      </c>
      <c r="B79" t="s">
        <v>66</v>
      </c>
      <c r="C79" t="s">
        <v>22</v>
      </c>
      <c r="D79" t="s">
        <v>23</v>
      </c>
      <c r="E79" t="s">
        <v>182</v>
      </c>
      <c r="F79" s="1">
        <f>VLOOKUP(A:A,MASTER!A:F,6,0)</f>
        <v>13451041.548536345</v>
      </c>
      <c r="G79" s="1">
        <f>VLOOKUP(A:A,MASTER!A:K,11,0)</f>
        <v>10024481.605834993</v>
      </c>
      <c r="H79" s="2">
        <f>VLOOKUP(A:A,MASTER!A:E,5,0)</f>
        <v>804</v>
      </c>
      <c r="I79" s="2">
        <f>VLOOKUP(A:A,MASTER!A:J,10,0)</f>
        <v>844</v>
      </c>
      <c r="J79" s="2">
        <f>VLOOKUP(A:A,MASTER!A:D,4,0)</f>
        <v>4</v>
      </c>
      <c r="K79" s="2">
        <f>VLOOKUP(A:A,MASTER!A:I,9,0)</f>
        <v>4</v>
      </c>
      <c r="L79" s="1">
        <f>VLOOKUP(A:A,MASTER!A:C,3,0)</f>
        <v>3</v>
      </c>
      <c r="M79" s="1">
        <f>VLOOKUP(A:A,MASTER!A:H,8,0)</f>
        <v>1</v>
      </c>
      <c r="N79" s="1">
        <f>VLOOKUP(A:A,MASTER!A:B,2,0)</f>
        <v>1015</v>
      </c>
      <c r="O79">
        <f>VLOOKUP(A:A,MASTER!A:G,7,0)</f>
        <v>1007</v>
      </c>
      <c r="P79">
        <v>3</v>
      </c>
    </row>
    <row r="80" spans="1:16" x14ac:dyDescent="0.35">
      <c r="A80" t="s">
        <v>89</v>
      </c>
      <c r="B80" t="s">
        <v>90</v>
      </c>
      <c r="C80" t="s">
        <v>4</v>
      </c>
      <c r="D80" t="s">
        <v>26</v>
      </c>
      <c r="E80" t="s">
        <v>182</v>
      </c>
      <c r="F80" s="1">
        <f>VLOOKUP(A:A,MASTER!A:F,6,0)</f>
        <v>13549867.950274644</v>
      </c>
      <c r="G80" s="1">
        <f>VLOOKUP(A:A,MASTER!A:K,11,0)</f>
        <v>14559640.370847676</v>
      </c>
      <c r="H80" s="2">
        <f>VLOOKUP(A:A,MASTER!A:E,5,0)</f>
        <v>645</v>
      </c>
      <c r="I80" s="2">
        <f>VLOOKUP(A:A,MASTER!A:J,10,0)</f>
        <v>756</v>
      </c>
      <c r="J80" s="2">
        <f>VLOOKUP(A:A,MASTER!A:D,4,0)</f>
        <v>5</v>
      </c>
      <c r="K80" s="2">
        <f>VLOOKUP(A:A,MASTER!A:I,9,0)</f>
        <v>6</v>
      </c>
      <c r="L80" s="1">
        <f>VLOOKUP(A:A,MASTER!A:C,3,0)</f>
        <v>2</v>
      </c>
      <c r="M80" s="1">
        <f>VLOOKUP(A:A,MASTER!A:H,8,0)</f>
        <v>2</v>
      </c>
      <c r="N80" s="1">
        <f>VLOOKUP(A:A,MASTER!A:B,2,0)</f>
        <v>742</v>
      </c>
      <c r="O80">
        <f>VLOOKUP(A:A,MASTER!A:G,7,0)</f>
        <v>745</v>
      </c>
      <c r="P80">
        <v>3</v>
      </c>
    </row>
    <row r="81" spans="1:16" x14ac:dyDescent="0.35">
      <c r="A81" t="s">
        <v>147</v>
      </c>
      <c r="B81" t="s">
        <v>148</v>
      </c>
      <c r="C81" t="s">
        <v>22</v>
      </c>
      <c r="D81" t="s">
        <v>69</v>
      </c>
      <c r="E81" t="s">
        <v>180</v>
      </c>
      <c r="F81" s="1">
        <f>VLOOKUP(A:A,MASTER!A:F,6,0)</f>
        <v>6882758.8965735016</v>
      </c>
      <c r="G81" s="1">
        <f>VLOOKUP(A:A,MASTER!A:K,11,0)</f>
        <v>7315762.4698836477</v>
      </c>
      <c r="H81" s="2">
        <f>VLOOKUP(A:A,MASTER!A:E,5,0)</f>
        <v>588</v>
      </c>
      <c r="I81" s="2">
        <f>VLOOKUP(A:A,MASTER!A:J,10,0)</f>
        <v>599</v>
      </c>
      <c r="J81" s="2">
        <f>VLOOKUP(A:A,MASTER!A:D,4,0)</f>
        <v>1</v>
      </c>
      <c r="K81" s="2">
        <f>VLOOKUP(A:A,MASTER!A:I,9,0)</f>
        <v>1</v>
      </c>
      <c r="L81" s="1">
        <f>VLOOKUP(A:A,MASTER!A:C,3,0)</f>
        <v>1</v>
      </c>
      <c r="M81" s="1">
        <f>VLOOKUP(A:A,MASTER!A:H,8,0)</f>
        <v>1</v>
      </c>
      <c r="N81" s="1">
        <f>VLOOKUP(A:A,MASTER!A:B,2,0)</f>
        <v>568</v>
      </c>
      <c r="O81">
        <f>VLOOKUP(A:A,MASTER!A:G,7,0)</f>
        <v>572</v>
      </c>
      <c r="P81">
        <v>1</v>
      </c>
    </row>
    <row r="82" spans="1:16" x14ac:dyDescent="0.35">
      <c r="A82" t="s">
        <v>164</v>
      </c>
      <c r="B82" t="s">
        <v>165</v>
      </c>
      <c r="C82" t="s">
        <v>4</v>
      </c>
      <c r="D82" t="s">
        <v>151</v>
      </c>
      <c r="E82" t="s">
        <v>182</v>
      </c>
      <c r="F82" s="1">
        <f>VLOOKUP(A:A,MASTER!A:F,6,0)</f>
        <v>26079892.628516715</v>
      </c>
      <c r="G82" s="1">
        <f>VLOOKUP(A:A,MASTER!A:K,11,0)</f>
        <v>28525506.244806383</v>
      </c>
      <c r="H82" s="2">
        <f>VLOOKUP(A:A,MASTER!A:E,5,0)</f>
        <v>1202</v>
      </c>
      <c r="I82" s="2">
        <f>VLOOKUP(A:A,MASTER!A:J,10,0)</f>
        <v>1277</v>
      </c>
      <c r="J82" s="2">
        <f>VLOOKUP(A:A,MASTER!A:D,4,0)</f>
        <v>10</v>
      </c>
      <c r="K82" s="2">
        <f>VLOOKUP(A:A,MASTER!A:I,9,0)</f>
        <v>10</v>
      </c>
      <c r="L82" s="1">
        <f>VLOOKUP(A:A,MASTER!A:C,3,0)</f>
        <v>4</v>
      </c>
      <c r="M82" s="1">
        <f>VLOOKUP(A:A,MASTER!A:H,8,0)</f>
        <v>0</v>
      </c>
      <c r="N82" s="1">
        <f>VLOOKUP(A:A,MASTER!A:B,2,0)</f>
        <v>1712</v>
      </c>
      <c r="O82">
        <f>VLOOKUP(A:A,MASTER!A:G,7,0)</f>
        <v>1750</v>
      </c>
      <c r="P82">
        <v>1</v>
      </c>
    </row>
    <row r="83" spans="1:16" x14ac:dyDescent="0.35">
      <c r="A83" t="s">
        <v>91</v>
      </c>
      <c r="B83" t="s">
        <v>92</v>
      </c>
      <c r="C83" t="s">
        <v>4</v>
      </c>
      <c r="D83" t="s">
        <v>26</v>
      </c>
      <c r="E83" t="s">
        <v>180</v>
      </c>
      <c r="F83" s="1">
        <f>VLOOKUP(A:A,MASTER!A:F,6,0)</f>
        <v>7165191.5008343831</v>
      </c>
      <c r="G83" s="1">
        <f>VLOOKUP(A:A,MASTER!A:K,11,0)</f>
        <v>5946913.5955582066</v>
      </c>
      <c r="H83" s="2">
        <f>VLOOKUP(A:A,MASTER!A:E,5,0)</f>
        <v>687</v>
      </c>
      <c r="I83" s="2">
        <f>VLOOKUP(A:A,MASTER!A:J,10,0)</f>
        <v>692</v>
      </c>
      <c r="J83" s="2">
        <f>VLOOKUP(A:A,MASTER!A:D,4,0)</f>
        <v>3</v>
      </c>
      <c r="K83" s="2">
        <f>VLOOKUP(A:A,MASTER!A:I,9,0)</f>
        <v>3</v>
      </c>
      <c r="L83" s="1">
        <f>VLOOKUP(A:A,MASTER!A:C,3,0)</f>
        <v>2</v>
      </c>
      <c r="M83" s="1">
        <f>VLOOKUP(A:A,MASTER!A:H,8,0)</f>
        <v>0</v>
      </c>
      <c r="N83" s="1">
        <f>VLOOKUP(A:A,MASTER!A:B,2,0)</f>
        <v>656</v>
      </c>
      <c r="O83">
        <f>VLOOKUP(A:A,MASTER!A:G,7,0)</f>
        <v>572</v>
      </c>
      <c r="P83">
        <v>2</v>
      </c>
    </row>
    <row r="84" spans="1:16" x14ac:dyDescent="0.35">
      <c r="A84" t="s">
        <v>97</v>
      </c>
      <c r="B84" t="s">
        <v>98</v>
      </c>
      <c r="C84" t="s">
        <v>4</v>
      </c>
      <c r="D84" t="s">
        <v>26</v>
      </c>
      <c r="E84" t="s">
        <v>182</v>
      </c>
      <c r="F84" s="1">
        <f>VLOOKUP(A:A,MASTER!A:F,6,0)</f>
        <v>12970475.295201844</v>
      </c>
      <c r="G84" s="1">
        <f>VLOOKUP(A:A,MASTER!A:K,11,0)</f>
        <v>13699798.317924472</v>
      </c>
      <c r="H84" s="2">
        <f>VLOOKUP(A:A,MASTER!A:E,5,0)</f>
        <v>582</v>
      </c>
      <c r="I84" s="2">
        <f>VLOOKUP(A:A,MASTER!A:J,10,0)</f>
        <v>548</v>
      </c>
      <c r="J84" s="2">
        <f>VLOOKUP(A:A,MASTER!A:D,4,0)</f>
        <v>6</v>
      </c>
      <c r="K84" s="2">
        <f>VLOOKUP(A:A,MASTER!A:I,9,0)</f>
        <v>7</v>
      </c>
      <c r="L84" s="1">
        <f>VLOOKUP(A:A,MASTER!A:C,3,0)</f>
        <v>10</v>
      </c>
      <c r="M84" s="1">
        <f>VLOOKUP(A:A,MASTER!A:H,8,0)</f>
        <v>3</v>
      </c>
      <c r="N84" s="1">
        <f>VLOOKUP(A:A,MASTER!A:B,2,0)</f>
        <v>620</v>
      </c>
      <c r="O84">
        <f>VLOOKUP(A:A,MASTER!A:G,7,0)</f>
        <v>634</v>
      </c>
      <c r="P84">
        <v>7</v>
      </c>
    </row>
    <row r="85" spans="1:16" x14ac:dyDescent="0.35">
      <c r="A85" t="s">
        <v>78</v>
      </c>
      <c r="B85" t="s">
        <v>177</v>
      </c>
      <c r="C85" t="s">
        <v>22</v>
      </c>
      <c r="D85" t="s">
        <v>23</v>
      </c>
      <c r="E85" t="s">
        <v>180</v>
      </c>
      <c r="F85" s="1">
        <f>VLOOKUP(A:A,MASTER!A:F,6,0)</f>
        <v>3870008.7806480499</v>
      </c>
      <c r="G85" s="1">
        <f>VLOOKUP(A:A,MASTER!A:K,11,0)</f>
        <v>3450645.4612574582</v>
      </c>
      <c r="H85" s="2">
        <f>VLOOKUP(A:A,MASTER!A:E,5,0)</f>
        <v>279</v>
      </c>
      <c r="I85" s="2">
        <f>VLOOKUP(A:A,MASTER!A:J,10,0)</f>
        <v>330</v>
      </c>
      <c r="J85" s="2">
        <f>VLOOKUP(A:A,MASTER!A:D,4,0)</f>
        <v>1</v>
      </c>
      <c r="K85" s="2">
        <f>VLOOKUP(A:A,MASTER!A:I,9,0)</f>
        <v>0</v>
      </c>
      <c r="L85" s="1">
        <f>VLOOKUP(A:A,MASTER!A:C,3,0)</f>
        <v>1</v>
      </c>
      <c r="M85" s="1">
        <f>VLOOKUP(A:A,MASTER!A:H,8,0)</f>
        <v>1</v>
      </c>
      <c r="N85" s="1">
        <f>VLOOKUP(A:A,MASTER!A:B,2,0)</f>
        <v>360</v>
      </c>
      <c r="O85">
        <f>VLOOKUP(A:A,MASTER!A:G,7,0)</f>
        <v>361</v>
      </c>
      <c r="P85">
        <v>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K90"/>
  <sheetViews>
    <sheetView tabSelected="1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G6" sqref="G6:K90"/>
    </sheetView>
  </sheetViews>
  <sheetFormatPr defaultRowHeight="14.5" x14ac:dyDescent="0.35"/>
  <cols>
    <col min="1" max="1" width="11.36328125" bestFit="1" customWidth="1"/>
    <col min="2" max="2" width="14.54296875" bestFit="1" customWidth="1"/>
    <col min="3" max="3" width="19.81640625" bestFit="1" customWidth="1"/>
    <col min="4" max="4" width="14.6328125" bestFit="1" customWidth="1"/>
    <col min="5" max="5" width="14.90625" bestFit="1" customWidth="1"/>
    <col min="6" max="6" width="27.7265625" bestFit="1" customWidth="1"/>
    <col min="7" max="7" width="14.54296875" bestFit="1" customWidth="1"/>
    <col min="8" max="8" width="19.81640625" bestFit="1" customWidth="1"/>
    <col min="9" max="9" width="14.6328125" bestFit="1" customWidth="1"/>
    <col min="10" max="10" width="14.90625" bestFit="1" customWidth="1"/>
    <col min="11" max="11" width="27.7265625" bestFit="1" customWidth="1"/>
  </cols>
  <sheetData>
    <row r="3" spans="1:11" s="1" customFormat="1" x14ac:dyDescent="0.35">
      <c r="A3" s="11"/>
      <c r="B3" s="11">
        <f t="shared" ref="B3:K3" si="0">SUBTOTAL(9,B6:B90)</f>
        <v>83966</v>
      </c>
      <c r="C3" s="11">
        <f t="shared" si="0"/>
        <v>432</v>
      </c>
      <c r="D3" s="11">
        <f t="shared" si="0"/>
        <v>307</v>
      </c>
      <c r="E3" s="11">
        <f t="shared" si="0"/>
        <v>69512</v>
      </c>
      <c r="F3" s="11">
        <f t="shared" si="0"/>
        <v>1358024381.1515994</v>
      </c>
      <c r="G3" s="11">
        <f t="shared" si="0"/>
        <v>84646</v>
      </c>
      <c r="H3" s="11">
        <f t="shared" si="0"/>
        <v>649</v>
      </c>
      <c r="I3" s="11">
        <f t="shared" si="0"/>
        <v>312</v>
      </c>
      <c r="J3" s="11">
        <f t="shared" si="0"/>
        <v>71621</v>
      </c>
      <c r="K3" s="11">
        <f t="shared" si="0"/>
        <v>1352856501.8340027</v>
      </c>
    </row>
    <row r="4" spans="1:11" x14ac:dyDescent="0.35">
      <c r="A4" s="7"/>
      <c r="B4" s="7" t="s">
        <v>194</v>
      </c>
      <c r="C4" s="7"/>
      <c r="D4" s="7"/>
      <c r="E4" s="7"/>
      <c r="F4" s="7"/>
      <c r="G4" s="7" t="s">
        <v>195</v>
      </c>
      <c r="H4" s="7"/>
      <c r="I4" s="7"/>
      <c r="J4" s="7"/>
      <c r="K4" s="7"/>
    </row>
    <row r="5" spans="1:11" x14ac:dyDescent="0.35">
      <c r="A5" s="8" t="s">
        <v>196</v>
      </c>
      <c r="B5" s="8" t="s">
        <v>197</v>
      </c>
      <c r="C5" s="8" t="s">
        <v>198</v>
      </c>
      <c r="D5" s="8" t="s">
        <v>199</v>
      </c>
      <c r="E5" s="8" t="s">
        <v>200</v>
      </c>
      <c r="F5" s="8" t="s">
        <v>201</v>
      </c>
      <c r="G5" s="8" t="s">
        <v>197</v>
      </c>
      <c r="H5" s="8" t="s">
        <v>198</v>
      </c>
      <c r="I5" s="8" t="s">
        <v>199</v>
      </c>
      <c r="J5" s="8" t="s">
        <v>200</v>
      </c>
      <c r="K5" s="8" t="s">
        <v>201</v>
      </c>
    </row>
    <row r="6" spans="1:11" x14ac:dyDescent="0.35">
      <c r="A6" s="9" t="s">
        <v>117</v>
      </c>
      <c r="B6" s="10">
        <v>410</v>
      </c>
      <c r="C6" s="10">
        <v>3</v>
      </c>
      <c r="D6" s="10">
        <v>2</v>
      </c>
      <c r="E6" s="10">
        <v>331</v>
      </c>
      <c r="F6" s="10">
        <v>6721217.3677318636</v>
      </c>
      <c r="G6" s="10">
        <v>417</v>
      </c>
      <c r="H6" s="10">
        <v>0</v>
      </c>
      <c r="I6" s="10">
        <v>2</v>
      </c>
      <c r="J6" s="10">
        <v>336</v>
      </c>
      <c r="K6" s="10">
        <v>6152818.0823086826</v>
      </c>
    </row>
    <row r="7" spans="1:11" x14ac:dyDescent="0.35">
      <c r="A7" s="9" t="s">
        <v>127</v>
      </c>
      <c r="B7" s="10">
        <v>675</v>
      </c>
      <c r="C7" s="10">
        <v>1</v>
      </c>
      <c r="D7" s="10">
        <v>1</v>
      </c>
      <c r="E7" s="10">
        <v>577</v>
      </c>
      <c r="F7" s="10">
        <v>8156654.6793239554</v>
      </c>
      <c r="G7" s="10">
        <v>638</v>
      </c>
      <c r="H7" s="10">
        <v>1</v>
      </c>
      <c r="I7" s="10">
        <v>2</v>
      </c>
      <c r="J7" s="10">
        <v>487</v>
      </c>
      <c r="K7" s="10">
        <v>7429191.778023608</v>
      </c>
    </row>
    <row r="8" spans="1:11" x14ac:dyDescent="0.35">
      <c r="A8" s="9" t="s">
        <v>119</v>
      </c>
      <c r="B8" s="10">
        <v>684</v>
      </c>
      <c r="C8" s="10">
        <v>2</v>
      </c>
      <c r="D8" s="10">
        <v>2</v>
      </c>
      <c r="E8" s="10">
        <v>697</v>
      </c>
      <c r="F8" s="10">
        <v>7399552.3442232348</v>
      </c>
      <c r="G8" s="10">
        <v>734</v>
      </c>
      <c r="H8" s="10">
        <v>4</v>
      </c>
      <c r="I8" s="10">
        <v>1</v>
      </c>
      <c r="J8" s="10">
        <v>703</v>
      </c>
      <c r="K8" s="10">
        <v>7950360.3691030573</v>
      </c>
    </row>
    <row r="9" spans="1:11" x14ac:dyDescent="0.35">
      <c r="A9" s="9" t="s">
        <v>121</v>
      </c>
      <c r="B9" s="10">
        <v>1200</v>
      </c>
      <c r="C9" s="10">
        <v>2</v>
      </c>
      <c r="D9" s="10">
        <v>2</v>
      </c>
      <c r="E9" s="10">
        <v>980</v>
      </c>
      <c r="F9" s="10">
        <v>15552827.417094398</v>
      </c>
      <c r="G9" s="10">
        <v>1208</v>
      </c>
      <c r="H9" s="10">
        <v>2</v>
      </c>
      <c r="I9" s="10">
        <v>3</v>
      </c>
      <c r="J9" s="10">
        <v>1029</v>
      </c>
      <c r="K9" s="10">
        <v>15725446.023067832</v>
      </c>
    </row>
    <row r="10" spans="1:11" x14ac:dyDescent="0.35">
      <c r="A10" s="9" t="s">
        <v>123</v>
      </c>
      <c r="B10" s="10">
        <v>405</v>
      </c>
      <c r="C10" s="10">
        <v>1</v>
      </c>
      <c r="D10" s="10">
        <v>0</v>
      </c>
      <c r="E10" s="10">
        <v>337</v>
      </c>
      <c r="F10" s="10">
        <v>5858964.4469372071</v>
      </c>
      <c r="G10" s="10">
        <v>409</v>
      </c>
      <c r="H10" s="10">
        <v>1</v>
      </c>
      <c r="I10" s="10">
        <v>1</v>
      </c>
      <c r="J10" s="10">
        <v>356</v>
      </c>
      <c r="K10" s="10">
        <v>6781752.4824333154</v>
      </c>
    </row>
    <row r="11" spans="1:11" x14ac:dyDescent="0.35">
      <c r="A11" s="9" t="s">
        <v>125</v>
      </c>
      <c r="B11" s="10">
        <v>372</v>
      </c>
      <c r="C11" s="10">
        <v>2</v>
      </c>
      <c r="D11" s="10">
        <v>2</v>
      </c>
      <c r="E11" s="10">
        <v>356</v>
      </c>
      <c r="F11" s="10">
        <v>5921570.4369004704</v>
      </c>
      <c r="G11" s="10">
        <v>379</v>
      </c>
      <c r="H11" s="10">
        <v>2</v>
      </c>
      <c r="I11" s="10">
        <v>2</v>
      </c>
      <c r="J11" s="10">
        <v>291</v>
      </c>
      <c r="K11" s="10">
        <v>5992231.4276800314</v>
      </c>
    </row>
    <row r="12" spans="1:11" x14ac:dyDescent="0.35">
      <c r="A12" s="9" t="s">
        <v>131</v>
      </c>
      <c r="B12" s="10">
        <v>606</v>
      </c>
      <c r="C12" s="10">
        <v>0</v>
      </c>
      <c r="D12" s="10">
        <v>1</v>
      </c>
      <c r="E12" s="10">
        <v>525</v>
      </c>
      <c r="F12" s="10">
        <v>6799052.3254508786</v>
      </c>
      <c r="G12" s="10">
        <v>591</v>
      </c>
      <c r="H12" s="10">
        <v>0</v>
      </c>
      <c r="I12" s="10">
        <v>4</v>
      </c>
      <c r="J12" s="10">
        <v>512</v>
      </c>
      <c r="K12" s="10">
        <v>6874438.380801552</v>
      </c>
    </row>
    <row r="13" spans="1:11" x14ac:dyDescent="0.35">
      <c r="A13" s="9" t="s">
        <v>133</v>
      </c>
      <c r="B13" s="10">
        <v>165</v>
      </c>
      <c r="C13" s="10">
        <v>0</v>
      </c>
      <c r="D13" s="10">
        <v>1</v>
      </c>
      <c r="E13" s="10">
        <v>172</v>
      </c>
      <c r="F13" s="10">
        <v>2979868.2358265291</v>
      </c>
      <c r="G13" s="10">
        <v>168</v>
      </c>
      <c r="H13" s="10">
        <v>0</v>
      </c>
      <c r="I13" s="10">
        <v>1</v>
      </c>
      <c r="J13" s="10">
        <v>146</v>
      </c>
      <c r="K13" s="10">
        <v>3098186.935847898</v>
      </c>
    </row>
    <row r="14" spans="1:11" x14ac:dyDescent="0.35">
      <c r="A14" s="9" t="s">
        <v>141</v>
      </c>
      <c r="B14" s="10">
        <v>203</v>
      </c>
      <c r="C14" s="10">
        <v>1</v>
      </c>
      <c r="D14" s="10">
        <v>0</v>
      </c>
      <c r="E14" s="10">
        <v>168</v>
      </c>
      <c r="F14" s="10">
        <v>3006238.1098317681</v>
      </c>
      <c r="G14" s="10">
        <v>180</v>
      </c>
      <c r="H14" s="10">
        <v>0</v>
      </c>
      <c r="I14" s="10">
        <v>1</v>
      </c>
      <c r="J14" s="10">
        <v>1</v>
      </c>
      <c r="K14" s="10">
        <v>268270.17518669402</v>
      </c>
    </row>
    <row r="15" spans="1:11" x14ac:dyDescent="0.35">
      <c r="A15" s="9" t="s">
        <v>135</v>
      </c>
      <c r="B15" s="10">
        <v>352</v>
      </c>
      <c r="C15" s="10">
        <v>0</v>
      </c>
      <c r="D15" s="10">
        <v>0</v>
      </c>
      <c r="E15" s="10">
        <v>286</v>
      </c>
      <c r="F15" s="10">
        <v>4782564.6090684468</v>
      </c>
      <c r="G15" s="10">
        <v>383</v>
      </c>
      <c r="H15" s="10">
        <v>1</v>
      </c>
      <c r="I15" s="10">
        <v>1</v>
      </c>
      <c r="J15" s="10">
        <v>509</v>
      </c>
      <c r="K15" s="10">
        <v>6812954.8209106149</v>
      </c>
    </row>
    <row r="16" spans="1:11" x14ac:dyDescent="0.35">
      <c r="A16" s="9" t="s">
        <v>143</v>
      </c>
      <c r="B16" s="10">
        <v>212</v>
      </c>
      <c r="C16" s="10">
        <v>0</v>
      </c>
      <c r="D16" s="10">
        <v>1</v>
      </c>
      <c r="E16" s="10">
        <v>321</v>
      </c>
      <c r="F16" s="10">
        <v>2250565.6269620662</v>
      </c>
      <c r="G16" s="10">
        <v>201</v>
      </c>
      <c r="H16" s="10">
        <v>0</v>
      </c>
      <c r="I16" s="10">
        <v>2</v>
      </c>
      <c r="J16" s="10">
        <v>273</v>
      </c>
      <c r="K16" s="10">
        <v>2959702.482844451</v>
      </c>
    </row>
    <row r="17" spans="1:11" x14ac:dyDescent="0.35">
      <c r="A17" s="9" t="s">
        <v>145</v>
      </c>
      <c r="B17" s="10">
        <v>256</v>
      </c>
      <c r="C17" s="10">
        <v>6</v>
      </c>
      <c r="D17" s="10">
        <v>0</v>
      </c>
      <c r="E17" s="10">
        <v>229</v>
      </c>
      <c r="F17" s="10">
        <v>3008058.056240594</v>
      </c>
      <c r="G17" s="10">
        <v>246</v>
      </c>
      <c r="H17" s="10">
        <v>0</v>
      </c>
      <c r="I17" s="10">
        <v>1</v>
      </c>
      <c r="J17" s="10">
        <v>219</v>
      </c>
      <c r="K17" s="10">
        <v>3318437.6932629938</v>
      </c>
    </row>
    <row r="18" spans="1:11" x14ac:dyDescent="0.35">
      <c r="A18" s="9" t="s">
        <v>20</v>
      </c>
      <c r="B18" s="10">
        <v>1445</v>
      </c>
      <c r="C18" s="10">
        <v>0</v>
      </c>
      <c r="D18" s="10">
        <v>2</v>
      </c>
      <c r="E18" s="10">
        <v>48</v>
      </c>
      <c r="F18" s="10">
        <v>7512189.1632019328</v>
      </c>
      <c r="G18" s="10">
        <v>1426</v>
      </c>
      <c r="H18" s="10">
        <v>2</v>
      </c>
      <c r="I18" s="10">
        <v>3</v>
      </c>
      <c r="J18" s="10">
        <v>867</v>
      </c>
      <c r="K18" s="10">
        <v>9987199.9195197597</v>
      </c>
    </row>
    <row r="19" spans="1:11" x14ac:dyDescent="0.35">
      <c r="A19" s="9" t="s">
        <v>45</v>
      </c>
      <c r="B19" s="10">
        <v>1279</v>
      </c>
      <c r="C19" s="10">
        <v>0</v>
      </c>
      <c r="D19" s="10">
        <v>2</v>
      </c>
      <c r="E19" s="10">
        <v>1281</v>
      </c>
      <c r="F19" s="10">
        <v>21031434.832303733</v>
      </c>
      <c r="G19" s="10">
        <v>1234</v>
      </c>
      <c r="H19" s="10">
        <v>1</v>
      </c>
      <c r="I19" s="10">
        <v>3</v>
      </c>
      <c r="J19" s="10">
        <v>896</v>
      </c>
      <c r="K19" s="10">
        <v>21848454.097331937</v>
      </c>
    </row>
    <row r="20" spans="1:11" x14ac:dyDescent="0.35">
      <c r="A20" s="9" t="s">
        <v>47</v>
      </c>
      <c r="B20" s="10">
        <v>1030</v>
      </c>
      <c r="C20" s="10">
        <v>1</v>
      </c>
      <c r="D20" s="10">
        <v>3</v>
      </c>
      <c r="E20" s="10">
        <v>909</v>
      </c>
      <c r="F20" s="10">
        <v>12464962.956552835</v>
      </c>
      <c r="G20" s="10">
        <v>1026</v>
      </c>
      <c r="H20" s="10">
        <v>2</v>
      </c>
      <c r="I20" s="10">
        <v>5</v>
      </c>
      <c r="J20" s="10">
        <v>943</v>
      </c>
      <c r="K20" s="10">
        <v>12945342.206328144</v>
      </c>
    </row>
    <row r="21" spans="1:11" x14ac:dyDescent="0.35">
      <c r="A21" s="9" t="s">
        <v>49</v>
      </c>
      <c r="B21" s="10">
        <v>953</v>
      </c>
      <c r="C21" s="10">
        <v>0</v>
      </c>
      <c r="D21" s="10">
        <v>2</v>
      </c>
      <c r="E21" s="10">
        <v>636</v>
      </c>
      <c r="F21" s="10">
        <v>13216752.071126426</v>
      </c>
      <c r="G21" s="10">
        <v>917</v>
      </c>
      <c r="H21" s="10">
        <v>3</v>
      </c>
      <c r="I21" s="10">
        <v>3</v>
      </c>
      <c r="J21" s="10">
        <v>726</v>
      </c>
      <c r="K21" s="10">
        <v>8571431.2894174531</v>
      </c>
    </row>
    <row r="22" spans="1:11" x14ac:dyDescent="0.35">
      <c r="A22" s="9" t="s">
        <v>51</v>
      </c>
      <c r="B22" s="10">
        <v>2802</v>
      </c>
      <c r="C22" s="10">
        <v>112</v>
      </c>
      <c r="D22" s="10">
        <v>10</v>
      </c>
      <c r="E22" s="10">
        <v>2035</v>
      </c>
      <c r="F22" s="10">
        <v>43765663.42008768</v>
      </c>
      <c r="G22" s="10">
        <v>2942</v>
      </c>
      <c r="H22" s="10">
        <v>168</v>
      </c>
      <c r="I22" s="10">
        <v>10</v>
      </c>
      <c r="J22" s="10">
        <v>2900</v>
      </c>
      <c r="K22" s="10">
        <v>49075557.599973261</v>
      </c>
    </row>
    <row r="23" spans="1:11" x14ac:dyDescent="0.35">
      <c r="A23" s="9" t="s">
        <v>53</v>
      </c>
      <c r="B23" s="10">
        <v>1444</v>
      </c>
      <c r="C23" s="10">
        <v>0</v>
      </c>
      <c r="D23" s="10">
        <v>2</v>
      </c>
      <c r="E23" s="10">
        <v>1139</v>
      </c>
      <c r="F23" s="10">
        <v>24021205.021760464</v>
      </c>
      <c r="G23" s="10">
        <v>1367</v>
      </c>
      <c r="H23" s="10">
        <v>2</v>
      </c>
      <c r="I23" s="10">
        <v>1</v>
      </c>
      <c r="J23" s="10">
        <v>9</v>
      </c>
      <c r="K23" s="10">
        <v>8067116.1734909713</v>
      </c>
    </row>
    <row r="24" spans="1:11" x14ac:dyDescent="0.35">
      <c r="A24" s="9" t="s">
        <v>55</v>
      </c>
      <c r="B24" s="10">
        <v>2984</v>
      </c>
      <c r="C24" s="10">
        <v>7</v>
      </c>
      <c r="D24" s="10">
        <v>12</v>
      </c>
      <c r="E24" s="10">
        <v>2383</v>
      </c>
      <c r="F24" s="10">
        <v>46803671.881852701</v>
      </c>
      <c r="G24" s="10">
        <v>2962</v>
      </c>
      <c r="H24" s="10">
        <v>9</v>
      </c>
      <c r="I24" s="10">
        <v>10</v>
      </c>
      <c r="J24" s="10">
        <v>2214</v>
      </c>
      <c r="K24" s="10">
        <v>47738508.937325202</v>
      </c>
    </row>
    <row r="25" spans="1:11" x14ac:dyDescent="0.35">
      <c r="A25" s="9" t="s">
        <v>67</v>
      </c>
      <c r="B25" s="10">
        <v>549</v>
      </c>
      <c r="C25" s="10">
        <v>3</v>
      </c>
      <c r="D25" s="10">
        <v>1</v>
      </c>
      <c r="E25" s="10">
        <v>463</v>
      </c>
      <c r="F25" s="10">
        <v>6796338.2171994355</v>
      </c>
      <c r="G25" s="10">
        <v>533</v>
      </c>
      <c r="H25" s="10">
        <v>4</v>
      </c>
      <c r="I25" s="10">
        <v>1</v>
      </c>
      <c r="J25" s="10">
        <v>515</v>
      </c>
      <c r="K25" s="10">
        <v>7122002.4557506125</v>
      </c>
    </row>
    <row r="26" spans="1:11" x14ac:dyDescent="0.35">
      <c r="A26" s="9" t="s">
        <v>74</v>
      </c>
      <c r="B26" s="10">
        <v>1709</v>
      </c>
      <c r="C26" s="10">
        <v>6</v>
      </c>
      <c r="D26" s="10">
        <v>1</v>
      </c>
      <c r="E26" s="10">
        <v>1251</v>
      </c>
      <c r="F26" s="10">
        <v>18988796.478382163</v>
      </c>
      <c r="G26" s="10">
        <v>1732</v>
      </c>
      <c r="H26" s="10">
        <v>8</v>
      </c>
      <c r="I26" s="10">
        <v>2</v>
      </c>
      <c r="J26" s="10">
        <v>1334</v>
      </c>
      <c r="K26" s="10">
        <v>19306182.14601028</v>
      </c>
    </row>
    <row r="27" spans="1:11" x14ac:dyDescent="0.35">
      <c r="A27" s="9" t="s">
        <v>70</v>
      </c>
      <c r="B27" s="10">
        <v>868</v>
      </c>
      <c r="C27" s="10">
        <v>4</v>
      </c>
      <c r="D27" s="10">
        <v>1</v>
      </c>
      <c r="E27" s="10">
        <v>826</v>
      </c>
      <c r="F27" s="10">
        <v>8482004.1993926615</v>
      </c>
      <c r="G27" s="10">
        <v>886</v>
      </c>
      <c r="H27" s="10">
        <v>7</v>
      </c>
      <c r="I27" s="10">
        <v>1</v>
      </c>
      <c r="J27" s="10">
        <v>766</v>
      </c>
      <c r="K27" s="10">
        <v>7846298.3074562633</v>
      </c>
    </row>
    <row r="28" spans="1:11" x14ac:dyDescent="0.35">
      <c r="A28" s="9" t="s">
        <v>72</v>
      </c>
      <c r="B28" s="10">
        <v>896</v>
      </c>
      <c r="C28" s="10">
        <v>1</v>
      </c>
      <c r="D28" s="10">
        <v>1</v>
      </c>
      <c r="E28" s="10">
        <v>570</v>
      </c>
      <c r="F28" s="10">
        <v>8755237.1310375761</v>
      </c>
      <c r="G28" s="10">
        <v>880</v>
      </c>
      <c r="H28" s="10">
        <v>4</v>
      </c>
      <c r="I28" s="10">
        <v>1</v>
      </c>
      <c r="J28" s="10">
        <v>757</v>
      </c>
      <c r="K28" s="10">
        <v>9960916.6373697724</v>
      </c>
    </row>
    <row r="29" spans="1:11" x14ac:dyDescent="0.35">
      <c r="A29" s="9" t="s">
        <v>79</v>
      </c>
      <c r="B29" s="10">
        <v>240</v>
      </c>
      <c r="C29" s="10">
        <v>1</v>
      </c>
      <c r="D29" s="10">
        <v>0</v>
      </c>
      <c r="E29" s="10">
        <v>193</v>
      </c>
      <c r="F29" s="10">
        <v>2560118.3425952001</v>
      </c>
      <c r="G29" s="10">
        <v>235</v>
      </c>
      <c r="H29" s="10">
        <v>1</v>
      </c>
      <c r="I29" s="10">
        <v>2</v>
      </c>
      <c r="J29" s="10">
        <v>146</v>
      </c>
      <c r="K29" s="10">
        <v>2055834.390430477</v>
      </c>
    </row>
    <row r="30" spans="1:11" x14ac:dyDescent="0.35">
      <c r="A30" s="9" t="s">
        <v>109</v>
      </c>
      <c r="B30" s="10">
        <v>1663</v>
      </c>
      <c r="C30" s="10">
        <v>1</v>
      </c>
      <c r="D30" s="10">
        <v>5</v>
      </c>
      <c r="E30" s="10">
        <v>1514</v>
      </c>
      <c r="F30" s="10">
        <v>22718777.941925272</v>
      </c>
      <c r="G30" s="10">
        <v>1661</v>
      </c>
      <c r="H30" s="10">
        <v>9</v>
      </c>
      <c r="I30" s="10">
        <v>6</v>
      </c>
      <c r="J30" s="10">
        <v>1398</v>
      </c>
      <c r="K30" s="10">
        <v>18674864.213929038</v>
      </c>
    </row>
    <row r="31" spans="1:11" x14ac:dyDescent="0.35">
      <c r="A31" s="9" t="s">
        <v>111</v>
      </c>
      <c r="B31" s="10">
        <v>870</v>
      </c>
      <c r="C31" s="10">
        <v>1</v>
      </c>
      <c r="D31" s="10">
        <v>1</v>
      </c>
      <c r="E31" s="10">
        <v>648</v>
      </c>
      <c r="F31" s="10">
        <v>14153077.91888571</v>
      </c>
      <c r="G31" s="10">
        <v>863</v>
      </c>
      <c r="H31" s="10">
        <v>1</v>
      </c>
      <c r="I31" s="10">
        <v>1</v>
      </c>
      <c r="J31" s="10">
        <v>617</v>
      </c>
      <c r="K31" s="10">
        <v>14551107.043437852</v>
      </c>
    </row>
    <row r="32" spans="1:11" x14ac:dyDescent="0.35">
      <c r="A32" s="9" t="s">
        <v>113</v>
      </c>
      <c r="B32" s="10">
        <v>1132</v>
      </c>
      <c r="C32" s="10">
        <v>0</v>
      </c>
      <c r="D32" s="10">
        <v>1</v>
      </c>
      <c r="E32" s="10">
        <v>733</v>
      </c>
      <c r="F32" s="10">
        <v>15725447.580771975</v>
      </c>
      <c r="G32" s="10">
        <v>1066</v>
      </c>
      <c r="H32" s="10">
        <v>1</v>
      </c>
      <c r="I32" s="10">
        <v>1</v>
      </c>
      <c r="J32" s="10">
        <v>826</v>
      </c>
      <c r="K32" s="10">
        <v>14437291.715968899</v>
      </c>
    </row>
    <row r="33" spans="1:11" x14ac:dyDescent="0.35">
      <c r="A33" s="9" t="s">
        <v>115</v>
      </c>
      <c r="B33" s="10">
        <v>1111</v>
      </c>
      <c r="C33" s="10">
        <v>0</v>
      </c>
      <c r="D33" s="10">
        <v>3</v>
      </c>
      <c r="E33" s="10">
        <v>967</v>
      </c>
      <c r="F33" s="10">
        <v>19703437.006434254</v>
      </c>
      <c r="G33" s="10">
        <v>1116</v>
      </c>
      <c r="H33" s="10">
        <v>2</v>
      </c>
      <c r="I33" s="10">
        <v>2</v>
      </c>
      <c r="J33" s="10">
        <v>864</v>
      </c>
      <c r="K33" s="10">
        <v>20056812.599486277</v>
      </c>
    </row>
    <row r="34" spans="1:11" x14ac:dyDescent="0.35">
      <c r="A34" s="9" t="s">
        <v>16</v>
      </c>
      <c r="B34" s="10">
        <v>1487</v>
      </c>
      <c r="C34" s="10">
        <v>0</v>
      </c>
      <c r="D34" s="10">
        <v>5</v>
      </c>
      <c r="E34" s="10">
        <v>1178</v>
      </c>
      <c r="F34" s="10">
        <v>29722501.854668796</v>
      </c>
      <c r="G34" s="10">
        <v>1478</v>
      </c>
      <c r="H34" s="10">
        <v>3</v>
      </c>
      <c r="I34" s="10">
        <v>5</v>
      </c>
      <c r="J34" s="10">
        <v>1146</v>
      </c>
      <c r="K34" s="10">
        <v>28294835.68957008</v>
      </c>
    </row>
    <row r="35" spans="1:11" x14ac:dyDescent="0.35">
      <c r="A35" s="9" t="s">
        <v>18</v>
      </c>
      <c r="B35" s="10">
        <v>700</v>
      </c>
      <c r="C35" s="10">
        <v>0</v>
      </c>
      <c r="D35" s="10">
        <v>2</v>
      </c>
      <c r="E35" s="10">
        <v>528</v>
      </c>
      <c r="F35" s="10">
        <v>10980480.649050532</v>
      </c>
      <c r="G35" s="10">
        <v>678</v>
      </c>
      <c r="H35" s="10">
        <v>0</v>
      </c>
      <c r="I35" s="10">
        <v>5</v>
      </c>
      <c r="J35" s="10">
        <v>528</v>
      </c>
      <c r="K35" s="10">
        <v>11557874.043439522</v>
      </c>
    </row>
    <row r="36" spans="1:11" x14ac:dyDescent="0.35">
      <c r="A36" s="9" t="s">
        <v>43</v>
      </c>
      <c r="B36" s="10">
        <v>1968</v>
      </c>
      <c r="C36" s="10">
        <v>0</v>
      </c>
      <c r="D36" s="10">
        <v>10</v>
      </c>
      <c r="E36" s="10">
        <v>1770</v>
      </c>
      <c r="F36" s="10">
        <v>35060631.354011633</v>
      </c>
      <c r="G36" s="10">
        <v>1937</v>
      </c>
      <c r="H36" s="10">
        <v>6</v>
      </c>
      <c r="I36" s="10">
        <v>11</v>
      </c>
      <c r="J36" s="10">
        <v>1579</v>
      </c>
      <c r="K36" s="10">
        <v>35288715.200185522</v>
      </c>
    </row>
    <row r="37" spans="1:11" x14ac:dyDescent="0.35">
      <c r="A37" s="9" t="s">
        <v>152</v>
      </c>
      <c r="B37" s="10">
        <v>845</v>
      </c>
      <c r="C37" s="10">
        <v>2</v>
      </c>
      <c r="D37" s="10">
        <v>2</v>
      </c>
      <c r="E37" s="10">
        <v>674</v>
      </c>
      <c r="F37" s="10">
        <v>12333157.928200064</v>
      </c>
      <c r="G37" s="10">
        <v>839</v>
      </c>
      <c r="H37" s="10">
        <v>1</v>
      </c>
      <c r="I37" s="10">
        <v>2</v>
      </c>
      <c r="J37" s="10">
        <v>696</v>
      </c>
      <c r="K37" s="10">
        <v>11529791.435436616</v>
      </c>
    </row>
    <row r="38" spans="1:11" x14ac:dyDescent="0.35">
      <c r="A38" s="9" t="s">
        <v>149</v>
      </c>
      <c r="B38" s="10">
        <v>696</v>
      </c>
      <c r="C38" s="10">
        <v>0</v>
      </c>
      <c r="D38" s="10">
        <v>1</v>
      </c>
      <c r="E38" s="10">
        <v>459</v>
      </c>
      <c r="F38" s="10">
        <v>10103964.004989509</v>
      </c>
      <c r="G38" s="10">
        <v>732</v>
      </c>
      <c r="H38" s="10">
        <v>0</v>
      </c>
      <c r="I38" s="10">
        <v>1</v>
      </c>
      <c r="J38" s="10">
        <v>557</v>
      </c>
      <c r="K38" s="10">
        <v>11112334.557640174</v>
      </c>
    </row>
    <row r="39" spans="1:11" x14ac:dyDescent="0.35">
      <c r="A39" s="9" t="s">
        <v>154</v>
      </c>
      <c r="B39" s="10">
        <v>1122</v>
      </c>
      <c r="C39" s="10">
        <v>5</v>
      </c>
      <c r="D39" s="10">
        <v>3</v>
      </c>
      <c r="E39" s="10">
        <v>872</v>
      </c>
      <c r="F39" s="10">
        <v>17854652.580006875</v>
      </c>
      <c r="G39" s="10">
        <v>1176</v>
      </c>
      <c r="H39" s="10">
        <v>6</v>
      </c>
      <c r="I39" s="10">
        <v>1</v>
      </c>
      <c r="J39" s="10">
        <v>836</v>
      </c>
      <c r="K39" s="10">
        <v>17193856.285997957</v>
      </c>
    </row>
    <row r="40" spans="1:11" x14ac:dyDescent="0.35">
      <c r="A40" s="9" t="s">
        <v>2</v>
      </c>
      <c r="B40" s="10">
        <v>1183</v>
      </c>
      <c r="C40" s="10">
        <v>36</v>
      </c>
      <c r="D40" s="10">
        <v>1</v>
      </c>
      <c r="E40" s="10">
        <v>869</v>
      </c>
      <c r="F40" s="10">
        <v>17212785.665607128</v>
      </c>
      <c r="G40" s="10">
        <v>1365</v>
      </c>
      <c r="H40" s="10">
        <v>120</v>
      </c>
      <c r="I40" s="10">
        <v>1</v>
      </c>
      <c r="J40" s="10">
        <v>769</v>
      </c>
      <c r="K40" s="10">
        <v>15645497.955338975</v>
      </c>
    </row>
    <row r="41" spans="1:11" x14ac:dyDescent="0.35">
      <c r="A41" s="9" t="s">
        <v>156</v>
      </c>
      <c r="B41" s="10">
        <v>1840</v>
      </c>
      <c r="C41" s="10">
        <v>42</v>
      </c>
      <c r="D41" s="10">
        <v>4</v>
      </c>
      <c r="E41" s="10">
        <v>1382</v>
      </c>
      <c r="F41" s="10">
        <v>27010112.979283512</v>
      </c>
      <c r="G41" s="10">
        <v>2469</v>
      </c>
      <c r="H41" s="10">
        <v>68</v>
      </c>
      <c r="I41" s="10">
        <v>5</v>
      </c>
      <c r="J41" s="10">
        <v>1439</v>
      </c>
      <c r="K41" s="10">
        <v>28638765.273579638</v>
      </c>
    </row>
    <row r="42" spans="1:11" x14ac:dyDescent="0.35">
      <c r="A42" s="9" t="s">
        <v>14</v>
      </c>
      <c r="B42" s="10">
        <v>627</v>
      </c>
      <c r="C42" s="10">
        <v>2</v>
      </c>
      <c r="D42" s="10">
        <v>6</v>
      </c>
      <c r="E42" s="10">
        <v>460</v>
      </c>
      <c r="F42" s="10">
        <v>11241543.166229179</v>
      </c>
      <c r="G42" s="10">
        <v>624</v>
      </c>
      <c r="H42" s="10">
        <v>0</v>
      </c>
      <c r="I42" s="10">
        <v>6</v>
      </c>
      <c r="J42" s="10">
        <v>466</v>
      </c>
      <c r="K42" s="10">
        <v>10344833.566559069</v>
      </c>
    </row>
    <row r="43" spans="1:11" x14ac:dyDescent="0.35">
      <c r="A43" s="9" t="s">
        <v>8</v>
      </c>
      <c r="B43" s="10">
        <v>1946</v>
      </c>
      <c r="C43" s="10">
        <v>2</v>
      </c>
      <c r="D43" s="10">
        <v>6</v>
      </c>
      <c r="E43" s="10">
        <v>1917</v>
      </c>
      <c r="F43" s="10">
        <v>30939701.804248367</v>
      </c>
      <c r="G43" s="10">
        <v>2049</v>
      </c>
      <c r="H43" s="10">
        <v>2</v>
      </c>
      <c r="I43" s="10">
        <v>6</v>
      </c>
      <c r="J43" s="10">
        <v>1934</v>
      </c>
      <c r="K43" s="10">
        <v>34562600.775030553</v>
      </c>
    </row>
    <row r="44" spans="1:11" x14ac:dyDescent="0.35">
      <c r="A44" s="9" t="s">
        <v>39</v>
      </c>
      <c r="B44" s="10">
        <v>871</v>
      </c>
      <c r="C44" s="10">
        <v>3</v>
      </c>
      <c r="D44" s="10">
        <v>4</v>
      </c>
      <c r="E44" s="10">
        <v>743</v>
      </c>
      <c r="F44" s="10">
        <v>21592902.705368832</v>
      </c>
      <c r="G44" s="10">
        <v>899</v>
      </c>
      <c r="H44" s="10">
        <v>2</v>
      </c>
      <c r="I44" s="10">
        <v>2</v>
      </c>
      <c r="J44" s="10">
        <v>797</v>
      </c>
      <c r="K44" s="10">
        <v>22304769.355051536</v>
      </c>
    </row>
    <row r="45" spans="1:11" x14ac:dyDescent="0.35">
      <c r="A45" s="9" t="s">
        <v>6</v>
      </c>
      <c r="B45" s="10">
        <v>1154</v>
      </c>
      <c r="C45" s="10">
        <v>0</v>
      </c>
      <c r="D45" s="10">
        <v>3</v>
      </c>
      <c r="E45" s="10">
        <v>934</v>
      </c>
      <c r="F45" s="10">
        <v>19361417.568360262</v>
      </c>
      <c r="G45" s="10">
        <v>1085</v>
      </c>
      <c r="H45" s="10">
        <v>0</v>
      </c>
      <c r="I45" s="10">
        <v>3</v>
      </c>
      <c r="J45" s="10">
        <v>925</v>
      </c>
      <c r="K45" s="10">
        <v>10411236.41967774</v>
      </c>
    </row>
    <row r="46" spans="1:11" x14ac:dyDescent="0.35">
      <c r="A46" s="9" t="s">
        <v>41</v>
      </c>
      <c r="B46" s="10">
        <v>853</v>
      </c>
      <c r="C46" s="10">
        <v>0</v>
      </c>
      <c r="D46" s="10">
        <v>5</v>
      </c>
      <c r="E46" s="10">
        <v>630</v>
      </c>
      <c r="F46" s="10">
        <v>18232693.534131359</v>
      </c>
      <c r="G46" s="10">
        <v>819</v>
      </c>
      <c r="H46" s="10">
        <v>3</v>
      </c>
      <c r="I46" s="10">
        <v>4</v>
      </c>
      <c r="J46" s="10">
        <v>645</v>
      </c>
      <c r="K46" s="10">
        <v>17755224.245391376</v>
      </c>
    </row>
    <row r="47" spans="1:11" x14ac:dyDescent="0.35">
      <c r="A47" s="9" t="s">
        <v>158</v>
      </c>
      <c r="B47" s="10">
        <v>659</v>
      </c>
      <c r="C47" s="10">
        <v>0</v>
      </c>
      <c r="D47" s="10">
        <v>10</v>
      </c>
      <c r="E47" s="10">
        <v>600</v>
      </c>
      <c r="F47" s="10">
        <v>10453278.752228426</v>
      </c>
      <c r="G47" s="10">
        <v>692</v>
      </c>
      <c r="H47" s="10">
        <v>1</v>
      </c>
      <c r="I47" s="10">
        <v>10</v>
      </c>
      <c r="J47" s="10">
        <v>708</v>
      </c>
      <c r="K47" s="10">
        <v>11363931.519229412</v>
      </c>
    </row>
    <row r="48" spans="1:11" x14ac:dyDescent="0.35">
      <c r="A48" s="9" t="s">
        <v>160</v>
      </c>
      <c r="B48" s="10">
        <v>693</v>
      </c>
      <c r="C48" s="10">
        <v>1</v>
      </c>
      <c r="D48" s="10">
        <v>1</v>
      </c>
      <c r="E48" s="10">
        <v>743</v>
      </c>
      <c r="F48" s="10">
        <v>10321050.736769276</v>
      </c>
      <c r="G48" s="10">
        <v>688</v>
      </c>
      <c r="H48" s="10">
        <v>0</v>
      </c>
      <c r="I48" s="10">
        <v>2</v>
      </c>
      <c r="J48" s="10">
        <v>744</v>
      </c>
      <c r="K48" s="10">
        <v>9780767.8360642996</v>
      </c>
    </row>
    <row r="49" spans="1:11" x14ac:dyDescent="0.35">
      <c r="A49" s="9" t="s">
        <v>83</v>
      </c>
      <c r="B49" s="10">
        <v>1281</v>
      </c>
      <c r="C49" s="10">
        <v>7</v>
      </c>
      <c r="D49" s="10">
        <v>7</v>
      </c>
      <c r="E49" s="10">
        <v>1018</v>
      </c>
      <c r="F49" s="10">
        <v>36614471.61384137</v>
      </c>
      <c r="G49" s="10">
        <v>1243</v>
      </c>
      <c r="H49" s="10">
        <v>0</v>
      </c>
      <c r="I49" s="10">
        <v>4</v>
      </c>
      <c r="J49" s="10">
        <v>1127</v>
      </c>
      <c r="K49" s="10">
        <v>30732060.500332795</v>
      </c>
    </row>
    <row r="50" spans="1:11" x14ac:dyDescent="0.35">
      <c r="A50" s="9" t="s">
        <v>202</v>
      </c>
      <c r="B50" s="10">
        <v>425</v>
      </c>
      <c r="C50" s="10">
        <v>0</v>
      </c>
      <c r="D50" s="10">
        <v>2</v>
      </c>
      <c r="E50" s="10">
        <v>460</v>
      </c>
      <c r="F50" s="10">
        <v>6249555.1480661668</v>
      </c>
      <c r="G50" s="10">
        <v>435</v>
      </c>
      <c r="H50" s="10">
        <v>0</v>
      </c>
      <c r="I50" s="10">
        <v>1</v>
      </c>
      <c r="J50" s="10">
        <v>429</v>
      </c>
      <c r="K50" s="10">
        <v>5123293.8080037152</v>
      </c>
    </row>
    <row r="51" spans="1:11" x14ac:dyDescent="0.35">
      <c r="A51" s="9" t="s">
        <v>31</v>
      </c>
      <c r="B51" s="10">
        <v>864</v>
      </c>
      <c r="C51" s="10">
        <v>0</v>
      </c>
      <c r="D51" s="10">
        <v>4</v>
      </c>
      <c r="E51" s="10">
        <v>882</v>
      </c>
      <c r="F51" s="10">
        <v>16076235.359384179</v>
      </c>
      <c r="G51" s="10">
        <v>914</v>
      </c>
      <c r="H51" s="10">
        <v>2</v>
      </c>
      <c r="I51" s="10">
        <v>8</v>
      </c>
      <c r="J51" s="10">
        <v>3212</v>
      </c>
      <c r="K51" s="10">
        <v>14733574.789885193</v>
      </c>
    </row>
    <row r="52" spans="1:11" x14ac:dyDescent="0.35">
      <c r="A52" s="9" t="s">
        <v>33</v>
      </c>
      <c r="B52" s="10">
        <v>1310</v>
      </c>
      <c r="C52" s="10">
        <v>3</v>
      </c>
      <c r="D52" s="10">
        <v>12</v>
      </c>
      <c r="E52" s="10">
        <v>1001</v>
      </c>
      <c r="F52" s="10">
        <v>20734256.805620253</v>
      </c>
      <c r="G52" s="10">
        <v>1363</v>
      </c>
      <c r="H52" s="10">
        <v>3</v>
      </c>
      <c r="I52" s="10">
        <v>12</v>
      </c>
      <c r="J52" s="10">
        <v>1033</v>
      </c>
      <c r="K52" s="10">
        <v>26407949.501988936</v>
      </c>
    </row>
    <row r="53" spans="1:11" x14ac:dyDescent="0.35">
      <c r="A53" s="9" t="s">
        <v>85</v>
      </c>
      <c r="B53" s="10">
        <v>483</v>
      </c>
      <c r="C53" s="10">
        <v>0</v>
      </c>
      <c r="D53" s="10">
        <v>5</v>
      </c>
      <c r="E53" s="10">
        <v>392</v>
      </c>
      <c r="F53" s="10">
        <v>10925987.34804726</v>
      </c>
      <c r="G53" s="10">
        <v>483</v>
      </c>
      <c r="H53" s="10">
        <v>0</v>
      </c>
      <c r="I53" s="10">
        <v>6</v>
      </c>
      <c r="J53" s="10">
        <v>373</v>
      </c>
      <c r="K53" s="10">
        <v>13673852.473286686</v>
      </c>
    </row>
    <row r="54" spans="1:11" x14ac:dyDescent="0.35">
      <c r="A54" s="9" t="s">
        <v>81</v>
      </c>
      <c r="B54" s="10">
        <v>445</v>
      </c>
      <c r="C54" s="10">
        <v>0</v>
      </c>
      <c r="D54" s="10">
        <v>7</v>
      </c>
      <c r="E54" s="10">
        <v>383</v>
      </c>
      <c r="F54" s="10">
        <v>12764477.259903496</v>
      </c>
      <c r="G54" s="10">
        <v>454</v>
      </c>
      <c r="H54" s="10">
        <v>0</v>
      </c>
      <c r="I54" s="10">
        <v>4</v>
      </c>
      <c r="J54" s="10">
        <v>312</v>
      </c>
      <c r="K54" s="10">
        <v>10116058.890716156</v>
      </c>
    </row>
    <row r="55" spans="1:11" x14ac:dyDescent="0.35">
      <c r="A55" s="9" t="s">
        <v>87</v>
      </c>
      <c r="B55" s="10">
        <v>423</v>
      </c>
      <c r="C55" s="10">
        <v>9</v>
      </c>
      <c r="D55" s="10">
        <v>2</v>
      </c>
      <c r="E55" s="10">
        <v>327</v>
      </c>
      <c r="F55" s="10">
        <v>9941003.7667885516</v>
      </c>
      <c r="G55" s="10">
        <v>429</v>
      </c>
      <c r="H55" s="10">
        <v>1</v>
      </c>
      <c r="I55" s="10">
        <v>3</v>
      </c>
      <c r="J55" s="10">
        <v>346</v>
      </c>
      <c r="K55" s="10">
        <v>8825567.6649791468</v>
      </c>
    </row>
    <row r="56" spans="1:11" x14ac:dyDescent="0.35">
      <c r="A56" s="9" t="s">
        <v>166</v>
      </c>
      <c r="B56" s="10">
        <v>1136</v>
      </c>
      <c r="C56" s="10">
        <v>0</v>
      </c>
      <c r="D56" s="10">
        <v>1</v>
      </c>
      <c r="E56" s="10">
        <v>969</v>
      </c>
      <c r="F56" s="10">
        <v>21509029.915585216</v>
      </c>
      <c r="G56" s="10">
        <v>1101</v>
      </c>
      <c r="H56" s="10">
        <v>1</v>
      </c>
      <c r="I56" s="10">
        <v>0</v>
      </c>
      <c r="J56" s="10">
        <v>931</v>
      </c>
      <c r="K56" s="10">
        <v>20653643.392732065</v>
      </c>
    </row>
    <row r="57" spans="1:11" x14ac:dyDescent="0.35">
      <c r="A57" s="9" t="s">
        <v>93</v>
      </c>
      <c r="B57" s="10">
        <v>956</v>
      </c>
      <c r="C57" s="10">
        <v>6</v>
      </c>
      <c r="D57" s="10">
        <v>3</v>
      </c>
      <c r="E57" s="10">
        <v>1005</v>
      </c>
      <c r="F57" s="10">
        <v>22333476.918126777</v>
      </c>
      <c r="G57" s="10">
        <v>973</v>
      </c>
      <c r="H57" s="10">
        <v>2</v>
      </c>
      <c r="I57" s="10">
        <v>1</v>
      </c>
      <c r="J57" s="10">
        <v>891</v>
      </c>
      <c r="K57" s="10">
        <v>18249780.65836753</v>
      </c>
    </row>
    <row r="58" spans="1:11" x14ac:dyDescent="0.35">
      <c r="A58" s="9" t="s">
        <v>95</v>
      </c>
      <c r="B58" s="10">
        <v>2229</v>
      </c>
      <c r="C58" s="10">
        <v>30</v>
      </c>
      <c r="D58" s="10">
        <v>7</v>
      </c>
      <c r="E58" s="10">
        <v>1427</v>
      </c>
      <c r="F58" s="10">
        <v>30720766.019070383</v>
      </c>
      <c r="G58" s="10">
        <v>2075</v>
      </c>
      <c r="H58" s="10">
        <v>6</v>
      </c>
      <c r="I58" s="10">
        <v>8</v>
      </c>
      <c r="J58" s="10">
        <v>1631</v>
      </c>
      <c r="K58" s="10">
        <v>39207641.101986013</v>
      </c>
    </row>
    <row r="59" spans="1:11" x14ac:dyDescent="0.35">
      <c r="A59" s="9" t="s">
        <v>174</v>
      </c>
      <c r="B59" s="10">
        <v>686</v>
      </c>
      <c r="C59" s="10">
        <v>0</v>
      </c>
      <c r="D59" s="10">
        <v>0</v>
      </c>
      <c r="E59" s="10">
        <v>554</v>
      </c>
      <c r="F59" s="10">
        <v>10654324.550770273</v>
      </c>
      <c r="G59" s="10">
        <v>681</v>
      </c>
      <c r="H59" s="10">
        <v>0</v>
      </c>
      <c r="I59" s="10">
        <v>0</v>
      </c>
      <c r="J59" s="10">
        <v>520</v>
      </c>
      <c r="K59" s="10">
        <v>8875675.9081516638</v>
      </c>
    </row>
    <row r="60" spans="1:11" x14ac:dyDescent="0.35">
      <c r="A60" s="9" t="s">
        <v>99</v>
      </c>
      <c r="B60" s="10">
        <v>873</v>
      </c>
      <c r="C60" s="10">
        <v>2</v>
      </c>
      <c r="D60" s="10">
        <v>5</v>
      </c>
      <c r="E60" s="10">
        <v>652</v>
      </c>
      <c r="F60" s="10">
        <v>15305923.087041697</v>
      </c>
      <c r="G60" s="10">
        <v>867</v>
      </c>
      <c r="H60" s="10">
        <v>4</v>
      </c>
      <c r="I60" s="10">
        <v>5</v>
      </c>
      <c r="J60" s="10">
        <v>758</v>
      </c>
      <c r="K60" s="10">
        <v>15926711.477734976</v>
      </c>
    </row>
    <row r="61" spans="1:11" x14ac:dyDescent="0.35">
      <c r="A61" s="9" t="s">
        <v>172</v>
      </c>
      <c r="B61" s="10">
        <v>789</v>
      </c>
      <c r="C61" s="10">
        <v>0</v>
      </c>
      <c r="D61" s="10">
        <v>1</v>
      </c>
      <c r="E61" s="10">
        <v>594</v>
      </c>
      <c r="F61" s="10">
        <v>12874140.232146041</v>
      </c>
      <c r="G61" s="10">
        <v>742</v>
      </c>
      <c r="H61" s="10">
        <v>2</v>
      </c>
      <c r="I61" s="10">
        <v>1</v>
      </c>
      <c r="J61" s="10">
        <v>639</v>
      </c>
      <c r="K61" s="10">
        <v>9823421.513111636</v>
      </c>
    </row>
    <row r="62" spans="1:11" x14ac:dyDescent="0.35">
      <c r="A62" s="9" t="s">
        <v>168</v>
      </c>
      <c r="B62" s="10">
        <v>1075</v>
      </c>
      <c r="C62" s="10">
        <v>2</v>
      </c>
      <c r="D62" s="10">
        <v>1</v>
      </c>
      <c r="E62" s="10">
        <v>1199</v>
      </c>
      <c r="F62" s="10">
        <v>21103865.275950637</v>
      </c>
      <c r="G62" s="10">
        <v>1103</v>
      </c>
      <c r="H62" s="10">
        <v>4</v>
      </c>
      <c r="I62" s="10">
        <v>0</v>
      </c>
      <c r="J62" s="10">
        <v>999</v>
      </c>
      <c r="K62" s="10">
        <v>21418755.666532356</v>
      </c>
    </row>
    <row r="63" spans="1:11" x14ac:dyDescent="0.35">
      <c r="A63" s="9" t="s">
        <v>101</v>
      </c>
      <c r="B63" s="10">
        <v>1327</v>
      </c>
      <c r="C63" s="10">
        <v>4</v>
      </c>
      <c r="D63" s="10">
        <v>4</v>
      </c>
      <c r="E63" s="10">
        <v>1500</v>
      </c>
      <c r="F63" s="10">
        <v>27064315.72966738</v>
      </c>
      <c r="G63" s="10">
        <v>1399</v>
      </c>
      <c r="H63" s="10">
        <v>1</v>
      </c>
      <c r="I63" s="10">
        <v>4</v>
      </c>
      <c r="J63" s="10">
        <v>1429</v>
      </c>
      <c r="K63" s="10">
        <v>25056798.087375559</v>
      </c>
    </row>
    <row r="64" spans="1:11" x14ac:dyDescent="0.35">
      <c r="A64" s="9" t="s">
        <v>103</v>
      </c>
      <c r="B64" s="10">
        <v>784</v>
      </c>
      <c r="C64" s="10">
        <v>4</v>
      </c>
      <c r="D64" s="10">
        <v>5</v>
      </c>
      <c r="E64" s="10">
        <v>732</v>
      </c>
      <c r="F64" s="10">
        <v>14085926.081406619</v>
      </c>
      <c r="G64" s="10">
        <v>773</v>
      </c>
      <c r="H64" s="10">
        <v>1</v>
      </c>
      <c r="I64" s="10">
        <v>3</v>
      </c>
      <c r="J64" s="10">
        <v>688</v>
      </c>
      <c r="K64" s="10">
        <v>14375514.953195609</v>
      </c>
    </row>
    <row r="65" spans="1:11" x14ac:dyDescent="0.35">
      <c r="A65" s="9" t="s">
        <v>105</v>
      </c>
      <c r="B65" s="10">
        <v>705</v>
      </c>
      <c r="C65" s="10">
        <v>3</v>
      </c>
      <c r="D65" s="10">
        <v>5</v>
      </c>
      <c r="E65" s="10">
        <v>440</v>
      </c>
      <c r="F65" s="10">
        <v>16366940.385502718</v>
      </c>
      <c r="G65" s="10">
        <v>648</v>
      </c>
      <c r="H65" s="10">
        <v>4</v>
      </c>
      <c r="I65" s="10">
        <v>5</v>
      </c>
      <c r="J65" s="10">
        <v>478</v>
      </c>
      <c r="K65" s="10">
        <v>15961705.359798137</v>
      </c>
    </row>
    <row r="66" spans="1:11" x14ac:dyDescent="0.35">
      <c r="A66" s="9" t="s">
        <v>24</v>
      </c>
      <c r="B66" s="10">
        <v>2025</v>
      </c>
      <c r="C66" s="10">
        <v>3</v>
      </c>
      <c r="D66" s="10">
        <v>9</v>
      </c>
      <c r="E66" s="10">
        <v>1596</v>
      </c>
      <c r="F66" s="10">
        <v>37059990.447955251</v>
      </c>
      <c r="G66" s="10">
        <v>2000</v>
      </c>
      <c r="H66" s="10">
        <v>2</v>
      </c>
      <c r="I66" s="10">
        <v>11</v>
      </c>
      <c r="J66" s="10">
        <v>1633</v>
      </c>
      <c r="K66" s="10">
        <v>51313919.349024072</v>
      </c>
    </row>
    <row r="67" spans="1:11" x14ac:dyDescent="0.35">
      <c r="A67" s="9" t="s">
        <v>27</v>
      </c>
      <c r="B67" s="10">
        <v>1622</v>
      </c>
      <c r="C67" s="10">
        <v>13</v>
      </c>
      <c r="D67" s="10">
        <v>8</v>
      </c>
      <c r="E67" s="10">
        <v>1140</v>
      </c>
      <c r="F67" s="10">
        <v>37740310.665981181</v>
      </c>
      <c r="G67" s="10">
        <v>1581</v>
      </c>
      <c r="H67" s="10">
        <v>5</v>
      </c>
      <c r="I67" s="10">
        <v>6</v>
      </c>
      <c r="J67" s="10">
        <v>1195</v>
      </c>
      <c r="K67" s="10">
        <v>36316046.751808286</v>
      </c>
    </row>
    <row r="68" spans="1:11" x14ac:dyDescent="0.35">
      <c r="A68" s="9" t="s">
        <v>29</v>
      </c>
      <c r="B68" s="10">
        <v>857</v>
      </c>
      <c r="C68" s="10">
        <v>1</v>
      </c>
      <c r="D68" s="10">
        <v>1</v>
      </c>
      <c r="E68" s="10">
        <v>723</v>
      </c>
      <c r="F68" s="10">
        <v>24540614.424710989</v>
      </c>
      <c r="G68" s="10">
        <v>886</v>
      </c>
      <c r="H68" s="10">
        <v>3</v>
      </c>
      <c r="I68" s="10">
        <v>1</v>
      </c>
      <c r="J68" s="10">
        <v>743</v>
      </c>
      <c r="K68" s="10">
        <v>24557087.2031748</v>
      </c>
    </row>
    <row r="69" spans="1:11" x14ac:dyDescent="0.35">
      <c r="A69" s="9" t="s">
        <v>57</v>
      </c>
      <c r="B69" s="10">
        <v>1875</v>
      </c>
      <c r="C69" s="10">
        <v>37</v>
      </c>
      <c r="D69" s="10">
        <v>13</v>
      </c>
      <c r="E69" s="10">
        <v>1336</v>
      </c>
      <c r="F69" s="10">
        <v>34664074.752712265</v>
      </c>
      <c r="G69" s="10">
        <v>2104</v>
      </c>
      <c r="H69" s="10">
        <v>107</v>
      </c>
      <c r="I69" s="10">
        <v>12</v>
      </c>
      <c r="J69" s="10">
        <v>1387</v>
      </c>
      <c r="K69" s="10">
        <v>36884990.167373955</v>
      </c>
    </row>
    <row r="70" spans="1:11" x14ac:dyDescent="0.35">
      <c r="A70" s="9" t="s">
        <v>137</v>
      </c>
      <c r="B70" s="10">
        <v>266</v>
      </c>
      <c r="C70" s="10">
        <v>0</v>
      </c>
      <c r="D70" s="10">
        <v>1</v>
      </c>
      <c r="E70" s="10">
        <v>293</v>
      </c>
      <c r="F70" s="10">
        <v>2621075.0989817032</v>
      </c>
      <c r="G70" s="10">
        <v>249</v>
      </c>
      <c r="H70" s="10">
        <v>0</v>
      </c>
      <c r="I70" s="10">
        <v>0</v>
      </c>
      <c r="J70" s="10">
        <v>254</v>
      </c>
      <c r="K70" s="10">
        <v>629491.53686487197</v>
      </c>
    </row>
    <row r="71" spans="1:11" x14ac:dyDescent="0.35">
      <c r="A71" s="9" t="s">
        <v>10</v>
      </c>
      <c r="B71" s="10">
        <v>1751</v>
      </c>
      <c r="C71" s="10">
        <v>2</v>
      </c>
      <c r="D71" s="10">
        <v>7</v>
      </c>
      <c r="E71" s="10">
        <v>1771</v>
      </c>
      <c r="F71" s="10">
        <v>28226150.449650105</v>
      </c>
      <c r="G71" s="10">
        <v>1674</v>
      </c>
      <c r="H71" s="10">
        <v>4</v>
      </c>
      <c r="I71" s="10">
        <v>5</v>
      </c>
      <c r="J71" s="10">
        <v>1623</v>
      </c>
      <c r="K71" s="10">
        <v>26876970.800084837</v>
      </c>
    </row>
    <row r="72" spans="1:11" x14ac:dyDescent="0.35">
      <c r="A72" s="9" t="s">
        <v>12</v>
      </c>
      <c r="B72" s="10">
        <v>654</v>
      </c>
      <c r="C72" s="10">
        <v>1</v>
      </c>
      <c r="D72" s="10">
        <v>2</v>
      </c>
      <c r="E72" s="10">
        <v>553</v>
      </c>
      <c r="F72" s="10">
        <v>11149314.029646087</v>
      </c>
      <c r="G72" s="10">
        <v>721</v>
      </c>
      <c r="H72" s="10">
        <v>1</v>
      </c>
      <c r="I72" s="10">
        <v>3</v>
      </c>
      <c r="J72" s="10">
        <v>582</v>
      </c>
      <c r="K72" s="10">
        <v>12473177.909479629</v>
      </c>
    </row>
    <row r="73" spans="1:11" x14ac:dyDescent="0.35">
      <c r="A73" s="9" t="s">
        <v>162</v>
      </c>
      <c r="B73" s="10">
        <v>1357</v>
      </c>
      <c r="C73" s="10">
        <v>20</v>
      </c>
      <c r="D73" s="10">
        <v>5</v>
      </c>
      <c r="E73" s="10">
        <v>899</v>
      </c>
      <c r="F73" s="10">
        <v>18811212.930350754</v>
      </c>
      <c r="G73" s="10">
        <v>1365</v>
      </c>
      <c r="H73" s="10">
        <v>19</v>
      </c>
      <c r="I73" s="10">
        <v>4</v>
      </c>
      <c r="J73" s="10">
        <v>946</v>
      </c>
      <c r="K73" s="10">
        <v>17738676.445421282</v>
      </c>
    </row>
    <row r="74" spans="1:11" x14ac:dyDescent="0.35">
      <c r="A74" s="9" t="s">
        <v>63</v>
      </c>
      <c r="B74" s="10">
        <v>1402</v>
      </c>
      <c r="C74" s="10">
        <v>3</v>
      </c>
      <c r="D74" s="10">
        <v>5</v>
      </c>
      <c r="E74" s="10">
        <v>1784</v>
      </c>
      <c r="F74" s="10">
        <v>9657810.5725929085</v>
      </c>
      <c r="G74" s="10">
        <v>1296</v>
      </c>
      <c r="H74" s="10">
        <v>1</v>
      </c>
      <c r="I74" s="10">
        <v>5</v>
      </c>
      <c r="J74" s="10">
        <v>1218</v>
      </c>
      <c r="K74" s="10">
        <v>12929426.00816833</v>
      </c>
    </row>
    <row r="75" spans="1:11" x14ac:dyDescent="0.35">
      <c r="A75" s="9" t="s">
        <v>59</v>
      </c>
      <c r="B75" s="10">
        <v>1748</v>
      </c>
      <c r="C75" s="10">
        <v>4</v>
      </c>
      <c r="D75" s="10">
        <v>5</v>
      </c>
      <c r="E75" s="10">
        <v>1261</v>
      </c>
      <c r="F75" s="10">
        <v>31676139.724773306</v>
      </c>
      <c r="G75" s="10">
        <v>1728</v>
      </c>
      <c r="H75" s="10">
        <v>6</v>
      </c>
      <c r="I75" s="10">
        <v>4</v>
      </c>
      <c r="J75" s="10">
        <v>1175</v>
      </c>
      <c r="K75" s="10">
        <v>32852093.120552234</v>
      </c>
    </row>
    <row r="76" spans="1:11" x14ac:dyDescent="0.35">
      <c r="A76" s="9" t="s">
        <v>139</v>
      </c>
      <c r="B76" s="10">
        <v>484</v>
      </c>
      <c r="C76" s="10">
        <v>1</v>
      </c>
      <c r="D76" s="10">
        <v>2</v>
      </c>
      <c r="E76" s="10">
        <v>563</v>
      </c>
      <c r="F76" s="10">
        <v>7069736.1221274221</v>
      </c>
      <c r="G76" s="10">
        <v>512</v>
      </c>
      <c r="H76" s="10">
        <v>2</v>
      </c>
      <c r="I76" s="10">
        <v>1</v>
      </c>
      <c r="J76" s="10">
        <v>473</v>
      </c>
      <c r="K76" s="10">
        <v>6760049.5165477693</v>
      </c>
    </row>
    <row r="77" spans="1:11" x14ac:dyDescent="0.35">
      <c r="A77" s="9" t="s">
        <v>170</v>
      </c>
      <c r="B77" s="10">
        <v>891</v>
      </c>
      <c r="C77" s="10">
        <v>1</v>
      </c>
      <c r="D77" s="10">
        <v>1</v>
      </c>
      <c r="E77" s="10">
        <v>825</v>
      </c>
      <c r="F77" s="10">
        <v>11067997.809093548</v>
      </c>
      <c r="G77" s="10">
        <v>894</v>
      </c>
      <c r="H77" s="10">
        <v>2</v>
      </c>
      <c r="I77" s="10">
        <v>1</v>
      </c>
      <c r="J77" s="10">
        <v>879</v>
      </c>
      <c r="K77" s="10">
        <v>10338062.634815617</v>
      </c>
    </row>
    <row r="78" spans="1:11" x14ac:dyDescent="0.35">
      <c r="A78" s="9" t="s">
        <v>61</v>
      </c>
      <c r="B78" s="10">
        <v>690</v>
      </c>
      <c r="C78" s="10">
        <v>0</v>
      </c>
      <c r="D78" s="10">
        <v>4</v>
      </c>
      <c r="E78" s="10">
        <v>497</v>
      </c>
      <c r="F78" s="10">
        <v>6646183.4289873363</v>
      </c>
      <c r="G78" s="10">
        <v>655</v>
      </c>
      <c r="H78" s="10">
        <v>0</v>
      </c>
      <c r="I78" s="10">
        <v>3</v>
      </c>
      <c r="J78" s="10">
        <v>437</v>
      </c>
      <c r="K78" s="10">
        <v>10027767.237602197</v>
      </c>
    </row>
    <row r="79" spans="1:11" x14ac:dyDescent="0.35">
      <c r="A79" s="9" t="s">
        <v>129</v>
      </c>
      <c r="B79" s="10">
        <v>589</v>
      </c>
      <c r="C79" s="10">
        <v>1</v>
      </c>
      <c r="D79" s="10">
        <v>1</v>
      </c>
      <c r="E79" s="10">
        <v>759</v>
      </c>
      <c r="F79" s="10">
        <v>7438912.9088206459</v>
      </c>
      <c r="G79" s="10">
        <v>589</v>
      </c>
      <c r="H79" s="10">
        <v>4</v>
      </c>
      <c r="I79" s="10">
        <v>1</v>
      </c>
      <c r="J79" s="10">
        <v>710</v>
      </c>
      <c r="K79" s="10">
        <v>8685443.1066132579</v>
      </c>
    </row>
    <row r="80" spans="1:11" x14ac:dyDescent="0.35">
      <c r="A80" s="9" t="s">
        <v>35</v>
      </c>
      <c r="B80" s="10">
        <v>446</v>
      </c>
      <c r="C80" s="10">
        <v>2</v>
      </c>
      <c r="D80" s="10">
        <v>5</v>
      </c>
      <c r="E80" s="10">
        <v>391</v>
      </c>
      <c r="F80" s="10">
        <v>8497870.0991402362</v>
      </c>
      <c r="G80" s="10">
        <v>440</v>
      </c>
      <c r="H80" s="10">
        <v>0</v>
      </c>
      <c r="I80" s="10">
        <v>7</v>
      </c>
      <c r="J80" s="10">
        <v>452</v>
      </c>
      <c r="K80" s="10">
        <v>9304320.9951788951</v>
      </c>
    </row>
    <row r="81" spans="1:11" x14ac:dyDescent="0.35">
      <c r="A81" s="9" t="s">
        <v>107</v>
      </c>
      <c r="B81" s="10">
        <v>966</v>
      </c>
      <c r="C81" s="10">
        <v>1</v>
      </c>
      <c r="D81" s="10">
        <v>4</v>
      </c>
      <c r="E81" s="10">
        <v>725</v>
      </c>
      <c r="F81" s="10">
        <v>23923392.832980826</v>
      </c>
      <c r="G81" s="10">
        <v>950</v>
      </c>
      <c r="H81" s="10">
        <v>4</v>
      </c>
      <c r="I81" s="10">
        <v>3</v>
      </c>
      <c r="J81" s="10">
        <v>747</v>
      </c>
      <c r="K81" s="10">
        <v>23499947.38004652</v>
      </c>
    </row>
    <row r="82" spans="1:11" x14ac:dyDescent="0.35">
      <c r="A82" s="9" t="s">
        <v>37</v>
      </c>
      <c r="B82" s="10">
        <v>789</v>
      </c>
      <c r="C82" s="10">
        <v>1</v>
      </c>
      <c r="D82" s="10">
        <v>9</v>
      </c>
      <c r="E82" s="10">
        <v>673</v>
      </c>
      <c r="F82" s="10">
        <v>14714128.498747272</v>
      </c>
      <c r="G82" s="10">
        <v>777</v>
      </c>
      <c r="H82" s="10">
        <v>2</v>
      </c>
      <c r="I82" s="10">
        <v>10</v>
      </c>
      <c r="J82" s="10">
        <v>734</v>
      </c>
      <c r="K82" s="10">
        <v>14617965.617096372</v>
      </c>
    </row>
    <row r="83" spans="1:11" x14ac:dyDescent="0.35">
      <c r="A83" s="9" t="s">
        <v>76</v>
      </c>
      <c r="B83" s="10">
        <v>931</v>
      </c>
      <c r="C83" s="10">
        <v>0</v>
      </c>
      <c r="D83" s="10">
        <v>2</v>
      </c>
      <c r="E83" s="10">
        <v>1067</v>
      </c>
      <c r="F83" s="10">
        <v>11668411.154587179</v>
      </c>
      <c r="G83" s="10">
        <v>971</v>
      </c>
      <c r="H83" s="10">
        <v>1</v>
      </c>
      <c r="I83" s="10">
        <v>2</v>
      </c>
      <c r="J83" s="10">
        <v>1182</v>
      </c>
      <c r="K83" s="10">
        <v>12972567.696969476</v>
      </c>
    </row>
    <row r="84" spans="1:11" x14ac:dyDescent="0.35">
      <c r="A84" s="9" t="s">
        <v>65</v>
      </c>
      <c r="B84" s="10">
        <v>1015</v>
      </c>
      <c r="C84" s="10">
        <v>3</v>
      </c>
      <c r="D84" s="10">
        <v>4</v>
      </c>
      <c r="E84" s="10">
        <v>804</v>
      </c>
      <c r="F84" s="10">
        <v>13451041.548536345</v>
      </c>
      <c r="G84" s="10">
        <v>1007</v>
      </c>
      <c r="H84" s="10">
        <v>1</v>
      </c>
      <c r="I84" s="10">
        <v>4</v>
      </c>
      <c r="J84" s="10">
        <v>844</v>
      </c>
      <c r="K84" s="10">
        <v>10024481.605834993</v>
      </c>
    </row>
    <row r="85" spans="1:11" x14ac:dyDescent="0.35">
      <c r="A85" s="9" t="s">
        <v>89</v>
      </c>
      <c r="B85" s="10">
        <v>742</v>
      </c>
      <c r="C85" s="10">
        <v>2</v>
      </c>
      <c r="D85" s="10">
        <v>5</v>
      </c>
      <c r="E85" s="10">
        <v>645</v>
      </c>
      <c r="F85" s="10">
        <v>13549867.950274644</v>
      </c>
      <c r="G85" s="10">
        <v>745</v>
      </c>
      <c r="H85" s="10">
        <v>2</v>
      </c>
      <c r="I85" s="10">
        <v>6</v>
      </c>
      <c r="J85" s="10">
        <v>756</v>
      </c>
      <c r="K85" s="10">
        <v>14559640.370847676</v>
      </c>
    </row>
    <row r="86" spans="1:11" x14ac:dyDescent="0.35">
      <c r="A86" s="9" t="s">
        <v>147</v>
      </c>
      <c r="B86" s="10">
        <v>568</v>
      </c>
      <c r="C86" s="10">
        <v>1</v>
      </c>
      <c r="D86" s="10">
        <v>1</v>
      </c>
      <c r="E86" s="10">
        <v>588</v>
      </c>
      <c r="F86" s="10">
        <v>6882758.8965735016</v>
      </c>
      <c r="G86" s="10">
        <v>572</v>
      </c>
      <c r="H86" s="10">
        <v>1</v>
      </c>
      <c r="I86" s="10">
        <v>1</v>
      </c>
      <c r="J86" s="10">
        <v>599</v>
      </c>
      <c r="K86" s="10">
        <v>7315762.4698836477</v>
      </c>
    </row>
    <row r="87" spans="1:11" x14ac:dyDescent="0.35">
      <c r="A87" s="9" t="s">
        <v>164</v>
      </c>
      <c r="B87" s="10">
        <v>1712</v>
      </c>
      <c r="C87" s="10">
        <v>4</v>
      </c>
      <c r="D87" s="10">
        <v>10</v>
      </c>
      <c r="E87" s="10">
        <v>1202</v>
      </c>
      <c r="F87" s="10">
        <v>26079892.628516715</v>
      </c>
      <c r="G87" s="10">
        <v>1750</v>
      </c>
      <c r="H87" s="10">
        <v>0</v>
      </c>
      <c r="I87" s="10">
        <v>10</v>
      </c>
      <c r="J87" s="10">
        <v>1277</v>
      </c>
      <c r="K87" s="10">
        <v>28525506.244806383</v>
      </c>
    </row>
    <row r="88" spans="1:11" x14ac:dyDescent="0.35">
      <c r="A88" s="9" t="s">
        <v>91</v>
      </c>
      <c r="B88" s="10">
        <v>656</v>
      </c>
      <c r="C88" s="10">
        <v>2</v>
      </c>
      <c r="D88" s="10">
        <v>3</v>
      </c>
      <c r="E88" s="10">
        <v>687</v>
      </c>
      <c r="F88" s="10">
        <v>7165191.5008343831</v>
      </c>
      <c r="G88" s="10">
        <v>572</v>
      </c>
      <c r="H88" s="10">
        <v>0</v>
      </c>
      <c r="I88" s="10">
        <v>3</v>
      </c>
      <c r="J88" s="10">
        <v>692</v>
      </c>
      <c r="K88" s="10">
        <v>5946913.5955582066</v>
      </c>
    </row>
    <row r="89" spans="1:11" x14ac:dyDescent="0.35">
      <c r="A89" s="9" t="s">
        <v>97</v>
      </c>
      <c r="B89" s="10">
        <v>620</v>
      </c>
      <c r="C89" s="10">
        <v>10</v>
      </c>
      <c r="D89" s="10">
        <v>6</v>
      </c>
      <c r="E89" s="10">
        <v>582</v>
      </c>
      <c r="F89" s="10">
        <v>12970475.295201844</v>
      </c>
      <c r="G89" s="10">
        <v>634</v>
      </c>
      <c r="H89" s="10">
        <v>3</v>
      </c>
      <c r="I89" s="10">
        <v>7</v>
      </c>
      <c r="J89" s="10">
        <v>548</v>
      </c>
      <c r="K89" s="10">
        <v>13699798.317924472</v>
      </c>
    </row>
    <row r="90" spans="1:11" x14ac:dyDescent="0.35">
      <c r="A90" s="9" t="s">
        <v>78</v>
      </c>
      <c r="B90" s="10">
        <v>360</v>
      </c>
      <c r="C90" s="10">
        <v>1</v>
      </c>
      <c r="D90" s="10">
        <v>1</v>
      </c>
      <c r="E90" s="10">
        <v>279</v>
      </c>
      <c r="F90" s="10">
        <v>3870008.7806480499</v>
      </c>
      <c r="G90" s="10">
        <v>361</v>
      </c>
      <c r="H90" s="10">
        <v>1</v>
      </c>
      <c r="I90" s="10">
        <v>0</v>
      </c>
      <c r="J90" s="10">
        <v>330</v>
      </c>
      <c r="K90" s="10">
        <v>3450645.4612574582</v>
      </c>
    </row>
  </sheetData>
  <autoFilter ref="A5:K5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MASTER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AMN-IOH</dc:creator>
  <cp:lastModifiedBy>AMN-IOH</cp:lastModifiedBy>
  <dcterms:created xsi:type="dcterms:W3CDTF">2024-10-24T02:40:19Z</dcterms:created>
  <dcterms:modified xsi:type="dcterms:W3CDTF">2026-08-11T10:38:14Z</dcterms:modified>
</cp:coreProperties>
</file>