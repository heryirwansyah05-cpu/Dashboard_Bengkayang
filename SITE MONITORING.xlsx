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<sst xmlns="http://schemas.openxmlformats.org/spreadsheetml/2006/main" count="540" uniqueCount="205">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</sst>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20642931.641490418</v>
      </c>
      <c r="G2" s="1">
        <f>VLOOKUP(A:A,MASTER!A:K,11,0)</f>
        <v>21091125.994085193</v>
      </c>
      <c r="H2" s="12">
        <f>IFERROR(G2/F2-1,0)</f>
        <v>2.1711758793695024E-2</v>
      </c>
      <c r="I2" s="2">
        <f>VLOOKUP(A:A,MASTER!A:E,5,0)</f>
        <v>368</v>
      </c>
      <c r="J2" s="2">
        <f>VLOOKUP(A:A,MASTER!A:J,10,0)</f>
        <v>509</v>
      </c>
      <c r="K2" s="12">
        <f>IFERROR(J2/I2-1,0)</f>
        <v>0.38315217391304346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4</v>
      </c>
      <c r="P2" s="1">
        <f>VLOOKUP(A:A,MASTER!A:H,8,0)</f>
        <v>4</v>
      </c>
      <c r="Q2" s="12">
        <f>IFERROR(P2/O2-1,0)</f>
        <v>0</v>
      </c>
      <c r="R2" s="1">
        <f>VLOOKUP(A:A,MASTER!A:B,2,0)</f>
        <v>402</v>
      </c>
      <c r="S2">
        <f>VLOOKUP(A:A,MASTER!A:G,7,0)</f>
        <v>431</v>
      </c>
      <c r="T2" s="12">
        <f>IFERROR(S2/R2-1,0)</f>
        <v>7.2139303482587014E-2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24714324.971061837</v>
      </c>
      <c r="G3" s="1">
        <f>VLOOKUP(A:A,MASTER!A:K,11,0)</f>
        <v>24403461.315314248</v>
      </c>
      <c r="H3" s="12">
        <f t="shared" ref="H3:H66" si="0">IFERROR(G3/F3-1,0)</f>
        <v>-1.257827822979507E-2</v>
      </c>
      <c r="I3" s="2">
        <f>VLOOKUP(A:A,MASTER!A:E,5,0)</f>
        <v>497</v>
      </c>
      <c r="J3" s="2">
        <f>VLOOKUP(A:A,MASTER!A:J,10,0)</f>
        <v>636</v>
      </c>
      <c r="K3" s="12">
        <f t="shared" ref="K3:K66" si="1">IFERROR(J3/I3-1,0)</f>
        <v>0.27967806841046272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4</v>
      </c>
      <c r="P3" s="1">
        <f>VLOOKUP(A:A,MASTER!A:H,8,0)</f>
        <v>6</v>
      </c>
      <c r="Q3" s="12">
        <f t="shared" ref="Q3:Q66" si="3">IFERROR(P3/O3-1,0)</f>
        <v>0.5</v>
      </c>
      <c r="R3" s="1">
        <f>VLOOKUP(A:A,MASTER!A:B,2,0)</f>
        <v>641</v>
      </c>
      <c r="S3">
        <f>VLOOKUP(A:A,MASTER!A:G,7,0)</f>
        <v>570</v>
      </c>
      <c r="T3" s="12">
        <f t="shared" ref="T3:T66" si="4">IFERROR(S3/R3-1,0)</f>
        <v>-0.11076443057722307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32472893.154720239</v>
      </c>
      <c r="G4" s="1">
        <f>VLOOKUP(A:A,MASTER!A:K,11,0)</f>
        <v>37470970.024379425</v>
      </c>
      <c r="H4" s="12">
        <f t="shared" si="0"/>
        <v>0.1539153547497405</v>
      </c>
      <c r="I4" s="2">
        <f>VLOOKUP(A:A,MASTER!A:E,5,0)</f>
        <v>694</v>
      </c>
      <c r="J4" s="2">
        <f>VLOOKUP(A:A,MASTER!A:J,10,0)</f>
        <v>1396</v>
      </c>
      <c r="K4" s="12">
        <f t="shared" si="1"/>
        <v>1.011527377521614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14</v>
      </c>
      <c r="P4" s="1">
        <f>VLOOKUP(A:A,MASTER!A:H,8,0)</f>
        <v>14</v>
      </c>
      <c r="Q4" s="12">
        <f t="shared" si="3"/>
        <v>0</v>
      </c>
      <c r="R4" s="1">
        <f>VLOOKUP(A:A,MASTER!A:B,2,0)</f>
        <v>716</v>
      </c>
      <c r="S4">
        <f>VLOOKUP(A:A,MASTER!A:G,7,0)</f>
        <v>795</v>
      </c>
      <c r="T4" s="12">
        <f t="shared" si="4"/>
        <v>0.11033519553072635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54300570.044022433</v>
      </c>
      <c r="G5" s="1">
        <f>VLOOKUP(A:A,MASTER!A:K,11,0)</f>
        <v>57071781.210226648</v>
      </c>
      <c r="H5" s="12">
        <f t="shared" si="0"/>
        <v>5.1034660666684495E-2</v>
      </c>
      <c r="I5" s="2">
        <f>VLOOKUP(A:A,MASTER!A:E,5,0)</f>
        <v>1007</v>
      </c>
      <c r="J5" s="2">
        <f>VLOOKUP(A:A,MASTER!A:J,10,0)</f>
        <v>1442</v>
      </c>
      <c r="K5" s="12">
        <f t="shared" si="1"/>
        <v>0.43197616683217488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12</v>
      </c>
      <c r="P5" s="1">
        <f>VLOOKUP(A:A,MASTER!A:H,8,0)</f>
        <v>14</v>
      </c>
      <c r="Q5" s="12">
        <f t="shared" si="3"/>
        <v>0.16666666666666674</v>
      </c>
      <c r="R5" s="1">
        <f>VLOOKUP(A:A,MASTER!A:B,2,0)</f>
        <v>1213</v>
      </c>
      <c r="S5">
        <f>VLOOKUP(A:A,MASTER!A:G,7,0)</f>
        <v>1257</v>
      </c>
      <c r="T5" s="12">
        <f t="shared" si="4"/>
        <v>3.6273701566364336E-2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21346945.294374455</v>
      </c>
      <c r="G6" s="1">
        <f>VLOOKUP(A:A,MASTER!A:K,11,0)</f>
        <v>23973964.346699327</v>
      </c>
      <c r="H6" s="12">
        <f t="shared" si="0"/>
        <v>0.12306299641931284</v>
      </c>
      <c r="I6" s="2">
        <f>VLOOKUP(A:A,MASTER!A:E,5,0)</f>
        <v>264</v>
      </c>
      <c r="J6" s="2">
        <f>VLOOKUP(A:A,MASTER!A:J,10,0)</f>
        <v>1062</v>
      </c>
      <c r="K6" s="12">
        <f t="shared" si="1"/>
        <v>3.0227272727272725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4</v>
      </c>
      <c r="P6" s="1">
        <f>VLOOKUP(A:A,MASTER!A:H,8,0)</f>
        <v>1</v>
      </c>
      <c r="Q6" s="12">
        <f t="shared" si="3"/>
        <v>-0.75</v>
      </c>
      <c r="R6" s="1">
        <f>VLOOKUP(A:A,MASTER!A:B,2,0)</f>
        <v>399</v>
      </c>
      <c r="S6">
        <f>VLOOKUP(A:A,MASTER!A:G,7,0)</f>
        <v>381</v>
      </c>
      <c r="T6" s="12">
        <f t="shared" si="4"/>
        <v>-4.5112781954887216E-2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18017515.854893707</v>
      </c>
      <c r="G7" s="1">
        <f>VLOOKUP(A:A,MASTER!A:K,11,0)</f>
        <v>20070306.633792367</v>
      </c>
      <c r="H7" s="12">
        <f t="shared" si="0"/>
        <v>0.11393306354944066</v>
      </c>
      <c r="I7" s="2">
        <f>VLOOKUP(A:A,MASTER!A:E,5,0)</f>
        <v>268</v>
      </c>
      <c r="J7" s="2">
        <f>VLOOKUP(A:A,MASTER!A:J,10,0)</f>
        <v>637</v>
      </c>
      <c r="K7" s="12">
        <f t="shared" si="1"/>
        <v>1.3768656716417911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4</v>
      </c>
      <c r="P7" s="1">
        <f>VLOOKUP(A:A,MASTER!A:H,8,0)</f>
        <v>5</v>
      </c>
      <c r="Q7" s="12">
        <f t="shared" si="3"/>
        <v>0.25</v>
      </c>
      <c r="R7" s="1">
        <f>VLOOKUP(A:A,MASTER!A:B,2,0)</f>
        <v>369</v>
      </c>
      <c r="S7">
        <f>VLOOKUP(A:A,MASTER!A:G,7,0)</f>
        <v>386</v>
      </c>
      <c r="T7" s="12">
        <f t="shared" si="4"/>
        <v>4.6070460704606964E-2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20916490.201896995</v>
      </c>
      <c r="G8" s="1">
        <f>VLOOKUP(A:A,MASTER!A:K,11,0)</f>
        <v>25938302.6663143</v>
      </c>
      <c r="H8" s="12">
        <f t="shared" si="0"/>
        <v>0.24008867720846672</v>
      </c>
      <c r="I8" s="2">
        <f>VLOOKUP(A:A,MASTER!A:E,5,0)</f>
        <v>475</v>
      </c>
      <c r="J8" s="2">
        <f>VLOOKUP(A:A,MASTER!A:J,10,0)</f>
        <v>893</v>
      </c>
      <c r="K8" s="12">
        <f t="shared" si="1"/>
        <v>0.87999999999999989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3</v>
      </c>
      <c r="P8" s="1">
        <f>VLOOKUP(A:A,MASTER!A:H,8,0)</f>
        <v>3</v>
      </c>
      <c r="Q8" s="12">
        <f t="shared" si="3"/>
        <v>0</v>
      </c>
      <c r="R8" s="1">
        <f>VLOOKUP(A:A,MASTER!A:B,2,0)</f>
        <v>591</v>
      </c>
      <c r="S8">
        <f>VLOOKUP(A:A,MASTER!A:G,7,0)</f>
        <v>639</v>
      </c>
      <c r="T8" s="12">
        <f t="shared" si="4"/>
        <v>8.1218274111675148E-2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10739736.696764195</v>
      </c>
      <c r="G9" s="1">
        <f>VLOOKUP(A:A,MASTER!A:K,11,0)</f>
        <v>10271389.622364882</v>
      </c>
      <c r="H9" s="12">
        <f t="shared" si="0"/>
        <v>-4.3608804165601422E-2</v>
      </c>
      <c r="I9" s="2">
        <f>VLOOKUP(A:A,MASTER!A:E,5,0)</f>
        <v>149</v>
      </c>
      <c r="J9" s="2">
        <f>VLOOKUP(A:A,MASTER!A:J,10,0)</f>
        <v>523</v>
      </c>
      <c r="K9" s="12">
        <f t="shared" si="1"/>
        <v>2.5100671140939599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171</v>
      </c>
      <c r="S9">
        <f>VLOOKUP(A:A,MASTER!A:G,7,0)</f>
        <v>190</v>
      </c>
      <c r="T9" s="12">
        <f t="shared" si="4"/>
        <v>0.11111111111111116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8687640.6103717946</v>
      </c>
      <c r="G10" s="1">
        <f>VLOOKUP(A:A,MASTER!A:K,11,0)</f>
        <v>7592612.6928478545</v>
      </c>
      <c r="H10" s="12">
        <f t="shared" si="0"/>
        <v>-0.12604433892173605</v>
      </c>
      <c r="I10" s="2">
        <f>VLOOKUP(A:A,MASTER!A:E,5,0)</f>
        <v>1</v>
      </c>
      <c r="J10" s="2">
        <f>VLOOKUP(A:A,MASTER!A:J,10,0)</f>
        <v>388</v>
      </c>
      <c r="K10" s="12">
        <f t="shared" si="1"/>
        <v>387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2</v>
      </c>
      <c r="Q10" s="12">
        <f t="shared" si="3"/>
        <v>1</v>
      </c>
      <c r="R10" s="1">
        <f>VLOOKUP(A:A,MASTER!A:B,2,0)</f>
        <v>200</v>
      </c>
      <c r="S10">
        <f>VLOOKUP(A:A,MASTER!A:G,7,0)</f>
        <v>190</v>
      </c>
      <c r="T10" s="12">
        <f t="shared" si="4"/>
        <v>-5.0000000000000044E-2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15556244.436507285</v>
      </c>
      <c r="G11" s="1">
        <f>VLOOKUP(A:A,MASTER!A:K,11,0)</f>
        <v>20609166.47847278</v>
      </c>
      <c r="H11" s="12">
        <f t="shared" si="0"/>
        <v>0.32481631814085765</v>
      </c>
      <c r="I11" s="2">
        <f>VLOOKUP(A:A,MASTER!A:E,5,0)</f>
        <v>490</v>
      </c>
      <c r="J11" s="2">
        <f>VLOOKUP(A:A,MASTER!A:J,10,0)</f>
        <v>838</v>
      </c>
      <c r="K11" s="12">
        <f t="shared" si="1"/>
        <v>0.71020408163265314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5</v>
      </c>
      <c r="Q11" s="12">
        <f t="shared" si="3"/>
        <v>1.5</v>
      </c>
      <c r="R11" s="1">
        <f>VLOOKUP(A:A,MASTER!A:B,2,0)</f>
        <v>355</v>
      </c>
      <c r="S11">
        <f>VLOOKUP(A:A,MASTER!A:G,7,0)</f>
        <v>380</v>
      </c>
      <c r="T11" s="12">
        <f t="shared" si="4"/>
        <v>7.0422535211267512E-2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7400717.794107859</v>
      </c>
      <c r="G12" s="1">
        <f>VLOOKUP(A:A,MASTER!A:K,11,0)</f>
        <v>11176568.352693547</v>
      </c>
      <c r="H12" s="12">
        <f t="shared" si="0"/>
        <v>0.51020058643390809</v>
      </c>
      <c r="I12" s="2">
        <f>VLOOKUP(A:A,MASTER!A:E,5,0)</f>
        <v>242</v>
      </c>
      <c r="J12" s="2">
        <f>VLOOKUP(A:A,MASTER!A:J,10,0)</f>
        <v>825</v>
      </c>
      <c r="K12" s="12">
        <f t="shared" si="1"/>
        <v>2.4090909090909092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197</v>
      </c>
      <c r="S12">
        <f>VLOOKUP(A:A,MASTER!A:G,7,0)</f>
        <v>246</v>
      </c>
      <c r="T12" s="12">
        <f t="shared" si="4"/>
        <v>0.24873096446700504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10115041.094036292</v>
      </c>
      <c r="G13" s="1">
        <f>VLOOKUP(A:A,MASTER!A:K,11,0)</f>
        <v>11507218.788533855</v>
      </c>
      <c r="H13" s="12">
        <f t="shared" si="0"/>
        <v>0.13763440816057337</v>
      </c>
      <c r="I13" s="2">
        <f>VLOOKUP(A:A,MASTER!A:E,5,0)</f>
        <v>212</v>
      </c>
      <c r="J13" s="2">
        <f>VLOOKUP(A:A,MASTER!A:J,10,0)</f>
        <v>545</v>
      </c>
      <c r="K13" s="12">
        <f t="shared" si="1"/>
        <v>1.5707547169811322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8</v>
      </c>
      <c r="P13" s="1">
        <f>VLOOKUP(A:A,MASTER!A:H,8,0)</f>
        <v>3</v>
      </c>
      <c r="Q13" s="12">
        <f t="shared" si="3"/>
        <v>-0.625</v>
      </c>
      <c r="R13" s="1">
        <f>VLOOKUP(A:A,MASTER!A:B,2,0)</f>
        <v>251</v>
      </c>
      <c r="S13">
        <f>VLOOKUP(A:A,MASTER!A:G,7,0)</f>
        <v>247</v>
      </c>
      <c r="T13" s="12">
        <f t="shared" si="4"/>
        <v>-1.5936254980079667E-2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34312438.506123811</v>
      </c>
      <c r="G14" s="1">
        <f>VLOOKUP(A:A,MASTER!A:K,11,0)</f>
        <v>52696692.954297103</v>
      </c>
      <c r="H14" s="12">
        <f t="shared" si="0"/>
        <v>0.53578979660370729</v>
      </c>
      <c r="I14" s="2">
        <f>VLOOKUP(A:A,MASTER!A:E,5,0)</f>
        <v>1527</v>
      </c>
      <c r="J14" s="2">
        <f>VLOOKUP(A:A,MASTER!A:J,10,0)</f>
        <v>1333</v>
      </c>
      <c r="K14" s="12">
        <f t="shared" si="1"/>
        <v>-0.12704649639816634</v>
      </c>
      <c r="L14" s="2">
        <f>VLOOKUP(A:A,MASTER!A:D,4,0)</f>
        <v>2</v>
      </c>
      <c r="M14" s="2">
        <f>VLOOKUP(A:A,MASTER!A:I,9,0)</f>
        <v>4</v>
      </c>
      <c r="N14" s="12">
        <f t="shared" si="2"/>
        <v>1</v>
      </c>
      <c r="O14" s="1">
        <f>VLOOKUP(A:A,MASTER!A:C,3,0)</f>
        <v>4</v>
      </c>
      <c r="P14" s="1">
        <f>VLOOKUP(A:A,MASTER!A:H,8,0)</f>
        <v>9</v>
      </c>
      <c r="Q14" s="12">
        <f t="shared" si="3"/>
        <v>1.25</v>
      </c>
      <c r="R14" s="1">
        <f>VLOOKUP(A:A,MASTER!A:B,2,0)</f>
        <v>1472</v>
      </c>
      <c r="S14">
        <f>VLOOKUP(A:A,MASTER!A:G,7,0)</f>
        <v>1320</v>
      </c>
      <c r="T14" s="12">
        <f t="shared" si="4"/>
        <v>-0.10326086956521741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62800573.693027698</v>
      </c>
      <c r="G15" s="1">
        <f>VLOOKUP(A:A,MASTER!A:K,11,0)</f>
        <v>82479134.130091369</v>
      </c>
      <c r="H15" s="12">
        <f t="shared" si="0"/>
        <v>0.31335001067432033</v>
      </c>
      <c r="I15" s="2">
        <f>VLOOKUP(A:A,MASTER!A:E,5,0)</f>
        <v>891</v>
      </c>
      <c r="J15" s="2">
        <f>VLOOKUP(A:A,MASTER!A:J,10,0)</f>
        <v>992</v>
      </c>
      <c r="K15" s="12">
        <f t="shared" si="1"/>
        <v>0.11335578002244673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4</v>
      </c>
      <c r="P15" s="1">
        <f>VLOOKUP(A:A,MASTER!A:H,8,0)</f>
        <v>6</v>
      </c>
      <c r="Q15" s="12">
        <f t="shared" si="3"/>
        <v>0.5</v>
      </c>
      <c r="R15" s="1">
        <f>VLOOKUP(A:A,MASTER!A:B,2,0)</f>
        <v>1255</v>
      </c>
      <c r="S15">
        <f>VLOOKUP(A:A,MASTER!A:G,7,0)</f>
        <v>1216</v>
      </c>
      <c r="T15" s="12">
        <f t="shared" si="4"/>
        <v>-3.1075697211155329E-2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42493940.062202781</v>
      </c>
      <c r="G16" s="1">
        <f>VLOOKUP(A:A,MASTER!A:K,11,0)</f>
        <v>43142646.555539481</v>
      </c>
      <c r="H16" s="12">
        <f t="shared" si="0"/>
        <v>1.5265858905696206E-2</v>
      </c>
      <c r="I16" s="2">
        <f>VLOOKUP(A:A,MASTER!A:E,5,0)</f>
        <v>920</v>
      </c>
      <c r="J16" s="2">
        <f>VLOOKUP(A:A,MASTER!A:J,10,0)</f>
        <v>1319</v>
      </c>
      <c r="K16" s="12">
        <f t="shared" si="1"/>
        <v>0.43369565217391304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5</v>
      </c>
      <c r="P16" s="1">
        <f>VLOOKUP(A:A,MASTER!A:H,8,0)</f>
        <v>6</v>
      </c>
      <c r="Q16" s="12">
        <f t="shared" si="3"/>
        <v>0.19999999999999996</v>
      </c>
      <c r="R16" s="1">
        <f>VLOOKUP(A:A,MASTER!A:B,2,0)</f>
        <v>1032</v>
      </c>
      <c r="S16">
        <f>VLOOKUP(A:A,MASTER!A:G,7,0)</f>
        <v>1005</v>
      </c>
      <c r="T16" s="12">
        <f t="shared" si="4"/>
        <v>-2.6162790697674465E-2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37735978.872022077</v>
      </c>
      <c r="G17" s="1">
        <f>VLOOKUP(A:A,MASTER!A:K,11,0)</f>
        <v>36587976.195401303</v>
      </c>
      <c r="H17" s="12">
        <f t="shared" si="0"/>
        <v>-3.0421966275583134E-2</v>
      </c>
      <c r="I17" s="2">
        <f>VLOOKUP(A:A,MASTER!A:E,5,0)</f>
        <v>571</v>
      </c>
      <c r="J17" s="2">
        <f>VLOOKUP(A:A,MASTER!A:J,10,0)</f>
        <v>685</v>
      </c>
      <c r="K17" s="12">
        <f t="shared" si="1"/>
        <v>0.1996497373029773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2</v>
      </c>
      <c r="P17" s="1">
        <f>VLOOKUP(A:A,MASTER!A:H,8,0)</f>
        <v>6</v>
      </c>
      <c r="Q17" s="12">
        <f t="shared" si="3"/>
        <v>2</v>
      </c>
      <c r="R17" s="1">
        <f>VLOOKUP(A:A,MASTER!A:B,2,0)</f>
        <v>928</v>
      </c>
      <c r="S17">
        <f>VLOOKUP(A:A,MASTER!A:G,7,0)</f>
        <v>918</v>
      </c>
      <c r="T17" s="12">
        <f t="shared" si="4"/>
        <v>-1.0775862068965525E-2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145864113.08022472</v>
      </c>
      <c r="G18" s="1">
        <f>VLOOKUP(A:A,MASTER!A:K,11,0)</f>
        <v>152007113.63403118</v>
      </c>
      <c r="H18" s="12">
        <f t="shared" si="0"/>
        <v>4.2114543626147638E-2</v>
      </c>
      <c r="I18" s="2">
        <f>VLOOKUP(A:A,MASTER!A:E,5,0)</f>
        <v>2089</v>
      </c>
      <c r="J18" s="2">
        <f>VLOOKUP(A:A,MASTER!A:J,10,0)</f>
        <v>2337</v>
      </c>
      <c r="K18" s="12">
        <f t="shared" si="1"/>
        <v>0.11871708951651505</v>
      </c>
      <c r="L18" s="2">
        <f>VLOOKUP(A:A,MASTER!A:D,4,0)</f>
        <v>10</v>
      </c>
      <c r="M18" s="2">
        <f>VLOOKUP(A:A,MASTER!A:I,9,0)</f>
        <v>10</v>
      </c>
      <c r="N18" s="12">
        <f t="shared" si="2"/>
        <v>0</v>
      </c>
      <c r="O18" s="1">
        <f>VLOOKUP(A:A,MASTER!A:C,3,0)</f>
        <v>772</v>
      </c>
      <c r="P18" s="1">
        <f>VLOOKUP(A:A,MASTER!A:H,8,0)</f>
        <v>196</v>
      </c>
      <c r="Q18" s="12">
        <f t="shared" si="3"/>
        <v>-0.74611398963730569</v>
      </c>
      <c r="R18" s="1">
        <f>VLOOKUP(A:A,MASTER!A:B,2,0)</f>
        <v>2904</v>
      </c>
      <c r="S18">
        <f>VLOOKUP(A:A,MASTER!A:G,7,0)</f>
        <v>2704</v>
      </c>
      <c r="T18" s="12">
        <f t="shared" si="4"/>
        <v>-6.8870523415977991E-2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76294387.350392491</v>
      </c>
      <c r="G19" s="1">
        <f>VLOOKUP(A:A,MASTER!A:K,11,0)</f>
        <v>61544701.23934117</v>
      </c>
      <c r="H19" s="12">
        <f t="shared" si="0"/>
        <v>-0.19332596568750671</v>
      </c>
      <c r="I19" s="2">
        <f>VLOOKUP(A:A,MASTER!A:E,5,0)</f>
        <v>2326</v>
      </c>
      <c r="J19" s="2">
        <f>VLOOKUP(A:A,MASTER!A:J,10,0)</f>
        <v>1272</v>
      </c>
      <c r="K19" s="12">
        <f t="shared" si="1"/>
        <v>-0.45313843508168528</v>
      </c>
      <c r="L19" s="2">
        <f>VLOOKUP(A:A,MASTER!A:D,4,0)</f>
        <v>3</v>
      </c>
      <c r="M19" s="2">
        <f>VLOOKUP(A:A,MASTER!A:I,9,0)</f>
        <v>2</v>
      </c>
      <c r="N19" s="12">
        <f t="shared" si="2"/>
        <v>-0.33333333333333337</v>
      </c>
      <c r="O19" s="1">
        <f>VLOOKUP(A:A,MASTER!A:C,3,0)</f>
        <v>3</v>
      </c>
      <c r="P19" s="1">
        <f>VLOOKUP(A:A,MASTER!A:H,8,0)</f>
        <v>11</v>
      </c>
      <c r="Q19" s="12">
        <f t="shared" si="3"/>
        <v>2.6666666666666665</v>
      </c>
      <c r="R19" s="1">
        <f>VLOOKUP(A:A,MASTER!A:B,2,0)</f>
        <v>1413</v>
      </c>
      <c r="S19">
        <f>VLOOKUP(A:A,MASTER!A:G,7,0)</f>
        <v>1304</v>
      </c>
      <c r="T19" s="12">
        <f t="shared" si="4"/>
        <v>-7.7140835102618488E-2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154267931.26976141</v>
      </c>
      <c r="G20" s="1">
        <f>VLOOKUP(A:A,MASTER!A:K,11,0)</f>
        <v>162745336.17078468</v>
      </c>
      <c r="H20" s="12">
        <f t="shared" si="0"/>
        <v>5.4952476715327325E-2</v>
      </c>
      <c r="I20" s="2">
        <f>VLOOKUP(A:A,MASTER!A:E,5,0)</f>
        <v>2204</v>
      </c>
      <c r="J20" s="2">
        <f>VLOOKUP(A:A,MASTER!A:J,10,0)</f>
        <v>2287</v>
      </c>
      <c r="K20" s="12">
        <f t="shared" si="1"/>
        <v>3.765880217785833E-2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31</v>
      </c>
      <c r="P20" s="1">
        <f>VLOOKUP(A:A,MASTER!A:H,8,0)</f>
        <v>30</v>
      </c>
      <c r="Q20" s="12">
        <f t="shared" si="3"/>
        <v>-3.2258064516129004E-2</v>
      </c>
      <c r="R20" s="1">
        <f>VLOOKUP(A:A,MASTER!A:B,2,0)</f>
        <v>2969</v>
      </c>
      <c r="S20">
        <f>VLOOKUP(A:A,MASTER!A:G,7,0)</f>
        <v>2790</v>
      </c>
      <c r="T20" s="12">
        <f t="shared" si="4"/>
        <v>-6.0289659818120622E-2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21537176.270469014</v>
      </c>
      <c r="G21" s="1">
        <f>VLOOKUP(A:A,MASTER!A:K,11,0)</f>
        <v>23001866.727604609</v>
      </c>
      <c r="H21" s="12">
        <f t="shared" si="0"/>
        <v>6.8007543734687426E-2</v>
      </c>
      <c r="I21" s="2">
        <f>VLOOKUP(A:A,MASTER!A:E,5,0)</f>
        <v>450</v>
      </c>
      <c r="J21" s="2">
        <f>VLOOKUP(A:A,MASTER!A:J,10,0)</f>
        <v>545</v>
      </c>
      <c r="K21" s="12">
        <f t="shared" si="1"/>
        <v>0.21111111111111103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7</v>
      </c>
      <c r="Q21" s="12">
        <f t="shared" si="3"/>
        <v>0.16666666666666674</v>
      </c>
      <c r="R21" s="1">
        <f>VLOOKUP(A:A,MASTER!A:B,2,0)</f>
        <v>525</v>
      </c>
      <c r="S21">
        <f>VLOOKUP(A:A,MASTER!A:G,7,0)</f>
        <v>497</v>
      </c>
      <c r="T21" s="12">
        <f t="shared" si="4"/>
        <v>-5.3333333333333344E-2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63035488.332247965</v>
      </c>
      <c r="G22" s="1">
        <f>VLOOKUP(A:A,MASTER!A:K,11,0)</f>
        <v>64208564.458156094</v>
      </c>
      <c r="H22" s="12">
        <f t="shared" si="0"/>
        <v>1.8609772954007564E-2</v>
      </c>
      <c r="I22" s="2">
        <f>VLOOKUP(A:A,MASTER!A:E,5,0)</f>
        <v>1297</v>
      </c>
      <c r="J22" s="2">
        <f>VLOOKUP(A:A,MASTER!A:J,10,0)</f>
        <v>1777</v>
      </c>
      <c r="K22" s="12">
        <f t="shared" si="1"/>
        <v>0.37008481110254432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26</v>
      </c>
      <c r="P22" s="1">
        <f>VLOOKUP(A:A,MASTER!A:H,8,0)</f>
        <v>33</v>
      </c>
      <c r="Q22" s="12">
        <f t="shared" si="3"/>
        <v>0.26923076923076916</v>
      </c>
      <c r="R22" s="1">
        <f>VLOOKUP(A:A,MASTER!A:B,2,0)</f>
        <v>1762</v>
      </c>
      <c r="S22">
        <f>VLOOKUP(A:A,MASTER!A:G,7,0)</f>
        <v>1778</v>
      </c>
      <c r="T22" s="12">
        <f t="shared" si="4"/>
        <v>9.0805902383654935E-3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26650391.369898807</v>
      </c>
      <c r="G23" s="1">
        <f>VLOOKUP(A:A,MASTER!A:K,11,0)</f>
        <v>27692279.512879144</v>
      </c>
      <c r="H23" s="12">
        <f t="shared" si="0"/>
        <v>3.9094665760035729E-2</v>
      </c>
      <c r="I23" s="2">
        <f>VLOOKUP(A:A,MASTER!A:E,5,0)</f>
        <v>747</v>
      </c>
      <c r="J23" s="2">
        <f>VLOOKUP(A:A,MASTER!A:J,10,0)</f>
        <v>918</v>
      </c>
      <c r="K23" s="12">
        <f t="shared" si="1"/>
        <v>0.22891566265060237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20</v>
      </c>
      <c r="P23" s="1">
        <f>VLOOKUP(A:A,MASTER!A:H,8,0)</f>
        <v>21</v>
      </c>
      <c r="Q23" s="12">
        <f t="shared" si="3"/>
        <v>5.0000000000000044E-2</v>
      </c>
      <c r="R23" s="1">
        <f>VLOOKUP(A:A,MASTER!A:B,2,0)</f>
        <v>885</v>
      </c>
      <c r="S23">
        <f>VLOOKUP(A:A,MASTER!A:G,7,0)</f>
        <v>875</v>
      </c>
      <c r="T23" s="12">
        <f t="shared" si="4"/>
        <v>-1.1299435028248594E-2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31624743.597406648</v>
      </c>
      <c r="G24" s="1">
        <f>VLOOKUP(A:A,MASTER!A:K,11,0)</f>
        <v>32952536.414756078</v>
      </c>
      <c r="H24" s="12">
        <f t="shared" si="0"/>
        <v>4.198588403601522E-2</v>
      </c>
      <c r="I24" s="2">
        <f>VLOOKUP(A:A,MASTER!A:E,5,0)</f>
        <v>786</v>
      </c>
      <c r="J24" s="2">
        <f>VLOOKUP(A:A,MASTER!A:J,10,0)</f>
        <v>778</v>
      </c>
      <c r="K24" s="12">
        <f t="shared" si="1"/>
        <v>-1.0178117048346036E-2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9</v>
      </c>
      <c r="P24" s="1">
        <f>VLOOKUP(A:A,MASTER!A:H,8,0)</f>
        <v>10</v>
      </c>
      <c r="Q24" s="12">
        <f t="shared" si="3"/>
        <v>0.11111111111111116</v>
      </c>
      <c r="R24" s="1">
        <f>VLOOKUP(A:A,MASTER!A:B,2,0)</f>
        <v>874</v>
      </c>
      <c r="S24">
        <f>VLOOKUP(A:A,MASTER!A:G,7,0)</f>
        <v>884</v>
      </c>
      <c r="T24" s="12">
        <f t="shared" si="4"/>
        <v>1.1441647597254079E-2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9000890.4361660667</v>
      </c>
      <c r="G25" s="1">
        <f>VLOOKUP(A:A,MASTER!A:K,11,0)</f>
        <v>8275511.2909266194</v>
      </c>
      <c r="H25" s="12">
        <f t="shared" si="0"/>
        <v>-8.0589709471946769E-2</v>
      </c>
      <c r="I25" s="2">
        <f>VLOOKUP(A:A,MASTER!A:E,5,0)</f>
        <v>155</v>
      </c>
      <c r="J25" s="2">
        <f>VLOOKUP(A:A,MASTER!A:J,10,0)</f>
        <v>187</v>
      </c>
      <c r="K25" s="12">
        <f t="shared" si="1"/>
        <v>0.20645161290322589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248</v>
      </c>
      <c r="S25">
        <f>VLOOKUP(A:A,MASTER!A:G,7,0)</f>
        <v>214</v>
      </c>
      <c r="T25" s="12">
        <f t="shared" si="4"/>
        <v>-0.13709677419354838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64365319.177935474</v>
      </c>
      <c r="G26" s="1">
        <f>VLOOKUP(A:A,MASTER!A:K,11,0)</f>
        <v>62934860.381797515</v>
      </c>
      <c r="H26" s="12">
        <f t="shared" si="0"/>
        <v>-2.22240612554645E-2</v>
      </c>
      <c r="I26" s="2">
        <f>VLOOKUP(A:A,MASTER!A:E,5,0)</f>
        <v>1281</v>
      </c>
      <c r="J26" s="2">
        <f>VLOOKUP(A:A,MASTER!A:J,10,0)</f>
        <v>1624</v>
      </c>
      <c r="K26" s="12">
        <f t="shared" si="1"/>
        <v>0.26775956284153013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8</v>
      </c>
      <c r="P26" s="1">
        <f>VLOOKUP(A:A,MASTER!A:H,8,0)</f>
        <v>16</v>
      </c>
      <c r="Q26" s="12">
        <f t="shared" si="3"/>
        <v>1</v>
      </c>
      <c r="R26" s="1">
        <f>VLOOKUP(A:A,MASTER!A:B,2,0)</f>
        <v>1619</v>
      </c>
      <c r="S26">
        <f>VLOOKUP(A:A,MASTER!A:G,7,0)</f>
        <v>1624</v>
      </c>
      <c r="T26" s="12">
        <f t="shared" si="4"/>
        <v>3.0883261272389717E-3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47551791.945821404</v>
      </c>
      <c r="G27" s="1">
        <f>VLOOKUP(A:A,MASTER!A:K,11,0)</f>
        <v>53842900.306042954</v>
      </c>
      <c r="H27" s="12">
        <f t="shared" si="0"/>
        <v>0.13230013218827552</v>
      </c>
      <c r="I27" s="2">
        <f>VLOOKUP(A:A,MASTER!A:E,5,0)</f>
        <v>587</v>
      </c>
      <c r="J27" s="2">
        <f>VLOOKUP(A:A,MASTER!A:J,10,0)</f>
        <v>781</v>
      </c>
      <c r="K27" s="12">
        <f t="shared" si="1"/>
        <v>0.33049403747870532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8</v>
      </c>
      <c r="P27" s="1">
        <f>VLOOKUP(A:A,MASTER!A:H,8,0)</f>
        <v>11</v>
      </c>
      <c r="Q27" s="12">
        <f t="shared" si="3"/>
        <v>0.375</v>
      </c>
      <c r="R27" s="1">
        <f>VLOOKUP(A:A,MASTER!A:B,2,0)</f>
        <v>867</v>
      </c>
      <c r="S27">
        <f>VLOOKUP(A:A,MASTER!A:G,7,0)</f>
        <v>902</v>
      </c>
      <c r="T27" s="12">
        <f t="shared" si="4"/>
        <v>4.0369088811995413E-2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51359613.322576806</v>
      </c>
      <c r="G28" s="1">
        <f>VLOOKUP(A:A,MASTER!A:K,11,0)</f>
        <v>50673418.67492187</v>
      </c>
      <c r="H28" s="12">
        <f t="shared" si="0"/>
        <v>-1.3360588276728591E-2</v>
      </c>
      <c r="I28" s="2">
        <f>VLOOKUP(A:A,MASTER!A:E,5,0)</f>
        <v>770</v>
      </c>
      <c r="J28" s="2">
        <f>VLOOKUP(A:A,MASTER!A:J,10,0)</f>
        <v>783</v>
      </c>
      <c r="K28" s="12">
        <f t="shared" si="1"/>
        <v>1.6883116883116944E-2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10</v>
      </c>
      <c r="P28" s="1">
        <f>VLOOKUP(A:A,MASTER!A:H,8,0)</f>
        <v>5</v>
      </c>
      <c r="Q28" s="12">
        <f t="shared" si="3"/>
        <v>-0.5</v>
      </c>
      <c r="R28" s="1">
        <f>VLOOKUP(A:A,MASTER!A:B,2,0)</f>
        <v>1063</v>
      </c>
      <c r="S28">
        <f>VLOOKUP(A:A,MASTER!A:G,7,0)</f>
        <v>998</v>
      </c>
      <c r="T28" s="12">
        <f t="shared" si="4"/>
        <v>-6.1147695202257712E-2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66260418.901354015</v>
      </c>
      <c r="G29" s="1">
        <f>VLOOKUP(A:A,MASTER!A:K,11,0)</f>
        <v>70447067.983437687</v>
      </c>
      <c r="H29" s="12">
        <f t="shared" si="0"/>
        <v>6.3184766282817995E-2</v>
      </c>
      <c r="I29" s="2">
        <f>VLOOKUP(A:A,MASTER!A:E,5,0)</f>
        <v>892</v>
      </c>
      <c r="J29" s="2">
        <f>VLOOKUP(A:A,MASTER!A:J,10,0)</f>
        <v>1438</v>
      </c>
      <c r="K29" s="12">
        <f t="shared" si="1"/>
        <v>0.61210762331838575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4</v>
      </c>
      <c r="P29" s="1">
        <f>VLOOKUP(A:A,MASTER!A:H,8,0)</f>
        <v>4</v>
      </c>
      <c r="Q29" s="12">
        <f t="shared" si="3"/>
        <v>0</v>
      </c>
      <c r="R29" s="1">
        <f>VLOOKUP(A:A,MASTER!A:B,2,0)</f>
        <v>1096</v>
      </c>
      <c r="S29">
        <f>VLOOKUP(A:A,MASTER!A:G,7,0)</f>
        <v>1132</v>
      </c>
      <c r="T29" s="12">
        <f t="shared" si="4"/>
        <v>3.2846715328467058E-2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96599669.104621619</v>
      </c>
      <c r="G30" s="1">
        <f>VLOOKUP(A:A,MASTER!A:K,11,0)</f>
        <v>93463628.962233886</v>
      </c>
      <c r="H30" s="12">
        <f t="shared" si="0"/>
        <v>-3.2464294872389998E-2</v>
      </c>
      <c r="I30" s="2">
        <f>VLOOKUP(A:A,MASTER!A:E,5,0)</f>
        <v>1154</v>
      </c>
      <c r="J30" s="2">
        <f>VLOOKUP(A:A,MASTER!A:J,10,0)</f>
        <v>1304</v>
      </c>
      <c r="K30" s="12">
        <f t="shared" si="1"/>
        <v>0.12998266897746968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5</v>
      </c>
      <c r="P30" s="1">
        <f>VLOOKUP(A:A,MASTER!A:H,8,0)</f>
        <v>7</v>
      </c>
      <c r="Q30" s="12">
        <f t="shared" si="3"/>
        <v>0.39999999999999991</v>
      </c>
      <c r="R30" s="1">
        <f>VLOOKUP(A:A,MASTER!A:B,2,0)</f>
        <v>1460</v>
      </c>
      <c r="S30">
        <f>VLOOKUP(A:A,MASTER!A:G,7,0)</f>
        <v>1407</v>
      </c>
      <c r="T30" s="12">
        <f t="shared" si="4"/>
        <v>-3.6301369863013688E-2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38674027.26112394</v>
      </c>
      <c r="G31" s="1">
        <f>VLOOKUP(A:A,MASTER!A:K,11,0)</f>
        <v>39169096.412837565</v>
      </c>
      <c r="H31" s="12">
        <f t="shared" si="0"/>
        <v>1.2801075728962941E-2</v>
      </c>
      <c r="I31" s="2">
        <f>VLOOKUP(A:A,MASTER!A:E,5,0)</f>
        <v>498</v>
      </c>
      <c r="J31" s="2">
        <f>VLOOKUP(A:A,MASTER!A:J,10,0)</f>
        <v>61</v>
      </c>
      <c r="K31" s="12">
        <f t="shared" si="1"/>
        <v>-0.8775100401606426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4</v>
      </c>
      <c r="Q31" s="12">
        <f t="shared" si="3"/>
        <v>0.33333333333333326</v>
      </c>
      <c r="R31" s="1">
        <f>VLOOKUP(A:A,MASTER!A:B,2,0)</f>
        <v>686</v>
      </c>
      <c r="S31">
        <f>VLOOKUP(A:A,MASTER!A:G,7,0)</f>
        <v>655</v>
      </c>
      <c r="T31" s="12">
        <f t="shared" si="4"/>
        <v>-4.5189504373177813E-2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115951411.40095924</v>
      </c>
      <c r="G32" s="1">
        <f>VLOOKUP(A:A,MASTER!A:K,11,0)</f>
        <v>106050833.53612964</v>
      </c>
      <c r="H32" s="12">
        <f t="shared" si="0"/>
        <v>-8.5385574398861519E-2</v>
      </c>
      <c r="I32" s="2">
        <f>VLOOKUP(A:A,MASTER!A:E,5,0)</f>
        <v>1622</v>
      </c>
      <c r="J32" s="2">
        <f>VLOOKUP(A:A,MASTER!A:J,10,0)</f>
        <v>1664</v>
      </c>
      <c r="K32" s="12">
        <f t="shared" si="1"/>
        <v>2.5893958076448786E-2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18</v>
      </c>
      <c r="P32" s="1">
        <f>VLOOKUP(A:A,MASTER!A:H,8,0)</f>
        <v>15</v>
      </c>
      <c r="Q32" s="12">
        <f t="shared" si="3"/>
        <v>-0.16666666666666663</v>
      </c>
      <c r="R32" s="1">
        <f>VLOOKUP(A:A,MASTER!A:B,2,0)</f>
        <v>1957</v>
      </c>
      <c r="S32">
        <f>VLOOKUP(A:A,MASTER!A:G,7,0)</f>
        <v>1842</v>
      </c>
      <c r="T32" s="12">
        <f t="shared" si="4"/>
        <v>-5.8763413387838526E-2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39862321.063862331</v>
      </c>
      <c r="G33" s="1">
        <f>VLOOKUP(A:A,MASTER!A:K,11,0)</f>
        <v>40610812.831717983</v>
      </c>
      <c r="H33" s="12">
        <f t="shared" si="0"/>
        <v>1.8776923868946582E-2</v>
      </c>
      <c r="I33" s="2">
        <f>VLOOKUP(A:A,MASTER!A:E,5,0)</f>
        <v>695</v>
      </c>
      <c r="J33" s="2">
        <f>VLOOKUP(A:A,MASTER!A:J,10,0)</f>
        <v>1012</v>
      </c>
      <c r="K33" s="12">
        <f t="shared" si="1"/>
        <v>0.45611510791366916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6</v>
      </c>
      <c r="P33" s="1">
        <f>VLOOKUP(A:A,MASTER!A:H,8,0)</f>
        <v>5</v>
      </c>
      <c r="Q33" s="12">
        <f t="shared" si="3"/>
        <v>-0.16666666666666663</v>
      </c>
      <c r="R33" s="1">
        <f>VLOOKUP(A:A,MASTER!A:B,2,0)</f>
        <v>837</v>
      </c>
      <c r="S33">
        <f>VLOOKUP(A:A,MASTER!A:G,7,0)</f>
        <v>856</v>
      </c>
      <c r="T33" s="12">
        <f t="shared" si="4"/>
        <v>2.2700119474313052E-2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35282414.811281145</v>
      </c>
      <c r="G34" s="1">
        <f>VLOOKUP(A:A,MASTER!A:K,11,0)</f>
        <v>37133895.791969873</v>
      </c>
      <c r="H34" s="12">
        <f t="shared" si="0"/>
        <v>5.2476027805691494E-2</v>
      </c>
      <c r="I34" s="2">
        <f>VLOOKUP(A:A,MASTER!A:E,5,0)</f>
        <v>578</v>
      </c>
      <c r="J34" s="2">
        <f>VLOOKUP(A:A,MASTER!A:J,10,0)</f>
        <v>998</v>
      </c>
      <c r="K34" s="12">
        <f t="shared" si="1"/>
        <v>0.72664359861591699</v>
      </c>
      <c r="L34" s="2">
        <f>VLOOKUP(A:A,MASTER!A:D,4,0)</f>
        <v>2</v>
      </c>
      <c r="M34" s="2">
        <f>VLOOKUP(A:A,MASTER!A:I,9,0)</f>
        <v>1</v>
      </c>
      <c r="N34" s="12">
        <f t="shared" si="2"/>
        <v>-0.5</v>
      </c>
      <c r="O34" s="1">
        <f>VLOOKUP(A:A,MASTER!A:C,3,0)</f>
        <v>24</v>
      </c>
      <c r="P34" s="1">
        <f>VLOOKUP(A:A,MASTER!A:H,8,0)</f>
        <v>8</v>
      </c>
      <c r="Q34" s="12">
        <f t="shared" si="3"/>
        <v>-0.66666666666666674</v>
      </c>
      <c r="R34" s="1">
        <f>VLOOKUP(A:A,MASTER!A:B,2,0)</f>
        <v>724</v>
      </c>
      <c r="S34">
        <f>VLOOKUP(A:A,MASTER!A:G,7,0)</f>
        <v>689</v>
      </c>
      <c r="T34" s="12">
        <f t="shared" si="4"/>
        <v>-4.8342541436464104E-2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58278910.773384973</v>
      </c>
      <c r="G35" s="1">
        <f>VLOOKUP(A:A,MASTER!A:K,11,0)</f>
        <v>59325006.569900498</v>
      </c>
      <c r="H35" s="12">
        <f t="shared" si="0"/>
        <v>1.7949817226049714E-2</v>
      </c>
      <c r="I35" s="2">
        <f>VLOOKUP(A:A,MASTER!A:E,5,0)</f>
        <v>798</v>
      </c>
      <c r="J35" s="2">
        <f>VLOOKUP(A:A,MASTER!A:J,10,0)</f>
        <v>1497</v>
      </c>
      <c r="K35" s="12">
        <f t="shared" si="1"/>
        <v>0.87593984962406024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26</v>
      </c>
      <c r="P35" s="1">
        <f>VLOOKUP(A:A,MASTER!A:H,8,0)</f>
        <v>27</v>
      </c>
      <c r="Q35" s="12">
        <f t="shared" si="3"/>
        <v>3.8461538461538547E-2</v>
      </c>
      <c r="R35" s="1">
        <f>VLOOKUP(A:A,MASTER!A:B,2,0)</f>
        <v>1168</v>
      </c>
      <c r="S35">
        <f>VLOOKUP(A:A,MASTER!A:G,7,0)</f>
        <v>1199</v>
      </c>
      <c r="T35" s="12">
        <f t="shared" si="4"/>
        <v>2.6541095890410871E-2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56290431.876917154</v>
      </c>
      <c r="G36" s="1">
        <f>VLOOKUP(A:A,MASTER!A:K,11,0)</f>
        <v>55756903.446306914</v>
      </c>
      <c r="H36" s="12">
        <f t="shared" si="0"/>
        <v>-9.4781370975592916E-3</v>
      </c>
      <c r="I36" s="2">
        <f>VLOOKUP(A:A,MASTER!A:E,5,0)</f>
        <v>839</v>
      </c>
      <c r="J36" s="2">
        <f>VLOOKUP(A:A,MASTER!A:J,10,0)</f>
        <v>1260</v>
      </c>
      <c r="K36" s="12">
        <f t="shared" si="1"/>
        <v>0.501787842669845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448</v>
      </c>
      <c r="P36" s="1">
        <f>VLOOKUP(A:A,MASTER!A:H,8,0)</f>
        <v>469</v>
      </c>
      <c r="Q36" s="12">
        <f t="shared" si="3"/>
        <v>4.6875E-2</v>
      </c>
      <c r="R36" s="1">
        <f>VLOOKUP(A:A,MASTER!A:B,2,0)</f>
        <v>1336</v>
      </c>
      <c r="S36">
        <f>VLOOKUP(A:A,MASTER!A:G,7,0)</f>
        <v>1211</v>
      </c>
      <c r="T36" s="12">
        <f t="shared" si="4"/>
        <v>-9.3562874251497008E-2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89625740.696560368</v>
      </c>
      <c r="G37" s="1">
        <f>VLOOKUP(A:A,MASTER!A:K,11,0)</f>
        <v>97197217.50669992</v>
      </c>
      <c r="H37" s="12">
        <f t="shared" si="0"/>
        <v>8.4478819938278438E-2</v>
      </c>
      <c r="I37" s="2">
        <f>VLOOKUP(A:A,MASTER!A:E,5,0)</f>
        <v>1476</v>
      </c>
      <c r="J37" s="2">
        <f>VLOOKUP(A:A,MASTER!A:J,10,0)</f>
        <v>2196</v>
      </c>
      <c r="K37" s="12">
        <f t="shared" si="1"/>
        <v>0.48780487804878048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869</v>
      </c>
      <c r="P37" s="1">
        <f>VLOOKUP(A:A,MASTER!A:H,8,0)</f>
        <v>202</v>
      </c>
      <c r="Q37" s="12">
        <f t="shared" si="3"/>
        <v>-0.76754890678941312</v>
      </c>
      <c r="R37" s="1">
        <f>VLOOKUP(A:A,MASTER!A:B,2,0)</f>
        <v>2622</v>
      </c>
      <c r="S37">
        <f>VLOOKUP(A:A,MASTER!A:G,7,0)</f>
        <v>2197</v>
      </c>
      <c r="T37" s="12">
        <f t="shared" si="4"/>
        <v>-0.16209000762776504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29446390.194945849</v>
      </c>
      <c r="G38" s="1">
        <f>VLOOKUP(A:A,MASTER!A:K,11,0)</f>
        <v>35678063.508908294</v>
      </c>
      <c r="H38" s="12">
        <f t="shared" si="0"/>
        <v>0.21162775038660064</v>
      </c>
      <c r="I38" s="2">
        <f>VLOOKUP(A:A,MASTER!A:E,5,0)</f>
        <v>427</v>
      </c>
      <c r="J38" s="2">
        <f>VLOOKUP(A:A,MASTER!A:J,10,0)</f>
        <v>495</v>
      </c>
      <c r="K38" s="12">
        <f t="shared" si="1"/>
        <v>0.15925058548009363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3</v>
      </c>
      <c r="P38" s="1">
        <f>VLOOKUP(A:A,MASTER!A:H,8,0)</f>
        <v>3</v>
      </c>
      <c r="Q38" s="12">
        <f t="shared" si="3"/>
        <v>0</v>
      </c>
      <c r="R38" s="1">
        <f>VLOOKUP(A:A,MASTER!A:B,2,0)</f>
        <v>605</v>
      </c>
      <c r="S38">
        <f>VLOOKUP(A:A,MASTER!A:G,7,0)</f>
        <v>593</v>
      </c>
      <c r="T38" s="12">
        <f t="shared" si="4"/>
        <v>-1.9834710743801609E-2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108079440.83391826</v>
      </c>
      <c r="G39" s="1">
        <f>VLOOKUP(A:A,MASTER!A:K,11,0)</f>
        <v>113072490.43563074</v>
      </c>
      <c r="H39" s="12">
        <f t="shared" si="0"/>
        <v>4.6197959234310915E-2</v>
      </c>
      <c r="I39" s="2">
        <f>VLOOKUP(A:A,MASTER!A:E,5,0)</f>
        <v>2015</v>
      </c>
      <c r="J39" s="2">
        <f>VLOOKUP(A:A,MASTER!A:J,10,0)</f>
        <v>2324</v>
      </c>
      <c r="K39" s="12">
        <f t="shared" si="1"/>
        <v>0.15334987593052118</v>
      </c>
      <c r="L39" s="2">
        <f>VLOOKUP(A:A,MASTER!A:D,4,0)</f>
        <v>5</v>
      </c>
      <c r="M39" s="2">
        <f>VLOOKUP(A:A,MASTER!A:I,9,0)</f>
        <v>5</v>
      </c>
      <c r="N39" s="12">
        <f t="shared" si="2"/>
        <v>0</v>
      </c>
      <c r="O39" s="1">
        <f>VLOOKUP(A:A,MASTER!A:C,3,0)</f>
        <v>14</v>
      </c>
      <c r="P39" s="1">
        <f>VLOOKUP(A:A,MASTER!A:H,8,0)</f>
        <v>14</v>
      </c>
      <c r="Q39" s="12">
        <f t="shared" si="3"/>
        <v>0</v>
      </c>
      <c r="R39" s="1">
        <f>VLOOKUP(A:A,MASTER!A:B,2,0)</f>
        <v>2054</v>
      </c>
      <c r="S39">
        <f>VLOOKUP(A:A,MASTER!A:G,7,0)</f>
        <v>2079</v>
      </c>
      <c r="T39" s="12">
        <f t="shared" si="4"/>
        <v>1.2171372930866564E-2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74282116.311156243</v>
      </c>
      <c r="G40" s="1">
        <f>VLOOKUP(A:A,MASTER!A:K,11,0)</f>
        <v>79773923.470678821</v>
      </c>
      <c r="H40" s="12">
        <f t="shared" si="0"/>
        <v>7.3931754132020799E-2</v>
      </c>
      <c r="I40" s="2">
        <f>VLOOKUP(A:A,MASTER!A:E,5,0)</f>
        <v>834</v>
      </c>
      <c r="J40" s="2">
        <f>VLOOKUP(A:A,MASTER!A:J,10,0)</f>
        <v>932</v>
      </c>
      <c r="K40" s="12">
        <f t="shared" si="1"/>
        <v>0.11750599520383687</v>
      </c>
      <c r="L40" s="2">
        <f>VLOOKUP(A:A,MASTER!A:D,4,0)</f>
        <v>4</v>
      </c>
      <c r="M40" s="2">
        <f>VLOOKUP(A:A,MASTER!A:I,9,0)</f>
        <v>3</v>
      </c>
      <c r="N40" s="12">
        <f t="shared" si="2"/>
        <v>-0.25</v>
      </c>
      <c r="O40" s="1">
        <f>VLOOKUP(A:A,MASTER!A:C,3,0)</f>
        <v>9</v>
      </c>
      <c r="P40" s="1">
        <f>VLOOKUP(A:A,MASTER!A:H,8,0)</f>
        <v>16</v>
      </c>
      <c r="Q40" s="12">
        <f t="shared" si="3"/>
        <v>0.77777777777777768</v>
      </c>
      <c r="R40" s="1">
        <f>VLOOKUP(A:A,MASTER!A:B,2,0)</f>
        <v>889</v>
      </c>
      <c r="S40">
        <f>VLOOKUP(A:A,MASTER!A:G,7,0)</f>
        <v>934</v>
      </c>
      <c r="T40" s="12">
        <f t="shared" si="4"/>
        <v>5.0618672665916797E-2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62706292.434002586</v>
      </c>
      <c r="G41" s="1">
        <f>VLOOKUP(A:A,MASTER!A:K,11,0)</f>
        <v>50838171.935694195</v>
      </c>
      <c r="H41" s="12">
        <f t="shared" si="0"/>
        <v>-0.18926522423247083</v>
      </c>
      <c r="I41" s="2">
        <f>VLOOKUP(A:A,MASTER!A:E,5,0)</f>
        <v>881</v>
      </c>
      <c r="J41" s="2">
        <f>VLOOKUP(A:A,MASTER!A:J,10,0)</f>
        <v>1382</v>
      </c>
      <c r="K41" s="12">
        <f t="shared" si="1"/>
        <v>0.56867196367763895</v>
      </c>
      <c r="L41" s="2">
        <f>VLOOKUP(A:A,MASTER!A:D,4,0)</f>
        <v>4</v>
      </c>
      <c r="M41" s="2">
        <f>VLOOKUP(A:A,MASTER!A:I,9,0)</f>
        <v>4</v>
      </c>
      <c r="N41" s="12">
        <f t="shared" si="2"/>
        <v>0</v>
      </c>
      <c r="O41" s="1">
        <f>VLOOKUP(A:A,MASTER!A:C,3,0)</f>
        <v>5</v>
      </c>
      <c r="P41" s="1">
        <f>VLOOKUP(A:A,MASTER!A:H,8,0)</f>
        <v>10</v>
      </c>
      <c r="Q41" s="12">
        <f t="shared" si="3"/>
        <v>1</v>
      </c>
      <c r="R41" s="1">
        <f>VLOOKUP(A:A,MASTER!A:B,2,0)</f>
        <v>1123</v>
      </c>
      <c r="S41">
        <f>VLOOKUP(A:A,MASTER!A:G,7,0)</f>
        <v>1063</v>
      </c>
      <c r="T41" s="12">
        <f t="shared" si="4"/>
        <v>-5.3428317008014203E-2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57279868.189550474</v>
      </c>
      <c r="G42" s="1">
        <f>VLOOKUP(A:A,MASTER!A:K,11,0)</f>
        <v>58814439.165195264</v>
      </c>
      <c r="H42" s="12">
        <f t="shared" si="0"/>
        <v>2.6790756057024856E-2</v>
      </c>
      <c r="I42" s="2">
        <f>VLOOKUP(A:A,MASTER!A:E,5,0)</f>
        <v>625</v>
      </c>
      <c r="J42" s="2">
        <f>VLOOKUP(A:A,MASTER!A:J,10,0)</f>
        <v>657</v>
      </c>
      <c r="K42" s="12">
        <f t="shared" si="1"/>
        <v>5.1199999999999912E-2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1</v>
      </c>
      <c r="P42" s="1">
        <f>VLOOKUP(A:A,MASTER!A:H,8,0)</f>
        <v>12</v>
      </c>
      <c r="Q42" s="12">
        <f t="shared" si="3"/>
        <v>11</v>
      </c>
      <c r="R42" s="1">
        <f>VLOOKUP(A:A,MASTER!A:B,2,0)</f>
        <v>837</v>
      </c>
      <c r="S42">
        <f>VLOOKUP(A:A,MASTER!A:G,7,0)</f>
        <v>802</v>
      </c>
      <c r="T42" s="12">
        <f t="shared" si="4"/>
        <v>-4.1816009557945066E-2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35996654.338048279</v>
      </c>
      <c r="G43" s="1">
        <f>VLOOKUP(A:A,MASTER!A:K,11,0)</f>
        <v>37245649.73196432</v>
      </c>
      <c r="H43" s="12">
        <f t="shared" si="0"/>
        <v>3.4697541115532582E-2</v>
      </c>
      <c r="I43" s="2">
        <f>VLOOKUP(A:A,MASTER!A:E,5,0)</f>
        <v>665</v>
      </c>
      <c r="J43" s="2">
        <f>VLOOKUP(A:A,MASTER!A:J,10,0)</f>
        <v>824</v>
      </c>
      <c r="K43" s="12">
        <f t="shared" si="1"/>
        <v>0.23909774436090236</v>
      </c>
      <c r="L43" s="2">
        <f>VLOOKUP(A:A,MASTER!A:D,4,0)</f>
        <v>11</v>
      </c>
      <c r="M43" s="2">
        <f>VLOOKUP(A:A,MASTER!A:I,9,0)</f>
        <v>10</v>
      </c>
      <c r="N43" s="12">
        <f t="shared" si="2"/>
        <v>-9.0909090909090939E-2</v>
      </c>
      <c r="O43" s="1">
        <f>VLOOKUP(A:A,MASTER!A:C,3,0)</f>
        <v>6</v>
      </c>
      <c r="P43" s="1">
        <f>VLOOKUP(A:A,MASTER!A:H,8,0)</f>
        <v>5</v>
      </c>
      <c r="Q43" s="12">
        <f t="shared" si="3"/>
        <v>-0.16666666666666663</v>
      </c>
      <c r="R43" s="1">
        <f>VLOOKUP(A:A,MASTER!A:B,2,0)</f>
        <v>680</v>
      </c>
      <c r="S43">
        <f>VLOOKUP(A:A,MASTER!A:G,7,0)</f>
        <v>728</v>
      </c>
      <c r="T43" s="12">
        <f t="shared" si="4"/>
        <v>7.0588235294117618E-2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34997774.85582336</v>
      </c>
      <c r="G44" s="1">
        <f>VLOOKUP(A:A,MASTER!A:K,11,0)</f>
        <v>32835363.139960997</v>
      </c>
      <c r="H44" s="12">
        <f t="shared" si="0"/>
        <v>-6.1787120031791209E-2</v>
      </c>
      <c r="I44" s="2">
        <f>VLOOKUP(A:A,MASTER!A:E,5,0)</f>
        <v>710</v>
      </c>
      <c r="J44" s="2">
        <f>VLOOKUP(A:A,MASTER!A:J,10,0)</f>
        <v>892</v>
      </c>
      <c r="K44" s="12">
        <f t="shared" si="1"/>
        <v>0.25633802816901419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3</v>
      </c>
      <c r="P44" s="1">
        <f>VLOOKUP(A:A,MASTER!A:H,8,0)</f>
        <v>3</v>
      </c>
      <c r="Q44" s="12">
        <f t="shared" si="3"/>
        <v>0</v>
      </c>
      <c r="R44" s="1">
        <f>VLOOKUP(A:A,MASTER!A:B,2,0)</f>
        <v>695</v>
      </c>
      <c r="S44">
        <f>VLOOKUP(A:A,MASTER!A:G,7,0)</f>
        <v>711</v>
      </c>
      <c r="T44" s="12">
        <f t="shared" si="4"/>
        <v>2.302158273381294E-2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106716015.07577386</v>
      </c>
      <c r="G45" s="1">
        <f>VLOOKUP(A:A,MASTER!A:K,11,0)</f>
        <v>107944818.1845528</v>
      </c>
      <c r="H45" s="12">
        <f t="shared" si="0"/>
        <v>1.1514701967707763E-2</v>
      </c>
      <c r="I45" s="2">
        <f>VLOOKUP(A:A,MASTER!A:E,5,0)</f>
        <v>989</v>
      </c>
      <c r="J45" s="2">
        <f>VLOOKUP(A:A,MASTER!A:J,10,0)</f>
        <v>1177</v>
      </c>
      <c r="K45" s="12">
        <f t="shared" si="1"/>
        <v>0.19009100101112231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15</v>
      </c>
      <c r="P45" s="1">
        <f>VLOOKUP(A:A,MASTER!A:H,8,0)</f>
        <v>13</v>
      </c>
      <c r="Q45" s="12">
        <f t="shared" si="3"/>
        <v>-0.1333333333333333</v>
      </c>
      <c r="R45" s="1">
        <f>VLOOKUP(A:A,MASTER!A:B,2,0)</f>
        <v>1247</v>
      </c>
      <c r="S45">
        <f>VLOOKUP(A:A,MASTER!A:G,7,0)</f>
        <v>1272</v>
      </c>
      <c r="T45" s="12">
        <f t="shared" si="4"/>
        <v>2.0048115477145245E-2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48114546.681168258</v>
      </c>
      <c r="G46" s="1">
        <f>VLOOKUP(A:A,MASTER!A:K,11,0)</f>
        <v>49212865.123357482</v>
      </c>
      <c r="H46" s="12">
        <f t="shared" si="0"/>
        <v>2.2827159725046231E-2</v>
      </c>
      <c r="I46" s="2">
        <f>VLOOKUP(A:A,MASTER!A:E,5,0)</f>
        <v>877</v>
      </c>
      <c r="J46" s="2">
        <f>VLOOKUP(A:A,MASTER!A:J,10,0)</f>
        <v>964</v>
      </c>
      <c r="K46" s="12">
        <f t="shared" si="1"/>
        <v>9.9201824401368377E-2</v>
      </c>
      <c r="L46" s="2">
        <f>VLOOKUP(A:A,MASTER!A:D,4,0)</f>
        <v>5</v>
      </c>
      <c r="M46" s="2">
        <f>VLOOKUP(A:A,MASTER!A:I,9,0)</f>
        <v>5</v>
      </c>
      <c r="N46" s="12">
        <f t="shared" si="2"/>
        <v>0</v>
      </c>
      <c r="O46" s="1">
        <f>VLOOKUP(A:A,MASTER!A:C,3,0)</f>
        <v>5</v>
      </c>
      <c r="P46" s="1">
        <f>VLOOKUP(A:A,MASTER!A:H,8,0)</f>
        <v>5</v>
      </c>
      <c r="Q46" s="12">
        <f t="shared" si="3"/>
        <v>0</v>
      </c>
      <c r="R46" s="1">
        <f>VLOOKUP(A:A,MASTER!A:B,2,0)</f>
        <v>897</v>
      </c>
      <c r="S46">
        <f>VLOOKUP(A:A,MASTER!A:G,7,0)</f>
        <v>918</v>
      </c>
      <c r="T46" s="12">
        <f t="shared" si="4"/>
        <v>2.3411371237458178E-2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78296418.113837361</v>
      </c>
      <c r="G47" s="1">
        <f>VLOOKUP(A:A,MASTER!A:K,11,0)</f>
        <v>88011612.308659077</v>
      </c>
      <c r="H47" s="12">
        <f t="shared" si="0"/>
        <v>0.12408223043736832</v>
      </c>
      <c r="I47" s="2">
        <f>VLOOKUP(A:A,MASTER!A:E,5,0)</f>
        <v>1054</v>
      </c>
      <c r="J47" s="2">
        <f>VLOOKUP(A:A,MASTER!A:J,10,0)</f>
        <v>1486</v>
      </c>
      <c r="K47" s="12">
        <f t="shared" si="1"/>
        <v>0.40986717267552186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24</v>
      </c>
      <c r="P47" s="1">
        <f>VLOOKUP(A:A,MASTER!A:H,8,0)</f>
        <v>10</v>
      </c>
      <c r="Q47" s="12">
        <f t="shared" si="3"/>
        <v>-0.58333333333333326</v>
      </c>
      <c r="R47" s="1">
        <f>VLOOKUP(A:A,MASTER!A:B,2,0)</f>
        <v>1321</v>
      </c>
      <c r="S47">
        <f>VLOOKUP(A:A,MASTER!A:G,7,0)</f>
        <v>1410</v>
      </c>
      <c r="T47" s="12">
        <f t="shared" si="4"/>
        <v>6.737320211960629E-2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40910861.587088168</v>
      </c>
      <c r="G48" s="1">
        <f>VLOOKUP(A:A,MASTER!A:K,11,0)</f>
        <v>43944052.034776092</v>
      </c>
      <c r="H48" s="12">
        <f t="shared" si="0"/>
        <v>7.4141446305917569E-2</v>
      </c>
      <c r="I48" s="2">
        <f>VLOOKUP(A:A,MASTER!A:E,5,0)</f>
        <v>404</v>
      </c>
      <c r="J48" s="2">
        <f>VLOOKUP(A:A,MASTER!A:J,10,0)</f>
        <v>419</v>
      </c>
      <c r="K48" s="12">
        <f t="shared" si="1"/>
        <v>3.7128712871287162E-2</v>
      </c>
      <c r="L48" s="2">
        <f>VLOOKUP(A:A,MASTER!A:D,4,0)</f>
        <v>5</v>
      </c>
      <c r="M48" s="2">
        <f>VLOOKUP(A:A,MASTER!A:I,9,0)</f>
        <v>5</v>
      </c>
      <c r="N48" s="12">
        <f t="shared" si="2"/>
        <v>0</v>
      </c>
      <c r="O48" s="1">
        <f>VLOOKUP(A:A,MASTER!A:C,3,0)</f>
        <v>10</v>
      </c>
      <c r="P48" s="1">
        <f>VLOOKUP(A:A,MASTER!A:H,8,0)</f>
        <v>4</v>
      </c>
      <c r="Q48" s="12">
        <f t="shared" si="3"/>
        <v>-0.6</v>
      </c>
      <c r="R48" s="1">
        <f>VLOOKUP(A:A,MASTER!A:B,2,0)</f>
        <v>475</v>
      </c>
      <c r="S48">
        <f>VLOOKUP(A:A,MASTER!A:G,7,0)</f>
        <v>467</v>
      </c>
      <c r="T48" s="12">
        <f t="shared" si="4"/>
        <v>-1.684210526315788E-2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36041484.484610498</v>
      </c>
      <c r="G49" s="1">
        <f>VLOOKUP(A:A,MASTER!A:K,11,0)</f>
        <v>33887804.750144497</v>
      </c>
      <c r="H49" s="12">
        <f t="shared" si="0"/>
        <v>-5.975557791981656E-2</v>
      </c>
      <c r="I49" s="2">
        <f>VLOOKUP(A:A,MASTER!A:E,5,0)</f>
        <v>340</v>
      </c>
      <c r="J49" s="2">
        <f>VLOOKUP(A:A,MASTER!A:J,10,0)</f>
        <v>372</v>
      </c>
      <c r="K49" s="12">
        <f t="shared" si="1"/>
        <v>9.4117647058823639E-2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4</v>
      </c>
      <c r="P49" s="1">
        <f>VLOOKUP(A:A,MASTER!A:H,8,0)</f>
        <v>4</v>
      </c>
      <c r="Q49" s="12">
        <f t="shared" si="3"/>
        <v>0</v>
      </c>
      <c r="R49" s="1">
        <f>VLOOKUP(A:A,MASTER!A:B,2,0)</f>
        <v>455</v>
      </c>
      <c r="S49">
        <f>VLOOKUP(A:A,MASTER!A:G,7,0)</f>
        <v>463</v>
      </c>
      <c r="T49" s="12">
        <f t="shared" si="4"/>
        <v>1.758241758241752E-2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30535385.131212272</v>
      </c>
      <c r="G50" s="1">
        <f>VLOOKUP(A:A,MASTER!A:K,11,0)</f>
        <v>30136481.865516089</v>
      </c>
      <c r="H50" s="12">
        <f t="shared" si="0"/>
        <v>-1.3063639576906372E-2</v>
      </c>
      <c r="I50" s="2">
        <f>VLOOKUP(A:A,MASTER!A:E,5,0)</f>
        <v>337</v>
      </c>
      <c r="J50" s="2">
        <f>VLOOKUP(A:A,MASTER!A:J,10,0)</f>
        <v>539</v>
      </c>
      <c r="K50" s="12">
        <f t="shared" si="1"/>
        <v>0.59940652818991103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13</v>
      </c>
      <c r="P50" s="1">
        <f>VLOOKUP(A:A,MASTER!A:H,8,0)</f>
        <v>5</v>
      </c>
      <c r="Q50" s="12">
        <f t="shared" si="3"/>
        <v>-0.61538461538461542</v>
      </c>
      <c r="R50" s="1">
        <f>VLOOKUP(A:A,MASTER!A:B,2,0)</f>
        <v>426</v>
      </c>
      <c r="S50">
        <f>VLOOKUP(A:A,MASTER!A:G,7,0)</f>
        <v>402</v>
      </c>
      <c r="T50" s="12">
        <f t="shared" si="4"/>
        <v>-5.633802816901412E-2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66872222.748142861</v>
      </c>
      <c r="G51" s="1">
        <f>VLOOKUP(A:A,MASTER!A:K,11,0)</f>
        <v>66927080.335118935</v>
      </c>
      <c r="H51" s="12">
        <f t="shared" si="0"/>
        <v>8.2033443366591463E-4</v>
      </c>
      <c r="I51" s="2">
        <f>VLOOKUP(A:A,MASTER!A:E,5,0)</f>
        <v>914</v>
      </c>
      <c r="J51" s="2">
        <f>VLOOKUP(A:A,MASTER!A:J,10,0)</f>
        <v>992</v>
      </c>
      <c r="K51" s="12">
        <f t="shared" si="1"/>
        <v>8.5339168490153217E-2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8</v>
      </c>
      <c r="P51" s="1">
        <f>VLOOKUP(A:A,MASTER!A:H,8,0)</f>
        <v>13</v>
      </c>
      <c r="Q51" s="12">
        <f t="shared" si="3"/>
        <v>0.625</v>
      </c>
      <c r="R51" s="1">
        <f>VLOOKUP(A:A,MASTER!A:B,2,0)</f>
        <v>1118</v>
      </c>
      <c r="S51">
        <f>VLOOKUP(A:A,MASTER!A:G,7,0)</f>
        <v>1084</v>
      </c>
      <c r="T51" s="12">
        <f t="shared" si="4"/>
        <v>-3.0411449016100156E-2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68316728.963398054</v>
      </c>
      <c r="G52" s="1">
        <f>VLOOKUP(A:A,MASTER!A:K,11,0)</f>
        <v>61353516.891714849</v>
      </c>
      <c r="H52" s="12">
        <f t="shared" si="0"/>
        <v>-0.10192543140368848</v>
      </c>
      <c r="I52" s="2">
        <f>VLOOKUP(A:A,MASTER!A:E,5,0)</f>
        <v>701</v>
      </c>
      <c r="J52" s="2">
        <f>VLOOKUP(A:A,MASTER!A:J,10,0)</f>
        <v>1295</v>
      </c>
      <c r="K52" s="12">
        <f t="shared" si="1"/>
        <v>0.84736091298145499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17</v>
      </c>
      <c r="P52" s="1">
        <f>VLOOKUP(A:A,MASTER!A:H,8,0)</f>
        <v>11</v>
      </c>
      <c r="Q52" s="12">
        <f t="shared" si="3"/>
        <v>-0.3529411764705882</v>
      </c>
      <c r="R52" s="1">
        <f>VLOOKUP(A:A,MASTER!A:B,2,0)</f>
        <v>952</v>
      </c>
      <c r="S52">
        <f>VLOOKUP(A:A,MASTER!A:G,7,0)</f>
        <v>955</v>
      </c>
      <c r="T52" s="12">
        <f t="shared" si="4"/>
        <v>3.1512605042016695E-3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108998831.17178464</v>
      </c>
      <c r="G53" s="1">
        <f>VLOOKUP(A:A,MASTER!A:K,11,0)</f>
        <v>131068684.17085291</v>
      </c>
      <c r="H53" s="12">
        <f t="shared" si="0"/>
        <v>0.20247788679757206</v>
      </c>
      <c r="I53" s="2">
        <f>VLOOKUP(A:A,MASTER!A:E,5,0)</f>
        <v>1590</v>
      </c>
      <c r="J53" s="2">
        <f>VLOOKUP(A:A,MASTER!A:J,10,0)</f>
        <v>1997</v>
      </c>
      <c r="K53" s="12">
        <f t="shared" si="1"/>
        <v>0.25597484276729565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45</v>
      </c>
      <c r="P53" s="1">
        <f>VLOOKUP(A:A,MASTER!A:H,8,0)</f>
        <v>20</v>
      </c>
      <c r="Q53" s="12">
        <f t="shared" si="3"/>
        <v>-0.55555555555555558</v>
      </c>
      <c r="R53" s="1">
        <f>VLOOKUP(A:A,MASTER!A:B,2,0)</f>
        <v>1997</v>
      </c>
      <c r="S53">
        <f>VLOOKUP(A:A,MASTER!A:G,7,0)</f>
        <v>2013</v>
      </c>
      <c r="T53" s="12">
        <f t="shared" si="4"/>
        <v>8.0120180270406571E-3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31333241.516394194</v>
      </c>
      <c r="G54" s="1">
        <f>VLOOKUP(A:A,MASTER!A:K,11,0)</f>
        <v>32076597.846333697</v>
      </c>
      <c r="H54" s="12">
        <f t="shared" si="0"/>
        <v>2.3724207709264977E-2</v>
      </c>
      <c r="I54" s="2">
        <f>VLOOKUP(A:A,MASTER!A:E,5,0)</f>
        <v>513</v>
      </c>
      <c r="J54" s="2">
        <f>VLOOKUP(A:A,MASTER!A:J,10,0)</f>
        <v>662</v>
      </c>
      <c r="K54" s="12">
        <f t="shared" si="1"/>
        <v>0.29044834307992207</v>
      </c>
      <c r="L54" s="2">
        <f>VLOOKUP(A:A,MASTER!A:D,4,0)</f>
        <v>0</v>
      </c>
      <c r="M54" s="2">
        <f>VLOOKUP(A:A,MASTER!A:I,9,0)</f>
        <v>1</v>
      </c>
      <c r="N54" s="12">
        <f t="shared" si="2"/>
        <v>0</v>
      </c>
      <c r="O54" s="1">
        <f>VLOOKUP(A:A,MASTER!A:C,3,0)</f>
        <v>4</v>
      </c>
      <c r="P54" s="1">
        <f>VLOOKUP(A:A,MASTER!A:H,8,0)</f>
        <v>5</v>
      </c>
      <c r="Q54" s="12">
        <f t="shared" si="3"/>
        <v>0.25</v>
      </c>
      <c r="R54" s="1">
        <f>VLOOKUP(A:A,MASTER!A:B,2,0)</f>
        <v>681</v>
      </c>
      <c r="S54">
        <f>VLOOKUP(A:A,MASTER!A:G,7,0)</f>
        <v>645</v>
      </c>
      <c r="T54" s="12">
        <f t="shared" si="4"/>
        <v>-5.2863436123347984E-2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50748655.29993809</v>
      </c>
      <c r="G55" s="1">
        <f>VLOOKUP(A:A,MASTER!A:K,11,0)</f>
        <v>56151440.695990674</v>
      </c>
      <c r="H55" s="12">
        <f t="shared" si="0"/>
        <v>0.1064616464046324</v>
      </c>
      <c r="I55" s="2">
        <f>VLOOKUP(A:A,MASTER!A:E,5,0)</f>
        <v>895</v>
      </c>
      <c r="J55" s="2">
        <f>VLOOKUP(A:A,MASTER!A:J,10,0)</f>
        <v>819</v>
      </c>
      <c r="K55" s="12">
        <f t="shared" si="1"/>
        <v>-8.4916201117318457E-2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13</v>
      </c>
      <c r="P55" s="1">
        <f>VLOOKUP(A:A,MASTER!A:H,8,0)</f>
        <v>9</v>
      </c>
      <c r="Q55" s="12">
        <f t="shared" si="3"/>
        <v>-0.30769230769230771</v>
      </c>
      <c r="R55" s="1">
        <f>VLOOKUP(A:A,MASTER!A:B,2,0)</f>
        <v>868</v>
      </c>
      <c r="S55">
        <f>VLOOKUP(A:A,MASTER!A:G,7,0)</f>
        <v>896</v>
      </c>
      <c r="T55" s="12">
        <f t="shared" si="4"/>
        <v>3.2258064516129004E-2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37850193.019122608</v>
      </c>
      <c r="G56" s="1">
        <f>VLOOKUP(A:A,MASTER!A:K,11,0)</f>
        <v>33427233.422286976</v>
      </c>
      <c r="H56" s="12">
        <f t="shared" si="0"/>
        <v>-0.11685434720507426</v>
      </c>
      <c r="I56" s="2">
        <f>VLOOKUP(A:A,MASTER!A:E,5,0)</f>
        <v>603</v>
      </c>
      <c r="J56" s="2">
        <f>VLOOKUP(A:A,MASTER!A:J,10,0)</f>
        <v>701</v>
      </c>
      <c r="K56" s="12">
        <f t="shared" si="1"/>
        <v>0.16252072968490872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4</v>
      </c>
      <c r="P56" s="1">
        <f>VLOOKUP(A:A,MASTER!A:H,8,0)</f>
        <v>4</v>
      </c>
      <c r="Q56" s="12">
        <f t="shared" si="3"/>
        <v>0</v>
      </c>
      <c r="R56" s="1">
        <f>VLOOKUP(A:A,MASTER!A:B,2,0)</f>
        <v>775</v>
      </c>
      <c r="S56">
        <f>VLOOKUP(A:A,MASTER!A:G,7,0)</f>
        <v>679</v>
      </c>
      <c r="T56" s="12">
        <f t="shared" si="4"/>
        <v>-0.12387096774193551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67940087.4120657</v>
      </c>
      <c r="G57" s="1">
        <f>VLOOKUP(A:A,MASTER!A:K,11,0)</f>
        <v>71491205.310069069</v>
      </c>
      <c r="H57" s="12">
        <f t="shared" si="0"/>
        <v>5.2268373993477057E-2</v>
      </c>
      <c r="I57" s="2">
        <f>VLOOKUP(A:A,MASTER!A:E,5,0)</f>
        <v>1090</v>
      </c>
      <c r="J57" s="2">
        <f>VLOOKUP(A:A,MASTER!A:J,10,0)</f>
        <v>1004</v>
      </c>
      <c r="K57" s="12">
        <f t="shared" si="1"/>
        <v>-7.8899082568807288E-2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17</v>
      </c>
      <c r="P57" s="1">
        <f>VLOOKUP(A:A,MASTER!A:H,8,0)</f>
        <v>11</v>
      </c>
      <c r="Q57" s="12">
        <f t="shared" si="3"/>
        <v>-0.3529411764705882</v>
      </c>
      <c r="R57" s="1">
        <f>VLOOKUP(A:A,MASTER!A:B,2,0)</f>
        <v>1091</v>
      </c>
      <c r="S57">
        <f>VLOOKUP(A:A,MASTER!A:G,7,0)</f>
        <v>1086</v>
      </c>
      <c r="T57" s="12">
        <f t="shared" si="4"/>
        <v>-4.5829514207149646E-3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88311541.101716354</v>
      </c>
      <c r="G58" s="1">
        <f>VLOOKUP(A:A,MASTER!A:K,11,0)</f>
        <v>92210309.102681711</v>
      </c>
      <c r="H58" s="12">
        <f t="shared" si="0"/>
        <v>4.4147887720301426E-2</v>
      </c>
      <c r="I58" s="2">
        <f>VLOOKUP(A:A,MASTER!A:E,5,0)</f>
        <v>1449</v>
      </c>
      <c r="J58" s="2">
        <f>VLOOKUP(A:A,MASTER!A:J,10,0)</f>
        <v>1601</v>
      </c>
      <c r="K58" s="12">
        <f t="shared" si="1"/>
        <v>0.10489993098688744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21</v>
      </c>
      <c r="P58" s="1">
        <f>VLOOKUP(A:A,MASTER!A:H,8,0)</f>
        <v>19</v>
      </c>
      <c r="Q58" s="12">
        <f t="shared" si="3"/>
        <v>-9.5238095238095233E-2</v>
      </c>
      <c r="R58" s="1">
        <f>VLOOKUP(A:A,MASTER!A:B,2,0)</f>
        <v>1343</v>
      </c>
      <c r="S58">
        <f>VLOOKUP(A:A,MASTER!A:G,7,0)</f>
        <v>1583</v>
      </c>
      <c r="T58" s="12">
        <f t="shared" si="4"/>
        <v>0.17870439314966502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44303287.711743765</v>
      </c>
      <c r="G59" s="1">
        <f>VLOOKUP(A:A,MASTER!A:K,11,0)</f>
        <v>49135178.517954752</v>
      </c>
      <c r="H59" s="12">
        <f t="shared" si="0"/>
        <v>0.10906393307985063</v>
      </c>
      <c r="I59" s="2">
        <f>VLOOKUP(A:A,MASTER!A:E,5,0)</f>
        <v>711</v>
      </c>
      <c r="J59" s="2">
        <f>VLOOKUP(A:A,MASTER!A:J,10,0)</f>
        <v>815</v>
      </c>
      <c r="K59" s="12">
        <f t="shared" si="1"/>
        <v>0.14627285513361454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7</v>
      </c>
      <c r="P59" s="1">
        <f>VLOOKUP(A:A,MASTER!A:H,8,0)</f>
        <v>9</v>
      </c>
      <c r="Q59" s="12">
        <f t="shared" si="3"/>
        <v>0.28571428571428581</v>
      </c>
      <c r="R59" s="1">
        <f>VLOOKUP(A:A,MASTER!A:B,2,0)</f>
        <v>783</v>
      </c>
      <c r="S59">
        <f>VLOOKUP(A:A,MASTER!A:G,7,0)</f>
        <v>783</v>
      </c>
      <c r="T59" s="12">
        <f t="shared" si="4"/>
        <v>0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51724039.909942903</v>
      </c>
      <c r="G60" s="1">
        <f>VLOOKUP(A:A,MASTER!A:K,11,0)</f>
        <v>50445820.395487115</v>
      </c>
      <c r="H60" s="12">
        <f t="shared" si="0"/>
        <v>-2.4712290777775814E-2</v>
      </c>
      <c r="I60" s="2">
        <f>VLOOKUP(A:A,MASTER!A:E,5,0)</f>
        <v>474</v>
      </c>
      <c r="J60" s="2">
        <f>VLOOKUP(A:A,MASTER!A:J,10,0)</f>
        <v>404</v>
      </c>
      <c r="K60" s="12">
        <f t="shared" si="1"/>
        <v>-0.14767932489451474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11</v>
      </c>
      <c r="P60" s="1">
        <f>VLOOKUP(A:A,MASTER!A:H,8,0)</f>
        <v>15</v>
      </c>
      <c r="Q60" s="12">
        <f t="shared" si="3"/>
        <v>0.36363636363636354</v>
      </c>
      <c r="R60" s="1">
        <f>VLOOKUP(A:A,MASTER!A:B,2,0)</f>
        <v>667</v>
      </c>
      <c r="S60">
        <f>VLOOKUP(A:A,MASTER!A:G,7,0)</f>
        <v>630</v>
      </c>
      <c r="T60" s="12">
        <f t="shared" si="4"/>
        <v>-5.5472263868065919E-2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146411028.60500509</v>
      </c>
      <c r="G61" s="1">
        <f>VLOOKUP(A:A,MASTER!A:K,11,0)</f>
        <v>172554469.58894762</v>
      </c>
      <c r="H61" s="12">
        <f t="shared" si="0"/>
        <v>0.17856196512677758</v>
      </c>
      <c r="I61" s="2">
        <f>VLOOKUP(A:A,MASTER!A:E,5,0)</f>
        <v>1745</v>
      </c>
      <c r="J61" s="2">
        <f>VLOOKUP(A:A,MASTER!A:J,10,0)</f>
        <v>1755</v>
      </c>
      <c r="K61" s="12">
        <f t="shared" si="1"/>
        <v>5.7306590257879542E-3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36</v>
      </c>
      <c r="P61" s="1">
        <f>VLOOKUP(A:A,MASTER!A:H,8,0)</f>
        <v>24</v>
      </c>
      <c r="Q61" s="12">
        <f t="shared" si="3"/>
        <v>-0.33333333333333337</v>
      </c>
      <c r="R61" s="1">
        <f>VLOOKUP(A:A,MASTER!A:B,2,0)</f>
        <v>2024</v>
      </c>
      <c r="S61">
        <f>VLOOKUP(A:A,MASTER!A:G,7,0)</f>
        <v>1989</v>
      </c>
      <c r="T61" s="12">
        <f t="shared" si="4"/>
        <v>-1.7292490118577031E-2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115824848.60294679</v>
      </c>
      <c r="G62" s="1">
        <f>VLOOKUP(A:A,MASTER!A:K,11,0)</f>
        <v>130937672.35343465</v>
      </c>
      <c r="H62" s="12">
        <f t="shared" si="0"/>
        <v>0.13047997845691439</v>
      </c>
      <c r="I62" s="2">
        <f>VLOOKUP(A:A,MASTER!A:E,5,0)</f>
        <v>980</v>
      </c>
      <c r="J62" s="2">
        <f>VLOOKUP(A:A,MASTER!A:J,10,0)</f>
        <v>1365</v>
      </c>
      <c r="K62" s="12">
        <f t="shared" si="1"/>
        <v>0.39285714285714279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31</v>
      </c>
      <c r="P62" s="1">
        <f>VLOOKUP(A:A,MASTER!A:H,8,0)</f>
        <v>32</v>
      </c>
      <c r="Q62" s="12">
        <f t="shared" si="3"/>
        <v>3.2258064516129004E-2</v>
      </c>
      <c r="R62" s="1">
        <f>VLOOKUP(A:A,MASTER!A:B,2,0)</f>
        <v>1558</v>
      </c>
      <c r="S62">
        <f>VLOOKUP(A:A,MASTER!A:G,7,0)</f>
        <v>1576</v>
      </c>
      <c r="T62" s="12">
        <f t="shared" si="4"/>
        <v>1.1553273427471034E-2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77715507.601281524</v>
      </c>
      <c r="G63" s="1">
        <f>VLOOKUP(A:A,MASTER!A:K,11,0)</f>
        <v>84586194.967881054</v>
      </c>
      <c r="H63" s="12">
        <f t="shared" si="0"/>
        <v>8.8408190059692027E-2</v>
      </c>
      <c r="I63" s="2">
        <f>VLOOKUP(A:A,MASTER!A:E,5,0)</f>
        <v>854</v>
      </c>
      <c r="J63" s="2">
        <f>VLOOKUP(A:A,MASTER!A:J,10,0)</f>
        <v>765</v>
      </c>
      <c r="K63" s="12">
        <f t="shared" si="1"/>
        <v>-0.10421545667447307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4</v>
      </c>
      <c r="P63" s="1">
        <f>VLOOKUP(A:A,MASTER!A:H,8,0)</f>
        <v>14</v>
      </c>
      <c r="Q63" s="12">
        <f t="shared" si="3"/>
        <v>2.5</v>
      </c>
      <c r="R63" s="1">
        <f>VLOOKUP(A:A,MASTER!A:B,2,0)</f>
        <v>869</v>
      </c>
      <c r="S63">
        <f>VLOOKUP(A:A,MASTER!A:G,7,0)</f>
        <v>902</v>
      </c>
      <c r="T63" s="12">
        <f t="shared" si="4"/>
        <v>3.7974683544303778E-2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117678132.42768428</v>
      </c>
      <c r="G64" s="1">
        <f>VLOOKUP(A:A,MASTER!A:K,11,0)</f>
        <v>119244489.13473912</v>
      </c>
      <c r="H64" s="12">
        <f t="shared" si="0"/>
        <v>1.3310516361375813E-2</v>
      </c>
      <c r="I64" s="2">
        <f>VLOOKUP(A:A,MASTER!A:E,5,0)</f>
        <v>1430</v>
      </c>
      <c r="J64" s="2">
        <f>VLOOKUP(A:A,MASTER!A:J,10,0)</f>
        <v>1378</v>
      </c>
      <c r="K64" s="12">
        <f t="shared" si="1"/>
        <v>-3.6363636363636376E-2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575</v>
      </c>
      <c r="P64" s="1">
        <f>VLOOKUP(A:A,MASTER!A:H,8,0)</f>
        <v>742</v>
      </c>
      <c r="Q64" s="12">
        <f t="shared" si="3"/>
        <v>0.29043478260869571</v>
      </c>
      <c r="R64" s="1">
        <f>VLOOKUP(A:A,MASTER!A:B,2,0)</f>
        <v>2131</v>
      </c>
      <c r="S64">
        <f>VLOOKUP(A:A,MASTER!A:G,7,0)</f>
        <v>2269</v>
      </c>
      <c r="T64" s="12">
        <f t="shared" si="4"/>
        <v>6.4758329422806238E-2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8150394.6965789609</v>
      </c>
      <c r="G65" s="1">
        <f>VLOOKUP(A:A,MASTER!A:K,11,0)</f>
        <v>6532904.3248588787</v>
      </c>
      <c r="H65" s="12">
        <f t="shared" si="0"/>
        <v>-0.19845546527936941</v>
      </c>
      <c r="I65" s="2">
        <f>VLOOKUP(A:A,MASTER!A:E,5,0)</f>
        <v>104</v>
      </c>
      <c r="J65" s="2">
        <f>VLOOKUP(A:A,MASTER!A:J,10,0)</f>
        <v>389</v>
      </c>
      <c r="K65" s="12">
        <f t="shared" si="1"/>
        <v>2.7403846153846154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1</v>
      </c>
      <c r="Q65" s="12">
        <f t="shared" si="3"/>
        <v>-0.5</v>
      </c>
      <c r="R65" s="1">
        <f>VLOOKUP(A:A,MASTER!A:B,2,0)</f>
        <v>257</v>
      </c>
      <c r="S65">
        <f>VLOOKUP(A:A,MASTER!A:G,7,0)</f>
        <v>232</v>
      </c>
      <c r="T65" s="12">
        <f t="shared" si="4"/>
        <v>-9.7276264591439676E-2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79867181.909764618</v>
      </c>
      <c r="G66" s="1">
        <f>VLOOKUP(A:A,MASTER!A:K,11,0)</f>
        <v>87077653.972053766</v>
      </c>
      <c r="H66" s="12">
        <f t="shared" si="0"/>
        <v>9.0280787300542009E-2</v>
      </c>
      <c r="I66" s="2">
        <f>VLOOKUP(A:A,MASTER!A:E,5,0)</f>
        <v>1321</v>
      </c>
      <c r="J66" s="2">
        <f>VLOOKUP(A:A,MASTER!A:J,10,0)</f>
        <v>1958</v>
      </c>
      <c r="K66" s="12">
        <f t="shared" si="1"/>
        <v>0.48221044663133994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7</v>
      </c>
      <c r="P66" s="1">
        <f>VLOOKUP(A:A,MASTER!A:H,8,0)</f>
        <v>21</v>
      </c>
      <c r="Q66" s="12">
        <f t="shared" si="3"/>
        <v>2</v>
      </c>
      <c r="R66" s="1">
        <f>VLOOKUP(A:A,MASTER!A:B,2,0)</f>
        <v>1680</v>
      </c>
      <c r="S66">
        <f>VLOOKUP(A:A,MASTER!A:G,7,0)</f>
        <v>1611</v>
      </c>
      <c r="T66" s="12">
        <f t="shared" si="4"/>
        <v>-4.1071428571428537E-2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38365061.693271451</v>
      </c>
      <c r="G67" s="1">
        <f>VLOOKUP(A:A,MASTER!A:K,11,0)</f>
        <v>40323121.286838889</v>
      </c>
      <c r="H67" s="12">
        <f t="shared" ref="H67:H85" si="5">IFERROR(G67/F67-1,0)</f>
        <v>5.1037571872609488E-2</v>
      </c>
      <c r="I67" s="2">
        <f>VLOOKUP(A:A,MASTER!A:E,5,0)</f>
        <v>589</v>
      </c>
      <c r="J67" s="2">
        <f>VLOOKUP(A:A,MASTER!A:J,10,0)</f>
        <v>799</v>
      </c>
      <c r="K67" s="12">
        <f t="shared" ref="K67:K85" si="6">IFERROR(J67/I67-1,0)</f>
        <v>0.35653650254668934</v>
      </c>
      <c r="L67" s="2">
        <f>VLOOKUP(A:A,MASTER!A:D,4,0)</f>
        <v>2</v>
      </c>
      <c r="M67" s="2">
        <f>VLOOKUP(A:A,MASTER!A:I,9,0)</f>
        <v>4</v>
      </c>
      <c r="N67" s="12">
        <f t="shared" ref="N67:N85" si="7">IFERROR(M67/L67-1,0)</f>
        <v>1</v>
      </c>
      <c r="O67" s="1">
        <f>VLOOKUP(A:A,MASTER!A:C,3,0)</f>
        <v>3</v>
      </c>
      <c r="P67" s="1">
        <f>VLOOKUP(A:A,MASTER!A:H,8,0)</f>
        <v>6</v>
      </c>
      <c r="Q67" s="12">
        <f t="shared" ref="Q67:Q85" si="8">IFERROR(P67/O67-1,0)</f>
        <v>1</v>
      </c>
      <c r="R67" s="1">
        <f>VLOOKUP(A:A,MASTER!A:B,2,0)</f>
        <v>692</v>
      </c>
      <c r="S67">
        <f>VLOOKUP(A:A,MASTER!A:G,7,0)</f>
        <v>783</v>
      </c>
      <c r="T67" s="12">
        <f t="shared" ref="T67:T85" si="9">IFERROR(S67/R67-1,0)</f>
        <v>0.13150289017341033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60797096.249348424</v>
      </c>
      <c r="G68" s="1">
        <f>VLOOKUP(A:A,MASTER!A:K,11,0)</f>
        <v>64638777.329260401</v>
      </c>
      <c r="H68" s="12">
        <f t="shared" si="5"/>
        <v>6.3188561903614771E-2</v>
      </c>
      <c r="I68" s="2">
        <f>VLOOKUP(A:A,MASTER!A:E,5,0)</f>
        <v>946</v>
      </c>
      <c r="J68" s="2">
        <f>VLOOKUP(A:A,MASTER!A:J,10,0)</f>
        <v>1784</v>
      </c>
      <c r="K68" s="12">
        <f t="shared" si="6"/>
        <v>0.88583509513742076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70</v>
      </c>
      <c r="P68" s="1">
        <f>VLOOKUP(A:A,MASTER!A:H,8,0)</f>
        <v>571</v>
      </c>
      <c r="Q68" s="12">
        <f t="shared" si="8"/>
        <v>7.1571428571428566</v>
      </c>
      <c r="R68" s="1">
        <f>VLOOKUP(A:A,MASTER!A:B,2,0)</f>
        <v>1355</v>
      </c>
      <c r="S68">
        <f>VLOOKUP(A:A,MASTER!A:G,7,0)</f>
        <v>1784</v>
      </c>
      <c r="T68" s="12">
        <f t="shared" si="9"/>
        <v>0.31660516605166045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33285544.902179357</v>
      </c>
      <c r="G69" s="1">
        <f>VLOOKUP(A:A,MASTER!A:K,11,0)</f>
        <v>45795908.217801906</v>
      </c>
      <c r="H69" s="12">
        <f t="shared" si="5"/>
        <v>0.37584973754788797</v>
      </c>
      <c r="I69" s="2">
        <f>VLOOKUP(A:A,MASTER!A:E,5,0)</f>
        <v>749</v>
      </c>
      <c r="J69" s="2">
        <f>VLOOKUP(A:A,MASTER!A:J,10,0)</f>
        <v>1416</v>
      </c>
      <c r="K69" s="12">
        <f t="shared" si="6"/>
        <v>0.89052069425901204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16</v>
      </c>
      <c r="P69" s="1">
        <f>VLOOKUP(A:A,MASTER!A:H,8,0)</f>
        <v>20</v>
      </c>
      <c r="Q69" s="12">
        <f t="shared" si="8"/>
        <v>0.25</v>
      </c>
      <c r="R69" s="1">
        <f>VLOOKUP(A:A,MASTER!A:B,2,0)</f>
        <v>1294</v>
      </c>
      <c r="S69">
        <f>VLOOKUP(A:A,MASTER!A:G,7,0)</f>
        <v>1277</v>
      </c>
      <c r="T69" s="12">
        <f t="shared" si="9"/>
        <v>-1.3137557959814528E-2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107337819.37929985</v>
      </c>
      <c r="G70" s="1">
        <f>VLOOKUP(A:A,MASTER!A:K,11,0)</f>
        <v>112048519.23492122</v>
      </c>
      <c r="H70" s="12">
        <f t="shared" si="5"/>
        <v>4.3886673707942192E-2</v>
      </c>
      <c r="I70" s="2">
        <f>VLOOKUP(A:A,MASTER!A:E,5,0)</f>
        <v>1184</v>
      </c>
      <c r="J70" s="2">
        <f>VLOOKUP(A:A,MASTER!A:J,10,0)</f>
        <v>1280</v>
      </c>
      <c r="K70" s="12">
        <f t="shared" si="6"/>
        <v>8.1081081081081141E-2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17</v>
      </c>
      <c r="P70" s="1">
        <f>VLOOKUP(A:A,MASTER!A:H,8,0)</f>
        <v>20</v>
      </c>
      <c r="Q70" s="12">
        <f t="shared" si="8"/>
        <v>0.17647058823529416</v>
      </c>
      <c r="R70" s="1">
        <f>VLOOKUP(A:A,MASTER!A:B,2,0)</f>
        <v>1756</v>
      </c>
      <c r="S70">
        <f>VLOOKUP(A:A,MASTER!A:G,7,0)</f>
        <v>1733</v>
      </c>
      <c r="T70" s="12">
        <f t="shared" si="9"/>
        <v>-1.3097949886104798E-2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21502059.060297526</v>
      </c>
      <c r="G71" s="1">
        <f>VLOOKUP(A:A,MASTER!A:K,11,0)</f>
        <v>22946957.096579328</v>
      </c>
      <c r="H71" s="12">
        <f t="shared" si="5"/>
        <v>6.7198124246144131E-2</v>
      </c>
      <c r="I71" s="2">
        <f>VLOOKUP(A:A,MASTER!A:E,5,0)</f>
        <v>418</v>
      </c>
      <c r="J71" s="2">
        <f>VLOOKUP(A:A,MASTER!A:J,10,0)</f>
        <v>828</v>
      </c>
      <c r="K71" s="12">
        <f t="shared" si="6"/>
        <v>0.98086124401913866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6</v>
      </c>
      <c r="P71" s="1">
        <f>VLOOKUP(A:A,MASTER!A:H,8,0)</f>
        <v>5</v>
      </c>
      <c r="Q71" s="12">
        <f t="shared" si="8"/>
        <v>-0.16666666666666663</v>
      </c>
      <c r="R71" s="1">
        <f>VLOOKUP(A:A,MASTER!A:B,2,0)</f>
        <v>486</v>
      </c>
      <c r="S71">
        <f>VLOOKUP(A:A,MASTER!A:G,7,0)</f>
        <v>512</v>
      </c>
      <c r="T71" s="12">
        <f t="shared" si="9"/>
        <v>5.3497942386831365E-2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35449227.213636845</v>
      </c>
      <c r="G72" s="1">
        <f>VLOOKUP(A:A,MASTER!A:K,11,0)</f>
        <v>36938563.248724274</v>
      </c>
      <c r="H72" s="12">
        <f t="shared" si="5"/>
        <v>4.2013215862559017E-2</v>
      </c>
      <c r="I72" s="2">
        <f>VLOOKUP(A:A,MASTER!A:E,5,0)</f>
        <v>912</v>
      </c>
      <c r="J72" s="2">
        <f>VLOOKUP(A:A,MASTER!A:J,10,0)</f>
        <v>852</v>
      </c>
      <c r="K72" s="12">
        <f t="shared" si="6"/>
        <v>-6.5789473684210509E-2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7</v>
      </c>
      <c r="P72" s="1">
        <f>VLOOKUP(A:A,MASTER!A:H,8,0)</f>
        <v>8</v>
      </c>
      <c r="Q72" s="12">
        <f t="shared" si="8"/>
        <v>0.14285714285714279</v>
      </c>
      <c r="R72" s="1">
        <f>VLOOKUP(A:A,MASTER!A:B,2,0)</f>
        <v>899</v>
      </c>
      <c r="S72">
        <f>VLOOKUP(A:A,MASTER!A:G,7,0)</f>
        <v>889</v>
      </c>
      <c r="T72" s="12">
        <f t="shared" si="9"/>
        <v>-1.1123470522803158E-2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24298337.725028269</v>
      </c>
      <c r="G73" s="1">
        <f>VLOOKUP(A:A,MASTER!A:K,11,0)</f>
        <v>36470875.750277907</v>
      </c>
      <c r="H73" s="12">
        <f t="shared" si="5"/>
        <v>0.50096175973023183</v>
      </c>
      <c r="I73" s="2">
        <f>VLOOKUP(A:A,MASTER!A:E,5,0)</f>
        <v>490</v>
      </c>
      <c r="J73" s="2">
        <f>VLOOKUP(A:A,MASTER!A:J,10,0)</f>
        <v>504</v>
      </c>
      <c r="K73" s="12">
        <f t="shared" si="6"/>
        <v>2.857142857142847E-2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647</v>
      </c>
      <c r="S73">
        <f>VLOOKUP(A:A,MASTER!A:G,7,0)</f>
        <v>628</v>
      </c>
      <c r="T73" s="12">
        <f t="shared" si="9"/>
        <v>-2.9366306027820754E-2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18571004.620179776</v>
      </c>
      <c r="G74" s="1">
        <f>VLOOKUP(A:A,MASTER!A:K,11,0)</f>
        <v>22920945.468146242</v>
      </c>
      <c r="H74" s="12">
        <f t="shared" si="5"/>
        <v>0.23423293122439359</v>
      </c>
      <c r="I74" s="2">
        <f>VLOOKUP(A:A,MASTER!A:E,5,0)</f>
        <v>707</v>
      </c>
      <c r="J74" s="2">
        <f>VLOOKUP(A:A,MASTER!A:J,10,0)</f>
        <v>723</v>
      </c>
      <c r="K74" s="12">
        <f t="shared" si="6"/>
        <v>2.2630834512022524E-2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7</v>
      </c>
      <c r="P74" s="1">
        <f>VLOOKUP(A:A,MASTER!A:H,8,0)</f>
        <v>7</v>
      </c>
      <c r="Q74" s="12">
        <f t="shared" si="8"/>
        <v>0</v>
      </c>
      <c r="R74" s="1">
        <f>VLOOKUP(A:A,MASTER!A:B,2,0)</f>
        <v>573</v>
      </c>
      <c r="S74">
        <f>VLOOKUP(A:A,MASTER!A:G,7,0)</f>
        <v>574</v>
      </c>
      <c r="T74" s="12">
        <f t="shared" si="9"/>
        <v>1.7452006980802626E-3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27079563.266161487</v>
      </c>
      <c r="G75" s="1">
        <f>VLOOKUP(A:A,MASTER!A:K,11,0)</f>
        <v>29489318.808605704</v>
      </c>
      <c r="H75" s="12">
        <f t="shared" si="5"/>
        <v>8.8987976606529573E-2</v>
      </c>
      <c r="I75" s="2">
        <f>VLOOKUP(A:A,MASTER!A:E,5,0)</f>
        <v>448</v>
      </c>
      <c r="J75" s="2">
        <f>VLOOKUP(A:A,MASTER!A:J,10,0)</f>
        <v>477</v>
      </c>
      <c r="K75" s="12">
        <f t="shared" si="6"/>
        <v>6.4732142857142794E-2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3</v>
      </c>
      <c r="Q75" s="12">
        <f t="shared" si="8"/>
        <v>-0.5</v>
      </c>
      <c r="R75" s="1">
        <f>VLOOKUP(A:A,MASTER!A:B,2,0)</f>
        <v>438</v>
      </c>
      <c r="S75">
        <f>VLOOKUP(A:A,MASTER!A:G,7,0)</f>
        <v>449</v>
      </c>
      <c r="T75" s="12">
        <f t="shared" si="9"/>
        <v>2.5114155251141579E-2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78884898.073723525</v>
      </c>
      <c r="G76" s="1">
        <f>VLOOKUP(A:A,MASTER!A:K,11,0)</f>
        <v>77661954.644499943</v>
      </c>
      <c r="H76" s="12">
        <f t="shared" si="5"/>
        <v>-1.550288406382494E-2</v>
      </c>
      <c r="I76" s="2">
        <f>VLOOKUP(A:A,MASTER!A:E,5,0)</f>
        <v>717</v>
      </c>
      <c r="J76" s="2">
        <f>VLOOKUP(A:A,MASTER!A:J,10,0)</f>
        <v>771</v>
      </c>
      <c r="K76" s="12">
        <f t="shared" si="6"/>
        <v>7.5313807531380839E-2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19</v>
      </c>
      <c r="P76" s="1">
        <f>VLOOKUP(A:A,MASTER!A:H,8,0)</f>
        <v>15</v>
      </c>
      <c r="Q76" s="12">
        <f t="shared" si="8"/>
        <v>-0.21052631578947367</v>
      </c>
      <c r="R76" s="1">
        <f>VLOOKUP(A:A,MASTER!A:B,2,0)</f>
        <v>969</v>
      </c>
      <c r="S76">
        <f>VLOOKUP(A:A,MASTER!A:G,7,0)</f>
        <v>905</v>
      </c>
      <c r="T76" s="12">
        <f t="shared" si="9"/>
        <v>-6.6047471620227061E-2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45766504.739536576</v>
      </c>
      <c r="G77" s="1">
        <f>VLOOKUP(A:A,MASTER!A:K,11,0)</f>
        <v>46302335.1406506</v>
      </c>
      <c r="H77" s="12">
        <f t="shared" si="5"/>
        <v>1.1707916175017319E-2</v>
      </c>
      <c r="I77" s="2">
        <f>VLOOKUP(A:A,MASTER!A:E,5,0)</f>
        <v>690</v>
      </c>
      <c r="J77" s="2">
        <f>VLOOKUP(A:A,MASTER!A:J,10,0)</f>
        <v>783</v>
      </c>
      <c r="K77" s="12">
        <f t="shared" si="6"/>
        <v>0.13478260869565228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8</v>
      </c>
      <c r="P77" s="1">
        <f>VLOOKUP(A:A,MASTER!A:H,8,0)</f>
        <v>6</v>
      </c>
      <c r="Q77" s="12">
        <f t="shared" si="8"/>
        <v>-0.25</v>
      </c>
      <c r="R77" s="1">
        <f>VLOOKUP(A:A,MASTER!A:B,2,0)</f>
        <v>783</v>
      </c>
      <c r="S77">
        <f>VLOOKUP(A:A,MASTER!A:G,7,0)</f>
        <v>782</v>
      </c>
      <c r="T77" s="12">
        <f t="shared" si="9"/>
        <v>-1.2771392081737387E-3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39157503.042012416</v>
      </c>
      <c r="G78" s="1">
        <f>VLOOKUP(A:A,MASTER!A:K,11,0)</f>
        <v>40430111.892943673</v>
      </c>
      <c r="H78" s="12">
        <f t="shared" si="5"/>
        <v>3.2499744673858855E-2</v>
      </c>
      <c r="I78" s="2">
        <f>VLOOKUP(A:A,MASTER!A:E,5,0)</f>
        <v>1057</v>
      </c>
      <c r="J78" s="2">
        <f>VLOOKUP(A:A,MASTER!A:J,10,0)</f>
        <v>1021</v>
      </c>
      <c r="K78" s="12">
        <f t="shared" si="6"/>
        <v>-3.4058656575212898E-2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10</v>
      </c>
      <c r="Q78" s="12">
        <f t="shared" si="8"/>
        <v>2.3333333333333335</v>
      </c>
      <c r="R78" s="1">
        <f>VLOOKUP(A:A,MASTER!A:B,2,0)</f>
        <v>940</v>
      </c>
      <c r="S78">
        <f>VLOOKUP(A:A,MASTER!A:G,7,0)</f>
        <v>947</v>
      </c>
      <c r="T78" s="12">
        <f t="shared" si="9"/>
        <v>7.4468085106382809E-3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43274303.296345375</v>
      </c>
      <c r="G79" s="1">
        <f>VLOOKUP(A:A,MASTER!A:K,11,0)</f>
        <v>43895304.951026574</v>
      </c>
      <c r="H79" s="12">
        <f t="shared" si="5"/>
        <v>1.4350355924358515E-2</v>
      </c>
      <c r="I79" s="2">
        <f>VLOOKUP(A:A,MASTER!A:E,5,0)</f>
        <v>896</v>
      </c>
      <c r="J79" s="2">
        <f>VLOOKUP(A:A,MASTER!A:J,10,0)</f>
        <v>912</v>
      </c>
      <c r="K79" s="12">
        <f t="shared" si="6"/>
        <v>1.7857142857142794E-2</v>
      </c>
      <c r="L79" s="2">
        <f>VLOOKUP(A:A,MASTER!A:D,4,0)</f>
        <v>5</v>
      </c>
      <c r="M79" s="2">
        <f>VLOOKUP(A:A,MASTER!A:I,9,0)</f>
        <v>5</v>
      </c>
      <c r="N79" s="12">
        <f t="shared" si="7"/>
        <v>0</v>
      </c>
      <c r="O79" s="1">
        <f>VLOOKUP(A:A,MASTER!A:C,3,0)</f>
        <v>9</v>
      </c>
      <c r="P79" s="1">
        <f>VLOOKUP(A:A,MASTER!A:H,8,0)</f>
        <v>6</v>
      </c>
      <c r="Q79" s="12">
        <f t="shared" si="8"/>
        <v>-0.33333333333333337</v>
      </c>
      <c r="R79" s="1">
        <f>VLOOKUP(A:A,MASTER!A:B,2,0)</f>
        <v>1004</v>
      </c>
      <c r="S79">
        <f>VLOOKUP(A:A,MASTER!A:G,7,0)</f>
        <v>947</v>
      </c>
      <c r="T79" s="12">
        <f t="shared" si="9"/>
        <v>-5.6772908366533814E-2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47720909.687600903</v>
      </c>
      <c r="G80" s="1">
        <f>VLOOKUP(A:A,MASTER!A:K,11,0)</f>
        <v>53829641.457936905</v>
      </c>
      <c r="H80" s="12">
        <f t="shared" si="5"/>
        <v>0.12800954152647281</v>
      </c>
      <c r="I80" s="2">
        <f>VLOOKUP(A:A,MASTER!A:E,5,0)</f>
        <v>675</v>
      </c>
      <c r="J80" s="2">
        <f>VLOOKUP(A:A,MASTER!A:J,10,0)</f>
        <v>801</v>
      </c>
      <c r="K80" s="12">
        <f t="shared" si="6"/>
        <v>0.18666666666666676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11</v>
      </c>
      <c r="P80" s="1">
        <f>VLOOKUP(A:A,MASTER!A:H,8,0)</f>
        <v>7</v>
      </c>
      <c r="Q80" s="12">
        <f t="shared" si="8"/>
        <v>-0.36363636363636365</v>
      </c>
      <c r="R80" s="1">
        <f>VLOOKUP(A:A,MASTER!A:B,2,0)</f>
        <v>757</v>
      </c>
      <c r="S80">
        <f>VLOOKUP(A:A,MASTER!A:G,7,0)</f>
        <v>760</v>
      </c>
      <c r="T80" s="12">
        <f t="shared" si="9"/>
        <v>3.9630118890356947E-3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20511449.818675995</v>
      </c>
      <c r="G81" s="1">
        <f>VLOOKUP(A:A,MASTER!A:K,11,0)</f>
        <v>24125242.285651583</v>
      </c>
      <c r="H81" s="12">
        <f t="shared" si="5"/>
        <v>0.17618415562634548</v>
      </c>
      <c r="I81" s="2">
        <f>VLOOKUP(A:A,MASTER!A:E,5,0)</f>
        <v>717</v>
      </c>
      <c r="J81" s="2">
        <f>VLOOKUP(A:A,MASTER!A:J,10,0)</f>
        <v>723</v>
      </c>
      <c r="K81" s="12">
        <f t="shared" si="6"/>
        <v>8.3682008368199945E-3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6</v>
      </c>
      <c r="Q81" s="12">
        <f t="shared" si="8"/>
        <v>2</v>
      </c>
      <c r="R81" s="1">
        <f>VLOOKUP(A:A,MASTER!A:B,2,0)</f>
        <v>568</v>
      </c>
      <c r="S81">
        <f>VLOOKUP(A:A,MASTER!A:G,7,0)</f>
        <v>591</v>
      </c>
      <c r="T81" s="12">
        <f t="shared" si="9"/>
        <v>4.0492957746478764E-2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90915719.57305482</v>
      </c>
      <c r="G82" s="1">
        <f>VLOOKUP(A:A,MASTER!A:K,11,0)</f>
        <v>106066568.13138729</v>
      </c>
      <c r="H82" s="12">
        <f t="shared" si="5"/>
        <v>0.16664718301171333</v>
      </c>
      <c r="I82" s="2">
        <f>VLOOKUP(A:A,MASTER!A:E,5,0)</f>
        <v>1300</v>
      </c>
      <c r="J82" s="2">
        <f>VLOOKUP(A:A,MASTER!A:J,10,0)</f>
        <v>1469</v>
      </c>
      <c r="K82" s="12">
        <f t="shared" si="6"/>
        <v>0.12999999999999989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11</v>
      </c>
      <c r="P82" s="1">
        <f>VLOOKUP(A:A,MASTER!A:H,8,0)</f>
        <v>15</v>
      </c>
      <c r="Q82" s="12">
        <f t="shared" si="8"/>
        <v>0.36363636363636354</v>
      </c>
      <c r="R82" s="1">
        <f>VLOOKUP(A:A,MASTER!A:B,2,0)</f>
        <v>1716</v>
      </c>
      <c r="S82">
        <f>VLOOKUP(A:A,MASTER!A:G,7,0)</f>
        <v>1768</v>
      </c>
      <c r="T82" s="12">
        <f t="shared" si="9"/>
        <v>3.0303030303030276E-2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25488931.309406608</v>
      </c>
      <c r="G83" s="1">
        <f>VLOOKUP(A:A,MASTER!A:K,11,0)</f>
        <v>25776965.738984022</v>
      </c>
      <c r="H83" s="12">
        <f t="shared" si="5"/>
        <v>1.1300372937609771E-2</v>
      </c>
      <c r="I83" s="2">
        <f>VLOOKUP(A:A,MASTER!A:E,5,0)</f>
        <v>670</v>
      </c>
      <c r="J83" s="2">
        <f>VLOOKUP(A:A,MASTER!A:J,10,0)</f>
        <v>852</v>
      </c>
      <c r="K83" s="12">
        <f t="shared" si="6"/>
        <v>0.27164179104477615</v>
      </c>
      <c r="L83" s="2">
        <f>VLOOKUP(A:A,MASTER!A:D,4,0)</f>
        <v>3</v>
      </c>
      <c r="M83" s="2">
        <f>VLOOKUP(A:A,MASTER!A:I,9,0)</f>
        <v>4</v>
      </c>
      <c r="N83" s="12">
        <f t="shared" si="7"/>
        <v>0.33333333333333326</v>
      </c>
      <c r="O83" s="1">
        <f>VLOOKUP(A:A,MASTER!A:C,3,0)</f>
        <v>10</v>
      </c>
      <c r="P83" s="1">
        <f>VLOOKUP(A:A,MASTER!A:H,8,0)</f>
        <v>3</v>
      </c>
      <c r="Q83" s="12">
        <f t="shared" si="8"/>
        <v>-0.7</v>
      </c>
      <c r="R83" s="1">
        <f>VLOOKUP(A:A,MASTER!A:B,2,0)</f>
        <v>616</v>
      </c>
      <c r="S83">
        <f>VLOOKUP(A:A,MASTER!A:G,7,0)</f>
        <v>653</v>
      </c>
      <c r="T83" s="12">
        <f t="shared" si="9"/>
        <v>6.0064935064935154E-2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41780973.990601853</v>
      </c>
      <c r="G84" s="1">
        <f>VLOOKUP(A:A,MASTER!A:K,11,0)</f>
        <v>45005446.133739471</v>
      </c>
      <c r="H84" s="12">
        <f t="shared" si="5"/>
        <v>7.7175609737171857E-2</v>
      </c>
      <c r="I84" s="2">
        <f>VLOOKUP(A:A,MASTER!A:E,5,0)</f>
        <v>542</v>
      </c>
      <c r="J84" s="2">
        <f>VLOOKUP(A:A,MASTER!A:J,10,0)</f>
        <v>686</v>
      </c>
      <c r="K84" s="12">
        <f t="shared" si="6"/>
        <v>0.26568265682656822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18</v>
      </c>
      <c r="P84" s="1">
        <f>VLOOKUP(A:A,MASTER!A:H,8,0)</f>
        <v>8</v>
      </c>
      <c r="Q84" s="12">
        <f t="shared" si="8"/>
        <v>-0.55555555555555558</v>
      </c>
      <c r="R84" s="1">
        <f>VLOOKUP(A:A,MASTER!A:B,2,0)</f>
        <v>590</v>
      </c>
      <c r="S84">
        <f>VLOOKUP(A:A,MASTER!A:G,7,0)</f>
        <v>675</v>
      </c>
      <c r="T84" s="12">
        <f t="shared" si="9"/>
        <v>0.14406779661016955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10540341.413477693</v>
      </c>
      <c r="G85" s="1">
        <f>VLOOKUP(A:A,MASTER!A:K,11,0)</f>
        <v>10331473.041449422</v>
      </c>
      <c r="H85" s="12">
        <f t="shared" si="5"/>
        <v>-1.9816091702797745E-2</v>
      </c>
      <c r="I85" s="2">
        <f>VLOOKUP(A:A,MASTER!A:E,5,0)</f>
        <v>332</v>
      </c>
      <c r="J85" s="2">
        <f>VLOOKUP(A:A,MASTER!A:J,10,0)</f>
        <v>388</v>
      </c>
      <c r="K85" s="12">
        <f t="shared" si="6"/>
        <v>0.16867469879518082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2</v>
      </c>
      <c r="Q85" s="12">
        <f t="shared" si="8"/>
        <v>-0.33333333333333337</v>
      </c>
      <c r="R85" s="1">
        <f>VLOOKUP(A:A,MASTER!A:B,2,0)</f>
        <v>355</v>
      </c>
      <c r="S85">
        <f>VLOOKUP(A:A,MASTER!A:G,7,0)</f>
        <v>364</v>
      </c>
      <c r="T85" s="12">
        <f t="shared" si="9"/>
        <v>2.5352112676056304E-2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84588</v>
      </c>
      <c r="C3" s="11">
        <f t="shared" si="0"/>
        <v>3514</v>
      </c>
      <c r="D3" s="11">
        <f t="shared" si="0"/>
        <v>313</v>
      </c>
      <c r="E3" s="11">
        <f t="shared" si="0"/>
        <v>69874</v>
      </c>
      <c r="F3" s="11">
        <f t="shared" si="0"/>
        <v>4446327208.8237066</v>
      </c>
      <c r="G3" s="11">
        <f t="shared" si="0"/>
        <v>84157</v>
      </c>
      <c r="H3" s="11">
        <f t="shared" si="0"/>
        <v>2942</v>
      </c>
      <c r="I3" s="11">
        <f t="shared" si="0"/>
        <v>319</v>
      </c>
      <c r="J3" s="11">
        <f t="shared" si="0"/>
        <v>86728</v>
      </c>
      <c r="K3" s="11">
        <f t="shared" si="0"/>
        <v>4694204886.7577677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402</v>
      </c>
      <c r="C6" s="10">
        <v>4</v>
      </c>
      <c r="D6" s="10">
        <v>2</v>
      </c>
      <c r="E6" s="10">
        <v>368</v>
      </c>
      <c r="F6" s="10">
        <v>20642931.641490418</v>
      </c>
      <c r="G6" s="10">
        <v>431</v>
      </c>
      <c r="H6" s="10">
        <v>4</v>
      </c>
      <c r="I6" s="10">
        <v>2</v>
      </c>
      <c r="J6" s="10">
        <v>509</v>
      </c>
      <c r="K6" s="10">
        <v>21091125.994085193</v>
      </c>
    </row>
    <row r="7" spans="1:11" x14ac:dyDescent="0.35">
      <c r="A7" s="9" t="s">
        <v>127</v>
      </c>
      <c r="B7" s="10">
        <v>641</v>
      </c>
      <c r="C7" s="10">
        <v>4</v>
      </c>
      <c r="D7" s="10">
        <v>1</v>
      </c>
      <c r="E7" s="10">
        <v>497</v>
      </c>
      <c r="F7" s="10">
        <v>24714324.971061837</v>
      </c>
      <c r="G7" s="10">
        <v>570</v>
      </c>
      <c r="H7" s="10">
        <v>6</v>
      </c>
      <c r="I7" s="10">
        <v>2</v>
      </c>
      <c r="J7" s="10">
        <v>636</v>
      </c>
      <c r="K7" s="10">
        <v>24403461.315314248</v>
      </c>
    </row>
    <row r="8" spans="1:11" x14ac:dyDescent="0.35">
      <c r="A8" s="9" t="s">
        <v>119</v>
      </c>
      <c r="B8" s="10">
        <v>716</v>
      </c>
      <c r="C8" s="10">
        <v>14</v>
      </c>
      <c r="D8" s="10">
        <v>2</v>
      </c>
      <c r="E8" s="10">
        <v>694</v>
      </c>
      <c r="F8" s="10">
        <v>32472893.154720239</v>
      </c>
      <c r="G8" s="10">
        <v>795</v>
      </c>
      <c r="H8" s="10">
        <v>14</v>
      </c>
      <c r="I8" s="10">
        <v>1</v>
      </c>
      <c r="J8" s="10">
        <v>1396</v>
      </c>
      <c r="K8" s="10">
        <v>37470970.024379425</v>
      </c>
    </row>
    <row r="9" spans="1:11" x14ac:dyDescent="0.35">
      <c r="A9" s="9" t="s">
        <v>121</v>
      </c>
      <c r="B9" s="10">
        <v>1213</v>
      </c>
      <c r="C9" s="10">
        <v>12</v>
      </c>
      <c r="D9" s="10">
        <v>3</v>
      </c>
      <c r="E9" s="10">
        <v>1007</v>
      </c>
      <c r="F9" s="10">
        <v>54300570.044022433</v>
      </c>
      <c r="G9" s="10">
        <v>1257</v>
      </c>
      <c r="H9" s="10">
        <v>14</v>
      </c>
      <c r="I9" s="10">
        <v>3</v>
      </c>
      <c r="J9" s="10">
        <v>1442</v>
      </c>
      <c r="K9" s="10">
        <v>57071781.210226648</v>
      </c>
    </row>
    <row r="10" spans="1:11" x14ac:dyDescent="0.35">
      <c r="A10" s="9" t="s">
        <v>123</v>
      </c>
      <c r="B10" s="10">
        <v>399</v>
      </c>
      <c r="C10" s="10">
        <v>4</v>
      </c>
      <c r="D10" s="10">
        <v>1</v>
      </c>
      <c r="E10" s="10">
        <v>264</v>
      </c>
      <c r="F10" s="10">
        <v>21346945.294374455</v>
      </c>
      <c r="G10" s="10">
        <v>381</v>
      </c>
      <c r="H10" s="10">
        <v>1</v>
      </c>
      <c r="I10" s="10">
        <v>1</v>
      </c>
      <c r="J10" s="10">
        <v>1062</v>
      </c>
      <c r="K10" s="10">
        <v>23973964.346699327</v>
      </c>
    </row>
    <row r="11" spans="1:11" x14ac:dyDescent="0.35">
      <c r="A11" s="9" t="s">
        <v>125</v>
      </c>
      <c r="B11" s="10">
        <v>369</v>
      </c>
      <c r="C11" s="10">
        <v>4</v>
      </c>
      <c r="D11" s="10">
        <v>2</v>
      </c>
      <c r="E11" s="10">
        <v>268</v>
      </c>
      <c r="F11" s="10">
        <v>18017515.854893707</v>
      </c>
      <c r="G11" s="10">
        <v>386</v>
      </c>
      <c r="H11" s="10">
        <v>5</v>
      </c>
      <c r="I11" s="10">
        <v>2</v>
      </c>
      <c r="J11" s="10">
        <v>637</v>
      </c>
      <c r="K11" s="10">
        <v>20070306.633792367</v>
      </c>
    </row>
    <row r="12" spans="1:11" x14ac:dyDescent="0.35">
      <c r="A12" s="9" t="s">
        <v>131</v>
      </c>
      <c r="B12" s="10">
        <v>591</v>
      </c>
      <c r="C12" s="10">
        <v>3</v>
      </c>
      <c r="D12" s="10">
        <v>1</v>
      </c>
      <c r="E12" s="10">
        <v>475</v>
      </c>
      <c r="F12" s="10">
        <v>20916490.201896995</v>
      </c>
      <c r="G12" s="10">
        <v>639</v>
      </c>
      <c r="H12" s="10">
        <v>3</v>
      </c>
      <c r="I12" s="10">
        <v>2</v>
      </c>
      <c r="J12" s="10">
        <v>893</v>
      </c>
      <c r="K12" s="10">
        <v>25938302.6663143</v>
      </c>
    </row>
    <row r="13" spans="1:11" x14ac:dyDescent="0.35">
      <c r="A13" s="9" t="s">
        <v>133</v>
      </c>
      <c r="B13" s="10">
        <v>171</v>
      </c>
      <c r="C13" s="10">
        <v>1</v>
      </c>
      <c r="D13" s="10">
        <v>1</v>
      </c>
      <c r="E13" s="10">
        <v>149</v>
      </c>
      <c r="F13" s="10">
        <v>10739736.696764195</v>
      </c>
      <c r="G13" s="10">
        <v>190</v>
      </c>
      <c r="H13" s="10">
        <v>0</v>
      </c>
      <c r="I13" s="10">
        <v>1</v>
      </c>
      <c r="J13" s="10">
        <v>523</v>
      </c>
      <c r="K13" s="10">
        <v>10271389.622364882</v>
      </c>
    </row>
    <row r="14" spans="1:11" x14ac:dyDescent="0.35">
      <c r="A14" s="9" t="s">
        <v>141</v>
      </c>
      <c r="B14" s="10">
        <v>200</v>
      </c>
      <c r="C14" s="10">
        <v>1</v>
      </c>
      <c r="D14" s="10">
        <v>1</v>
      </c>
      <c r="E14" s="10">
        <v>1</v>
      </c>
      <c r="F14" s="10">
        <v>8687640.6103717946</v>
      </c>
      <c r="G14" s="10">
        <v>190</v>
      </c>
      <c r="H14" s="10">
        <v>2</v>
      </c>
      <c r="I14" s="10">
        <v>1</v>
      </c>
      <c r="J14" s="10">
        <v>388</v>
      </c>
      <c r="K14" s="10">
        <v>7592612.6928478545</v>
      </c>
    </row>
    <row r="15" spans="1:11" x14ac:dyDescent="0.35">
      <c r="A15" s="9" t="s">
        <v>135</v>
      </c>
      <c r="B15" s="10">
        <v>355</v>
      </c>
      <c r="C15" s="10">
        <v>2</v>
      </c>
      <c r="D15" s="10">
        <v>1</v>
      </c>
      <c r="E15" s="10">
        <v>490</v>
      </c>
      <c r="F15" s="10">
        <v>15556244.436507285</v>
      </c>
      <c r="G15" s="10">
        <v>380</v>
      </c>
      <c r="H15" s="10">
        <v>5</v>
      </c>
      <c r="I15" s="10">
        <v>1</v>
      </c>
      <c r="J15" s="10">
        <v>838</v>
      </c>
      <c r="K15" s="10">
        <v>20609166.47847278</v>
      </c>
    </row>
    <row r="16" spans="1:11" x14ac:dyDescent="0.35">
      <c r="A16" s="9" t="s">
        <v>143</v>
      </c>
      <c r="B16" s="10">
        <v>197</v>
      </c>
      <c r="C16" s="10">
        <v>0</v>
      </c>
      <c r="D16" s="10">
        <v>1</v>
      </c>
      <c r="E16" s="10">
        <v>242</v>
      </c>
      <c r="F16" s="10">
        <v>7400717.794107859</v>
      </c>
      <c r="G16" s="10">
        <v>246</v>
      </c>
      <c r="H16" s="10">
        <v>0</v>
      </c>
      <c r="I16" s="10">
        <v>2</v>
      </c>
      <c r="J16" s="10">
        <v>825</v>
      </c>
      <c r="K16" s="10">
        <v>11176568.352693547</v>
      </c>
    </row>
    <row r="17" spans="1:11" x14ac:dyDescent="0.35">
      <c r="A17" s="9" t="s">
        <v>145</v>
      </c>
      <c r="B17" s="10">
        <v>251</v>
      </c>
      <c r="C17" s="10">
        <v>8</v>
      </c>
      <c r="D17" s="10">
        <v>1</v>
      </c>
      <c r="E17" s="10">
        <v>212</v>
      </c>
      <c r="F17" s="10">
        <v>10115041.094036292</v>
      </c>
      <c r="G17" s="10">
        <v>247</v>
      </c>
      <c r="H17" s="10">
        <v>3</v>
      </c>
      <c r="I17" s="10">
        <v>1</v>
      </c>
      <c r="J17" s="10">
        <v>545</v>
      </c>
      <c r="K17" s="10">
        <v>11507218.788533855</v>
      </c>
    </row>
    <row r="18" spans="1:11" x14ac:dyDescent="0.35">
      <c r="A18" s="9" t="s">
        <v>20</v>
      </c>
      <c r="B18" s="10">
        <v>1472</v>
      </c>
      <c r="C18" s="10">
        <v>4</v>
      </c>
      <c r="D18" s="10">
        <v>2</v>
      </c>
      <c r="E18" s="10">
        <v>1527</v>
      </c>
      <c r="F18" s="10">
        <v>34312438.506123811</v>
      </c>
      <c r="G18" s="10">
        <v>1320</v>
      </c>
      <c r="H18" s="10">
        <v>9</v>
      </c>
      <c r="I18" s="10">
        <v>4</v>
      </c>
      <c r="J18" s="10">
        <v>1333</v>
      </c>
      <c r="K18" s="10">
        <v>52696692.954297103</v>
      </c>
    </row>
    <row r="19" spans="1:11" x14ac:dyDescent="0.35">
      <c r="A19" s="9" t="s">
        <v>45</v>
      </c>
      <c r="B19" s="10">
        <v>1255</v>
      </c>
      <c r="C19" s="10">
        <v>4</v>
      </c>
      <c r="D19" s="10">
        <v>3</v>
      </c>
      <c r="E19" s="10">
        <v>891</v>
      </c>
      <c r="F19" s="10">
        <v>62800573.693027698</v>
      </c>
      <c r="G19" s="10">
        <v>1216</v>
      </c>
      <c r="H19" s="10">
        <v>6</v>
      </c>
      <c r="I19" s="10">
        <v>3</v>
      </c>
      <c r="J19" s="10">
        <v>992</v>
      </c>
      <c r="K19" s="10">
        <v>82479134.130091369</v>
      </c>
    </row>
    <row r="20" spans="1:11" x14ac:dyDescent="0.35">
      <c r="A20" s="9" t="s">
        <v>47</v>
      </c>
      <c r="B20" s="10">
        <v>1032</v>
      </c>
      <c r="C20" s="10">
        <v>5</v>
      </c>
      <c r="D20" s="10">
        <v>4</v>
      </c>
      <c r="E20" s="10">
        <v>920</v>
      </c>
      <c r="F20" s="10">
        <v>42493940.062202781</v>
      </c>
      <c r="G20" s="10">
        <v>1005</v>
      </c>
      <c r="H20" s="10">
        <v>6</v>
      </c>
      <c r="I20" s="10">
        <v>5</v>
      </c>
      <c r="J20" s="10">
        <v>1319</v>
      </c>
      <c r="K20" s="10">
        <v>43142646.555539481</v>
      </c>
    </row>
    <row r="21" spans="1:11" x14ac:dyDescent="0.35">
      <c r="A21" s="9" t="s">
        <v>49</v>
      </c>
      <c r="B21" s="10">
        <v>928</v>
      </c>
      <c r="C21" s="10">
        <v>2</v>
      </c>
      <c r="D21" s="10">
        <v>3</v>
      </c>
      <c r="E21" s="10">
        <v>571</v>
      </c>
      <c r="F21" s="10">
        <v>37735978.872022077</v>
      </c>
      <c r="G21" s="10">
        <v>918</v>
      </c>
      <c r="H21" s="10">
        <v>6</v>
      </c>
      <c r="I21" s="10">
        <v>3</v>
      </c>
      <c r="J21" s="10">
        <v>685</v>
      </c>
      <c r="K21" s="10">
        <v>36587976.195401303</v>
      </c>
    </row>
    <row r="22" spans="1:11" x14ac:dyDescent="0.35">
      <c r="A22" s="9" t="s">
        <v>51</v>
      </c>
      <c r="B22" s="10">
        <v>2904</v>
      </c>
      <c r="C22" s="10">
        <v>772</v>
      </c>
      <c r="D22" s="10">
        <v>10</v>
      </c>
      <c r="E22" s="10">
        <v>2089</v>
      </c>
      <c r="F22" s="10">
        <v>145864113.08022472</v>
      </c>
      <c r="G22" s="10">
        <v>2704</v>
      </c>
      <c r="H22" s="10">
        <v>196</v>
      </c>
      <c r="I22" s="10">
        <v>10</v>
      </c>
      <c r="J22" s="10">
        <v>2337</v>
      </c>
      <c r="K22" s="10">
        <v>152007113.63403118</v>
      </c>
    </row>
    <row r="23" spans="1:11" x14ac:dyDescent="0.35">
      <c r="A23" s="9" t="s">
        <v>53</v>
      </c>
      <c r="B23" s="10">
        <v>1413</v>
      </c>
      <c r="C23" s="10">
        <v>3</v>
      </c>
      <c r="D23" s="10">
        <v>3</v>
      </c>
      <c r="E23" s="10">
        <v>2326</v>
      </c>
      <c r="F23" s="10">
        <v>76294387.350392491</v>
      </c>
      <c r="G23" s="10">
        <v>1304</v>
      </c>
      <c r="H23" s="10">
        <v>11</v>
      </c>
      <c r="I23" s="10">
        <v>2</v>
      </c>
      <c r="J23" s="10">
        <v>1272</v>
      </c>
      <c r="K23" s="10">
        <v>61544701.23934117</v>
      </c>
    </row>
    <row r="24" spans="1:11" x14ac:dyDescent="0.35">
      <c r="A24" s="9" t="s">
        <v>55</v>
      </c>
      <c r="B24" s="10">
        <v>2969</v>
      </c>
      <c r="C24" s="10">
        <v>31</v>
      </c>
      <c r="D24" s="10">
        <v>11</v>
      </c>
      <c r="E24" s="10">
        <v>2204</v>
      </c>
      <c r="F24" s="10">
        <v>154267931.26976141</v>
      </c>
      <c r="G24" s="10">
        <v>2790</v>
      </c>
      <c r="H24" s="10">
        <v>30</v>
      </c>
      <c r="I24" s="10">
        <v>10</v>
      </c>
      <c r="J24" s="10">
        <v>2287</v>
      </c>
      <c r="K24" s="10">
        <v>162745336.17078468</v>
      </c>
    </row>
    <row r="25" spans="1:11" x14ac:dyDescent="0.35">
      <c r="A25" s="9" t="s">
        <v>67</v>
      </c>
      <c r="B25" s="10">
        <v>525</v>
      </c>
      <c r="C25" s="10">
        <v>6</v>
      </c>
      <c r="D25" s="10">
        <v>1</v>
      </c>
      <c r="E25" s="10">
        <v>450</v>
      </c>
      <c r="F25" s="10">
        <v>21537176.270469014</v>
      </c>
      <c r="G25" s="10">
        <v>497</v>
      </c>
      <c r="H25" s="10">
        <v>7</v>
      </c>
      <c r="I25" s="10">
        <v>1</v>
      </c>
      <c r="J25" s="10">
        <v>545</v>
      </c>
      <c r="K25" s="10">
        <v>23001866.727604609</v>
      </c>
    </row>
    <row r="26" spans="1:11" x14ac:dyDescent="0.35">
      <c r="A26" s="9" t="s">
        <v>74</v>
      </c>
      <c r="B26" s="10">
        <v>1762</v>
      </c>
      <c r="C26" s="10">
        <v>26</v>
      </c>
      <c r="D26" s="10">
        <v>1</v>
      </c>
      <c r="E26" s="10">
        <v>1297</v>
      </c>
      <c r="F26" s="10">
        <v>63035488.332247965</v>
      </c>
      <c r="G26" s="10">
        <v>1778</v>
      </c>
      <c r="H26" s="10">
        <v>33</v>
      </c>
      <c r="I26" s="10">
        <v>2</v>
      </c>
      <c r="J26" s="10">
        <v>1777</v>
      </c>
      <c r="K26" s="10">
        <v>64208564.458156094</v>
      </c>
    </row>
    <row r="27" spans="1:11" x14ac:dyDescent="0.35">
      <c r="A27" s="9" t="s">
        <v>70</v>
      </c>
      <c r="B27" s="10">
        <v>885</v>
      </c>
      <c r="C27" s="10">
        <v>20</v>
      </c>
      <c r="D27" s="10">
        <v>1</v>
      </c>
      <c r="E27" s="10">
        <v>747</v>
      </c>
      <c r="F27" s="10">
        <v>26650391.369898807</v>
      </c>
      <c r="G27" s="10">
        <v>875</v>
      </c>
      <c r="H27" s="10">
        <v>21</v>
      </c>
      <c r="I27" s="10">
        <v>1</v>
      </c>
      <c r="J27" s="10">
        <v>918</v>
      </c>
      <c r="K27" s="10">
        <v>27692279.512879144</v>
      </c>
    </row>
    <row r="28" spans="1:11" x14ac:dyDescent="0.35">
      <c r="A28" s="9" t="s">
        <v>72</v>
      </c>
      <c r="B28" s="10">
        <v>874</v>
      </c>
      <c r="C28" s="10">
        <v>9</v>
      </c>
      <c r="D28" s="10">
        <v>1</v>
      </c>
      <c r="E28" s="10">
        <v>786</v>
      </c>
      <c r="F28" s="10">
        <v>31624743.597406648</v>
      </c>
      <c r="G28" s="10">
        <v>884</v>
      </c>
      <c r="H28" s="10">
        <v>10</v>
      </c>
      <c r="I28" s="10">
        <v>1</v>
      </c>
      <c r="J28" s="10">
        <v>778</v>
      </c>
      <c r="K28" s="10">
        <v>32952536.414756078</v>
      </c>
    </row>
    <row r="29" spans="1:11" x14ac:dyDescent="0.35">
      <c r="A29" s="9" t="s">
        <v>79</v>
      </c>
      <c r="B29" s="10">
        <v>248</v>
      </c>
      <c r="C29" s="10">
        <v>1</v>
      </c>
      <c r="D29" s="10">
        <v>0</v>
      </c>
      <c r="E29" s="10">
        <v>155</v>
      </c>
      <c r="F29" s="10">
        <v>9000890.4361660667</v>
      </c>
      <c r="G29" s="10">
        <v>214</v>
      </c>
      <c r="H29" s="10">
        <v>1</v>
      </c>
      <c r="I29" s="10">
        <v>1</v>
      </c>
      <c r="J29" s="10">
        <v>187</v>
      </c>
      <c r="K29" s="10">
        <v>8275511.2909266194</v>
      </c>
    </row>
    <row r="30" spans="1:11" x14ac:dyDescent="0.35">
      <c r="A30" s="9" t="s">
        <v>109</v>
      </c>
      <c r="B30" s="10">
        <v>1619</v>
      </c>
      <c r="C30" s="10">
        <v>8</v>
      </c>
      <c r="D30" s="10">
        <v>5</v>
      </c>
      <c r="E30" s="10">
        <v>1281</v>
      </c>
      <c r="F30" s="10">
        <v>64365319.177935474</v>
      </c>
      <c r="G30" s="10">
        <v>1624</v>
      </c>
      <c r="H30" s="10">
        <v>16</v>
      </c>
      <c r="I30" s="10">
        <v>5</v>
      </c>
      <c r="J30" s="10">
        <v>1624</v>
      </c>
      <c r="K30" s="10">
        <v>62934860.381797515</v>
      </c>
    </row>
    <row r="31" spans="1:11" x14ac:dyDescent="0.35">
      <c r="A31" s="9" t="s">
        <v>111</v>
      </c>
      <c r="B31" s="10">
        <v>867</v>
      </c>
      <c r="C31" s="10">
        <v>8</v>
      </c>
      <c r="D31" s="10">
        <v>1</v>
      </c>
      <c r="E31" s="10">
        <v>587</v>
      </c>
      <c r="F31" s="10">
        <v>47551791.945821404</v>
      </c>
      <c r="G31" s="10">
        <v>902</v>
      </c>
      <c r="H31" s="10">
        <v>11</v>
      </c>
      <c r="I31" s="10">
        <v>1</v>
      </c>
      <c r="J31" s="10">
        <v>781</v>
      </c>
      <c r="K31" s="10">
        <v>53842900.306042954</v>
      </c>
    </row>
    <row r="32" spans="1:11" x14ac:dyDescent="0.35">
      <c r="A32" s="9" t="s">
        <v>113</v>
      </c>
      <c r="B32" s="10">
        <v>1063</v>
      </c>
      <c r="C32" s="10">
        <v>10</v>
      </c>
      <c r="D32" s="10">
        <v>1</v>
      </c>
      <c r="E32" s="10">
        <v>770</v>
      </c>
      <c r="F32" s="10">
        <v>51359613.322576806</v>
      </c>
      <c r="G32" s="10">
        <v>998</v>
      </c>
      <c r="H32" s="10">
        <v>5</v>
      </c>
      <c r="I32" s="10">
        <v>2</v>
      </c>
      <c r="J32" s="10">
        <v>783</v>
      </c>
      <c r="K32" s="10">
        <v>50673418.67492187</v>
      </c>
    </row>
    <row r="33" spans="1:11" x14ac:dyDescent="0.35">
      <c r="A33" s="9" t="s">
        <v>115</v>
      </c>
      <c r="B33" s="10">
        <v>1096</v>
      </c>
      <c r="C33" s="10">
        <v>4</v>
      </c>
      <c r="D33" s="10">
        <v>2</v>
      </c>
      <c r="E33" s="10">
        <v>892</v>
      </c>
      <c r="F33" s="10">
        <v>66260418.901354015</v>
      </c>
      <c r="G33" s="10">
        <v>1132</v>
      </c>
      <c r="H33" s="10">
        <v>4</v>
      </c>
      <c r="I33" s="10">
        <v>2</v>
      </c>
      <c r="J33" s="10">
        <v>1438</v>
      </c>
      <c r="K33" s="10">
        <v>70447067.983437687</v>
      </c>
    </row>
    <row r="34" spans="1:11" x14ac:dyDescent="0.35">
      <c r="A34" s="9" t="s">
        <v>16</v>
      </c>
      <c r="B34" s="10">
        <v>1460</v>
      </c>
      <c r="C34" s="10">
        <v>5</v>
      </c>
      <c r="D34" s="10">
        <v>5</v>
      </c>
      <c r="E34" s="10">
        <v>1154</v>
      </c>
      <c r="F34" s="10">
        <v>96599669.104621619</v>
      </c>
      <c r="G34" s="10">
        <v>1407</v>
      </c>
      <c r="H34" s="10">
        <v>7</v>
      </c>
      <c r="I34" s="10">
        <v>4</v>
      </c>
      <c r="J34" s="10">
        <v>1304</v>
      </c>
      <c r="K34" s="10">
        <v>93463628.962233886</v>
      </c>
    </row>
    <row r="35" spans="1:11" x14ac:dyDescent="0.35">
      <c r="A35" s="9" t="s">
        <v>18</v>
      </c>
      <c r="B35" s="10">
        <v>686</v>
      </c>
      <c r="C35" s="10">
        <v>3</v>
      </c>
      <c r="D35" s="10">
        <v>3</v>
      </c>
      <c r="E35" s="10">
        <v>498</v>
      </c>
      <c r="F35" s="10">
        <v>38674027.26112394</v>
      </c>
      <c r="G35" s="10">
        <v>655</v>
      </c>
      <c r="H35" s="10">
        <v>4</v>
      </c>
      <c r="I35" s="10">
        <v>5</v>
      </c>
      <c r="J35" s="10">
        <v>61</v>
      </c>
      <c r="K35" s="10">
        <v>39169096.412837565</v>
      </c>
    </row>
    <row r="36" spans="1:11" x14ac:dyDescent="0.35">
      <c r="A36" s="9" t="s">
        <v>43</v>
      </c>
      <c r="B36" s="10">
        <v>1957</v>
      </c>
      <c r="C36" s="10">
        <v>18</v>
      </c>
      <c r="D36" s="10">
        <v>11</v>
      </c>
      <c r="E36" s="10">
        <v>1622</v>
      </c>
      <c r="F36" s="10">
        <v>115951411.40095924</v>
      </c>
      <c r="G36" s="10">
        <v>1842</v>
      </c>
      <c r="H36" s="10">
        <v>15</v>
      </c>
      <c r="I36" s="10">
        <v>9</v>
      </c>
      <c r="J36" s="10">
        <v>1664</v>
      </c>
      <c r="K36" s="10">
        <v>106050833.53612964</v>
      </c>
    </row>
    <row r="37" spans="1:11" x14ac:dyDescent="0.35">
      <c r="A37" s="9" t="s">
        <v>152</v>
      </c>
      <c r="B37" s="10">
        <v>837</v>
      </c>
      <c r="C37" s="10">
        <v>6</v>
      </c>
      <c r="D37" s="10">
        <v>2</v>
      </c>
      <c r="E37" s="10">
        <v>695</v>
      </c>
      <c r="F37" s="10">
        <v>39862321.063862331</v>
      </c>
      <c r="G37" s="10">
        <v>856</v>
      </c>
      <c r="H37" s="10">
        <v>5</v>
      </c>
      <c r="I37" s="10">
        <v>2</v>
      </c>
      <c r="J37" s="10">
        <v>1012</v>
      </c>
      <c r="K37" s="10">
        <v>40610812.831717983</v>
      </c>
    </row>
    <row r="38" spans="1:11" x14ac:dyDescent="0.35">
      <c r="A38" s="9" t="s">
        <v>149</v>
      </c>
      <c r="B38" s="10">
        <v>724</v>
      </c>
      <c r="C38" s="10">
        <v>24</v>
      </c>
      <c r="D38" s="10">
        <v>2</v>
      </c>
      <c r="E38" s="10">
        <v>578</v>
      </c>
      <c r="F38" s="10">
        <v>35282414.811281145</v>
      </c>
      <c r="G38" s="10">
        <v>689</v>
      </c>
      <c r="H38" s="10">
        <v>8</v>
      </c>
      <c r="I38" s="10">
        <v>1</v>
      </c>
      <c r="J38" s="10">
        <v>998</v>
      </c>
      <c r="K38" s="10">
        <v>37133895.791969873</v>
      </c>
    </row>
    <row r="39" spans="1:11" x14ac:dyDescent="0.35">
      <c r="A39" s="9" t="s">
        <v>154</v>
      </c>
      <c r="B39" s="10">
        <v>1168</v>
      </c>
      <c r="C39" s="10">
        <v>26</v>
      </c>
      <c r="D39" s="10">
        <v>2</v>
      </c>
      <c r="E39" s="10">
        <v>798</v>
      </c>
      <c r="F39" s="10">
        <v>58278910.773384973</v>
      </c>
      <c r="G39" s="10">
        <v>1199</v>
      </c>
      <c r="H39" s="10">
        <v>27</v>
      </c>
      <c r="I39" s="10">
        <v>1</v>
      </c>
      <c r="J39" s="10">
        <v>1497</v>
      </c>
      <c r="K39" s="10">
        <v>59325006.569900498</v>
      </c>
    </row>
    <row r="40" spans="1:11" x14ac:dyDescent="0.35">
      <c r="A40" s="9" t="s">
        <v>2</v>
      </c>
      <c r="B40" s="10">
        <v>1336</v>
      </c>
      <c r="C40" s="10">
        <v>448</v>
      </c>
      <c r="D40" s="10">
        <v>1</v>
      </c>
      <c r="E40" s="10">
        <v>839</v>
      </c>
      <c r="F40" s="10">
        <v>56290431.876917154</v>
      </c>
      <c r="G40" s="10">
        <v>1211</v>
      </c>
      <c r="H40" s="10">
        <v>469</v>
      </c>
      <c r="I40" s="10">
        <v>1</v>
      </c>
      <c r="J40" s="10">
        <v>1260</v>
      </c>
      <c r="K40" s="10">
        <v>55756903.446306914</v>
      </c>
    </row>
    <row r="41" spans="1:11" x14ac:dyDescent="0.35">
      <c r="A41" s="9" t="s">
        <v>156</v>
      </c>
      <c r="B41" s="10">
        <v>2622</v>
      </c>
      <c r="C41" s="10">
        <v>869</v>
      </c>
      <c r="D41" s="10">
        <v>4</v>
      </c>
      <c r="E41" s="10">
        <v>1476</v>
      </c>
      <c r="F41" s="10">
        <v>89625740.696560368</v>
      </c>
      <c r="G41" s="10">
        <v>2197</v>
      </c>
      <c r="H41" s="10">
        <v>202</v>
      </c>
      <c r="I41" s="10">
        <v>5</v>
      </c>
      <c r="J41" s="10">
        <v>2196</v>
      </c>
      <c r="K41" s="10">
        <v>97197217.50669992</v>
      </c>
    </row>
    <row r="42" spans="1:11" x14ac:dyDescent="0.35">
      <c r="A42" s="9" t="s">
        <v>14</v>
      </c>
      <c r="B42" s="10">
        <v>605</v>
      </c>
      <c r="C42" s="10">
        <v>3</v>
      </c>
      <c r="D42" s="10">
        <v>5</v>
      </c>
      <c r="E42" s="10">
        <v>427</v>
      </c>
      <c r="F42" s="10">
        <v>29446390.194945849</v>
      </c>
      <c r="G42" s="10">
        <v>593</v>
      </c>
      <c r="H42" s="10">
        <v>3</v>
      </c>
      <c r="I42" s="10">
        <v>6</v>
      </c>
      <c r="J42" s="10">
        <v>495</v>
      </c>
      <c r="K42" s="10">
        <v>35678063.508908294</v>
      </c>
    </row>
    <row r="43" spans="1:11" x14ac:dyDescent="0.35">
      <c r="A43" s="9" t="s">
        <v>8</v>
      </c>
      <c r="B43" s="10">
        <v>2054</v>
      </c>
      <c r="C43" s="10">
        <v>14</v>
      </c>
      <c r="D43" s="10">
        <v>5</v>
      </c>
      <c r="E43" s="10">
        <v>2015</v>
      </c>
      <c r="F43" s="10">
        <v>108079440.83391826</v>
      </c>
      <c r="G43" s="10">
        <v>2079</v>
      </c>
      <c r="H43" s="10">
        <v>14</v>
      </c>
      <c r="I43" s="10">
        <v>5</v>
      </c>
      <c r="J43" s="10">
        <v>2324</v>
      </c>
      <c r="K43" s="10">
        <v>113072490.43563074</v>
      </c>
    </row>
    <row r="44" spans="1:11" x14ac:dyDescent="0.35">
      <c r="A44" s="9" t="s">
        <v>39</v>
      </c>
      <c r="B44" s="10">
        <v>889</v>
      </c>
      <c r="C44" s="10">
        <v>9</v>
      </c>
      <c r="D44" s="10">
        <v>4</v>
      </c>
      <c r="E44" s="10">
        <v>834</v>
      </c>
      <c r="F44" s="10">
        <v>74282116.311156243</v>
      </c>
      <c r="G44" s="10">
        <v>934</v>
      </c>
      <c r="H44" s="10">
        <v>16</v>
      </c>
      <c r="I44" s="10">
        <v>3</v>
      </c>
      <c r="J44" s="10">
        <v>932</v>
      </c>
      <c r="K44" s="10">
        <v>79773923.470678821</v>
      </c>
    </row>
    <row r="45" spans="1:11" x14ac:dyDescent="0.35">
      <c r="A45" s="9" t="s">
        <v>6</v>
      </c>
      <c r="B45" s="10">
        <v>1123</v>
      </c>
      <c r="C45" s="10">
        <v>5</v>
      </c>
      <c r="D45" s="10">
        <v>4</v>
      </c>
      <c r="E45" s="10">
        <v>881</v>
      </c>
      <c r="F45" s="10">
        <v>62706292.434002586</v>
      </c>
      <c r="G45" s="10">
        <v>1063</v>
      </c>
      <c r="H45" s="10">
        <v>10</v>
      </c>
      <c r="I45" s="10">
        <v>4</v>
      </c>
      <c r="J45" s="10">
        <v>1382</v>
      </c>
      <c r="K45" s="10">
        <v>50838171.935694195</v>
      </c>
    </row>
    <row r="46" spans="1:11" x14ac:dyDescent="0.35">
      <c r="A46" s="9" t="s">
        <v>41</v>
      </c>
      <c r="B46" s="10">
        <v>837</v>
      </c>
      <c r="C46" s="10">
        <v>1</v>
      </c>
      <c r="D46" s="10">
        <v>4</v>
      </c>
      <c r="E46" s="10">
        <v>625</v>
      </c>
      <c r="F46" s="10">
        <v>57279868.189550474</v>
      </c>
      <c r="G46" s="10">
        <v>802</v>
      </c>
      <c r="H46" s="10">
        <v>12</v>
      </c>
      <c r="I46" s="10">
        <v>4</v>
      </c>
      <c r="J46" s="10">
        <v>657</v>
      </c>
      <c r="K46" s="10">
        <v>58814439.165195264</v>
      </c>
    </row>
    <row r="47" spans="1:11" x14ac:dyDescent="0.35">
      <c r="A47" s="9" t="s">
        <v>158</v>
      </c>
      <c r="B47" s="10">
        <v>680</v>
      </c>
      <c r="C47" s="10">
        <v>6</v>
      </c>
      <c r="D47" s="10">
        <v>11</v>
      </c>
      <c r="E47" s="10">
        <v>665</v>
      </c>
      <c r="F47" s="10">
        <v>35996654.338048279</v>
      </c>
      <c r="G47" s="10">
        <v>728</v>
      </c>
      <c r="H47" s="10">
        <v>5</v>
      </c>
      <c r="I47" s="10">
        <v>10</v>
      </c>
      <c r="J47" s="10">
        <v>824</v>
      </c>
      <c r="K47" s="10">
        <v>37245649.73196432</v>
      </c>
    </row>
    <row r="48" spans="1:11" x14ac:dyDescent="0.35">
      <c r="A48" s="9" t="s">
        <v>160</v>
      </c>
      <c r="B48" s="10">
        <v>695</v>
      </c>
      <c r="C48" s="10">
        <v>3</v>
      </c>
      <c r="D48" s="10">
        <v>1</v>
      </c>
      <c r="E48" s="10">
        <v>710</v>
      </c>
      <c r="F48" s="10">
        <v>34997774.85582336</v>
      </c>
      <c r="G48" s="10">
        <v>711</v>
      </c>
      <c r="H48" s="10">
        <v>3</v>
      </c>
      <c r="I48" s="10">
        <v>1</v>
      </c>
      <c r="J48" s="10">
        <v>892</v>
      </c>
      <c r="K48" s="10">
        <v>32835363.139960997</v>
      </c>
    </row>
    <row r="49" spans="1:11" x14ac:dyDescent="0.35">
      <c r="A49" s="9" t="s">
        <v>83</v>
      </c>
      <c r="B49" s="10">
        <v>1247</v>
      </c>
      <c r="C49" s="10">
        <v>15</v>
      </c>
      <c r="D49" s="10">
        <v>5</v>
      </c>
      <c r="E49" s="10">
        <v>989</v>
      </c>
      <c r="F49" s="10">
        <v>106716015.07577386</v>
      </c>
      <c r="G49" s="10">
        <v>1272</v>
      </c>
      <c r="H49" s="10">
        <v>13</v>
      </c>
      <c r="I49" s="10">
        <v>5</v>
      </c>
      <c r="J49" s="10">
        <v>1177</v>
      </c>
      <c r="K49" s="10">
        <v>107944818.1845528</v>
      </c>
    </row>
    <row r="50" spans="1:11" x14ac:dyDescent="0.35">
      <c r="A50" s="9" t="s">
        <v>201</v>
      </c>
      <c r="B50" s="10">
        <v>445</v>
      </c>
      <c r="C50" s="10">
        <v>3</v>
      </c>
      <c r="D50" s="10">
        <v>2</v>
      </c>
      <c r="E50" s="10">
        <v>483</v>
      </c>
      <c r="F50" s="10">
        <v>19519613.8706333</v>
      </c>
      <c r="G50" s="10">
        <v>432</v>
      </c>
      <c r="H50" s="10">
        <v>2</v>
      </c>
      <c r="I50" s="10">
        <v>1</v>
      </c>
      <c r="J50" s="10">
        <v>554</v>
      </c>
      <c r="K50" s="10">
        <v>17473800.399366841</v>
      </c>
    </row>
    <row r="51" spans="1:11" x14ac:dyDescent="0.35">
      <c r="A51" s="9" t="s">
        <v>31</v>
      </c>
      <c r="B51" s="10">
        <v>897</v>
      </c>
      <c r="C51" s="10">
        <v>5</v>
      </c>
      <c r="D51" s="10">
        <v>5</v>
      </c>
      <c r="E51" s="10">
        <v>877</v>
      </c>
      <c r="F51" s="10">
        <v>48114546.681168258</v>
      </c>
      <c r="G51" s="10">
        <v>918</v>
      </c>
      <c r="H51" s="10">
        <v>5</v>
      </c>
      <c r="I51" s="10">
        <v>5</v>
      </c>
      <c r="J51" s="10">
        <v>964</v>
      </c>
      <c r="K51" s="10">
        <v>49212865.123357482</v>
      </c>
    </row>
    <row r="52" spans="1:11" x14ac:dyDescent="0.35">
      <c r="A52" s="9" t="s">
        <v>33</v>
      </c>
      <c r="B52" s="10">
        <v>1321</v>
      </c>
      <c r="C52" s="10">
        <v>24</v>
      </c>
      <c r="D52" s="10">
        <v>12</v>
      </c>
      <c r="E52" s="10">
        <v>1054</v>
      </c>
      <c r="F52" s="10">
        <v>78296418.113837361</v>
      </c>
      <c r="G52" s="10">
        <v>1410</v>
      </c>
      <c r="H52" s="10">
        <v>10</v>
      </c>
      <c r="I52" s="10">
        <v>12</v>
      </c>
      <c r="J52" s="10">
        <v>1486</v>
      </c>
      <c r="K52" s="10">
        <v>88011612.308659077</v>
      </c>
    </row>
    <row r="53" spans="1:11" x14ac:dyDescent="0.35">
      <c r="A53" s="9" t="s">
        <v>85</v>
      </c>
      <c r="B53" s="10">
        <v>475</v>
      </c>
      <c r="C53" s="10">
        <v>10</v>
      </c>
      <c r="D53" s="10">
        <v>5</v>
      </c>
      <c r="E53" s="10">
        <v>404</v>
      </c>
      <c r="F53" s="10">
        <v>40910861.587088168</v>
      </c>
      <c r="G53" s="10">
        <v>467</v>
      </c>
      <c r="H53" s="10">
        <v>4</v>
      </c>
      <c r="I53" s="10">
        <v>5</v>
      </c>
      <c r="J53" s="10">
        <v>419</v>
      </c>
      <c r="K53" s="10">
        <v>43944052.034776092</v>
      </c>
    </row>
    <row r="54" spans="1:11" x14ac:dyDescent="0.35">
      <c r="A54" s="9" t="s">
        <v>81</v>
      </c>
      <c r="B54" s="10">
        <v>455</v>
      </c>
      <c r="C54" s="10">
        <v>4</v>
      </c>
      <c r="D54" s="10">
        <v>6</v>
      </c>
      <c r="E54" s="10">
        <v>340</v>
      </c>
      <c r="F54" s="10">
        <v>36041484.484610498</v>
      </c>
      <c r="G54" s="10">
        <v>463</v>
      </c>
      <c r="H54" s="10">
        <v>4</v>
      </c>
      <c r="I54" s="10">
        <v>4</v>
      </c>
      <c r="J54" s="10">
        <v>372</v>
      </c>
      <c r="K54" s="10">
        <v>33887804.750144497</v>
      </c>
    </row>
    <row r="55" spans="1:11" x14ac:dyDescent="0.35">
      <c r="A55" s="9" t="s">
        <v>87</v>
      </c>
      <c r="B55" s="10">
        <v>426</v>
      </c>
      <c r="C55" s="10">
        <v>13</v>
      </c>
      <c r="D55" s="10">
        <v>2</v>
      </c>
      <c r="E55" s="10">
        <v>337</v>
      </c>
      <c r="F55" s="10">
        <v>30535385.131212272</v>
      </c>
      <c r="G55" s="10">
        <v>402</v>
      </c>
      <c r="H55" s="10">
        <v>5</v>
      </c>
      <c r="I55" s="10">
        <v>3</v>
      </c>
      <c r="J55" s="10">
        <v>539</v>
      </c>
      <c r="K55" s="10">
        <v>30136481.865516089</v>
      </c>
    </row>
    <row r="56" spans="1:11" x14ac:dyDescent="0.35">
      <c r="A56" s="9" t="s">
        <v>166</v>
      </c>
      <c r="B56" s="10">
        <v>1118</v>
      </c>
      <c r="C56" s="10">
        <v>8</v>
      </c>
      <c r="D56" s="10">
        <v>1</v>
      </c>
      <c r="E56" s="10">
        <v>914</v>
      </c>
      <c r="F56" s="10">
        <v>66872222.748142861</v>
      </c>
      <c r="G56" s="10">
        <v>1084</v>
      </c>
      <c r="H56" s="10">
        <v>13</v>
      </c>
      <c r="I56" s="10">
        <v>1</v>
      </c>
      <c r="J56" s="10">
        <v>992</v>
      </c>
      <c r="K56" s="10">
        <v>66927080.335118935</v>
      </c>
    </row>
    <row r="57" spans="1:11" x14ac:dyDescent="0.35">
      <c r="A57" s="9" t="s">
        <v>93</v>
      </c>
      <c r="B57" s="10">
        <v>952</v>
      </c>
      <c r="C57" s="10">
        <v>17</v>
      </c>
      <c r="D57" s="10">
        <v>2</v>
      </c>
      <c r="E57" s="10">
        <v>701</v>
      </c>
      <c r="F57" s="10">
        <v>68316728.963398054</v>
      </c>
      <c r="G57" s="10">
        <v>955</v>
      </c>
      <c r="H57" s="10">
        <v>11</v>
      </c>
      <c r="I57" s="10">
        <v>1</v>
      </c>
      <c r="J57" s="10">
        <v>1295</v>
      </c>
      <c r="K57" s="10">
        <v>61353516.891714849</v>
      </c>
    </row>
    <row r="58" spans="1:11" x14ac:dyDescent="0.35">
      <c r="A58" s="9" t="s">
        <v>95</v>
      </c>
      <c r="B58" s="10">
        <v>1997</v>
      </c>
      <c r="C58" s="10">
        <v>45</v>
      </c>
      <c r="D58" s="10">
        <v>7</v>
      </c>
      <c r="E58" s="10">
        <v>1590</v>
      </c>
      <c r="F58" s="10">
        <v>108998831.17178464</v>
      </c>
      <c r="G58" s="10">
        <v>2013</v>
      </c>
      <c r="H58" s="10">
        <v>20</v>
      </c>
      <c r="I58" s="10">
        <v>8</v>
      </c>
      <c r="J58" s="10">
        <v>1997</v>
      </c>
      <c r="K58" s="10">
        <v>131068684.17085291</v>
      </c>
    </row>
    <row r="59" spans="1:11" x14ac:dyDescent="0.35">
      <c r="A59" s="9" t="s">
        <v>174</v>
      </c>
      <c r="B59" s="10">
        <v>681</v>
      </c>
      <c r="C59" s="10">
        <v>4</v>
      </c>
      <c r="D59" s="10">
        <v>0</v>
      </c>
      <c r="E59" s="10">
        <v>513</v>
      </c>
      <c r="F59" s="10">
        <v>31333241.516394194</v>
      </c>
      <c r="G59" s="10">
        <v>645</v>
      </c>
      <c r="H59" s="10">
        <v>5</v>
      </c>
      <c r="I59" s="10">
        <v>1</v>
      </c>
      <c r="J59" s="10">
        <v>662</v>
      </c>
      <c r="K59" s="10">
        <v>32076597.846333697</v>
      </c>
    </row>
    <row r="60" spans="1:11" x14ac:dyDescent="0.35">
      <c r="A60" s="9" t="s">
        <v>99</v>
      </c>
      <c r="B60" s="10">
        <v>868</v>
      </c>
      <c r="C60" s="10">
        <v>13</v>
      </c>
      <c r="D60" s="10">
        <v>5</v>
      </c>
      <c r="E60" s="10">
        <v>895</v>
      </c>
      <c r="F60" s="10">
        <v>50748655.29993809</v>
      </c>
      <c r="G60" s="10">
        <v>896</v>
      </c>
      <c r="H60" s="10">
        <v>9</v>
      </c>
      <c r="I60" s="10">
        <v>5</v>
      </c>
      <c r="J60" s="10">
        <v>819</v>
      </c>
      <c r="K60" s="10">
        <v>56151440.695990674</v>
      </c>
    </row>
    <row r="61" spans="1:11" x14ac:dyDescent="0.35">
      <c r="A61" s="9" t="s">
        <v>172</v>
      </c>
      <c r="B61" s="10">
        <v>775</v>
      </c>
      <c r="C61" s="10">
        <v>4</v>
      </c>
      <c r="D61" s="10">
        <v>1</v>
      </c>
      <c r="E61" s="10">
        <v>603</v>
      </c>
      <c r="F61" s="10">
        <v>37850193.019122608</v>
      </c>
      <c r="G61" s="10">
        <v>679</v>
      </c>
      <c r="H61" s="10">
        <v>4</v>
      </c>
      <c r="I61" s="10">
        <v>1</v>
      </c>
      <c r="J61" s="10">
        <v>701</v>
      </c>
      <c r="K61" s="10">
        <v>33427233.422286976</v>
      </c>
    </row>
    <row r="62" spans="1:11" x14ac:dyDescent="0.35">
      <c r="A62" s="9" t="s">
        <v>168</v>
      </c>
      <c r="B62" s="10">
        <v>1091</v>
      </c>
      <c r="C62" s="10">
        <v>17</v>
      </c>
      <c r="D62" s="10">
        <v>1</v>
      </c>
      <c r="E62" s="10">
        <v>1090</v>
      </c>
      <c r="F62" s="10">
        <v>67940087.4120657</v>
      </c>
      <c r="G62" s="10">
        <v>1086</v>
      </c>
      <c r="H62" s="10">
        <v>11</v>
      </c>
      <c r="I62" s="10">
        <v>1</v>
      </c>
      <c r="J62" s="10">
        <v>1004</v>
      </c>
      <c r="K62" s="10">
        <v>71491205.310069069</v>
      </c>
    </row>
    <row r="63" spans="1:11" x14ac:dyDescent="0.35">
      <c r="A63" s="9" t="s">
        <v>101</v>
      </c>
      <c r="B63" s="10">
        <v>1343</v>
      </c>
      <c r="C63" s="10">
        <v>21</v>
      </c>
      <c r="D63" s="10">
        <v>4</v>
      </c>
      <c r="E63" s="10">
        <v>1449</v>
      </c>
      <c r="F63" s="10">
        <v>88311541.101716354</v>
      </c>
      <c r="G63" s="10">
        <v>1583</v>
      </c>
      <c r="H63" s="10">
        <v>19</v>
      </c>
      <c r="I63" s="10">
        <v>5</v>
      </c>
      <c r="J63" s="10">
        <v>1601</v>
      </c>
      <c r="K63" s="10">
        <v>92210309.102681711</v>
      </c>
    </row>
    <row r="64" spans="1:11" x14ac:dyDescent="0.35">
      <c r="A64" s="9" t="s">
        <v>103</v>
      </c>
      <c r="B64" s="10">
        <v>783</v>
      </c>
      <c r="C64" s="10">
        <v>7</v>
      </c>
      <c r="D64" s="10">
        <v>4</v>
      </c>
      <c r="E64" s="10">
        <v>711</v>
      </c>
      <c r="F64" s="10">
        <v>44303287.711743765</v>
      </c>
      <c r="G64" s="10">
        <v>783</v>
      </c>
      <c r="H64" s="10">
        <v>9</v>
      </c>
      <c r="I64" s="10">
        <v>5</v>
      </c>
      <c r="J64" s="10">
        <v>815</v>
      </c>
      <c r="K64" s="10">
        <v>49135178.517954752</v>
      </c>
    </row>
    <row r="65" spans="1:11" x14ac:dyDescent="0.35">
      <c r="A65" s="9" t="s">
        <v>105</v>
      </c>
      <c r="B65" s="10">
        <v>667</v>
      </c>
      <c r="C65" s="10">
        <v>11</v>
      </c>
      <c r="D65" s="10">
        <v>5</v>
      </c>
      <c r="E65" s="10">
        <v>474</v>
      </c>
      <c r="F65" s="10">
        <v>51724039.909942903</v>
      </c>
      <c r="G65" s="10">
        <v>630</v>
      </c>
      <c r="H65" s="10">
        <v>15</v>
      </c>
      <c r="I65" s="10">
        <v>5</v>
      </c>
      <c r="J65" s="10">
        <v>404</v>
      </c>
      <c r="K65" s="10">
        <v>50445820.395487115</v>
      </c>
    </row>
    <row r="66" spans="1:11" x14ac:dyDescent="0.35">
      <c r="A66" s="9" t="s">
        <v>24</v>
      </c>
      <c r="B66" s="10">
        <v>2024</v>
      </c>
      <c r="C66" s="10">
        <v>36</v>
      </c>
      <c r="D66" s="10">
        <v>10</v>
      </c>
      <c r="E66" s="10">
        <v>1745</v>
      </c>
      <c r="F66" s="10">
        <v>146411028.60500509</v>
      </c>
      <c r="G66" s="10">
        <v>1989</v>
      </c>
      <c r="H66" s="10">
        <v>24</v>
      </c>
      <c r="I66" s="10">
        <v>11</v>
      </c>
      <c r="J66" s="10">
        <v>1755</v>
      </c>
      <c r="K66" s="10">
        <v>172554469.58894762</v>
      </c>
    </row>
    <row r="67" spans="1:11" x14ac:dyDescent="0.35">
      <c r="A67" s="9" t="s">
        <v>27</v>
      </c>
      <c r="B67" s="10">
        <v>1558</v>
      </c>
      <c r="C67" s="10">
        <v>31</v>
      </c>
      <c r="D67" s="10">
        <v>7</v>
      </c>
      <c r="E67" s="10">
        <v>980</v>
      </c>
      <c r="F67" s="10">
        <v>115824848.60294679</v>
      </c>
      <c r="G67" s="10">
        <v>1576</v>
      </c>
      <c r="H67" s="10">
        <v>32</v>
      </c>
      <c r="I67" s="10">
        <v>6</v>
      </c>
      <c r="J67" s="10">
        <v>1365</v>
      </c>
      <c r="K67" s="10">
        <v>130937672.35343465</v>
      </c>
    </row>
    <row r="68" spans="1:11" x14ac:dyDescent="0.35">
      <c r="A68" s="9" t="s">
        <v>29</v>
      </c>
      <c r="B68" s="10">
        <v>869</v>
      </c>
      <c r="C68" s="10">
        <v>4</v>
      </c>
      <c r="D68" s="10">
        <v>1</v>
      </c>
      <c r="E68" s="10">
        <v>854</v>
      </c>
      <c r="F68" s="10">
        <v>77715507.601281524</v>
      </c>
      <c r="G68" s="10">
        <v>902</v>
      </c>
      <c r="H68" s="10">
        <v>14</v>
      </c>
      <c r="I68" s="10">
        <v>1</v>
      </c>
      <c r="J68" s="10">
        <v>765</v>
      </c>
      <c r="K68" s="10">
        <v>84586194.967881054</v>
      </c>
    </row>
    <row r="69" spans="1:11" x14ac:dyDescent="0.35">
      <c r="A69" s="9" t="s">
        <v>57</v>
      </c>
      <c r="B69" s="10">
        <v>2131</v>
      </c>
      <c r="C69" s="10">
        <v>575</v>
      </c>
      <c r="D69" s="10">
        <v>13</v>
      </c>
      <c r="E69" s="10">
        <v>1430</v>
      </c>
      <c r="F69" s="10">
        <v>117678132.42768428</v>
      </c>
      <c r="G69" s="10">
        <v>2269</v>
      </c>
      <c r="H69" s="10">
        <v>742</v>
      </c>
      <c r="I69" s="10">
        <v>12</v>
      </c>
      <c r="J69" s="10">
        <v>1378</v>
      </c>
      <c r="K69" s="10">
        <v>119244489.13473912</v>
      </c>
    </row>
    <row r="70" spans="1:11" x14ac:dyDescent="0.35">
      <c r="A70" s="9" t="s">
        <v>137</v>
      </c>
      <c r="B70" s="10">
        <v>257</v>
      </c>
      <c r="C70" s="10">
        <v>2</v>
      </c>
      <c r="D70" s="10">
        <v>1</v>
      </c>
      <c r="E70" s="10">
        <v>104</v>
      </c>
      <c r="F70" s="10">
        <v>8150394.6965789609</v>
      </c>
      <c r="G70" s="10">
        <v>232</v>
      </c>
      <c r="H70" s="10">
        <v>1</v>
      </c>
      <c r="I70" s="10">
        <v>1</v>
      </c>
      <c r="J70" s="10">
        <v>389</v>
      </c>
      <c r="K70" s="10">
        <v>6532904.3248588787</v>
      </c>
    </row>
    <row r="71" spans="1:11" x14ac:dyDescent="0.35">
      <c r="A71" s="9" t="s">
        <v>10</v>
      </c>
      <c r="B71" s="10">
        <v>1680</v>
      </c>
      <c r="C71" s="10">
        <v>7</v>
      </c>
      <c r="D71" s="10">
        <v>7</v>
      </c>
      <c r="E71" s="10">
        <v>1321</v>
      </c>
      <c r="F71" s="10">
        <v>79867181.909764618</v>
      </c>
      <c r="G71" s="10">
        <v>1611</v>
      </c>
      <c r="H71" s="10">
        <v>21</v>
      </c>
      <c r="I71" s="10">
        <v>6</v>
      </c>
      <c r="J71" s="10">
        <v>1958</v>
      </c>
      <c r="K71" s="10">
        <v>87077653.972053766</v>
      </c>
    </row>
    <row r="72" spans="1:11" x14ac:dyDescent="0.35">
      <c r="A72" s="9" t="s">
        <v>12</v>
      </c>
      <c r="B72" s="10">
        <v>692</v>
      </c>
      <c r="C72" s="10">
        <v>3</v>
      </c>
      <c r="D72" s="10">
        <v>2</v>
      </c>
      <c r="E72" s="10">
        <v>589</v>
      </c>
      <c r="F72" s="10">
        <v>38365061.693271451</v>
      </c>
      <c r="G72" s="10">
        <v>783</v>
      </c>
      <c r="H72" s="10">
        <v>6</v>
      </c>
      <c r="I72" s="10">
        <v>4</v>
      </c>
      <c r="J72" s="10">
        <v>799</v>
      </c>
      <c r="K72" s="10">
        <v>40323121.286838889</v>
      </c>
    </row>
    <row r="73" spans="1:11" x14ac:dyDescent="0.35">
      <c r="A73" s="9" t="s">
        <v>162</v>
      </c>
      <c r="B73" s="10">
        <v>1355</v>
      </c>
      <c r="C73" s="10">
        <v>70</v>
      </c>
      <c r="D73" s="10">
        <v>5</v>
      </c>
      <c r="E73" s="10">
        <v>946</v>
      </c>
      <c r="F73" s="10">
        <v>60797096.249348424</v>
      </c>
      <c r="G73" s="10">
        <v>1784</v>
      </c>
      <c r="H73" s="10">
        <v>571</v>
      </c>
      <c r="I73" s="10">
        <v>5</v>
      </c>
      <c r="J73" s="10">
        <v>1784</v>
      </c>
      <c r="K73" s="10">
        <v>64638777.329260401</v>
      </c>
    </row>
    <row r="74" spans="1:11" x14ac:dyDescent="0.35">
      <c r="A74" s="9" t="s">
        <v>63</v>
      </c>
      <c r="B74" s="10">
        <v>1294</v>
      </c>
      <c r="C74" s="10">
        <v>16</v>
      </c>
      <c r="D74" s="10">
        <v>5</v>
      </c>
      <c r="E74" s="10">
        <v>749</v>
      </c>
      <c r="F74" s="10">
        <v>33285544.902179357</v>
      </c>
      <c r="G74" s="10">
        <v>1277</v>
      </c>
      <c r="H74" s="10">
        <v>20</v>
      </c>
      <c r="I74" s="10">
        <v>5</v>
      </c>
      <c r="J74" s="10">
        <v>1416</v>
      </c>
      <c r="K74" s="10">
        <v>45795908.217801906</v>
      </c>
    </row>
    <row r="75" spans="1:11" x14ac:dyDescent="0.35">
      <c r="A75" s="9" t="s">
        <v>59</v>
      </c>
      <c r="B75" s="10">
        <v>1756</v>
      </c>
      <c r="C75" s="10">
        <v>17</v>
      </c>
      <c r="D75" s="10">
        <v>5</v>
      </c>
      <c r="E75" s="10">
        <v>1184</v>
      </c>
      <c r="F75" s="10">
        <v>107337819.37929985</v>
      </c>
      <c r="G75" s="10">
        <v>1733</v>
      </c>
      <c r="H75" s="10">
        <v>20</v>
      </c>
      <c r="I75" s="10">
        <v>5</v>
      </c>
      <c r="J75" s="10">
        <v>1280</v>
      </c>
      <c r="K75" s="10">
        <v>112048519.23492122</v>
      </c>
    </row>
    <row r="76" spans="1:11" x14ac:dyDescent="0.35">
      <c r="A76" s="9" t="s">
        <v>139</v>
      </c>
      <c r="B76" s="10">
        <v>486</v>
      </c>
      <c r="C76" s="10">
        <v>6</v>
      </c>
      <c r="D76" s="10">
        <v>2</v>
      </c>
      <c r="E76" s="10">
        <v>418</v>
      </c>
      <c r="F76" s="10">
        <v>21502059.060297526</v>
      </c>
      <c r="G76" s="10">
        <v>512</v>
      </c>
      <c r="H76" s="10">
        <v>5</v>
      </c>
      <c r="I76" s="10">
        <v>1</v>
      </c>
      <c r="J76" s="10">
        <v>828</v>
      </c>
      <c r="K76" s="10">
        <v>22946957.096579328</v>
      </c>
    </row>
    <row r="77" spans="1:11" x14ac:dyDescent="0.35">
      <c r="A77" s="9" t="s">
        <v>170</v>
      </c>
      <c r="B77" s="10">
        <v>899</v>
      </c>
      <c r="C77" s="10">
        <v>7</v>
      </c>
      <c r="D77" s="10">
        <v>1</v>
      </c>
      <c r="E77" s="10">
        <v>912</v>
      </c>
      <c r="F77" s="10">
        <v>35449227.213636845</v>
      </c>
      <c r="G77" s="10">
        <v>889</v>
      </c>
      <c r="H77" s="10">
        <v>8</v>
      </c>
      <c r="I77" s="10">
        <v>1</v>
      </c>
      <c r="J77" s="10">
        <v>852</v>
      </c>
      <c r="K77" s="10">
        <v>36938563.248724274</v>
      </c>
    </row>
    <row r="78" spans="1:11" x14ac:dyDescent="0.35">
      <c r="A78" s="9" t="s">
        <v>61</v>
      </c>
      <c r="B78" s="10">
        <v>647</v>
      </c>
      <c r="C78" s="10">
        <v>2</v>
      </c>
      <c r="D78" s="10">
        <v>4</v>
      </c>
      <c r="E78" s="10">
        <v>490</v>
      </c>
      <c r="F78" s="10">
        <v>24298337.725028269</v>
      </c>
      <c r="G78" s="10">
        <v>628</v>
      </c>
      <c r="H78" s="10">
        <v>2</v>
      </c>
      <c r="I78" s="10">
        <v>3</v>
      </c>
      <c r="J78" s="10">
        <v>504</v>
      </c>
      <c r="K78" s="10">
        <v>36470875.750277907</v>
      </c>
    </row>
    <row r="79" spans="1:11" x14ac:dyDescent="0.35">
      <c r="A79" s="9" t="s">
        <v>129</v>
      </c>
      <c r="B79" s="10">
        <v>573</v>
      </c>
      <c r="C79" s="10">
        <v>7</v>
      </c>
      <c r="D79" s="10">
        <v>1</v>
      </c>
      <c r="E79" s="10">
        <v>707</v>
      </c>
      <c r="F79" s="10">
        <v>18571004.620179776</v>
      </c>
      <c r="G79" s="10">
        <v>574</v>
      </c>
      <c r="H79" s="10">
        <v>7</v>
      </c>
      <c r="I79" s="10">
        <v>1</v>
      </c>
      <c r="J79" s="10">
        <v>723</v>
      </c>
      <c r="K79" s="10">
        <v>22920945.468146242</v>
      </c>
    </row>
    <row r="80" spans="1:11" x14ac:dyDescent="0.35">
      <c r="A80" s="9" t="s">
        <v>35</v>
      </c>
      <c r="B80" s="10">
        <v>438</v>
      </c>
      <c r="C80" s="10">
        <v>6</v>
      </c>
      <c r="D80" s="10">
        <v>6</v>
      </c>
      <c r="E80" s="10">
        <v>448</v>
      </c>
      <c r="F80" s="10">
        <v>27079563.266161487</v>
      </c>
      <c r="G80" s="10">
        <v>449</v>
      </c>
      <c r="H80" s="10">
        <v>3</v>
      </c>
      <c r="I80" s="10">
        <v>7</v>
      </c>
      <c r="J80" s="10">
        <v>477</v>
      </c>
      <c r="K80" s="10">
        <v>29489318.808605704</v>
      </c>
    </row>
    <row r="81" spans="1:11" x14ac:dyDescent="0.35">
      <c r="A81" s="9" t="s">
        <v>107</v>
      </c>
      <c r="B81" s="10">
        <v>969</v>
      </c>
      <c r="C81" s="10">
        <v>19</v>
      </c>
      <c r="D81" s="10">
        <v>3</v>
      </c>
      <c r="E81" s="10">
        <v>717</v>
      </c>
      <c r="F81" s="10">
        <v>78884898.073723525</v>
      </c>
      <c r="G81" s="10">
        <v>905</v>
      </c>
      <c r="H81" s="10">
        <v>15</v>
      </c>
      <c r="I81" s="10">
        <v>3</v>
      </c>
      <c r="J81" s="10">
        <v>771</v>
      </c>
      <c r="K81" s="10">
        <v>77661954.644499943</v>
      </c>
    </row>
    <row r="82" spans="1:11" x14ac:dyDescent="0.35">
      <c r="A82" s="9" t="s">
        <v>37</v>
      </c>
      <c r="B82" s="10">
        <v>783</v>
      </c>
      <c r="C82" s="10">
        <v>8</v>
      </c>
      <c r="D82" s="10">
        <v>10</v>
      </c>
      <c r="E82" s="10">
        <v>690</v>
      </c>
      <c r="F82" s="10">
        <v>45766504.739536576</v>
      </c>
      <c r="G82" s="10">
        <v>782</v>
      </c>
      <c r="H82" s="10">
        <v>6</v>
      </c>
      <c r="I82" s="10">
        <v>9</v>
      </c>
      <c r="J82" s="10">
        <v>783</v>
      </c>
      <c r="K82" s="10">
        <v>46302335.1406506</v>
      </c>
    </row>
    <row r="83" spans="1:11" x14ac:dyDescent="0.35">
      <c r="A83" s="9" t="s">
        <v>76</v>
      </c>
      <c r="B83" s="10">
        <v>940</v>
      </c>
      <c r="C83" s="10">
        <v>3</v>
      </c>
      <c r="D83" s="10">
        <v>2</v>
      </c>
      <c r="E83" s="10">
        <v>1057</v>
      </c>
      <c r="F83" s="10">
        <v>39157503.042012416</v>
      </c>
      <c r="G83" s="10">
        <v>947</v>
      </c>
      <c r="H83" s="10">
        <v>10</v>
      </c>
      <c r="I83" s="10">
        <v>2</v>
      </c>
      <c r="J83" s="10">
        <v>1021</v>
      </c>
      <c r="K83" s="10">
        <v>40430111.892943673</v>
      </c>
    </row>
    <row r="84" spans="1:11" x14ac:dyDescent="0.35">
      <c r="A84" s="9" t="s">
        <v>65</v>
      </c>
      <c r="B84" s="10">
        <v>1004</v>
      </c>
      <c r="C84" s="10">
        <v>9</v>
      </c>
      <c r="D84" s="10">
        <v>5</v>
      </c>
      <c r="E84" s="10">
        <v>896</v>
      </c>
      <c r="F84" s="10">
        <v>43274303.296345375</v>
      </c>
      <c r="G84" s="10">
        <v>947</v>
      </c>
      <c r="H84" s="10">
        <v>6</v>
      </c>
      <c r="I84" s="10">
        <v>5</v>
      </c>
      <c r="J84" s="10">
        <v>912</v>
      </c>
      <c r="K84" s="10">
        <v>43895304.951026574</v>
      </c>
    </row>
    <row r="85" spans="1:11" x14ac:dyDescent="0.35">
      <c r="A85" s="9" t="s">
        <v>89</v>
      </c>
      <c r="B85" s="10">
        <v>757</v>
      </c>
      <c r="C85" s="10">
        <v>11</v>
      </c>
      <c r="D85" s="10">
        <v>5</v>
      </c>
      <c r="E85" s="10">
        <v>675</v>
      </c>
      <c r="F85" s="10">
        <v>47720909.687600903</v>
      </c>
      <c r="G85" s="10">
        <v>760</v>
      </c>
      <c r="H85" s="10">
        <v>7</v>
      </c>
      <c r="I85" s="10">
        <v>6</v>
      </c>
      <c r="J85" s="10">
        <v>801</v>
      </c>
      <c r="K85" s="10">
        <v>53829641.457936905</v>
      </c>
    </row>
    <row r="86" spans="1:11" x14ac:dyDescent="0.35">
      <c r="A86" s="9" t="s">
        <v>147</v>
      </c>
      <c r="B86" s="10">
        <v>568</v>
      </c>
      <c r="C86" s="10">
        <v>2</v>
      </c>
      <c r="D86" s="10">
        <v>1</v>
      </c>
      <c r="E86" s="10">
        <v>717</v>
      </c>
      <c r="F86" s="10">
        <v>20511449.818675995</v>
      </c>
      <c r="G86" s="10">
        <v>591</v>
      </c>
      <c r="H86" s="10">
        <v>6</v>
      </c>
      <c r="I86" s="10">
        <v>1</v>
      </c>
      <c r="J86" s="10">
        <v>723</v>
      </c>
      <c r="K86" s="10">
        <v>24125242.285651583</v>
      </c>
    </row>
    <row r="87" spans="1:11" x14ac:dyDescent="0.35">
      <c r="A87" s="9" t="s">
        <v>164</v>
      </c>
      <c r="B87" s="10">
        <v>1716</v>
      </c>
      <c r="C87" s="10">
        <v>11</v>
      </c>
      <c r="D87" s="10">
        <v>10</v>
      </c>
      <c r="E87" s="10">
        <v>1300</v>
      </c>
      <c r="F87" s="10">
        <v>90915719.57305482</v>
      </c>
      <c r="G87" s="10">
        <v>1768</v>
      </c>
      <c r="H87" s="10">
        <v>15</v>
      </c>
      <c r="I87" s="10">
        <v>10</v>
      </c>
      <c r="J87" s="10">
        <v>1469</v>
      </c>
      <c r="K87" s="10">
        <v>106066568.13138729</v>
      </c>
    </row>
    <row r="88" spans="1:11" x14ac:dyDescent="0.35">
      <c r="A88" s="9" t="s">
        <v>91</v>
      </c>
      <c r="B88" s="10">
        <v>616</v>
      </c>
      <c r="C88" s="10">
        <v>10</v>
      </c>
      <c r="D88" s="10">
        <v>3</v>
      </c>
      <c r="E88" s="10">
        <v>670</v>
      </c>
      <c r="F88" s="10">
        <v>25488931.309406608</v>
      </c>
      <c r="G88" s="10">
        <v>653</v>
      </c>
      <c r="H88" s="10">
        <v>3</v>
      </c>
      <c r="I88" s="10">
        <v>4</v>
      </c>
      <c r="J88" s="10">
        <v>852</v>
      </c>
      <c r="K88" s="10">
        <v>25776965.738984022</v>
      </c>
    </row>
    <row r="89" spans="1:11" x14ac:dyDescent="0.35">
      <c r="A89" s="9" t="s">
        <v>97</v>
      </c>
      <c r="B89" s="10">
        <v>590</v>
      </c>
      <c r="C89" s="10">
        <v>18</v>
      </c>
      <c r="D89" s="10">
        <v>6</v>
      </c>
      <c r="E89" s="10">
        <v>542</v>
      </c>
      <c r="F89" s="10">
        <v>41780973.990601853</v>
      </c>
      <c r="G89" s="10">
        <v>675</v>
      </c>
      <c r="H89" s="10">
        <v>8</v>
      </c>
      <c r="I89" s="10">
        <v>8</v>
      </c>
      <c r="J89" s="10">
        <v>686</v>
      </c>
      <c r="K89" s="10">
        <v>45005446.133739471</v>
      </c>
    </row>
    <row r="90" spans="1:11" x14ac:dyDescent="0.35">
      <c r="A90" s="9" t="s">
        <v>78</v>
      </c>
      <c r="B90" s="10">
        <v>355</v>
      </c>
      <c r="C90" s="10">
        <v>3</v>
      </c>
      <c r="D90" s="10">
        <v>1</v>
      </c>
      <c r="E90" s="10">
        <v>332</v>
      </c>
      <c r="F90" s="10">
        <v>10540341.413477693</v>
      </c>
      <c r="G90" s="10">
        <v>364</v>
      </c>
      <c r="H90" s="10">
        <v>2</v>
      </c>
      <c r="I90" s="10">
        <v>1</v>
      </c>
      <c r="J90" s="10">
        <v>388</v>
      </c>
      <c r="K90" s="10">
        <v>10331473.041449422</v>
      </c>
    </row>
    <row r="91" spans="1:11" x14ac:dyDescent="0.35">
      <c r="A91" s="14" t="s">
        <v>203</v>
      </c>
      <c r="B91" s="13">
        <v>84588</v>
      </c>
      <c r="C91" s="13">
        <v>3514</v>
      </c>
      <c r="D91" s="13">
        <v>313</v>
      </c>
      <c r="E91" s="13">
        <v>69874</v>
      </c>
      <c r="F91" s="13">
        <v>4446327208.8237066</v>
      </c>
      <c r="G91" s="13">
        <v>84157</v>
      </c>
      <c r="H91" s="13">
        <v>2942</v>
      </c>
      <c r="I91" s="13">
        <v>319</v>
      </c>
      <c r="J91" s="13">
        <v>86728</v>
      </c>
      <c r="K91" s="13">
        <v>4694204886.7577677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2026-09-04T01:09:00Z</dcterms:modified>
</cp:coreProperties>
</file>