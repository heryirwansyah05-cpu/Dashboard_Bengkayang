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2" i="3"/>
  <c r="F3" i="3" l="1"/>
  <c r="G3" i="3"/>
  <c r="I3" i="3"/>
  <c r="J3" i="3"/>
  <c r="L3" i="3"/>
  <c r="M3" i="3"/>
  <c r="O3" i="3"/>
  <c r="P3" i="3"/>
  <c r="S3" i="3"/>
  <c r="T3" i="3" s="1"/>
  <c r="F4" i="3"/>
  <c r="G4" i="3"/>
  <c r="H4" i="3" s="1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O6" i="3"/>
  <c r="P6" i="3"/>
  <c r="Q6" i="3" s="1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H8" i="3" s="1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O10" i="3"/>
  <c r="P10" i="3"/>
  <c r="Q10" i="3" s="1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H12" i="3" s="1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O14" i="3"/>
  <c r="P14" i="3"/>
  <c r="Q14" i="3" s="1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H16" i="3" s="1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O17" i="3"/>
  <c r="P17" i="3"/>
  <c r="S17" i="3"/>
  <c r="T17" i="3" s="1"/>
  <c r="F18" i="3"/>
  <c r="G18" i="3"/>
  <c r="I18" i="3"/>
  <c r="J18" i="3"/>
  <c r="L18" i="3"/>
  <c r="M18" i="3"/>
  <c r="O18" i="3"/>
  <c r="P18" i="3"/>
  <c r="Q18" i="3" s="1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H20" i="3" s="1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O21" i="3"/>
  <c r="P21" i="3"/>
  <c r="S21" i="3"/>
  <c r="T21" i="3" s="1"/>
  <c r="F22" i="3"/>
  <c r="G22" i="3"/>
  <c r="I22" i="3"/>
  <c r="J22" i="3"/>
  <c r="L22" i="3"/>
  <c r="M22" i="3"/>
  <c r="O22" i="3"/>
  <c r="P22" i="3"/>
  <c r="Q22" i="3" s="1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H24" i="3" s="1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O25" i="3"/>
  <c r="P25" i="3"/>
  <c r="S25" i="3"/>
  <c r="T25" i="3" s="1"/>
  <c r="F26" i="3"/>
  <c r="G26" i="3"/>
  <c r="I26" i="3"/>
  <c r="J26" i="3"/>
  <c r="L26" i="3"/>
  <c r="M26" i="3"/>
  <c r="O26" i="3"/>
  <c r="P26" i="3"/>
  <c r="Q26" i="3" s="1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O29" i="3"/>
  <c r="P29" i="3"/>
  <c r="S29" i="3"/>
  <c r="T29" i="3" s="1"/>
  <c r="F30" i="3"/>
  <c r="G30" i="3"/>
  <c r="I30" i="3"/>
  <c r="J30" i="3"/>
  <c r="L30" i="3"/>
  <c r="M30" i="3"/>
  <c r="O30" i="3"/>
  <c r="P30" i="3"/>
  <c r="Q30" i="3" s="1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H32" i="3" s="1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O33" i="3"/>
  <c r="P33" i="3"/>
  <c r="S33" i="3"/>
  <c r="T33" i="3" s="1"/>
  <c r="F34" i="3"/>
  <c r="G34" i="3"/>
  <c r="I34" i="3"/>
  <c r="J34" i="3"/>
  <c r="L34" i="3"/>
  <c r="M34" i="3"/>
  <c r="O34" i="3"/>
  <c r="P34" i="3"/>
  <c r="Q34" i="3" s="1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H36" i="3" s="1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O37" i="3"/>
  <c r="P37" i="3"/>
  <c r="S37" i="3"/>
  <c r="T37" i="3" s="1"/>
  <c r="F38" i="3"/>
  <c r="G38" i="3"/>
  <c r="I38" i="3"/>
  <c r="J38" i="3"/>
  <c r="L38" i="3"/>
  <c r="M38" i="3"/>
  <c r="O38" i="3"/>
  <c r="P38" i="3"/>
  <c r="Q38" i="3" s="1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H40" i="3" s="1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O41" i="3"/>
  <c r="P41" i="3"/>
  <c r="S41" i="3"/>
  <c r="T41" i="3" s="1"/>
  <c r="F42" i="3"/>
  <c r="G42" i="3"/>
  <c r="I42" i="3"/>
  <c r="J42" i="3"/>
  <c r="L42" i="3"/>
  <c r="M42" i="3"/>
  <c r="O42" i="3"/>
  <c r="P42" i="3"/>
  <c r="Q42" i="3" s="1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H44" i="3" s="1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O45" i="3"/>
  <c r="P45" i="3"/>
  <c r="S45" i="3"/>
  <c r="T45" i="3" s="1"/>
  <c r="F46" i="3"/>
  <c r="G46" i="3"/>
  <c r="I46" i="3"/>
  <c r="J46" i="3"/>
  <c r="L46" i="3"/>
  <c r="M46" i="3"/>
  <c r="O46" i="3"/>
  <c r="P46" i="3"/>
  <c r="Q46" i="3" s="1"/>
  <c r="S46" i="3"/>
  <c r="T46" i="3" s="1"/>
  <c r="F47" i="3"/>
  <c r="G47" i="3"/>
  <c r="I47" i="3"/>
  <c r="J47" i="3"/>
  <c r="L47" i="3"/>
  <c r="M47" i="3"/>
  <c r="O47" i="3"/>
  <c r="P47" i="3"/>
  <c r="S47" i="3"/>
  <c r="T47" i="3" s="1"/>
  <c r="F48" i="3"/>
  <c r="G48" i="3"/>
  <c r="H48" i="3" s="1"/>
  <c r="I48" i="3"/>
  <c r="J48" i="3"/>
  <c r="L48" i="3"/>
  <c r="M48" i="3"/>
  <c r="O48" i="3"/>
  <c r="P48" i="3"/>
  <c r="S48" i="3"/>
  <c r="T48" i="3" s="1"/>
  <c r="F49" i="3"/>
  <c r="G49" i="3"/>
  <c r="I49" i="3"/>
  <c r="J49" i="3"/>
  <c r="L49" i="3"/>
  <c r="M49" i="3"/>
  <c r="O49" i="3"/>
  <c r="P49" i="3"/>
  <c r="S49" i="3"/>
  <c r="T49" i="3" s="1"/>
  <c r="F50" i="3"/>
  <c r="G50" i="3"/>
  <c r="I50" i="3"/>
  <c r="J50" i="3"/>
  <c r="L50" i="3"/>
  <c r="M50" i="3"/>
  <c r="O50" i="3"/>
  <c r="P50" i="3"/>
  <c r="Q50" i="3" s="1"/>
  <c r="S50" i="3"/>
  <c r="T50" i="3" s="1"/>
  <c r="F51" i="3"/>
  <c r="G51" i="3"/>
  <c r="I51" i="3"/>
  <c r="J51" i="3"/>
  <c r="L51" i="3"/>
  <c r="M51" i="3"/>
  <c r="O51" i="3"/>
  <c r="P51" i="3"/>
  <c r="S51" i="3"/>
  <c r="T51" i="3" s="1"/>
  <c r="F52" i="3"/>
  <c r="G52" i="3"/>
  <c r="I52" i="3"/>
  <c r="J52" i="3"/>
  <c r="L52" i="3"/>
  <c r="M52" i="3"/>
  <c r="O52" i="3"/>
  <c r="P52" i="3"/>
  <c r="S52" i="3"/>
  <c r="T52" i="3" s="1"/>
  <c r="F53" i="3"/>
  <c r="G53" i="3"/>
  <c r="I53" i="3"/>
  <c r="J53" i="3"/>
  <c r="L53" i="3"/>
  <c r="M53" i="3"/>
  <c r="O53" i="3"/>
  <c r="P53" i="3"/>
  <c r="S53" i="3"/>
  <c r="T53" i="3" s="1"/>
  <c r="F54" i="3"/>
  <c r="G54" i="3"/>
  <c r="I54" i="3"/>
  <c r="J54" i="3"/>
  <c r="L54" i="3"/>
  <c r="M54" i="3"/>
  <c r="O54" i="3"/>
  <c r="P54" i="3"/>
  <c r="Q54" i="3" s="1"/>
  <c r="S54" i="3"/>
  <c r="T54" i="3" s="1"/>
  <c r="F55" i="3"/>
  <c r="G55" i="3"/>
  <c r="I55" i="3"/>
  <c r="J55" i="3"/>
  <c r="L55" i="3"/>
  <c r="M55" i="3"/>
  <c r="O55" i="3"/>
  <c r="P55" i="3"/>
  <c r="S55" i="3"/>
  <c r="T55" i="3" s="1"/>
  <c r="F56" i="3"/>
  <c r="G56" i="3"/>
  <c r="H56" i="3" s="1"/>
  <c r="I56" i="3"/>
  <c r="J56" i="3"/>
  <c r="L56" i="3"/>
  <c r="M56" i="3"/>
  <c r="O56" i="3"/>
  <c r="P56" i="3"/>
  <c r="S56" i="3"/>
  <c r="T56" i="3" s="1"/>
  <c r="F57" i="3"/>
  <c r="G57" i="3"/>
  <c r="I57" i="3"/>
  <c r="J57" i="3"/>
  <c r="L57" i="3"/>
  <c r="M57" i="3"/>
  <c r="O57" i="3"/>
  <c r="P57" i="3"/>
  <c r="S57" i="3"/>
  <c r="T57" i="3" s="1"/>
  <c r="F58" i="3"/>
  <c r="G58" i="3"/>
  <c r="I58" i="3"/>
  <c r="J58" i="3"/>
  <c r="L58" i="3"/>
  <c r="M58" i="3"/>
  <c r="O58" i="3"/>
  <c r="P58" i="3"/>
  <c r="Q58" i="3" s="1"/>
  <c r="S58" i="3"/>
  <c r="T58" i="3" s="1"/>
  <c r="F59" i="3"/>
  <c r="G59" i="3"/>
  <c r="I59" i="3"/>
  <c r="J59" i="3"/>
  <c r="L59" i="3"/>
  <c r="M59" i="3"/>
  <c r="O59" i="3"/>
  <c r="P59" i="3"/>
  <c r="S59" i="3"/>
  <c r="T59" i="3" s="1"/>
  <c r="F60" i="3"/>
  <c r="G60" i="3"/>
  <c r="H60" i="3" s="1"/>
  <c r="I60" i="3"/>
  <c r="J60" i="3"/>
  <c r="L60" i="3"/>
  <c r="M60" i="3"/>
  <c r="O60" i="3"/>
  <c r="P60" i="3"/>
  <c r="S60" i="3"/>
  <c r="T60" i="3" s="1"/>
  <c r="F61" i="3"/>
  <c r="G61" i="3"/>
  <c r="I61" i="3"/>
  <c r="J61" i="3"/>
  <c r="L61" i="3"/>
  <c r="M61" i="3"/>
  <c r="O61" i="3"/>
  <c r="P61" i="3"/>
  <c r="S61" i="3"/>
  <c r="T61" i="3" s="1"/>
  <c r="F62" i="3"/>
  <c r="G62" i="3"/>
  <c r="I62" i="3"/>
  <c r="J62" i="3"/>
  <c r="L62" i="3"/>
  <c r="M62" i="3"/>
  <c r="O62" i="3"/>
  <c r="P62" i="3"/>
  <c r="Q62" i="3" s="1"/>
  <c r="S62" i="3"/>
  <c r="T62" i="3" s="1"/>
  <c r="F63" i="3"/>
  <c r="G63" i="3"/>
  <c r="I63" i="3"/>
  <c r="J63" i="3"/>
  <c r="L63" i="3"/>
  <c r="M63" i="3"/>
  <c r="O63" i="3"/>
  <c r="P63" i="3"/>
  <c r="S63" i="3"/>
  <c r="T63" i="3" s="1"/>
  <c r="F64" i="3"/>
  <c r="G64" i="3"/>
  <c r="I64" i="3"/>
  <c r="J64" i="3"/>
  <c r="L64" i="3"/>
  <c r="M64" i="3"/>
  <c r="O64" i="3"/>
  <c r="P64" i="3"/>
  <c r="S64" i="3"/>
  <c r="T64" i="3" s="1"/>
  <c r="F65" i="3"/>
  <c r="G65" i="3"/>
  <c r="I65" i="3"/>
  <c r="J65" i="3"/>
  <c r="L65" i="3"/>
  <c r="M65" i="3"/>
  <c r="O65" i="3"/>
  <c r="P65" i="3"/>
  <c r="S65" i="3"/>
  <c r="T65" i="3" s="1"/>
  <c r="F66" i="3"/>
  <c r="G66" i="3"/>
  <c r="I66" i="3"/>
  <c r="J66" i="3"/>
  <c r="L66" i="3"/>
  <c r="M66" i="3"/>
  <c r="O66" i="3"/>
  <c r="P66" i="3"/>
  <c r="Q66" i="3" s="1"/>
  <c r="S66" i="3"/>
  <c r="T66" i="3" s="1"/>
  <c r="F67" i="3"/>
  <c r="G67" i="3"/>
  <c r="I67" i="3"/>
  <c r="J67" i="3"/>
  <c r="L67" i="3"/>
  <c r="M67" i="3"/>
  <c r="O67" i="3"/>
  <c r="P67" i="3"/>
  <c r="S67" i="3"/>
  <c r="T67" i="3" s="1"/>
  <c r="F68" i="3"/>
  <c r="G68" i="3"/>
  <c r="H68" i="3" s="1"/>
  <c r="I68" i="3"/>
  <c r="J68" i="3"/>
  <c r="L68" i="3"/>
  <c r="M68" i="3"/>
  <c r="O68" i="3"/>
  <c r="P68" i="3"/>
  <c r="S68" i="3"/>
  <c r="T68" i="3" s="1"/>
  <c r="F69" i="3"/>
  <c r="G69" i="3"/>
  <c r="I69" i="3"/>
  <c r="J69" i="3"/>
  <c r="L69" i="3"/>
  <c r="M69" i="3"/>
  <c r="O69" i="3"/>
  <c r="P69" i="3"/>
  <c r="S69" i="3"/>
  <c r="T69" i="3" s="1"/>
  <c r="F70" i="3"/>
  <c r="G70" i="3"/>
  <c r="I70" i="3"/>
  <c r="J70" i="3"/>
  <c r="L70" i="3"/>
  <c r="M70" i="3"/>
  <c r="O70" i="3"/>
  <c r="P70" i="3"/>
  <c r="Q70" i="3" s="1"/>
  <c r="S70" i="3"/>
  <c r="T70" i="3" s="1"/>
  <c r="F71" i="3"/>
  <c r="G71" i="3"/>
  <c r="I71" i="3"/>
  <c r="J71" i="3"/>
  <c r="L71" i="3"/>
  <c r="M71" i="3"/>
  <c r="O71" i="3"/>
  <c r="P71" i="3"/>
  <c r="S71" i="3"/>
  <c r="T71" i="3" s="1"/>
  <c r="F72" i="3"/>
  <c r="G72" i="3"/>
  <c r="H72" i="3" s="1"/>
  <c r="I72" i="3"/>
  <c r="J72" i="3"/>
  <c r="L72" i="3"/>
  <c r="M72" i="3"/>
  <c r="O72" i="3"/>
  <c r="P72" i="3"/>
  <c r="S72" i="3"/>
  <c r="T72" i="3" s="1"/>
  <c r="F73" i="3"/>
  <c r="G73" i="3"/>
  <c r="I73" i="3"/>
  <c r="J73" i="3"/>
  <c r="L73" i="3"/>
  <c r="M73" i="3"/>
  <c r="O73" i="3"/>
  <c r="P73" i="3"/>
  <c r="S73" i="3"/>
  <c r="T73" i="3" s="1"/>
  <c r="F74" i="3"/>
  <c r="G74" i="3"/>
  <c r="I74" i="3"/>
  <c r="J74" i="3"/>
  <c r="L74" i="3"/>
  <c r="M74" i="3"/>
  <c r="O74" i="3"/>
  <c r="P74" i="3"/>
  <c r="Q74" i="3" s="1"/>
  <c r="S74" i="3"/>
  <c r="T74" i="3" s="1"/>
  <c r="F75" i="3"/>
  <c r="G75" i="3"/>
  <c r="I75" i="3"/>
  <c r="J75" i="3"/>
  <c r="L75" i="3"/>
  <c r="M75" i="3"/>
  <c r="O75" i="3"/>
  <c r="P75" i="3"/>
  <c r="S75" i="3"/>
  <c r="T75" i="3" s="1"/>
  <c r="F76" i="3"/>
  <c r="G76" i="3"/>
  <c r="H76" i="3" s="1"/>
  <c r="I76" i="3"/>
  <c r="J76" i="3"/>
  <c r="L76" i="3"/>
  <c r="M76" i="3"/>
  <c r="O76" i="3"/>
  <c r="P76" i="3"/>
  <c r="S76" i="3"/>
  <c r="T76" i="3" s="1"/>
  <c r="F77" i="3"/>
  <c r="G77" i="3"/>
  <c r="I77" i="3"/>
  <c r="J77" i="3"/>
  <c r="L77" i="3"/>
  <c r="M77" i="3"/>
  <c r="O77" i="3"/>
  <c r="P77" i="3"/>
  <c r="S77" i="3"/>
  <c r="T77" i="3" s="1"/>
  <c r="F78" i="3"/>
  <c r="G78" i="3"/>
  <c r="I78" i="3"/>
  <c r="J78" i="3"/>
  <c r="L78" i="3"/>
  <c r="M78" i="3"/>
  <c r="O78" i="3"/>
  <c r="P78" i="3"/>
  <c r="Q78" i="3" s="1"/>
  <c r="S78" i="3"/>
  <c r="T78" i="3" s="1"/>
  <c r="F79" i="3"/>
  <c r="G79" i="3"/>
  <c r="I79" i="3"/>
  <c r="J79" i="3"/>
  <c r="L79" i="3"/>
  <c r="M79" i="3"/>
  <c r="O79" i="3"/>
  <c r="P79" i="3"/>
  <c r="S79" i="3"/>
  <c r="T79" i="3" s="1"/>
  <c r="F80" i="3"/>
  <c r="G80" i="3"/>
  <c r="H80" i="3" s="1"/>
  <c r="I80" i="3"/>
  <c r="J80" i="3"/>
  <c r="L80" i="3"/>
  <c r="M80" i="3"/>
  <c r="O80" i="3"/>
  <c r="P80" i="3"/>
  <c r="S80" i="3"/>
  <c r="T80" i="3" s="1"/>
  <c r="F81" i="3"/>
  <c r="G81" i="3"/>
  <c r="I81" i="3"/>
  <c r="J81" i="3"/>
  <c r="L81" i="3"/>
  <c r="M81" i="3"/>
  <c r="N81" i="3" s="1"/>
  <c r="O81" i="3"/>
  <c r="P81" i="3"/>
  <c r="S81" i="3"/>
  <c r="T81" i="3" s="1"/>
  <c r="F82" i="3"/>
  <c r="G82" i="3"/>
  <c r="I82" i="3"/>
  <c r="J82" i="3"/>
  <c r="L82" i="3"/>
  <c r="M82" i="3"/>
  <c r="O82" i="3"/>
  <c r="P82" i="3"/>
  <c r="Q82" i="3" s="1"/>
  <c r="S82" i="3"/>
  <c r="T82" i="3" s="1"/>
  <c r="F83" i="3"/>
  <c r="G83" i="3"/>
  <c r="I83" i="3"/>
  <c r="J83" i="3"/>
  <c r="L83" i="3"/>
  <c r="M83" i="3"/>
  <c r="O83" i="3"/>
  <c r="P83" i="3"/>
  <c r="S83" i="3"/>
  <c r="T83" i="3" s="1"/>
  <c r="F84" i="3"/>
  <c r="G84" i="3"/>
  <c r="H84" i="3" s="1"/>
  <c r="I84" i="3"/>
  <c r="J84" i="3"/>
  <c r="L84" i="3"/>
  <c r="M84" i="3"/>
  <c r="O84" i="3"/>
  <c r="P84" i="3"/>
  <c r="S84" i="3"/>
  <c r="T84" i="3" s="1"/>
  <c r="F85" i="3"/>
  <c r="G85" i="3"/>
  <c r="I85" i="3"/>
  <c r="J85" i="3"/>
  <c r="L85" i="3"/>
  <c r="M85" i="3"/>
  <c r="N85" i="3" s="1"/>
  <c r="O85" i="3"/>
  <c r="P85" i="3"/>
  <c r="S85" i="3"/>
  <c r="T85" i="3" s="1"/>
  <c r="S2" i="3"/>
  <c r="T2" i="3" s="1"/>
  <c r="P2" i="3"/>
  <c r="O2" i="3"/>
  <c r="M2" i="3"/>
  <c r="L2" i="3"/>
  <c r="J2" i="3"/>
  <c r="I2" i="3"/>
  <c r="G2" i="3"/>
  <c r="F2" i="3"/>
  <c r="H28" i="3" l="1"/>
  <c r="N77" i="3"/>
  <c r="N73" i="3"/>
  <c r="N69" i="3"/>
  <c r="N65" i="3"/>
  <c r="N61" i="3"/>
  <c r="N57" i="3"/>
  <c r="N53" i="3"/>
  <c r="N49" i="3"/>
  <c r="N45" i="3"/>
  <c r="N41" i="3"/>
  <c r="N37" i="3"/>
  <c r="N33" i="3"/>
  <c r="N29" i="3"/>
  <c r="N25" i="3"/>
  <c r="N21" i="3"/>
  <c r="N17" i="3"/>
  <c r="N70" i="3"/>
  <c r="N66" i="3"/>
  <c r="N62" i="3"/>
  <c r="N58" i="3"/>
  <c r="N54" i="3"/>
  <c r="N50" i="3"/>
  <c r="N46" i="3"/>
  <c r="N42" i="3"/>
  <c r="N38" i="3"/>
  <c r="N34" i="3"/>
  <c r="N30" i="3"/>
  <c r="N26" i="3"/>
  <c r="N22" i="3"/>
  <c r="N18" i="3"/>
  <c r="N14" i="3"/>
  <c r="N10" i="3"/>
  <c r="N6" i="3"/>
  <c r="N13" i="3"/>
  <c r="N9" i="3"/>
  <c r="N5" i="3"/>
  <c r="K82" i="3"/>
  <c r="K78" i="3"/>
  <c r="K74" i="3"/>
  <c r="K70" i="3"/>
  <c r="K66" i="3"/>
  <c r="K62" i="3"/>
  <c r="K58" i="3"/>
  <c r="K54" i="3"/>
  <c r="K50" i="3"/>
  <c r="K46" i="3"/>
  <c r="K42" i="3"/>
  <c r="K38" i="3"/>
  <c r="K34" i="3"/>
  <c r="K30" i="3"/>
  <c r="K26" i="3"/>
  <c r="K22" i="3"/>
  <c r="K18" i="3"/>
  <c r="K14" i="3"/>
  <c r="K10" i="3"/>
  <c r="K6" i="3"/>
  <c r="Q77" i="3"/>
  <c r="Q73" i="3"/>
  <c r="Q69" i="3"/>
  <c r="Q65" i="3"/>
  <c r="Q61" i="3"/>
  <c r="Q57" i="3"/>
  <c r="H64" i="3"/>
  <c r="H52" i="3"/>
  <c r="K85" i="3"/>
  <c r="Q85" i="3"/>
  <c r="Q81" i="3"/>
  <c r="N31" i="3"/>
  <c r="N27" i="3"/>
  <c r="N23" i="3"/>
  <c r="N19" i="3"/>
  <c r="N15" i="3"/>
  <c r="N11" i="3"/>
  <c r="N7" i="3"/>
  <c r="N3" i="3"/>
  <c r="K7" i="3"/>
  <c r="K3" i="3"/>
  <c r="K81" i="3"/>
  <c r="K77" i="3"/>
  <c r="K73" i="3"/>
  <c r="K69" i="3"/>
  <c r="K65" i="3"/>
  <c r="K61" i="3"/>
  <c r="K57" i="3"/>
  <c r="K53" i="3"/>
  <c r="K49" i="3"/>
  <c r="K45" i="3"/>
  <c r="K41" i="3"/>
  <c r="K37" i="3"/>
  <c r="N83" i="3"/>
  <c r="N79" i="3"/>
  <c r="N75" i="3"/>
  <c r="N71" i="3"/>
  <c r="N67" i="3"/>
  <c r="N63" i="3"/>
  <c r="N59" i="3"/>
  <c r="N55" i="3"/>
  <c r="N51" i="3"/>
  <c r="N47" i="3"/>
  <c r="N43" i="3"/>
  <c r="N39" i="3"/>
  <c r="Q84" i="3"/>
  <c r="H82" i="3"/>
  <c r="Q80" i="3"/>
  <c r="Q76" i="3"/>
  <c r="Q72" i="3"/>
  <c r="Q68" i="3"/>
  <c r="Q64" i="3"/>
  <c r="Q60" i="3"/>
  <c r="Q56" i="3"/>
  <c r="Q52" i="3"/>
  <c r="Q48" i="3"/>
  <c r="Q44" i="3"/>
  <c r="Q40" i="3"/>
  <c r="Q36" i="3"/>
  <c r="Q32" i="3"/>
  <c r="Q28" i="3"/>
  <c r="Q24" i="3"/>
  <c r="Q20" i="3"/>
  <c r="Q16" i="3"/>
  <c r="Q12" i="3"/>
  <c r="Q8" i="3"/>
  <c r="Q4" i="3"/>
  <c r="Q53" i="3"/>
  <c r="Q49" i="3"/>
  <c r="Q45" i="3"/>
  <c r="Q41" i="3"/>
  <c r="Q37" i="3"/>
  <c r="Q33" i="3"/>
  <c r="Q29" i="3"/>
  <c r="Q25" i="3"/>
  <c r="Q21" i="3"/>
  <c r="Q17" i="3"/>
  <c r="Q13" i="3"/>
  <c r="H11" i="3"/>
  <c r="Q9" i="3"/>
  <c r="H7" i="3"/>
  <c r="Q5" i="3"/>
  <c r="H3" i="3"/>
  <c r="K33" i="3"/>
  <c r="K29" i="3"/>
  <c r="K25" i="3"/>
  <c r="K21" i="3"/>
  <c r="K17" i="3"/>
  <c r="K13" i="3"/>
  <c r="K9" i="3"/>
  <c r="K5" i="3"/>
  <c r="N82" i="3"/>
  <c r="N78" i="3"/>
  <c r="N74" i="3"/>
  <c r="Q83" i="3"/>
  <c r="Q79" i="3"/>
  <c r="Q75" i="3"/>
  <c r="Q71" i="3"/>
  <c r="Q67" i="3"/>
  <c r="Q63" i="3"/>
  <c r="Q59" i="3"/>
  <c r="Q55" i="3"/>
  <c r="Q51" i="3"/>
  <c r="Q47" i="3"/>
  <c r="Q43" i="3"/>
  <c r="Q39" i="3"/>
  <c r="Q35" i="3"/>
  <c r="Q31" i="3"/>
  <c r="Q27" i="3"/>
  <c r="Q23" i="3"/>
  <c r="Q19" i="3"/>
  <c r="Q15" i="3"/>
  <c r="Q11" i="3"/>
  <c r="Q7" i="3"/>
  <c r="Q3" i="3"/>
  <c r="K27" i="3"/>
  <c r="K23" i="3"/>
  <c r="K19" i="3"/>
  <c r="K15" i="3"/>
  <c r="K11" i="3"/>
  <c r="N84" i="3"/>
  <c r="N80" i="3"/>
  <c r="N76" i="3"/>
  <c r="N72" i="3"/>
  <c r="N68" i="3"/>
  <c r="N64" i="3"/>
  <c r="N60" i="3"/>
  <c r="N56" i="3"/>
  <c r="N52" i="3"/>
  <c r="N48" i="3"/>
  <c r="N44" i="3"/>
  <c r="N40" i="3"/>
  <c r="N36" i="3"/>
  <c r="N32" i="3"/>
  <c r="N28" i="3"/>
  <c r="N24" i="3"/>
  <c r="N20" i="3"/>
  <c r="N16" i="3"/>
  <c r="N12" i="3"/>
  <c r="N8" i="3"/>
  <c r="N4" i="3"/>
  <c r="N35" i="3"/>
  <c r="Q2" i="3"/>
  <c r="H78" i="3"/>
  <c r="H74" i="3"/>
  <c r="H70" i="3"/>
  <c r="H66" i="3"/>
  <c r="H62" i="3"/>
  <c r="H58" i="3"/>
  <c r="H54" i="3"/>
  <c r="H50" i="3"/>
  <c r="H46" i="3"/>
  <c r="H42" i="3"/>
  <c r="H38" i="3"/>
  <c r="H34" i="3"/>
  <c r="H30" i="3"/>
  <c r="H26" i="3"/>
  <c r="H22" i="3"/>
  <c r="H18" i="3"/>
  <c r="H14" i="3"/>
  <c r="H10" i="3"/>
  <c r="H6" i="3"/>
  <c r="N2" i="3"/>
  <c r="H85" i="3"/>
  <c r="H81" i="3"/>
  <c r="H77" i="3"/>
  <c r="H73" i="3"/>
  <c r="H69" i="3"/>
  <c r="H65" i="3"/>
  <c r="H61" i="3"/>
  <c r="H57" i="3"/>
  <c r="H53" i="3"/>
  <c r="H49" i="3"/>
  <c r="H45" i="3"/>
  <c r="H41" i="3"/>
  <c r="H37" i="3"/>
  <c r="H33" i="3"/>
  <c r="H29" i="3"/>
  <c r="H25" i="3"/>
  <c r="H21" i="3"/>
  <c r="H17" i="3"/>
  <c r="H13" i="3"/>
  <c r="H9" i="3"/>
  <c r="H5" i="3"/>
  <c r="K2" i="3"/>
  <c r="K83" i="3"/>
  <c r="K79" i="3"/>
  <c r="K75" i="3"/>
  <c r="K71" i="3"/>
  <c r="K67" i="3"/>
  <c r="K63" i="3"/>
  <c r="K59" i="3"/>
  <c r="K55" i="3"/>
  <c r="K51" i="3"/>
  <c r="K47" i="3"/>
  <c r="K43" i="3"/>
  <c r="K39" i="3"/>
  <c r="K35" i="3"/>
  <c r="K31" i="3"/>
  <c r="H2" i="3"/>
  <c r="H83" i="3"/>
  <c r="H79" i="3"/>
  <c r="H75" i="3"/>
  <c r="H71" i="3"/>
  <c r="H67" i="3"/>
  <c r="H63" i="3"/>
  <c r="H59" i="3"/>
  <c r="H55" i="3"/>
  <c r="H51" i="3"/>
  <c r="H47" i="3"/>
  <c r="H43" i="3"/>
  <c r="H39" i="3"/>
  <c r="H35" i="3"/>
  <c r="H31" i="3"/>
  <c r="H27" i="3"/>
  <c r="H23" i="3"/>
  <c r="H19" i="3"/>
  <c r="H15" i="3"/>
  <c r="K84" i="3"/>
  <c r="K80" i="3"/>
  <c r="K76" i="3"/>
  <c r="K72" i="3"/>
  <c r="K68" i="3"/>
  <c r="K64" i="3"/>
  <c r="K60" i="3"/>
  <c r="K56" i="3"/>
  <c r="K52" i="3"/>
  <c r="K48" i="3"/>
  <c r="K44" i="3"/>
  <c r="K40" i="3"/>
  <c r="K36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<sst xmlns="http://schemas.openxmlformats.org/spreadsheetml/2006/main" count="540" uniqueCount="205">
  <si>
    <t>SITE ID</t>
  </si>
  <si>
    <t>SITE NAME</t>
  </si>
  <si>
    <t>20BEK0038</t>
  </si>
  <si>
    <t>BUMI_EMAS_MT</t>
  </si>
  <si>
    <t>PT-JAGOI BABANG</t>
  </si>
  <si>
    <t>DSE-JAGOIBABNG02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</si>
  <si>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</si>
  <si>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</si>
  <si>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</si>
  <si>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</si>
  <si>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</si>
  <si>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</si>
  <si>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</si>
  <si>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</si>
  <si>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</si>
  <si>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</si>
  <si>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</si>
  <si>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</si>
  <si>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</si>
  <si>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</si>
  <si>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</si>
  <si>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CAPKALA_MT</t>
  </si>
  <si>
    <t>PT-MONTERADO</t>
  </si>
  <si>
    <t>DSE1082</t>
  </si>
  <si>
    <t>20BEK0066</t>
  </si>
  <si>
    <t>SELUAS_BEK1_MT</t>
  </si>
  <si>
    <t>DSE1147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</si>
  <si>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</si>
  <si>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</si>
  <si>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</si>
  <si>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</si>
  <si>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</si>
  <si>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</si>
  <si>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</si>
  <si>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</si>
  <si>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</si>
  <si>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</si>
  <si>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</si>
  <si>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</si>
  <si>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</si>
  <si>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</si>
  <si>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</si>
  <si>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</si>
  <si>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</si>
  <si>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</si>
  <si>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</si>
  <si>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</si>
  <si>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</si>
  <si>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</si>
  <si>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</si>
  <si>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</si>
  <si>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</si>
  <si>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</si>
  <si>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</si>
  <si>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</si>
  <si>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</si>
  <si>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</si>
  <si>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20BEK0069</t>
  </si>
  <si>
    <t>MONTERADO_CAPKALA_ST</t>
  </si>
  <si>
    <t>20BEK0077</t>
  </si>
  <si>
    <t>SIPKANYIN_JAHANDUNG_PL</t>
  </si>
  <si>
    <t>20BEK0082</t>
  </si>
  <si>
    <t>BOMA_MONTERADO_PL</t>
  </si>
  <si>
    <t>20BEK0076</t>
  </si>
  <si>
    <t>JAHANDUNG_BENGKAYANG_PL</t>
  </si>
  <si>
    <t>20BEK0088</t>
  </si>
  <si>
    <t>MONTERADO_BENGKAYANG_PL</t>
  </si>
  <si>
    <t>20BEK0022</t>
  </si>
  <si>
    <t>MARUNSU_PL</t>
  </si>
  <si>
    <t>DSE-BENGKAYANG01</t>
  </si>
  <si>
    <t>20BEK0025</t>
  </si>
  <si>
    <t>BUKIT_SERAYAN_PL</t>
  </si>
  <si>
    <t>20BEK0026</t>
  </si>
  <si>
    <t>BABANE_MT</t>
  </si>
  <si>
    <t>20BEK0023</t>
  </si>
  <si>
    <t>SAMALANTAN_MT</t>
  </si>
  <si>
    <t>20BEK0087</t>
  </si>
  <si>
    <t>DUSUN_JIRAK_PL</t>
  </si>
  <si>
    <t>20BEK0094</t>
  </si>
  <si>
    <t>20BEK0027</t>
  </si>
  <si>
    <t>PASTIJAYA_PL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</si>
  <si>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</si>
  <si>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</si>
  <si>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</si>
  <si>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</si>
  <si>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</si>
  <si>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</si>
  <si>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</si>
  <si>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</si>
  <si>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</si>
  <si>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</si>
  <si>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</si>
  <si>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</si>
  <si>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</si>
  <si>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</si>
  <si>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</si>
  <si>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</si>
  <si>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</si>
  <si>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</si>
  <si>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</si>
  <si>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</si>
  <si>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</si>
  <si>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</si>
  <si>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</si>
  <si>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</si>
  <si>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</si>
  <si>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</si>
  <si>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</si>
  <si>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</si>
  <si>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</si>
  <si>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</si>
  <si>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</si>
  <si>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</si>
  <si>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</si>
  <si>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</si>
  <si>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</si>
  <si>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</si>
  <si>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20BEK0001</t>
  </si>
  <si>
    <t>KARIMUNTING_BEK2_PL</t>
  </si>
  <si>
    <t>20BEK0003</t>
  </si>
  <si>
    <t>RAYA_KEPULAUAN_ST</t>
  </si>
  <si>
    <t>20BEK0004</t>
  </si>
  <si>
    <t>SEI_RAYA_EP</t>
  </si>
  <si>
    <t>20BEK0005</t>
  </si>
  <si>
    <t>SEI_KERANG_PL</t>
  </si>
  <si>
    <t>20BEK0006</t>
  </si>
  <si>
    <t>RUKMA_JAYA_PL</t>
  </si>
  <si>
    <t>20BEK0002</t>
  </si>
  <si>
    <t>KARIMUNTING_BEK1_EP</t>
  </si>
  <si>
    <t>20BEK0083</t>
  </si>
  <si>
    <t>PANTAI_SOGA_PL</t>
  </si>
  <si>
    <t>20BEK0007</t>
  </si>
  <si>
    <t>SEI_DURI_PL</t>
  </si>
  <si>
    <t>20BEK0008</t>
  </si>
  <si>
    <t>RUKMA_JAYA1_PL</t>
  </si>
  <si>
    <t>20BEK0010</t>
  </si>
  <si>
    <t>SUNGAI_DURI1_MT</t>
  </si>
  <si>
    <t>20BEK0070</t>
  </si>
  <si>
    <t>SUNGAI_JAGA_MT</t>
  </si>
  <si>
    <t>20BEK0079</t>
  </si>
  <si>
    <t>SELUAS_SUNGAIRAYA_PL</t>
  </si>
  <si>
    <t>20BEK0009</t>
  </si>
  <si>
    <t>SUNGAI_DURI2_PL</t>
  </si>
  <si>
    <t>20BEK0011</t>
  </si>
  <si>
    <t>SUNGAI_JAGA_A_BEK_PL</t>
  </si>
  <si>
    <t>20BEK0012</t>
  </si>
  <si>
    <t>SEIPANGKALAN_EP</t>
  </si>
  <si>
    <t>20BEK0090</t>
  </si>
  <si>
    <t>SUNGAIDURI_BENGKAYANG_PL</t>
  </si>
  <si>
    <t>20BEK0036</t>
  </si>
  <si>
    <t>BUMI_MAS_PL</t>
  </si>
  <si>
    <t>DSE-JAGOIBABNG01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</si>
  <si>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</si>
  <si>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</si>
  <si>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</si>
  <si>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</si>
  <si>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</si>
  <si>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</si>
  <si>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</si>
  <si>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</si>
  <si>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</si>
  <si>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</si>
  <si>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</si>
  <si>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</si>
  <si>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</si>
  <si>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</si>
  <si>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</si>
  <si>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</si>
  <si>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</si>
  <si>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</si>
  <si>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</si>
  <si>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</si>
  <si>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</si>
  <si>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</si>
  <si>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</si>
  <si>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</si>
  <si>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</si>
  <si>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BANDARA_SERUKAM_CM</t>
  </si>
  <si>
    <t>PARTNER</t>
  </si>
  <si>
    <t>DSE CODE</t>
  </si>
  <si>
    <t>LRS</t>
  </si>
  <si>
    <t>AT RISK</t>
  </si>
  <si>
    <t>PROFIT</t>
  </si>
  <si>
    <t>REVENUE MTD</t>
  </si>
  <si>
    <t>FWA VLR MTD</t>
  </si>
  <si>
    <t>OUTLET AGUSTUS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</si>
  <si>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</si>
  <si>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</si>
  <si>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</si>
  <si>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</si>
  <si>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</si>
  <si>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</si>
  <si>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</si>
  <si>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</si>
  <si>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</si>
  <si>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</si>
  <si>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</si>
  <si>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</si>
  <si>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FWA VLR</t>
  </si>
  <si>
    <t>Sum of VLR SUBS</t>
  </si>
  <si>
    <t>Sum of PREPAID REVENUE NETT</t>
  </si>
  <si>
    <t>20BEK0049</t>
  </si>
  <si>
    <t>GROWTH</t>
  </si>
  <si>
    <t>Grand Total</t>
  </si>
  <si>
    <t>Sum of RGU GA TRADE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</si>
</sst>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  <xf numFmtId="0" fontId="3" fillId="3" borderId="3" xfId="0" applyNumberFormat="1" applyFont="1" applyFill="1" applyBorder="1"/>
    <xf numFmtId="0" fontId="3" fillId="3" borderId="3" xfId="0" applyFont="1" applyFill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5"/>
  <sheetViews>
    <sheetView tabSelected="1" workbookViewId="0">
      <pane xSplit="1" ySplit="1" topLeftCell="L68" activePane="bottomRight" state="frozen"/>
      <selection pane="topRight" activeCell="C1" sqref="C1"/>
      <selection pane="bottomLeft" activeCell="A2" sqref="A2"/>
      <selection pane="bottomRight" activeCell="F1" sqref="F1:U85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17" bestFit="1" customWidth="1"/>
  </cols>
  <sheetData>
    <row r="1" spans="1:21" x14ac:dyDescent="0.35">
      <c r="A1" s="3" t="s">
        <v>0</v>
      </c>
      <c r="B1" s="3" t="s">
        <v>1</v>
      </c>
      <c r="C1" s="4" t="s">
        <v>178</v>
      </c>
      <c r="D1" s="4" t="s">
        <v>179</v>
      </c>
      <c r="E1" s="3" t="s">
        <v>176</v>
      </c>
      <c r="F1" s="5" t="s">
        <v>186</v>
      </c>
      <c r="G1" s="5" t="s">
        <v>183</v>
      </c>
      <c r="H1" s="5" t="s">
        <v>202</v>
      </c>
      <c r="I1" s="3" t="s">
        <v>188</v>
      </c>
      <c r="J1" s="3" t="s">
        <v>187</v>
      </c>
      <c r="K1" s="5" t="s">
        <v>202</v>
      </c>
      <c r="L1" s="3" t="s">
        <v>189</v>
      </c>
      <c r="M1" s="3" t="s">
        <v>184</v>
      </c>
      <c r="N1" s="5" t="s">
        <v>202</v>
      </c>
      <c r="O1" s="5" t="s">
        <v>190</v>
      </c>
      <c r="P1" s="5" t="s">
        <v>191</v>
      </c>
      <c r="Q1" s="5" t="s">
        <v>202</v>
      </c>
      <c r="R1" s="5" t="s">
        <v>193</v>
      </c>
      <c r="S1" s="5" t="s">
        <v>192</v>
      </c>
      <c r="T1" s="5" t="s">
        <v>202</v>
      </c>
      <c r="U1" s="6" t="s">
        <v>185</v>
      </c>
    </row>
    <row r="2" spans="1:21" x14ac:dyDescent="0.35">
      <c r="A2" t="s">
        <v>117</v>
      </c>
      <c r="B2" t="s">
        <v>118</v>
      </c>
      <c r="C2" t="s">
        <v>22</v>
      </c>
      <c r="D2" t="s">
        <v>69</v>
      </c>
      <c r="E2" t="s">
        <v>180</v>
      </c>
      <c r="F2" s="1">
        <f>VLOOKUP(A:A,MASTER!A:F,6,0)</f>
        <v>3378902.3358840779</v>
      </c>
      <c r="G2" s="1">
        <f>VLOOKUP(A:A,MASTER!A:K,11,0)</f>
        <v>3428450.443261405</v>
      </c>
      <c r="H2" s="12">
        <f>IFERROR(G2/F2-1,0)</f>
        <v>1.4663965528427525E-2</v>
      </c>
      <c r="I2" s="2">
        <f>VLOOKUP(A:A,MASTER!A:E,5,0)</f>
        <v>337</v>
      </c>
      <c r="J2" s="2">
        <f>VLOOKUP(A:A,MASTER!A:J,10,0)</f>
        <v>366</v>
      </c>
      <c r="K2" s="12">
        <f>IFERROR(J2/I2-1,0)</f>
        <v>8.6053412462907986E-2</v>
      </c>
      <c r="L2" s="2">
        <f>VLOOKUP(A:A,MASTER!A:D,4,0)</f>
        <v>2</v>
      </c>
      <c r="M2" s="2">
        <f>VLOOKUP(A:A,MASTER!A:I,9,0)</f>
        <v>2</v>
      </c>
      <c r="N2" s="12">
        <f>IFERROR(M2/L2-1,0)</f>
        <v>0</v>
      </c>
      <c r="O2" s="1">
        <f>VLOOKUP(A:A,MASTER!A:C,3,0)</f>
        <v>0</v>
      </c>
      <c r="P2" s="1">
        <f>VLOOKUP(A:A,MASTER!A:H,8,0)</f>
        <v>1</v>
      </c>
      <c r="Q2" s="12">
        <f>IFERROR(P2/O2-1,0)</f>
        <v>0</v>
      </c>
      <c r="R2" s="1">
        <f>VLOOKUP(A:A,MASTER!A:B,2,0)</f>
        <v>406</v>
      </c>
      <c r="S2">
        <f>VLOOKUP(A:A,MASTER!A:G,7,0)</f>
        <v>435</v>
      </c>
      <c r="T2" s="12">
        <f>IFERROR(S2/R2-1,0)</f>
        <v>7.1428571428571397E-2</v>
      </c>
      <c r="U2">
        <v>3</v>
      </c>
    </row>
    <row r="3" spans="1:21" x14ac:dyDescent="0.35">
      <c r="A3" t="s">
        <v>127</v>
      </c>
      <c r="B3" t="s">
        <v>128</v>
      </c>
      <c r="C3" t="s">
        <v>22</v>
      </c>
      <c r="D3" t="s">
        <v>69</v>
      </c>
      <c r="E3" t="s">
        <v>181</v>
      </c>
      <c r="F3" s="1">
        <f>VLOOKUP(A:A,MASTER!A:F,6,0)</f>
        <v>4198139.0504805734</v>
      </c>
      <c r="G3" s="1">
        <f>VLOOKUP(A:A,MASTER!A:K,11,0)</f>
        <v>3845396.6447631288</v>
      </c>
      <c r="H3" s="12">
        <f t="shared" ref="H3:H66" si="0">IFERROR(G3/F3-1,0)</f>
        <v>-8.4023516485730809E-2</v>
      </c>
      <c r="I3" s="2">
        <f>VLOOKUP(A:A,MASTER!A:E,5,0)</f>
        <v>610</v>
      </c>
      <c r="J3" s="2">
        <f>VLOOKUP(A:A,MASTER!A:J,10,0)</f>
        <v>470</v>
      </c>
      <c r="K3" s="12">
        <f t="shared" ref="K3:K66" si="1">IFERROR(J3/I3-1,0)</f>
        <v>-0.22950819672131151</v>
      </c>
      <c r="L3" s="2">
        <f>VLOOKUP(A:A,MASTER!A:D,4,0)</f>
        <v>2</v>
      </c>
      <c r="M3" s="2">
        <f>VLOOKUP(A:A,MASTER!A:I,9,0)</f>
        <v>3</v>
      </c>
      <c r="N3" s="12">
        <f t="shared" ref="N3:N66" si="2">IFERROR(M3/L3-1,0)</f>
        <v>0.5</v>
      </c>
      <c r="O3" s="1">
        <f>VLOOKUP(A:A,MASTER!A:C,3,0)</f>
        <v>1</v>
      </c>
      <c r="P3" s="1">
        <f>VLOOKUP(A:A,MASTER!A:H,8,0)</f>
        <v>4</v>
      </c>
      <c r="Q3" s="12">
        <f t="shared" ref="Q3:Q66" si="3">IFERROR(P3/O3-1,0)</f>
        <v>3</v>
      </c>
      <c r="R3" s="1">
        <f>VLOOKUP(A:A,MASTER!A:B,2,0)</f>
        <v>643</v>
      </c>
      <c r="S3">
        <f>VLOOKUP(A:A,MASTER!A:G,7,0)</f>
        <v>580</v>
      </c>
      <c r="T3" s="12">
        <f t="shared" ref="T3:T66" si="4">IFERROR(S3/R3-1,0)</f>
        <v>-9.7978227060653178E-2</v>
      </c>
      <c r="U3">
        <v>2</v>
      </c>
    </row>
    <row r="4" spans="1:21" x14ac:dyDescent="0.35">
      <c r="A4" t="s">
        <v>119</v>
      </c>
      <c r="B4" t="s">
        <v>120</v>
      </c>
      <c r="C4" t="s">
        <v>22</v>
      </c>
      <c r="D4" t="s">
        <v>69</v>
      </c>
      <c r="E4" t="s">
        <v>182</v>
      </c>
      <c r="F4" s="1">
        <f>VLOOKUP(A:A,MASTER!A:F,6,0)</f>
        <v>4831243.1255528908</v>
      </c>
      <c r="G4" s="1">
        <f>VLOOKUP(A:A,MASTER!A:K,11,0)</f>
        <v>5884101.4544967199</v>
      </c>
      <c r="H4" s="12">
        <f t="shared" si="0"/>
        <v>0.21792700172242707</v>
      </c>
      <c r="I4" s="2">
        <f>VLOOKUP(A:A,MASTER!A:E,5,0)</f>
        <v>42</v>
      </c>
      <c r="J4" s="2">
        <f>VLOOKUP(A:A,MASTER!A:J,10,0)</f>
        <v>711</v>
      </c>
      <c r="K4" s="12">
        <f t="shared" si="1"/>
        <v>15.928571428571427</v>
      </c>
      <c r="L4" s="2">
        <f>VLOOKUP(A:A,MASTER!A:D,4,0)</f>
        <v>1</v>
      </c>
      <c r="M4" s="2">
        <f>VLOOKUP(A:A,MASTER!A:I,9,0)</f>
        <v>1</v>
      </c>
      <c r="N4" s="12">
        <f t="shared" si="2"/>
        <v>0</v>
      </c>
      <c r="O4" s="1">
        <f>VLOOKUP(A:A,MASTER!A:C,3,0)</f>
        <v>2</v>
      </c>
      <c r="P4" s="1">
        <f>VLOOKUP(A:A,MASTER!A:H,8,0)</f>
        <v>3</v>
      </c>
      <c r="Q4" s="12">
        <f t="shared" si="3"/>
        <v>0.5</v>
      </c>
      <c r="R4" s="1">
        <f>VLOOKUP(A:A,MASTER!A:B,2,0)</f>
        <v>732</v>
      </c>
      <c r="S4">
        <f>VLOOKUP(A:A,MASTER!A:G,7,0)</f>
        <v>788</v>
      </c>
      <c r="T4" s="12">
        <f t="shared" si="4"/>
        <v>7.6502732240437243E-2</v>
      </c>
      <c r="U4">
        <v>4</v>
      </c>
    </row>
    <row r="5" spans="1:21" x14ac:dyDescent="0.35">
      <c r="A5" t="s">
        <v>121</v>
      </c>
      <c r="B5" t="s">
        <v>122</v>
      </c>
      <c r="C5" t="s">
        <v>22</v>
      </c>
      <c r="D5" t="s">
        <v>69</v>
      </c>
      <c r="E5" t="s">
        <v>182</v>
      </c>
      <c r="F5" s="1">
        <f>VLOOKUP(A:A,MASTER!A:F,6,0)</f>
        <v>8927501.3209277317</v>
      </c>
      <c r="G5" s="1">
        <f>VLOOKUP(A:A,MASTER!A:K,11,0)</f>
        <v>9677093.6785821337</v>
      </c>
      <c r="H5" s="12">
        <f t="shared" si="0"/>
        <v>8.3964407364154336E-2</v>
      </c>
      <c r="I5" s="2">
        <f>VLOOKUP(A:A,MASTER!A:E,5,0)</f>
        <v>1033</v>
      </c>
      <c r="J5" s="2">
        <f>VLOOKUP(A:A,MASTER!A:J,10,0)</f>
        <v>960</v>
      </c>
      <c r="K5" s="12">
        <f t="shared" si="1"/>
        <v>-7.0667957405614712E-2</v>
      </c>
      <c r="L5" s="2">
        <f>VLOOKUP(A:A,MASTER!A:D,4,0)</f>
        <v>4</v>
      </c>
      <c r="M5" s="2">
        <f>VLOOKUP(A:A,MASTER!A:I,9,0)</f>
        <v>2</v>
      </c>
      <c r="N5" s="12">
        <f t="shared" si="2"/>
        <v>-0.5</v>
      </c>
      <c r="O5" s="1">
        <f>VLOOKUP(A:A,MASTER!A:C,3,0)</f>
        <v>1</v>
      </c>
      <c r="P5" s="1">
        <f>VLOOKUP(A:A,MASTER!A:H,8,0)</f>
        <v>1</v>
      </c>
      <c r="Q5" s="12">
        <f t="shared" si="3"/>
        <v>0</v>
      </c>
      <c r="R5" s="1">
        <f>VLOOKUP(A:A,MASTER!A:B,2,0)</f>
        <v>1218</v>
      </c>
      <c r="S5">
        <f>VLOOKUP(A:A,MASTER!A:G,7,0)</f>
        <v>1239</v>
      </c>
      <c r="T5" s="12">
        <f t="shared" si="4"/>
        <v>1.7241379310344751E-2</v>
      </c>
      <c r="U5">
        <v>3</v>
      </c>
    </row>
    <row r="6" spans="1:21" x14ac:dyDescent="0.35">
      <c r="A6" t="s">
        <v>123</v>
      </c>
      <c r="B6" t="s">
        <v>124</v>
      </c>
      <c r="C6" t="s">
        <v>22</v>
      </c>
      <c r="D6" t="s">
        <v>69</v>
      </c>
      <c r="E6" t="s">
        <v>182</v>
      </c>
      <c r="F6" s="1">
        <f>VLOOKUP(A:A,MASTER!A:F,6,0)</f>
        <v>3433165.5757586341</v>
      </c>
      <c r="G6" s="1">
        <f>VLOOKUP(A:A,MASTER!A:K,11,0)</f>
        <v>3956732.0684818421</v>
      </c>
      <c r="H6" s="12">
        <f t="shared" si="0"/>
        <v>0.15250254646035066</v>
      </c>
      <c r="I6" s="2">
        <f>VLOOKUP(A:A,MASTER!A:E,5,0)</f>
        <v>353</v>
      </c>
      <c r="J6" s="2">
        <f>VLOOKUP(A:A,MASTER!A:J,10,0)</f>
        <v>348</v>
      </c>
      <c r="K6" s="12">
        <f t="shared" si="1"/>
        <v>-1.4164305949008527E-2</v>
      </c>
      <c r="L6" s="2">
        <f>VLOOKUP(A:A,MASTER!A:D,4,0)</f>
        <v>1</v>
      </c>
      <c r="M6" s="2">
        <f>VLOOKUP(A:A,MASTER!A:I,9,0)</f>
        <v>1</v>
      </c>
      <c r="N6" s="12">
        <f t="shared" si="2"/>
        <v>0</v>
      </c>
      <c r="O6" s="1">
        <f>VLOOKUP(A:A,MASTER!A:C,3,0)</f>
        <v>1</v>
      </c>
      <c r="P6" s="1">
        <f>VLOOKUP(A:A,MASTER!A:H,8,0)</f>
        <v>0</v>
      </c>
      <c r="Q6" s="12">
        <f t="shared" si="3"/>
        <v>-1</v>
      </c>
      <c r="R6" s="1">
        <f>VLOOKUP(A:A,MASTER!A:B,2,0)</f>
        <v>403</v>
      </c>
      <c r="S6">
        <f>VLOOKUP(A:A,MASTER!A:G,7,0)</f>
        <v>382</v>
      </c>
      <c r="T6" s="12">
        <f t="shared" si="4"/>
        <v>-5.2109181141439254E-2</v>
      </c>
      <c r="U6">
        <v>3</v>
      </c>
    </row>
    <row r="7" spans="1:21" x14ac:dyDescent="0.35">
      <c r="A7" t="s">
        <v>125</v>
      </c>
      <c r="B7" t="s">
        <v>126</v>
      </c>
      <c r="C7" t="s">
        <v>22</v>
      </c>
      <c r="D7" t="s">
        <v>69</v>
      </c>
      <c r="E7" t="s">
        <v>182</v>
      </c>
      <c r="F7" s="1">
        <f>VLOOKUP(A:A,MASTER!A:F,6,0)</f>
        <v>3315695.6946051032</v>
      </c>
      <c r="G7" s="1">
        <f>VLOOKUP(A:A,MASTER!A:K,11,0)</f>
        <v>2402398.8577694329</v>
      </c>
      <c r="H7" s="12">
        <f t="shared" si="0"/>
        <v>-0.27544651890753302</v>
      </c>
      <c r="I7" s="2">
        <f>VLOOKUP(A:A,MASTER!A:E,5,0)</f>
        <v>318</v>
      </c>
      <c r="J7" s="2">
        <f>VLOOKUP(A:A,MASTER!A:J,10,0)</f>
        <v>256</v>
      </c>
      <c r="K7" s="12">
        <f t="shared" si="1"/>
        <v>-0.19496855345911945</v>
      </c>
      <c r="L7" s="2">
        <f>VLOOKUP(A:A,MASTER!A:D,4,0)</f>
        <v>2</v>
      </c>
      <c r="M7" s="2">
        <f>VLOOKUP(A:A,MASTER!A:I,9,0)</f>
        <v>2</v>
      </c>
      <c r="N7" s="12">
        <f t="shared" si="2"/>
        <v>0</v>
      </c>
      <c r="O7" s="1">
        <f>VLOOKUP(A:A,MASTER!A:C,3,0)</f>
        <v>2</v>
      </c>
      <c r="P7" s="1">
        <f>VLOOKUP(A:A,MASTER!A:H,8,0)</f>
        <v>0</v>
      </c>
      <c r="Q7" s="12">
        <f t="shared" si="3"/>
        <v>-1</v>
      </c>
      <c r="R7" s="1">
        <f>VLOOKUP(A:A,MASTER!A:B,2,0)</f>
        <v>370</v>
      </c>
      <c r="S7">
        <f>VLOOKUP(A:A,MASTER!A:G,7,0)</f>
        <v>381</v>
      </c>
      <c r="T7" s="12">
        <f t="shared" si="4"/>
        <v>2.9729729729729648E-2</v>
      </c>
      <c r="U7">
        <v>2</v>
      </c>
    </row>
    <row r="8" spans="1:21" x14ac:dyDescent="0.35">
      <c r="A8" t="s">
        <v>131</v>
      </c>
      <c r="B8" t="s">
        <v>132</v>
      </c>
      <c r="C8" t="s">
        <v>22</v>
      </c>
      <c r="D8" t="s">
        <v>69</v>
      </c>
      <c r="E8" t="s">
        <v>182</v>
      </c>
      <c r="F8" s="1">
        <f>VLOOKUP(A:A,MASTER!A:F,6,0)</f>
        <v>3763040.3506287369</v>
      </c>
      <c r="G8" s="1">
        <f>VLOOKUP(A:A,MASTER!A:K,11,0)</f>
        <v>4096829.8346421458</v>
      </c>
      <c r="H8" s="12">
        <f t="shared" si="0"/>
        <v>8.8702074097514849E-2</v>
      </c>
      <c r="I8" s="2">
        <f>VLOOKUP(A:A,MASTER!A:E,5,0)</f>
        <v>558</v>
      </c>
      <c r="J8" s="2">
        <f>VLOOKUP(A:A,MASTER!A:J,10,0)</f>
        <v>516</v>
      </c>
      <c r="K8" s="12">
        <f t="shared" si="1"/>
        <v>-7.5268817204301119E-2</v>
      </c>
      <c r="L8" s="2">
        <f>VLOOKUP(A:A,MASTER!A:D,4,0)</f>
        <v>5</v>
      </c>
      <c r="M8" s="2">
        <f>VLOOKUP(A:A,MASTER!A:I,9,0)</f>
        <v>0</v>
      </c>
      <c r="N8" s="12">
        <f t="shared" si="2"/>
        <v>-1</v>
      </c>
      <c r="O8" s="1">
        <f>VLOOKUP(A:A,MASTER!A:C,3,0)</f>
        <v>0</v>
      </c>
      <c r="P8" s="1">
        <f>VLOOKUP(A:A,MASTER!A:H,8,0)</f>
        <v>0</v>
      </c>
      <c r="Q8" s="12">
        <f t="shared" si="3"/>
        <v>0</v>
      </c>
      <c r="R8" s="1">
        <f>VLOOKUP(A:A,MASTER!A:B,2,0)</f>
        <v>596</v>
      </c>
      <c r="S8">
        <f>VLOOKUP(A:A,MASTER!A:G,7,0)</f>
        <v>631</v>
      </c>
      <c r="T8" s="12">
        <f t="shared" si="4"/>
        <v>5.8724832214765099E-2</v>
      </c>
      <c r="U8">
        <v>9</v>
      </c>
    </row>
    <row r="9" spans="1:21" x14ac:dyDescent="0.35">
      <c r="A9" t="s">
        <v>133</v>
      </c>
      <c r="B9" t="s">
        <v>134</v>
      </c>
      <c r="C9" t="s">
        <v>22</v>
      </c>
      <c r="D9" t="s">
        <v>69</v>
      </c>
      <c r="E9" t="s">
        <v>182</v>
      </c>
      <c r="F9" s="1">
        <f>VLOOKUP(A:A,MASTER!A:F,6,0)</f>
        <v>1873870.2528251619</v>
      </c>
      <c r="G9" s="1">
        <f>VLOOKUP(A:A,MASTER!A:K,11,0)</f>
        <v>1981430.2780952901</v>
      </c>
      <c r="H9" s="12">
        <f t="shared" si="0"/>
        <v>5.7399932096666717E-2</v>
      </c>
      <c r="I9" s="2">
        <f>VLOOKUP(A:A,MASTER!A:E,5,0)</f>
        <v>159</v>
      </c>
      <c r="J9" s="2">
        <f>VLOOKUP(A:A,MASTER!A:J,10,0)</f>
        <v>130</v>
      </c>
      <c r="K9" s="12">
        <f t="shared" si="1"/>
        <v>-0.1823899371069182</v>
      </c>
      <c r="L9" s="2">
        <f>VLOOKUP(A:A,MASTER!A:D,4,0)</f>
        <v>0</v>
      </c>
      <c r="M9" s="2">
        <f>VLOOKUP(A:A,MASTER!A:I,9,0)</f>
        <v>1</v>
      </c>
      <c r="N9" s="12">
        <f t="shared" si="2"/>
        <v>0</v>
      </c>
      <c r="O9" s="1">
        <f>VLOOKUP(A:A,MASTER!A:C,3,0)</f>
        <v>0</v>
      </c>
      <c r="P9" s="1">
        <f>VLOOKUP(A:A,MASTER!A:H,8,0)</f>
        <v>0</v>
      </c>
      <c r="Q9" s="12">
        <f t="shared" si="3"/>
        <v>0</v>
      </c>
      <c r="R9" s="1">
        <f>VLOOKUP(A:A,MASTER!A:B,2,0)</f>
        <v>177</v>
      </c>
      <c r="S9">
        <f>VLOOKUP(A:A,MASTER!A:G,7,0)</f>
        <v>187</v>
      </c>
      <c r="T9" s="12">
        <f t="shared" si="4"/>
        <v>5.6497175141242861E-2</v>
      </c>
      <c r="U9">
        <v>1</v>
      </c>
    </row>
    <row r="10" spans="1:21" x14ac:dyDescent="0.35">
      <c r="A10" t="s">
        <v>141</v>
      </c>
      <c r="B10" t="s">
        <v>142</v>
      </c>
      <c r="C10" t="s">
        <v>22</v>
      </c>
      <c r="D10" t="s">
        <v>69</v>
      </c>
      <c r="E10" t="s">
        <v>180</v>
      </c>
      <c r="F10" s="1">
        <f>VLOOKUP(A:A,MASTER!A:F,6,0)</f>
        <v>22.486592934000001</v>
      </c>
      <c r="G10" s="1">
        <f>VLOOKUP(A:A,MASTER!A:K,11,0)</f>
        <v>1868256.39765836</v>
      </c>
      <c r="H10" s="12">
        <f t="shared" si="0"/>
        <v>83082.12438179701</v>
      </c>
      <c r="I10" s="2">
        <f>VLOOKUP(A:A,MASTER!A:E,5,0)</f>
        <v>1</v>
      </c>
      <c r="J10" s="2">
        <f>VLOOKUP(A:A,MASTER!A:J,10,0)</f>
        <v>263</v>
      </c>
      <c r="K10" s="12">
        <f t="shared" si="1"/>
        <v>262</v>
      </c>
      <c r="L10" s="2">
        <f>VLOOKUP(A:A,MASTER!A:D,4,0)</f>
        <v>1</v>
      </c>
      <c r="M10" s="2">
        <f>VLOOKUP(A:A,MASTER!A:I,9,0)</f>
        <v>0</v>
      </c>
      <c r="N10" s="12">
        <f t="shared" si="2"/>
        <v>-1</v>
      </c>
      <c r="O10" s="1">
        <f>VLOOKUP(A:A,MASTER!A:C,3,0)</f>
        <v>0</v>
      </c>
      <c r="P10" s="1">
        <f>VLOOKUP(A:A,MASTER!A:H,8,0)</f>
        <v>0</v>
      </c>
      <c r="Q10" s="12">
        <f t="shared" si="3"/>
        <v>0</v>
      </c>
      <c r="R10" s="1">
        <f>VLOOKUP(A:A,MASTER!A:B,2,0)</f>
        <v>187</v>
      </c>
      <c r="S10">
        <f>VLOOKUP(A:A,MASTER!A:G,7,0)</f>
        <v>198</v>
      </c>
      <c r="T10" s="12">
        <f t="shared" si="4"/>
        <v>5.8823529411764719E-2</v>
      </c>
      <c r="U10">
        <v>1</v>
      </c>
    </row>
    <row r="11" spans="1:21" x14ac:dyDescent="0.35">
      <c r="A11" t="s">
        <v>135</v>
      </c>
      <c r="B11" t="s">
        <v>136</v>
      </c>
      <c r="C11" t="s">
        <v>22</v>
      </c>
      <c r="D11" t="s">
        <v>69</v>
      </c>
      <c r="E11" t="s">
        <v>182</v>
      </c>
      <c r="F11" s="1">
        <f>VLOOKUP(A:A,MASTER!A:F,6,0)</f>
        <v>3816371.4646472102</v>
      </c>
      <c r="G11" s="1">
        <f>VLOOKUP(A:A,MASTER!A:K,11,0)</f>
        <v>3173749.0033077928</v>
      </c>
      <c r="H11" s="12">
        <f t="shared" si="0"/>
        <v>-0.1683857211731935</v>
      </c>
      <c r="I11" s="2">
        <f>VLOOKUP(A:A,MASTER!A:E,5,0)</f>
        <v>487</v>
      </c>
      <c r="J11" s="2">
        <f>VLOOKUP(A:A,MASTER!A:J,10,0)</f>
        <v>373</v>
      </c>
      <c r="K11" s="12">
        <f t="shared" si="1"/>
        <v>-0.23408624229979469</v>
      </c>
      <c r="L11" s="2">
        <f>VLOOKUP(A:A,MASTER!A:D,4,0)</f>
        <v>1</v>
      </c>
      <c r="M11" s="2">
        <f>VLOOKUP(A:A,MASTER!A:I,9,0)</f>
        <v>1</v>
      </c>
      <c r="N11" s="12">
        <f t="shared" si="2"/>
        <v>0</v>
      </c>
      <c r="O11" s="1">
        <f>VLOOKUP(A:A,MASTER!A:C,3,0)</f>
        <v>1</v>
      </c>
      <c r="P11" s="1">
        <f>VLOOKUP(A:A,MASTER!A:H,8,0)</f>
        <v>2</v>
      </c>
      <c r="Q11" s="12">
        <f t="shared" si="3"/>
        <v>1</v>
      </c>
      <c r="R11" s="1">
        <f>VLOOKUP(A:A,MASTER!A:B,2,0)</f>
        <v>363</v>
      </c>
      <c r="S11">
        <f>VLOOKUP(A:A,MASTER!A:G,7,0)</f>
        <v>373</v>
      </c>
      <c r="T11" s="12">
        <f t="shared" si="4"/>
        <v>2.7548209366391241E-2</v>
      </c>
      <c r="U11">
        <v>4</v>
      </c>
    </row>
    <row r="12" spans="1:21" x14ac:dyDescent="0.35">
      <c r="A12" t="s">
        <v>143</v>
      </c>
      <c r="B12" t="s">
        <v>144</v>
      </c>
      <c r="C12" t="s">
        <v>22</v>
      </c>
      <c r="D12" t="s">
        <v>69</v>
      </c>
      <c r="E12" t="s">
        <v>180</v>
      </c>
      <c r="F12" s="1">
        <f>VLOOKUP(A:A,MASTER!A:F,6,0)</f>
        <v>1720402.2001648659</v>
      </c>
      <c r="G12" s="1">
        <f>VLOOKUP(A:A,MASTER!A:K,11,0)</f>
        <v>1732476.7061931591</v>
      </c>
      <c r="H12" s="12">
        <f t="shared" si="0"/>
        <v>7.0184204758259039E-3</v>
      </c>
      <c r="I12" s="2">
        <f>VLOOKUP(A:A,MASTER!A:E,5,0)</f>
        <v>277</v>
      </c>
      <c r="J12" s="2">
        <f>VLOOKUP(A:A,MASTER!A:J,10,0)</f>
        <v>240</v>
      </c>
      <c r="K12" s="12">
        <f t="shared" si="1"/>
        <v>-0.13357400722021662</v>
      </c>
      <c r="L12" s="2">
        <f>VLOOKUP(A:A,MASTER!A:D,4,0)</f>
        <v>2</v>
      </c>
      <c r="M12" s="2">
        <f>VLOOKUP(A:A,MASTER!A:I,9,0)</f>
        <v>2</v>
      </c>
      <c r="N12" s="12">
        <f t="shared" si="2"/>
        <v>0</v>
      </c>
      <c r="O12" s="1">
        <f>VLOOKUP(A:A,MASTER!A:C,3,0)</f>
        <v>0</v>
      </c>
      <c r="P12" s="1">
        <f>VLOOKUP(A:A,MASTER!A:H,8,0)</f>
        <v>0</v>
      </c>
      <c r="Q12" s="12">
        <f t="shared" si="3"/>
        <v>0</v>
      </c>
      <c r="R12" s="1">
        <f>VLOOKUP(A:A,MASTER!A:B,2,0)</f>
        <v>198</v>
      </c>
      <c r="S12">
        <f>VLOOKUP(A:A,MASTER!A:G,7,0)</f>
        <v>241</v>
      </c>
      <c r="T12" s="12">
        <f t="shared" si="4"/>
        <v>0.21717171717171713</v>
      </c>
      <c r="U12">
        <v>3</v>
      </c>
    </row>
    <row r="13" spans="1:21" x14ac:dyDescent="0.35">
      <c r="A13" t="s">
        <v>145</v>
      </c>
      <c r="B13" t="s">
        <v>146</v>
      </c>
      <c r="C13" t="s">
        <v>22</v>
      </c>
      <c r="D13" t="s">
        <v>69</v>
      </c>
      <c r="E13" t="s">
        <v>180</v>
      </c>
      <c r="F13" s="1">
        <f>VLOOKUP(A:A,MASTER!A:F,6,0)</f>
        <v>1807666.7458902949</v>
      </c>
      <c r="G13" s="1">
        <f>VLOOKUP(A:A,MASTER!A:K,11,0)</f>
        <v>1873145.3472827121</v>
      </c>
      <c r="H13" s="12">
        <f t="shared" si="0"/>
        <v>3.6222717235509183E-2</v>
      </c>
      <c r="I13" s="2">
        <f>VLOOKUP(A:A,MASTER!A:E,5,0)</f>
        <v>264</v>
      </c>
      <c r="J13" s="2">
        <f>VLOOKUP(A:A,MASTER!A:J,10,0)</f>
        <v>210</v>
      </c>
      <c r="K13" s="12">
        <f t="shared" si="1"/>
        <v>-0.20454545454545459</v>
      </c>
      <c r="L13" s="2">
        <f>VLOOKUP(A:A,MASTER!A:D,4,0)</f>
        <v>0</v>
      </c>
      <c r="M13" s="2">
        <f>VLOOKUP(A:A,MASTER!A:I,9,0)</f>
        <v>0</v>
      </c>
      <c r="N13" s="12">
        <f t="shared" si="2"/>
        <v>0</v>
      </c>
      <c r="O13" s="1">
        <f>VLOOKUP(A:A,MASTER!A:C,3,0)</f>
        <v>0</v>
      </c>
      <c r="P13" s="1">
        <f>VLOOKUP(A:A,MASTER!A:H,8,0)</f>
        <v>0</v>
      </c>
      <c r="Q13" s="12">
        <f t="shared" si="3"/>
        <v>0</v>
      </c>
      <c r="R13" s="1">
        <f>VLOOKUP(A:A,MASTER!A:B,2,0)</f>
        <v>241</v>
      </c>
      <c r="S13">
        <f>VLOOKUP(A:A,MASTER!A:G,7,0)</f>
        <v>246</v>
      </c>
      <c r="T13" s="12">
        <f t="shared" si="4"/>
        <v>2.0746887966804906E-2</v>
      </c>
      <c r="U13">
        <v>5</v>
      </c>
    </row>
    <row r="14" spans="1:21" x14ac:dyDescent="0.35">
      <c r="A14" t="s">
        <v>20</v>
      </c>
      <c r="B14" t="s">
        <v>21</v>
      </c>
      <c r="C14" t="s">
        <v>22</v>
      </c>
      <c r="D14" t="s">
        <v>69</v>
      </c>
      <c r="E14" t="s">
        <v>182</v>
      </c>
      <c r="F14" s="1">
        <f>VLOOKUP(A:A,MASTER!A:F,6,0)</f>
        <v>5812917.9415709646</v>
      </c>
      <c r="G14" s="1">
        <f>VLOOKUP(A:A,MASTER!A:K,11,0)</f>
        <v>10926997.386205519</v>
      </c>
      <c r="H14" s="12">
        <f t="shared" si="0"/>
        <v>0.87977836536471954</v>
      </c>
      <c r="I14" s="2">
        <f>VLOOKUP(A:A,MASTER!A:E,5,0)</f>
        <v>161</v>
      </c>
      <c r="J14" s="2">
        <f>VLOOKUP(A:A,MASTER!A:J,10,0)</f>
        <v>1114</v>
      </c>
      <c r="K14" s="12">
        <f t="shared" si="1"/>
        <v>5.9192546583850936</v>
      </c>
      <c r="L14" s="2">
        <f>VLOOKUP(A:A,MASTER!A:D,4,0)</f>
        <v>2</v>
      </c>
      <c r="M14" s="2">
        <f>VLOOKUP(A:A,MASTER!A:I,9,0)</f>
        <v>5</v>
      </c>
      <c r="N14" s="12">
        <f t="shared" si="2"/>
        <v>1.5</v>
      </c>
      <c r="O14" s="1">
        <f>VLOOKUP(A:A,MASTER!A:C,3,0)</f>
        <v>2</v>
      </c>
      <c r="P14" s="1">
        <f>VLOOKUP(A:A,MASTER!A:H,8,0)</f>
        <v>1</v>
      </c>
      <c r="Q14" s="12">
        <f t="shared" si="3"/>
        <v>-0.5</v>
      </c>
      <c r="R14" s="1">
        <f>VLOOKUP(A:A,MASTER!A:B,2,0)</f>
        <v>1442</v>
      </c>
      <c r="S14">
        <f>VLOOKUP(A:A,MASTER!A:G,7,0)</f>
        <v>1331</v>
      </c>
      <c r="T14" s="12">
        <f t="shared" si="4"/>
        <v>-7.6976421636615777E-2</v>
      </c>
      <c r="U14">
        <v>3</v>
      </c>
    </row>
    <row r="15" spans="1:21" x14ac:dyDescent="0.35">
      <c r="A15" t="s">
        <v>45</v>
      </c>
      <c r="B15" t="s">
        <v>46</v>
      </c>
      <c r="C15" t="s">
        <v>22</v>
      </c>
      <c r="D15" t="s">
        <v>23</v>
      </c>
      <c r="E15" t="s">
        <v>182</v>
      </c>
      <c r="F15" s="1">
        <f>VLOOKUP(A:A,MASTER!A:F,6,0)</f>
        <v>12242361.641453536</v>
      </c>
      <c r="G15" s="1">
        <f>VLOOKUP(A:A,MASTER!A:K,11,0)</f>
        <v>15650090.065267829</v>
      </c>
      <c r="H15" s="12">
        <f t="shared" si="0"/>
        <v>0.27835547777607506</v>
      </c>
      <c r="I15" s="2">
        <f>VLOOKUP(A:A,MASTER!A:E,5,0)</f>
        <v>948</v>
      </c>
      <c r="J15" s="2">
        <f>VLOOKUP(A:A,MASTER!A:J,10,0)</f>
        <v>853</v>
      </c>
      <c r="K15" s="12">
        <f t="shared" si="1"/>
        <v>-0.10021097046413507</v>
      </c>
      <c r="L15" s="2">
        <f>VLOOKUP(A:A,MASTER!A:D,4,0)</f>
        <v>3</v>
      </c>
      <c r="M15" s="2">
        <f>VLOOKUP(A:A,MASTER!A:I,9,0)</f>
        <v>2</v>
      </c>
      <c r="N15" s="12">
        <f t="shared" si="2"/>
        <v>-0.33333333333333337</v>
      </c>
      <c r="O15" s="1">
        <f>VLOOKUP(A:A,MASTER!A:C,3,0)</f>
        <v>1</v>
      </c>
      <c r="P15" s="1">
        <f>VLOOKUP(A:A,MASTER!A:H,8,0)</f>
        <v>0</v>
      </c>
      <c r="Q15" s="12">
        <f t="shared" si="3"/>
        <v>-1</v>
      </c>
      <c r="R15" s="1">
        <f>VLOOKUP(A:A,MASTER!A:B,2,0)</f>
        <v>1233</v>
      </c>
      <c r="S15">
        <f>VLOOKUP(A:A,MASTER!A:G,7,0)</f>
        <v>1224</v>
      </c>
      <c r="T15" s="12">
        <f t="shared" si="4"/>
        <v>-7.2992700729926918E-3</v>
      </c>
      <c r="U15">
        <v>4</v>
      </c>
    </row>
    <row r="16" spans="1:21" x14ac:dyDescent="0.35">
      <c r="A16" t="s">
        <v>47</v>
      </c>
      <c r="B16" t="s">
        <v>48</v>
      </c>
      <c r="C16" t="s">
        <v>22</v>
      </c>
      <c r="D16" t="s">
        <v>23</v>
      </c>
      <c r="E16" t="s">
        <v>182</v>
      </c>
      <c r="F16" s="1">
        <f>VLOOKUP(A:A,MASTER!A:F,6,0)</f>
        <v>7452158.4424874652</v>
      </c>
      <c r="G16" s="1">
        <f>VLOOKUP(A:A,MASTER!A:K,11,0)</f>
        <v>7363850.6157930149</v>
      </c>
      <c r="H16" s="12">
        <f t="shared" si="0"/>
        <v>-1.1849966338742246E-2</v>
      </c>
      <c r="I16" s="2">
        <f>VLOOKUP(A:A,MASTER!A:E,5,0)</f>
        <v>982</v>
      </c>
      <c r="J16" s="2">
        <f>VLOOKUP(A:A,MASTER!A:J,10,0)</f>
        <v>908</v>
      </c>
      <c r="K16" s="12">
        <f t="shared" si="1"/>
        <v>-7.5356415478615046E-2</v>
      </c>
      <c r="L16" s="2">
        <f>VLOOKUP(A:A,MASTER!A:D,4,0)</f>
        <v>5</v>
      </c>
      <c r="M16" s="2">
        <f>VLOOKUP(A:A,MASTER!A:I,9,0)</f>
        <v>6</v>
      </c>
      <c r="N16" s="12">
        <f t="shared" si="2"/>
        <v>0.19999999999999996</v>
      </c>
      <c r="O16" s="1">
        <f>VLOOKUP(A:A,MASTER!A:C,3,0)</f>
        <v>1</v>
      </c>
      <c r="P16" s="1">
        <f>VLOOKUP(A:A,MASTER!A:H,8,0)</f>
        <v>2</v>
      </c>
      <c r="Q16" s="12">
        <f t="shared" si="3"/>
        <v>1</v>
      </c>
      <c r="R16" s="1">
        <f>VLOOKUP(A:A,MASTER!A:B,2,0)</f>
        <v>1026</v>
      </c>
      <c r="S16">
        <f>VLOOKUP(A:A,MASTER!A:G,7,0)</f>
        <v>1018</v>
      </c>
      <c r="T16" s="12">
        <f t="shared" si="4"/>
        <v>-7.7972709551656916E-3</v>
      </c>
      <c r="U16">
        <v>4</v>
      </c>
    </row>
    <row r="17" spans="1:21" x14ac:dyDescent="0.35">
      <c r="A17" t="s">
        <v>49</v>
      </c>
      <c r="B17" t="s">
        <v>50</v>
      </c>
      <c r="C17" t="s">
        <v>22</v>
      </c>
      <c r="D17" t="s">
        <v>23</v>
      </c>
      <c r="E17" t="s">
        <v>182</v>
      </c>
      <c r="F17" s="1">
        <f>VLOOKUP(A:A,MASTER!A:F,6,0)</f>
        <v>4874478.6350986613</v>
      </c>
      <c r="G17" s="1">
        <f>VLOOKUP(A:A,MASTER!A:K,11,0)</f>
        <v>6653152.7216364974</v>
      </c>
      <c r="H17" s="12">
        <f t="shared" si="0"/>
        <v>0.36489524720254218</v>
      </c>
      <c r="I17" s="2">
        <f>VLOOKUP(A:A,MASTER!A:E,5,0)</f>
        <v>746</v>
      </c>
      <c r="J17" s="2">
        <f>VLOOKUP(A:A,MASTER!A:J,10,0)</f>
        <v>655</v>
      </c>
      <c r="K17" s="12">
        <f t="shared" si="1"/>
        <v>-0.12198391420911525</v>
      </c>
      <c r="L17" s="2">
        <f>VLOOKUP(A:A,MASTER!A:D,4,0)</f>
        <v>3</v>
      </c>
      <c r="M17" s="2">
        <f>VLOOKUP(A:A,MASTER!A:I,9,0)</f>
        <v>3</v>
      </c>
      <c r="N17" s="12">
        <f t="shared" si="2"/>
        <v>0</v>
      </c>
      <c r="O17" s="1">
        <f>VLOOKUP(A:A,MASTER!A:C,3,0)</f>
        <v>2</v>
      </c>
      <c r="P17" s="1">
        <f>VLOOKUP(A:A,MASTER!A:H,8,0)</f>
        <v>0</v>
      </c>
      <c r="Q17" s="12">
        <f t="shared" si="3"/>
        <v>-1</v>
      </c>
      <c r="R17" s="1">
        <f>VLOOKUP(A:A,MASTER!A:B,2,0)</f>
        <v>923</v>
      </c>
      <c r="S17">
        <f>VLOOKUP(A:A,MASTER!A:G,7,0)</f>
        <v>921</v>
      </c>
      <c r="T17" s="12">
        <f t="shared" si="4"/>
        <v>-2.1668472372697867E-3</v>
      </c>
      <c r="U17">
        <v>4</v>
      </c>
    </row>
    <row r="18" spans="1:21" x14ac:dyDescent="0.35">
      <c r="A18" t="s">
        <v>51</v>
      </c>
      <c r="B18" t="s">
        <v>52</v>
      </c>
      <c r="C18" t="s">
        <v>22</v>
      </c>
      <c r="D18" t="s">
        <v>23</v>
      </c>
      <c r="E18" t="s">
        <v>182</v>
      </c>
      <c r="F18" s="1">
        <f>VLOOKUP(A:A,MASTER!A:F,6,0)</f>
        <v>26628976.073495127</v>
      </c>
      <c r="G18" s="1">
        <f>VLOOKUP(A:A,MASTER!A:K,11,0)</f>
        <v>25513364.18528948</v>
      </c>
      <c r="H18" s="12">
        <f t="shared" si="0"/>
        <v>-4.1894659604131745E-2</v>
      </c>
      <c r="I18" s="2">
        <f>VLOOKUP(A:A,MASTER!A:E,5,0)</f>
        <v>2946</v>
      </c>
      <c r="J18" s="2">
        <f>VLOOKUP(A:A,MASTER!A:J,10,0)</f>
        <v>2341</v>
      </c>
      <c r="K18" s="12">
        <f t="shared" si="1"/>
        <v>-0.20536320434487443</v>
      </c>
      <c r="L18" s="2">
        <f>VLOOKUP(A:A,MASTER!A:D,4,0)</f>
        <v>9</v>
      </c>
      <c r="M18" s="2">
        <f>VLOOKUP(A:A,MASTER!A:I,9,0)</f>
        <v>11</v>
      </c>
      <c r="N18" s="12">
        <f t="shared" si="2"/>
        <v>0.22222222222222232</v>
      </c>
      <c r="O18" s="1">
        <f>VLOOKUP(A:A,MASTER!A:C,3,0)</f>
        <v>111</v>
      </c>
      <c r="P18" s="1">
        <f>VLOOKUP(A:A,MASTER!A:H,8,0)</f>
        <v>4</v>
      </c>
      <c r="Q18" s="12">
        <f t="shared" si="3"/>
        <v>-0.963963963963964</v>
      </c>
      <c r="R18" s="1">
        <f>VLOOKUP(A:A,MASTER!A:B,2,0)</f>
        <v>2936</v>
      </c>
      <c r="S18">
        <f>VLOOKUP(A:A,MASTER!A:G,7,0)</f>
        <v>2663</v>
      </c>
      <c r="T18" s="12">
        <f t="shared" si="4"/>
        <v>-9.2983651226158037E-2</v>
      </c>
      <c r="U18">
        <v>5</v>
      </c>
    </row>
    <row r="19" spans="1:21" x14ac:dyDescent="0.35">
      <c r="A19" t="s">
        <v>53</v>
      </c>
      <c r="B19" t="s">
        <v>54</v>
      </c>
      <c r="C19" t="s">
        <v>22</v>
      </c>
      <c r="D19" t="s">
        <v>23</v>
      </c>
      <c r="E19" t="s">
        <v>182</v>
      </c>
      <c r="F19" s="1">
        <f>VLOOKUP(A:A,MASTER!A:F,6,0)</f>
        <v>8060394.6620687013</v>
      </c>
      <c r="G19" s="1">
        <f>VLOOKUP(A:A,MASTER!A:K,11,0)</f>
        <v>13493611.923629085</v>
      </c>
      <c r="H19" s="12">
        <f t="shared" si="0"/>
        <v>0.67406342857236057</v>
      </c>
      <c r="I19" s="2">
        <f>VLOOKUP(A:A,MASTER!A:E,5,0)</f>
        <v>19</v>
      </c>
      <c r="J19" s="2">
        <f>VLOOKUP(A:A,MASTER!A:J,10,0)</f>
        <v>1139</v>
      </c>
      <c r="K19" s="12">
        <f t="shared" si="1"/>
        <v>58.94736842105263</v>
      </c>
      <c r="L19" s="2">
        <f>VLOOKUP(A:A,MASTER!A:D,4,0)</f>
        <v>1</v>
      </c>
      <c r="M19" s="2">
        <f>VLOOKUP(A:A,MASTER!A:I,9,0)</f>
        <v>2</v>
      </c>
      <c r="N19" s="12">
        <f t="shared" si="2"/>
        <v>1</v>
      </c>
      <c r="O19" s="1">
        <f>VLOOKUP(A:A,MASTER!A:C,3,0)</f>
        <v>2</v>
      </c>
      <c r="P19" s="1">
        <f>VLOOKUP(A:A,MASTER!A:H,8,0)</f>
        <v>3</v>
      </c>
      <c r="Q19" s="12">
        <f t="shared" si="3"/>
        <v>0.5</v>
      </c>
      <c r="R19" s="1">
        <f>VLOOKUP(A:A,MASTER!A:B,2,0)</f>
        <v>1396</v>
      </c>
      <c r="S19">
        <f>VLOOKUP(A:A,MASTER!A:G,7,0)</f>
        <v>1311</v>
      </c>
      <c r="T19" s="12">
        <f t="shared" si="4"/>
        <v>-6.088825214899718E-2</v>
      </c>
      <c r="U19">
        <v>1</v>
      </c>
    </row>
    <row r="20" spans="1:21" x14ac:dyDescent="0.35">
      <c r="A20" t="s">
        <v>55</v>
      </c>
      <c r="B20" t="s">
        <v>56</v>
      </c>
      <c r="C20" t="s">
        <v>22</v>
      </c>
      <c r="D20" t="s">
        <v>23</v>
      </c>
      <c r="E20" t="s">
        <v>182</v>
      </c>
      <c r="F20" s="1">
        <f>VLOOKUP(A:A,MASTER!A:F,6,0)</f>
        <v>26874093.702797864</v>
      </c>
      <c r="G20" s="1">
        <f>VLOOKUP(A:A,MASTER!A:K,11,0)</f>
        <v>28730233.887080844</v>
      </c>
      <c r="H20" s="12">
        <f t="shared" si="0"/>
        <v>6.9068010434515159E-2</v>
      </c>
      <c r="I20" s="2">
        <f>VLOOKUP(A:A,MASTER!A:E,5,0)</f>
        <v>2234</v>
      </c>
      <c r="J20" s="2">
        <f>VLOOKUP(A:A,MASTER!A:J,10,0)</f>
        <v>2200</v>
      </c>
      <c r="K20" s="12">
        <f t="shared" si="1"/>
        <v>-1.5219337511190645E-2</v>
      </c>
      <c r="L20" s="2">
        <f>VLOOKUP(A:A,MASTER!A:D,4,0)</f>
        <v>10</v>
      </c>
      <c r="M20" s="2">
        <f>VLOOKUP(A:A,MASTER!A:I,9,0)</f>
        <v>11</v>
      </c>
      <c r="N20" s="12">
        <f t="shared" si="2"/>
        <v>0.10000000000000009</v>
      </c>
      <c r="O20" s="1">
        <f>VLOOKUP(A:A,MASTER!A:C,3,0)</f>
        <v>7</v>
      </c>
      <c r="P20" s="1">
        <f>VLOOKUP(A:A,MASTER!A:H,8,0)</f>
        <v>2</v>
      </c>
      <c r="Q20" s="12">
        <f t="shared" si="3"/>
        <v>-0.7142857142857143</v>
      </c>
      <c r="R20" s="1">
        <f>VLOOKUP(A:A,MASTER!A:B,2,0)</f>
        <v>2969</v>
      </c>
      <c r="S20">
        <f>VLOOKUP(A:A,MASTER!A:G,7,0)</f>
        <v>2760</v>
      </c>
      <c r="T20" s="12">
        <f t="shared" si="4"/>
        <v>-7.0394072078140746E-2</v>
      </c>
      <c r="U20">
        <v>8</v>
      </c>
    </row>
    <row r="21" spans="1:21" x14ac:dyDescent="0.35">
      <c r="A21" t="s">
        <v>67</v>
      </c>
      <c r="B21" t="s">
        <v>68</v>
      </c>
      <c r="C21" t="s">
        <v>22</v>
      </c>
      <c r="D21" t="s">
        <v>23</v>
      </c>
      <c r="E21" t="s">
        <v>180</v>
      </c>
      <c r="F21" s="1">
        <f>VLOOKUP(A:A,MASTER!A:F,6,0)</f>
        <v>4235172.3475251095</v>
      </c>
      <c r="G21" s="1">
        <f>VLOOKUP(A:A,MASTER!A:K,11,0)</f>
        <v>3611540.5753392531</v>
      </c>
      <c r="H21" s="12">
        <f t="shared" si="0"/>
        <v>-0.14725062429874558</v>
      </c>
      <c r="I21" s="2">
        <f>VLOOKUP(A:A,MASTER!A:E,5,0)</f>
        <v>639</v>
      </c>
      <c r="J21" s="2">
        <f>VLOOKUP(A:A,MASTER!A:J,10,0)</f>
        <v>473</v>
      </c>
      <c r="K21" s="12">
        <f t="shared" si="1"/>
        <v>-0.25978090766823159</v>
      </c>
      <c r="L21" s="2">
        <f>VLOOKUP(A:A,MASTER!A:D,4,0)</f>
        <v>1</v>
      </c>
      <c r="M21" s="2">
        <f>VLOOKUP(A:A,MASTER!A:I,9,0)</f>
        <v>1</v>
      </c>
      <c r="N21" s="12">
        <f t="shared" si="2"/>
        <v>0</v>
      </c>
      <c r="O21" s="1">
        <f>VLOOKUP(A:A,MASTER!A:C,3,0)</f>
        <v>2</v>
      </c>
      <c r="P21" s="1">
        <f>VLOOKUP(A:A,MASTER!A:H,8,0)</f>
        <v>1</v>
      </c>
      <c r="Q21" s="12">
        <f t="shared" si="3"/>
        <v>-0.5</v>
      </c>
      <c r="R21" s="1">
        <f>VLOOKUP(A:A,MASTER!A:B,2,0)</f>
        <v>534</v>
      </c>
      <c r="S21">
        <f>VLOOKUP(A:A,MASTER!A:G,7,0)</f>
        <v>490</v>
      </c>
      <c r="T21" s="12">
        <f t="shared" si="4"/>
        <v>-8.2397003745318331E-2</v>
      </c>
      <c r="U21">
        <v>1</v>
      </c>
    </row>
    <row r="22" spans="1:21" x14ac:dyDescent="0.35">
      <c r="A22" t="s">
        <v>74</v>
      </c>
      <c r="B22" t="s">
        <v>75</v>
      </c>
      <c r="C22" t="s">
        <v>22</v>
      </c>
      <c r="D22" t="s">
        <v>23</v>
      </c>
      <c r="E22" t="s">
        <v>182</v>
      </c>
      <c r="F22" s="1">
        <f>VLOOKUP(A:A,MASTER!A:F,6,0)</f>
        <v>10789611.241360519</v>
      </c>
      <c r="G22" s="1">
        <f>VLOOKUP(A:A,MASTER!A:K,11,0)</f>
        <v>9633214.4105779845</v>
      </c>
      <c r="H22" s="12">
        <f t="shared" si="0"/>
        <v>-0.10717687643366092</v>
      </c>
      <c r="I22" s="2">
        <f>VLOOKUP(A:A,MASTER!A:E,5,0)</f>
        <v>1346</v>
      </c>
      <c r="J22" s="2">
        <f>VLOOKUP(A:A,MASTER!A:J,10,0)</f>
        <v>1399</v>
      </c>
      <c r="K22" s="12">
        <f t="shared" si="1"/>
        <v>3.9375928677563232E-2</v>
      </c>
      <c r="L22" s="2">
        <f>VLOOKUP(A:A,MASTER!A:D,4,0)</f>
        <v>1</v>
      </c>
      <c r="M22" s="2">
        <f>VLOOKUP(A:A,MASTER!A:I,9,0)</f>
        <v>1</v>
      </c>
      <c r="N22" s="12">
        <f t="shared" si="2"/>
        <v>0</v>
      </c>
      <c r="O22" s="1">
        <f>VLOOKUP(A:A,MASTER!A:C,3,0)</f>
        <v>7</v>
      </c>
      <c r="P22" s="1">
        <f>VLOOKUP(A:A,MASTER!A:H,8,0)</f>
        <v>5</v>
      </c>
      <c r="Q22" s="12">
        <f t="shared" si="3"/>
        <v>-0.2857142857142857</v>
      </c>
      <c r="R22" s="1">
        <f>VLOOKUP(A:A,MASTER!A:B,2,0)</f>
        <v>1750</v>
      </c>
      <c r="S22">
        <f>VLOOKUP(A:A,MASTER!A:G,7,0)</f>
        <v>1787</v>
      </c>
      <c r="T22" s="12">
        <f t="shared" si="4"/>
        <v>2.114285714285713E-2</v>
      </c>
      <c r="U22">
        <v>7</v>
      </c>
    </row>
    <row r="23" spans="1:21" x14ac:dyDescent="0.35">
      <c r="A23" t="s">
        <v>70</v>
      </c>
      <c r="B23" t="s">
        <v>71</v>
      </c>
      <c r="C23" t="s">
        <v>22</v>
      </c>
      <c r="D23" t="s">
        <v>23</v>
      </c>
      <c r="E23" t="s">
        <v>180</v>
      </c>
      <c r="F23" s="1">
        <f>VLOOKUP(A:A,MASTER!A:F,6,0)</f>
        <v>4592984.7088493519</v>
      </c>
      <c r="G23" s="1">
        <f>VLOOKUP(A:A,MASTER!A:K,11,0)</f>
        <v>4885083.6288934518</v>
      </c>
      <c r="H23" s="12">
        <f t="shared" si="0"/>
        <v>6.35967543025584E-2</v>
      </c>
      <c r="I23" s="2">
        <f>VLOOKUP(A:A,MASTER!A:E,5,0)</f>
        <v>740</v>
      </c>
      <c r="J23" s="2">
        <f>VLOOKUP(A:A,MASTER!A:J,10,0)</f>
        <v>927</v>
      </c>
      <c r="K23" s="12">
        <f t="shared" si="1"/>
        <v>0.25270270270270268</v>
      </c>
      <c r="L23" s="2">
        <f>VLOOKUP(A:A,MASTER!A:D,4,0)</f>
        <v>1</v>
      </c>
      <c r="M23" s="2">
        <f>VLOOKUP(A:A,MASTER!A:I,9,0)</f>
        <v>0</v>
      </c>
      <c r="N23" s="12">
        <f t="shared" si="2"/>
        <v>-1</v>
      </c>
      <c r="O23" s="1">
        <f>VLOOKUP(A:A,MASTER!A:C,3,0)</f>
        <v>4</v>
      </c>
      <c r="P23" s="1">
        <f>VLOOKUP(A:A,MASTER!A:H,8,0)</f>
        <v>3</v>
      </c>
      <c r="Q23" s="12">
        <f t="shared" si="3"/>
        <v>-0.25</v>
      </c>
      <c r="R23" s="1">
        <f>VLOOKUP(A:A,MASTER!A:B,2,0)</f>
        <v>881</v>
      </c>
      <c r="S23">
        <f>VLOOKUP(A:A,MASTER!A:G,7,0)</f>
        <v>863</v>
      </c>
      <c r="T23" s="12">
        <f t="shared" si="4"/>
        <v>-2.0431328036322416E-2</v>
      </c>
      <c r="U23">
        <v>1</v>
      </c>
    </row>
    <row r="24" spans="1:21" x14ac:dyDescent="0.35">
      <c r="A24" t="s">
        <v>72</v>
      </c>
      <c r="B24" t="s">
        <v>73</v>
      </c>
      <c r="C24" t="s">
        <v>22</v>
      </c>
      <c r="D24" t="s">
        <v>23</v>
      </c>
      <c r="E24" t="s">
        <v>180</v>
      </c>
      <c r="F24" s="1">
        <f>VLOOKUP(A:A,MASTER!A:F,6,0)</f>
        <v>5765124.8283889508</v>
      </c>
      <c r="G24" s="1">
        <f>VLOOKUP(A:A,MASTER!A:K,11,0)</f>
        <v>6271930.4420491783</v>
      </c>
      <c r="H24" s="12">
        <f t="shared" si="0"/>
        <v>8.790887079575227E-2</v>
      </c>
      <c r="I24" s="2">
        <f>VLOOKUP(A:A,MASTER!A:E,5,0)</f>
        <v>846</v>
      </c>
      <c r="J24" s="2">
        <f>VLOOKUP(A:A,MASTER!A:J,10,0)</f>
        <v>736</v>
      </c>
      <c r="K24" s="12">
        <f t="shared" si="1"/>
        <v>-0.1300236406619385</v>
      </c>
      <c r="L24" s="2">
        <f>VLOOKUP(A:A,MASTER!A:D,4,0)</f>
        <v>0</v>
      </c>
      <c r="M24" s="2">
        <f>VLOOKUP(A:A,MASTER!A:I,9,0)</f>
        <v>0</v>
      </c>
      <c r="N24" s="12">
        <f t="shared" si="2"/>
        <v>0</v>
      </c>
      <c r="O24" s="1">
        <f>VLOOKUP(A:A,MASTER!A:C,3,0)</f>
        <v>2</v>
      </c>
      <c r="P24" s="1">
        <f>VLOOKUP(A:A,MASTER!A:H,8,0)</f>
        <v>1</v>
      </c>
      <c r="Q24" s="12">
        <f t="shared" si="3"/>
        <v>-0.5</v>
      </c>
      <c r="R24" s="1">
        <f>VLOOKUP(A:A,MASTER!A:B,2,0)</f>
        <v>874</v>
      </c>
      <c r="S24">
        <f>VLOOKUP(A:A,MASTER!A:G,7,0)</f>
        <v>893</v>
      </c>
      <c r="T24" s="12">
        <f t="shared" si="4"/>
        <v>2.1739130434782705E-2</v>
      </c>
      <c r="U24">
        <v>3</v>
      </c>
    </row>
    <row r="25" spans="1:21" x14ac:dyDescent="0.35">
      <c r="A25" t="s">
        <v>79</v>
      </c>
      <c r="B25" t="s">
        <v>80</v>
      </c>
      <c r="C25" t="s">
        <v>22</v>
      </c>
      <c r="D25" t="s">
        <v>23</v>
      </c>
      <c r="E25" t="s">
        <v>180</v>
      </c>
      <c r="F25" s="1">
        <f>VLOOKUP(A:A,MASTER!A:F,6,0)</f>
        <v>1329183.5474891129</v>
      </c>
      <c r="G25" s="1">
        <f>VLOOKUP(A:A,MASTER!A:K,11,0)</f>
        <v>1698256.066521859</v>
      </c>
      <c r="H25" s="12">
        <f t="shared" si="0"/>
        <v>0.27766858815694828</v>
      </c>
      <c r="I25" s="2">
        <f>VLOOKUP(A:A,MASTER!A:E,5,0)</f>
        <v>170</v>
      </c>
      <c r="J25" s="2">
        <f>VLOOKUP(A:A,MASTER!A:J,10,0)</f>
        <v>182</v>
      </c>
      <c r="K25" s="12">
        <f t="shared" si="1"/>
        <v>7.0588235294117618E-2</v>
      </c>
      <c r="L25" s="2">
        <f>VLOOKUP(A:A,MASTER!A:D,4,0)</f>
        <v>0</v>
      </c>
      <c r="M25" s="2">
        <f>VLOOKUP(A:A,MASTER!A:I,9,0)</f>
        <v>0</v>
      </c>
      <c r="N25" s="12">
        <f t="shared" si="2"/>
        <v>0</v>
      </c>
      <c r="O25" s="1">
        <f>VLOOKUP(A:A,MASTER!A:C,3,0)</f>
        <v>1</v>
      </c>
      <c r="P25" s="1">
        <f>VLOOKUP(A:A,MASTER!A:H,8,0)</f>
        <v>0</v>
      </c>
      <c r="Q25" s="12">
        <f t="shared" si="3"/>
        <v>-1</v>
      </c>
      <c r="R25" s="1">
        <f>VLOOKUP(A:A,MASTER!A:B,2,0)</f>
        <v>235</v>
      </c>
      <c r="S25">
        <f>VLOOKUP(A:A,MASTER!A:G,7,0)</f>
        <v>212</v>
      </c>
      <c r="T25" s="12">
        <f t="shared" si="4"/>
        <v>-9.7872340425531945E-2</v>
      </c>
      <c r="U25">
        <v>1</v>
      </c>
    </row>
    <row r="26" spans="1:21" x14ac:dyDescent="0.35">
      <c r="A26" t="s">
        <v>109</v>
      </c>
      <c r="B26" t="s">
        <v>110</v>
      </c>
      <c r="C26" t="s">
        <v>22</v>
      </c>
      <c r="D26" t="s">
        <v>23</v>
      </c>
      <c r="E26" t="s">
        <v>182</v>
      </c>
      <c r="F26" s="1">
        <f>VLOOKUP(A:A,MASTER!A:F,6,0)</f>
        <v>10525091.880569469</v>
      </c>
      <c r="G26" s="1">
        <f>VLOOKUP(A:A,MASTER!A:K,11,0)</f>
        <v>10875157.736703046</v>
      </c>
      <c r="H26" s="12">
        <f t="shared" si="0"/>
        <v>3.3260123532017571E-2</v>
      </c>
      <c r="I26" s="2">
        <f>VLOOKUP(A:A,MASTER!A:E,5,0)</f>
        <v>1315</v>
      </c>
      <c r="J26" s="2">
        <f>VLOOKUP(A:A,MASTER!A:J,10,0)</f>
        <v>1425</v>
      </c>
      <c r="K26" s="12">
        <f t="shared" si="1"/>
        <v>8.365019011406849E-2</v>
      </c>
      <c r="L26" s="2">
        <f>VLOOKUP(A:A,MASTER!A:D,4,0)</f>
        <v>6</v>
      </c>
      <c r="M26" s="2">
        <f>VLOOKUP(A:A,MASTER!A:I,9,0)</f>
        <v>6</v>
      </c>
      <c r="N26" s="12">
        <f t="shared" si="2"/>
        <v>0</v>
      </c>
      <c r="O26" s="1">
        <f>VLOOKUP(A:A,MASTER!A:C,3,0)</f>
        <v>5</v>
      </c>
      <c r="P26" s="1">
        <f>VLOOKUP(A:A,MASTER!A:H,8,0)</f>
        <v>2</v>
      </c>
      <c r="Q26" s="12">
        <f t="shared" si="3"/>
        <v>-0.6</v>
      </c>
      <c r="R26" s="1">
        <f>VLOOKUP(A:A,MASTER!A:B,2,0)</f>
        <v>1629</v>
      </c>
      <c r="S26">
        <f>VLOOKUP(A:A,MASTER!A:G,7,0)</f>
        <v>1617</v>
      </c>
      <c r="T26" s="12">
        <f t="shared" si="4"/>
        <v>-7.3664825046040328E-3</v>
      </c>
      <c r="U26">
        <v>1</v>
      </c>
    </row>
    <row r="27" spans="1:21" x14ac:dyDescent="0.35">
      <c r="A27" t="s">
        <v>111</v>
      </c>
      <c r="B27" t="s">
        <v>112</v>
      </c>
      <c r="C27" t="s">
        <v>22</v>
      </c>
      <c r="D27" t="s">
        <v>23</v>
      </c>
      <c r="E27" t="s">
        <v>182</v>
      </c>
      <c r="F27" s="1">
        <f>VLOOKUP(A:A,MASTER!A:F,6,0)</f>
        <v>7945438.205796659</v>
      </c>
      <c r="G27" s="1">
        <f>VLOOKUP(A:A,MASTER!A:K,11,0)</f>
        <v>8671071.1489990819</v>
      </c>
      <c r="H27" s="12">
        <f t="shared" si="0"/>
        <v>9.1326988443888757E-2</v>
      </c>
      <c r="I27" s="2">
        <f>VLOOKUP(A:A,MASTER!A:E,5,0)</f>
        <v>624</v>
      </c>
      <c r="J27" s="2">
        <f>VLOOKUP(A:A,MASTER!A:J,10,0)</f>
        <v>680</v>
      </c>
      <c r="K27" s="12">
        <f t="shared" si="1"/>
        <v>8.9743589743589647E-2</v>
      </c>
      <c r="L27" s="2">
        <f>VLOOKUP(A:A,MASTER!A:D,4,0)</f>
        <v>1</v>
      </c>
      <c r="M27" s="2">
        <f>VLOOKUP(A:A,MASTER!A:I,9,0)</f>
        <v>1</v>
      </c>
      <c r="N27" s="12">
        <f t="shared" si="2"/>
        <v>0</v>
      </c>
      <c r="O27" s="1">
        <f>VLOOKUP(A:A,MASTER!A:C,3,0)</f>
        <v>0</v>
      </c>
      <c r="P27" s="1">
        <f>VLOOKUP(A:A,MASTER!A:H,8,0)</f>
        <v>1</v>
      </c>
      <c r="Q27" s="12">
        <f t="shared" si="3"/>
        <v>0</v>
      </c>
      <c r="R27" s="1">
        <f>VLOOKUP(A:A,MASTER!A:B,2,0)</f>
        <v>877</v>
      </c>
      <c r="S27">
        <f>VLOOKUP(A:A,MASTER!A:G,7,0)</f>
        <v>900</v>
      </c>
      <c r="T27" s="12">
        <f t="shared" si="4"/>
        <v>2.6225769669327326E-2</v>
      </c>
      <c r="U27">
        <v>1</v>
      </c>
    </row>
    <row r="28" spans="1:21" x14ac:dyDescent="0.35">
      <c r="A28" t="s">
        <v>113</v>
      </c>
      <c r="B28" t="s">
        <v>114</v>
      </c>
      <c r="C28" t="s">
        <v>22</v>
      </c>
      <c r="D28" t="s">
        <v>23</v>
      </c>
      <c r="E28" t="s">
        <v>182</v>
      </c>
      <c r="F28" s="1">
        <f>VLOOKUP(A:A,MASTER!A:F,6,0)</f>
        <v>7682265.5208570464</v>
      </c>
      <c r="G28" s="1">
        <f>VLOOKUP(A:A,MASTER!A:K,11,0)</f>
        <v>9181186.1661676001</v>
      </c>
      <c r="H28" s="12">
        <f t="shared" si="0"/>
        <v>0.19511440228680499</v>
      </c>
      <c r="I28" s="2">
        <f>VLOOKUP(A:A,MASTER!A:E,5,0)</f>
        <v>716</v>
      </c>
      <c r="J28" s="2">
        <f>VLOOKUP(A:A,MASTER!A:J,10,0)</f>
        <v>699</v>
      </c>
      <c r="K28" s="12">
        <f t="shared" si="1"/>
        <v>-2.3743016759776525E-2</v>
      </c>
      <c r="L28" s="2">
        <f>VLOOKUP(A:A,MASTER!A:D,4,0)</f>
        <v>1</v>
      </c>
      <c r="M28" s="2">
        <f>VLOOKUP(A:A,MASTER!A:I,9,0)</f>
        <v>2</v>
      </c>
      <c r="N28" s="12">
        <f t="shared" si="2"/>
        <v>1</v>
      </c>
      <c r="O28" s="1">
        <f>VLOOKUP(A:A,MASTER!A:C,3,0)</f>
        <v>1</v>
      </c>
      <c r="P28" s="1">
        <f>VLOOKUP(A:A,MASTER!A:H,8,0)</f>
        <v>1</v>
      </c>
      <c r="Q28" s="12">
        <f t="shared" si="3"/>
        <v>0</v>
      </c>
      <c r="R28" s="1">
        <f>VLOOKUP(A:A,MASTER!A:B,2,0)</f>
        <v>1058</v>
      </c>
      <c r="S28">
        <f>VLOOKUP(A:A,MASTER!A:G,7,0)</f>
        <v>998</v>
      </c>
      <c r="T28" s="12">
        <f t="shared" si="4"/>
        <v>-5.6710775047258966E-2</v>
      </c>
      <c r="U28">
        <v>1</v>
      </c>
    </row>
    <row r="29" spans="1:21" x14ac:dyDescent="0.35">
      <c r="A29" t="s">
        <v>115</v>
      </c>
      <c r="B29" t="s">
        <v>116</v>
      </c>
      <c r="C29" t="s">
        <v>22</v>
      </c>
      <c r="D29" t="s">
        <v>23</v>
      </c>
      <c r="E29" t="s">
        <v>182</v>
      </c>
      <c r="F29" s="1">
        <f>VLOOKUP(A:A,MASTER!A:F,6,0)</f>
        <v>11432953.513380121</v>
      </c>
      <c r="G29" s="1">
        <f>VLOOKUP(A:A,MASTER!A:K,11,0)</f>
        <v>12063123.635731764</v>
      </c>
      <c r="H29" s="12">
        <f t="shared" si="0"/>
        <v>5.5118751389494181E-2</v>
      </c>
      <c r="I29" s="2">
        <f>VLOOKUP(A:A,MASTER!A:E,5,0)</f>
        <v>928</v>
      </c>
      <c r="J29" s="2">
        <f>VLOOKUP(A:A,MASTER!A:J,10,0)</f>
        <v>923</v>
      </c>
      <c r="K29" s="12">
        <f t="shared" si="1"/>
        <v>-5.3879310344827624E-3</v>
      </c>
      <c r="L29" s="2">
        <f>VLOOKUP(A:A,MASTER!A:D,4,0)</f>
        <v>2</v>
      </c>
      <c r="M29" s="2">
        <f>VLOOKUP(A:A,MASTER!A:I,9,0)</f>
        <v>3</v>
      </c>
      <c r="N29" s="12">
        <f t="shared" si="2"/>
        <v>0.5</v>
      </c>
      <c r="O29" s="1">
        <f>VLOOKUP(A:A,MASTER!A:C,3,0)</f>
        <v>0</v>
      </c>
      <c r="P29" s="1">
        <f>VLOOKUP(A:A,MASTER!A:H,8,0)</f>
        <v>1</v>
      </c>
      <c r="Q29" s="12">
        <f t="shared" si="3"/>
        <v>0</v>
      </c>
      <c r="R29" s="1">
        <f>VLOOKUP(A:A,MASTER!A:B,2,0)</f>
        <v>1106</v>
      </c>
      <c r="S29">
        <f>VLOOKUP(A:A,MASTER!A:G,7,0)</f>
        <v>1141</v>
      </c>
      <c r="T29" s="12">
        <f t="shared" si="4"/>
        <v>3.1645569620253111E-2</v>
      </c>
      <c r="U29">
        <v>1</v>
      </c>
    </row>
    <row r="30" spans="1:21" x14ac:dyDescent="0.35">
      <c r="A30" t="s">
        <v>16</v>
      </c>
      <c r="B30" t="s">
        <v>17</v>
      </c>
      <c r="C30" t="s">
        <v>4</v>
      </c>
      <c r="D30" t="s">
        <v>151</v>
      </c>
      <c r="E30" t="s">
        <v>182</v>
      </c>
      <c r="F30" s="1">
        <f>VLOOKUP(A:A,MASTER!A:F,6,0)</f>
        <v>16052372.710008221</v>
      </c>
      <c r="G30" s="1">
        <f>VLOOKUP(A:A,MASTER!A:K,11,0)</f>
        <v>16949254.345771033</v>
      </c>
      <c r="H30" s="12">
        <f t="shared" si="0"/>
        <v>5.5872216024714705E-2</v>
      </c>
      <c r="I30" s="2">
        <f>VLOOKUP(A:A,MASTER!A:E,5,0)</f>
        <v>1132</v>
      </c>
      <c r="J30" s="2">
        <f>VLOOKUP(A:A,MASTER!A:J,10,0)</f>
        <v>1140</v>
      </c>
      <c r="K30" s="12">
        <f t="shared" si="1"/>
        <v>7.0671378091873294E-3</v>
      </c>
      <c r="L30" s="2">
        <f>VLOOKUP(A:A,MASTER!A:D,4,0)</f>
        <v>5</v>
      </c>
      <c r="M30" s="2">
        <f>VLOOKUP(A:A,MASTER!A:I,9,0)</f>
        <v>2</v>
      </c>
      <c r="N30" s="12">
        <f t="shared" si="2"/>
        <v>-0.6</v>
      </c>
      <c r="O30" s="1">
        <f>VLOOKUP(A:A,MASTER!A:C,3,0)</f>
        <v>1</v>
      </c>
      <c r="P30" s="1">
        <f>VLOOKUP(A:A,MASTER!A:H,8,0)</f>
        <v>0</v>
      </c>
      <c r="Q30" s="12">
        <f t="shared" si="3"/>
        <v>-1</v>
      </c>
      <c r="R30" s="1">
        <f>VLOOKUP(A:A,MASTER!A:B,2,0)</f>
        <v>1473</v>
      </c>
      <c r="S30">
        <f>VLOOKUP(A:A,MASTER!A:G,7,0)</f>
        <v>1410</v>
      </c>
      <c r="T30" s="12">
        <f t="shared" si="4"/>
        <v>-4.2769857433808567E-2</v>
      </c>
      <c r="U30">
        <v>4</v>
      </c>
    </row>
    <row r="31" spans="1:21" x14ac:dyDescent="0.35">
      <c r="A31" t="s">
        <v>18</v>
      </c>
      <c r="B31" t="s">
        <v>19</v>
      </c>
      <c r="C31" t="s">
        <v>4</v>
      </c>
      <c r="D31" t="s">
        <v>151</v>
      </c>
      <c r="E31" t="s">
        <v>182</v>
      </c>
      <c r="F31" s="1">
        <f>VLOOKUP(A:A,MASTER!A:F,6,0)</f>
        <v>6447003.3071393995</v>
      </c>
      <c r="G31" s="1">
        <f>VLOOKUP(A:A,MASTER!A:K,11,0)</f>
        <v>6111164.6106889257</v>
      </c>
      <c r="H31" s="12">
        <f t="shared" si="0"/>
        <v>-5.2092217182294065E-2</v>
      </c>
      <c r="I31" s="2">
        <f>VLOOKUP(A:A,MASTER!A:E,5,0)</f>
        <v>562</v>
      </c>
      <c r="J31" s="2">
        <f>VLOOKUP(A:A,MASTER!A:J,10,0)</f>
        <v>543</v>
      </c>
      <c r="K31" s="12">
        <f t="shared" si="1"/>
        <v>-3.3807829181494609E-2</v>
      </c>
      <c r="L31" s="2">
        <f>VLOOKUP(A:A,MASTER!A:D,4,0)</f>
        <v>5</v>
      </c>
      <c r="M31" s="2">
        <f>VLOOKUP(A:A,MASTER!A:I,9,0)</f>
        <v>5</v>
      </c>
      <c r="N31" s="12">
        <f t="shared" si="2"/>
        <v>0</v>
      </c>
      <c r="O31" s="1">
        <f>VLOOKUP(A:A,MASTER!A:C,3,0)</f>
        <v>0</v>
      </c>
      <c r="P31" s="1">
        <f>VLOOKUP(A:A,MASTER!A:H,8,0)</f>
        <v>0</v>
      </c>
      <c r="Q31" s="12">
        <f t="shared" si="3"/>
        <v>0</v>
      </c>
      <c r="R31" s="1">
        <f>VLOOKUP(A:A,MASTER!A:B,2,0)</f>
        <v>689</v>
      </c>
      <c r="S31">
        <f>VLOOKUP(A:A,MASTER!A:G,7,0)</f>
        <v>655</v>
      </c>
      <c r="T31" s="12">
        <f t="shared" si="4"/>
        <v>-4.934687953555883E-2</v>
      </c>
      <c r="U31">
        <v>3</v>
      </c>
    </row>
    <row r="32" spans="1:21" x14ac:dyDescent="0.35">
      <c r="A32" t="s">
        <v>43</v>
      </c>
      <c r="B32" t="s">
        <v>44</v>
      </c>
      <c r="C32" t="s">
        <v>4</v>
      </c>
      <c r="D32" t="s">
        <v>5</v>
      </c>
      <c r="E32" t="s">
        <v>182</v>
      </c>
      <c r="F32" s="1">
        <f>VLOOKUP(A:A,MASTER!A:F,6,0)</f>
        <v>19838539.705524493</v>
      </c>
      <c r="G32" s="1">
        <f>VLOOKUP(A:A,MASTER!A:K,11,0)</f>
        <v>5998290.8239872372</v>
      </c>
      <c r="H32" s="12">
        <f t="shared" si="0"/>
        <v>-0.69764453870982868</v>
      </c>
      <c r="I32" s="2">
        <f>VLOOKUP(A:A,MASTER!A:E,5,0)</f>
        <v>1556</v>
      </c>
      <c r="J32" s="2">
        <f>VLOOKUP(A:A,MASTER!A:J,10,0)</f>
        <v>1384</v>
      </c>
      <c r="K32" s="12">
        <f t="shared" si="1"/>
        <v>-0.11053984575835474</v>
      </c>
      <c r="L32" s="2">
        <f>VLOOKUP(A:A,MASTER!A:D,4,0)</f>
        <v>10</v>
      </c>
      <c r="M32" s="2">
        <f>VLOOKUP(A:A,MASTER!A:I,9,0)</f>
        <v>3</v>
      </c>
      <c r="N32" s="12">
        <f t="shared" si="2"/>
        <v>-0.7</v>
      </c>
      <c r="O32" s="1">
        <f>VLOOKUP(A:A,MASTER!A:C,3,0)</f>
        <v>2</v>
      </c>
      <c r="P32" s="1">
        <f>VLOOKUP(A:A,MASTER!A:H,8,0)</f>
        <v>2</v>
      </c>
      <c r="Q32" s="12">
        <f t="shared" si="3"/>
        <v>0</v>
      </c>
      <c r="R32" s="1">
        <f>VLOOKUP(A:A,MASTER!A:B,2,0)</f>
        <v>1945</v>
      </c>
      <c r="S32">
        <f>VLOOKUP(A:A,MASTER!A:G,7,0)</f>
        <v>1815</v>
      </c>
      <c r="T32" s="12">
        <f t="shared" si="4"/>
        <v>-6.6838046272493568E-2</v>
      </c>
      <c r="U32">
        <v>5</v>
      </c>
    </row>
    <row r="33" spans="1:21" x14ac:dyDescent="0.35">
      <c r="A33" t="s">
        <v>152</v>
      </c>
      <c r="B33" t="s">
        <v>153</v>
      </c>
      <c r="C33" t="s">
        <v>4</v>
      </c>
      <c r="D33" t="s">
        <v>151</v>
      </c>
      <c r="E33" t="s">
        <v>182</v>
      </c>
      <c r="F33" s="1">
        <f>VLOOKUP(A:A,MASTER!A:F,6,0)</f>
        <v>6647967.3857165854</v>
      </c>
      <c r="G33" s="1">
        <f>VLOOKUP(A:A,MASTER!A:K,11,0)</f>
        <v>7117231.7350693177</v>
      </c>
      <c r="H33" s="12">
        <f t="shared" si="0"/>
        <v>7.0587643128479316E-2</v>
      </c>
      <c r="I33" s="2">
        <f>VLOOKUP(A:A,MASTER!A:E,5,0)</f>
        <v>666</v>
      </c>
      <c r="J33" s="2">
        <f>VLOOKUP(A:A,MASTER!A:J,10,0)</f>
        <v>696</v>
      </c>
      <c r="K33" s="12">
        <f t="shared" si="1"/>
        <v>4.5045045045045029E-2</v>
      </c>
      <c r="L33" s="2">
        <f>VLOOKUP(A:A,MASTER!A:D,4,0)</f>
        <v>2</v>
      </c>
      <c r="M33" s="2">
        <f>VLOOKUP(A:A,MASTER!A:I,9,0)</f>
        <v>2</v>
      </c>
      <c r="N33" s="12">
        <f t="shared" si="2"/>
        <v>0</v>
      </c>
      <c r="O33" s="1">
        <f>VLOOKUP(A:A,MASTER!A:C,3,0)</f>
        <v>1</v>
      </c>
      <c r="P33" s="1">
        <f>VLOOKUP(A:A,MASTER!A:H,8,0)</f>
        <v>1</v>
      </c>
      <c r="Q33" s="12">
        <f t="shared" si="3"/>
        <v>0</v>
      </c>
      <c r="R33" s="1">
        <f>VLOOKUP(A:A,MASTER!A:B,2,0)</f>
        <v>837</v>
      </c>
      <c r="S33">
        <f>VLOOKUP(A:A,MASTER!A:G,7,0)</f>
        <v>855</v>
      </c>
      <c r="T33" s="12">
        <f t="shared" si="4"/>
        <v>2.1505376344086002E-2</v>
      </c>
      <c r="U33">
        <v>3</v>
      </c>
    </row>
    <row r="34" spans="1:21" x14ac:dyDescent="0.35">
      <c r="A34" t="s">
        <v>149</v>
      </c>
      <c r="B34" t="s">
        <v>150</v>
      </c>
      <c r="C34" t="s">
        <v>4</v>
      </c>
      <c r="D34" t="s">
        <v>151</v>
      </c>
      <c r="E34" t="s">
        <v>182</v>
      </c>
      <c r="F34" s="1">
        <f>VLOOKUP(A:A,MASTER!A:F,6,0)</f>
        <v>6273615.4145639166</v>
      </c>
      <c r="G34" s="1">
        <f>VLOOKUP(A:A,MASTER!A:K,11,0)</f>
        <v>5895076.5584060671</v>
      </c>
      <c r="H34" s="12">
        <f t="shared" si="0"/>
        <v>-6.033823101095559E-2</v>
      </c>
      <c r="I34" s="2">
        <f>VLOOKUP(A:A,MASTER!A:E,5,0)</f>
        <v>544</v>
      </c>
      <c r="J34" s="2">
        <f>VLOOKUP(A:A,MASTER!A:J,10,0)</f>
        <v>586</v>
      </c>
      <c r="K34" s="12">
        <f t="shared" si="1"/>
        <v>7.7205882352941124E-2</v>
      </c>
      <c r="L34" s="2">
        <f>VLOOKUP(A:A,MASTER!A:D,4,0)</f>
        <v>1</v>
      </c>
      <c r="M34" s="2">
        <f>VLOOKUP(A:A,MASTER!A:I,9,0)</f>
        <v>1</v>
      </c>
      <c r="N34" s="12">
        <f t="shared" si="2"/>
        <v>0</v>
      </c>
      <c r="O34" s="1">
        <f>VLOOKUP(A:A,MASTER!A:C,3,0)</f>
        <v>0</v>
      </c>
      <c r="P34" s="1">
        <f>VLOOKUP(A:A,MASTER!A:H,8,0)</f>
        <v>0</v>
      </c>
      <c r="Q34" s="12">
        <f t="shared" si="3"/>
        <v>0</v>
      </c>
      <c r="R34" s="1">
        <f>VLOOKUP(A:A,MASTER!A:B,2,0)</f>
        <v>706</v>
      </c>
      <c r="S34">
        <f>VLOOKUP(A:A,MASTER!A:G,7,0)</f>
        <v>697</v>
      </c>
      <c r="T34" s="12">
        <f t="shared" si="4"/>
        <v>-1.2747875354107596E-2</v>
      </c>
      <c r="U34">
        <v>4</v>
      </c>
    </row>
    <row r="35" spans="1:21" x14ac:dyDescent="0.35">
      <c r="A35" t="s">
        <v>154</v>
      </c>
      <c r="B35" t="s">
        <v>155</v>
      </c>
      <c r="C35" t="s">
        <v>4</v>
      </c>
      <c r="D35" t="s">
        <v>151</v>
      </c>
      <c r="E35" t="s">
        <v>182</v>
      </c>
      <c r="F35" s="1">
        <f>VLOOKUP(A:A,MASTER!A:F,6,0)</f>
        <v>9719179.3084224835</v>
      </c>
      <c r="G35" s="1">
        <f>VLOOKUP(A:A,MASTER!A:K,11,0)</f>
        <v>10747748.889377767</v>
      </c>
      <c r="H35" s="12">
        <f t="shared" si="0"/>
        <v>0.10582885121421137</v>
      </c>
      <c r="I35" s="2">
        <f>VLOOKUP(A:A,MASTER!A:E,5,0)</f>
        <v>867</v>
      </c>
      <c r="J35" s="2">
        <f>VLOOKUP(A:A,MASTER!A:J,10,0)</f>
        <v>913</v>
      </c>
      <c r="K35" s="12">
        <f t="shared" si="1"/>
        <v>5.3056516724336866E-2</v>
      </c>
      <c r="L35" s="2">
        <f>VLOOKUP(A:A,MASTER!A:D,4,0)</f>
        <v>1</v>
      </c>
      <c r="M35" s="2">
        <f>VLOOKUP(A:A,MASTER!A:I,9,0)</f>
        <v>2</v>
      </c>
      <c r="N35" s="12">
        <f t="shared" si="2"/>
        <v>1</v>
      </c>
      <c r="O35" s="1">
        <f>VLOOKUP(A:A,MASTER!A:C,3,0)</f>
        <v>5</v>
      </c>
      <c r="P35" s="1">
        <f>VLOOKUP(A:A,MASTER!A:H,8,0)</f>
        <v>3</v>
      </c>
      <c r="Q35" s="12">
        <f t="shared" si="3"/>
        <v>-0.4</v>
      </c>
      <c r="R35" s="1">
        <f>VLOOKUP(A:A,MASTER!A:B,2,0)</f>
        <v>1176</v>
      </c>
      <c r="S35">
        <f>VLOOKUP(A:A,MASTER!A:G,7,0)</f>
        <v>1197</v>
      </c>
      <c r="T35" s="12">
        <f t="shared" si="4"/>
        <v>1.7857142857142794E-2</v>
      </c>
      <c r="U35">
        <v>13</v>
      </c>
    </row>
    <row r="36" spans="1:21" x14ac:dyDescent="0.35">
      <c r="A36" t="s">
        <v>2</v>
      </c>
      <c r="B36" t="s">
        <v>3</v>
      </c>
      <c r="C36" t="s">
        <v>4</v>
      </c>
      <c r="D36" t="s">
        <v>151</v>
      </c>
      <c r="E36" t="s">
        <v>182</v>
      </c>
      <c r="F36" s="1">
        <f>VLOOKUP(A:A,MASTER!A:F,6,0)</f>
        <v>8790994.6551055964</v>
      </c>
      <c r="G36" s="1">
        <f>VLOOKUP(A:A,MASTER!A:K,11,0)</f>
        <v>9777529.5399200767</v>
      </c>
      <c r="H36" s="12">
        <f t="shared" si="0"/>
        <v>0.11222107662658232</v>
      </c>
      <c r="I36" s="2">
        <f>VLOOKUP(A:A,MASTER!A:E,5,0)</f>
        <v>793</v>
      </c>
      <c r="J36" s="2">
        <f>VLOOKUP(A:A,MASTER!A:J,10,0)</f>
        <v>858</v>
      </c>
      <c r="K36" s="12">
        <f t="shared" si="1"/>
        <v>8.1967213114754189E-2</v>
      </c>
      <c r="L36" s="2">
        <f>VLOOKUP(A:A,MASTER!A:D,4,0)</f>
        <v>1</v>
      </c>
      <c r="M36" s="2">
        <f>VLOOKUP(A:A,MASTER!A:I,9,0)</f>
        <v>1</v>
      </c>
      <c r="N36" s="12">
        <f t="shared" si="2"/>
        <v>0</v>
      </c>
      <c r="O36" s="1">
        <f>VLOOKUP(A:A,MASTER!A:C,3,0)</f>
        <v>120</v>
      </c>
      <c r="P36" s="1">
        <f>VLOOKUP(A:A,MASTER!A:H,8,0)</f>
        <v>2</v>
      </c>
      <c r="Q36" s="12">
        <f t="shared" si="3"/>
        <v>-0.98333333333333328</v>
      </c>
      <c r="R36" s="1">
        <f>VLOOKUP(A:A,MASTER!A:B,2,0)</f>
        <v>1337</v>
      </c>
      <c r="S36">
        <f>VLOOKUP(A:A,MASTER!A:G,7,0)</f>
        <v>1157</v>
      </c>
      <c r="T36" s="12">
        <f t="shared" si="4"/>
        <v>-0.13462976813762151</v>
      </c>
      <c r="U36">
        <v>4</v>
      </c>
    </row>
    <row r="37" spans="1:21" x14ac:dyDescent="0.35">
      <c r="A37" t="s">
        <v>156</v>
      </c>
      <c r="B37" t="s">
        <v>157</v>
      </c>
      <c r="C37" t="s">
        <v>4</v>
      </c>
      <c r="D37" t="s">
        <v>151</v>
      </c>
      <c r="E37" t="s">
        <v>182</v>
      </c>
      <c r="F37" s="1">
        <f>VLOOKUP(A:A,MASTER!A:F,6,0)</f>
        <v>16041935.121685091</v>
      </c>
      <c r="G37" s="1">
        <f>VLOOKUP(A:A,MASTER!A:K,11,0)</f>
        <v>16311311.569272388</v>
      </c>
      <c r="H37" s="12">
        <f t="shared" si="0"/>
        <v>1.6792017019390704E-2</v>
      </c>
      <c r="I37" s="2">
        <f>VLOOKUP(A:A,MASTER!A:E,5,0)</f>
        <v>1477</v>
      </c>
      <c r="J37" s="2">
        <f>VLOOKUP(A:A,MASTER!A:J,10,0)</f>
        <v>1525</v>
      </c>
      <c r="K37" s="12">
        <f t="shared" si="1"/>
        <v>3.2498307379823954E-2</v>
      </c>
      <c r="L37" s="2">
        <f>VLOOKUP(A:A,MASTER!A:D,4,0)</f>
        <v>5</v>
      </c>
      <c r="M37" s="2">
        <f>VLOOKUP(A:A,MASTER!A:I,9,0)</f>
        <v>4</v>
      </c>
      <c r="N37" s="12">
        <f t="shared" si="2"/>
        <v>-0.19999999999999996</v>
      </c>
      <c r="O37" s="1">
        <f>VLOOKUP(A:A,MASTER!A:C,3,0)</f>
        <v>66</v>
      </c>
      <c r="P37" s="1">
        <f>VLOOKUP(A:A,MASTER!A:H,8,0)</f>
        <v>2</v>
      </c>
      <c r="Q37" s="12">
        <f t="shared" si="3"/>
        <v>-0.96969696969696972</v>
      </c>
      <c r="R37" s="1">
        <f>VLOOKUP(A:A,MASTER!A:B,2,0)</f>
        <v>2544</v>
      </c>
      <c r="S37">
        <f>VLOOKUP(A:A,MASTER!A:G,7,0)</f>
        <v>2151</v>
      </c>
      <c r="T37" s="12">
        <f t="shared" si="4"/>
        <v>-0.15448113207547165</v>
      </c>
      <c r="U37">
        <v>16</v>
      </c>
    </row>
    <row r="38" spans="1:21" x14ac:dyDescent="0.35">
      <c r="A38" t="s">
        <v>14</v>
      </c>
      <c r="B38" t="s">
        <v>15</v>
      </c>
      <c r="C38" t="s">
        <v>4</v>
      </c>
      <c r="D38" t="s">
        <v>151</v>
      </c>
      <c r="E38" t="s">
        <v>182</v>
      </c>
      <c r="F38" s="1">
        <f>VLOOKUP(A:A,MASTER!A:F,6,0)</f>
        <v>5775032.9829335511</v>
      </c>
      <c r="G38" s="1">
        <f>VLOOKUP(A:A,MASTER!A:K,11,0)</f>
        <v>6344818.2892041234</v>
      </c>
      <c r="H38" s="12">
        <f t="shared" si="0"/>
        <v>9.8663558797743578E-2</v>
      </c>
      <c r="I38" s="2">
        <f>VLOOKUP(A:A,MASTER!A:E,5,0)</f>
        <v>456</v>
      </c>
      <c r="J38" s="2">
        <f>VLOOKUP(A:A,MASTER!A:J,10,0)</f>
        <v>471</v>
      </c>
      <c r="K38" s="12">
        <f t="shared" si="1"/>
        <v>3.289473684210531E-2</v>
      </c>
      <c r="L38" s="2">
        <f>VLOOKUP(A:A,MASTER!A:D,4,0)</f>
        <v>6</v>
      </c>
      <c r="M38" s="2">
        <f>VLOOKUP(A:A,MASTER!A:I,9,0)</f>
        <v>8</v>
      </c>
      <c r="N38" s="12">
        <f t="shared" si="2"/>
        <v>0.33333333333333326</v>
      </c>
      <c r="O38" s="1">
        <f>VLOOKUP(A:A,MASTER!A:C,3,0)</f>
        <v>0</v>
      </c>
      <c r="P38" s="1">
        <f>VLOOKUP(A:A,MASTER!A:H,8,0)</f>
        <v>1</v>
      </c>
      <c r="Q38" s="12">
        <f t="shared" si="3"/>
        <v>0</v>
      </c>
      <c r="R38" s="1">
        <f>VLOOKUP(A:A,MASTER!A:B,2,0)</f>
        <v>611</v>
      </c>
      <c r="S38">
        <f>VLOOKUP(A:A,MASTER!A:G,7,0)</f>
        <v>586</v>
      </c>
      <c r="T38" s="12">
        <f t="shared" si="4"/>
        <v>-4.0916530278232388E-2</v>
      </c>
      <c r="U38">
        <v>3</v>
      </c>
    </row>
    <row r="39" spans="1:21" x14ac:dyDescent="0.35">
      <c r="A39" t="s">
        <v>8</v>
      </c>
      <c r="B39" t="s">
        <v>9</v>
      </c>
      <c r="C39" t="s">
        <v>4</v>
      </c>
      <c r="D39" t="s">
        <v>151</v>
      </c>
      <c r="E39" t="s">
        <v>182</v>
      </c>
      <c r="F39" s="1">
        <f>VLOOKUP(A:A,MASTER!A:F,6,0)</f>
        <v>19803000.926697183</v>
      </c>
      <c r="G39" s="1">
        <f>VLOOKUP(A:A,MASTER!A:K,11,0)</f>
        <v>18801593.300222117</v>
      </c>
      <c r="H39" s="12">
        <f t="shared" si="0"/>
        <v>-5.0568478493834279E-2</v>
      </c>
      <c r="I39" s="2">
        <f>VLOOKUP(A:A,MASTER!A:E,5,0)</f>
        <v>2006</v>
      </c>
      <c r="J39" s="2">
        <f>VLOOKUP(A:A,MASTER!A:J,10,0)</f>
        <v>1866</v>
      </c>
      <c r="K39" s="12">
        <f t="shared" si="1"/>
        <v>-6.9790628115653064E-2</v>
      </c>
      <c r="L39" s="2">
        <f>VLOOKUP(A:A,MASTER!A:D,4,0)</f>
        <v>7</v>
      </c>
      <c r="M39" s="2">
        <f>VLOOKUP(A:A,MASTER!A:I,9,0)</f>
        <v>5</v>
      </c>
      <c r="N39" s="12">
        <f t="shared" si="2"/>
        <v>-0.2857142857142857</v>
      </c>
      <c r="O39" s="1">
        <f>VLOOKUP(A:A,MASTER!A:C,3,0)</f>
        <v>1</v>
      </c>
      <c r="P39" s="1">
        <f>VLOOKUP(A:A,MASTER!A:H,8,0)</f>
        <v>2</v>
      </c>
      <c r="Q39" s="12">
        <f t="shared" si="3"/>
        <v>1</v>
      </c>
      <c r="R39" s="1">
        <f>VLOOKUP(A:A,MASTER!A:B,2,0)</f>
        <v>2066</v>
      </c>
      <c r="S39">
        <f>VLOOKUP(A:A,MASTER!A:G,7,0)</f>
        <v>2080</v>
      </c>
      <c r="T39" s="12">
        <f t="shared" si="4"/>
        <v>6.7763794772506269E-3</v>
      </c>
      <c r="U39">
        <v>4</v>
      </c>
    </row>
    <row r="40" spans="1:21" x14ac:dyDescent="0.35">
      <c r="A40" t="s">
        <v>39</v>
      </c>
      <c r="B40" t="s">
        <v>40</v>
      </c>
      <c r="C40" t="s">
        <v>4</v>
      </c>
      <c r="D40" t="s">
        <v>5</v>
      </c>
      <c r="E40" t="s">
        <v>182</v>
      </c>
      <c r="F40" s="1">
        <f>VLOOKUP(A:A,MASTER!A:F,6,0)</f>
        <v>12542230.531580009</v>
      </c>
      <c r="G40" s="1">
        <f>VLOOKUP(A:A,MASTER!A:K,11,0)</f>
        <v>15585673.96998447</v>
      </c>
      <c r="H40" s="12">
        <f t="shared" si="0"/>
        <v>0.24265567681453404</v>
      </c>
      <c r="I40" s="2">
        <f>VLOOKUP(A:A,MASTER!A:E,5,0)</f>
        <v>782</v>
      </c>
      <c r="J40" s="2">
        <f>VLOOKUP(A:A,MASTER!A:J,10,0)</f>
        <v>1007</v>
      </c>
      <c r="K40" s="12">
        <f t="shared" si="1"/>
        <v>0.28772378516624042</v>
      </c>
      <c r="L40" s="2">
        <f>VLOOKUP(A:A,MASTER!A:D,4,0)</f>
        <v>2</v>
      </c>
      <c r="M40" s="2">
        <f>VLOOKUP(A:A,MASTER!A:I,9,0)</f>
        <v>7</v>
      </c>
      <c r="N40" s="12">
        <f t="shared" si="2"/>
        <v>2.5</v>
      </c>
      <c r="O40" s="1">
        <f>VLOOKUP(A:A,MASTER!A:C,3,0)</f>
        <v>1</v>
      </c>
      <c r="P40" s="1">
        <f>VLOOKUP(A:A,MASTER!A:H,8,0)</f>
        <v>3</v>
      </c>
      <c r="Q40" s="12">
        <f t="shared" si="3"/>
        <v>2</v>
      </c>
      <c r="R40" s="1">
        <f>VLOOKUP(A:A,MASTER!A:B,2,0)</f>
        <v>895</v>
      </c>
      <c r="S40">
        <f>VLOOKUP(A:A,MASTER!A:G,7,0)</f>
        <v>955</v>
      </c>
      <c r="T40" s="12">
        <f t="shared" si="4"/>
        <v>6.7039106145251326E-2</v>
      </c>
      <c r="U40">
        <v>3</v>
      </c>
    </row>
    <row r="41" spans="1:21" x14ac:dyDescent="0.35">
      <c r="A41" t="s">
        <v>6</v>
      </c>
      <c r="B41" t="s">
        <v>7</v>
      </c>
      <c r="C41" t="s">
        <v>4</v>
      </c>
      <c r="D41" t="s">
        <v>151</v>
      </c>
      <c r="E41" t="s">
        <v>182</v>
      </c>
      <c r="F41" s="1">
        <f>VLOOKUP(A:A,MASTER!A:F,6,0)</f>
        <v>5556095.8800142836</v>
      </c>
      <c r="G41" s="1">
        <f>VLOOKUP(A:A,MASTER!A:K,11,0)</f>
        <v>10552496.084244937</v>
      </c>
      <c r="H41" s="12">
        <f t="shared" si="0"/>
        <v>0.89926457572539387</v>
      </c>
      <c r="I41" s="2">
        <f>VLOOKUP(A:A,MASTER!A:E,5,0)</f>
        <v>462</v>
      </c>
      <c r="J41" s="2">
        <f>VLOOKUP(A:A,MASTER!A:J,10,0)</f>
        <v>1074</v>
      </c>
      <c r="K41" s="12">
        <f t="shared" si="1"/>
        <v>1.3246753246753249</v>
      </c>
      <c r="L41" s="2">
        <f>VLOOKUP(A:A,MASTER!A:D,4,0)</f>
        <v>3</v>
      </c>
      <c r="M41" s="2">
        <f>VLOOKUP(A:A,MASTER!A:I,9,0)</f>
        <v>3</v>
      </c>
      <c r="N41" s="12">
        <f t="shared" si="2"/>
        <v>0</v>
      </c>
      <c r="O41" s="1">
        <f>VLOOKUP(A:A,MASTER!A:C,3,0)</f>
        <v>0</v>
      </c>
      <c r="P41" s="1">
        <f>VLOOKUP(A:A,MASTER!A:H,8,0)</f>
        <v>4</v>
      </c>
      <c r="Q41" s="12">
        <f t="shared" si="3"/>
        <v>0</v>
      </c>
      <c r="R41" s="1">
        <f>VLOOKUP(A:A,MASTER!A:B,2,0)</f>
        <v>1105</v>
      </c>
      <c r="S41">
        <f>VLOOKUP(A:A,MASTER!A:G,7,0)</f>
        <v>1068</v>
      </c>
      <c r="T41" s="12">
        <f t="shared" si="4"/>
        <v>-3.3484162895927594E-2</v>
      </c>
      <c r="U41">
        <v>4</v>
      </c>
    </row>
    <row r="42" spans="1:21" x14ac:dyDescent="0.35">
      <c r="A42" t="s">
        <v>41</v>
      </c>
      <c r="B42" t="s">
        <v>42</v>
      </c>
      <c r="C42" t="s">
        <v>4</v>
      </c>
      <c r="D42" t="s">
        <v>5</v>
      </c>
      <c r="E42" t="s">
        <v>182</v>
      </c>
      <c r="F42" s="1">
        <f>VLOOKUP(A:A,MASTER!A:F,6,0)</f>
        <v>9777702.0178567767</v>
      </c>
      <c r="G42" s="1">
        <f>VLOOKUP(A:A,MASTER!A:K,11,0)</f>
        <v>10242040.824397955</v>
      </c>
      <c r="H42" s="12">
        <f t="shared" si="0"/>
        <v>4.7489564080922975E-2</v>
      </c>
      <c r="I42" s="2">
        <f>VLOOKUP(A:A,MASTER!A:E,5,0)</f>
        <v>663</v>
      </c>
      <c r="J42" s="2">
        <f>VLOOKUP(A:A,MASTER!A:J,10,0)</f>
        <v>633</v>
      </c>
      <c r="K42" s="12">
        <f t="shared" si="1"/>
        <v>-4.5248868778280493E-2</v>
      </c>
      <c r="L42" s="2">
        <f>VLOOKUP(A:A,MASTER!A:D,4,0)</f>
        <v>4</v>
      </c>
      <c r="M42" s="2">
        <f>VLOOKUP(A:A,MASTER!A:I,9,0)</f>
        <v>4</v>
      </c>
      <c r="N42" s="12">
        <f t="shared" si="2"/>
        <v>0</v>
      </c>
      <c r="O42" s="1">
        <f>VLOOKUP(A:A,MASTER!A:C,3,0)</f>
        <v>0</v>
      </c>
      <c r="P42" s="1">
        <f>VLOOKUP(A:A,MASTER!A:H,8,0)</f>
        <v>2</v>
      </c>
      <c r="Q42" s="12">
        <f t="shared" si="3"/>
        <v>0</v>
      </c>
      <c r="R42" s="1">
        <f>VLOOKUP(A:A,MASTER!A:B,2,0)</f>
        <v>827</v>
      </c>
      <c r="S42">
        <f>VLOOKUP(A:A,MASTER!A:G,7,0)</f>
        <v>811</v>
      </c>
      <c r="T42" s="12">
        <f t="shared" si="4"/>
        <v>-1.9347037484885088E-2</v>
      </c>
      <c r="U42">
        <v>2</v>
      </c>
    </row>
    <row r="43" spans="1:21" x14ac:dyDescent="0.35">
      <c r="A43" t="s">
        <v>158</v>
      </c>
      <c r="B43" t="s">
        <v>159</v>
      </c>
      <c r="C43" t="s">
        <v>4</v>
      </c>
      <c r="D43" t="s">
        <v>151</v>
      </c>
      <c r="E43" t="s">
        <v>182</v>
      </c>
      <c r="F43" s="1">
        <f>VLOOKUP(A:A,MASTER!A:F,6,0)</f>
        <v>6684286.8881617002</v>
      </c>
      <c r="G43" s="1">
        <f>VLOOKUP(A:A,MASTER!A:K,11,0)</f>
        <v>6325136.1874819957</v>
      </c>
      <c r="H43" s="12">
        <f t="shared" si="0"/>
        <v>-5.3730593358550127E-2</v>
      </c>
      <c r="I43" s="2">
        <f>VLOOKUP(A:A,MASTER!A:E,5,0)</f>
        <v>584</v>
      </c>
      <c r="J43" s="2">
        <f>VLOOKUP(A:A,MASTER!A:J,10,0)</f>
        <v>586</v>
      </c>
      <c r="K43" s="12">
        <f t="shared" si="1"/>
        <v>3.424657534246478E-3</v>
      </c>
      <c r="L43" s="2">
        <f>VLOOKUP(A:A,MASTER!A:D,4,0)</f>
        <v>10</v>
      </c>
      <c r="M43" s="2">
        <f>VLOOKUP(A:A,MASTER!A:I,9,0)</f>
        <v>9</v>
      </c>
      <c r="N43" s="12">
        <f t="shared" si="2"/>
        <v>-9.9999999999999978E-2</v>
      </c>
      <c r="O43" s="1">
        <f>VLOOKUP(A:A,MASTER!A:C,3,0)</f>
        <v>0</v>
      </c>
      <c r="P43" s="1">
        <f>VLOOKUP(A:A,MASTER!A:H,8,0)</f>
        <v>0</v>
      </c>
      <c r="Q43" s="12">
        <f t="shared" si="3"/>
        <v>0</v>
      </c>
      <c r="R43" s="1">
        <f>VLOOKUP(A:A,MASTER!A:B,2,0)</f>
        <v>686</v>
      </c>
      <c r="S43">
        <f>VLOOKUP(A:A,MASTER!A:G,7,0)</f>
        <v>730</v>
      </c>
      <c r="T43" s="12">
        <f t="shared" si="4"/>
        <v>6.4139941690962043E-2</v>
      </c>
      <c r="U43">
        <v>2</v>
      </c>
    </row>
    <row r="44" spans="1:21" x14ac:dyDescent="0.35">
      <c r="A44" t="s">
        <v>160</v>
      </c>
      <c r="B44" t="s">
        <v>161</v>
      </c>
      <c r="C44" t="s">
        <v>4</v>
      </c>
      <c r="D44" t="s">
        <v>151</v>
      </c>
      <c r="E44" t="s">
        <v>182</v>
      </c>
      <c r="F44" s="1">
        <f>VLOOKUP(A:A,MASTER!A:F,6,0)</f>
        <v>5538977.3383655511</v>
      </c>
      <c r="G44" s="1">
        <f>VLOOKUP(A:A,MASTER!A:K,11,0)</f>
        <v>5720607.8632902047</v>
      </c>
      <c r="H44" s="12">
        <f t="shared" si="0"/>
        <v>3.2791346457873294E-2</v>
      </c>
      <c r="I44" s="2">
        <f>VLOOKUP(A:A,MASTER!A:E,5,0)</f>
        <v>712</v>
      </c>
      <c r="J44" s="2">
        <f>VLOOKUP(A:A,MASTER!A:J,10,0)</f>
        <v>902</v>
      </c>
      <c r="K44" s="12">
        <f t="shared" si="1"/>
        <v>0.26685393258426959</v>
      </c>
      <c r="L44" s="2">
        <f>VLOOKUP(A:A,MASTER!A:D,4,0)</f>
        <v>3</v>
      </c>
      <c r="M44" s="2">
        <f>VLOOKUP(A:A,MASTER!A:I,9,0)</f>
        <v>2</v>
      </c>
      <c r="N44" s="12">
        <f t="shared" si="2"/>
        <v>-0.33333333333333337</v>
      </c>
      <c r="O44" s="1">
        <f>VLOOKUP(A:A,MASTER!A:C,3,0)</f>
        <v>0</v>
      </c>
      <c r="P44" s="1">
        <f>VLOOKUP(A:A,MASTER!A:H,8,0)</f>
        <v>0</v>
      </c>
      <c r="Q44" s="12">
        <f t="shared" si="3"/>
        <v>0</v>
      </c>
      <c r="R44" s="1">
        <f>VLOOKUP(A:A,MASTER!A:B,2,0)</f>
        <v>697</v>
      </c>
      <c r="S44">
        <f>VLOOKUP(A:A,MASTER!A:G,7,0)</f>
        <v>705</v>
      </c>
      <c r="T44" s="12">
        <f t="shared" si="4"/>
        <v>1.1477761836441891E-2</v>
      </c>
      <c r="U44">
        <v>3</v>
      </c>
    </row>
    <row r="45" spans="1:21" x14ac:dyDescent="0.35">
      <c r="A45" t="s">
        <v>83</v>
      </c>
      <c r="B45" t="s">
        <v>84</v>
      </c>
      <c r="C45" t="s">
        <v>4</v>
      </c>
      <c r="D45" t="s">
        <v>26</v>
      </c>
      <c r="E45" t="s">
        <v>182</v>
      </c>
      <c r="F45" s="1">
        <f>VLOOKUP(A:A,MASTER!A:F,6,0)</f>
        <v>17668408.580657668</v>
      </c>
      <c r="G45" s="1">
        <f>VLOOKUP(A:A,MASTER!A:K,11,0)</f>
        <v>20176243.914450049</v>
      </c>
      <c r="H45" s="12">
        <f t="shared" si="0"/>
        <v>0.14193894839729992</v>
      </c>
      <c r="I45" s="2">
        <f>VLOOKUP(A:A,MASTER!A:E,5,0)</f>
        <v>1120</v>
      </c>
      <c r="J45" s="2">
        <f>VLOOKUP(A:A,MASTER!A:J,10,0)</f>
        <v>1077</v>
      </c>
      <c r="K45" s="12">
        <f t="shared" si="1"/>
        <v>-3.8392857142857117E-2</v>
      </c>
      <c r="L45" s="2">
        <f>VLOOKUP(A:A,MASTER!A:D,4,0)</f>
        <v>4</v>
      </c>
      <c r="M45" s="2">
        <f>VLOOKUP(A:A,MASTER!A:I,9,0)</f>
        <v>7</v>
      </c>
      <c r="N45" s="12">
        <f t="shared" si="2"/>
        <v>0.75</v>
      </c>
      <c r="O45" s="1">
        <f>VLOOKUP(A:A,MASTER!A:C,3,0)</f>
        <v>0</v>
      </c>
      <c r="P45" s="1">
        <f>VLOOKUP(A:A,MASTER!A:H,8,0)</f>
        <v>1</v>
      </c>
      <c r="Q45" s="12">
        <f t="shared" si="3"/>
        <v>0</v>
      </c>
      <c r="R45" s="1">
        <f>VLOOKUP(A:A,MASTER!A:B,2,0)</f>
        <v>1245</v>
      </c>
      <c r="S45">
        <f>VLOOKUP(A:A,MASTER!A:G,7,0)</f>
        <v>1285</v>
      </c>
      <c r="T45" s="12">
        <f t="shared" si="4"/>
        <v>3.2128514056224855E-2</v>
      </c>
      <c r="U45">
        <v>5</v>
      </c>
    </row>
    <row r="46" spans="1:21" x14ac:dyDescent="0.35">
      <c r="A46" t="s">
        <v>31</v>
      </c>
      <c r="B46" t="s">
        <v>32</v>
      </c>
      <c r="C46" t="s">
        <v>4</v>
      </c>
      <c r="D46" t="s">
        <v>5</v>
      </c>
      <c r="E46" t="s">
        <v>182</v>
      </c>
      <c r="F46" s="1">
        <f>VLOOKUP(A:A,MASTER!A:F,6,0)</f>
        <v>8311758.9493374256</v>
      </c>
      <c r="G46" s="1">
        <f>VLOOKUP(A:A,MASTER!A:K,11,0)</f>
        <v>8504767.6581648532</v>
      </c>
      <c r="H46" s="12">
        <f t="shared" si="0"/>
        <v>2.3221162933606543E-2</v>
      </c>
      <c r="I46" s="2">
        <f>VLOOKUP(A:A,MASTER!A:E,5,0)</f>
        <v>933</v>
      </c>
      <c r="J46" s="2">
        <f>VLOOKUP(A:A,MASTER!A:J,10,0)</f>
        <v>936</v>
      </c>
      <c r="K46" s="12">
        <f t="shared" si="1"/>
        <v>3.215434083601254E-3</v>
      </c>
      <c r="L46" s="2">
        <f>VLOOKUP(A:A,MASTER!A:D,4,0)</f>
        <v>5</v>
      </c>
      <c r="M46" s="2">
        <f>VLOOKUP(A:A,MASTER!A:I,9,0)</f>
        <v>4</v>
      </c>
      <c r="N46" s="12">
        <f t="shared" si="2"/>
        <v>-0.19999999999999996</v>
      </c>
      <c r="O46" s="1">
        <f>VLOOKUP(A:A,MASTER!A:C,3,0)</f>
        <v>1</v>
      </c>
      <c r="P46" s="1">
        <f>VLOOKUP(A:A,MASTER!A:H,8,0)</f>
        <v>1</v>
      </c>
      <c r="Q46" s="12">
        <f t="shared" si="3"/>
        <v>0</v>
      </c>
      <c r="R46" s="1">
        <f>VLOOKUP(A:A,MASTER!A:B,2,0)</f>
        <v>901</v>
      </c>
      <c r="S46">
        <f>VLOOKUP(A:A,MASTER!A:G,7,0)</f>
        <v>910</v>
      </c>
      <c r="T46" s="12">
        <f t="shared" si="4"/>
        <v>9.9889012208655981E-3</v>
      </c>
      <c r="U46">
        <v>4</v>
      </c>
    </row>
    <row r="47" spans="1:21" x14ac:dyDescent="0.35">
      <c r="A47" t="s">
        <v>33</v>
      </c>
      <c r="B47" t="s">
        <v>34</v>
      </c>
      <c r="C47" t="s">
        <v>4</v>
      </c>
      <c r="D47" t="s">
        <v>5</v>
      </c>
      <c r="E47" t="s">
        <v>182</v>
      </c>
      <c r="F47" s="1">
        <f>VLOOKUP(A:A,MASTER!A:F,6,0)</f>
        <v>14882247.462702388</v>
      </c>
      <c r="G47" s="1">
        <f>VLOOKUP(A:A,MASTER!A:K,11,0)</f>
        <v>15149186.398551095</v>
      </c>
      <c r="H47" s="12">
        <f t="shared" si="0"/>
        <v>1.7936735464028963E-2</v>
      </c>
      <c r="I47" s="2">
        <f>VLOOKUP(A:A,MASTER!A:E,5,0)</f>
        <v>1042</v>
      </c>
      <c r="J47" s="2">
        <f>VLOOKUP(A:A,MASTER!A:J,10,0)</f>
        <v>997</v>
      </c>
      <c r="K47" s="12">
        <f t="shared" si="1"/>
        <v>-4.3186180422264853E-2</v>
      </c>
      <c r="L47" s="2">
        <f>VLOOKUP(A:A,MASTER!A:D,4,0)</f>
        <v>12</v>
      </c>
      <c r="M47" s="2">
        <f>VLOOKUP(A:A,MASTER!A:I,9,0)</f>
        <v>12</v>
      </c>
      <c r="N47" s="12">
        <f t="shared" si="2"/>
        <v>0</v>
      </c>
      <c r="O47" s="1">
        <f>VLOOKUP(A:A,MASTER!A:C,3,0)</f>
        <v>1</v>
      </c>
      <c r="P47" s="1">
        <f>VLOOKUP(A:A,MASTER!A:H,8,0)</f>
        <v>1</v>
      </c>
      <c r="Q47" s="12">
        <f t="shared" si="3"/>
        <v>0</v>
      </c>
      <c r="R47" s="1">
        <f>VLOOKUP(A:A,MASTER!A:B,2,0)</f>
        <v>1347</v>
      </c>
      <c r="S47">
        <f>VLOOKUP(A:A,MASTER!A:G,7,0)</f>
        <v>1424</v>
      </c>
      <c r="T47" s="12">
        <f t="shared" si="4"/>
        <v>5.7164068299925708E-2</v>
      </c>
      <c r="U47">
        <v>6</v>
      </c>
    </row>
    <row r="48" spans="1:21" x14ac:dyDescent="0.35">
      <c r="A48" t="s">
        <v>85</v>
      </c>
      <c r="B48" t="s">
        <v>86</v>
      </c>
      <c r="C48" t="s">
        <v>4</v>
      </c>
      <c r="D48" t="s">
        <v>26</v>
      </c>
      <c r="E48" t="s">
        <v>182</v>
      </c>
      <c r="F48" s="1">
        <f>VLOOKUP(A:A,MASTER!A:F,6,0)</f>
        <v>7909758.2747908533</v>
      </c>
      <c r="G48" s="1">
        <f>VLOOKUP(A:A,MASTER!A:K,11,0)</f>
        <v>6834605.5335703976</v>
      </c>
      <c r="H48" s="12">
        <f t="shared" si="0"/>
        <v>-0.13592738284393202</v>
      </c>
      <c r="I48" s="2">
        <f>VLOOKUP(A:A,MASTER!A:E,5,0)</f>
        <v>392</v>
      </c>
      <c r="J48" s="2">
        <f>VLOOKUP(A:A,MASTER!A:J,10,0)</f>
        <v>358</v>
      </c>
      <c r="K48" s="12">
        <f t="shared" si="1"/>
        <v>-8.6734693877551061E-2</v>
      </c>
      <c r="L48" s="2">
        <f>VLOOKUP(A:A,MASTER!A:D,4,0)</f>
        <v>6</v>
      </c>
      <c r="M48" s="2">
        <f>VLOOKUP(A:A,MASTER!A:I,9,0)</f>
        <v>6</v>
      </c>
      <c r="N48" s="12">
        <f t="shared" si="2"/>
        <v>0</v>
      </c>
      <c r="O48" s="1">
        <f>VLOOKUP(A:A,MASTER!A:C,3,0)</f>
        <v>0</v>
      </c>
      <c r="P48" s="1">
        <f>VLOOKUP(A:A,MASTER!A:H,8,0)</f>
        <v>2</v>
      </c>
      <c r="Q48" s="12">
        <f t="shared" si="3"/>
        <v>0</v>
      </c>
      <c r="R48" s="1">
        <f>VLOOKUP(A:A,MASTER!A:B,2,0)</f>
        <v>486</v>
      </c>
      <c r="S48">
        <f>VLOOKUP(A:A,MASTER!A:G,7,0)</f>
        <v>473</v>
      </c>
      <c r="T48" s="12">
        <f t="shared" si="4"/>
        <v>-2.6748971193415683E-2</v>
      </c>
      <c r="U48">
        <v>1</v>
      </c>
    </row>
    <row r="49" spans="1:21" x14ac:dyDescent="0.35">
      <c r="A49" t="s">
        <v>81</v>
      </c>
      <c r="B49" t="s">
        <v>82</v>
      </c>
      <c r="C49" t="s">
        <v>4</v>
      </c>
      <c r="D49" t="s">
        <v>26</v>
      </c>
      <c r="E49" t="s">
        <v>182</v>
      </c>
      <c r="F49" s="1">
        <f>VLOOKUP(A:A,MASTER!A:F,6,0)</f>
        <v>5763787.7664615251</v>
      </c>
      <c r="G49" s="1">
        <f>VLOOKUP(A:A,MASTER!A:K,11,0)</f>
        <v>5801884.698334286</v>
      </c>
      <c r="H49" s="12">
        <f t="shared" si="0"/>
        <v>6.609704141856243E-3</v>
      </c>
      <c r="I49" s="2">
        <f>VLOOKUP(A:A,MASTER!A:E,5,0)</f>
        <v>321</v>
      </c>
      <c r="J49" s="2">
        <f>VLOOKUP(A:A,MASTER!A:J,10,0)</f>
        <v>326</v>
      </c>
      <c r="K49" s="12">
        <f t="shared" si="1"/>
        <v>1.5576323987538832E-2</v>
      </c>
      <c r="L49" s="2">
        <f>VLOOKUP(A:A,MASTER!A:D,4,0)</f>
        <v>4</v>
      </c>
      <c r="M49" s="2">
        <f>VLOOKUP(A:A,MASTER!A:I,9,0)</f>
        <v>3</v>
      </c>
      <c r="N49" s="12">
        <f t="shared" si="2"/>
        <v>-0.25</v>
      </c>
      <c r="O49" s="1">
        <f>VLOOKUP(A:A,MASTER!A:C,3,0)</f>
        <v>0</v>
      </c>
      <c r="P49" s="1">
        <f>VLOOKUP(A:A,MASTER!A:H,8,0)</f>
        <v>1</v>
      </c>
      <c r="Q49" s="12">
        <f t="shared" si="3"/>
        <v>0</v>
      </c>
      <c r="R49" s="1">
        <f>VLOOKUP(A:A,MASTER!A:B,2,0)</f>
        <v>455</v>
      </c>
      <c r="S49">
        <f>VLOOKUP(A:A,MASTER!A:G,7,0)</f>
        <v>457</v>
      </c>
      <c r="T49" s="12">
        <f t="shared" si="4"/>
        <v>4.39560439560438E-3</v>
      </c>
      <c r="U49">
        <v>5</v>
      </c>
    </row>
    <row r="50" spans="1:21" x14ac:dyDescent="0.35">
      <c r="A50" t="s">
        <v>87</v>
      </c>
      <c r="B50" t="s">
        <v>88</v>
      </c>
      <c r="C50" t="s">
        <v>4</v>
      </c>
      <c r="D50" t="s">
        <v>26</v>
      </c>
      <c r="E50" t="s">
        <v>182</v>
      </c>
      <c r="F50" s="1">
        <f>VLOOKUP(A:A,MASTER!A:F,6,0)</f>
        <v>4932361.0217840318</v>
      </c>
      <c r="G50" s="1">
        <f>VLOOKUP(A:A,MASTER!A:K,11,0)</f>
        <v>4890092.3406760395</v>
      </c>
      <c r="H50" s="12">
        <f t="shared" si="0"/>
        <v>-8.5696648970564615E-3</v>
      </c>
      <c r="I50" s="2">
        <f>VLOOKUP(A:A,MASTER!A:E,5,0)</f>
        <v>333</v>
      </c>
      <c r="J50" s="2">
        <f>VLOOKUP(A:A,MASTER!A:J,10,0)</f>
        <v>338</v>
      </c>
      <c r="K50" s="12">
        <f t="shared" si="1"/>
        <v>1.501501501501501E-2</v>
      </c>
      <c r="L50" s="2">
        <f>VLOOKUP(A:A,MASTER!A:D,4,0)</f>
        <v>3</v>
      </c>
      <c r="M50" s="2">
        <f>VLOOKUP(A:A,MASTER!A:I,9,0)</f>
        <v>2</v>
      </c>
      <c r="N50" s="12">
        <f t="shared" si="2"/>
        <v>-0.33333333333333337</v>
      </c>
      <c r="O50" s="1">
        <f>VLOOKUP(A:A,MASTER!A:C,3,0)</f>
        <v>0</v>
      </c>
      <c r="P50" s="1">
        <f>VLOOKUP(A:A,MASTER!A:H,8,0)</f>
        <v>0</v>
      </c>
      <c r="Q50" s="12">
        <f t="shared" si="3"/>
        <v>0</v>
      </c>
      <c r="R50" s="1">
        <f>VLOOKUP(A:A,MASTER!A:B,2,0)</f>
        <v>425</v>
      </c>
      <c r="S50">
        <f>VLOOKUP(A:A,MASTER!A:G,7,0)</f>
        <v>402</v>
      </c>
      <c r="T50" s="12">
        <f t="shared" si="4"/>
        <v>-5.4117647058823493E-2</v>
      </c>
      <c r="U50">
        <v>4</v>
      </c>
    </row>
    <row r="51" spans="1:21" x14ac:dyDescent="0.35">
      <c r="A51" t="s">
        <v>166</v>
      </c>
      <c r="B51" t="s">
        <v>167</v>
      </c>
      <c r="C51" t="s">
        <v>4</v>
      </c>
      <c r="D51" t="s">
        <v>5</v>
      </c>
      <c r="E51" t="s">
        <v>182</v>
      </c>
      <c r="F51" s="1">
        <f>VLOOKUP(A:A,MASTER!A:F,6,0)</f>
        <v>11307100.037220374</v>
      </c>
      <c r="G51" s="1">
        <f>VLOOKUP(A:A,MASTER!A:K,11,0)</f>
        <v>11547003.326203983</v>
      </c>
      <c r="H51" s="12">
        <f t="shared" si="0"/>
        <v>2.1217048420364426E-2</v>
      </c>
      <c r="I51" s="2">
        <f>VLOOKUP(A:A,MASTER!A:E,5,0)</f>
        <v>1111</v>
      </c>
      <c r="J51" s="2">
        <f>VLOOKUP(A:A,MASTER!A:J,10,0)</f>
        <v>943</v>
      </c>
      <c r="K51" s="12">
        <f t="shared" si="1"/>
        <v>-0.15121512151215122</v>
      </c>
      <c r="L51" s="2">
        <f>VLOOKUP(A:A,MASTER!A:D,4,0)</f>
        <v>0</v>
      </c>
      <c r="M51" s="2">
        <f>VLOOKUP(A:A,MASTER!A:I,9,0)</f>
        <v>0</v>
      </c>
      <c r="N51" s="12">
        <f t="shared" si="2"/>
        <v>0</v>
      </c>
      <c r="O51" s="1">
        <f>VLOOKUP(A:A,MASTER!A:C,3,0)</f>
        <v>0</v>
      </c>
      <c r="P51" s="1">
        <f>VLOOKUP(A:A,MASTER!A:H,8,0)</f>
        <v>1</v>
      </c>
      <c r="Q51" s="12">
        <f t="shared" si="3"/>
        <v>0</v>
      </c>
      <c r="R51" s="1">
        <f>VLOOKUP(A:A,MASTER!A:B,2,0)</f>
        <v>1112</v>
      </c>
      <c r="S51">
        <f>VLOOKUP(A:A,MASTER!A:G,7,0)</f>
        <v>1089</v>
      </c>
      <c r="T51" s="12">
        <f t="shared" si="4"/>
        <v>-2.0683453237410054E-2</v>
      </c>
      <c r="U51">
        <v>5</v>
      </c>
    </row>
    <row r="52" spans="1:21" x14ac:dyDescent="0.35">
      <c r="A52" t="s">
        <v>93</v>
      </c>
      <c r="B52" t="s">
        <v>94</v>
      </c>
      <c r="C52" t="s">
        <v>4</v>
      </c>
      <c r="D52" t="s">
        <v>26</v>
      </c>
      <c r="E52" t="s">
        <v>182</v>
      </c>
      <c r="F52" s="1">
        <f>VLOOKUP(A:A,MASTER!A:F,6,0)</f>
        <v>8397528.3064261712</v>
      </c>
      <c r="G52" s="1">
        <f>VLOOKUP(A:A,MASTER!A:K,11,0)</f>
        <v>11808378.268161239</v>
      </c>
      <c r="H52" s="12">
        <f t="shared" si="0"/>
        <v>0.40617308299216215</v>
      </c>
      <c r="I52" s="2">
        <f>VLOOKUP(A:A,MASTER!A:E,5,0)</f>
        <v>695</v>
      </c>
      <c r="J52" s="2">
        <f>VLOOKUP(A:A,MASTER!A:J,10,0)</f>
        <v>827</v>
      </c>
      <c r="K52" s="12">
        <f t="shared" si="1"/>
        <v>0.18992805755395681</v>
      </c>
      <c r="L52" s="2">
        <f>VLOOKUP(A:A,MASTER!A:D,4,0)</f>
        <v>1</v>
      </c>
      <c r="M52" s="2">
        <f>VLOOKUP(A:A,MASTER!A:I,9,0)</f>
        <v>2</v>
      </c>
      <c r="N52" s="12">
        <f t="shared" si="2"/>
        <v>1</v>
      </c>
      <c r="O52" s="1">
        <f>VLOOKUP(A:A,MASTER!A:C,3,0)</f>
        <v>1</v>
      </c>
      <c r="P52" s="1">
        <f>VLOOKUP(A:A,MASTER!A:H,8,0)</f>
        <v>3</v>
      </c>
      <c r="Q52" s="12">
        <f t="shared" si="3"/>
        <v>2</v>
      </c>
      <c r="R52" s="1">
        <f>VLOOKUP(A:A,MASTER!A:B,2,0)</f>
        <v>954</v>
      </c>
      <c r="S52">
        <f>VLOOKUP(A:A,MASTER!A:G,7,0)</f>
        <v>954</v>
      </c>
      <c r="T52" s="12">
        <f t="shared" si="4"/>
        <v>0</v>
      </c>
      <c r="U52">
        <v>4</v>
      </c>
    </row>
    <row r="53" spans="1:21" x14ac:dyDescent="0.35">
      <c r="A53" t="s">
        <v>95</v>
      </c>
      <c r="B53" t="s">
        <v>96</v>
      </c>
      <c r="C53" t="s">
        <v>4</v>
      </c>
      <c r="D53" t="s">
        <v>26</v>
      </c>
      <c r="E53" t="s">
        <v>182</v>
      </c>
      <c r="F53" s="1">
        <f>VLOOKUP(A:A,MASTER!A:F,6,0)</f>
        <v>22573183.750718944</v>
      </c>
      <c r="G53" s="1">
        <f>VLOOKUP(A:A,MASTER!A:K,11,0)</f>
        <v>22228232.957987864</v>
      </c>
      <c r="H53" s="12">
        <f t="shared" si="0"/>
        <v>-1.5281441755866321E-2</v>
      </c>
      <c r="I53" s="2">
        <f>VLOOKUP(A:A,MASTER!A:E,5,0)</f>
        <v>1558</v>
      </c>
      <c r="J53" s="2">
        <f>VLOOKUP(A:A,MASTER!A:J,10,0)</f>
        <v>1858</v>
      </c>
      <c r="K53" s="12">
        <f t="shared" si="1"/>
        <v>0.19255455712451863</v>
      </c>
      <c r="L53" s="2">
        <f>VLOOKUP(A:A,MASTER!A:D,4,0)</f>
        <v>8</v>
      </c>
      <c r="M53" s="2">
        <f>VLOOKUP(A:A,MASTER!A:I,9,0)</f>
        <v>9</v>
      </c>
      <c r="N53" s="12">
        <f t="shared" si="2"/>
        <v>0.125</v>
      </c>
      <c r="O53" s="1">
        <f>VLOOKUP(A:A,MASTER!A:C,3,0)</f>
        <v>5</v>
      </c>
      <c r="P53" s="1">
        <f>VLOOKUP(A:A,MASTER!A:H,8,0)</f>
        <v>6</v>
      </c>
      <c r="Q53" s="12">
        <f t="shared" si="3"/>
        <v>0.19999999999999996</v>
      </c>
      <c r="R53" s="1">
        <f>VLOOKUP(A:A,MASTER!A:B,2,0)</f>
        <v>2037</v>
      </c>
      <c r="S53">
        <f>VLOOKUP(A:A,MASTER!A:G,7,0)</f>
        <v>2041</v>
      </c>
      <c r="T53" s="12">
        <f t="shared" si="4"/>
        <v>1.9636720667648433E-3</v>
      </c>
      <c r="U53">
        <v>8</v>
      </c>
    </row>
    <row r="54" spans="1:21" x14ac:dyDescent="0.35">
      <c r="A54" t="s">
        <v>174</v>
      </c>
      <c r="B54" t="s">
        <v>175</v>
      </c>
      <c r="C54" t="s">
        <v>4</v>
      </c>
      <c r="D54" t="s">
        <v>5</v>
      </c>
      <c r="E54" t="s">
        <v>182</v>
      </c>
      <c r="F54" s="1">
        <f>VLOOKUP(A:A,MASTER!A:F,6,0)</f>
        <v>4781920.9490648406</v>
      </c>
      <c r="G54" s="1">
        <f>VLOOKUP(A:A,MASTER!A:K,11,0)</f>
        <v>5548359.1966094188</v>
      </c>
      <c r="H54" s="12">
        <f t="shared" si="0"/>
        <v>0.16027831821319927</v>
      </c>
      <c r="I54" s="2">
        <f>VLOOKUP(A:A,MASTER!A:E,5,0)</f>
        <v>518</v>
      </c>
      <c r="J54" s="2">
        <f>VLOOKUP(A:A,MASTER!A:J,10,0)</f>
        <v>545</v>
      </c>
      <c r="K54" s="12">
        <f t="shared" si="1"/>
        <v>5.212355212355213E-2</v>
      </c>
      <c r="L54" s="2">
        <f>VLOOKUP(A:A,MASTER!A:D,4,0)</f>
        <v>0</v>
      </c>
      <c r="M54" s="2">
        <f>VLOOKUP(A:A,MASTER!A:I,9,0)</f>
        <v>0</v>
      </c>
      <c r="N54" s="12">
        <f t="shared" si="2"/>
        <v>0</v>
      </c>
      <c r="O54" s="1">
        <f>VLOOKUP(A:A,MASTER!A:C,3,0)</f>
        <v>0</v>
      </c>
      <c r="P54" s="1">
        <f>VLOOKUP(A:A,MASTER!A:H,8,0)</f>
        <v>1</v>
      </c>
      <c r="Q54" s="12">
        <f t="shared" si="3"/>
        <v>0</v>
      </c>
      <c r="R54" s="1">
        <f>VLOOKUP(A:A,MASTER!A:B,2,0)</f>
        <v>678</v>
      </c>
      <c r="S54">
        <f>VLOOKUP(A:A,MASTER!A:G,7,0)</f>
        <v>653</v>
      </c>
      <c r="T54" s="12">
        <f t="shared" si="4"/>
        <v>-3.6873156342182911E-2</v>
      </c>
      <c r="U54">
        <v>2</v>
      </c>
    </row>
    <row r="55" spans="1:21" x14ac:dyDescent="0.35">
      <c r="A55" t="s">
        <v>99</v>
      </c>
      <c r="B55" t="s">
        <v>100</v>
      </c>
      <c r="C55" t="s">
        <v>4</v>
      </c>
      <c r="D55" t="s">
        <v>26</v>
      </c>
      <c r="E55" t="s">
        <v>182</v>
      </c>
      <c r="F55" s="1">
        <f>VLOOKUP(A:A,MASTER!A:F,6,0)</f>
        <v>8349086.2784085236</v>
      </c>
      <c r="G55" s="1">
        <f>VLOOKUP(A:A,MASTER!A:K,11,0)</f>
        <v>9964818.7211811505</v>
      </c>
      <c r="H55" s="12">
        <f t="shared" si="0"/>
        <v>0.19352206803169048</v>
      </c>
      <c r="I55" s="2">
        <f>VLOOKUP(A:A,MASTER!A:E,5,0)</f>
        <v>683</v>
      </c>
      <c r="J55" s="2">
        <f>VLOOKUP(A:A,MASTER!A:J,10,0)</f>
        <v>956</v>
      </c>
      <c r="K55" s="12">
        <f t="shared" si="1"/>
        <v>0.39970717423133229</v>
      </c>
      <c r="L55" s="2">
        <f>VLOOKUP(A:A,MASTER!A:D,4,0)</f>
        <v>5</v>
      </c>
      <c r="M55" s="2">
        <f>VLOOKUP(A:A,MASTER!A:I,9,0)</f>
        <v>4</v>
      </c>
      <c r="N55" s="12">
        <f t="shared" si="2"/>
        <v>-0.19999999999999996</v>
      </c>
      <c r="O55" s="1">
        <f>VLOOKUP(A:A,MASTER!A:C,3,0)</f>
        <v>2</v>
      </c>
      <c r="P55" s="1">
        <f>VLOOKUP(A:A,MASTER!A:H,8,0)</f>
        <v>0</v>
      </c>
      <c r="Q55" s="12">
        <f t="shared" si="3"/>
        <v>-1</v>
      </c>
      <c r="R55" s="1">
        <f>VLOOKUP(A:A,MASTER!A:B,2,0)</f>
        <v>869</v>
      </c>
      <c r="S55">
        <f>VLOOKUP(A:A,MASTER!A:G,7,0)</f>
        <v>899</v>
      </c>
      <c r="T55" s="12">
        <f t="shared" si="4"/>
        <v>3.4522439585730647E-2</v>
      </c>
      <c r="U55">
        <v>7</v>
      </c>
    </row>
    <row r="56" spans="1:21" x14ac:dyDescent="0.35">
      <c r="A56" t="s">
        <v>172</v>
      </c>
      <c r="B56" t="s">
        <v>173</v>
      </c>
      <c r="C56" t="s">
        <v>4</v>
      </c>
      <c r="D56" t="s">
        <v>5</v>
      </c>
      <c r="E56" t="s">
        <v>182</v>
      </c>
      <c r="F56" s="1">
        <f>VLOOKUP(A:A,MASTER!A:F,6,0)</f>
        <v>5833873.0823586648</v>
      </c>
      <c r="G56" s="1">
        <f>VLOOKUP(A:A,MASTER!A:K,11,0)</f>
        <v>5574350.220096847</v>
      </c>
      <c r="H56" s="12">
        <f t="shared" si="0"/>
        <v>-4.4485517356659954E-2</v>
      </c>
      <c r="I56" s="2">
        <f>VLOOKUP(A:A,MASTER!A:E,5,0)</f>
        <v>612</v>
      </c>
      <c r="J56" s="2">
        <f>VLOOKUP(A:A,MASTER!A:J,10,0)</f>
        <v>521</v>
      </c>
      <c r="K56" s="12">
        <f t="shared" si="1"/>
        <v>-0.14869281045751637</v>
      </c>
      <c r="L56" s="2">
        <f>VLOOKUP(A:A,MASTER!A:D,4,0)</f>
        <v>1</v>
      </c>
      <c r="M56" s="2">
        <f>VLOOKUP(A:A,MASTER!A:I,9,0)</f>
        <v>0</v>
      </c>
      <c r="N56" s="12">
        <f t="shared" si="2"/>
        <v>-1</v>
      </c>
      <c r="O56" s="1">
        <f>VLOOKUP(A:A,MASTER!A:C,3,0)</f>
        <v>0</v>
      </c>
      <c r="P56" s="1">
        <f>VLOOKUP(A:A,MASTER!A:H,8,0)</f>
        <v>0</v>
      </c>
      <c r="Q56" s="12">
        <f t="shared" si="3"/>
        <v>0</v>
      </c>
      <c r="R56" s="1">
        <f>VLOOKUP(A:A,MASTER!A:B,2,0)</f>
        <v>756</v>
      </c>
      <c r="S56">
        <f>VLOOKUP(A:A,MASTER!A:G,7,0)</f>
        <v>676</v>
      </c>
      <c r="T56" s="12">
        <f t="shared" si="4"/>
        <v>-0.10582010582010581</v>
      </c>
      <c r="U56">
        <v>3</v>
      </c>
    </row>
    <row r="57" spans="1:21" x14ac:dyDescent="0.35">
      <c r="A57" t="s">
        <v>168</v>
      </c>
      <c r="B57" t="s">
        <v>169</v>
      </c>
      <c r="C57" t="s">
        <v>4</v>
      </c>
      <c r="D57" t="s">
        <v>5</v>
      </c>
      <c r="E57" t="s">
        <v>182</v>
      </c>
      <c r="F57" s="1">
        <f>VLOOKUP(A:A,MASTER!A:F,6,0)</f>
        <v>11507491.265354032</v>
      </c>
      <c r="G57" s="1">
        <f>VLOOKUP(A:A,MASTER!A:K,11,0)</f>
        <v>12322695.514249995</v>
      </c>
      <c r="H57" s="12">
        <f t="shared" si="0"/>
        <v>7.0841179028336532E-2</v>
      </c>
      <c r="I57" s="2">
        <f>VLOOKUP(A:A,MASTER!A:E,5,0)</f>
        <v>1017</v>
      </c>
      <c r="J57" s="2">
        <f>VLOOKUP(A:A,MASTER!A:J,10,0)</f>
        <v>1146</v>
      </c>
      <c r="K57" s="12">
        <f t="shared" si="1"/>
        <v>0.12684365781710905</v>
      </c>
      <c r="L57" s="2">
        <f>VLOOKUP(A:A,MASTER!A:D,4,0)</f>
        <v>0</v>
      </c>
      <c r="M57" s="2">
        <f>VLOOKUP(A:A,MASTER!A:I,9,0)</f>
        <v>0</v>
      </c>
      <c r="N57" s="12">
        <f t="shared" si="2"/>
        <v>0</v>
      </c>
      <c r="O57" s="1">
        <f>VLOOKUP(A:A,MASTER!A:C,3,0)</f>
        <v>2</v>
      </c>
      <c r="P57" s="1">
        <f>VLOOKUP(A:A,MASTER!A:H,8,0)</f>
        <v>2</v>
      </c>
      <c r="Q57" s="12">
        <f t="shared" si="3"/>
        <v>0</v>
      </c>
      <c r="R57" s="1">
        <f>VLOOKUP(A:A,MASTER!A:B,2,0)</f>
        <v>1100</v>
      </c>
      <c r="S57">
        <f>VLOOKUP(A:A,MASTER!A:G,7,0)</f>
        <v>1087</v>
      </c>
      <c r="T57" s="12">
        <f t="shared" si="4"/>
        <v>-1.1818181818181839E-2</v>
      </c>
      <c r="U57">
        <v>3</v>
      </c>
    </row>
    <row r="58" spans="1:21" x14ac:dyDescent="0.35">
      <c r="A58" t="s">
        <v>101</v>
      </c>
      <c r="B58" t="s">
        <v>102</v>
      </c>
      <c r="C58" t="s">
        <v>4</v>
      </c>
      <c r="D58" t="s">
        <v>26</v>
      </c>
      <c r="E58" t="s">
        <v>182</v>
      </c>
      <c r="F58" s="1">
        <f>VLOOKUP(A:A,MASTER!A:F,6,0)</f>
        <v>13532937.95509661</v>
      </c>
      <c r="G58" s="1">
        <f>VLOOKUP(A:A,MASTER!A:K,11,0)</f>
        <v>17343091.144108184</v>
      </c>
      <c r="H58" s="12">
        <f t="shared" si="0"/>
        <v>0.28154663840578986</v>
      </c>
      <c r="I58" s="2">
        <f>VLOOKUP(A:A,MASTER!A:E,5,0)</f>
        <v>1450</v>
      </c>
      <c r="J58" s="2">
        <f>VLOOKUP(A:A,MASTER!A:J,10,0)</f>
        <v>1470</v>
      </c>
      <c r="K58" s="12">
        <f t="shared" si="1"/>
        <v>1.379310344827589E-2</v>
      </c>
      <c r="L58" s="2">
        <f>VLOOKUP(A:A,MASTER!A:D,4,0)</f>
        <v>4</v>
      </c>
      <c r="M58" s="2">
        <f>VLOOKUP(A:A,MASTER!A:I,9,0)</f>
        <v>5</v>
      </c>
      <c r="N58" s="12">
        <f t="shared" si="2"/>
        <v>0.25</v>
      </c>
      <c r="O58" s="1">
        <f>VLOOKUP(A:A,MASTER!A:C,3,0)</f>
        <v>1</v>
      </c>
      <c r="P58" s="1">
        <f>VLOOKUP(A:A,MASTER!A:H,8,0)</f>
        <v>3</v>
      </c>
      <c r="Q58" s="12">
        <f t="shared" si="3"/>
        <v>2</v>
      </c>
      <c r="R58" s="1">
        <f>VLOOKUP(A:A,MASTER!A:B,2,0)</f>
        <v>1358</v>
      </c>
      <c r="S58">
        <f>VLOOKUP(A:A,MASTER!A:G,7,0)</f>
        <v>1564</v>
      </c>
      <c r="T58" s="12">
        <f t="shared" si="4"/>
        <v>0.15169366715758459</v>
      </c>
      <c r="U58">
        <v>4</v>
      </c>
    </row>
    <row r="59" spans="1:21" x14ac:dyDescent="0.35">
      <c r="A59" t="s">
        <v>103</v>
      </c>
      <c r="B59" t="s">
        <v>104</v>
      </c>
      <c r="C59" t="s">
        <v>4</v>
      </c>
      <c r="D59" t="s">
        <v>26</v>
      </c>
      <c r="E59" t="s">
        <v>182</v>
      </c>
      <c r="F59" s="1">
        <f>VLOOKUP(A:A,MASTER!A:F,6,0)</f>
        <v>8013162.8275077576</v>
      </c>
      <c r="G59" s="1">
        <f>VLOOKUP(A:A,MASTER!A:K,11,0)</f>
        <v>8168681.5297109224</v>
      </c>
      <c r="H59" s="12">
        <f t="shared" si="0"/>
        <v>1.9407904912314589E-2</v>
      </c>
      <c r="I59" s="2">
        <f>VLOOKUP(A:A,MASTER!A:E,5,0)</f>
        <v>700</v>
      </c>
      <c r="J59" s="2">
        <f>VLOOKUP(A:A,MASTER!A:J,10,0)</f>
        <v>738</v>
      </c>
      <c r="K59" s="12">
        <f t="shared" si="1"/>
        <v>5.428571428571427E-2</v>
      </c>
      <c r="L59" s="2">
        <f>VLOOKUP(A:A,MASTER!A:D,4,0)</f>
        <v>3</v>
      </c>
      <c r="M59" s="2">
        <f>VLOOKUP(A:A,MASTER!A:I,9,0)</f>
        <v>5</v>
      </c>
      <c r="N59" s="12">
        <f t="shared" si="2"/>
        <v>0.66666666666666674</v>
      </c>
      <c r="O59" s="1">
        <f>VLOOKUP(A:A,MASTER!A:C,3,0)</f>
        <v>0</v>
      </c>
      <c r="P59" s="1">
        <f>VLOOKUP(A:A,MASTER!A:H,8,0)</f>
        <v>0</v>
      </c>
      <c r="Q59" s="12">
        <f t="shared" si="3"/>
        <v>0</v>
      </c>
      <c r="R59" s="1">
        <f>VLOOKUP(A:A,MASTER!A:B,2,0)</f>
        <v>774</v>
      </c>
      <c r="S59">
        <f>VLOOKUP(A:A,MASTER!A:G,7,0)</f>
        <v>791</v>
      </c>
      <c r="T59" s="12">
        <f t="shared" si="4"/>
        <v>2.1963824289405576E-2</v>
      </c>
      <c r="U59">
        <v>3</v>
      </c>
    </row>
    <row r="60" spans="1:21" x14ac:dyDescent="0.35">
      <c r="A60" t="s">
        <v>105</v>
      </c>
      <c r="B60" t="s">
        <v>106</v>
      </c>
      <c r="C60" t="s">
        <v>4</v>
      </c>
      <c r="D60" t="s">
        <v>26</v>
      </c>
      <c r="E60" t="s">
        <v>182</v>
      </c>
      <c r="F60" s="1">
        <f>VLOOKUP(A:A,MASTER!A:F,6,0)</f>
        <v>8893470.3084834833</v>
      </c>
      <c r="G60" s="1">
        <f>VLOOKUP(A:A,MASTER!A:K,11,0)</f>
        <v>9134253.15482134</v>
      </c>
      <c r="H60" s="12">
        <f t="shared" si="0"/>
        <v>2.7074115950910027E-2</v>
      </c>
      <c r="I60" s="2">
        <f>VLOOKUP(A:A,MASTER!A:E,5,0)</f>
        <v>455</v>
      </c>
      <c r="J60" s="2">
        <f>VLOOKUP(A:A,MASTER!A:J,10,0)</f>
        <v>487</v>
      </c>
      <c r="K60" s="12">
        <f t="shared" si="1"/>
        <v>7.0329670329670302E-2</v>
      </c>
      <c r="L60" s="2">
        <f>VLOOKUP(A:A,MASTER!A:D,4,0)</f>
        <v>5</v>
      </c>
      <c r="M60" s="2">
        <f>VLOOKUP(A:A,MASTER!A:I,9,0)</f>
        <v>6</v>
      </c>
      <c r="N60" s="12">
        <f t="shared" si="2"/>
        <v>0.19999999999999996</v>
      </c>
      <c r="O60" s="1">
        <f>VLOOKUP(A:A,MASTER!A:C,3,0)</f>
        <v>1</v>
      </c>
      <c r="P60" s="1">
        <f>VLOOKUP(A:A,MASTER!A:H,8,0)</f>
        <v>2</v>
      </c>
      <c r="Q60" s="12">
        <f t="shared" si="3"/>
        <v>1</v>
      </c>
      <c r="R60" s="1">
        <f>VLOOKUP(A:A,MASTER!A:B,2,0)</f>
        <v>650</v>
      </c>
      <c r="S60">
        <f>VLOOKUP(A:A,MASTER!A:G,7,0)</f>
        <v>627</v>
      </c>
      <c r="T60" s="12">
        <f t="shared" si="4"/>
        <v>-3.5384615384615348E-2</v>
      </c>
      <c r="U60">
        <v>10</v>
      </c>
    </row>
    <row r="61" spans="1:21" x14ac:dyDescent="0.35">
      <c r="A61" t="s">
        <v>24</v>
      </c>
      <c r="B61" t="s">
        <v>25</v>
      </c>
      <c r="C61" t="s">
        <v>4</v>
      </c>
      <c r="D61" t="s">
        <v>26</v>
      </c>
      <c r="E61" t="s">
        <v>182</v>
      </c>
      <c r="F61" s="1">
        <f>VLOOKUP(A:A,MASTER!A:F,6,0)</f>
        <v>28428132.615541138</v>
      </c>
      <c r="G61" s="1">
        <f>VLOOKUP(A:A,MASTER!A:K,11,0)</f>
        <v>28934788.158449296</v>
      </c>
      <c r="H61" s="12">
        <f t="shared" si="0"/>
        <v>1.7822329372108703E-2</v>
      </c>
      <c r="I61" s="2">
        <f>VLOOKUP(A:A,MASTER!A:E,5,0)</f>
        <v>1646</v>
      </c>
      <c r="J61" s="2">
        <f>VLOOKUP(A:A,MASTER!A:J,10,0)</f>
        <v>1813</v>
      </c>
      <c r="K61" s="12">
        <f t="shared" si="1"/>
        <v>0.10145808019441072</v>
      </c>
      <c r="L61" s="2">
        <f>VLOOKUP(A:A,MASTER!A:D,4,0)</f>
        <v>11</v>
      </c>
      <c r="M61" s="2">
        <f>VLOOKUP(A:A,MASTER!A:I,9,0)</f>
        <v>12</v>
      </c>
      <c r="N61" s="12">
        <f t="shared" si="2"/>
        <v>9.0909090909090828E-2</v>
      </c>
      <c r="O61" s="1">
        <f>VLOOKUP(A:A,MASTER!A:C,3,0)</f>
        <v>2</v>
      </c>
      <c r="P61" s="1">
        <f>VLOOKUP(A:A,MASTER!A:H,8,0)</f>
        <v>3</v>
      </c>
      <c r="Q61" s="12">
        <f t="shared" si="3"/>
        <v>0.5</v>
      </c>
      <c r="R61" s="1">
        <f>VLOOKUP(A:A,MASTER!A:B,2,0)</f>
        <v>2011</v>
      </c>
      <c r="S61">
        <f>VLOOKUP(A:A,MASTER!A:G,7,0)</f>
        <v>1987</v>
      </c>
      <c r="T61" s="12">
        <f t="shared" si="4"/>
        <v>-1.1934361014420691E-2</v>
      </c>
      <c r="U61">
        <v>10</v>
      </c>
    </row>
    <row r="62" spans="1:21" x14ac:dyDescent="0.35">
      <c r="A62" t="s">
        <v>27</v>
      </c>
      <c r="B62" t="s">
        <v>28</v>
      </c>
      <c r="C62" t="s">
        <v>4</v>
      </c>
      <c r="D62" t="s">
        <v>26</v>
      </c>
      <c r="E62" t="s">
        <v>182</v>
      </c>
      <c r="F62" s="1">
        <f>VLOOKUP(A:A,MASTER!A:F,6,0)</f>
        <v>19014835.241792019</v>
      </c>
      <c r="G62" s="1">
        <f>VLOOKUP(A:A,MASTER!A:K,11,0)</f>
        <v>20585911.233540047</v>
      </c>
      <c r="H62" s="12">
        <f t="shared" si="0"/>
        <v>8.2623697327390833E-2</v>
      </c>
      <c r="I62" s="2">
        <f>VLOOKUP(A:A,MASTER!A:E,5,0)</f>
        <v>1188</v>
      </c>
      <c r="J62" s="2">
        <f>VLOOKUP(A:A,MASTER!A:J,10,0)</f>
        <v>1187</v>
      </c>
      <c r="K62" s="12">
        <f t="shared" si="1"/>
        <v>-8.4175084175086567E-4</v>
      </c>
      <c r="L62" s="2">
        <f>VLOOKUP(A:A,MASTER!A:D,4,0)</f>
        <v>6</v>
      </c>
      <c r="M62" s="2">
        <f>VLOOKUP(A:A,MASTER!A:I,9,0)</f>
        <v>6</v>
      </c>
      <c r="N62" s="12">
        <f t="shared" si="2"/>
        <v>0</v>
      </c>
      <c r="O62" s="1">
        <f>VLOOKUP(A:A,MASTER!A:C,3,0)</f>
        <v>1</v>
      </c>
      <c r="P62" s="1">
        <f>VLOOKUP(A:A,MASTER!A:H,8,0)</f>
        <v>3</v>
      </c>
      <c r="Q62" s="12">
        <f t="shared" si="3"/>
        <v>2</v>
      </c>
      <c r="R62" s="1">
        <f>VLOOKUP(A:A,MASTER!A:B,2,0)</f>
        <v>1569</v>
      </c>
      <c r="S62">
        <f>VLOOKUP(A:A,MASTER!A:G,7,0)</f>
        <v>1576</v>
      </c>
      <c r="T62" s="12">
        <f t="shared" si="4"/>
        <v>4.4614404079030834E-3</v>
      </c>
      <c r="U62">
        <v>8</v>
      </c>
    </row>
    <row r="63" spans="1:21" x14ac:dyDescent="0.35">
      <c r="A63" t="s">
        <v>29</v>
      </c>
      <c r="B63" t="s">
        <v>30</v>
      </c>
      <c r="C63" t="s">
        <v>4</v>
      </c>
      <c r="D63" t="s">
        <v>26</v>
      </c>
      <c r="E63" t="s">
        <v>182</v>
      </c>
      <c r="F63" s="1">
        <f>VLOOKUP(A:A,MASTER!A:F,6,0)</f>
        <v>13488920.19425902</v>
      </c>
      <c r="G63" s="1">
        <f>VLOOKUP(A:A,MASTER!A:K,11,0)</f>
        <v>14346047.943812264</v>
      </c>
      <c r="H63" s="12">
        <f t="shared" si="0"/>
        <v>6.354309590459617E-2</v>
      </c>
      <c r="I63" s="2">
        <f>VLOOKUP(A:A,MASTER!A:E,5,0)</f>
        <v>767</v>
      </c>
      <c r="J63" s="2">
        <f>VLOOKUP(A:A,MASTER!A:J,10,0)</f>
        <v>703</v>
      </c>
      <c r="K63" s="12">
        <f t="shared" si="1"/>
        <v>-8.3441981747066518E-2</v>
      </c>
      <c r="L63" s="2">
        <f>VLOOKUP(A:A,MASTER!A:D,4,0)</f>
        <v>1</v>
      </c>
      <c r="M63" s="2">
        <f>VLOOKUP(A:A,MASTER!A:I,9,0)</f>
        <v>1</v>
      </c>
      <c r="N63" s="12">
        <f t="shared" si="2"/>
        <v>0</v>
      </c>
      <c r="O63" s="1">
        <f>VLOOKUP(A:A,MASTER!A:C,3,0)</f>
        <v>2</v>
      </c>
      <c r="P63" s="1">
        <f>VLOOKUP(A:A,MASTER!A:H,8,0)</f>
        <v>0</v>
      </c>
      <c r="Q63" s="12">
        <f t="shared" si="3"/>
        <v>-1</v>
      </c>
      <c r="R63" s="1">
        <f>VLOOKUP(A:A,MASTER!A:B,2,0)</f>
        <v>870</v>
      </c>
      <c r="S63">
        <f>VLOOKUP(A:A,MASTER!A:G,7,0)</f>
        <v>899</v>
      </c>
      <c r="T63" s="12">
        <f t="shared" si="4"/>
        <v>3.3333333333333437E-2</v>
      </c>
      <c r="U63">
        <v>4</v>
      </c>
    </row>
    <row r="64" spans="1:21" x14ac:dyDescent="0.35">
      <c r="A64" t="s">
        <v>57</v>
      </c>
      <c r="B64" t="s">
        <v>58</v>
      </c>
      <c r="C64" t="s">
        <v>22</v>
      </c>
      <c r="D64" t="s">
        <v>23</v>
      </c>
      <c r="E64" t="s">
        <v>182</v>
      </c>
      <c r="F64" s="1">
        <f>VLOOKUP(A:A,MASTER!A:F,6,0)</f>
        <v>21020869.711768493</v>
      </c>
      <c r="G64" s="1">
        <f>VLOOKUP(A:A,MASTER!A:K,11,0)</f>
        <v>19156081.789504535</v>
      </c>
      <c r="H64" s="12">
        <f t="shared" si="0"/>
        <v>-8.8711263988281108E-2</v>
      </c>
      <c r="I64" s="2">
        <f>VLOOKUP(A:A,MASTER!A:E,5,0)</f>
        <v>1307</v>
      </c>
      <c r="J64" s="2">
        <f>VLOOKUP(A:A,MASTER!A:J,10,0)</f>
        <v>1330</v>
      </c>
      <c r="K64" s="12">
        <f t="shared" si="1"/>
        <v>1.7597551644988441E-2</v>
      </c>
      <c r="L64" s="2">
        <f>VLOOKUP(A:A,MASTER!A:D,4,0)</f>
        <v>12</v>
      </c>
      <c r="M64" s="2">
        <f>VLOOKUP(A:A,MASTER!A:I,9,0)</f>
        <v>12</v>
      </c>
      <c r="N64" s="12">
        <f t="shared" si="2"/>
        <v>0</v>
      </c>
      <c r="O64" s="1">
        <f>VLOOKUP(A:A,MASTER!A:C,3,0)</f>
        <v>99</v>
      </c>
      <c r="P64" s="1">
        <f>VLOOKUP(A:A,MASTER!A:H,8,0)</f>
        <v>254</v>
      </c>
      <c r="Q64" s="12">
        <f t="shared" si="3"/>
        <v>1.5656565656565657</v>
      </c>
      <c r="R64" s="1">
        <f>VLOOKUP(A:A,MASTER!A:B,2,0)</f>
        <v>2133</v>
      </c>
      <c r="S64">
        <f>VLOOKUP(A:A,MASTER!A:G,7,0)</f>
        <v>2421</v>
      </c>
      <c r="T64" s="12">
        <f t="shared" si="4"/>
        <v>0.13502109704641341</v>
      </c>
      <c r="U64">
        <v>9</v>
      </c>
    </row>
    <row r="65" spans="1:21" x14ac:dyDescent="0.35">
      <c r="A65" t="s">
        <v>137</v>
      </c>
      <c r="B65" t="s">
        <v>138</v>
      </c>
      <c r="C65" t="s">
        <v>22</v>
      </c>
      <c r="D65" t="s">
        <v>69</v>
      </c>
      <c r="E65" t="s">
        <v>180</v>
      </c>
      <c r="F65" s="1">
        <f>VLOOKUP(A:A,MASTER!A:F,6,0)</f>
        <v>2.0709595030000001</v>
      </c>
      <c r="G65" s="1">
        <f>VLOOKUP(A:A,MASTER!A:K,11,0)</f>
        <v>1666066.5233319909</v>
      </c>
      <c r="H65" s="12">
        <f t="shared" si="0"/>
        <v>804489.15102348477</v>
      </c>
      <c r="I65" s="2">
        <f>VLOOKUP(A:A,MASTER!A:E,5,0)</f>
        <v>2</v>
      </c>
      <c r="J65" s="2">
        <f>VLOOKUP(A:A,MASTER!A:J,10,0)</f>
        <v>247</v>
      </c>
      <c r="K65" s="12">
        <f t="shared" si="1"/>
        <v>122.5</v>
      </c>
      <c r="L65" s="2">
        <f>VLOOKUP(A:A,MASTER!A:D,4,0)</f>
        <v>0</v>
      </c>
      <c r="M65" s="2">
        <f>VLOOKUP(A:A,MASTER!A:I,9,0)</f>
        <v>0</v>
      </c>
      <c r="N65" s="12">
        <f t="shared" si="2"/>
        <v>0</v>
      </c>
      <c r="O65" s="1">
        <f>VLOOKUP(A:A,MASTER!A:C,3,0)</f>
        <v>0</v>
      </c>
      <c r="P65" s="1">
        <f>VLOOKUP(A:A,MASTER!A:H,8,0)</f>
        <v>1</v>
      </c>
      <c r="Q65" s="12">
        <f t="shared" si="3"/>
        <v>0</v>
      </c>
      <c r="R65" s="1">
        <f>VLOOKUP(A:A,MASTER!A:B,2,0)</f>
        <v>254</v>
      </c>
      <c r="S65">
        <f>VLOOKUP(A:A,MASTER!A:G,7,0)</f>
        <v>239</v>
      </c>
      <c r="T65" s="12">
        <f t="shared" si="4"/>
        <v>-5.9055118110236227E-2</v>
      </c>
      <c r="U65">
        <v>3</v>
      </c>
    </row>
    <row r="66" spans="1:21" x14ac:dyDescent="0.35">
      <c r="A66" t="s">
        <v>10</v>
      </c>
      <c r="B66" t="s">
        <v>11</v>
      </c>
      <c r="C66" t="s">
        <v>4</v>
      </c>
      <c r="D66" t="s">
        <v>151</v>
      </c>
      <c r="E66" t="s">
        <v>182</v>
      </c>
      <c r="F66" s="1">
        <f>VLOOKUP(A:A,MASTER!A:F,6,0)</f>
        <v>14199763.569661347</v>
      </c>
      <c r="G66" s="1">
        <f>VLOOKUP(A:A,MASTER!A:K,11,0)</f>
        <v>14602805.959144076</v>
      </c>
      <c r="H66" s="12">
        <f t="shared" si="0"/>
        <v>2.8383739454919787E-2</v>
      </c>
      <c r="I66" s="2">
        <f>VLOOKUP(A:A,MASTER!A:E,5,0)</f>
        <v>1836</v>
      </c>
      <c r="J66" s="2">
        <f>VLOOKUP(A:A,MASTER!A:J,10,0)</f>
        <v>1627</v>
      </c>
      <c r="K66" s="12">
        <f t="shared" si="1"/>
        <v>-0.11383442265795207</v>
      </c>
      <c r="L66" s="2">
        <f>VLOOKUP(A:A,MASTER!A:D,4,0)</f>
        <v>4</v>
      </c>
      <c r="M66" s="2">
        <f>VLOOKUP(A:A,MASTER!A:I,9,0)</f>
        <v>7</v>
      </c>
      <c r="N66" s="12">
        <f t="shared" si="2"/>
        <v>0.75</v>
      </c>
      <c r="O66" s="1">
        <f>VLOOKUP(A:A,MASTER!A:C,3,0)</f>
        <v>3</v>
      </c>
      <c r="P66" s="1">
        <f>VLOOKUP(A:A,MASTER!A:H,8,0)</f>
        <v>4</v>
      </c>
      <c r="Q66" s="12">
        <f t="shared" si="3"/>
        <v>0.33333333333333326</v>
      </c>
      <c r="R66" s="1">
        <f>VLOOKUP(A:A,MASTER!A:B,2,0)</f>
        <v>1666</v>
      </c>
      <c r="S66">
        <f>VLOOKUP(A:A,MASTER!A:G,7,0)</f>
        <v>1597</v>
      </c>
      <c r="T66" s="12">
        <f t="shared" si="4"/>
        <v>-4.1416566626650608E-2</v>
      </c>
      <c r="U66">
        <v>6</v>
      </c>
    </row>
    <row r="67" spans="1:21" x14ac:dyDescent="0.35">
      <c r="A67" t="s">
        <v>12</v>
      </c>
      <c r="B67" t="s">
        <v>13</v>
      </c>
      <c r="C67" t="s">
        <v>4</v>
      </c>
      <c r="D67" t="s">
        <v>151</v>
      </c>
      <c r="E67" t="s">
        <v>182</v>
      </c>
      <c r="F67" s="1">
        <f>VLOOKUP(A:A,MASTER!A:F,6,0)</f>
        <v>7314365.6052390682</v>
      </c>
      <c r="G67" s="1">
        <f>VLOOKUP(A:A,MASTER!A:K,11,0)</f>
        <v>6816105.7207185403</v>
      </c>
      <c r="H67" s="12">
        <f t="shared" ref="H67:H85" si="5">IFERROR(G67/F67-1,0)</f>
        <v>-6.8120724531959276E-2</v>
      </c>
      <c r="I67" s="2">
        <f>VLOOKUP(A:A,MASTER!A:E,5,0)</f>
        <v>776</v>
      </c>
      <c r="J67" s="2">
        <f>VLOOKUP(A:A,MASTER!A:J,10,0)</f>
        <v>649</v>
      </c>
      <c r="K67" s="12">
        <f t="shared" ref="K67:K85" si="6">IFERROR(J67/I67-1,0)</f>
        <v>-0.16365979381443296</v>
      </c>
      <c r="L67" s="2">
        <f>VLOOKUP(A:A,MASTER!A:D,4,0)</f>
        <v>3</v>
      </c>
      <c r="M67" s="2">
        <f>VLOOKUP(A:A,MASTER!A:I,9,0)</f>
        <v>3</v>
      </c>
      <c r="N67" s="12">
        <f t="shared" ref="N67:N85" si="7">IFERROR(M67/L67-1,0)</f>
        <v>0</v>
      </c>
      <c r="O67" s="1">
        <f>VLOOKUP(A:A,MASTER!A:C,3,0)</f>
        <v>1</v>
      </c>
      <c r="P67" s="1">
        <f>VLOOKUP(A:A,MASTER!A:H,8,0)</f>
        <v>0</v>
      </c>
      <c r="Q67" s="12">
        <f t="shared" ref="Q67:Q85" si="8">IFERROR(P67/O67-1,0)</f>
        <v>-1</v>
      </c>
      <c r="R67" s="1">
        <f>VLOOKUP(A:A,MASTER!A:B,2,0)</f>
        <v>698</v>
      </c>
      <c r="S67">
        <f>VLOOKUP(A:A,MASTER!A:G,7,0)</f>
        <v>804</v>
      </c>
      <c r="T67" s="12">
        <f t="shared" ref="T67:T85" si="9">IFERROR(S67/R67-1,0)</f>
        <v>0.15186246418338101</v>
      </c>
      <c r="U67">
        <v>3</v>
      </c>
    </row>
    <row r="68" spans="1:21" x14ac:dyDescent="0.35">
      <c r="A68" t="s">
        <v>162</v>
      </c>
      <c r="B68" t="s">
        <v>163</v>
      </c>
      <c r="C68" t="s">
        <v>4</v>
      </c>
      <c r="D68" t="s">
        <v>151</v>
      </c>
      <c r="E68" t="s">
        <v>182</v>
      </c>
      <c r="F68" s="1">
        <f>VLOOKUP(A:A,MASTER!A:F,6,0)</f>
        <v>10158060.965133499</v>
      </c>
      <c r="G68" s="1">
        <f>VLOOKUP(A:A,MASTER!A:K,11,0)</f>
        <v>10728528.230008464</v>
      </c>
      <c r="H68" s="12">
        <f t="shared" si="5"/>
        <v>5.6159070794419952E-2</v>
      </c>
      <c r="I68" s="2">
        <f>VLOOKUP(A:A,MASTER!A:E,5,0)</f>
        <v>903</v>
      </c>
      <c r="J68" s="2">
        <f>VLOOKUP(A:A,MASTER!A:J,10,0)</f>
        <v>922</v>
      </c>
      <c r="K68" s="12">
        <f t="shared" si="6"/>
        <v>2.1040974529346723E-2</v>
      </c>
      <c r="L68" s="2">
        <f>VLOOKUP(A:A,MASTER!A:D,4,0)</f>
        <v>4</v>
      </c>
      <c r="M68" s="2">
        <f>VLOOKUP(A:A,MASTER!A:I,9,0)</f>
        <v>5</v>
      </c>
      <c r="N68" s="12">
        <f t="shared" si="7"/>
        <v>0.25</v>
      </c>
      <c r="O68" s="1">
        <f>VLOOKUP(A:A,MASTER!A:C,3,0)</f>
        <v>18</v>
      </c>
      <c r="P68" s="1">
        <f>VLOOKUP(A:A,MASTER!A:H,8,0)</f>
        <v>1</v>
      </c>
      <c r="Q68" s="12">
        <f t="shared" si="8"/>
        <v>-0.94444444444444442</v>
      </c>
      <c r="R68" s="1">
        <f>VLOOKUP(A:A,MASTER!A:B,2,0)</f>
        <v>1384</v>
      </c>
      <c r="S68">
        <f>VLOOKUP(A:A,MASTER!A:G,7,0)</f>
        <v>1658</v>
      </c>
      <c r="T68" s="12">
        <f t="shared" si="9"/>
        <v>0.19797687861271673</v>
      </c>
      <c r="U68">
        <v>4</v>
      </c>
    </row>
    <row r="69" spans="1:21" x14ac:dyDescent="0.35">
      <c r="A69" t="s">
        <v>63</v>
      </c>
      <c r="B69" t="s">
        <v>64</v>
      </c>
      <c r="C69" t="s">
        <v>22</v>
      </c>
      <c r="D69" t="s">
        <v>23</v>
      </c>
      <c r="E69" t="s">
        <v>182</v>
      </c>
      <c r="F69" s="1">
        <f>VLOOKUP(A:A,MASTER!A:F,6,0)</f>
        <v>8403983.9138157759</v>
      </c>
      <c r="G69" s="1">
        <f>VLOOKUP(A:A,MASTER!A:K,11,0)</f>
        <v>8834271.0702136979</v>
      </c>
      <c r="H69" s="12">
        <f t="shared" si="5"/>
        <v>5.1200378393222445E-2</v>
      </c>
      <c r="I69" s="2">
        <f>VLOOKUP(A:A,MASTER!A:E,5,0)</f>
        <v>1792</v>
      </c>
      <c r="J69" s="2">
        <f>VLOOKUP(A:A,MASTER!A:J,10,0)</f>
        <v>1312</v>
      </c>
      <c r="K69" s="12">
        <f t="shared" si="6"/>
        <v>-0.2678571428571429</v>
      </c>
      <c r="L69" s="2">
        <f>VLOOKUP(A:A,MASTER!A:D,4,0)</f>
        <v>5</v>
      </c>
      <c r="M69" s="2">
        <f>VLOOKUP(A:A,MASTER!A:I,9,0)</f>
        <v>4</v>
      </c>
      <c r="N69" s="12">
        <f t="shared" si="7"/>
        <v>-0.19999999999999996</v>
      </c>
      <c r="O69" s="1">
        <f>VLOOKUP(A:A,MASTER!A:C,3,0)</f>
        <v>1</v>
      </c>
      <c r="P69" s="1">
        <f>VLOOKUP(A:A,MASTER!A:H,8,0)</f>
        <v>1</v>
      </c>
      <c r="Q69" s="12">
        <f t="shared" si="8"/>
        <v>0</v>
      </c>
      <c r="R69" s="1">
        <f>VLOOKUP(A:A,MASTER!A:B,2,0)</f>
        <v>1306</v>
      </c>
      <c r="S69">
        <f>VLOOKUP(A:A,MASTER!A:G,7,0)</f>
        <v>1284</v>
      </c>
      <c r="T69" s="12">
        <f t="shared" si="9"/>
        <v>-1.6845329249617125E-2</v>
      </c>
      <c r="U69">
        <v>4</v>
      </c>
    </row>
    <row r="70" spans="1:21" x14ac:dyDescent="0.35">
      <c r="A70" t="s">
        <v>59</v>
      </c>
      <c r="B70" t="s">
        <v>60</v>
      </c>
      <c r="C70" t="s">
        <v>22</v>
      </c>
      <c r="D70" t="s">
        <v>23</v>
      </c>
      <c r="E70" t="s">
        <v>182</v>
      </c>
      <c r="F70" s="1">
        <f>VLOOKUP(A:A,MASTER!A:F,6,0)</f>
        <v>19248935.953068849</v>
      </c>
      <c r="G70" s="1">
        <f>VLOOKUP(A:A,MASTER!A:K,11,0)</f>
        <v>18886233.260546044</v>
      </c>
      <c r="H70" s="12">
        <f t="shared" si="5"/>
        <v>-1.8842739848431989E-2</v>
      </c>
      <c r="I70" s="2">
        <f>VLOOKUP(A:A,MASTER!A:E,5,0)</f>
        <v>1232</v>
      </c>
      <c r="J70" s="2">
        <f>VLOOKUP(A:A,MASTER!A:J,10,0)</f>
        <v>1467</v>
      </c>
      <c r="K70" s="12">
        <f t="shared" si="6"/>
        <v>0.19074675324675328</v>
      </c>
      <c r="L70" s="2">
        <f>VLOOKUP(A:A,MASTER!A:D,4,0)</f>
        <v>5</v>
      </c>
      <c r="M70" s="2">
        <f>VLOOKUP(A:A,MASTER!A:I,9,0)</f>
        <v>6</v>
      </c>
      <c r="N70" s="12">
        <f t="shared" si="7"/>
        <v>0.19999999999999996</v>
      </c>
      <c r="O70" s="1">
        <f>VLOOKUP(A:A,MASTER!A:C,3,0)</f>
        <v>2</v>
      </c>
      <c r="P70" s="1">
        <f>VLOOKUP(A:A,MASTER!A:H,8,0)</f>
        <v>4</v>
      </c>
      <c r="Q70" s="12">
        <f t="shared" si="8"/>
        <v>1</v>
      </c>
      <c r="R70" s="1">
        <f>VLOOKUP(A:A,MASTER!A:B,2,0)</f>
        <v>1743</v>
      </c>
      <c r="S70">
        <f>VLOOKUP(A:A,MASTER!A:G,7,0)</f>
        <v>1729</v>
      </c>
      <c r="T70" s="12">
        <f t="shared" si="9"/>
        <v>-8.0321285140562138E-3</v>
      </c>
      <c r="U70">
        <v>4</v>
      </c>
    </row>
    <row r="71" spans="1:21" x14ac:dyDescent="0.35">
      <c r="A71" t="s">
        <v>139</v>
      </c>
      <c r="B71" t="s">
        <v>140</v>
      </c>
      <c r="C71" t="s">
        <v>22</v>
      </c>
      <c r="D71" t="s">
        <v>69</v>
      </c>
      <c r="E71" t="s">
        <v>180</v>
      </c>
      <c r="F71" s="1">
        <f>VLOOKUP(A:A,MASTER!A:F,6,0)</f>
        <v>3683325.4120055642</v>
      </c>
      <c r="G71" s="1">
        <f>VLOOKUP(A:A,MASTER!A:K,11,0)</f>
        <v>3564865.5824614828</v>
      </c>
      <c r="H71" s="12">
        <f t="shared" si="5"/>
        <v>-3.2161108860479515E-2</v>
      </c>
      <c r="I71" s="2">
        <f>VLOOKUP(A:A,MASTER!A:E,5,0)</f>
        <v>503</v>
      </c>
      <c r="J71" s="2">
        <f>VLOOKUP(A:A,MASTER!A:J,10,0)</f>
        <v>435</v>
      </c>
      <c r="K71" s="12">
        <f t="shared" si="6"/>
        <v>-0.13518886679920472</v>
      </c>
      <c r="L71" s="2">
        <f>VLOOKUP(A:A,MASTER!A:D,4,0)</f>
        <v>1</v>
      </c>
      <c r="M71" s="2">
        <f>VLOOKUP(A:A,MASTER!A:I,9,0)</f>
        <v>1</v>
      </c>
      <c r="N71" s="12">
        <f t="shared" si="7"/>
        <v>0</v>
      </c>
      <c r="O71" s="1">
        <f>VLOOKUP(A:A,MASTER!A:C,3,0)</f>
        <v>1</v>
      </c>
      <c r="P71" s="1">
        <f>VLOOKUP(A:A,MASTER!A:H,8,0)</f>
        <v>1</v>
      </c>
      <c r="Q71" s="12">
        <f t="shared" si="8"/>
        <v>0</v>
      </c>
      <c r="R71" s="1">
        <f>VLOOKUP(A:A,MASTER!A:B,2,0)</f>
        <v>495</v>
      </c>
      <c r="S71">
        <f>VLOOKUP(A:A,MASTER!A:G,7,0)</f>
        <v>510</v>
      </c>
      <c r="T71" s="12">
        <f t="shared" si="9"/>
        <v>3.0303030303030276E-2</v>
      </c>
      <c r="U71">
        <v>2</v>
      </c>
    </row>
    <row r="72" spans="1:21" x14ac:dyDescent="0.35">
      <c r="A72" t="s">
        <v>170</v>
      </c>
      <c r="B72" t="s">
        <v>171</v>
      </c>
      <c r="C72" t="s">
        <v>4</v>
      </c>
      <c r="D72" t="s">
        <v>5</v>
      </c>
      <c r="E72" t="s">
        <v>182</v>
      </c>
      <c r="F72" s="1">
        <f>VLOOKUP(A:A,MASTER!A:F,6,0)</f>
        <v>5391451.010178484</v>
      </c>
      <c r="G72" s="1">
        <f>VLOOKUP(A:A,MASTER!A:K,11,0)</f>
        <v>6274625.8314883243</v>
      </c>
      <c r="H72" s="12">
        <f t="shared" si="5"/>
        <v>0.16381022838610626</v>
      </c>
      <c r="I72" s="2">
        <f>VLOOKUP(A:A,MASTER!A:E,5,0)</f>
        <v>820</v>
      </c>
      <c r="J72" s="2">
        <f>VLOOKUP(A:A,MASTER!A:J,10,0)</f>
        <v>788</v>
      </c>
      <c r="K72" s="12">
        <f t="shared" si="6"/>
        <v>-3.9024390243902474E-2</v>
      </c>
      <c r="L72" s="2">
        <f>VLOOKUP(A:A,MASTER!A:D,4,0)</f>
        <v>0</v>
      </c>
      <c r="M72" s="2">
        <f>VLOOKUP(A:A,MASTER!A:I,9,0)</f>
        <v>0</v>
      </c>
      <c r="N72" s="12">
        <f t="shared" si="7"/>
        <v>0</v>
      </c>
      <c r="O72" s="1">
        <f>VLOOKUP(A:A,MASTER!A:C,3,0)</f>
        <v>2</v>
      </c>
      <c r="P72" s="1">
        <f>VLOOKUP(A:A,MASTER!A:H,8,0)</f>
        <v>1</v>
      </c>
      <c r="Q72" s="12">
        <f t="shared" si="8"/>
        <v>-0.5</v>
      </c>
      <c r="R72" s="1">
        <f>VLOOKUP(A:A,MASTER!A:B,2,0)</f>
        <v>893</v>
      </c>
      <c r="S72">
        <f>VLOOKUP(A:A,MASTER!A:G,7,0)</f>
        <v>885</v>
      </c>
      <c r="T72" s="12">
        <f t="shared" si="9"/>
        <v>-8.9585666293393595E-3</v>
      </c>
      <c r="U72">
        <v>3</v>
      </c>
    </row>
    <row r="73" spans="1:21" x14ac:dyDescent="0.35">
      <c r="A73" t="s">
        <v>61</v>
      </c>
      <c r="B73" t="s">
        <v>62</v>
      </c>
      <c r="C73" t="s">
        <v>22</v>
      </c>
      <c r="D73" t="s">
        <v>23</v>
      </c>
      <c r="E73" t="s">
        <v>182</v>
      </c>
      <c r="F73" s="1">
        <f>VLOOKUP(A:A,MASTER!A:F,6,0)</f>
        <v>5569919.9248531396</v>
      </c>
      <c r="G73" s="1">
        <f>VLOOKUP(A:A,MASTER!A:K,11,0)</f>
        <v>6372111.324984923</v>
      </c>
      <c r="H73" s="12">
        <f t="shared" si="5"/>
        <v>0.14402207050632509</v>
      </c>
      <c r="I73" s="2">
        <f>VLOOKUP(A:A,MASTER!A:E,5,0)</f>
        <v>473</v>
      </c>
      <c r="J73" s="2">
        <f>VLOOKUP(A:A,MASTER!A:J,10,0)</f>
        <v>519</v>
      </c>
      <c r="K73" s="12">
        <f t="shared" si="6"/>
        <v>9.7251585623678638E-2</v>
      </c>
      <c r="L73" s="2">
        <f>VLOOKUP(A:A,MASTER!A:D,4,0)</f>
        <v>3</v>
      </c>
      <c r="M73" s="2">
        <f>VLOOKUP(A:A,MASTER!A:I,9,0)</f>
        <v>4</v>
      </c>
      <c r="N73" s="12">
        <f t="shared" si="7"/>
        <v>0.33333333333333326</v>
      </c>
      <c r="O73" s="1">
        <f>VLOOKUP(A:A,MASTER!A:C,3,0)</f>
        <v>0</v>
      </c>
      <c r="P73" s="1">
        <f>VLOOKUP(A:A,MASTER!A:H,8,0)</f>
        <v>2</v>
      </c>
      <c r="Q73" s="12">
        <f t="shared" si="8"/>
        <v>0</v>
      </c>
      <c r="R73" s="1">
        <f>VLOOKUP(A:A,MASTER!A:B,2,0)</f>
        <v>647</v>
      </c>
      <c r="S73">
        <f>VLOOKUP(A:A,MASTER!A:G,7,0)</f>
        <v>621</v>
      </c>
      <c r="T73" s="12">
        <f t="shared" si="9"/>
        <v>-4.0185471406491535E-2</v>
      </c>
      <c r="U73">
        <v>7</v>
      </c>
    </row>
    <row r="74" spans="1:21" x14ac:dyDescent="0.35">
      <c r="A74" t="s">
        <v>129</v>
      </c>
      <c r="B74" t="s">
        <v>130</v>
      </c>
      <c r="C74" t="s">
        <v>22</v>
      </c>
      <c r="D74" t="s">
        <v>69</v>
      </c>
      <c r="E74" t="s">
        <v>180</v>
      </c>
      <c r="F74" s="1">
        <f>VLOOKUP(A:A,MASTER!A:F,6,0)</f>
        <v>4940735.7756936448</v>
      </c>
      <c r="G74" s="1">
        <f>VLOOKUP(A:A,MASTER!A:K,11,0)</f>
        <v>3403119.0669416748</v>
      </c>
      <c r="H74" s="12">
        <f t="shared" si="5"/>
        <v>-0.31121209037657949</v>
      </c>
      <c r="I74" s="2">
        <f>VLOOKUP(A:A,MASTER!A:E,5,0)</f>
        <v>1265</v>
      </c>
      <c r="J74" s="2">
        <f>VLOOKUP(A:A,MASTER!A:J,10,0)</f>
        <v>669</v>
      </c>
      <c r="K74" s="12">
        <f t="shared" si="6"/>
        <v>-0.47114624505928848</v>
      </c>
      <c r="L74" s="2">
        <f>VLOOKUP(A:A,MASTER!A:D,4,0)</f>
        <v>1</v>
      </c>
      <c r="M74" s="2">
        <f>VLOOKUP(A:A,MASTER!A:I,9,0)</f>
        <v>0</v>
      </c>
      <c r="N74" s="12">
        <f t="shared" si="7"/>
        <v>-1</v>
      </c>
      <c r="O74" s="1">
        <f>VLOOKUP(A:A,MASTER!A:C,3,0)</f>
        <v>3</v>
      </c>
      <c r="P74" s="1">
        <f>VLOOKUP(A:A,MASTER!A:H,8,0)</f>
        <v>0</v>
      </c>
      <c r="Q74" s="12">
        <f t="shared" si="8"/>
        <v>-1</v>
      </c>
      <c r="R74" s="1">
        <f>VLOOKUP(A:A,MASTER!A:B,2,0)</f>
        <v>585</v>
      </c>
      <c r="S74">
        <f>VLOOKUP(A:A,MASTER!A:G,7,0)</f>
        <v>577</v>
      </c>
      <c r="T74" s="12">
        <f t="shared" si="9"/>
        <v>-1.3675213675213627E-2</v>
      </c>
      <c r="U74">
        <v>2</v>
      </c>
    </row>
    <row r="75" spans="1:21" x14ac:dyDescent="0.35">
      <c r="A75" t="s">
        <v>35</v>
      </c>
      <c r="B75" t="s">
        <v>36</v>
      </c>
      <c r="C75" t="s">
        <v>4</v>
      </c>
      <c r="D75" t="s">
        <v>5</v>
      </c>
      <c r="E75" t="s">
        <v>180</v>
      </c>
      <c r="F75" s="1">
        <f>VLOOKUP(A:A,MASTER!A:F,6,0)</f>
        <v>5325255.3244800083</v>
      </c>
      <c r="G75" s="1">
        <f>VLOOKUP(A:A,MASTER!A:K,11,0)</f>
        <v>4546621.6201907713</v>
      </c>
      <c r="H75" s="12">
        <f t="shared" si="5"/>
        <v>-0.14621528111711113</v>
      </c>
      <c r="I75" s="2">
        <f>VLOOKUP(A:A,MASTER!A:E,5,0)</f>
        <v>447</v>
      </c>
      <c r="J75" s="2">
        <f>VLOOKUP(A:A,MASTER!A:J,10,0)</f>
        <v>446</v>
      </c>
      <c r="K75" s="12">
        <f t="shared" si="6"/>
        <v>-2.2371364653244186E-3</v>
      </c>
      <c r="L75" s="2">
        <f>VLOOKUP(A:A,MASTER!A:D,4,0)</f>
        <v>7</v>
      </c>
      <c r="M75" s="2">
        <f>VLOOKUP(A:A,MASTER!A:I,9,0)</f>
        <v>7</v>
      </c>
      <c r="N75" s="12">
        <f t="shared" si="7"/>
        <v>0</v>
      </c>
      <c r="O75" s="1">
        <f>VLOOKUP(A:A,MASTER!A:C,3,0)</f>
        <v>0</v>
      </c>
      <c r="P75" s="1">
        <f>VLOOKUP(A:A,MASTER!A:H,8,0)</f>
        <v>1</v>
      </c>
      <c r="Q75" s="12">
        <f t="shared" si="8"/>
        <v>0</v>
      </c>
      <c r="R75" s="1">
        <f>VLOOKUP(A:A,MASTER!A:B,2,0)</f>
        <v>450</v>
      </c>
      <c r="S75">
        <f>VLOOKUP(A:A,MASTER!A:G,7,0)</f>
        <v>445</v>
      </c>
      <c r="T75" s="12">
        <f t="shared" si="9"/>
        <v>-1.1111111111111072E-2</v>
      </c>
      <c r="U75">
        <v>1</v>
      </c>
    </row>
    <row r="76" spans="1:21" x14ac:dyDescent="0.35">
      <c r="A76" t="s">
        <v>107</v>
      </c>
      <c r="B76" t="s">
        <v>108</v>
      </c>
      <c r="C76" t="s">
        <v>4</v>
      </c>
      <c r="D76" t="s">
        <v>26</v>
      </c>
      <c r="E76" t="s">
        <v>182</v>
      </c>
      <c r="F76" s="1">
        <f>VLOOKUP(A:A,MASTER!A:F,6,0)</f>
        <v>13331666.494566012</v>
      </c>
      <c r="G76" s="1">
        <f>VLOOKUP(A:A,MASTER!A:K,11,0)</f>
        <v>12118429.047096681</v>
      </c>
      <c r="H76" s="12">
        <f t="shared" si="5"/>
        <v>-9.1004185257998138E-2</v>
      </c>
      <c r="I76" s="2">
        <f>VLOOKUP(A:A,MASTER!A:E,5,0)</f>
        <v>730</v>
      </c>
      <c r="J76" s="2">
        <f>VLOOKUP(A:A,MASTER!A:J,10,0)</f>
        <v>496</v>
      </c>
      <c r="K76" s="12">
        <f t="shared" si="6"/>
        <v>-0.32054794520547947</v>
      </c>
      <c r="L76" s="2">
        <f>VLOOKUP(A:A,MASTER!A:D,4,0)</f>
        <v>3</v>
      </c>
      <c r="M76" s="2">
        <f>VLOOKUP(A:A,MASTER!A:I,9,0)</f>
        <v>3</v>
      </c>
      <c r="N76" s="12">
        <f t="shared" si="7"/>
        <v>0</v>
      </c>
      <c r="O76" s="1">
        <f>VLOOKUP(A:A,MASTER!A:C,3,0)</f>
        <v>3</v>
      </c>
      <c r="P76" s="1">
        <f>VLOOKUP(A:A,MASTER!A:H,8,0)</f>
        <v>3</v>
      </c>
      <c r="Q76" s="12">
        <f t="shared" si="8"/>
        <v>0</v>
      </c>
      <c r="R76" s="1">
        <f>VLOOKUP(A:A,MASTER!A:B,2,0)</f>
        <v>969</v>
      </c>
      <c r="S76">
        <f>VLOOKUP(A:A,MASTER!A:G,7,0)</f>
        <v>903</v>
      </c>
      <c r="T76" s="12">
        <f t="shared" si="9"/>
        <v>-6.8111455108359142E-2</v>
      </c>
      <c r="U76">
        <v>4</v>
      </c>
    </row>
    <row r="77" spans="1:21" x14ac:dyDescent="0.35">
      <c r="A77" t="s">
        <v>37</v>
      </c>
      <c r="B77" t="s">
        <v>38</v>
      </c>
      <c r="C77" t="s">
        <v>4</v>
      </c>
      <c r="D77" t="s">
        <v>5</v>
      </c>
      <c r="E77" t="s">
        <v>182</v>
      </c>
      <c r="F77" s="1">
        <f>VLOOKUP(A:A,MASTER!A:F,6,0)</f>
        <v>8108231.6625237344</v>
      </c>
      <c r="G77" s="1">
        <f>VLOOKUP(A:A,MASTER!A:K,11,0)</f>
        <v>8008550.6146573052</v>
      </c>
      <c r="H77" s="12">
        <f t="shared" si="5"/>
        <v>-1.2293808565825182E-2</v>
      </c>
      <c r="I77" s="2">
        <f>VLOOKUP(A:A,MASTER!A:E,5,0)</f>
        <v>711</v>
      </c>
      <c r="J77" s="2">
        <f>VLOOKUP(A:A,MASTER!A:J,10,0)</f>
        <v>749</v>
      </c>
      <c r="K77" s="12">
        <f t="shared" si="6"/>
        <v>5.3445850914205284E-2</v>
      </c>
      <c r="L77" s="2">
        <f>VLOOKUP(A:A,MASTER!A:D,4,0)</f>
        <v>10</v>
      </c>
      <c r="M77" s="2">
        <f>VLOOKUP(A:A,MASTER!A:I,9,0)</f>
        <v>8</v>
      </c>
      <c r="N77" s="12">
        <f t="shared" si="7"/>
        <v>-0.19999999999999996</v>
      </c>
      <c r="O77" s="1">
        <f>VLOOKUP(A:A,MASTER!A:C,3,0)</f>
        <v>1</v>
      </c>
      <c r="P77" s="1">
        <f>VLOOKUP(A:A,MASTER!A:H,8,0)</f>
        <v>2</v>
      </c>
      <c r="Q77" s="12">
        <f t="shared" si="8"/>
        <v>1</v>
      </c>
      <c r="R77" s="1">
        <f>VLOOKUP(A:A,MASTER!A:B,2,0)</f>
        <v>777</v>
      </c>
      <c r="S77">
        <f>VLOOKUP(A:A,MASTER!A:G,7,0)</f>
        <v>785</v>
      </c>
      <c r="T77" s="12">
        <f t="shared" si="9"/>
        <v>1.0296010296010349E-2</v>
      </c>
      <c r="U77">
        <v>3</v>
      </c>
    </row>
    <row r="78" spans="1:21" x14ac:dyDescent="0.35">
      <c r="A78" t="s">
        <v>76</v>
      </c>
      <c r="B78" t="s">
        <v>77</v>
      </c>
      <c r="C78" t="s">
        <v>22</v>
      </c>
      <c r="D78" t="s">
        <v>23</v>
      </c>
      <c r="E78" t="s">
        <v>182</v>
      </c>
      <c r="F78" s="1">
        <f>VLOOKUP(A:A,MASTER!A:F,6,0)</f>
        <v>7256682.7153262254</v>
      </c>
      <c r="G78" s="1">
        <f>VLOOKUP(A:A,MASTER!A:K,11,0)</f>
        <v>6865272.7676198147</v>
      </c>
      <c r="H78" s="12">
        <f t="shared" si="5"/>
        <v>-5.3937861563073008E-2</v>
      </c>
      <c r="I78" s="2">
        <f>VLOOKUP(A:A,MASTER!A:E,5,0)</f>
        <v>1215</v>
      </c>
      <c r="J78" s="2">
        <f>VLOOKUP(A:A,MASTER!A:J,10,0)</f>
        <v>906</v>
      </c>
      <c r="K78" s="12">
        <f t="shared" si="6"/>
        <v>-0.25432098765432098</v>
      </c>
      <c r="L78" s="2">
        <f>VLOOKUP(A:A,MASTER!A:D,4,0)</f>
        <v>1</v>
      </c>
      <c r="M78" s="2">
        <f>VLOOKUP(A:A,MASTER!A:I,9,0)</f>
        <v>2</v>
      </c>
      <c r="N78" s="12">
        <f t="shared" si="7"/>
        <v>1</v>
      </c>
      <c r="O78" s="1">
        <f>VLOOKUP(A:A,MASTER!A:C,3,0)</f>
        <v>1</v>
      </c>
      <c r="P78" s="1">
        <f>VLOOKUP(A:A,MASTER!A:H,8,0)</f>
        <v>0</v>
      </c>
      <c r="Q78" s="12">
        <f t="shared" si="8"/>
        <v>-1</v>
      </c>
      <c r="R78" s="1">
        <f>VLOOKUP(A:A,MASTER!A:B,2,0)</f>
        <v>960</v>
      </c>
      <c r="S78">
        <f>VLOOKUP(A:A,MASTER!A:G,7,0)</f>
        <v>943</v>
      </c>
      <c r="T78" s="12">
        <f t="shared" si="9"/>
        <v>-1.7708333333333326E-2</v>
      </c>
      <c r="U78">
        <v>3</v>
      </c>
    </row>
    <row r="79" spans="1:21" x14ac:dyDescent="0.35">
      <c r="A79" t="s">
        <v>65</v>
      </c>
      <c r="B79" t="s">
        <v>66</v>
      </c>
      <c r="C79" t="s">
        <v>22</v>
      </c>
      <c r="D79" t="s">
        <v>23</v>
      </c>
      <c r="E79" t="s">
        <v>182</v>
      </c>
      <c r="F79" s="1">
        <f>VLOOKUP(A:A,MASTER!A:F,6,0)</f>
        <v>4702680.6416437216</v>
      </c>
      <c r="G79" s="1">
        <f>VLOOKUP(A:A,MASTER!A:K,11,0)</f>
        <v>8449587.4523724522</v>
      </c>
      <c r="H79" s="12">
        <f t="shared" si="5"/>
        <v>0.79675978367501465</v>
      </c>
      <c r="I79" s="2">
        <f>VLOOKUP(A:A,MASTER!A:E,5,0)</f>
        <v>20</v>
      </c>
      <c r="J79" s="2">
        <f>VLOOKUP(A:A,MASTER!A:J,10,0)</f>
        <v>846</v>
      </c>
      <c r="K79" s="12">
        <f t="shared" si="6"/>
        <v>41.3</v>
      </c>
      <c r="L79" s="2">
        <f>VLOOKUP(A:A,MASTER!A:D,4,0)</f>
        <v>4</v>
      </c>
      <c r="M79" s="2">
        <f>VLOOKUP(A:A,MASTER!A:I,9,0)</f>
        <v>5</v>
      </c>
      <c r="N79" s="12">
        <f t="shared" si="7"/>
        <v>0.25</v>
      </c>
      <c r="O79" s="1">
        <f>VLOOKUP(A:A,MASTER!A:C,3,0)</f>
        <v>0</v>
      </c>
      <c r="P79" s="1">
        <f>VLOOKUP(A:A,MASTER!A:H,8,0)</f>
        <v>0</v>
      </c>
      <c r="Q79" s="12">
        <f t="shared" si="8"/>
        <v>0</v>
      </c>
      <c r="R79" s="1">
        <f>VLOOKUP(A:A,MASTER!A:B,2,0)</f>
        <v>997</v>
      </c>
      <c r="S79">
        <f>VLOOKUP(A:A,MASTER!A:G,7,0)</f>
        <v>961</v>
      </c>
      <c r="T79" s="12">
        <f t="shared" si="9"/>
        <v>-3.6108324974924777E-2</v>
      </c>
      <c r="U79">
        <v>3</v>
      </c>
    </row>
    <row r="80" spans="1:21" x14ac:dyDescent="0.35">
      <c r="A80" t="s">
        <v>89</v>
      </c>
      <c r="B80" t="s">
        <v>90</v>
      </c>
      <c r="C80" t="s">
        <v>4</v>
      </c>
      <c r="D80" t="s">
        <v>26</v>
      </c>
      <c r="E80" t="s">
        <v>182</v>
      </c>
      <c r="F80" s="1">
        <f>VLOOKUP(A:A,MASTER!A:F,6,0)</f>
        <v>7522930.9770057639</v>
      </c>
      <c r="G80" s="1">
        <f>VLOOKUP(A:A,MASTER!A:K,11,0)</f>
        <v>9209927.9148966204</v>
      </c>
      <c r="H80" s="12">
        <f t="shared" si="5"/>
        <v>0.2242472971036491</v>
      </c>
      <c r="I80" s="2">
        <f>VLOOKUP(A:A,MASTER!A:E,5,0)</f>
        <v>742</v>
      </c>
      <c r="J80" s="2">
        <f>VLOOKUP(A:A,MASTER!A:J,10,0)</f>
        <v>810</v>
      </c>
      <c r="K80" s="12">
        <f t="shared" si="6"/>
        <v>9.1644204851752065E-2</v>
      </c>
      <c r="L80" s="2">
        <f>VLOOKUP(A:A,MASTER!A:D,4,0)</f>
        <v>6</v>
      </c>
      <c r="M80" s="2">
        <f>VLOOKUP(A:A,MASTER!A:I,9,0)</f>
        <v>6</v>
      </c>
      <c r="N80" s="12">
        <f t="shared" si="7"/>
        <v>0</v>
      </c>
      <c r="O80" s="1">
        <f>VLOOKUP(A:A,MASTER!A:C,3,0)</f>
        <v>0</v>
      </c>
      <c r="P80" s="1">
        <f>VLOOKUP(A:A,MASTER!A:H,8,0)</f>
        <v>0</v>
      </c>
      <c r="Q80" s="12">
        <f t="shared" si="8"/>
        <v>0</v>
      </c>
      <c r="R80" s="1">
        <f>VLOOKUP(A:A,MASTER!A:B,2,0)</f>
        <v>730</v>
      </c>
      <c r="S80">
        <f>VLOOKUP(A:A,MASTER!A:G,7,0)</f>
        <v>761</v>
      </c>
      <c r="T80" s="12">
        <f t="shared" si="9"/>
        <v>4.2465753424657526E-2</v>
      </c>
      <c r="U80">
        <v>3</v>
      </c>
    </row>
    <row r="81" spans="1:21" x14ac:dyDescent="0.35">
      <c r="A81" t="s">
        <v>147</v>
      </c>
      <c r="B81" t="s">
        <v>148</v>
      </c>
      <c r="C81" t="s">
        <v>22</v>
      </c>
      <c r="D81" t="s">
        <v>69</v>
      </c>
      <c r="E81" t="s">
        <v>180</v>
      </c>
      <c r="F81" s="1">
        <f>VLOOKUP(A:A,MASTER!A:F,6,0)</f>
        <v>4156463.0287198988</v>
      </c>
      <c r="G81" s="1">
        <f>VLOOKUP(A:A,MASTER!A:K,11,0)</f>
        <v>3974846.9820578848</v>
      </c>
      <c r="H81" s="12">
        <f t="shared" si="5"/>
        <v>-4.3694854352631651E-2</v>
      </c>
      <c r="I81" s="2">
        <f>VLOOKUP(A:A,MASTER!A:E,5,0)</f>
        <v>764</v>
      </c>
      <c r="J81" s="2">
        <f>VLOOKUP(A:A,MASTER!A:J,10,0)</f>
        <v>484</v>
      </c>
      <c r="K81" s="12">
        <f t="shared" si="6"/>
        <v>-0.36649214659685869</v>
      </c>
      <c r="L81" s="2">
        <f>VLOOKUP(A:A,MASTER!A:D,4,0)</f>
        <v>1</v>
      </c>
      <c r="M81" s="2">
        <f>VLOOKUP(A:A,MASTER!A:I,9,0)</f>
        <v>0</v>
      </c>
      <c r="N81" s="12">
        <f t="shared" si="7"/>
        <v>-1</v>
      </c>
      <c r="O81" s="1">
        <f>VLOOKUP(A:A,MASTER!A:C,3,0)</f>
        <v>0</v>
      </c>
      <c r="P81" s="1">
        <f>VLOOKUP(A:A,MASTER!A:H,8,0)</f>
        <v>2</v>
      </c>
      <c r="Q81" s="12">
        <f t="shared" si="8"/>
        <v>0</v>
      </c>
      <c r="R81" s="1">
        <f>VLOOKUP(A:A,MASTER!A:B,2,0)</f>
        <v>579</v>
      </c>
      <c r="S81">
        <f>VLOOKUP(A:A,MASTER!A:G,7,0)</f>
        <v>571</v>
      </c>
      <c r="T81" s="12">
        <f t="shared" si="9"/>
        <v>-1.3816925734024155E-2</v>
      </c>
      <c r="U81">
        <v>1</v>
      </c>
    </row>
    <row r="82" spans="1:21" x14ac:dyDescent="0.35">
      <c r="A82" t="s">
        <v>164</v>
      </c>
      <c r="B82" t="s">
        <v>165</v>
      </c>
      <c r="C82" t="s">
        <v>4</v>
      </c>
      <c r="D82" t="s">
        <v>151</v>
      </c>
      <c r="E82" t="s">
        <v>182</v>
      </c>
      <c r="F82" s="1">
        <f>VLOOKUP(A:A,MASTER!A:F,6,0)</f>
        <v>15539415.573069196</v>
      </c>
      <c r="G82" s="1">
        <f>VLOOKUP(A:A,MASTER!A:K,11,0)</f>
        <v>20018555.481579527</v>
      </c>
      <c r="H82" s="12">
        <f t="shared" si="5"/>
        <v>0.28824378159195185</v>
      </c>
      <c r="I82" s="2">
        <f>VLOOKUP(A:A,MASTER!A:E,5,0)</f>
        <v>1218</v>
      </c>
      <c r="J82" s="2">
        <f>VLOOKUP(A:A,MASTER!A:J,10,0)</f>
        <v>1376</v>
      </c>
      <c r="K82" s="12">
        <f t="shared" si="6"/>
        <v>0.12972085385878485</v>
      </c>
      <c r="L82" s="2">
        <f>VLOOKUP(A:A,MASTER!A:D,4,0)</f>
        <v>10</v>
      </c>
      <c r="M82" s="2">
        <f>VLOOKUP(A:A,MASTER!A:I,9,0)</f>
        <v>9</v>
      </c>
      <c r="N82" s="12">
        <f t="shared" si="7"/>
        <v>-9.9999999999999978E-2</v>
      </c>
      <c r="O82" s="1">
        <f>VLOOKUP(A:A,MASTER!A:C,3,0)</f>
        <v>0</v>
      </c>
      <c r="P82" s="1">
        <f>VLOOKUP(A:A,MASTER!A:H,8,0)</f>
        <v>0</v>
      </c>
      <c r="Q82" s="12">
        <f t="shared" si="8"/>
        <v>0</v>
      </c>
      <c r="R82" s="1">
        <f>VLOOKUP(A:A,MASTER!A:B,2,0)</f>
        <v>1728</v>
      </c>
      <c r="S82">
        <f>VLOOKUP(A:A,MASTER!A:G,7,0)</f>
        <v>1768</v>
      </c>
      <c r="T82" s="12">
        <f t="shared" si="9"/>
        <v>2.314814814814814E-2</v>
      </c>
      <c r="U82">
        <v>2</v>
      </c>
    </row>
    <row r="83" spans="1:21" x14ac:dyDescent="0.35">
      <c r="A83" t="s">
        <v>91</v>
      </c>
      <c r="B83" t="s">
        <v>92</v>
      </c>
      <c r="C83" t="s">
        <v>4</v>
      </c>
      <c r="D83" t="s">
        <v>26</v>
      </c>
      <c r="E83" t="s">
        <v>180</v>
      </c>
      <c r="F83" s="1">
        <f>VLOOKUP(A:A,MASTER!A:F,6,0)</f>
        <v>3439065.9601564072</v>
      </c>
      <c r="G83" s="1">
        <f>VLOOKUP(A:A,MASTER!A:K,11,0)</f>
        <v>4068292.9707026249</v>
      </c>
      <c r="H83" s="12">
        <f t="shared" si="5"/>
        <v>0.18296450775768225</v>
      </c>
      <c r="I83" s="2">
        <f>VLOOKUP(A:A,MASTER!A:E,5,0)</f>
        <v>862</v>
      </c>
      <c r="J83" s="2">
        <f>VLOOKUP(A:A,MASTER!A:J,10,0)</f>
        <v>609</v>
      </c>
      <c r="K83" s="12">
        <f t="shared" si="6"/>
        <v>-0.29350348027842232</v>
      </c>
      <c r="L83" s="2">
        <f>VLOOKUP(A:A,MASTER!A:D,4,0)</f>
        <v>3</v>
      </c>
      <c r="M83" s="2">
        <f>VLOOKUP(A:A,MASTER!A:I,9,0)</f>
        <v>3</v>
      </c>
      <c r="N83" s="12">
        <f t="shared" si="7"/>
        <v>0</v>
      </c>
      <c r="O83" s="1">
        <f>VLOOKUP(A:A,MASTER!A:C,3,0)</f>
        <v>0</v>
      </c>
      <c r="P83" s="1">
        <f>VLOOKUP(A:A,MASTER!A:H,8,0)</f>
        <v>0</v>
      </c>
      <c r="Q83" s="12">
        <f t="shared" si="8"/>
        <v>0</v>
      </c>
      <c r="R83" s="1">
        <f>VLOOKUP(A:A,MASTER!A:B,2,0)</f>
        <v>596</v>
      </c>
      <c r="S83">
        <f>VLOOKUP(A:A,MASTER!A:G,7,0)</f>
        <v>638</v>
      </c>
      <c r="T83" s="12">
        <f t="shared" si="9"/>
        <v>7.0469798657718075E-2</v>
      </c>
      <c r="U83">
        <v>2</v>
      </c>
    </row>
    <row r="84" spans="1:21" x14ac:dyDescent="0.35">
      <c r="A84" t="s">
        <v>97</v>
      </c>
      <c r="B84" t="s">
        <v>98</v>
      </c>
      <c r="C84" t="s">
        <v>4</v>
      </c>
      <c r="D84" t="s">
        <v>26</v>
      </c>
      <c r="E84" t="s">
        <v>182</v>
      </c>
      <c r="F84" s="1">
        <f>VLOOKUP(A:A,MASTER!A:F,6,0)</f>
        <v>7587961.4134114794</v>
      </c>
      <c r="G84" s="1">
        <f>VLOOKUP(A:A,MASTER!A:K,11,0)</f>
        <v>6937847.5973318443</v>
      </c>
      <c r="H84" s="12">
        <f t="shared" si="5"/>
        <v>-8.5677006070507877E-2</v>
      </c>
      <c r="I84" s="2">
        <f>VLOOKUP(A:A,MASTER!A:E,5,0)</f>
        <v>582</v>
      </c>
      <c r="J84" s="2">
        <f>VLOOKUP(A:A,MASTER!A:J,10,0)</f>
        <v>591</v>
      </c>
      <c r="K84" s="12">
        <f t="shared" si="6"/>
        <v>1.5463917525773141E-2</v>
      </c>
      <c r="L84" s="2">
        <f>VLOOKUP(A:A,MASTER!A:D,4,0)</f>
        <v>7</v>
      </c>
      <c r="M84" s="2">
        <f>VLOOKUP(A:A,MASTER!A:I,9,0)</f>
        <v>8</v>
      </c>
      <c r="N84" s="12">
        <f t="shared" si="7"/>
        <v>0.14285714285714279</v>
      </c>
      <c r="O84" s="1">
        <f>VLOOKUP(A:A,MASTER!A:C,3,0)</f>
        <v>3</v>
      </c>
      <c r="P84" s="1">
        <f>VLOOKUP(A:A,MASTER!A:H,8,0)</f>
        <v>0</v>
      </c>
      <c r="Q84" s="12">
        <f t="shared" si="8"/>
        <v>-1</v>
      </c>
      <c r="R84" s="1">
        <f>VLOOKUP(A:A,MASTER!A:B,2,0)</f>
        <v>601</v>
      </c>
      <c r="S84">
        <f>VLOOKUP(A:A,MASTER!A:G,7,0)</f>
        <v>668</v>
      </c>
      <c r="T84" s="12">
        <f t="shared" si="9"/>
        <v>0.11148086522462552</v>
      </c>
      <c r="U84">
        <v>7</v>
      </c>
    </row>
    <row r="85" spans="1:21" x14ac:dyDescent="0.35">
      <c r="A85" t="s">
        <v>78</v>
      </c>
      <c r="B85" t="s">
        <v>177</v>
      </c>
      <c r="C85" t="s">
        <v>22</v>
      </c>
      <c r="D85" t="s">
        <v>23</v>
      </c>
      <c r="E85" t="s">
        <v>180</v>
      </c>
      <c r="F85" s="1">
        <f>VLOOKUP(A:A,MASTER!A:F,6,0)</f>
        <v>2185891.8143150499</v>
      </c>
      <c r="G85" s="1">
        <f>VLOOKUP(A:A,MASTER!A:K,11,0)</f>
        <v>2137038.478844007</v>
      </c>
      <c r="H85" s="12">
        <f t="shared" si="5"/>
        <v>-2.2349383968186531E-2</v>
      </c>
      <c r="I85" s="2">
        <f>VLOOKUP(A:A,MASTER!A:E,5,0)</f>
        <v>319</v>
      </c>
      <c r="J85" s="2">
        <f>VLOOKUP(A:A,MASTER!A:J,10,0)</f>
        <v>353</v>
      </c>
      <c r="K85" s="12">
        <f t="shared" si="6"/>
        <v>0.10658307210031337</v>
      </c>
      <c r="L85" s="2">
        <f>VLOOKUP(A:A,MASTER!A:D,4,0)</f>
        <v>0</v>
      </c>
      <c r="M85" s="2">
        <f>VLOOKUP(A:A,MASTER!A:I,9,0)</f>
        <v>1</v>
      </c>
      <c r="N85" s="12">
        <f t="shared" si="7"/>
        <v>0</v>
      </c>
      <c r="O85" s="1">
        <f>VLOOKUP(A:A,MASTER!A:C,3,0)</f>
        <v>1</v>
      </c>
      <c r="P85" s="1">
        <f>VLOOKUP(A:A,MASTER!A:H,8,0)</f>
        <v>2</v>
      </c>
      <c r="Q85" s="12">
        <f t="shared" si="8"/>
        <v>1</v>
      </c>
      <c r="R85" s="1">
        <f>VLOOKUP(A:A,MASTER!A:B,2,0)</f>
        <v>366</v>
      </c>
      <c r="S85">
        <f>VLOOKUP(A:A,MASTER!A:G,7,0)</f>
        <v>364</v>
      </c>
      <c r="T85" s="12">
        <f t="shared" si="9"/>
        <v>-5.464480874316946E-3</v>
      </c>
      <c r="U85">
        <v>2</v>
      </c>
    </row>
  </sheetData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91"/>
  <sheetViews>
    <sheetView workbookViewId="0">
      <pane xSplit="1" ySplit="5" topLeftCell="B78" activePane="bottomRight" state="frozen"/>
      <selection pane="topRight" activeCell="B1" sqref="B1"/>
      <selection pane="bottomLeft" activeCell="A6" sqref="A6"/>
      <selection pane="bottomRight" activeCell="A5" sqref="A5:K91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84583</v>
      </c>
      <c r="C3" s="11">
        <f t="shared" si="0"/>
        <v>511</v>
      </c>
      <c r="D3" s="11">
        <f t="shared" si="0"/>
        <v>303</v>
      </c>
      <c r="E3" s="11">
        <f t="shared" si="0"/>
        <v>68595</v>
      </c>
      <c r="F3" s="11">
        <f t="shared" si="0"/>
        <v>758337594.71692479</v>
      </c>
      <c r="G3" s="11">
        <f t="shared" si="0"/>
        <v>84036</v>
      </c>
      <c r="H3" s="11">
        <f t="shared" si="0"/>
        <v>369</v>
      </c>
      <c r="I3" s="11">
        <f t="shared" si="0"/>
        <v>306</v>
      </c>
      <c r="J3" s="11">
        <f t="shared" si="0"/>
        <v>70994</v>
      </c>
      <c r="K3" s="11">
        <f t="shared" si="0"/>
        <v>800076225.00868189</v>
      </c>
    </row>
    <row r="4" spans="1:11" x14ac:dyDescent="0.35">
      <c r="A4" s="7"/>
      <c r="B4" s="7" t="s">
        <v>194</v>
      </c>
      <c r="C4" s="7"/>
      <c r="D4" s="7"/>
      <c r="E4" s="7"/>
      <c r="F4" s="7"/>
      <c r="G4" s="7" t="s">
        <v>195</v>
      </c>
      <c r="H4" s="7"/>
      <c r="I4" s="7"/>
      <c r="J4" s="7"/>
      <c r="K4" s="7"/>
    </row>
    <row r="5" spans="1:11" x14ac:dyDescent="0.35">
      <c r="A5" s="8" t="s">
        <v>196</v>
      </c>
      <c r="B5" s="8" t="s">
        <v>197</v>
      </c>
      <c r="C5" s="8" t="s">
        <v>204</v>
      </c>
      <c r="D5" s="8" t="s">
        <v>198</v>
      </c>
      <c r="E5" s="8" t="s">
        <v>199</v>
      </c>
      <c r="F5" s="8" t="s">
        <v>200</v>
      </c>
      <c r="G5" s="8" t="s">
        <v>197</v>
      </c>
      <c r="H5" s="8" t="s">
        <v>204</v>
      </c>
      <c r="I5" s="8" t="s">
        <v>198</v>
      </c>
      <c r="J5" s="8" t="s">
        <v>199</v>
      </c>
      <c r="K5" s="8" t="s">
        <v>200</v>
      </c>
    </row>
    <row r="6" spans="1:11" x14ac:dyDescent="0.35">
      <c r="A6" s="9" t="s">
        <v>117</v>
      </c>
      <c r="B6" s="10">
        <v>406</v>
      </c>
      <c r="C6" s="10">
        <v>0</v>
      </c>
      <c r="D6" s="10">
        <v>2</v>
      </c>
      <c r="E6" s="10">
        <v>337</v>
      </c>
      <c r="F6" s="10">
        <v>3378902.3358840779</v>
      </c>
      <c r="G6" s="10">
        <v>435</v>
      </c>
      <c r="H6" s="10">
        <v>1</v>
      </c>
      <c r="I6" s="10">
        <v>2</v>
      </c>
      <c r="J6" s="10">
        <v>366</v>
      </c>
      <c r="K6" s="10">
        <v>3428450.443261405</v>
      </c>
    </row>
    <row r="7" spans="1:11" x14ac:dyDescent="0.35">
      <c r="A7" s="9" t="s">
        <v>127</v>
      </c>
      <c r="B7" s="10">
        <v>643</v>
      </c>
      <c r="C7" s="10">
        <v>1</v>
      </c>
      <c r="D7" s="10">
        <v>2</v>
      </c>
      <c r="E7" s="10">
        <v>610</v>
      </c>
      <c r="F7" s="10">
        <v>4198139.0504805734</v>
      </c>
      <c r="G7" s="10">
        <v>580</v>
      </c>
      <c r="H7" s="10">
        <v>4</v>
      </c>
      <c r="I7" s="10">
        <v>3</v>
      </c>
      <c r="J7" s="10">
        <v>470</v>
      </c>
      <c r="K7" s="10">
        <v>3845396.6447631288</v>
      </c>
    </row>
    <row r="8" spans="1:11" x14ac:dyDescent="0.35">
      <c r="A8" s="9" t="s">
        <v>119</v>
      </c>
      <c r="B8" s="10">
        <v>732</v>
      </c>
      <c r="C8" s="10">
        <v>2</v>
      </c>
      <c r="D8" s="10">
        <v>1</v>
      </c>
      <c r="E8" s="10">
        <v>42</v>
      </c>
      <c r="F8" s="10">
        <v>4831243.1255528908</v>
      </c>
      <c r="G8" s="10">
        <v>788</v>
      </c>
      <c r="H8" s="10">
        <v>3</v>
      </c>
      <c r="I8" s="10">
        <v>1</v>
      </c>
      <c r="J8" s="10">
        <v>711</v>
      </c>
      <c r="K8" s="10">
        <v>5884101.4544967199</v>
      </c>
    </row>
    <row r="9" spans="1:11" x14ac:dyDescent="0.35">
      <c r="A9" s="9" t="s">
        <v>121</v>
      </c>
      <c r="B9" s="10">
        <v>1218</v>
      </c>
      <c r="C9" s="10">
        <v>1</v>
      </c>
      <c r="D9" s="10">
        <v>4</v>
      </c>
      <c r="E9" s="10">
        <v>1033</v>
      </c>
      <c r="F9" s="10">
        <v>8927501.3209277317</v>
      </c>
      <c r="G9" s="10">
        <v>1239</v>
      </c>
      <c r="H9" s="10">
        <v>1</v>
      </c>
      <c r="I9" s="10">
        <v>2</v>
      </c>
      <c r="J9" s="10">
        <v>960</v>
      </c>
      <c r="K9" s="10">
        <v>9677093.6785821337</v>
      </c>
    </row>
    <row r="10" spans="1:11" x14ac:dyDescent="0.35">
      <c r="A10" s="9" t="s">
        <v>123</v>
      </c>
      <c r="B10" s="10">
        <v>403</v>
      </c>
      <c r="C10" s="10">
        <v>1</v>
      </c>
      <c r="D10" s="10">
        <v>1</v>
      </c>
      <c r="E10" s="10">
        <v>353</v>
      </c>
      <c r="F10" s="10">
        <v>3433165.5757586341</v>
      </c>
      <c r="G10" s="10">
        <v>382</v>
      </c>
      <c r="H10" s="10">
        <v>0</v>
      </c>
      <c r="I10" s="10">
        <v>1</v>
      </c>
      <c r="J10" s="10">
        <v>348</v>
      </c>
      <c r="K10" s="10">
        <v>3956732.0684818421</v>
      </c>
    </row>
    <row r="11" spans="1:11" x14ac:dyDescent="0.35">
      <c r="A11" s="9" t="s">
        <v>125</v>
      </c>
      <c r="B11" s="10">
        <v>370</v>
      </c>
      <c r="C11" s="10">
        <v>2</v>
      </c>
      <c r="D11" s="10">
        <v>2</v>
      </c>
      <c r="E11" s="10">
        <v>318</v>
      </c>
      <c r="F11" s="10">
        <v>3315695.6946051032</v>
      </c>
      <c r="G11" s="10">
        <v>381</v>
      </c>
      <c r="H11" s="10">
        <v>0</v>
      </c>
      <c r="I11" s="10">
        <v>2</v>
      </c>
      <c r="J11" s="10">
        <v>256</v>
      </c>
      <c r="K11" s="10">
        <v>2402398.8577694329</v>
      </c>
    </row>
    <row r="12" spans="1:11" x14ac:dyDescent="0.35">
      <c r="A12" s="9" t="s">
        <v>131</v>
      </c>
      <c r="B12" s="10">
        <v>596</v>
      </c>
      <c r="C12" s="10">
        <v>0</v>
      </c>
      <c r="D12" s="10">
        <v>5</v>
      </c>
      <c r="E12" s="10">
        <v>558</v>
      </c>
      <c r="F12" s="10">
        <v>3763040.3506287369</v>
      </c>
      <c r="G12" s="10">
        <v>631</v>
      </c>
      <c r="H12" s="10">
        <v>0</v>
      </c>
      <c r="I12" s="10">
        <v>0</v>
      </c>
      <c r="J12" s="10">
        <v>516</v>
      </c>
      <c r="K12" s="10">
        <v>4096829.8346421458</v>
      </c>
    </row>
    <row r="13" spans="1:11" x14ac:dyDescent="0.35">
      <c r="A13" s="9" t="s">
        <v>133</v>
      </c>
      <c r="B13" s="10">
        <v>177</v>
      </c>
      <c r="C13" s="10">
        <v>0</v>
      </c>
      <c r="D13" s="10">
        <v>0</v>
      </c>
      <c r="E13" s="10">
        <v>159</v>
      </c>
      <c r="F13" s="10">
        <v>1873870.2528251619</v>
      </c>
      <c r="G13" s="10">
        <v>187</v>
      </c>
      <c r="H13" s="10">
        <v>0</v>
      </c>
      <c r="I13" s="10">
        <v>1</v>
      </c>
      <c r="J13" s="10">
        <v>130</v>
      </c>
      <c r="K13" s="10">
        <v>1981430.2780952901</v>
      </c>
    </row>
    <row r="14" spans="1:11" x14ac:dyDescent="0.35">
      <c r="A14" s="9" t="s">
        <v>141</v>
      </c>
      <c r="B14" s="10">
        <v>187</v>
      </c>
      <c r="C14" s="10">
        <v>0</v>
      </c>
      <c r="D14" s="10">
        <v>1</v>
      </c>
      <c r="E14" s="10">
        <v>1</v>
      </c>
      <c r="F14" s="10">
        <v>22.486592934000001</v>
      </c>
      <c r="G14" s="10">
        <v>198</v>
      </c>
      <c r="H14" s="10">
        <v>0</v>
      </c>
      <c r="I14" s="10">
        <v>0</v>
      </c>
      <c r="J14" s="10">
        <v>263</v>
      </c>
      <c r="K14" s="10">
        <v>1868256.39765836</v>
      </c>
    </row>
    <row r="15" spans="1:11" x14ac:dyDescent="0.35">
      <c r="A15" s="9" t="s">
        <v>135</v>
      </c>
      <c r="B15" s="10">
        <v>363</v>
      </c>
      <c r="C15" s="10">
        <v>1</v>
      </c>
      <c r="D15" s="10">
        <v>1</v>
      </c>
      <c r="E15" s="10">
        <v>487</v>
      </c>
      <c r="F15" s="10">
        <v>3816371.4646472102</v>
      </c>
      <c r="G15" s="10">
        <v>373</v>
      </c>
      <c r="H15" s="10">
        <v>2</v>
      </c>
      <c r="I15" s="10">
        <v>1</v>
      </c>
      <c r="J15" s="10">
        <v>373</v>
      </c>
      <c r="K15" s="10">
        <v>3173749.0033077928</v>
      </c>
    </row>
    <row r="16" spans="1:11" x14ac:dyDescent="0.35">
      <c r="A16" s="9" t="s">
        <v>143</v>
      </c>
      <c r="B16" s="10">
        <v>198</v>
      </c>
      <c r="C16" s="10">
        <v>0</v>
      </c>
      <c r="D16" s="10">
        <v>2</v>
      </c>
      <c r="E16" s="10">
        <v>277</v>
      </c>
      <c r="F16" s="10">
        <v>1720402.2001648659</v>
      </c>
      <c r="G16" s="10">
        <v>241</v>
      </c>
      <c r="H16" s="10">
        <v>0</v>
      </c>
      <c r="I16" s="10">
        <v>2</v>
      </c>
      <c r="J16" s="10">
        <v>240</v>
      </c>
      <c r="K16" s="10">
        <v>1732476.7061931591</v>
      </c>
    </row>
    <row r="17" spans="1:11" x14ac:dyDescent="0.35">
      <c r="A17" s="9" t="s">
        <v>145</v>
      </c>
      <c r="B17" s="10">
        <v>241</v>
      </c>
      <c r="C17" s="10">
        <v>0</v>
      </c>
      <c r="D17" s="10">
        <v>0</v>
      </c>
      <c r="E17" s="10">
        <v>264</v>
      </c>
      <c r="F17" s="10">
        <v>1807666.7458902949</v>
      </c>
      <c r="G17" s="10">
        <v>246</v>
      </c>
      <c r="H17" s="10">
        <v>0</v>
      </c>
      <c r="I17" s="10">
        <v>0</v>
      </c>
      <c r="J17" s="10">
        <v>210</v>
      </c>
      <c r="K17" s="10">
        <v>1873145.3472827121</v>
      </c>
    </row>
    <row r="18" spans="1:11" x14ac:dyDescent="0.35">
      <c r="A18" s="9" t="s">
        <v>20</v>
      </c>
      <c r="B18" s="10">
        <v>1442</v>
      </c>
      <c r="C18" s="10">
        <v>2</v>
      </c>
      <c r="D18" s="10">
        <v>2</v>
      </c>
      <c r="E18" s="10">
        <v>161</v>
      </c>
      <c r="F18" s="10">
        <v>5812917.9415709646</v>
      </c>
      <c r="G18" s="10">
        <v>1331</v>
      </c>
      <c r="H18" s="10">
        <v>1</v>
      </c>
      <c r="I18" s="10">
        <v>5</v>
      </c>
      <c r="J18" s="10">
        <v>1114</v>
      </c>
      <c r="K18" s="10">
        <v>10926997.386205519</v>
      </c>
    </row>
    <row r="19" spans="1:11" x14ac:dyDescent="0.35">
      <c r="A19" s="9" t="s">
        <v>45</v>
      </c>
      <c r="B19" s="10">
        <v>1233</v>
      </c>
      <c r="C19" s="10">
        <v>1</v>
      </c>
      <c r="D19" s="10">
        <v>3</v>
      </c>
      <c r="E19" s="10">
        <v>948</v>
      </c>
      <c r="F19" s="10">
        <v>12242361.641453536</v>
      </c>
      <c r="G19" s="10">
        <v>1224</v>
      </c>
      <c r="H19" s="10">
        <v>0</v>
      </c>
      <c r="I19" s="10">
        <v>2</v>
      </c>
      <c r="J19" s="10">
        <v>853</v>
      </c>
      <c r="K19" s="10">
        <v>15650090.065267829</v>
      </c>
    </row>
    <row r="20" spans="1:11" x14ac:dyDescent="0.35">
      <c r="A20" s="9" t="s">
        <v>47</v>
      </c>
      <c r="B20" s="10">
        <v>1026</v>
      </c>
      <c r="C20" s="10">
        <v>1</v>
      </c>
      <c r="D20" s="10">
        <v>5</v>
      </c>
      <c r="E20" s="10">
        <v>982</v>
      </c>
      <c r="F20" s="10">
        <v>7452158.4424874652</v>
      </c>
      <c r="G20" s="10">
        <v>1018</v>
      </c>
      <c r="H20" s="10">
        <v>2</v>
      </c>
      <c r="I20" s="10">
        <v>6</v>
      </c>
      <c r="J20" s="10">
        <v>908</v>
      </c>
      <c r="K20" s="10">
        <v>7363850.6157930149</v>
      </c>
    </row>
    <row r="21" spans="1:11" x14ac:dyDescent="0.35">
      <c r="A21" s="9" t="s">
        <v>49</v>
      </c>
      <c r="B21" s="10">
        <v>923</v>
      </c>
      <c r="C21" s="10">
        <v>2</v>
      </c>
      <c r="D21" s="10">
        <v>3</v>
      </c>
      <c r="E21" s="10">
        <v>746</v>
      </c>
      <c r="F21" s="10">
        <v>4874478.6350986613</v>
      </c>
      <c r="G21" s="10">
        <v>921</v>
      </c>
      <c r="H21" s="10">
        <v>0</v>
      </c>
      <c r="I21" s="10">
        <v>3</v>
      </c>
      <c r="J21" s="10">
        <v>655</v>
      </c>
      <c r="K21" s="10">
        <v>6653152.7216364974</v>
      </c>
    </row>
    <row r="22" spans="1:11" x14ac:dyDescent="0.35">
      <c r="A22" s="9" t="s">
        <v>51</v>
      </c>
      <c r="B22" s="10">
        <v>2936</v>
      </c>
      <c r="C22" s="10">
        <v>111</v>
      </c>
      <c r="D22" s="10">
        <v>9</v>
      </c>
      <c r="E22" s="10">
        <v>2946</v>
      </c>
      <c r="F22" s="10">
        <v>26628976.073495127</v>
      </c>
      <c r="G22" s="10">
        <v>2663</v>
      </c>
      <c r="H22" s="10">
        <v>4</v>
      </c>
      <c r="I22" s="10">
        <v>11</v>
      </c>
      <c r="J22" s="10">
        <v>2341</v>
      </c>
      <c r="K22" s="10">
        <v>25513364.18528948</v>
      </c>
    </row>
    <row r="23" spans="1:11" x14ac:dyDescent="0.35">
      <c r="A23" s="9" t="s">
        <v>53</v>
      </c>
      <c r="B23" s="10">
        <v>1396</v>
      </c>
      <c r="C23" s="10">
        <v>2</v>
      </c>
      <c r="D23" s="10">
        <v>1</v>
      </c>
      <c r="E23" s="10">
        <v>19</v>
      </c>
      <c r="F23" s="10">
        <v>8060394.6620687013</v>
      </c>
      <c r="G23" s="10">
        <v>1311</v>
      </c>
      <c r="H23" s="10">
        <v>3</v>
      </c>
      <c r="I23" s="10">
        <v>2</v>
      </c>
      <c r="J23" s="10">
        <v>1139</v>
      </c>
      <c r="K23" s="10">
        <v>13493611.923629085</v>
      </c>
    </row>
    <row r="24" spans="1:11" x14ac:dyDescent="0.35">
      <c r="A24" s="9" t="s">
        <v>55</v>
      </c>
      <c r="B24" s="10">
        <v>2969</v>
      </c>
      <c r="C24" s="10">
        <v>7</v>
      </c>
      <c r="D24" s="10">
        <v>10</v>
      </c>
      <c r="E24" s="10">
        <v>2234</v>
      </c>
      <c r="F24" s="10">
        <v>26874093.702797864</v>
      </c>
      <c r="G24" s="10">
        <v>2760</v>
      </c>
      <c r="H24" s="10">
        <v>2</v>
      </c>
      <c r="I24" s="10">
        <v>11</v>
      </c>
      <c r="J24" s="10">
        <v>2200</v>
      </c>
      <c r="K24" s="10">
        <v>28730233.887080844</v>
      </c>
    </row>
    <row r="25" spans="1:11" x14ac:dyDescent="0.35">
      <c r="A25" s="9" t="s">
        <v>67</v>
      </c>
      <c r="B25" s="10">
        <v>534</v>
      </c>
      <c r="C25" s="10">
        <v>2</v>
      </c>
      <c r="D25" s="10">
        <v>1</v>
      </c>
      <c r="E25" s="10">
        <v>639</v>
      </c>
      <c r="F25" s="10">
        <v>4235172.3475251095</v>
      </c>
      <c r="G25" s="10">
        <v>490</v>
      </c>
      <c r="H25" s="10">
        <v>1</v>
      </c>
      <c r="I25" s="10">
        <v>1</v>
      </c>
      <c r="J25" s="10">
        <v>473</v>
      </c>
      <c r="K25" s="10">
        <v>3611540.5753392531</v>
      </c>
    </row>
    <row r="26" spans="1:11" x14ac:dyDescent="0.35">
      <c r="A26" s="9" t="s">
        <v>74</v>
      </c>
      <c r="B26" s="10">
        <v>1750</v>
      </c>
      <c r="C26" s="10">
        <v>7</v>
      </c>
      <c r="D26" s="10">
        <v>1</v>
      </c>
      <c r="E26" s="10">
        <v>1346</v>
      </c>
      <c r="F26" s="10">
        <v>10789611.241360519</v>
      </c>
      <c r="G26" s="10">
        <v>1787</v>
      </c>
      <c r="H26" s="10">
        <v>5</v>
      </c>
      <c r="I26" s="10">
        <v>1</v>
      </c>
      <c r="J26" s="10">
        <v>1399</v>
      </c>
      <c r="K26" s="10">
        <v>9633214.4105779845</v>
      </c>
    </row>
    <row r="27" spans="1:11" x14ac:dyDescent="0.35">
      <c r="A27" s="9" t="s">
        <v>70</v>
      </c>
      <c r="B27" s="10">
        <v>881</v>
      </c>
      <c r="C27" s="10">
        <v>4</v>
      </c>
      <c r="D27" s="10">
        <v>1</v>
      </c>
      <c r="E27" s="10">
        <v>740</v>
      </c>
      <c r="F27" s="10">
        <v>4592984.7088493519</v>
      </c>
      <c r="G27" s="10">
        <v>863</v>
      </c>
      <c r="H27" s="10">
        <v>3</v>
      </c>
      <c r="I27" s="10">
        <v>0</v>
      </c>
      <c r="J27" s="10">
        <v>927</v>
      </c>
      <c r="K27" s="10">
        <v>4885083.6288934518</v>
      </c>
    </row>
    <row r="28" spans="1:11" x14ac:dyDescent="0.35">
      <c r="A28" s="9" t="s">
        <v>72</v>
      </c>
      <c r="B28" s="10">
        <v>874</v>
      </c>
      <c r="C28" s="10">
        <v>2</v>
      </c>
      <c r="D28" s="10">
        <v>0</v>
      </c>
      <c r="E28" s="10">
        <v>846</v>
      </c>
      <c r="F28" s="10">
        <v>5765124.8283889508</v>
      </c>
      <c r="G28" s="10">
        <v>893</v>
      </c>
      <c r="H28" s="10">
        <v>1</v>
      </c>
      <c r="I28" s="10">
        <v>0</v>
      </c>
      <c r="J28" s="10">
        <v>736</v>
      </c>
      <c r="K28" s="10">
        <v>6271930.4420491783</v>
      </c>
    </row>
    <row r="29" spans="1:11" x14ac:dyDescent="0.35">
      <c r="A29" s="9" t="s">
        <v>79</v>
      </c>
      <c r="B29" s="10">
        <v>235</v>
      </c>
      <c r="C29" s="10">
        <v>1</v>
      </c>
      <c r="D29" s="10">
        <v>0</v>
      </c>
      <c r="E29" s="10">
        <v>170</v>
      </c>
      <c r="F29" s="10">
        <v>1329183.5474891129</v>
      </c>
      <c r="G29" s="10">
        <v>212</v>
      </c>
      <c r="H29" s="10">
        <v>0</v>
      </c>
      <c r="I29" s="10">
        <v>0</v>
      </c>
      <c r="J29" s="10">
        <v>182</v>
      </c>
      <c r="K29" s="10">
        <v>1698256.066521859</v>
      </c>
    </row>
    <row r="30" spans="1:11" x14ac:dyDescent="0.35">
      <c r="A30" s="9" t="s">
        <v>109</v>
      </c>
      <c r="B30" s="10">
        <v>1629</v>
      </c>
      <c r="C30" s="10">
        <v>5</v>
      </c>
      <c r="D30" s="10">
        <v>6</v>
      </c>
      <c r="E30" s="10">
        <v>1315</v>
      </c>
      <c r="F30" s="10">
        <v>10525091.880569469</v>
      </c>
      <c r="G30" s="10">
        <v>1617</v>
      </c>
      <c r="H30" s="10">
        <v>2</v>
      </c>
      <c r="I30" s="10">
        <v>6</v>
      </c>
      <c r="J30" s="10">
        <v>1425</v>
      </c>
      <c r="K30" s="10">
        <v>10875157.736703046</v>
      </c>
    </row>
    <row r="31" spans="1:11" x14ac:dyDescent="0.35">
      <c r="A31" s="9" t="s">
        <v>111</v>
      </c>
      <c r="B31" s="10">
        <v>877</v>
      </c>
      <c r="C31" s="10">
        <v>0</v>
      </c>
      <c r="D31" s="10">
        <v>1</v>
      </c>
      <c r="E31" s="10">
        <v>624</v>
      </c>
      <c r="F31" s="10">
        <v>7945438.205796659</v>
      </c>
      <c r="G31" s="10">
        <v>900</v>
      </c>
      <c r="H31" s="10">
        <v>1</v>
      </c>
      <c r="I31" s="10">
        <v>1</v>
      </c>
      <c r="J31" s="10">
        <v>680</v>
      </c>
      <c r="K31" s="10">
        <v>8671071.1489990819</v>
      </c>
    </row>
    <row r="32" spans="1:11" x14ac:dyDescent="0.35">
      <c r="A32" s="9" t="s">
        <v>113</v>
      </c>
      <c r="B32" s="10">
        <v>1058</v>
      </c>
      <c r="C32" s="10">
        <v>1</v>
      </c>
      <c r="D32" s="10">
        <v>1</v>
      </c>
      <c r="E32" s="10">
        <v>716</v>
      </c>
      <c r="F32" s="10">
        <v>7682265.5208570464</v>
      </c>
      <c r="G32" s="10">
        <v>998</v>
      </c>
      <c r="H32" s="10">
        <v>1</v>
      </c>
      <c r="I32" s="10">
        <v>2</v>
      </c>
      <c r="J32" s="10">
        <v>699</v>
      </c>
      <c r="K32" s="10">
        <v>9181186.1661676001</v>
      </c>
    </row>
    <row r="33" spans="1:11" x14ac:dyDescent="0.35">
      <c r="A33" s="9" t="s">
        <v>115</v>
      </c>
      <c r="B33" s="10">
        <v>1106</v>
      </c>
      <c r="C33" s="10">
        <v>0</v>
      </c>
      <c r="D33" s="10">
        <v>2</v>
      </c>
      <c r="E33" s="10">
        <v>928</v>
      </c>
      <c r="F33" s="10">
        <v>11432953.513380121</v>
      </c>
      <c r="G33" s="10">
        <v>1141</v>
      </c>
      <c r="H33" s="10">
        <v>1</v>
      </c>
      <c r="I33" s="10">
        <v>3</v>
      </c>
      <c r="J33" s="10">
        <v>923</v>
      </c>
      <c r="K33" s="10">
        <v>12063123.635731764</v>
      </c>
    </row>
    <row r="34" spans="1:11" x14ac:dyDescent="0.35">
      <c r="A34" s="9" t="s">
        <v>16</v>
      </c>
      <c r="B34" s="10">
        <v>1473</v>
      </c>
      <c r="C34" s="10">
        <v>1</v>
      </c>
      <c r="D34" s="10">
        <v>5</v>
      </c>
      <c r="E34" s="10">
        <v>1132</v>
      </c>
      <c r="F34" s="10">
        <v>16052372.710008221</v>
      </c>
      <c r="G34" s="10">
        <v>1410</v>
      </c>
      <c r="H34" s="10">
        <v>0</v>
      </c>
      <c r="I34" s="10">
        <v>2</v>
      </c>
      <c r="J34" s="10">
        <v>1140</v>
      </c>
      <c r="K34" s="10">
        <v>16949254.345771033</v>
      </c>
    </row>
    <row r="35" spans="1:11" x14ac:dyDescent="0.35">
      <c r="A35" s="9" t="s">
        <v>18</v>
      </c>
      <c r="B35" s="10">
        <v>689</v>
      </c>
      <c r="C35" s="10">
        <v>0</v>
      </c>
      <c r="D35" s="10">
        <v>5</v>
      </c>
      <c r="E35" s="10">
        <v>562</v>
      </c>
      <c r="F35" s="10">
        <v>6447003.3071393995</v>
      </c>
      <c r="G35" s="10">
        <v>655</v>
      </c>
      <c r="H35" s="10">
        <v>0</v>
      </c>
      <c r="I35" s="10">
        <v>5</v>
      </c>
      <c r="J35" s="10">
        <v>543</v>
      </c>
      <c r="K35" s="10">
        <v>6111164.6106889257</v>
      </c>
    </row>
    <row r="36" spans="1:11" x14ac:dyDescent="0.35">
      <c r="A36" s="9" t="s">
        <v>43</v>
      </c>
      <c r="B36" s="10">
        <v>1945</v>
      </c>
      <c r="C36" s="10">
        <v>2</v>
      </c>
      <c r="D36" s="10">
        <v>10</v>
      </c>
      <c r="E36" s="10">
        <v>1556</v>
      </c>
      <c r="F36" s="10">
        <v>19838539.705524493</v>
      </c>
      <c r="G36" s="10">
        <v>1815</v>
      </c>
      <c r="H36" s="10">
        <v>2</v>
      </c>
      <c r="I36" s="10">
        <v>3</v>
      </c>
      <c r="J36" s="10">
        <v>1384</v>
      </c>
      <c r="K36" s="10">
        <v>5998290.8239872372</v>
      </c>
    </row>
    <row r="37" spans="1:11" x14ac:dyDescent="0.35">
      <c r="A37" s="9" t="s">
        <v>152</v>
      </c>
      <c r="B37" s="10">
        <v>837</v>
      </c>
      <c r="C37" s="10">
        <v>1</v>
      </c>
      <c r="D37" s="10">
        <v>2</v>
      </c>
      <c r="E37" s="10">
        <v>666</v>
      </c>
      <c r="F37" s="10">
        <v>6647967.3857165854</v>
      </c>
      <c r="G37" s="10">
        <v>855</v>
      </c>
      <c r="H37" s="10">
        <v>1</v>
      </c>
      <c r="I37" s="10">
        <v>2</v>
      </c>
      <c r="J37" s="10">
        <v>696</v>
      </c>
      <c r="K37" s="10">
        <v>7117231.7350693177</v>
      </c>
    </row>
    <row r="38" spans="1:11" x14ac:dyDescent="0.35">
      <c r="A38" s="9" t="s">
        <v>149</v>
      </c>
      <c r="B38" s="10">
        <v>706</v>
      </c>
      <c r="C38" s="10">
        <v>0</v>
      </c>
      <c r="D38" s="10">
        <v>1</v>
      </c>
      <c r="E38" s="10">
        <v>544</v>
      </c>
      <c r="F38" s="10">
        <v>6273615.4145639166</v>
      </c>
      <c r="G38" s="10">
        <v>697</v>
      </c>
      <c r="H38" s="10">
        <v>0</v>
      </c>
      <c r="I38" s="10">
        <v>1</v>
      </c>
      <c r="J38" s="10">
        <v>586</v>
      </c>
      <c r="K38" s="10">
        <v>5895076.5584060671</v>
      </c>
    </row>
    <row r="39" spans="1:11" x14ac:dyDescent="0.35">
      <c r="A39" s="9" t="s">
        <v>154</v>
      </c>
      <c r="B39" s="10">
        <v>1176</v>
      </c>
      <c r="C39" s="10">
        <v>5</v>
      </c>
      <c r="D39" s="10">
        <v>1</v>
      </c>
      <c r="E39" s="10">
        <v>867</v>
      </c>
      <c r="F39" s="10">
        <v>9719179.3084224835</v>
      </c>
      <c r="G39" s="10">
        <v>1197</v>
      </c>
      <c r="H39" s="10">
        <v>3</v>
      </c>
      <c r="I39" s="10">
        <v>2</v>
      </c>
      <c r="J39" s="10">
        <v>913</v>
      </c>
      <c r="K39" s="10">
        <v>10747748.889377767</v>
      </c>
    </row>
    <row r="40" spans="1:11" x14ac:dyDescent="0.35">
      <c r="A40" s="9" t="s">
        <v>2</v>
      </c>
      <c r="B40" s="10">
        <v>1337</v>
      </c>
      <c r="C40" s="10">
        <v>120</v>
      </c>
      <c r="D40" s="10">
        <v>1</v>
      </c>
      <c r="E40" s="10">
        <v>793</v>
      </c>
      <c r="F40" s="10">
        <v>8790994.6551055964</v>
      </c>
      <c r="G40" s="10">
        <v>1157</v>
      </c>
      <c r="H40" s="10">
        <v>2</v>
      </c>
      <c r="I40" s="10">
        <v>1</v>
      </c>
      <c r="J40" s="10">
        <v>858</v>
      </c>
      <c r="K40" s="10">
        <v>9777529.5399200767</v>
      </c>
    </row>
    <row r="41" spans="1:11" x14ac:dyDescent="0.35">
      <c r="A41" s="9" t="s">
        <v>156</v>
      </c>
      <c r="B41" s="10">
        <v>2544</v>
      </c>
      <c r="C41" s="10">
        <v>66</v>
      </c>
      <c r="D41" s="10">
        <v>5</v>
      </c>
      <c r="E41" s="10">
        <v>1477</v>
      </c>
      <c r="F41" s="10">
        <v>16041935.121685091</v>
      </c>
      <c r="G41" s="10">
        <v>2151</v>
      </c>
      <c r="H41" s="10">
        <v>2</v>
      </c>
      <c r="I41" s="10">
        <v>4</v>
      </c>
      <c r="J41" s="10">
        <v>1525</v>
      </c>
      <c r="K41" s="10">
        <v>16311311.569272388</v>
      </c>
    </row>
    <row r="42" spans="1:11" x14ac:dyDescent="0.35">
      <c r="A42" s="9" t="s">
        <v>14</v>
      </c>
      <c r="B42" s="10">
        <v>611</v>
      </c>
      <c r="C42" s="10">
        <v>0</v>
      </c>
      <c r="D42" s="10">
        <v>6</v>
      </c>
      <c r="E42" s="10">
        <v>456</v>
      </c>
      <c r="F42" s="10">
        <v>5775032.9829335511</v>
      </c>
      <c r="G42" s="10">
        <v>586</v>
      </c>
      <c r="H42" s="10">
        <v>1</v>
      </c>
      <c r="I42" s="10">
        <v>8</v>
      </c>
      <c r="J42" s="10">
        <v>471</v>
      </c>
      <c r="K42" s="10">
        <v>6344818.2892041234</v>
      </c>
    </row>
    <row r="43" spans="1:11" x14ac:dyDescent="0.35">
      <c r="A43" s="9" t="s">
        <v>8</v>
      </c>
      <c r="B43" s="10">
        <v>2066</v>
      </c>
      <c r="C43" s="10">
        <v>1</v>
      </c>
      <c r="D43" s="10">
        <v>7</v>
      </c>
      <c r="E43" s="10">
        <v>2006</v>
      </c>
      <c r="F43" s="10">
        <v>19803000.926697183</v>
      </c>
      <c r="G43" s="10">
        <v>2080</v>
      </c>
      <c r="H43" s="10">
        <v>2</v>
      </c>
      <c r="I43" s="10">
        <v>5</v>
      </c>
      <c r="J43" s="10">
        <v>1866</v>
      </c>
      <c r="K43" s="10">
        <v>18801593.300222117</v>
      </c>
    </row>
    <row r="44" spans="1:11" x14ac:dyDescent="0.35">
      <c r="A44" s="9" t="s">
        <v>39</v>
      </c>
      <c r="B44" s="10">
        <v>895</v>
      </c>
      <c r="C44" s="10">
        <v>1</v>
      </c>
      <c r="D44" s="10">
        <v>2</v>
      </c>
      <c r="E44" s="10">
        <v>782</v>
      </c>
      <c r="F44" s="10">
        <v>12542230.531580009</v>
      </c>
      <c r="G44" s="10">
        <v>955</v>
      </c>
      <c r="H44" s="10">
        <v>3</v>
      </c>
      <c r="I44" s="10">
        <v>7</v>
      </c>
      <c r="J44" s="10">
        <v>1007</v>
      </c>
      <c r="K44" s="10">
        <v>15585673.96998447</v>
      </c>
    </row>
    <row r="45" spans="1:11" x14ac:dyDescent="0.35">
      <c r="A45" s="9" t="s">
        <v>6</v>
      </c>
      <c r="B45" s="10">
        <v>1105</v>
      </c>
      <c r="C45" s="10">
        <v>0</v>
      </c>
      <c r="D45" s="10">
        <v>3</v>
      </c>
      <c r="E45" s="10">
        <v>462</v>
      </c>
      <c r="F45" s="10">
        <v>5556095.8800142836</v>
      </c>
      <c r="G45" s="10">
        <v>1068</v>
      </c>
      <c r="H45" s="10">
        <v>4</v>
      </c>
      <c r="I45" s="10">
        <v>3</v>
      </c>
      <c r="J45" s="10">
        <v>1074</v>
      </c>
      <c r="K45" s="10">
        <v>10552496.084244937</v>
      </c>
    </row>
    <row r="46" spans="1:11" x14ac:dyDescent="0.35">
      <c r="A46" s="9" t="s">
        <v>41</v>
      </c>
      <c r="B46" s="10">
        <v>827</v>
      </c>
      <c r="C46" s="10">
        <v>0</v>
      </c>
      <c r="D46" s="10">
        <v>4</v>
      </c>
      <c r="E46" s="10">
        <v>663</v>
      </c>
      <c r="F46" s="10">
        <v>9777702.0178567767</v>
      </c>
      <c r="G46" s="10">
        <v>811</v>
      </c>
      <c r="H46" s="10">
        <v>2</v>
      </c>
      <c r="I46" s="10">
        <v>4</v>
      </c>
      <c r="J46" s="10">
        <v>633</v>
      </c>
      <c r="K46" s="10">
        <v>10242040.824397955</v>
      </c>
    </row>
    <row r="47" spans="1:11" x14ac:dyDescent="0.35">
      <c r="A47" s="9" t="s">
        <v>158</v>
      </c>
      <c r="B47" s="10">
        <v>686</v>
      </c>
      <c r="C47" s="10">
        <v>0</v>
      </c>
      <c r="D47" s="10">
        <v>10</v>
      </c>
      <c r="E47" s="10">
        <v>584</v>
      </c>
      <c r="F47" s="10">
        <v>6684286.8881617002</v>
      </c>
      <c r="G47" s="10">
        <v>730</v>
      </c>
      <c r="H47" s="10">
        <v>0</v>
      </c>
      <c r="I47" s="10">
        <v>9</v>
      </c>
      <c r="J47" s="10">
        <v>586</v>
      </c>
      <c r="K47" s="10">
        <v>6325136.1874819957</v>
      </c>
    </row>
    <row r="48" spans="1:11" x14ac:dyDescent="0.35">
      <c r="A48" s="9" t="s">
        <v>160</v>
      </c>
      <c r="B48" s="10">
        <v>697</v>
      </c>
      <c r="C48" s="10">
        <v>0</v>
      </c>
      <c r="D48" s="10">
        <v>3</v>
      </c>
      <c r="E48" s="10">
        <v>712</v>
      </c>
      <c r="F48" s="10">
        <v>5538977.3383655511</v>
      </c>
      <c r="G48" s="10">
        <v>705</v>
      </c>
      <c r="H48" s="10">
        <v>0</v>
      </c>
      <c r="I48" s="10">
        <v>2</v>
      </c>
      <c r="J48" s="10">
        <v>902</v>
      </c>
      <c r="K48" s="10">
        <v>5720607.8632902047</v>
      </c>
    </row>
    <row r="49" spans="1:11" x14ac:dyDescent="0.35">
      <c r="A49" s="9" t="s">
        <v>83</v>
      </c>
      <c r="B49" s="10">
        <v>1245</v>
      </c>
      <c r="C49" s="10">
        <v>0</v>
      </c>
      <c r="D49" s="10">
        <v>4</v>
      </c>
      <c r="E49" s="10">
        <v>1120</v>
      </c>
      <c r="F49" s="10">
        <v>17668408.580657668</v>
      </c>
      <c r="G49" s="10">
        <v>1285</v>
      </c>
      <c r="H49" s="10">
        <v>1</v>
      </c>
      <c r="I49" s="10">
        <v>7</v>
      </c>
      <c r="J49" s="10">
        <v>1077</v>
      </c>
      <c r="K49" s="10">
        <v>20176243.914450049</v>
      </c>
    </row>
    <row r="50" spans="1:11" x14ac:dyDescent="0.35">
      <c r="A50" s="9" t="s">
        <v>201</v>
      </c>
      <c r="B50" s="10">
        <v>432</v>
      </c>
      <c r="C50" s="10">
        <v>0</v>
      </c>
      <c r="D50" s="10">
        <v>2</v>
      </c>
      <c r="E50" s="10">
        <v>474</v>
      </c>
      <c r="F50" s="10">
        <v>2861808.6604427658</v>
      </c>
      <c r="G50" s="10">
        <v>428</v>
      </c>
      <c r="H50" s="10">
        <v>0</v>
      </c>
      <c r="I50" s="10">
        <v>1</v>
      </c>
      <c r="J50" s="10">
        <v>456</v>
      </c>
      <c r="K50" s="10">
        <v>2951147.907570851</v>
      </c>
    </row>
    <row r="51" spans="1:11" x14ac:dyDescent="0.35">
      <c r="A51" s="9" t="s">
        <v>31</v>
      </c>
      <c r="B51" s="10">
        <v>901</v>
      </c>
      <c r="C51" s="10">
        <v>1</v>
      </c>
      <c r="D51" s="10">
        <v>5</v>
      </c>
      <c r="E51" s="10">
        <v>933</v>
      </c>
      <c r="F51" s="10">
        <v>8311758.9493374256</v>
      </c>
      <c r="G51" s="10">
        <v>910</v>
      </c>
      <c r="H51" s="10">
        <v>1</v>
      </c>
      <c r="I51" s="10">
        <v>4</v>
      </c>
      <c r="J51" s="10">
        <v>936</v>
      </c>
      <c r="K51" s="10">
        <v>8504767.6581648532</v>
      </c>
    </row>
    <row r="52" spans="1:11" x14ac:dyDescent="0.35">
      <c r="A52" s="9" t="s">
        <v>33</v>
      </c>
      <c r="B52" s="10">
        <v>1347</v>
      </c>
      <c r="C52" s="10">
        <v>1</v>
      </c>
      <c r="D52" s="10">
        <v>12</v>
      </c>
      <c r="E52" s="10">
        <v>1042</v>
      </c>
      <c r="F52" s="10">
        <v>14882247.462702388</v>
      </c>
      <c r="G52" s="10">
        <v>1424</v>
      </c>
      <c r="H52" s="10">
        <v>1</v>
      </c>
      <c r="I52" s="10">
        <v>12</v>
      </c>
      <c r="J52" s="10">
        <v>997</v>
      </c>
      <c r="K52" s="10">
        <v>15149186.398551095</v>
      </c>
    </row>
    <row r="53" spans="1:11" x14ac:dyDescent="0.35">
      <c r="A53" s="9" t="s">
        <v>85</v>
      </c>
      <c r="B53" s="10">
        <v>486</v>
      </c>
      <c r="C53" s="10">
        <v>0</v>
      </c>
      <c r="D53" s="10">
        <v>6</v>
      </c>
      <c r="E53" s="10">
        <v>392</v>
      </c>
      <c r="F53" s="10">
        <v>7909758.2747908533</v>
      </c>
      <c r="G53" s="10">
        <v>473</v>
      </c>
      <c r="H53" s="10">
        <v>2</v>
      </c>
      <c r="I53" s="10">
        <v>6</v>
      </c>
      <c r="J53" s="10">
        <v>358</v>
      </c>
      <c r="K53" s="10">
        <v>6834605.5335703976</v>
      </c>
    </row>
    <row r="54" spans="1:11" x14ac:dyDescent="0.35">
      <c r="A54" s="9" t="s">
        <v>81</v>
      </c>
      <c r="B54" s="10">
        <v>455</v>
      </c>
      <c r="C54" s="10">
        <v>0</v>
      </c>
      <c r="D54" s="10">
        <v>4</v>
      </c>
      <c r="E54" s="10">
        <v>321</v>
      </c>
      <c r="F54" s="10">
        <v>5763787.7664615251</v>
      </c>
      <c r="G54" s="10">
        <v>457</v>
      </c>
      <c r="H54" s="10">
        <v>1</v>
      </c>
      <c r="I54" s="10">
        <v>3</v>
      </c>
      <c r="J54" s="10">
        <v>326</v>
      </c>
      <c r="K54" s="10">
        <v>5801884.698334286</v>
      </c>
    </row>
    <row r="55" spans="1:11" x14ac:dyDescent="0.35">
      <c r="A55" s="9" t="s">
        <v>87</v>
      </c>
      <c r="B55" s="10">
        <v>425</v>
      </c>
      <c r="C55" s="10">
        <v>0</v>
      </c>
      <c r="D55" s="10">
        <v>3</v>
      </c>
      <c r="E55" s="10">
        <v>333</v>
      </c>
      <c r="F55" s="10">
        <v>4932361.0217840318</v>
      </c>
      <c r="G55" s="10">
        <v>402</v>
      </c>
      <c r="H55" s="10">
        <v>0</v>
      </c>
      <c r="I55" s="10">
        <v>2</v>
      </c>
      <c r="J55" s="10">
        <v>338</v>
      </c>
      <c r="K55" s="10">
        <v>4890092.3406760395</v>
      </c>
    </row>
    <row r="56" spans="1:11" x14ac:dyDescent="0.35">
      <c r="A56" s="9" t="s">
        <v>166</v>
      </c>
      <c r="B56" s="10">
        <v>1112</v>
      </c>
      <c r="C56" s="10">
        <v>0</v>
      </c>
      <c r="D56" s="10">
        <v>0</v>
      </c>
      <c r="E56" s="10">
        <v>1111</v>
      </c>
      <c r="F56" s="10">
        <v>11307100.037220374</v>
      </c>
      <c r="G56" s="10">
        <v>1089</v>
      </c>
      <c r="H56" s="10">
        <v>1</v>
      </c>
      <c r="I56" s="10">
        <v>0</v>
      </c>
      <c r="J56" s="10">
        <v>943</v>
      </c>
      <c r="K56" s="10">
        <v>11547003.326203983</v>
      </c>
    </row>
    <row r="57" spans="1:11" x14ac:dyDescent="0.35">
      <c r="A57" s="9" t="s">
        <v>93</v>
      </c>
      <c r="B57" s="10">
        <v>954</v>
      </c>
      <c r="C57" s="10">
        <v>1</v>
      </c>
      <c r="D57" s="10">
        <v>1</v>
      </c>
      <c r="E57" s="10">
        <v>695</v>
      </c>
      <c r="F57" s="10">
        <v>8397528.3064261712</v>
      </c>
      <c r="G57" s="10">
        <v>954</v>
      </c>
      <c r="H57" s="10">
        <v>3</v>
      </c>
      <c r="I57" s="10">
        <v>2</v>
      </c>
      <c r="J57" s="10">
        <v>827</v>
      </c>
      <c r="K57" s="10">
        <v>11808378.268161239</v>
      </c>
    </row>
    <row r="58" spans="1:11" x14ac:dyDescent="0.35">
      <c r="A58" s="9" t="s">
        <v>95</v>
      </c>
      <c r="B58" s="10">
        <v>2037</v>
      </c>
      <c r="C58" s="10">
        <v>5</v>
      </c>
      <c r="D58" s="10">
        <v>8</v>
      </c>
      <c r="E58" s="10">
        <v>1558</v>
      </c>
      <c r="F58" s="10">
        <v>22573183.750718944</v>
      </c>
      <c r="G58" s="10">
        <v>2041</v>
      </c>
      <c r="H58" s="10">
        <v>6</v>
      </c>
      <c r="I58" s="10">
        <v>9</v>
      </c>
      <c r="J58" s="10">
        <v>1858</v>
      </c>
      <c r="K58" s="10">
        <v>22228232.957987864</v>
      </c>
    </row>
    <row r="59" spans="1:11" x14ac:dyDescent="0.35">
      <c r="A59" s="9" t="s">
        <v>174</v>
      </c>
      <c r="B59" s="10">
        <v>678</v>
      </c>
      <c r="C59" s="10">
        <v>0</v>
      </c>
      <c r="D59" s="10">
        <v>0</v>
      </c>
      <c r="E59" s="10">
        <v>518</v>
      </c>
      <c r="F59" s="10">
        <v>4781920.9490648406</v>
      </c>
      <c r="G59" s="10">
        <v>653</v>
      </c>
      <c r="H59" s="10">
        <v>1</v>
      </c>
      <c r="I59" s="10">
        <v>0</v>
      </c>
      <c r="J59" s="10">
        <v>545</v>
      </c>
      <c r="K59" s="10">
        <v>5548359.1966094188</v>
      </c>
    </row>
    <row r="60" spans="1:11" x14ac:dyDescent="0.35">
      <c r="A60" s="9" t="s">
        <v>99</v>
      </c>
      <c r="B60" s="10">
        <v>869</v>
      </c>
      <c r="C60" s="10">
        <v>2</v>
      </c>
      <c r="D60" s="10">
        <v>5</v>
      </c>
      <c r="E60" s="10">
        <v>683</v>
      </c>
      <c r="F60" s="10">
        <v>8349086.2784085236</v>
      </c>
      <c r="G60" s="10">
        <v>899</v>
      </c>
      <c r="H60" s="10">
        <v>0</v>
      </c>
      <c r="I60" s="10">
        <v>4</v>
      </c>
      <c r="J60" s="10">
        <v>956</v>
      </c>
      <c r="K60" s="10">
        <v>9964818.7211811505</v>
      </c>
    </row>
    <row r="61" spans="1:11" x14ac:dyDescent="0.35">
      <c r="A61" s="9" t="s">
        <v>172</v>
      </c>
      <c r="B61" s="10">
        <v>756</v>
      </c>
      <c r="C61" s="10">
        <v>0</v>
      </c>
      <c r="D61" s="10">
        <v>1</v>
      </c>
      <c r="E61" s="10">
        <v>612</v>
      </c>
      <c r="F61" s="10">
        <v>5833873.0823586648</v>
      </c>
      <c r="G61" s="10">
        <v>676</v>
      </c>
      <c r="H61" s="10">
        <v>0</v>
      </c>
      <c r="I61" s="10">
        <v>0</v>
      </c>
      <c r="J61" s="10">
        <v>521</v>
      </c>
      <c r="K61" s="10">
        <v>5574350.220096847</v>
      </c>
    </row>
    <row r="62" spans="1:11" x14ac:dyDescent="0.35">
      <c r="A62" s="9" t="s">
        <v>168</v>
      </c>
      <c r="B62" s="10">
        <v>1100</v>
      </c>
      <c r="C62" s="10">
        <v>2</v>
      </c>
      <c r="D62" s="10">
        <v>0</v>
      </c>
      <c r="E62" s="10">
        <v>1017</v>
      </c>
      <c r="F62" s="10">
        <v>11507491.265354032</v>
      </c>
      <c r="G62" s="10">
        <v>1087</v>
      </c>
      <c r="H62" s="10">
        <v>2</v>
      </c>
      <c r="I62" s="10">
        <v>0</v>
      </c>
      <c r="J62" s="10">
        <v>1146</v>
      </c>
      <c r="K62" s="10">
        <v>12322695.514249995</v>
      </c>
    </row>
    <row r="63" spans="1:11" x14ac:dyDescent="0.35">
      <c r="A63" s="9" t="s">
        <v>101</v>
      </c>
      <c r="B63" s="10">
        <v>1358</v>
      </c>
      <c r="C63" s="10">
        <v>1</v>
      </c>
      <c r="D63" s="10">
        <v>4</v>
      </c>
      <c r="E63" s="10">
        <v>1450</v>
      </c>
      <c r="F63" s="10">
        <v>13532937.95509661</v>
      </c>
      <c r="G63" s="10">
        <v>1564</v>
      </c>
      <c r="H63" s="10">
        <v>3</v>
      </c>
      <c r="I63" s="10">
        <v>5</v>
      </c>
      <c r="J63" s="10">
        <v>1470</v>
      </c>
      <c r="K63" s="10">
        <v>17343091.144108184</v>
      </c>
    </row>
    <row r="64" spans="1:11" x14ac:dyDescent="0.35">
      <c r="A64" s="9" t="s">
        <v>103</v>
      </c>
      <c r="B64" s="10">
        <v>774</v>
      </c>
      <c r="C64" s="10">
        <v>0</v>
      </c>
      <c r="D64" s="10">
        <v>3</v>
      </c>
      <c r="E64" s="10">
        <v>700</v>
      </c>
      <c r="F64" s="10">
        <v>8013162.8275077576</v>
      </c>
      <c r="G64" s="10">
        <v>791</v>
      </c>
      <c r="H64" s="10">
        <v>0</v>
      </c>
      <c r="I64" s="10">
        <v>5</v>
      </c>
      <c r="J64" s="10">
        <v>738</v>
      </c>
      <c r="K64" s="10">
        <v>8168681.5297109224</v>
      </c>
    </row>
    <row r="65" spans="1:11" x14ac:dyDescent="0.35">
      <c r="A65" s="9" t="s">
        <v>105</v>
      </c>
      <c r="B65" s="10">
        <v>650</v>
      </c>
      <c r="C65" s="10">
        <v>1</v>
      </c>
      <c r="D65" s="10">
        <v>5</v>
      </c>
      <c r="E65" s="10">
        <v>455</v>
      </c>
      <c r="F65" s="10">
        <v>8893470.3084834833</v>
      </c>
      <c r="G65" s="10">
        <v>627</v>
      </c>
      <c r="H65" s="10">
        <v>2</v>
      </c>
      <c r="I65" s="10">
        <v>6</v>
      </c>
      <c r="J65" s="10">
        <v>487</v>
      </c>
      <c r="K65" s="10">
        <v>9134253.15482134</v>
      </c>
    </row>
    <row r="66" spans="1:11" x14ac:dyDescent="0.35">
      <c r="A66" s="9" t="s">
        <v>24</v>
      </c>
      <c r="B66" s="10">
        <v>2011</v>
      </c>
      <c r="C66" s="10">
        <v>2</v>
      </c>
      <c r="D66" s="10">
        <v>11</v>
      </c>
      <c r="E66" s="10">
        <v>1646</v>
      </c>
      <c r="F66" s="10">
        <v>28428132.615541138</v>
      </c>
      <c r="G66" s="10">
        <v>1987</v>
      </c>
      <c r="H66" s="10">
        <v>3</v>
      </c>
      <c r="I66" s="10">
        <v>12</v>
      </c>
      <c r="J66" s="10">
        <v>1813</v>
      </c>
      <c r="K66" s="10">
        <v>28934788.158449296</v>
      </c>
    </row>
    <row r="67" spans="1:11" x14ac:dyDescent="0.35">
      <c r="A67" s="9" t="s">
        <v>27</v>
      </c>
      <c r="B67" s="10">
        <v>1569</v>
      </c>
      <c r="C67" s="10">
        <v>1</v>
      </c>
      <c r="D67" s="10">
        <v>6</v>
      </c>
      <c r="E67" s="10">
        <v>1188</v>
      </c>
      <c r="F67" s="10">
        <v>19014835.241792019</v>
      </c>
      <c r="G67" s="10">
        <v>1576</v>
      </c>
      <c r="H67" s="10">
        <v>3</v>
      </c>
      <c r="I67" s="10">
        <v>6</v>
      </c>
      <c r="J67" s="10">
        <v>1187</v>
      </c>
      <c r="K67" s="10">
        <v>20585911.233540047</v>
      </c>
    </row>
    <row r="68" spans="1:11" x14ac:dyDescent="0.35">
      <c r="A68" s="9" t="s">
        <v>29</v>
      </c>
      <c r="B68" s="10">
        <v>870</v>
      </c>
      <c r="C68" s="10">
        <v>2</v>
      </c>
      <c r="D68" s="10">
        <v>1</v>
      </c>
      <c r="E68" s="10">
        <v>767</v>
      </c>
      <c r="F68" s="10">
        <v>13488920.19425902</v>
      </c>
      <c r="G68" s="10">
        <v>899</v>
      </c>
      <c r="H68" s="10">
        <v>0</v>
      </c>
      <c r="I68" s="10">
        <v>1</v>
      </c>
      <c r="J68" s="10">
        <v>703</v>
      </c>
      <c r="K68" s="10">
        <v>14346047.943812264</v>
      </c>
    </row>
    <row r="69" spans="1:11" x14ac:dyDescent="0.35">
      <c r="A69" s="9" t="s">
        <v>57</v>
      </c>
      <c r="B69" s="10">
        <v>2133</v>
      </c>
      <c r="C69" s="10">
        <v>99</v>
      </c>
      <c r="D69" s="10">
        <v>12</v>
      </c>
      <c r="E69" s="10">
        <v>1307</v>
      </c>
      <c r="F69" s="10">
        <v>21020869.711768493</v>
      </c>
      <c r="G69" s="10">
        <v>2421</v>
      </c>
      <c r="H69" s="10">
        <v>254</v>
      </c>
      <c r="I69" s="10">
        <v>12</v>
      </c>
      <c r="J69" s="10">
        <v>1330</v>
      </c>
      <c r="K69" s="10">
        <v>19156081.789504535</v>
      </c>
    </row>
    <row r="70" spans="1:11" x14ac:dyDescent="0.35">
      <c r="A70" s="9" t="s">
        <v>137</v>
      </c>
      <c r="B70" s="10">
        <v>254</v>
      </c>
      <c r="C70" s="10">
        <v>0</v>
      </c>
      <c r="D70" s="10">
        <v>0</v>
      </c>
      <c r="E70" s="10">
        <v>2</v>
      </c>
      <c r="F70" s="10">
        <v>2.0709595030000001</v>
      </c>
      <c r="G70" s="10">
        <v>239</v>
      </c>
      <c r="H70" s="10">
        <v>1</v>
      </c>
      <c r="I70" s="10">
        <v>0</v>
      </c>
      <c r="J70" s="10">
        <v>247</v>
      </c>
      <c r="K70" s="10">
        <v>1666066.5233319909</v>
      </c>
    </row>
    <row r="71" spans="1:11" x14ac:dyDescent="0.35">
      <c r="A71" s="9" t="s">
        <v>10</v>
      </c>
      <c r="B71" s="10">
        <v>1666</v>
      </c>
      <c r="C71" s="10">
        <v>3</v>
      </c>
      <c r="D71" s="10">
        <v>4</v>
      </c>
      <c r="E71" s="10">
        <v>1836</v>
      </c>
      <c r="F71" s="10">
        <v>14199763.569661347</v>
      </c>
      <c r="G71" s="10">
        <v>1597</v>
      </c>
      <c r="H71" s="10">
        <v>4</v>
      </c>
      <c r="I71" s="10">
        <v>7</v>
      </c>
      <c r="J71" s="10">
        <v>1627</v>
      </c>
      <c r="K71" s="10">
        <v>14602805.959144076</v>
      </c>
    </row>
    <row r="72" spans="1:11" x14ac:dyDescent="0.35">
      <c r="A72" s="9" t="s">
        <v>12</v>
      </c>
      <c r="B72" s="10">
        <v>698</v>
      </c>
      <c r="C72" s="10">
        <v>1</v>
      </c>
      <c r="D72" s="10">
        <v>3</v>
      </c>
      <c r="E72" s="10">
        <v>776</v>
      </c>
      <c r="F72" s="10">
        <v>7314365.6052390682</v>
      </c>
      <c r="G72" s="10">
        <v>804</v>
      </c>
      <c r="H72" s="10">
        <v>0</v>
      </c>
      <c r="I72" s="10">
        <v>3</v>
      </c>
      <c r="J72" s="10">
        <v>649</v>
      </c>
      <c r="K72" s="10">
        <v>6816105.7207185403</v>
      </c>
    </row>
    <row r="73" spans="1:11" x14ac:dyDescent="0.35">
      <c r="A73" s="9" t="s">
        <v>162</v>
      </c>
      <c r="B73" s="10">
        <v>1384</v>
      </c>
      <c r="C73" s="10">
        <v>18</v>
      </c>
      <c r="D73" s="10">
        <v>4</v>
      </c>
      <c r="E73" s="10">
        <v>903</v>
      </c>
      <c r="F73" s="10">
        <v>10158060.965133499</v>
      </c>
      <c r="G73" s="10">
        <v>1658</v>
      </c>
      <c r="H73" s="10">
        <v>1</v>
      </c>
      <c r="I73" s="10">
        <v>5</v>
      </c>
      <c r="J73" s="10">
        <v>922</v>
      </c>
      <c r="K73" s="10">
        <v>10728528.230008464</v>
      </c>
    </row>
    <row r="74" spans="1:11" x14ac:dyDescent="0.35">
      <c r="A74" s="9" t="s">
        <v>63</v>
      </c>
      <c r="B74" s="10">
        <v>1306</v>
      </c>
      <c r="C74" s="10">
        <v>1</v>
      </c>
      <c r="D74" s="10">
        <v>5</v>
      </c>
      <c r="E74" s="10">
        <v>1792</v>
      </c>
      <c r="F74" s="10">
        <v>8403983.9138157759</v>
      </c>
      <c r="G74" s="10">
        <v>1284</v>
      </c>
      <c r="H74" s="10">
        <v>1</v>
      </c>
      <c r="I74" s="10">
        <v>4</v>
      </c>
      <c r="J74" s="10">
        <v>1312</v>
      </c>
      <c r="K74" s="10">
        <v>8834271.0702136979</v>
      </c>
    </row>
    <row r="75" spans="1:11" x14ac:dyDescent="0.35">
      <c r="A75" s="9" t="s">
        <v>59</v>
      </c>
      <c r="B75" s="10">
        <v>1743</v>
      </c>
      <c r="C75" s="10">
        <v>2</v>
      </c>
      <c r="D75" s="10">
        <v>5</v>
      </c>
      <c r="E75" s="10">
        <v>1232</v>
      </c>
      <c r="F75" s="10">
        <v>19248935.953068849</v>
      </c>
      <c r="G75" s="10">
        <v>1729</v>
      </c>
      <c r="H75" s="10">
        <v>4</v>
      </c>
      <c r="I75" s="10">
        <v>6</v>
      </c>
      <c r="J75" s="10">
        <v>1467</v>
      </c>
      <c r="K75" s="10">
        <v>18886233.260546044</v>
      </c>
    </row>
    <row r="76" spans="1:11" x14ac:dyDescent="0.35">
      <c r="A76" s="9" t="s">
        <v>139</v>
      </c>
      <c r="B76" s="10">
        <v>495</v>
      </c>
      <c r="C76" s="10">
        <v>1</v>
      </c>
      <c r="D76" s="10">
        <v>1</v>
      </c>
      <c r="E76" s="10">
        <v>503</v>
      </c>
      <c r="F76" s="10">
        <v>3683325.4120055642</v>
      </c>
      <c r="G76" s="10">
        <v>510</v>
      </c>
      <c r="H76" s="10">
        <v>1</v>
      </c>
      <c r="I76" s="10">
        <v>1</v>
      </c>
      <c r="J76" s="10">
        <v>435</v>
      </c>
      <c r="K76" s="10">
        <v>3564865.5824614828</v>
      </c>
    </row>
    <row r="77" spans="1:11" x14ac:dyDescent="0.35">
      <c r="A77" s="9" t="s">
        <v>170</v>
      </c>
      <c r="B77" s="10">
        <v>893</v>
      </c>
      <c r="C77" s="10">
        <v>2</v>
      </c>
      <c r="D77" s="10">
        <v>0</v>
      </c>
      <c r="E77" s="10">
        <v>820</v>
      </c>
      <c r="F77" s="10">
        <v>5391451.010178484</v>
      </c>
      <c r="G77" s="10">
        <v>885</v>
      </c>
      <c r="H77" s="10">
        <v>1</v>
      </c>
      <c r="I77" s="10">
        <v>0</v>
      </c>
      <c r="J77" s="10">
        <v>788</v>
      </c>
      <c r="K77" s="10">
        <v>6274625.8314883243</v>
      </c>
    </row>
    <row r="78" spans="1:11" x14ac:dyDescent="0.35">
      <c r="A78" s="9" t="s">
        <v>61</v>
      </c>
      <c r="B78" s="10">
        <v>647</v>
      </c>
      <c r="C78" s="10">
        <v>0</v>
      </c>
      <c r="D78" s="10">
        <v>3</v>
      </c>
      <c r="E78" s="10">
        <v>473</v>
      </c>
      <c r="F78" s="10">
        <v>5569919.9248531396</v>
      </c>
      <c r="G78" s="10">
        <v>621</v>
      </c>
      <c r="H78" s="10">
        <v>2</v>
      </c>
      <c r="I78" s="10">
        <v>4</v>
      </c>
      <c r="J78" s="10">
        <v>519</v>
      </c>
      <c r="K78" s="10">
        <v>6372111.324984923</v>
      </c>
    </row>
    <row r="79" spans="1:11" x14ac:dyDescent="0.35">
      <c r="A79" s="9" t="s">
        <v>129</v>
      </c>
      <c r="B79" s="10">
        <v>585</v>
      </c>
      <c r="C79" s="10">
        <v>3</v>
      </c>
      <c r="D79" s="10">
        <v>1</v>
      </c>
      <c r="E79" s="10">
        <v>1265</v>
      </c>
      <c r="F79" s="10">
        <v>4940735.7756936448</v>
      </c>
      <c r="G79" s="10">
        <v>577</v>
      </c>
      <c r="H79" s="10">
        <v>0</v>
      </c>
      <c r="I79" s="10">
        <v>0</v>
      </c>
      <c r="J79" s="10">
        <v>669</v>
      </c>
      <c r="K79" s="10">
        <v>3403119.0669416748</v>
      </c>
    </row>
    <row r="80" spans="1:11" x14ac:dyDescent="0.35">
      <c r="A80" s="9" t="s">
        <v>35</v>
      </c>
      <c r="B80" s="10">
        <v>450</v>
      </c>
      <c r="C80" s="10">
        <v>0</v>
      </c>
      <c r="D80" s="10">
        <v>7</v>
      </c>
      <c r="E80" s="10">
        <v>447</v>
      </c>
      <c r="F80" s="10">
        <v>5325255.3244800083</v>
      </c>
      <c r="G80" s="10">
        <v>445</v>
      </c>
      <c r="H80" s="10">
        <v>1</v>
      </c>
      <c r="I80" s="10">
        <v>7</v>
      </c>
      <c r="J80" s="10">
        <v>446</v>
      </c>
      <c r="K80" s="10">
        <v>4546621.6201907713</v>
      </c>
    </row>
    <row r="81" spans="1:11" x14ac:dyDescent="0.35">
      <c r="A81" s="9" t="s">
        <v>107</v>
      </c>
      <c r="B81" s="10">
        <v>969</v>
      </c>
      <c r="C81" s="10">
        <v>3</v>
      </c>
      <c r="D81" s="10">
        <v>3</v>
      </c>
      <c r="E81" s="10">
        <v>730</v>
      </c>
      <c r="F81" s="10">
        <v>13331666.494566012</v>
      </c>
      <c r="G81" s="10">
        <v>903</v>
      </c>
      <c r="H81" s="10">
        <v>3</v>
      </c>
      <c r="I81" s="10">
        <v>3</v>
      </c>
      <c r="J81" s="10">
        <v>496</v>
      </c>
      <c r="K81" s="10">
        <v>12118429.047096681</v>
      </c>
    </row>
    <row r="82" spans="1:11" x14ac:dyDescent="0.35">
      <c r="A82" s="9" t="s">
        <v>37</v>
      </c>
      <c r="B82" s="10">
        <v>777</v>
      </c>
      <c r="C82" s="10">
        <v>1</v>
      </c>
      <c r="D82" s="10">
        <v>10</v>
      </c>
      <c r="E82" s="10">
        <v>711</v>
      </c>
      <c r="F82" s="10">
        <v>8108231.6625237344</v>
      </c>
      <c r="G82" s="10">
        <v>785</v>
      </c>
      <c r="H82" s="10">
        <v>2</v>
      </c>
      <c r="I82" s="10">
        <v>8</v>
      </c>
      <c r="J82" s="10">
        <v>749</v>
      </c>
      <c r="K82" s="10">
        <v>8008550.6146573052</v>
      </c>
    </row>
    <row r="83" spans="1:11" x14ac:dyDescent="0.35">
      <c r="A83" s="9" t="s">
        <v>76</v>
      </c>
      <c r="B83" s="10">
        <v>960</v>
      </c>
      <c r="C83" s="10">
        <v>1</v>
      </c>
      <c r="D83" s="10">
        <v>1</v>
      </c>
      <c r="E83" s="10">
        <v>1215</v>
      </c>
      <c r="F83" s="10">
        <v>7256682.7153262254</v>
      </c>
      <c r="G83" s="10">
        <v>943</v>
      </c>
      <c r="H83" s="10">
        <v>0</v>
      </c>
      <c r="I83" s="10">
        <v>2</v>
      </c>
      <c r="J83" s="10">
        <v>906</v>
      </c>
      <c r="K83" s="10">
        <v>6865272.7676198147</v>
      </c>
    </row>
    <row r="84" spans="1:11" x14ac:dyDescent="0.35">
      <c r="A84" s="9" t="s">
        <v>65</v>
      </c>
      <c r="B84" s="10">
        <v>997</v>
      </c>
      <c r="C84" s="10">
        <v>0</v>
      </c>
      <c r="D84" s="10">
        <v>4</v>
      </c>
      <c r="E84" s="10">
        <v>20</v>
      </c>
      <c r="F84" s="10">
        <v>4702680.6416437216</v>
      </c>
      <c r="G84" s="10">
        <v>961</v>
      </c>
      <c r="H84" s="10">
        <v>0</v>
      </c>
      <c r="I84" s="10">
        <v>5</v>
      </c>
      <c r="J84" s="10">
        <v>846</v>
      </c>
      <c r="K84" s="10">
        <v>8449587.4523724522</v>
      </c>
    </row>
    <row r="85" spans="1:11" x14ac:dyDescent="0.35">
      <c r="A85" s="9" t="s">
        <v>89</v>
      </c>
      <c r="B85" s="10">
        <v>730</v>
      </c>
      <c r="C85" s="10">
        <v>0</v>
      </c>
      <c r="D85" s="10">
        <v>6</v>
      </c>
      <c r="E85" s="10">
        <v>742</v>
      </c>
      <c r="F85" s="10">
        <v>7522930.9770057639</v>
      </c>
      <c r="G85" s="10">
        <v>761</v>
      </c>
      <c r="H85" s="10">
        <v>0</v>
      </c>
      <c r="I85" s="10">
        <v>6</v>
      </c>
      <c r="J85" s="10">
        <v>810</v>
      </c>
      <c r="K85" s="10">
        <v>9209927.9148966204</v>
      </c>
    </row>
    <row r="86" spans="1:11" x14ac:dyDescent="0.35">
      <c r="A86" s="9" t="s">
        <v>147</v>
      </c>
      <c r="B86" s="10">
        <v>579</v>
      </c>
      <c r="C86" s="10">
        <v>0</v>
      </c>
      <c r="D86" s="10">
        <v>1</v>
      </c>
      <c r="E86" s="10">
        <v>764</v>
      </c>
      <c r="F86" s="10">
        <v>4156463.0287198988</v>
      </c>
      <c r="G86" s="10">
        <v>571</v>
      </c>
      <c r="H86" s="10">
        <v>2</v>
      </c>
      <c r="I86" s="10">
        <v>0</v>
      </c>
      <c r="J86" s="10">
        <v>484</v>
      </c>
      <c r="K86" s="10">
        <v>3974846.9820578848</v>
      </c>
    </row>
    <row r="87" spans="1:11" x14ac:dyDescent="0.35">
      <c r="A87" s="9" t="s">
        <v>164</v>
      </c>
      <c r="B87" s="10">
        <v>1728</v>
      </c>
      <c r="C87" s="10">
        <v>0</v>
      </c>
      <c r="D87" s="10">
        <v>10</v>
      </c>
      <c r="E87" s="10">
        <v>1218</v>
      </c>
      <c r="F87" s="10">
        <v>15539415.573069196</v>
      </c>
      <c r="G87" s="10">
        <v>1768</v>
      </c>
      <c r="H87" s="10">
        <v>0</v>
      </c>
      <c r="I87" s="10">
        <v>9</v>
      </c>
      <c r="J87" s="10">
        <v>1376</v>
      </c>
      <c r="K87" s="10">
        <v>20018555.481579527</v>
      </c>
    </row>
    <row r="88" spans="1:11" x14ac:dyDescent="0.35">
      <c r="A88" s="9" t="s">
        <v>91</v>
      </c>
      <c r="B88" s="10">
        <v>596</v>
      </c>
      <c r="C88" s="10">
        <v>0</v>
      </c>
      <c r="D88" s="10">
        <v>3</v>
      </c>
      <c r="E88" s="10">
        <v>862</v>
      </c>
      <c r="F88" s="10">
        <v>3439065.9601564072</v>
      </c>
      <c r="G88" s="10">
        <v>638</v>
      </c>
      <c r="H88" s="10">
        <v>0</v>
      </c>
      <c r="I88" s="10">
        <v>3</v>
      </c>
      <c r="J88" s="10">
        <v>609</v>
      </c>
      <c r="K88" s="10">
        <v>4068292.9707026249</v>
      </c>
    </row>
    <row r="89" spans="1:11" x14ac:dyDescent="0.35">
      <c r="A89" s="9" t="s">
        <v>97</v>
      </c>
      <c r="B89" s="10">
        <v>601</v>
      </c>
      <c r="C89" s="10">
        <v>3</v>
      </c>
      <c r="D89" s="10">
        <v>7</v>
      </c>
      <c r="E89" s="10">
        <v>582</v>
      </c>
      <c r="F89" s="10">
        <v>7587961.4134114794</v>
      </c>
      <c r="G89" s="10">
        <v>668</v>
      </c>
      <c r="H89" s="10">
        <v>0</v>
      </c>
      <c r="I89" s="10">
        <v>8</v>
      </c>
      <c r="J89" s="10">
        <v>591</v>
      </c>
      <c r="K89" s="10">
        <v>6937847.5973318443</v>
      </c>
    </row>
    <row r="90" spans="1:11" x14ac:dyDescent="0.35">
      <c r="A90" s="9" t="s">
        <v>78</v>
      </c>
      <c r="B90" s="10">
        <v>366</v>
      </c>
      <c r="C90" s="10">
        <v>1</v>
      </c>
      <c r="D90" s="10">
        <v>0</v>
      </c>
      <c r="E90" s="10">
        <v>319</v>
      </c>
      <c r="F90" s="10">
        <v>2185891.8143150499</v>
      </c>
      <c r="G90" s="10">
        <v>364</v>
      </c>
      <c r="H90" s="10">
        <v>2</v>
      </c>
      <c r="I90" s="10">
        <v>1</v>
      </c>
      <c r="J90" s="10">
        <v>353</v>
      </c>
      <c r="K90" s="10">
        <v>2137038.478844007</v>
      </c>
    </row>
    <row r="91" spans="1:11" x14ac:dyDescent="0.35">
      <c r="A91" s="14" t="s">
        <v>203</v>
      </c>
      <c r="B91" s="13">
        <v>84583</v>
      </c>
      <c r="C91" s="13">
        <v>511</v>
      </c>
      <c r="D91" s="13">
        <v>303</v>
      </c>
      <c r="E91" s="13">
        <v>68595</v>
      </c>
      <c r="F91" s="13">
        <v>758337594.71692479</v>
      </c>
      <c r="G91" s="13">
        <v>84036</v>
      </c>
      <c r="H91" s="13">
        <v>369</v>
      </c>
      <c r="I91" s="13">
        <v>306</v>
      </c>
      <c r="J91" s="13">
        <v>70994</v>
      </c>
      <c r="K91" s="13">
        <v>800076225.00868189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2026-09-07T21:52:33Z</dcterms:modified>
</cp:coreProperties>
</file>