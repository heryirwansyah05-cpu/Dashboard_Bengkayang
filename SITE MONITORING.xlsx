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<sst xmlns="http://schemas.openxmlformats.org/spreadsheetml/2006/main" count="540" uniqueCount="205">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</sst>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11605840.967956211</v>
      </c>
      <c r="G2" s="1">
        <f>VLOOKUP(A:A,MASTER!A:K,11,0)</f>
        <v>11745234.344032858</v>
      </c>
      <c r="H2" s="12">
        <f>IFERROR(G2/F2-1,0)</f>
        <v>1.2010622621963618E-2</v>
      </c>
      <c r="I2" s="2">
        <f>VLOOKUP(A:A,MASTER!A:E,5,0)</f>
        <v>428</v>
      </c>
      <c r="J2" s="2">
        <f>VLOOKUP(A:A,MASTER!A:J,10,0)</f>
        <v>343</v>
      </c>
      <c r="K2" s="12">
        <f>IFERROR(J2/I2-1,0)</f>
        <v>-0.19859813084112155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0</v>
      </c>
      <c r="P2" s="1">
        <f>VLOOKUP(A:A,MASTER!A:H,8,0)</f>
        <v>1</v>
      </c>
      <c r="Q2" s="12">
        <f>IFERROR(P2/O2-1,0)</f>
        <v>0</v>
      </c>
      <c r="R2" s="1">
        <f>VLOOKUP(A:A,MASTER!A:B,2,0)</f>
        <v>415</v>
      </c>
      <c r="S2">
        <f>VLOOKUP(A:A,MASTER!A:G,7,0)</f>
        <v>402</v>
      </c>
      <c r="T2" s="12">
        <f>IFERROR(S2/R2-1,0)</f>
        <v>-3.1325301204819245E-2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13599176.772227382</v>
      </c>
      <c r="G3" s="1">
        <f>VLOOKUP(A:A,MASTER!A:K,11,0)</f>
        <v>12757065.964702409</v>
      </c>
      <c r="H3" s="12">
        <f t="shared" ref="H3:H66" si="0">IFERROR(G3/F3-1,0)</f>
        <v>-6.1923660647220657E-2</v>
      </c>
      <c r="I3" s="2">
        <f>VLOOKUP(A:A,MASTER!A:E,5,0)</f>
        <v>519</v>
      </c>
      <c r="J3" s="2">
        <f>VLOOKUP(A:A,MASTER!A:J,10,0)</f>
        <v>522</v>
      </c>
      <c r="K3" s="12">
        <f t="shared" ref="K3:K66" si="1">IFERROR(J3/I3-1,0)</f>
        <v>5.7803468208093012E-3</v>
      </c>
      <c r="L3" s="2">
        <f>VLOOKUP(A:A,MASTER!A:D,4,0)</f>
        <v>3</v>
      </c>
      <c r="M3" s="2">
        <f>VLOOKUP(A:A,MASTER!A:I,9,0)</f>
        <v>3</v>
      </c>
      <c r="N3" s="12">
        <f t="shared" ref="N3:N66" si="2">IFERROR(M3/L3-1,0)</f>
        <v>0</v>
      </c>
      <c r="O3" s="1">
        <f>VLOOKUP(A:A,MASTER!A:C,3,0)</f>
        <v>5</v>
      </c>
      <c r="P3" s="1">
        <f>VLOOKUP(A:A,MASTER!A:H,8,0)</f>
        <v>6</v>
      </c>
      <c r="Q3" s="12">
        <f t="shared" ref="Q3:Q66" si="3">IFERROR(P3/O3-1,0)</f>
        <v>0.19999999999999996</v>
      </c>
      <c r="R3" s="1">
        <f>VLOOKUP(A:A,MASTER!A:B,2,0)</f>
        <v>639</v>
      </c>
      <c r="S3">
        <f>VLOOKUP(A:A,MASTER!A:G,7,0)</f>
        <v>523</v>
      </c>
      <c r="T3" s="12">
        <f t="shared" ref="T3:T66" si="4">IFERROR(S3/R3-1,0)</f>
        <v>-0.18153364632237867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18579857.885549702</v>
      </c>
      <c r="G4" s="1">
        <f>VLOOKUP(A:A,MASTER!A:K,11,0)</f>
        <v>14199336.303547801</v>
      </c>
      <c r="H4" s="12">
        <f t="shared" si="0"/>
        <v>-0.23576722755284407</v>
      </c>
      <c r="I4" s="2">
        <f>VLOOKUP(A:A,MASTER!A:E,5,0)</f>
        <v>790</v>
      </c>
      <c r="J4" s="2">
        <f>VLOOKUP(A:A,MASTER!A:J,10,0)</f>
        <v>534</v>
      </c>
      <c r="K4" s="12">
        <f t="shared" si="1"/>
        <v>-0.32405063291139236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7</v>
      </c>
      <c r="P4" s="1">
        <f>VLOOKUP(A:A,MASTER!A:H,8,0)</f>
        <v>5</v>
      </c>
      <c r="Q4" s="12">
        <f t="shared" si="3"/>
        <v>-0.2857142857142857</v>
      </c>
      <c r="R4" s="1">
        <f>VLOOKUP(A:A,MASTER!A:B,2,0)</f>
        <v>764</v>
      </c>
      <c r="S4">
        <f>VLOOKUP(A:A,MASTER!A:G,7,0)</f>
        <v>680</v>
      </c>
      <c r="T4" s="12">
        <f t="shared" si="4"/>
        <v>-0.10994764397905754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29318297.392397735</v>
      </c>
      <c r="G5" s="1">
        <f>VLOOKUP(A:A,MASTER!A:K,11,0)</f>
        <v>30652409.729366504</v>
      </c>
      <c r="H5" s="12">
        <f t="shared" si="0"/>
        <v>4.5504427460876462E-2</v>
      </c>
      <c r="I5" s="2">
        <f>VLOOKUP(A:A,MASTER!A:E,5,0)</f>
        <v>1107</v>
      </c>
      <c r="J5" s="2">
        <f>VLOOKUP(A:A,MASTER!A:J,10,0)</f>
        <v>988</v>
      </c>
      <c r="K5" s="12">
        <f t="shared" si="1"/>
        <v>-0.1074977416440831</v>
      </c>
      <c r="L5" s="2">
        <f>VLOOKUP(A:A,MASTER!A:D,4,0)</f>
        <v>4</v>
      </c>
      <c r="M5" s="2">
        <f>VLOOKUP(A:A,MASTER!A:I,9,0)</f>
        <v>2</v>
      </c>
      <c r="N5" s="12">
        <f t="shared" si="2"/>
        <v>-0.5</v>
      </c>
      <c r="O5" s="1">
        <f>VLOOKUP(A:A,MASTER!A:C,3,0)</f>
        <v>8</v>
      </c>
      <c r="P5" s="1">
        <f>VLOOKUP(A:A,MASTER!A:H,8,0)</f>
        <v>9</v>
      </c>
      <c r="Q5" s="12">
        <f t="shared" si="3"/>
        <v>0.125</v>
      </c>
      <c r="R5" s="1">
        <f>VLOOKUP(A:A,MASTER!A:B,2,0)</f>
        <v>1204</v>
      </c>
      <c r="S5">
        <f>VLOOKUP(A:A,MASTER!A:G,7,0)</f>
        <v>1013</v>
      </c>
      <c r="T5" s="12">
        <f t="shared" si="4"/>
        <v>-0.15863787375415284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13283507.106397798</v>
      </c>
      <c r="G6" s="1">
        <f>VLOOKUP(A:A,MASTER!A:K,11,0)</f>
        <v>14049843.096260291</v>
      </c>
      <c r="H6" s="12">
        <f t="shared" si="0"/>
        <v>5.7690787811104371E-2</v>
      </c>
      <c r="I6" s="2">
        <f>VLOOKUP(A:A,MASTER!A:E,5,0)</f>
        <v>365</v>
      </c>
      <c r="J6" s="2">
        <f>VLOOKUP(A:A,MASTER!A:J,10,0)</f>
        <v>384</v>
      </c>
      <c r="K6" s="12">
        <f t="shared" si="1"/>
        <v>5.2054794520547842E-2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4</v>
      </c>
      <c r="Q6" s="12">
        <f t="shared" si="3"/>
        <v>3</v>
      </c>
      <c r="R6" s="1">
        <f>VLOOKUP(A:A,MASTER!A:B,2,0)</f>
        <v>408</v>
      </c>
      <c r="S6">
        <f>VLOOKUP(A:A,MASTER!A:G,7,0)</f>
        <v>446</v>
      </c>
      <c r="T6" s="12">
        <f t="shared" si="4"/>
        <v>9.3137254901960675E-2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10853864.931478668</v>
      </c>
      <c r="G7" s="1">
        <f>VLOOKUP(A:A,MASTER!A:K,11,0)</f>
        <v>8990943.7944361828</v>
      </c>
      <c r="H7" s="12">
        <f t="shared" si="0"/>
        <v>-0.17163666111594877</v>
      </c>
      <c r="I7" s="2">
        <f>VLOOKUP(A:A,MASTER!A:E,5,0)</f>
        <v>288</v>
      </c>
      <c r="J7" s="2">
        <f>VLOOKUP(A:A,MASTER!A:J,10,0)</f>
        <v>259</v>
      </c>
      <c r="K7" s="12">
        <f t="shared" si="1"/>
        <v>-0.10069444444444442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2</v>
      </c>
      <c r="Q7" s="12">
        <f t="shared" si="3"/>
        <v>-0.33333333333333337</v>
      </c>
      <c r="R7" s="1">
        <f>VLOOKUP(A:A,MASTER!A:B,2,0)</f>
        <v>386</v>
      </c>
      <c r="S7">
        <f>VLOOKUP(A:A,MASTER!A:G,7,0)</f>
        <v>288</v>
      </c>
      <c r="T7" s="12">
        <f t="shared" si="4"/>
        <v>-0.25388601036269431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13059467.406061232</v>
      </c>
      <c r="G8" s="1">
        <f>VLOOKUP(A:A,MASTER!A:K,11,0)</f>
        <v>12805254.646765212</v>
      </c>
      <c r="H8" s="12">
        <f t="shared" si="0"/>
        <v>-1.9465783051614616E-2</v>
      </c>
      <c r="I8" s="2">
        <f>VLOOKUP(A:A,MASTER!A:E,5,0)</f>
        <v>525</v>
      </c>
      <c r="J8" s="2">
        <f>VLOOKUP(A:A,MASTER!A:J,10,0)</f>
        <v>441</v>
      </c>
      <c r="K8" s="12">
        <f t="shared" si="1"/>
        <v>-0.16000000000000003</v>
      </c>
      <c r="L8" s="2">
        <f>VLOOKUP(A:A,MASTER!A:D,4,0)</f>
        <v>2</v>
      </c>
      <c r="M8" s="2">
        <f>VLOOKUP(A:A,MASTER!A:I,9,0)</f>
        <v>0</v>
      </c>
      <c r="N8" s="12">
        <f t="shared" si="2"/>
        <v>-1</v>
      </c>
      <c r="O8" s="1">
        <f>VLOOKUP(A:A,MASTER!A:C,3,0)</f>
        <v>2</v>
      </c>
      <c r="P8" s="1">
        <f>VLOOKUP(A:A,MASTER!A:H,8,0)</f>
        <v>6</v>
      </c>
      <c r="Q8" s="12">
        <f t="shared" si="3"/>
        <v>2</v>
      </c>
      <c r="R8" s="1">
        <f>VLOOKUP(A:A,MASTER!A:B,2,0)</f>
        <v>595</v>
      </c>
      <c r="S8">
        <f>VLOOKUP(A:A,MASTER!A:G,7,0)</f>
        <v>549</v>
      </c>
      <c r="T8" s="12">
        <f t="shared" si="4"/>
        <v>-7.7310924369747847E-2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5741955.8301954772</v>
      </c>
      <c r="G9" s="1">
        <f>VLOOKUP(A:A,MASTER!A:K,11,0)</f>
        <v>5817133.5092633413</v>
      </c>
      <c r="H9" s="12">
        <f t="shared" si="0"/>
        <v>1.3092695466677684E-2</v>
      </c>
      <c r="I9" s="2">
        <f>VLOOKUP(A:A,MASTER!A:E,5,0)</f>
        <v>136</v>
      </c>
      <c r="J9" s="2">
        <f>VLOOKUP(A:A,MASTER!A:J,10,0)</f>
        <v>136</v>
      </c>
      <c r="K9" s="12">
        <f t="shared" si="1"/>
        <v>0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170</v>
      </c>
      <c r="S9">
        <f>VLOOKUP(A:A,MASTER!A:G,7,0)</f>
        <v>162</v>
      </c>
      <c r="T9" s="12">
        <f t="shared" si="4"/>
        <v>-4.705882352941182E-2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2514733.047916695</v>
      </c>
      <c r="G10" s="1">
        <f>VLOOKUP(A:A,MASTER!A:K,11,0)</f>
        <v>5792518.2435795534</v>
      </c>
      <c r="H10" s="12">
        <f t="shared" si="0"/>
        <v>1.3034326639077283</v>
      </c>
      <c r="I10" s="2">
        <f>VLOOKUP(A:A,MASTER!A:E,5,0)</f>
        <v>172</v>
      </c>
      <c r="J10" s="2">
        <f>VLOOKUP(A:A,MASTER!A:J,10,0)</f>
        <v>161</v>
      </c>
      <c r="K10" s="12">
        <f t="shared" si="1"/>
        <v>-6.3953488372093026E-2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186</v>
      </c>
      <c r="S10">
        <f>VLOOKUP(A:A,MASTER!A:G,7,0)</f>
        <v>198</v>
      </c>
      <c r="T10" s="12">
        <f t="shared" si="4"/>
        <v>6.4516129032258007E-2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11277110.458755046</v>
      </c>
      <c r="G11" s="1">
        <f>VLOOKUP(A:A,MASTER!A:K,11,0)</f>
        <v>10388805.87979324</v>
      </c>
      <c r="H11" s="12">
        <f t="shared" si="0"/>
        <v>-7.8770584203346705E-2</v>
      </c>
      <c r="I11" s="2">
        <f>VLOOKUP(A:A,MASTER!A:E,5,0)</f>
        <v>360</v>
      </c>
      <c r="J11" s="2">
        <f>VLOOKUP(A:A,MASTER!A:J,10,0)</f>
        <v>357</v>
      </c>
      <c r="K11" s="12">
        <f t="shared" si="1"/>
        <v>-8.3333333333333037E-3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2</v>
      </c>
      <c r="P11" s="1">
        <f>VLOOKUP(A:A,MASTER!A:H,8,0)</f>
        <v>6</v>
      </c>
      <c r="Q11" s="12">
        <f t="shared" si="3"/>
        <v>2</v>
      </c>
      <c r="R11" s="1">
        <f>VLOOKUP(A:A,MASTER!A:B,2,0)</f>
        <v>381</v>
      </c>
      <c r="S11">
        <f>VLOOKUP(A:A,MASTER!A:G,7,0)</f>
        <v>441</v>
      </c>
      <c r="T11" s="12">
        <f t="shared" si="4"/>
        <v>0.15748031496062986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5807814.7055882718</v>
      </c>
      <c r="G12" s="1">
        <f>VLOOKUP(A:A,MASTER!A:K,11,0)</f>
        <v>5110223.9326150976</v>
      </c>
      <c r="H12" s="12">
        <f t="shared" si="0"/>
        <v>-0.12011243614606937</v>
      </c>
      <c r="I12" s="2">
        <f>VLOOKUP(A:A,MASTER!A:E,5,0)</f>
        <v>267</v>
      </c>
      <c r="J12" s="2">
        <f>VLOOKUP(A:A,MASTER!A:J,10,0)</f>
        <v>243</v>
      </c>
      <c r="K12" s="12">
        <f t="shared" si="1"/>
        <v>-8.98876404494382E-2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220</v>
      </c>
      <c r="S12">
        <f>VLOOKUP(A:A,MASTER!A:G,7,0)</f>
        <v>230</v>
      </c>
      <c r="T12" s="12">
        <f t="shared" si="4"/>
        <v>4.5454545454545414E-2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6163624.0632635523</v>
      </c>
      <c r="G13" s="1">
        <f>VLOOKUP(A:A,MASTER!A:K,11,0)</f>
        <v>6597285.5653288113</v>
      </c>
      <c r="H13" s="12">
        <f t="shared" si="0"/>
        <v>7.0358201216386584E-2</v>
      </c>
      <c r="I13" s="2">
        <f>VLOOKUP(A:A,MASTER!A:E,5,0)</f>
        <v>229</v>
      </c>
      <c r="J13" s="2">
        <f>VLOOKUP(A:A,MASTER!A:J,10,0)</f>
        <v>231</v>
      </c>
      <c r="K13" s="12">
        <f t="shared" si="1"/>
        <v>8.733624454148492E-3</v>
      </c>
      <c r="L13" s="2">
        <f>VLOOKUP(A:A,MASTER!A:D,4,0)</f>
        <v>2</v>
      </c>
      <c r="M13" s="2">
        <f>VLOOKUP(A:A,MASTER!A:I,9,0)</f>
        <v>0</v>
      </c>
      <c r="N13" s="12">
        <f t="shared" si="2"/>
        <v>-1</v>
      </c>
      <c r="O13" s="1">
        <f>VLOOKUP(A:A,MASTER!A:C,3,0)</f>
        <v>1</v>
      </c>
      <c r="P13" s="1">
        <f>VLOOKUP(A:A,MASTER!A:H,8,0)</f>
        <v>1</v>
      </c>
      <c r="Q13" s="12">
        <f t="shared" si="3"/>
        <v>0</v>
      </c>
      <c r="R13" s="1">
        <f>VLOOKUP(A:A,MASTER!A:B,2,0)</f>
        <v>241</v>
      </c>
      <c r="S13">
        <f>VLOOKUP(A:A,MASTER!A:G,7,0)</f>
        <v>286</v>
      </c>
      <c r="T13" s="12">
        <f t="shared" si="4"/>
        <v>0.18672199170124482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25128238.575954139</v>
      </c>
      <c r="G14" s="1">
        <f>VLOOKUP(A:A,MASTER!A:K,11,0)</f>
        <v>35041852.324905545</v>
      </c>
      <c r="H14" s="12">
        <f t="shared" si="0"/>
        <v>0.3945208383383465</v>
      </c>
      <c r="I14" s="2">
        <f>VLOOKUP(A:A,MASTER!A:E,5,0)</f>
        <v>1101</v>
      </c>
      <c r="J14" s="2">
        <f>VLOOKUP(A:A,MASTER!A:J,10,0)</f>
        <v>1270</v>
      </c>
      <c r="K14" s="12">
        <f t="shared" si="1"/>
        <v>0.15349682107175289</v>
      </c>
      <c r="L14" s="2">
        <f>VLOOKUP(A:A,MASTER!A:D,4,0)</f>
        <v>3</v>
      </c>
      <c r="M14" s="2">
        <f>VLOOKUP(A:A,MASTER!A:I,9,0)</f>
        <v>6</v>
      </c>
      <c r="N14" s="12">
        <f t="shared" si="2"/>
        <v>1</v>
      </c>
      <c r="O14" s="1">
        <f>VLOOKUP(A:A,MASTER!A:C,3,0)</f>
        <v>4</v>
      </c>
      <c r="P14" s="1">
        <f>VLOOKUP(A:A,MASTER!A:H,8,0)</f>
        <v>8</v>
      </c>
      <c r="Q14" s="12">
        <f t="shared" si="3"/>
        <v>1</v>
      </c>
      <c r="R14" s="1">
        <f>VLOOKUP(A:A,MASTER!A:B,2,0)</f>
        <v>1428</v>
      </c>
      <c r="S14">
        <f>VLOOKUP(A:A,MASTER!A:G,7,0)</f>
        <v>1411</v>
      </c>
      <c r="T14" s="12">
        <f t="shared" si="4"/>
        <v>-1.1904761904761862E-2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43125207.394685581</v>
      </c>
      <c r="G15" s="1">
        <f>VLOOKUP(A:A,MASTER!A:K,11,0)</f>
        <v>48844413.069735177</v>
      </c>
      <c r="H15" s="12">
        <f t="shared" si="0"/>
        <v>0.13261862424699644</v>
      </c>
      <c r="I15" s="2">
        <f>VLOOKUP(A:A,MASTER!A:E,5,0)</f>
        <v>895</v>
      </c>
      <c r="J15" s="2">
        <f>VLOOKUP(A:A,MASTER!A:J,10,0)</f>
        <v>908</v>
      </c>
      <c r="K15" s="12">
        <f t="shared" si="1"/>
        <v>1.4525139664804509E-2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2</v>
      </c>
      <c r="P15" s="1">
        <f>VLOOKUP(A:A,MASTER!A:H,8,0)</f>
        <v>0</v>
      </c>
      <c r="Q15" s="12">
        <f t="shared" si="3"/>
        <v>-1</v>
      </c>
      <c r="R15" s="1">
        <f>VLOOKUP(A:A,MASTER!A:B,2,0)</f>
        <v>1235</v>
      </c>
      <c r="S15">
        <f>VLOOKUP(A:A,MASTER!A:G,7,0)</f>
        <v>1151</v>
      </c>
      <c r="T15" s="12">
        <f t="shared" si="4"/>
        <v>-6.8016194331983804E-2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23325512.922970474</v>
      </c>
      <c r="G16" s="1">
        <f>VLOOKUP(A:A,MASTER!A:K,11,0)</f>
        <v>23662126.798789363</v>
      </c>
      <c r="H16" s="12">
        <f t="shared" si="0"/>
        <v>1.4431145712872961E-2</v>
      </c>
      <c r="I16" s="2">
        <f>VLOOKUP(A:A,MASTER!A:E,5,0)</f>
        <v>894</v>
      </c>
      <c r="J16" s="2">
        <f>VLOOKUP(A:A,MASTER!A:J,10,0)</f>
        <v>903</v>
      </c>
      <c r="K16" s="12">
        <f t="shared" si="1"/>
        <v>1.0067114093959662E-2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3</v>
      </c>
      <c r="P16" s="1">
        <f>VLOOKUP(A:A,MASTER!A:H,8,0)</f>
        <v>6</v>
      </c>
      <c r="Q16" s="12">
        <f t="shared" si="3"/>
        <v>1</v>
      </c>
      <c r="R16" s="1">
        <f>VLOOKUP(A:A,MASTER!A:B,2,0)</f>
        <v>1028</v>
      </c>
      <c r="S16">
        <f>VLOOKUP(A:A,MASTER!A:G,7,0)</f>
        <v>1074</v>
      </c>
      <c r="T16" s="12">
        <f t="shared" si="4"/>
        <v>4.474708171206232E-2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18890377.12714364</v>
      </c>
      <c r="G17" s="1">
        <f>VLOOKUP(A:A,MASTER!A:K,11,0)</f>
        <v>22825110.871727254</v>
      </c>
      <c r="H17" s="12">
        <f t="shared" si="0"/>
        <v>0.20829302232033164</v>
      </c>
      <c r="I17" s="2">
        <f>VLOOKUP(A:A,MASTER!A:E,5,0)</f>
        <v>696</v>
      </c>
      <c r="J17" s="2">
        <f>VLOOKUP(A:A,MASTER!A:J,10,0)</f>
        <v>667</v>
      </c>
      <c r="K17" s="12">
        <f t="shared" si="1"/>
        <v>-4.166666666666663E-2</v>
      </c>
      <c r="L17" s="2">
        <f>VLOOKUP(A:A,MASTER!A:D,4,0)</f>
        <v>3</v>
      </c>
      <c r="M17" s="2">
        <f>VLOOKUP(A:A,MASTER!A:I,9,0)</f>
        <v>4</v>
      </c>
      <c r="N17" s="12">
        <f t="shared" si="2"/>
        <v>0.33333333333333326</v>
      </c>
      <c r="O17" s="1">
        <f>VLOOKUP(A:A,MASTER!A:C,3,0)</f>
        <v>4</v>
      </c>
      <c r="P17" s="1">
        <f>VLOOKUP(A:A,MASTER!A:H,8,0)</f>
        <v>1</v>
      </c>
      <c r="Q17" s="12">
        <f t="shared" si="3"/>
        <v>-0.75</v>
      </c>
      <c r="R17" s="1">
        <f>VLOOKUP(A:A,MASTER!A:B,2,0)</f>
        <v>916</v>
      </c>
      <c r="S17">
        <f>VLOOKUP(A:A,MASTER!A:G,7,0)</f>
        <v>785</v>
      </c>
      <c r="T17" s="12">
        <f t="shared" si="4"/>
        <v>-0.14301310043668125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86538124.393357381</v>
      </c>
      <c r="G18" s="1">
        <f>VLOOKUP(A:A,MASTER!A:K,11,0)</f>
        <v>82403650.006621614</v>
      </c>
      <c r="H18" s="12">
        <f t="shared" si="0"/>
        <v>-4.777633460071995E-2</v>
      </c>
      <c r="I18" s="2">
        <f>VLOOKUP(A:A,MASTER!A:E,5,0)</f>
        <v>2092</v>
      </c>
      <c r="J18" s="2">
        <f>VLOOKUP(A:A,MASTER!A:J,10,0)</f>
        <v>2200</v>
      </c>
      <c r="K18" s="12">
        <f t="shared" si="1"/>
        <v>5.1625239005736123E-2</v>
      </c>
      <c r="L18" s="2">
        <f>VLOOKUP(A:A,MASTER!A:D,4,0)</f>
        <v>10</v>
      </c>
      <c r="M18" s="2">
        <f>VLOOKUP(A:A,MASTER!A:I,9,0)</f>
        <v>12</v>
      </c>
      <c r="N18" s="12">
        <f t="shared" si="2"/>
        <v>0.19999999999999996</v>
      </c>
      <c r="O18" s="1">
        <f>VLOOKUP(A:A,MASTER!A:C,3,0)</f>
        <v>181</v>
      </c>
      <c r="P18" s="1">
        <f>VLOOKUP(A:A,MASTER!A:H,8,0)</f>
        <v>118</v>
      </c>
      <c r="Q18" s="12">
        <f t="shared" si="3"/>
        <v>-0.34806629834254144</v>
      </c>
      <c r="R18" s="1">
        <f>VLOOKUP(A:A,MASTER!A:B,2,0)</f>
        <v>2813</v>
      </c>
      <c r="S18">
        <f>VLOOKUP(A:A,MASTER!A:G,7,0)</f>
        <v>2724</v>
      </c>
      <c r="T18" s="12">
        <f t="shared" si="4"/>
        <v>-3.1638819765375081E-2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26002211.72344863</v>
      </c>
      <c r="G19" s="1">
        <f>VLOOKUP(A:A,MASTER!A:K,11,0)</f>
        <v>43335722.521319821</v>
      </c>
      <c r="H19" s="12">
        <f t="shared" si="0"/>
        <v>0.66661678561135407</v>
      </c>
      <c r="I19" s="2">
        <f>VLOOKUP(A:A,MASTER!A:E,5,0)</f>
        <v>1167</v>
      </c>
      <c r="J19" s="2">
        <f>VLOOKUP(A:A,MASTER!A:J,10,0)</f>
        <v>1190</v>
      </c>
      <c r="K19" s="12">
        <f t="shared" si="1"/>
        <v>1.9708654670094194E-2</v>
      </c>
      <c r="L19" s="2">
        <f>VLOOKUP(A:A,MASTER!A:D,4,0)</f>
        <v>1</v>
      </c>
      <c r="M19" s="2">
        <f>VLOOKUP(A:A,MASTER!A:I,9,0)</f>
        <v>2</v>
      </c>
      <c r="N19" s="12">
        <f t="shared" si="2"/>
        <v>1</v>
      </c>
      <c r="O19" s="1">
        <f>VLOOKUP(A:A,MASTER!A:C,3,0)</f>
        <v>6</v>
      </c>
      <c r="P19" s="1">
        <f>VLOOKUP(A:A,MASTER!A:H,8,0)</f>
        <v>5</v>
      </c>
      <c r="Q19" s="12">
        <f t="shared" si="3"/>
        <v>-0.16666666666666663</v>
      </c>
      <c r="R19" s="1">
        <f>VLOOKUP(A:A,MASTER!A:B,2,0)</f>
        <v>1381</v>
      </c>
      <c r="S19">
        <f>VLOOKUP(A:A,MASTER!A:G,7,0)</f>
        <v>1267</v>
      </c>
      <c r="T19" s="12">
        <f t="shared" si="4"/>
        <v>-8.2548877624909478E-2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87558270.252023414</v>
      </c>
      <c r="G20" s="1">
        <f>VLOOKUP(A:A,MASTER!A:K,11,0)</f>
        <v>78374783.039749846</v>
      </c>
      <c r="H20" s="12">
        <f t="shared" si="0"/>
        <v>-0.10488429232144802</v>
      </c>
      <c r="I20" s="2">
        <f>VLOOKUP(A:A,MASTER!A:E,5,0)</f>
        <v>2002</v>
      </c>
      <c r="J20" s="2">
        <f>VLOOKUP(A:A,MASTER!A:J,10,0)</f>
        <v>2147</v>
      </c>
      <c r="K20" s="12">
        <f t="shared" si="1"/>
        <v>7.2427572427572473E-2</v>
      </c>
      <c r="L20" s="2">
        <f>VLOOKUP(A:A,MASTER!A:D,4,0)</f>
        <v>10</v>
      </c>
      <c r="M20" s="2">
        <f>VLOOKUP(A:A,MASTER!A:I,9,0)</f>
        <v>10</v>
      </c>
      <c r="N20" s="12">
        <f t="shared" si="2"/>
        <v>0</v>
      </c>
      <c r="O20" s="1">
        <f>VLOOKUP(A:A,MASTER!A:C,3,0)</f>
        <v>18</v>
      </c>
      <c r="P20" s="1">
        <f>VLOOKUP(A:A,MASTER!A:H,8,0)</f>
        <v>6</v>
      </c>
      <c r="Q20" s="12">
        <f t="shared" si="3"/>
        <v>-0.66666666666666674</v>
      </c>
      <c r="R20" s="1">
        <f>VLOOKUP(A:A,MASTER!A:B,2,0)</f>
        <v>2936</v>
      </c>
      <c r="S20">
        <f>VLOOKUP(A:A,MASTER!A:G,7,0)</f>
        <v>2548</v>
      </c>
      <c r="T20" s="12">
        <f t="shared" si="4"/>
        <v>-0.13215258855585832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13183778.010977268</v>
      </c>
      <c r="G21" s="1">
        <f>VLOOKUP(A:A,MASTER!A:K,11,0)</f>
        <v>11826239.269592175</v>
      </c>
      <c r="H21" s="12">
        <f t="shared" si="0"/>
        <v>-0.10297038832531613</v>
      </c>
      <c r="I21" s="2">
        <f>VLOOKUP(A:A,MASTER!A:E,5,0)</f>
        <v>482</v>
      </c>
      <c r="J21" s="2">
        <f>VLOOKUP(A:A,MASTER!A:J,10,0)</f>
        <v>476</v>
      </c>
      <c r="K21" s="12">
        <f t="shared" si="1"/>
        <v>-1.2448132780082943E-2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5</v>
      </c>
      <c r="P21" s="1">
        <f>VLOOKUP(A:A,MASTER!A:H,8,0)</f>
        <v>2</v>
      </c>
      <c r="Q21" s="12">
        <f t="shared" si="3"/>
        <v>-0.6</v>
      </c>
      <c r="R21" s="1">
        <f>VLOOKUP(A:A,MASTER!A:B,2,0)</f>
        <v>533</v>
      </c>
      <c r="S21">
        <f>VLOOKUP(A:A,MASTER!A:G,7,0)</f>
        <v>483</v>
      </c>
      <c r="T21" s="12">
        <f t="shared" si="4"/>
        <v>-9.3808630393996228E-2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36192562.219717629</v>
      </c>
      <c r="G22" s="1">
        <f>VLOOKUP(A:A,MASTER!A:K,11,0)</f>
        <v>32935272.975362118</v>
      </c>
      <c r="H22" s="12">
        <f t="shared" si="0"/>
        <v>-8.9998857350335526E-2</v>
      </c>
      <c r="I22" s="2">
        <f>VLOOKUP(A:A,MASTER!A:E,5,0)</f>
        <v>1381</v>
      </c>
      <c r="J22" s="2">
        <f>VLOOKUP(A:A,MASTER!A:J,10,0)</f>
        <v>1449</v>
      </c>
      <c r="K22" s="12">
        <f t="shared" si="1"/>
        <v>4.9239681390296886E-2</v>
      </c>
      <c r="L22" s="2">
        <f>VLOOKUP(A:A,MASTER!A:D,4,0)</f>
        <v>1</v>
      </c>
      <c r="M22" s="2">
        <f>VLOOKUP(A:A,MASTER!A:I,9,0)</f>
        <v>1</v>
      </c>
      <c r="N22" s="12">
        <f t="shared" si="2"/>
        <v>0</v>
      </c>
      <c r="O22" s="1">
        <f>VLOOKUP(A:A,MASTER!A:C,3,0)</f>
        <v>18</v>
      </c>
      <c r="P22" s="1">
        <f>VLOOKUP(A:A,MASTER!A:H,8,0)</f>
        <v>16</v>
      </c>
      <c r="Q22" s="12">
        <f t="shared" si="3"/>
        <v>-0.11111111111111116</v>
      </c>
      <c r="R22" s="1">
        <f>VLOOKUP(A:A,MASTER!A:B,2,0)</f>
        <v>1698</v>
      </c>
      <c r="S22">
        <f>VLOOKUP(A:A,MASTER!A:G,7,0)</f>
        <v>1876</v>
      </c>
      <c r="T22" s="12">
        <f t="shared" si="4"/>
        <v>0.10482921083627805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15022021.249958932</v>
      </c>
      <c r="G23" s="1">
        <f>VLOOKUP(A:A,MASTER!A:K,11,0)</f>
        <v>13972572.86172664</v>
      </c>
      <c r="H23" s="12">
        <f t="shared" si="0"/>
        <v>-6.986066460498197E-2</v>
      </c>
      <c r="I23" s="2">
        <f>VLOOKUP(A:A,MASTER!A:E,5,0)</f>
        <v>867</v>
      </c>
      <c r="J23" s="2">
        <f>VLOOKUP(A:A,MASTER!A:J,10,0)</f>
        <v>780</v>
      </c>
      <c r="K23" s="12">
        <f t="shared" si="1"/>
        <v>-0.10034602076124566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10</v>
      </c>
      <c r="P23" s="1">
        <f>VLOOKUP(A:A,MASTER!A:H,8,0)</f>
        <v>6</v>
      </c>
      <c r="Q23" s="12">
        <f t="shared" si="3"/>
        <v>-0.4</v>
      </c>
      <c r="R23" s="1">
        <f>VLOOKUP(A:A,MASTER!A:B,2,0)</f>
        <v>876</v>
      </c>
      <c r="S23">
        <f>VLOOKUP(A:A,MASTER!A:G,7,0)</f>
        <v>904</v>
      </c>
      <c r="T23" s="12">
        <f t="shared" si="4"/>
        <v>3.1963470319634757E-2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18344574.830965456</v>
      </c>
      <c r="G24" s="1">
        <f>VLOOKUP(A:A,MASTER!A:K,11,0)</f>
        <v>18270548.609162889</v>
      </c>
      <c r="H24" s="12">
        <f t="shared" si="0"/>
        <v>-4.0353195691191779E-3</v>
      </c>
      <c r="I24" s="2">
        <f>VLOOKUP(A:A,MASTER!A:E,5,0)</f>
        <v>759</v>
      </c>
      <c r="J24" s="2">
        <f>VLOOKUP(A:A,MASTER!A:J,10,0)</f>
        <v>760</v>
      </c>
      <c r="K24" s="12">
        <f t="shared" si="1"/>
        <v>1.3175230566535578E-3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5</v>
      </c>
      <c r="P24" s="1">
        <f>VLOOKUP(A:A,MASTER!A:H,8,0)</f>
        <v>4</v>
      </c>
      <c r="Q24" s="12">
        <f t="shared" si="3"/>
        <v>-0.19999999999999996</v>
      </c>
      <c r="R24" s="1">
        <f>VLOOKUP(A:A,MASTER!A:B,2,0)</f>
        <v>875</v>
      </c>
      <c r="S24">
        <f>VLOOKUP(A:A,MASTER!A:G,7,0)</f>
        <v>896</v>
      </c>
      <c r="T24" s="12">
        <f t="shared" si="4"/>
        <v>2.4000000000000021E-2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4146758.08022347</v>
      </c>
      <c r="G25" s="1">
        <f>VLOOKUP(A:A,MASTER!A:K,11,0)</f>
        <v>4544499.9292088114</v>
      </c>
      <c r="H25" s="12">
        <f t="shared" si="0"/>
        <v>9.5916337845275645E-2</v>
      </c>
      <c r="I25" s="2">
        <f>VLOOKUP(A:A,MASTER!A:E,5,0)</f>
        <v>192</v>
      </c>
      <c r="J25" s="2">
        <f>VLOOKUP(A:A,MASTER!A:J,10,0)</f>
        <v>153</v>
      </c>
      <c r="K25" s="12">
        <f t="shared" si="1"/>
        <v>-0.203125</v>
      </c>
      <c r="L25" s="2">
        <f>VLOOKUP(A:A,MASTER!A:D,4,0)</f>
        <v>2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228</v>
      </c>
      <c r="S25">
        <f>VLOOKUP(A:A,MASTER!A:G,7,0)</f>
        <v>184</v>
      </c>
      <c r="T25" s="12">
        <f t="shared" si="4"/>
        <v>-0.19298245614035092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34683862.559180304</v>
      </c>
      <c r="G26" s="1">
        <f>VLOOKUP(A:A,MASTER!A:K,11,0)</f>
        <v>34833450.097463757</v>
      </c>
      <c r="H26" s="12">
        <f t="shared" si="0"/>
        <v>4.3128857989278568E-3</v>
      </c>
      <c r="I26" s="2">
        <f>VLOOKUP(A:A,MASTER!A:E,5,0)</f>
        <v>1384</v>
      </c>
      <c r="J26" s="2">
        <f>VLOOKUP(A:A,MASTER!A:J,10,0)</f>
        <v>1431</v>
      </c>
      <c r="K26" s="12">
        <f t="shared" si="1"/>
        <v>3.3959537572254339E-2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10</v>
      </c>
      <c r="P26" s="1">
        <f>VLOOKUP(A:A,MASTER!A:H,8,0)</f>
        <v>3</v>
      </c>
      <c r="Q26" s="12">
        <f t="shared" si="3"/>
        <v>-0.7</v>
      </c>
      <c r="R26" s="1">
        <f>VLOOKUP(A:A,MASTER!A:B,2,0)</f>
        <v>1653</v>
      </c>
      <c r="S26">
        <f>VLOOKUP(A:A,MASTER!A:G,7,0)</f>
        <v>1686</v>
      </c>
      <c r="T26" s="12">
        <f t="shared" si="4"/>
        <v>1.9963702359346636E-2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28942176.601938333</v>
      </c>
      <c r="G27" s="1">
        <f>VLOOKUP(A:A,MASTER!A:K,11,0)</f>
        <v>31477197.298174005</v>
      </c>
      <c r="H27" s="12">
        <f t="shared" si="0"/>
        <v>8.7589151676515486E-2</v>
      </c>
      <c r="I27" s="2">
        <f>VLOOKUP(A:A,MASTER!A:E,5,0)</f>
        <v>695</v>
      </c>
      <c r="J27" s="2">
        <f>VLOOKUP(A:A,MASTER!A:J,10,0)</f>
        <v>697</v>
      </c>
      <c r="K27" s="12">
        <f t="shared" si="1"/>
        <v>2.8776978417266452E-3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3</v>
      </c>
      <c r="P27" s="1">
        <f>VLOOKUP(A:A,MASTER!A:H,8,0)</f>
        <v>3</v>
      </c>
      <c r="Q27" s="12">
        <f t="shared" si="3"/>
        <v>0</v>
      </c>
      <c r="R27" s="1">
        <f>VLOOKUP(A:A,MASTER!A:B,2,0)</f>
        <v>876</v>
      </c>
      <c r="S27">
        <f>VLOOKUP(A:A,MASTER!A:G,7,0)</f>
        <v>839</v>
      </c>
      <c r="T27" s="12">
        <f t="shared" si="4"/>
        <v>-4.2237442922374413E-2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27322835.150993686</v>
      </c>
      <c r="G28" s="1">
        <f>VLOOKUP(A:A,MASTER!A:K,11,0)</f>
        <v>31575073.436375592</v>
      </c>
      <c r="H28" s="12">
        <f t="shared" si="0"/>
        <v>0.15562946750887452</v>
      </c>
      <c r="I28" s="2">
        <f>VLOOKUP(A:A,MASTER!A:E,5,0)</f>
        <v>623</v>
      </c>
      <c r="J28" s="2">
        <f>VLOOKUP(A:A,MASTER!A:J,10,0)</f>
        <v>868</v>
      </c>
      <c r="K28" s="12">
        <f t="shared" si="1"/>
        <v>0.39325842696629221</v>
      </c>
      <c r="L28" s="2">
        <f>VLOOKUP(A:A,MASTER!A:D,4,0)</f>
        <v>1</v>
      </c>
      <c r="M28" s="2">
        <f>VLOOKUP(A:A,MASTER!A:I,9,0)</f>
        <v>3</v>
      </c>
      <c r="N28" s="12">
        <f t="shared" si="2"/>
        <v>2</v>
      </c>
      <c r="O28" s="1">
        <f>VLOOKUP(A:A,MASTER!A:C,3,0)</f>
        <v>2</v>
      </c>
      <c r="P28" s="1">
        <f>VLOOKUP(A:A,MASTER!A:H,8,0)</f>
        <v>1</v>
      </c>
      <c r="Q28" s="12">
        <f t="shared" si="3"/>
        <v>-0.5</v>
      </c>
      <c r="R28" s="1">
        <f>VLOOKUP(A:A,MASTER!A:B,2,0)</f>
        <v>1044</v>
      </c>
      <c r="S28">
        <f>VLOOKUP(A:A,MASTER!A:G,7,0)</f>
        <v>1007</v>
      </c>
      <c r="T28" s="12">
        <f t="shared" si="4"/>
        <v>-3.5440613026819889E-2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38750202.555159338</v>
      </c>
      <c r="G29" s="1">
        <f>VLOOKUP(A:A,MASTER!A:K,11,0)</f>
        <v>38158631.406307779</v>
      </c>
      <c r="H29" s="12">
        <f t="shared" si="0"/>
        <v>-1.5266272428111294E-2</v>
      </c>
      <c r="I29" s="2">
        <f>VLOOKUP(A:A,MASTER!A:E,5,0)</f>
        <v>1017</v>
      </c>
      <c r="J29" s="2">
        <f>VLOOKUP(A:A,MASTER!A:J,10,0)</f>
        <v>819</v>
      </c>
      <c r="K29" s="12">
        <f t="shared" si="1"/>
        <v>-0.19469026548672563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3</v>
      </c>
      <c r="P29" s="1">
        <f>VLOOKUP(A:A,MASTER!A:H,8,0)</f>
        <v>2</v>
      </c>
      <c r="Q29" s="12">
        <f t="shared" si="3"/>
        <v>-0.33333333333333337</v>
      </c>
      <c r="R29" s="1">
        <f>VLOOKUP(A:A,MASTER!A:B,2,0)</f>
        <v>1120</v>
      </c>
      <c r="S29">
        <f>VLOOKUP(A:A,MASTER!A:G,7,0)</f>
        <v>993</v>
      </c>
      <c r="T29" s="12">
        <f t="shared" si="4"/>
        <v>-0.11339285714285718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49704479.1329192</v>
      </c>
      <c r="G30" s="1">
        <f>VLOOKUP(A:A,MASTER!A:K,11,0)</f>
        <v>51670729.287840143</v>
      </c>
      <c r="H30" s="12">
        <f t="shared" si="0"/>
        <v>3.9558812187988401E-2</v>
      </c>
      <c r="I30" s="2">
        <f>VLOOKUP(A:A,MASTER!A:E,5,0)</f>
        <v>1153</v>
      </c>
      <c r="J30" s="2">
        <f>VLOOKUP(A:A,MASTER!A:J,10,0)</f>
        <v>261</v>
      </c>
      <c r="K30" s="12">
        <f t="shared" si="1"/>
        <v>-0.77363399826539458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4</v>
      </c>
      <c r="P30" s="1">
        <f>VLOOKUP(A:A,MASTER!A:H,8,0)</f>
        <v>5</v>
      </c>
      <c r="Q30" s="12">
        <f t="shared" si="3"/>
        <v>0.25</v>
      </c>
      <c r="R30" s="1">
        <f>VLOOKUP(A:A,MASTER!A:B,2,0)</f>
        <v>1445</v>
      </c>
      <c r="S30">
        <f>VLOOKUP(A:A,MASTER!A:G,7,0)</f>
        <v>598</v>
      </c>
      <c r="T30" s="12">
        <f t="shared" si="4"/>
        <v>-0.586159169550173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22482772.205797095</v>
      </c>
      <c r="G31" s="1">
        <f>VLOOKUP(A:A,MASTER!A:K,11,0)</f>
        <v>22045431.28545827</v>
      </c>
      <c r="H31" s="12">
        <f t="shared" si="0"/>
        <v>-1.9452268445172338E-2</v>
      </c>
      <c r="I31" s="2">
        <f>VLOOKUP(A:A,MASTER!A:E,5,0)</f>
        <v>657</v>
      </c>
      <c r="J31" s="2">
        <f>VLOOKUP(A:A,MASTER!A:J,10,0)</f>
        <v>487</v>
      </c>
      <c r="K31" s="12">
        <f t="shared" si="1"/>
        <v>-0.25875190258751901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1</v>
      </c>
      <c r="P31" s="1">
        <f>VLOOKUP(A:A,MASTER!A:H,8,0)</f>
        <v>4</v>
      </c>
      <c r="Q31" s="12">
        <f t="shared" si="3"/>
        <v>3</v>
      </c>
      <c r="R31" s="1">
        <f>VLOOKUP(A:A,MASTER!A:B,2,0)</f>
        <v>698</v>
      </c>
      <c r="S31">
        <f>VLOOKUP(A:A,MASTER!A:G,7,0)</f>
        <v>669</v>
      </c>
      <c r="T31" s="12">
        <f t="shared" si="4"/>
        <v>-4.1547277936962779E-2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54659271.855845027</v>
      </c>
      <c r="G32" s="1">
        <f>VLOOKUP(A:A,MASTER!A:K,11,0)</f>
        <v>46584687.457568675</v>
      </c>
      <c r="H32" s="12">
        <f t="shared" si="0"/>
        <v>-0.14772579516923967</v>
      </c>
      <c r="I32" s="2">
        <f>VLOOKUP(A:A,MASTER!A:E,5,0)</f>
        <v>1597</v>
      </c>
      <c r="J32" s="2">
        <f>VLOOKUP(A:A,MASTER!A:J,10,0)</f>
        <v>1612</v>
      </c>
      <c r="K32" s="12">
        <f t="shared" si="1"/>
        <v>9.3926111458986217E-3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9</v>
      </c>
      <c r="P32" s="1">
        <f>VLOOKUP(A:A,MASTER!A:H,8,0)</f>
        <v>3</v>
      </c>
      <c r="Q32" s="12">
        <f t="shared" si="3"/>
        <v>-0.66666666666666674</v>
      </c>
      <c r="R32" s="1">
        <f>VLOOKUP(A:A,MASTER!A:B,2,0)</f>
        <v>1923</v>
      </c>
      <c r="S32">
        <f>VLOOKUP(A:A,MASTER!A:G,7,0)</f>
        <v>1778</v>
      </c>
      <c r="T32" s="12">
        <f t="shared" si="4"/>
        <v>-7.5403016120644817E-2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22656058.277334604</v>
      </c>
      <c r="G33" s="1">
        <f>VLOOKUP(A:A,MASTER!A:K,11,0)</f>
        <v>22394741.412024934</v>
      </c>
      <c r="H33" s="12">
        <f t="shared" si="0"/>
        <v>-1.1534083383387794E-2</v>
      </c>
      <c r="I33" s="2">
        <f>VLOOKUP(A:A,MASTER!A:E,5,0)</f>
        <v>699</v>
      </c>
      <c r="J33" s="2">
        <f>VLOOKUP(A:A,MASTER!A:J,10,0)</f>
        <v>1430</v>
      </c>
      <c r="K33" s="12">
        <f t="shared" si="1"/>
        <v>1.0457796852646637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3</v>
      </c>
      <c r="P33" s="1">
        <f>VLOOKUP(A:A,MASTER!A:H,8,0)</f>
        <v>2</v>
      </c>
      <c r="Q33" s="12">
        <f t="shared" si="3"/>
        <v>-0.33333333333333337</v>
      </c>
      <c r="R33" s="1">
        <f>VLOOKUP(A:A,MASTER!A:B,2,0)</f>
        <v>857</v>
      </c>
      <c r="S33">
        <f>VLOOKUP(A:A,MASTER!A:G,7,0)</f>
        <v>1266</v>
      </c>
      <c r="T33" s="12">
        <f t="shared" si="4"/>
        <v>0.47724620770128356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20514275.541951414</v>
      </c>
      <c r="G34" s="1">
        <f>VLOOKUP(A:A,MASTER!A:K,11,0)</f>
        <v>20280297.833904956</v>
      </c>
      <c r="H34" s="12">
        <f t="shared" si="0"/>
        <v>-1.1405604237301858E-2</v>
      </c>
      <c r="I34" s="2">
        <f>VLOOKUP(A:A,MASTER!A:E,5,0)</f>
        <v>560</v>
      </c>
      <c r="J34" s="2">
        <f>VLOOKUP(A:A,MASTER!A:J,10,0)</f>
        <v>584</v>
      </c>
      <c r="K34" s="12">
        <f t="shared" si="1"/>
        <v>4.2857142857142927E-2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3</v>
      </c>
      <c r="P34" s="1">
        <f>VLOOKUP(A:A,MASTER!A:H,8,0)</f>
        <v>2</v>
      </c>
      <c r="Q34" s="12">
        <f t="shared" si="3"/>
        <v>-0.33333333333333337</v>
      </c>
      <c r="R34" s="1">
        <f>VLOOKUP(A:A,MASTER!A:B,2,0)</f>
        <v>748</v>
      </c>
      <c r="S34">
        <f>VLOOKUP(A:A,MASTER!A:G,7,0)</f>
        <v>764</v>
      </c>
      <c r="T34" s="12">
        <f t="shared" si="4"/>
        <v>2.1390374331550888E-2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31706807.770847913</v>
      </c>
      <c r="G35" s="1">
        <f>VLOOKUP(A:A,MASTER!A:K,11,0)</f>
        <v>35210619.986819968</v>
      </c>
      <c r="H35" s="12">
        <f t="shared" si="0"/>
        <v>0.11050662183638527</v>
      </c>
      <c r="I35" s="2">
        <f>VLOOKUP(A:A,MASTER!A:E,5,0)</f>
        <v>849</v>
      </c>
      <c r="J35" s="2">
        <f>VLOOKUP(A:A,MASTER!A:J,10,0)</f>
        <v>951</v>
      </c>
      <c r="K35" s="12">
        <f t="shared" si="1"/>
        <v>0.12014134275618371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17</v>
      </c>
      <c r="P35" s="1">
        <f>VLOOKUP(A:A,MASTER!A:H,8,0)</f>
        <v>6</v>
      </c>
      <c r="Q35" s="12">
        <f t="shared" si="3"/>
        <v>-0.64705882352941169</v>
      </c>
      <c r="R35" s="1">
        <f>VLOOKUP(A:A,MASTER!A:B,2,0)</f>
        <v>1162</v>
      </c>
      <c r="S35">
        <f>VLOOKUP(A:A,MASTER!A:G,7,0)</f>
        <v>1383</v>
      </c>
      <c r="T35" s="12">
        <f t="shared" si="4"/>
        <v>0.19018932874354566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30008831.32454332</v>
      </c>
      <c r="G36" s="1">
        <f>VLOOKUP(A:A,MASTER!A:K,11,0)</f>
        <v>32153124.55919506</v>
      </c>
      <c r="H36" s="12">
        <f t="shared" si="0"/>
        <v>7.1455406292279866E-2</v>
      </c>
      <c r="I36" s="2">
        <f>VLOOKUP(A:A,MASTER!A:E,5,0)</f>
        <v>880</v>
      </c>
      <c r="J36" s="2">
        <f>VLOOKUP(A:A,MASTER!A:J,10,0)</f>
        <v>870</v>
      </c>
      <c r="K36" s="12">
        <f t="shared" si="1"/>
        <v>-1.1363636363636354E-2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121</v>
      </c>
      <c r="P36" s="1">
        <f>VLOOKUP(A:A,MASTER!A:H,8,0)</f>
        <v>391</v>
      </c>
      <c r="Q36" s="12">
        <f t="shared" si="3"/>
        <v>2.2314049586776861</v>
      </c>
      <c r="R36" s="1">
        <f>VLOOKUP(A:A,MASTER!A:B,2,0)</f>
        <v>1271</v>
      </c>
      <c r="S36">
        <f>VLOOKUP(A:A,MASTER!A:G,7,0)</f>
        <v>1309</v>
      </c>
      <c r="T36" s="12">
        <f t="shared" si="4"/>
        <v>2.9897718332021928E-2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54089568.346732005</v>
      </c>
      <c r="G37" s="1">
        <f>VLOOKUP(A:A,MASTER!A:K,11,0)</f>
        <v>53090474.700370014</v>
      </c>
      <c r="H37" s="12">
        <f t="shared" si="0"/>
        <v>-1.8471096680925059E-2</v>
      </c>
      <c r="I37" s="2">
        <f>VLOOKUP(A:A,MASTER!A:E,5,0)</f>
        <v>1420</v>
      </c>
      <c r="J37" s="2">
        <f>VLOOKUP(A:A,MASTER!A:J,10,0)</f>
        <v>1436</v>
      </c>
      <c r="K37" s="12">
        <f t="shared" si="1"/>
        <v>1.1267605633802802E-2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70</v>
      </c>
      <c r="P37" s="1">
        <f>VLOOKUP(A:A,MASTER!A:H,8,0)</f>
        <v>266</v>
      </c>
      <c r="Q37" s="12">
        <f t="shared" si="3"/>
        <v>2.8</v>
      </c>
      <c r="R37" s="1">
        <f>VLOOKUP(A:A,MASTER!A:B,2,0)</f>
        <v>2274</v>
      </c>
      <c r="S37">
        <f>VLOOKUP(A:A,MASTER!A:G,7,0)</f>
        <v>2316</v>
      </c>
      <c r="T37" s="12">
        <f t="shared" si="4"/>
        <v>1.846965699208436E-2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19559864.968351118</v>
      </c>
      <c r="G38" s="1">
        <f>VLOOKUP(A:A,MASTER!A:K,11,0)</f>
        <v>20014278.607087888</v>
      </c>
      <c r="H38" s="12">
        <f t="shared" si="0"/>
        <v>2.3231941502256603E-2</v>
      </c>
      <c r="I38" s="2">
        <f>VLOOKUP(A:A,MASTER!A:E,5,0)</f>
        <v>480</v>
      </c>
      <c r="J38" s="2">
        <f>VLOOKUP(A:A,MASTER!A:J,10,0)</f>
        <v>459</v>
      </c>
      <c r="K38" s="12">
        <f t="shared" si="1"/>
        <v>-4.3749999999999956E-2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1</v>
      </c>
      <c r="P38" s="1">
        <f>VLOOKUP(A:A,MASTER!A:H,8,0)</f>
        <v>4</v>
      </c>
      <c r="Q38" s="12">
        <f t="shared" si="3"/>
        <v>3</v>
      </c>
      <c r="R38" s="1">
        <f>VLOOKUP(A:A,MASTER!A:B,2,0)</f>
        <v>621</v>
      </c>
      <c r="S38">
        <f>VLOOKUP(A:A,MASTER!A:G,7,0)</f>
        <v>516</v>
      </c>
      <c r="T38" s="12">
        <f t="shared" si="4"/>
        <v>-0.16908212560386471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62806648.991798967</v>
      </c>
      <c r="G39" s="1">
        <f>VLOOKUP(A:A,MASTER!A:K,11,0)</f>
        <v>61438729.827034511</v>
      </c>
      <c r="H39" s="12">
        <f t="shared" si="0"/>
        <v>-2.1779846349437859E-2</v>
      </c>
      <c r="I39" s="2">
        <f>VLOOKUP(A:A,MASTER!A:E,5,0)</f>
        <v>1899</v>
      </c>
      <c r="J39" s="2">
        <f>VLOOKUP(A:A,MASTER!A:J,10,0)</f>
        <v>2156</v>
      </c>
      <c r="K39" s="12">
        <f t="shared" si="1"/>
        <v>0.1353343865192207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4</v>
      </c>
      <c r="P39" s="1">
        <f>VLOOKUP(A:A,MASTER!A:H,8,0)</f>
        <v>5</v>
      </c>
      <c r="Q39" s="12">
        <f t="shared" si="3"/>
        <v>0.25</v>
      </c>
      <c r="R39" s="1">
        <f>VLOOKUP(A:A,MASTER!A:B,2,0)</f>
        <v>2052</v>
      </c>
      <c r="S39">
        <f>VLOOKUP(A:A,MASTER!A:G,7,0)</f>
        <v>2293</v>
      </c>
      <c r="T39" s="12">
        <f t="shared" si="4"/>
        <v>0.11744639376218324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43715380.459994063</v>
      </c>
      <c r="G40" s="1">
        <f>VLOOKUP(A:A,MASTER!A:K,11,0)</f>
        <v>47264068.682267107</v>
      </c>
      <c r="H40" s="12">
        <f t="shared" si="0"/>
        <v>8.1177109404791947E-2</v>
      </c>
      <c r="I40" s="2">
        <f>VLOOKUP(A:A,MASTER!A:E,5,0)</f>
        <v>849</v>
      </c>
      <c r="J40" s="2">
        <f>VLOOKUP(A:A,MASTER!A:J,10,0)</f>
        <v>830</v>
      </c>
      <c r="K40" s="12">
        <f t="shared" si="1"/>
        <v>-2.2379269729093099E-2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3</v>
      </c>
      <c r="P40" s="1">
        <f>VLOOKUP(A:A,MASTER!A:H,8,0)</f>
        <v>6</v>
      </c>
      <c r="Q40" s="12">
        <f t="shared" si="3"/>
        <v>1</v>
      </c>
      <c r="R40" s="1">
        <f>VLOOKUP(A:A,MASTER!A:B,2,0)</f>
        <v>898</v>
      </c>
      <c r="S40">
        <f>VLOOKUP(A:A,MASTER!A:G,7,0)</f>
        <v>1015</v>
      </c>
      <c r="T40" s="12">
        <f t="shared" si="4"/>
        <v>0.13028953229398654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25162534.388928577</v>
      </c>
      <c r="G41" s="1">
        <f>VLOOKUP(A:A,MASTER!A:K,11,0)</f>
        <v>33425173.710316837</v>
      </c>
      <c r="H41" s="12">
        <f t="shared" si="0"/>
        <v>0.32837071153785646</v>
      </c>
      <c r="I41" s="2">
        <f>VLOOKUP(A:A,MASTER!A:E,5,0)</f>
        <v>1095</v>
      </c>
      <c r="J41" s="2">
        <f>VLOOKUP(A:A,MASTER!A:J,10,0)</f>
        <v>941</v>
      </c>
      <c r="K41" s="12">
        <f t="shared" si="1"/>
        <v>-0.14063926940639271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5</v>
      </c>
      <c r="P41" s="1">
        <f>VLOOKUP(A:A,MASTER!A:H,8,0)</f>
        <v>8</v>
      </c>
      <c r="Q41" s="12">
        <f t="shared" si="3"/>
        <v>0.60000000000000009</v>
      </c>
      <c r="R41" s="1">
        <f>VLOOKUP(A:A,MASTER!A:B,2,0)</f>
        <v>1097</v>
      </c>
      <c r="S41">
        <f>VLOOKUP(A:A,MASTER!A:G,7,0)</f>
        <v>1121</v>
      </c>
      <c r="T41" s="12">
        <f t="shared" si="4"/>
        <v>2.1877848678213407E-2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32737539.875770304</v>
      </c>
      <c r="G42" s="1">
        <f>VLOOKUP(A:A,MASTER!A:K,11,0)</f>
        <v>34760498.561225682</v>
      </c>
      <c r="H42" s="12">
        <f t="shared" si="0"/>
        <v>6.1793240821757855E-2</v>
      </c>
      <c r="I42" s="2">
        <f>VLOOKUP(A:A,MASTER!A:E,5,0)</f>
        <v>573</v>
      </c>
      <c r="J42" s="2">
        <f>VLOOKUP(A:A,MASTER!A:J,10,0)</f>
        <v>675</v>
      </c>
      <c r="K42" s="12">
        <f t="shared" si="1"/>
        <v>0.17801047120418856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5</v>
      </c>
      <c r="P42" s="1">
        <f>VLOOKUP(A:A,MASTER!A:H,8,0)</f>
        <v>3</v>
      </c>
      <c r="Q42" s="12">
        <f t="shared" si="3"/>
        <v>-0.4</v>
      </c>
      <c r="R42" s="1">
        <f>VLOOKUP(A:A,MASTER!A:B,2,0)</f>
        <v>830</v>
      </c>
      <c r="S42">
        <f>VLOOKUP(A:A,MASTER!A:G,7,0)</f>
        <v>728</v>
      </c>
      <c r="T42" s="12">
        <f t="shared" si="4"/>
        <v>-0.12289156626506026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21253968.086201899</v>
      </c>
      <c r="G43" s="1">
        <f>VLOOKUP(A:A,MASTER!A:K,11,0)</f>
        <v>20575729.222999271</v>
      </c>
      <c r="H43" s="12">
        <f t="shared" si="0"/>
        <v>-3.1911164091892097E-2</v>
      </c>
      <c r="I43" s="2">
        <f>VLOOKUP(A:A,MASTER!A:E,5,0)</f>
        <v>671</v>
      </c>
      <c r="J43" s="2">
        <f>VLOOKUP(A:A,MASTER!A:J,10,0)</f>
        <v>558</v>
      </c>
      <c r="K43" s="12">
        <f t="shared" si="1"/>
        <v>-0.16840536512667659</v>
      </c>
      <c r="L43" s="2">
        <f>VLOOKUP(A:A,MASTER!A:D,4,0)</f>
        <v>11</v>
      </c>
      <c r="M43" s="2">
        <f>VLOOKUP(A:A,MASTER!A:I,9,0)</f>
        <v>8</v>
      </c>
      <c r="N43" s="12">
        <f t="shared" si="2"/>
        <v>-0.27272727272727271</v>
      </c>
      <c r="O43" s="1">
        <f>VLOOKUP(A:A,MASTER!A:C,3,0)</f>
        <v>3</v>
      </c>
      <c r="P43" s="1">
        <f>VLOOKUP(A:A,MASTER!A:H,8,0)</f>
        <v>0</v>
      </c>
      <c r="Q43" s="12">
        <f t="shared" si="3"/>
        <v>-1</v>
      </c>
      <c r="R43" s="1">
        <f>VLOOKUP(A:A,MASTER!A:B,2,0)</f>
        <v>701</v>
      </c>
      <c r="S43">
        <f>VLOOKUP(A:A,MASTER!A:G,7,0)</f>
        <v>709</v>
      </c>
      <c r="T43" s="12">
        <f t="shared" si="4"/>
        <v>1.1412268188302432E-2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18181143.725431334</v>
      </c>
      <c r="G44" s="1">
        <f>VLOOKUP(A:A,MASTER!A:K,11,0)</f>
        <v>19303865.027933616</v>
      </c>
      <c r="H44" s="12">
        <f t="shared" si="0"/>
        <v>6.175196233292235E-2</v>
      </c>
      <c r="I44" s="2">
        <f>VLOOKUP(A:A,MASTER!A:E,5,0)</f>
        <v>732</v>
      </c>
      <c r="J44" s="2">
        <f>VLOOKUP(A:A,MASTER!A:J,10,0)</f>
        <v>744</v>
      </c>
      <c r="K44" s="12">
        <f t="shared" si="1"/>
        <v>1.6393442622950838E-2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690</v>
      </c>
      <c r="S44">
        <f>VLOOKUP(A:A,MASTER!A:G,7,0)</f>
        <v>795</v>
      </c>
      <c r="T44" s="12">
        <f t="shared" si="4"/>
        <v>0.15217391304347827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58056100.845717795</v>
      </c>
      <c r="G45" s="1">
        <f>VLOOKUP(A:A,MASTER!A:K,11,0)</f>
        <v>62385273.714933924</v>
      </c>
      <c r="H45" s="12">
        <f t="shared" si="0"/>
        <v>7.4568784436984004E-2</v>
      </c>
      <c r="I45" s="2">
        <f>VLOOKUP(A:A,MASTER!A:E,5,0)</f>
        <v>1454</v>
      </c>
      <c r="J45" s="2">
        <f>VLOOKUP(A:A,MASTER!A:J,10,0)</f>
        <v>1094</v>
      </c>
      <c r="K45" s="12">
        <f t="shared" si="1"/>
        <v>-0.24759284731774411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2</v>
      </c>
      <c r="P45" s="1">
        <f>VLOOKUP(A:A,MASTER!A:H,8,0)</f>
        <v>5</v>
      </c>
      <c r="Q45" s="12">
        <f t="shared" si="3"/>
        <v>1.5</v>
      </c>
      <c r="R45" s="1">
        <f>VLOOKUP(A:A,MASTER!A:B,2,0)</f>
        <v>1238</v>
      </c>
      <c r="S45">
        <f>VLOOKUP(A:A,MASTER!A:G,7,0)</f>
        <v>1195</v>
      </c>
      <c r="T45" s="12">
        <f t="shared" si="4"/>
        <v>-3.4733441033925727E-2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27501290.30900624</v>
      </c>
      <c r="G46" s="1">
        <f>VLOOKUP(A:A,MASTER!A:K,11,0)</f>
        <v>27142791.840424143</v>
      </c>
      <c r="H46" s="12">
        <f t="shared" si="0"/>
        <v>-1.3035696309299905E-2</v>
      </c>
      <c r="I46" s="2">
        <f>VLOOKUP(A:A,MASTER!A:E,5,0)</f>
        <v>939</v>
      </c>
      <c r="J46" s="2">
        <f>VLOOKUP(A:A,MASTER!A:J,10,0)</f>
        <v>927</v>
      </c>
      <c r="K46" s="12">
        <f t="shared" si="1"/>
        <v>-1.2779552715655007E-2</v>
      </c>
      <c r="L46" s="2">
        <f>VLOOKUP(A:A,MASTER!A:D,4,0)</f>
        <v>7</v>
      </c>
      <c r="M46" s="2">
        <f>VLOOKUP(A:A,MASTER!A:I,9,0)</f>
        <v>5</v>
      </c>
      <c r="N46" s="12">
        <f t="shared" si="2"/>
        <v>-0.2857142857142857</v>
      </c>
      <c r="O46" s="1">
        <f>VLOOKUP(A:A,MASTER!A:C,3,0)</f>
        <v>3</v>
      </c>
      <c r="P46" s="1">
        <f>VLOOKUP(A:A,MASTER!A:H,8,0)</f>
        <v>2</v>
      </c>
      <c r="Q46" s="12">
        <f t="shared" si="3"/>
        <v>-0.33333333333333337</v>
      </c>
      <c r="R46" s="1">
        <f>VLOOKUP(A:A,MASTER!A:B,2,0)</f>
        <v>910</v>
      </c>
      <c r="S46">
        <f>VLOOKUP(A:A,MASTER!A:G,7,0)</f>
        <v>938</v>
      </c>
      <c r="T46" s="12">
        <f t="shared" si="4"/>
        <v>3.076923076923066E-2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48007052.156097807</v>
      </c>
      <c r="G47" s="1">
        <f>VLOOKUP(A:A,MASTER!A:K,11,0)</f>
        <v>49754972.721462965</v>
      </c>
      <c r="H47" s="12">
        <f t="shared" si="0"/>
        <v>3.6409662473790183E-2</v>
      </c>
      <c r="I47" s="2">
        <f>VLOOKUP(A:A,MASTER!A:E,5,0)</f>
        <v>951</v>
      </c>
      <c r="J47" s="2">
        <f>VLOOKUP(A:A,MASTER!A:J,10,0)</f>
        <v>1097</v>
      </c>
      <c r="K47" s="12">
        <f t="shared" si="1"/>
        <v>0.15352260778128279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5</v>
      </c>
      <c r="P47" s="1">
        <f>VLOOKUP(A:A,MASTER!A:H,8,0)</f>
        <v>3</v>
      </c>
      <c r="Q47" s="12">
        <f t="shared" si="3"/>
        <v>-0.4</v>
      </c>
      <c r="R47" s="1">
        <f>VLOOKUP(A:A,MASTER!A:B,2,0)</f>
        <v>1345</v>
      </c>
      <c r="S47">
        <f>VLOOKUP(A:A,MASTER!A:G,7,0)</f>
        <v>1495</v>
      </c>
      <c r="T47" s="12">
        <f t="shared" si="4"/>
        <v>0.11152416356877315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24801070.576041028</v>
      </c>
      <c r="G48" s="1">
        <f>VLOOKUP(A:A,MASTER!A:K,11,0)</f>
        <v>24039362.163346086</v>
      </c>
      <c r="H48" s="12">
        <f t="shared" si="0"/>
        <v>-3.0712723080220106E-2</v>
      </c>
      <c r="I48" s="2">
        <f>VLOOKUP(A:A,MASTER!A:E,5,0)</f>
        <v>370</v>
      </c>
      <c r="J48" s="2">
        <f>VLOOKUP(A:A,MASTER!A:J,10,0)</f>
        <v>393</v>
      </c>
      <c r="K48" s="12">
        <f t="shared" si="1"/>
        <v>6.2162162162162193E-2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1</v>
      </c>
      <c r="P48" s="1">
        <f>VLOOKUP(A:A,MASTER!A:H,8,0)</f>
        <v>4</v>
      </c>
      <c r="Q48" s="12">
        <f t="shared" si="3"/>
        <v>3</v>
      </c>
      <c r="R48" s="1">
        <f>VLOOKUP(A:A,MASTER!A:B,2,0)</f>
        <v>485</v>
      </c>
      <c r="S48">
        <f>VLOOKUP(A:A,MASTER!A:G,7,0)</f>
        <v>488</v>
      </c>
      <c r="T48" s="12">
        <f t="shared" si="4"/>
        <v>6.1855670103092564E-3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18011128.017276742</v>
      </c>
      <c r="G49" s="1">
        <f>VLOOKUP(A:A,MASTER!A:K,11,0)</f>
        <v>20227997.511374339</v>
      </c>
      <c r="H49" s="12">
        <f t="shared" si="0"/>
        <v>0.12308332337492245</v>
      </c>
      <c r="I49" s="2">
        <f>VLOOKUP(A:A,MASTER!A:E,5,0)</f>
        <v>314</v>
      </c>
      <c r="J49" s="2">
        <f>VLOOKUP(A:A,MASTER!A:J,10,0)</f>
        <v>359</v>
      </c>
      <c r="K49" s="12">
        <f t="shared" si="1"/>
        <v>0.1433121019108281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2</v>
      </c>
      <c r="Q49" s="12">
        <f t="shared" si="3"/>
        <v>0</v>
      </c>
      <c r="R49" s="1">
        <f>VLOOKUP(A:A,MASTER!A:B,2,0)</f>
        <v>456</v>
      </c>
      <c r="S49">
        <f>VLOOKUP(A:A,MASTER!A:G,7,0)</f>
        <v>444</v>
      </c>
      <c r="T49" s="12">
        <f t="shared" si="4"/>
        <v>-2.6315789473684181E-2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15806729.969322076</v>
      </c>
      <c r="G50" s="1">
        <f>VLOOKUP(A:A,MASTER!A:K,11,0)</f>
        <v>6362445.1973371059</v>
      </c>
      <c r="H50" s="12">
        <f t="shared" si="0"/>
        <v>-0.59748504531389934</v>
      </c>
      <c r="I50" s="2">
        <f>VLOOKUP(A:A,MASTER!A:E,5,0)</f>
        <v>335</v>
      </c>
      <c r="J50" s="2">
        <f>VLOOKUP(A:A,MASTER!A:J,10,0)</f>
        <v>315</v>
      </c>
      <c r="K50" s="12">
        <f t="shared" si="1"/>
        <v>-5.9701492537313383E-2</v>
      </c>
      <c r="L50" s="2">
        <f>VLOOKUP(A:A,MASTER!A:D,4,0)</f>
        <v>4</v>
      </c>
      <c r="M50" s="2">
        <f>VLOOKUP(A:A,MASTER!A:I,9,0)</f>
        <v>1</v>
      </c>
      <c r="N50" s="12">
        <f t="shared" si="2"/>
        <v>-0.75</v>
      </c>
      <c r="O50" s="1">
        <f>VLOOKUP(A:A,MASTER!A:C,3,0)</f>
        <v>2</v>
      </c>
      <c r="P50" s="1">
        <f>VLOOKUP(A:A,MASTER!A:H,8,0)</f>
        <v>1</v>
      </c>
      <c r="Q50" s="12">
        <f t="shared" si="3"/>
        <v>-0.5</v>
      </c>
      <c r="R50" s="1">
        <f>VLOOKUP(A:A,MASTER!A:B,2,0)</f>
        <v>422</v>
      </c>
      <c r="S50">
        <f>VLOOKUP(A:A,MASTER!A:G,7,0)</f>
        <v>221</v>
      </c>
      <c r="T50" s="12">
        <f t="shared" si="4"/>
        <v>-0.476303317535545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37145639.08092615</v>
      </c>
      <c r="G51" s="1">
        <f>VLOOKUP(A:A,MASTER!A:K,11,0)</f>
        <v>39087199.660863936</v>
      </c>
      <c r="H51" s="12">
        <f t="shared" si="0"/>
        <v>5.2268869993268074E-2</v>
      </c>
      <c r="I51" s="2">
        <f>VLOOKUP(A:A,MASTER!A:E,5,0)</f>
        <v>921</v>
      </c>
      <c r="J51" s="2">
        <f>VLOOKUP(A:A,MASTER!A:J,10,0)</f>
        <v>929</v>
      </c>
      <c r="K51" s="12">
        <f t="shared" si="1"/>
        <v>8.6862106406080386E-3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5</v>
      </c>
      <c r="P51" s="1">
        <f>VLOOKUP(A:A,MASTER!A:H,8,0)</f>
        <v>3</v>
      </c>
      <c r="Q51" s="12">
        <f t="shared" si="3"/>
        <v>-0.4</v>
      </c>
      <c r="R51" s="1">
        <f>VLOOKUP(A:A,MASTER!A:B,2,0)</f>
        <v>1104</v>
      </c>
      <c r="S51">
        <f>VLOOKUP(A:A,MASTER!A:G,7,0)</f>
        <v>972</v>
      </c>
      <c r="T51" s="12">
        <f t="shared" si="4"/>
        <v>-0.11956521739130432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38646435.694154151</v>
      </c>
      <c r="G52" s="1">
        <f>VLOOKUP(A:A,MASTER!A:K,11,0)</f>
        <v>40674626.262159429</v>
      </c>
      <c r="H52" s="12">
        <f t="shared" si="0"/>
        <v>5.2480663004895733E-2</v>
      </c>
      <c r="I52" s="2">
        <f>VLOOKUP(A:A,MASTER!A:E,5,0)</f>
        <v>926</v>
      </c>
      <c r="J52" s="2">
        <f>VLOOKUP(A:A,MASTER!A:J,10,0)</f>
        <v>883</v>
      </c>
      <c r="K52" s="12">
        <f t="shared" si="1"/>
        <v>-4.643628509719222E-2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7</v>
      </c>
      <c r="P52" s="1">
        <f>VLOOKUP(A:A,MASTER!A:H,8,0)</f>
        <v>5</v>
      </c>
      <c r="Q52" s="12">
        <f t="shared" si="3"/>
        <v>-0.2857142857142857</v>
      </c>
      <c r="R52" s="1">
        <f>VLOOKUP(A:A,MASTER!A:B,2,0)</f>
        <v>1009</v>
      </c>
      <c r="S52">
        <f>VLOOKUP(A:A,MASTER!A:G,7,0)</f>
        <v>1110</v>
      </c>
      <c r="T52" s="12">
        <f t="shared" si="4"/>
        <v>0.10009910802775024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69493810.821061969</v>
      </c>
      <c r="G53" s="1">
        <f>VLOOKUP(A:A,MASTER!A:K,11,0)</f>
        <v>72374424.098745659</v>
      </c>
      <c r="H53" s="12">
        <f t="shared" si="0"/>
        <v>4.1451364425832304E-2</v>
      </c>
      <c r="I53" s="2">
        <f>VLOOKUP(A:A,MASTER!A:E,5,0)</f>
        <v>1773</v>
      </c>
      <c r="J53" s="2">
        <f>VLOOKUP(A:A,MASTER!A:J,10,0)</f>
        <v>1501</v>
      </c>
      <c r="K53" s="12">
        <f t="shared" si="1"/>
        <v>-0.15341229554427527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10</v>
      </c>
      <c r="P53" s="1">
        <f>VLOOKUP(A:A,MASTER!A:H,8,0)</f>
        <v>16</v>
      </c>
      <c r="Q53" s="12">
        <f t="shared" si="3"/>
        <v>0.60000000000000009</v>
      </c>
      <c r="R53" s="1">
        <f>VLOOKUP(A:A,MASTER!A:B,2,0)</f>
        <v>2036</v>
      </c>
      <c r="S53">
        <f>VLOOKUP(A:A,MASTER!A:G,7,0)</f>
        <v>1846</v>
      </c>
      <c r="T53" s="12">
        <f t="shared" si="4"/>
        <v>-9.3320235756385039E-2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17384753.173172586</v>
      </c>
      <c r="G54" s="1">
        <f>VLOOKUP(A:A,MASTER!A:K,11,0)</f>
        <v>18923708.401292492</v>
      </c>
      <c r="H54" s="12">
        <f t="shared" si="0"/>
        <v>8.8523271673178305E-2</v>
      </c>
      <c r="I54" s="2">
        <f>VLOOKUP(A:A,MASTER!A:E,5,0)</f>
        <v>498</v>
      </c>
      <c r="J54" s="2">
        <f>VLOOKUP(A:A,MASTER!A:J,10,0)</f>
        <v>545</v>
      </c>
      <c r="K54" s="12">
        <f t="shared" si="1"/>
        <v>9.4377510040160706E-2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4</v>
      </c>
      <c r="P54" s="1">
        <f>VLOOKUP(A:A,MASTER!A:H,8,0)</f>
        <v>2</v>
      </c>
      <c r="Q54" s="12">
        <f t="shared" si="3"/>
        <v>-0.5</v>
      </c>
      <c r="R54" s="1">
        <f>VLOOKUP(A:A,MASTER!A:B,2,0)</f>
        <v>692</v>
      </c>
      <c r="S54">
        <f>VLOOKUP(A:A,MASTER!A:G,7,0)</f>
        <v>562</v>
      </c>
      <c r="T54" s="12">
        <f t="shared" si="4"/>
        <v>-0.18786127167630062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30326520.036693711</v>
      </c>
      <c r="G55" s="1">
        <f>VLOOKUP(A:A,MASTER!A:K,11,0)</f>
        <v>34240647.79706008</v>
      </c>
      <c r="H55" s="12">
        <f t="shared" si="0"/>
        <v>0.12906616900423962</v>
      </c>
      <c r="I55" s="2">
        <f>VLOOKUP(A:A,MASTER!A:E,5,0)</f>
        <v>790</v>
      </c>
      <c r="J55" s="2">
        <f>VLOOKUP(A:A,MASTER!A:J,10,0)</f>
        <v>775</v>
      </c>
      <c r="K55" s="12">
        <f t="shared" si="1"/>
        <v>-1.8987341772151889E-2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6</v>
      </c>
      <c r="P55" s="1">
        <f>VLOOKUP(A:A,MASTER!A:H,8,0)</f>
        <v>8</v>
      </c>
      <c r="Q55" s="12">
        <f t="shared" si="3"/>
        <v>0.33333333333333326</v>
      </c>
      <c r="R55" s="1">
        <f>VLOOKUP(A:A,MASTER!A:B,2,0)</f>
        <v>862</v>
      </c>
      <c r="S55">
        <f>VLOOKUP(A:A,MASTER!A:G,7,0)</f>
        <v>903</v>
      </c>
      <c r="T55" s="12">
        <f t="shared" si="4"/>
        <v>4.7563805104408274E-2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19194844.171725195</v>
      </c>
      <c r="G56" s="1">
        <f>VLOOKUP(A:A,MASTER!A:K,11,0)</f>
        <v>17557864.945764679</v>
      </c>
      <c r="H56" s="12">
        <f t="shared" si="0"/>
        <v>-8.5282235756404479E-2</v>
      </c>
      <c r="I56" s="2">
        <f>VLOOKUP(A:A,MASTER!A:E,5,0)</f>
        <v>658</v>
      </c>
      <c r="J56" s="2">
        <f>VLOOKUP(A:A,MASTER!A:J,10,0)</f>
        <v>574</v>
      </c>
      <c r="K56" s="12">
        <f t="shared" si="1"/>
        <v>-0.12765957446808507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0</v>
      </c>
      <c r="Q56" s="12">
        <f t="shared" si="3"/>
        <v>-1</v>
      </c>
      <c r="R56" s="1">
        <f>VLOOKUP(A:A,MASTER!A:B,2,0)</f>
        <v>746</v>
      </c>
      <c r="S56">
        <f>VLOOKUP(A:A,MASTER!A:G,7,0)</f>
        <v>663</v>
      </c>
      <c r="T56" s="12">
        <f t="shared" si="4"/>
        <v>-0.11126005361930291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38667760.821667828</v>
      </c>
      <c r="G57" s="1">
        <f>VLOOKUP(A:A,MASTER!A:K,11,0)</f>
        <v>42707054.597119845</v>
      </c>
      <c r="H57" s="12">
        <f t="shared" si="0"/>
        <v>0.10446153823286708</v>
      </c>
      <c r="I57" s="2">
        <f>VLOOKUP(A:A,MASTER!A:E,5,0)</f>
        <v>938</v>
      </c>
      <c r="J57" s="2">
        <f>VLOOKUP(A:A,MASTER!A:J,10,0)</f>
        <v>1062</v>
      </c>
      <c r="K57" s="12">
        <f t="shared" si="1"/>
        <v>0.13219616204690832</v>
      </c>
      <c r="L57" s="2">
        <f>VLOOKUP(A:A,MASTER!A:D,4,0)</f>
        <v>0</v>
      </c>
      <c r="M57" s="2">
        <f>VLOOKUP(A:A,MASTER!A:I,9,0)</f>
        <v>1</v>
      </c>
      <c r="N57" s="12">
        <f t="shared" si="2"/>
        <v>0</v>
      </c>
      <c r="O57" s="1">
        <f>VLOOKUP(A:A,MASTER!A:C,3,0)</f>
        <v>6</v>
      </c>
      <c r="P57" s="1">
        <f>VLOOKUP(A:A,MASTER!A:H,8,0)</f>
        <v>6</v>
      </c>
      <c r="Q57" s="12">
        <f t="shared" si="3"/>
        <v>0</v>
      </c>
      <c r="R57" s="1">
        <f>VLOOKUP(A:A,MASTER!A:B,2,0)</f>
        <v>1110</v>
      </c>
      <c r="S57">
        <f>VLOOKUP(A:A,MASTER!A:G,7,0)</f>
        <v>1156</v>
      </c>
      <c r="T57" s="12">
        <f t="shared" si="4"/>
        <v>4.1441441441441462E-2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47149145.488019548</v>
      </c>
      <c r="G58" s="1">
        <f>VLOOKUP(A:A,MASTER!A:K,11,0)</f>
        <v>59553692.350798987</v>
      </c>
      <c r="H58" s="12">
        <f t="shared" si="0"/>
        <v>0.26309165806475532</v>
      </c>
      <c r="I58" s="2">
        <f>VLOOKUP(A:A,MASTER!A:E,5,0)</f>
        <v>1041</v>
      </c>
      <c r="J58" s="2">
        <f>VLOOKUP(A:A,MASTER!A:J,10,0)</f>
        <v>1603</v>
      </c>
      <c r="K58" s="12">
        <f t="shared" si="1"/>
        <v>0.53986551392891458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8</v>
      </c>
      <c r="P58" s="1">
        <f>VLOOKUP(A:A,MASTER!A:H,8,0)</f>
        <v>17</v>
      </c>
      <c r="Q58" s="12">
        <f t="shared" si="3"/>
        <v>1.125</v>
      </c>
      <c r="R58" s="1">
        <f>VLOOKUP(A:A,MASTER!A:B,2,0)</f>
        <v>1497</v>
      </c>
      <c r="S58">
        <f>VLOOKUP(A:A,MASTER!A:G,7,0)</f>
        <v>1748</v>
      </c>
      <c r="T58" s="12">
        <f t="shared" si="4"/>
        <v>0.16766867067468261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26294359.603784792</v>
      </c>
      <c r="G59" s="1">
        <f>VLOOKUP(A:A,MASTER!A:K,11,0)</f>
        <v>24696556.024657793</v>
      </c>
      <c r="H59" s="12">
        <f t="shared" si="0"/>
        <v>-6.0766019907060653E-2</v>
      </c>
      <c r="I59" s="2">
        <f>VLOOKUP(A:A,MASTER!A:E,5,0)</f>
        <v>754</v>
      </c>
      <c r="J59" s="2">
        <f>VLOOKUP(A:A,MASTER!A:J,10,0)</f>
        <v>809</v>
      </c>
      <c r="K59" s="12">
        <f t="shared" si="1"/>
        <v>7.2944297082228049E-2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2</v>
      </c>
      <c r="P59" s="1">
        <f>VLOOKUP(A:A,MASTER!A:H,8,0)</f>
        <v>4</v>
      </c>
      <c r="Q59" s="12">
        <f t="shared" si="3"/>
        <v>1</v>
      </c>
      <c r="R59" s="1">
        <f>VLOOKUP(A:A,MASTER!A:B,2,0)</f>
        <v>764</v>
      </c>
      <c r="S59">
        <f>VLOOKUP(A:A,MASTER!A:G,7,0)</f>
        <v>875</v>
      </c>
      <c r="T59" s="12">
        <f t="shared" si="4"/>
        <v>0.14528795811518314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29381517.297919996</v>
      </c>
      <c r="G60" s="1">
        <f>VLOOKUP(A:A,MASTER!A:K,11,0)</f>
        <v>30966755.450658873</v>
      </c>
      <c r="H60" s="12">
        <f t="shared" si="0"/>
        <v>5.3953583699065888E-2</v>
      </c>
      <c r="I60" s="2">
        <f>VLOOKUP(A:A,MASTER!A:E,5,0)</f>
        <v>470</v>
      </c>
      <c r="J60" s="2">
        <f>VLOOKUP(A:A,MASTER!A:J,10,0)</f>
        <v>471</v>
      </c>
      <c r="K60" s="12">
        <f t="shared" si="1"/>
        <v>2.1276595744681437E-3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10</v>
      </c>
      <c r="P60" s="1">
        <f>VLOOKUP(A:A,MASTER!A:H,8,0)</f>
        <v>5</v>
      </c>
      <c r="Q60" s="12">
        <f t="shared" si="3"/>
        <v>-0.5</v>
      </c>
      <c r="R60" s="1">
        <f>VLOOKUP(A:A,MASTER!A:B,2,0)</f>
        <v>636</v>
      </c>
      <c r="S60">
        <f>VLOOKUP(A:A,MASTER!A:G,7,0)</f>
        <v>567</v>
      </c>
      <c r="T60" s="12">
        <f t="shared" si="4"/>
        <v>-0.10849056603773588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94637122.61423178</v>
      </c>
      <c r="G61" s="1">
        <f>VLOOKUP(A:A,MASTER!A:K,11,0)</f>
        <v>98297860.045866206</v>
      </c>
      <c r="H61" s="12">
        <f t="shared" si="0"/>
        <v>3.8681833624175654E-2</v>
      </c>
      <c r="I61" s="2">
        <f>VLOOKUP(A:A,MASTER!A:E,5,0)</f>
        <v>1567</v>
      </c>
      <c r="J61" s="2">
        <f>VLOOKUP(A:A,MASTER!A:J,10,0)</f>
        <v>1667</v>
      </c>
      <c r="K61" s="12">
        <f t="shared" si="1"/>
        <v>6.3816209317166583E-2</v>
      </c>
      <c r="L61" s="2">
        <f>VLOOKUP(A:A,MASTER!A:D,4,0)</f>
        <v>11</v>
      </c>
      <c r="M61" s="2">
        <f>VLOOKUP(A:A,MASTER!A:I,9,0)</f>
        <v>12</v>
      </c>
      <c r="N61" s="12">
        <f t="shared" si="2"/>
        <v>9.0909090909090828E-2</v>
      </c>
      <c r="O61" s="1">
        <f>VLOOKUP(A:A,MASTER!A:C,3,0)</f>
        <v>14</v>
      </c>
      <c r="P61" s="1">
        <f>VLOOKUP(A:A,MASTER!A:H,8,0)</f>
        <v>19</v>
      </c>
      <c r="Q61" s="12">
        <f t="shared" si="3"/>
        <v>0.35714285714285721</v>
      </c>
      <c r="R61" s="1">
        <f>VLOOKUP(A:A,MASTER!A:B,2,0)</f>
        <v>1990</v>
      </c>
      <c r="S61">
        <f>VLOOKUP(A:A,MASTER!A:G,7,0)</f>
        <v>1973</v>
      </c>
      <c r="T61" s="12">
        <f t="shared" si="4"/>
        <v>-8.5427135678391997E-3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70773748.576810673</v>
      </c>
      <c r="G62" s="1">
        <f>VLOOKUP(A:A,MASTER!A:K,11,0)</f>
        <v>71935440.42983456</v>
      </c>
      <c r="H62" s="12">
        <f t="shared" si="0"/>
        <v>1.6414163109689017E-2</v>
      </c>
      <c r="I62" s="2">
        <f>VLOOKUP(A:A,MASTER!A:E,5,0)</f>
        <v>1356</v>
      </c>
      <c r="J62" s="2">
        <f>VLOOKUP(A:A,MASTER!A:J,10,0)</f>
        <v>1328</v>
      </c>
      <c r="K62" s="12">
        <f t="shared" si="1"/>
        <v>-2.0648967551622377E-2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16</v>
      </c>
      <c r="P62" s="1">
        <f>VLOOKUP(A:A,MASTER!A:H,8,0)</f>
        <v>14</v>
      </c>
      <c r="Q62" s="12">
        <f t="shared" si="3"/>
        <v>-0.125</v>
      </c>
      <c r="R62" s="1">
        <f>VLOOKUP(A:A,MASTER!A:B,2,0)</f>
        <v>1599</v>
      </c>
      <c r="S62">
        <f>VLOOKUP(A:A,MASTER!A:G,7,0)</f>
        <v>1671</v>
      </c>
      <c r="T62" s="12">
        <f t="shared" si="4"/>
        <v>4.5028142589118136E-2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45665609.810448475</v>
      </c>
      <c r="G63" s="1">
        <f>VLOOKUP(A:A,MASTER!A:K,11,0)</f>
        <v>47462901.347901933</v>
      </c>
      <c r="H63" s="12">
        <f t="shared" si="0"/>
        <v>3.9357659843233472E-2</v>
      </c>
      <c r="I63" s="2">
        <f>VLOOKUP(A:A,MASTER!A:E,5,0)</f>
        <v>654</v>
      </c>
      <c r="J63" s="2">
        <f>VLOOKUP(A:A,MASTER!A:J,10,0)</f>
        <v>732</v>
      </c>
      <c r="K63" s="12">
        <f t="shared" si="1"/>
        <v>0.11926605504587151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7</v>
      </c>
      <c r="P63" s="1">
        <f>VLOOKUP(A:A,MASTER!A:H,8,0)</f>
        <v>2</v>
      </c>
      <c r="Q63" s="12">
        <f t="shared" si="3"/>
        <v>-0.7142857142857143</v>
      </c>
      <c r="R63" s="1">
        <f>VLOOKUP(A:A,MASTER!A:B,2,0)</f>
        <v>894</v>
      </c>
      <c r="S63">
        <f>VLOOKUP(A:A,MASTER!A:G,7,0)</f>
        <v>937</v>
      </c>
      <c r="T63" s="12">
        <f t="shared" si="4"/>
        <v>4.8098434004474333E-2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67656800.451480851</v>
      </c>
      <c r="G64" s="1">
        <f>VLOOKUP(A:A,MASTER!A:K,11,0)</f>
        <v>64152120.69018504</v>
      </c>
      <c r="H64" s="12">
        <f t="shared" si="0"/>
        <v>-5.180084984670752E-2</v>
      </c>
      <c r="I64" s="2">
        <f>VLOOKUP(A:A,MASTER!A:E,5,0)</f>
        <v>1245</v>
      </c>
      <c r="J64" s="2">
        <f>VLOOKUP(A:A,MASTER!A:J,10,0)</f>
        <v>1327</v>
      </c>
      <c r="K64" s="12">
        <f t="shared" si="1"/>
        <v>6.5863453815261153E-2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377</v>
      </c>
      <c r="P64" s="1">
        <f>VLOOKUP(A:A,MASTER!A:H,8,0)</f>
        <v>513</v>
      </c>
      <c r="Q64" s="12">
        <f t="shared" si="3"/>
        <v>0.36074270557029187</v>
      </c>
      <c r="R64" s="1">
        <f>VLOOKUP(A:A,MASTER!A:B,2,0)</f>
        <v>2204</v>
      </c>
      <c r="S64">
        <f>VLOOKUP(A:A,MASTER!A:G,7,0)</f>
        <v>2091</v>
      </c>
      <c r="T64" s="12">
        <f t="shared" si="4"/>
        <v>-5.1270417422867531E-2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2633379.3830935382</v>
      </c>
      <c r="G65" s="1">
        <f>VLOOKUP(A:A,MASTER!A:K,11,0)</f>
        <v>5153593.4177207183</v>
      </c>
      <c r="H65" s="12">
        <f t="shared" si="0"/>
        <v>0.95702656852526191</v>
      </c>
      <c r="I65" s="2">
        <f>VLOOKUP(A:A,MASTER!A:E,5,0)</f>
        <v>246</v>
      </c>
      <c r="J65" s="2">
        <f>VLOOKUP(A:A,MASTER!A:J,10,0)</f>
        <v>264</v>
      </c>
      <c r="K65" s="12">
        <f t="shared" si="1"/>
        <v>7.3170731707317138E-2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0</v>
      </c>
      <c r="P65" s="1">
        <f>VLOOKUP(A:A,MASTER!A:H,8,0)</f>
        <v>2</v>
      </c>
      <c r="Q65" s="12">
        <f t="shared" si="3"/>
        <v>0</v>
      </c>
      <c r="R65" s="1">
        <f>VLOOKUP(A:A,MASTER!A:B,2,0)</f>
        <v>252</v>
      </c>
      <c r="S65">
        <f>VLOOKUP(A:A,MASTER!A:G,7,0)</f>
        <v>265</v>
      </c>
      <c r="T65" s="12">
        <f t="shared" si="4"/>
        <v>5.1587301587301626E-2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48997107.208894491</v>
      </c>
      <c r="G66" s="1">
        <f>VLOOKUP(A:A,MASTER!A:K,11,0)</f>
        <v>47950631.785390586</v>
      </c>
      <c r="H66" s="12">
        <f t="shared" si="0"/>
        <v>-2.1357902192926548E-2</v>
      </c>
      <c r="I66" s="2">
        <f>VLOOKUP(A:A,MASTER!A:E,5,0)</f>
        <v>1571</v>
      </c>
      <c r="J66" s="2">
        <f>VLOOKUP(A:A,MASTER!A:J,10,0)</f>
        <v>1523</v>
      </c>
      <c r="K66" s="12">
        <f t="shared" si="1"/>
        <v>-3.0553787396562671E-2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9</v>
      </c>
      <c r="P66" s="1">
        <f>VLOOKUP(A:A,MASTER!A:H,8,0)</f>
        <v>18</v>
      </c>
      <c r="Q66" s="12">
        <f t="shared" si="3"/>
        <v>1</v>
      </c>
      <c r="R66" s="1">
        <f>VLOOKUP(A:A,MASTER!A:B,2,0)</f>
        <v>1663</v>
      </c>
      <c r="S66">
        <f>VLOOKUP(A:A,MASTER!A:G,7,0)</f>
        <v>1715</v>
      </c>
      <c r="T66" s="12">
        <f t="shared" si="4"/>
        <v>3.1268791340950175E-2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23101263.016764838</v>
      </c>
      <c r="G67" s="1">
        <f>VLOOKUP(A:A,MASTER!A:K,11,0)</f>
        <v>22046341.14536155</v>
      </c>
      <c r="H67" s="12">
        <f t="shared" ref="H67:H85" si="5">IFERROR(G67/F67-1,0)</f>
        <v>-4.566511669243889E-2</v>
      </c>
      <c r="I67" s="2">
        <f>VLOOKUP(A:A,MASTER!A:E,5,0)</f>
        <v>614</v>
      </c>
      <c r="J67" s="2">
        <f>VLOOKUP(A:A,MASTER!A:J,10,0)</f>
        <v>612</v>
      </c>
      <c r="K67" s="12">
        <f t="shared" ref="K67:K85" si="6">IFERROR(J67/I67-1,0)</f>
        <v>-3.2573289902280145E-3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3</v>
      </c>
      <c r="P67" s="1">
        <f>VLOOKUP(A:A,MASTER!A:H,8,0)</f>
        <v>4</v>
      </c>
      <c r="Q67" s="12">
        <f t="shared" ref="Q67:Q85" si="8">IFERROR(P67/O67-1,0)</f>
        <v>0.33333333333333326</v>
      </c>
      <c r="R67" s="1">
        <f>VLOOKUP(A:A,MASTER!A:B,2,0)</f>
        <v>739</v>
      </c>
      <c r="S67">
        <f>VLOOKUP(A:A,MASTER!A:G,7,0)</f>
        <v>877</v>
      </c>
      <c r="T67" s="12">
        <f t="shared" ref="T67:T85" si="9">IFERROR(S67/R67-1,0)</f>
        <v>0.18673883626522336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34973917.453895658</v>
      </c>
      <c r="G68" s="1">
        <f>VLOOKUP(A:A,MASTER!A:K,11,0)</f>
        <v>36678397.562773459</v>
      </c>
      <c r="H68" s="12">
        <f t="shared" si="5"/>
        <v>4.8735750323787075E-2</v>
      </c>
      <c r="I68" s="2">
        <f>VLOOKUP(A:A,MASTER!A:E,5,0)</f>
        <v>982</v>
      </c>
      <c r="J68" s="2">
        <f>VLOOKUP(A:A,MASTER!A:J,10,0)</f>
        <v>1117</v>
      </c>
      <c r="K68" s="12">
        <f t="shared" si="6"/>
        <v>0.13747454175152751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23</v>
      </c>
      <c r="P68" s="1">
        <f>VLOOKUP(A:A,MASTER!A:H,8,0)</f>
        <v>66</v>
      </c>
      <c r="Q68" s="12">
        <f t="shared" si="8"/>
        <v>1.8695652173913042</v>
      </c>
      <c r="R68" s="1">
        <f>VLOOKUP(A:A,MASTER!A:B,2,0)</f>
        <v>1391</v>
      </c>
      <c r="S68">
        <f>VLOOKUP(A:A,MASTER!A:G,7,0)</f>
        <v>1378</v>
      </c>
      <c r="T68" s="12">
        <f t="shared" si="9"/>
        <v>-9.3457943925233655E-3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22203502.898916803</v>
      </c>
      <c r="G69" s="1">
        <f>VLOOKUP(A:A,MASTER!A:K,11,0)</f>
        <v>27770658.560409263</v>
      </c>
      <c r="H69" s="12">
        <f t="shared" si="5"/>
        <v>0.25073321479216015</v>
      </c>
      <c r="I69" s="2">
        <f>VLOOKUP(A:A,MASTER!A:E,5,0)</f>
        <v>1208</v>
      </c>
      <c r="J69" s="2">
        <f>VLOOKUP(A:A,MASTER!A:J,10,0)</f>
        <v>1377</v>
      </c>
      <c r="K69" s="12">
        <f t="shared" si="6"/>
        <v>0.13990066225165565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6</v>
      </c>
      <c r="P69" s="1">
        <f>VLOOKUP(A:A,MASTER!A:H,8,0)</f>
        <v>6</v>
      </c>
      <c r="Q69" s="12">
        <f t="shared" si="8"/>
        <v>0</v>
      </c>
      <c r="R69" s="1">
        <f>VLOOKUP(A:A,MASTER!A:B,2,0)</f>
        <v>1253</v>
      </c>
      <c r="S69">
        <f>VLOOKUP(A:A,MASTER!A:G,7,0)</f>
        <v>1561</v>
      </c>
      <c r="T69" s="12">
        <f t="shared" si="9"/>
        <v>0.24581005586592175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61243048.896313921</v>
      </c>
      <c r="G70" s="1">
        <f>VLOOKUP(A:A,MASTER!A:K,11,0)</f>
        <v>63578906.020253301</v>
      </c>
      <c r="H70" s="12">
        <f t="shared" si="5"/>
        <v>3.8140771337071167E-2</v>
      </c>
      <c r="I70" s="2">
        <f>VLOOKUP(A:A,MASTER!A:E,5,0)</f>
        <v>1241</v>
      </c>
      <c r="J70" s="2">
        <f>VLOOKUP(A:A,MASTER!A:J,10,0)</f>
        <v>1292</v>
      </c>
      <c r="K70" s="12">
        <f t="shared" si="6"/>
        <v>4.1095890410958846E-2</v>
      </c>
      <c r="L70" s="2">
        <f>VLOOKUP(A:A,MASTER!A:D,4,0)</f>
        <v>5</v>
      </c>
      <c r="M70" s="2">
        <f>VLOOKUP(A:A,MASTER!A:I,9,0)</f>
        <v>7</v>
      </c>
      <c r="N70" s="12">
        <f t="shared" si="7"/>
        <v>0.39999999999999991</v>
      </c>
      <c r="O70" s="1">
        <f>VLOOKUP(A:A,MASTER!A:C,3,0)</f>
        <v>13</v>
      </c>
      <c r="P70" s="1">
        <f>VLOOKUP(A:A,MASTER!A:H,8,0)</f>
        <v>14</v>
      </c>
      <c r="Q70" s="12">
        <f t="shared" si="8"/>
        <v>7.6923076923076872E-2</v>
      </c>
      <c r="R70" s="1">
        <f>VLOOKUP(A:A,MASTER!A:B,2,0)</f>
        <v>1758</v>
      </c>
      <c r="S70">
        <f>VLOOKUP(A:A,MASTER!A:G,7,0)</f>
        <v>1564</v>
      </c>
      <c r="T70" s="12">
        <f t="shared" si="9"/>
        <v>-0.11035267349260525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12389661.65920596</v>
      </c>
      <c r="G71" s="1">
        <f>VLOOKUP(A:A,MASTER!A:K,11,0)</f>
        <v>11379397.772014776</v>
      </c>
      <c r="H71" s="12">
        <f t="shared" si="5"/>
        <v>-8.1540877788258359E-2</v>
      </c>
      <c r="I71" s="2">
        <f>VLOOKUP(A:A,MASTER!A:E,5,0)</f>
        <v>440</v>
      </c>
      <c r="J71" s="2">
        <f>VLOOKUP(A:A,MASTER!A:J,10,0)</f>
        <v>419</v>
      </c>
      <c r="K71" s="12">
        <f t="shared" si="6"/>
        <v>-4.7727272727272729E-2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4</v>
      </c>
      <c r="Q71" s="12">
        <f t="shared" si="8"/>
        <v>1</v>
      </c>
      <c r="R71" s="1">
        <f>VLOOKUP(A:A,MASTER!A:B,2,0)</f>
        <v>507</v>
      </c>
      <c r="S71">
        <f>VLOOKUP(A:A,MASTER!A:G,7,0)</f>
        <v>472</v>
      </c>
      <c r="T71" s="12">
        <f t="shared" si="9"/>
        <v>-6.903353057199213E-2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19944616.410577688</v>
      </c>
      <c r="G72" s="1">
        <f>VLOOKUP(A:A,MASTER!A:K,11,0)</f>
        <v>22860464.684708528</v>
      </c>
      <c r="H72" s="12">
        <f t="shared" si="5"/>
        <v>0.14619726015810519</v>
      </c>
      <c r="I72" s="2">
        <f>VLOOKUP(A:A,MASTER!A:E,5,0)</f>
        <v>791</v>
      </c>
      <c r="J72" s="2">
        <f>VLOOKUP(A:A,MASTER!A:J,10,0)</f>
        <v>835</v>
      </c>
      <c r="K72" s="12">
        <f t="shared" si="6"/>
        <v>5.5625790139064435E-2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3</v>
      </c>
      <c r="P72" s="1">
        <f>VLOOKUP(A:A,MASTER!A:H,8,0)</f>
        <v>2</v>
      </c>
      <c r="Q72" s="12">
        <f t="shared" si="8"/>
        <v>-0.33333333333333337</v>
      </c>
      <c r="R72" s="1">
        <f>VLOOKUP(A:A,MASTER!A:B,2,0)</f>
        <v>879</v>
      </c>
      <c r="S72">
        <f>VLOOKUP(A:A,MASTER!A:G,7,0)</f>
        <v>831</v>
      </c>
      <c r="T72" s="12">
        <f t="shared" si="9"/>
        <v>-5.4607508532423243E-2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19632821.125206627</v>
      </c>
      <c r="G73" s="1">
        <f>VLOOKUP(A:A,MASTER!A:K,11,0)</f>
        <v>21790440.960611559</v>
      </c>
      <c r="H73" s="12">
        <f t="shared" si="5"/>
        <v>0.10989861424626124</v>
      </c>
      <c r="I73" s="2">
        <f>VLOOKUP(A:A,MASTER!A:E,5,0)</f>
        <v>487</v>
      </c>
      <c r="J73" s="2">
        <f>VLOOKUP(A:A,MASTER!A:J,10,0)</f>
        <v>485</v>
      </c>
      <c r="K73" s="12">
        <f t="shared" si="6"/>
        <v>-4.1067761806981018E-3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1</v>
      </c>
      <c r="P73" s="1">
        <f>VLOOKUP(A:A,MASTER!A:H,8,0)</f>
        <v>2</v>
      </c>
      <c r="Q73" s="12">
        <f t="shared" si="8"/>
        <v>1</v>
      </c>
      <c r="R73" s="1">
        <f>VLOOKUP(A:A,MASTER!A:B,2,0)</f>
        <v>645</v>
      </c>
      <c r="S73">
        <f>VLOOKUP(A:A,MASTER!A:G,7,0)</f>
        <v>596</v>
      </c>
      <c r="T73" s="12">
        <f t="shared" si="9"/>
        <v>-7.5968992248061973E-2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14969353.601374509</v>
      </c>
      <c r="G74" s="1">
        <f>VLOOKUP(A:A,MASTER!A:K,11,0)</f>
        <v>14624074.907011259</v>
      </c>
      <c r="H74" s="12">
        <f t="shared" si="5"/>
        <v>-2.306570501023808E-2</v>
      </c>
      <c r="I74" s="2">
        <f>VLOOKUP(A:A,MASTER!A:E,5,0)</f>
        <v>596</v>
      </c>
      <c r="J74" s="2">
        <f>VLOOKUP(A:A,MASTER!A:J,10,0)</f>
        <v>897</v>
      </c>
      <c r="K74" s="12">
        <f t="shared" si="6"/>
        <v>0.50503355704697994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6</v>
      </c>
      <c r="P74" s="1">
        <f>VLOOKUP(A:A,MASTER!A:H,8,0)</f>
        <v>12</v>
      </c>
      <c r="Q74" s="12">
        <f t="shared" si="8"/>
        <v>1</v>
      </c>
      <c r="R74" s="1">
        <f>VLOOKUP(A:A,MASTER!A:B,2,0)</f>
        <v>616</v>
      </c>
      <c r="S74">
        <f>VLOOKUP(A:A,MASTER!A:G,7,0)</f>
        <v>934</v>
      </c>
      <c r="T74" s="12">
        <f t="shared" si="9"/>
        <v>0.51623376623376616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16533756.493633192</v>
      </c>
      <c r="G75" s="1">
        <f>VLOOKUP(A:A,MASTER!A:K,11,0)</f>
        <v>14984463.80901321</v>
      </c>
      <c r="H75" s="12">
        <f t="shared" si="5"/>
        <v>-9.3704820511695708E-2</v>
      </c>
      <c r="I75" s="2">
        <f>VLOOKUP(A:A,MASTER!A:E,5,0)</f>
        <v>471</v>
      </c>
      <c r="J75" s="2">
        <f>VLOOKUP(A:A,MASTER!A:J,10,0)</f>
        <v>451</v>
      </c>
      <c r="K75" s="12">
        <f t="shared" si="6"/>
        <v>-4.2462845010615702E-2</v>
      </c>
      <c r="L75" s="2">
        <f>VLOOKUP(A:A,MASTER!A:D,4,0)</f>
        <v>7</v>
      </c>
      <c r="M75" s="2">
        <f>VLOOKUP(A:A,MASTER!A:I,9,0)</f>
        <v>8</v>
      </c>
      <c r="N75" s="12">
        <f t="shared" si="7"/>
        <v>0.14285714285714279</v>
      </c>
      <c r="O75" s="1">
        <f>VLOOKUP(A:A,MASTER!A:C,3,0)</f>
        <v>1</v>
      </c>
      <c r="P75" s="1">
        <f>VLOOKUP(A:A,MASTER!A:H,8,0)</f>
        <v>3</v>
      </c>
      <c r="Q75" s="12">
        <f t="shared" si="8"/>
        <v>2</v>
      </c>
      <c r="R75" s="1">
        <f>VLOOKUP(A:A,MASTER!A:B,2,0)</f>
        <v>442</v>
      </c>
      <c r="S75">
        <f>VLOOKUP(A:A,MASTER!A:G,7,0)</f>
        <v>455</v>
      </c>
      <c r="T75" s="12">
        <f t="shared" si="9"/>
        <v>2.9411764705882248E-2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43975831.586132079</v>
      </c>
      <c r="G76" s="1">
        <f>VLOOKUP(A:A,MASTER!A:K,11,0)</f>
        <v>36846421.380385205</v>
      </c>
      <c r="H76" s="12">
        <f t="shared" si="5"/>
        <v>-0.16212110035447647</v>
      </c>
      <c r="I76" s="2">
        <f>VLOOKUP(A:A,MASTER!A:E,5,0)</f>
        <v>911</v>
      </c>
      <c r="J76" s="2">
        <f>VLOOKUP(A:A,MASTER!A:J,10,0)</f>
        <v>716</v>
      </c>
      <c r="K76" s="12">
        <f t="shared" si="6"/>
        <v>-0.21405049396267839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6</v>
      </c>
      <c r="P76" s="1">
        <f>VLOOKUP(A:A,MASTER!A:H,8,0)</f>
        <v>7</v>
      </c>
      <c r="Q76" s="12">
        <f t="shared" si="8"/>
        <v>0.16666666666666674</v>
      </c>
      <c r="R76" s="1">
        <f>VLOOKUP(A:A,MASTER!A:B,2,0)</f>
        <v>919</v>
      </c>
      <c r="S76">
        <f>VLOOKUP(A:A,MASTER!A:G,7,0)</f>
        <v>821</v>
      </c>
      <c r="T76" s="12">
        <f t="shared" si="9"/>
        <v>-0.10663764961915123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25803193.875584789</v>
      </c>
      <c r="G77" s="1">
        <f>VLOOKUP(A:A,MASTER!A:K,11,0)</f>
        <v>26570428.250516757</v>
      </c>
      <c r="H77" s="12">
        <f t="shared" si="5"/>
        <v>2.9734085579922409E-2</v>
      </c>
      <c r="I77" s="2">
        <f>VLOOKUP(A:A,MASTER!A:E,5,0)</f>
        <v>694</v>
      </c>
      <c r="J77" s="2">
        <f>VLOOKUP(A:A,MASTER!A:J,10,0)</f>
        <v>729</v>
      </c>
      <c r="K77" s="12">
        <f t="shared" si="6"/>
        <v>5.0432276657060626E-2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2</v>
      </c>
      <c r="P77" s="1">
        <f>VLOOKUP(A:A,MASTER!A:H,8,0)</f>
        <v>3</v>
      </c>
      <c r="Q77" s="12">
        <f t="shared" si="8"/>
        <v>0.5</v>
      </c>
      <c r="R77" s="1">
        <f>VLOOKUP(A:A,MASTER!A:B,2,0)</f>
        <v>772</v>
      </c>
      <c r="S77">
        <f>VLOOKUP(A:A,MASTER!A:G,7,0)</f>
        <v>795</v>
      </c>
      <c r="T77" s="12">
        <f t="shared" si="9"/>
        <v>2.9792746113989743E-2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21430456.487673119</v>
      </c>
      <c r="G78" s="1">
        <f>VLOOKUP(A:A,MASTER!A:K,11,0)</f>
        <v>21496542.429334331</v>
      </c>
      <c r="H78" s="12">
        <f t="shared" si="5"/>
        <v>3.0837393360811927E-3</v>
      </c>
      <c r="I78" s="2">
        <f>VLOOKUP(A:A,MASTER!A:E,5,0)</f>
        <v>969</v>
      </c>
      <c r="J78" s="2">
        <f>VLOOKUP(A:A,MASTER!A:J,10,0)</f>
        <v>912</v>
      </c>
      <c r="K78" s="12">
        <f t="shared" si="6"/>
        <v>-5.8823529411764719E-2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3</v>
      </c>
      <c r="Q78" s="12">
        <f t="shared" si="8"/>
        <v>0</v>
      </c>
      <c r="R78" s="1">
        <f>VLOOKUP(A:A,MASTER!A:B,2,0)</f>
        <v>961</v>
      </c>
      <c r="S78">
        <f>VLOOKUP(A:A,MASTER!A:G,7,0)</f>
        <v>1014</v>
      </c>
      <c r="T78" s="12">
        <f t="shared" si="9"/>
        <v>5.5150884495317465E-2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22212680.787092481</v>
      </c>
      <c r="G79" s="1">
        <f>VLOOKUP(A:A,MASTER!A:K,11,0)</f>
        <v>25862734.284609228</v>
      </c>
      <c r="H79" s="12">
        <f t="shared" si="5"/>
        <v>0.16432296184788964</v>
      </c>
      <c r="I79" s="2">
        <f>VLOOKUP(A:A,MASTER!A:E,5,0)</f>
        <v>866</v>
      </c>
      <c r="J79" s="2">
        <f>VLOOKUP(A:A,MASTER!A:J,10,0)</f>
        <v>829</v>
      </c>
      <c r="K79" s="12">
        <f t="shared" si="6"/>
        <v>-4.2725173210161671E-2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2</v>
      </c>
      <c r="P79" s="1">
        <f>VLOOKUP(A:A,MASTER!A:H,8,0)</f>
        <v>2</v>
      </c>
      <c r="Q79" s="12">
        <f t="shared" si="8"/>
        <v>0</v>
      </c>
      <c r="R79" s="1">
        <f>VLOOKUP(A:A,MASTER!A:B,2,0)</f>
        <v>996</v>
      </c>
      <c r="S79">
        <f>VLOOKUP(A:A,MASTER!A:G,7,0)</f>
        <v>887</v>
      </c>
      <c r="T79" s="12">
        <f t="shared" si="9"/>
        <v>-0.10943775100401609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28452287.495797113</v>
      </c>
      <c r="G80" s="1">
        <f>VLOOKUP(A:A,MASTER!A:K,11,0)</f>
        <v>31363755.234437577</v>
      </c>
      <c r="H80" s="12">
        <f t="shared" si="5"/>
        <v>0.10232807253443288</v>
      </c>
      <c r="I80" s="2">
        <f>VLOOKUP(A:A,MASTER!A:E,5,0)</f>
        <v>743</v>
      </c>
      <c r="J80" s="2">
        <f>VLOOKUP(A:A,MASTER!A:J,10,0)</f>
        <v>726</v>
      </c>
      <c r="K80" s="12">
        <f t="shared" si="6"/>
        <v>-2.2880215343203281E-2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2</v>
      </c>
      <c r="P80" s="1">
        <f>VLOOKUP(A:A,MASTER!A:H,8,0)</f>
        <v>3</v>
      </c>
      <c r="Q80" s="12">
        <f t="shared" si="8"/>
        <v>0.5</v>
      </c>
      <c r="R80" s="1">
        <f>VLOOKUP(A:A,MASTER!A:B,2,0)</f>
        <v>759</v>
      </c>
      <c r="S80">
        <f>VLOOKUP(A:A,MASTER!A:G,7,0)</f>
        <v>778</v>
      </c>
      <c r="T80" s="12">
        <f t="shared" si="9"/>
        <v>2.5032938076416267E-2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13050905.489939887</v>
      </c>
      <c r="G81" s="1">
        <f>VLOOKUP(A:A,MASTER!A:K,11,0)</f>
        <v>11988485.977876555</v>
      </c>
      <c r="H81" s="12">
        <f t="shared" si="5"/>
        <v>-8.1405808423199666E-2</v>
      </c>
      <c r="I81" s="2">
        <f>VLOOKUP(A:A,MASTER!A:E,5,0)</f>
        <v>522</v>
      </c>
      <c r="J81" s="2">
        <f>VLOOKUP(A:A,MASTER!A:J,10,0)</f>
        <v>549</v>
      </c>
      <c r="K81" s="12">
        <f t="shared" si="6"/>
        <v>5.1724137931034475E-2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4</v>
      </c>
      <c r="Q81" s="12">
        <f t="shared" si="8"/>
        <v>1</v>
      </c>
      <c r="R81" s="1">
        <f>VLOOKUP(A:A,MASTER!A:B,2,0)</f>
        <v>565</v>
      </c>
      <c r="S81">
        <f>VLOOKUP(A:A,MASTER!A:G,7,0)</f>
        <v>611</v>
      </c>
      <c r="T81" s="12">
        <f t="shared" si="9"/>
        <v>8.1415929203539905E-2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54521234.381260686</v>
      </c>
      <c r="G82" s="1">
        <f>VLOOKUP(A:A,MASTER!A:K,11,0)</f>
        <v>66487916.797526561</v>
      </c>
      <c r="H82" s="12">
        <f t="shared" si="5"/>
        <v>0.21948663767559351</v>
      </c>
      <c r="I82" s="2">
        <f>VLOOKUP(A:A,MASTER!A:E,5,0)</f>
        <v>1312</v>
      </c>
      <c r="J82" s="2">
        <f>VLOOKUP(A:A,MASTER!A:J,10,0)</f>
        <v>1380</v>
      </c>
      <c r="K82" s="12">
        <f t="shared" si="6"/>
        <v>5.1829268292682862E-2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6</v>
      </c>
      <c r="P82" s="1">
        <f>VLOOKUP(A:A,MASTER!A:H,8,0)</f>
        <v>2</v>
      </c>
      <c r="Q82" s="12">
        <f t="shared" si="8"/>
        <v>-0.66666666666666674</v>
      </c>
      <c r="R82" s="1">
        <f>VLOOKUP(A:A,MASTER!A:B,2,0)</f>
        <v>1764</v>
      </c>
      <c r="S82">
        <f>VLOOKUP(A:A,MASTER!A:G,7,0)</f>
        <v>1639</v>
      </c>
      <c r="T82" s="12">
        <f t="shared" si="9"/>
        <v>-7.0861678004535134E-2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12629426.927350204</v>
      </c>
      <c r="G83" s="1">
        <f>VLOOKUP(A:A,MASTER!A:K,11,0)</f>
        <v>14912277.198876899</v>
      </c>
      <c r="H83" s="12">
        <f t="shared" si="5"/>
        <v>0.1807564416547649</v>
      </c>
      <c r="I83" s="2">
        <f>VLOOKUP(A:A,MASTER!A:E,5,0)</f>
        <v>671</v>
      </c>
      <c r="J83" s="2">
        <f>VLOOKUP(A:A,MASTER!A:J,10,0)</f>
        <v>928</v>
      </c>
      <c r="K83" s="12">
        <f t="shared" si="6"/>
        <v>0.38301043219076014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578</v>
      </c>
      <c r="S83">
        <f>VLOOKUP(A:A,MASTER!A:G,7,0)</f>
        <v>858</v>
      </c>
      <c r="T83" s="12">
        <f t="shared" si="9"/>
        <v>0.48442906574394473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24516929.914394263</v>
      </c>
      <c r="G84" s="1">
        <f>VLOOKUP(A:A,MASTER!A:K,11,0)</f>
        <v>26691110.077262778</v>
      </c>
      <c r="H84" s="12">
        <f t="shared" si="5"/>
        <v>8.8680767553690254E-2</v>
      </c>
      <c r="I84" s="2">
        <f>VLOOKUP(A:A,MASTER!A:E,5,0)</f>
        <v>641</v>
      </c>
      <c r="J84" s="2">
        <f>VLOOKUP(A:A,MASTER!A:J,10,0)</f>
        <v>581</v>
      </c>
      <c r="K84" s="12">
        <f t="shared" si="6"/>
        <v>-9.3603744149766022E-2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4</v>
      </c>
      <c r="P84" s="1">
        <f>VLOOKUP(A:A,MASTER!A:H,8,0)</f>
        <v>5</v>
      </c>
      <c r="Q84" s="12">
        <f t="shared" si="8"/>
        <v>0.25</v>
      </c>
      <c r="R84" s="1">
        <f>VLOOKUP(A:A,MASTER!A:B,2,0)</f>
        <v>631</v>
      </c>
      <c r="S84">
        <f>VLOOKUP(A:A,MASTER!A:G,7,0)</f>
        <v>806</v>
      </c>
      <c r="T84" s="12">
        <f t="shared" si="9"/>
        <v>0.27733755942947691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5910987.391414376</v>
      </c>
      <c r="G85" s="1">
        <f>VLOOKUP(A:A,MASTER!A:K,11,0)</f>
        <v>4445161.1584503073</v>
      </c>
      <c r="H85" s="12">
        <f t="shared" si="5"/>
        <v>-0.24798331241463312</v>
      </c>
      <c r="I85" s="2">
        <f>VLOOKUP(A:A,MASTER!A:E,5,0)</f>
        <v>380</v>
      </c>
      <c r="J85" s="2">
        <f>VLOOKUP(A:A,MASTER!A:J,10,0)</f>
        <v>225</v>
      </c>
      <c r="K85" s="12">
        <f t="shared" si="6"/>
        <v>-0.40789473684210531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358</v>
      </c>
      <c r="S85">
        <f>VLOOKUP(A:A,MASTER!A:G,7,0)</f>
        <v>192</v>
      </c>
      <c r="T85" s="12">
        <f t="shared" si="9"/>
        <v>-0.46368715083798884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84407</v>
      </c>
      <c r="C3" s="11">
        <f t="shared" si="0"/>
        <v>1140</v>
      </c>
      <c r="D3" s="11">
        <f t="shared" si="0"/>
        <v>318</v>
      </c>
      <c r="E3" s="11">
        <f t="shared" si="0"/>
        <v>70297</v>
      </c>
      <c r="F3" s="11">
        <f t="shared" si="0"/>
        <v>2541296940.4072208</v>
      </c>
      <c r="G3" s="11">
        <f t="shared" si="0"/>
        <v>83705</v>
      </c>
      <c r="H3" s="11">
        <f t="shared" si="0"/>
        <v>1727</v>
      </c>
      <c r="I3" s="11">
        <f t="shared" si="0"/>
        <v>321</v>
      </c>
      <c r="J3" s="11">
        <f t="shared" si="0"/>
        <v>71011</v>
      </c>
      <c r="K3" s="11">
        <f t="shared" si="0"/>
        <v>2629013067.6293702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415</v>
      </c>
      <c r="C6" s="10">
        <v>0</v>
      </c>
      <c r="D6" s="10">
        <v>2</v>
      </c>
      <c r="E6" s="10">
        <v>428</v>
      </c>
      <c r="F6" s="10">
        <v>11605840.967956211</v>
      </c>
      <c r="G6" s="10">
        <v>402</v>
      </c>
      <c r="H6" s="10">
        <v>1</v>
      </c>
      <c r="I6" s="10">
        <v>2</v>
      </c>
      <c r="J6" s="10">
        <v>343</v>
      </c>
      <c r="K6" s="10">
        <v>11745234.344032858</v>
      </c>
    </row>
    <row r="7" spans="1:11" x14ac:dyDescent="0.35">
      <c r="A7" s="9" t="s">
        <v>127</v>
      </c>
      <c r="B7" s="10">
        <v>639</v>
      </c>
      <c r="C7" s="10">
        <v>5</v>
      </c>
      <c r="D7" s="10">
        <v>3</v>
      </c>
      <c r="E7" s="10">
        <v>519</v>
      </c>
      <c r="F7" s="10">
        <v>13599176.772227382</v>
      </c>
      <c r="G7" s="10">
        <v>523</v>
      </c>
      <c r="H7" s="10">
        <v>6</v>
      </c>
      <c r="I7" s="10">
        <v>3</v>
      </c>
      <c r="J7" s="10">
        <v>522</v>
      </c>
      <c r="K7" s="10">
        <v>12757065.964702409</v>
      </c>
    </row>
    <row r="8" spans="1:11" x14ac:dyDescent="0.35">
      <c r="A8" s="9" t="s">
        <v>119</v>
      </c>
      <c r="B8" s="10">
        <v>764</v>
      </c>
      <c r="C8" s="10">
        <v>7</v>
      </c>
      <c r="D8" s="10">
        <v>1</v>
      </c>
      <c r="E8" s="10">
        <v>790</v>
      </c>
      <c r="F8" s="10">
        <v>18579857.885549702</v>
      </c>
      <c r="G8" s="10">
        <v>680</v>
      </c>
      <c r="H8" s="10">
        <v>5</v>
      </c>
      <c r="I8" s="10">
        <v>1</v>
      </c>
      <c r="J8" s="10">
        <v>534</v>
      </c>
      <c r="K8" s="10">
        <v>14199336.303547801</v>
      </c>
    </row>
    <row r="9" spans="1:11" x14ac:dyDescent="0.35">
      <c r="A9" s="9" t="s">
        <v>121</v>
      </c>
      <c r="B9" s="10">
        <v>1204</v>
      </c>
      <c r="C9" s="10">
        <v>8</v>
      </c>
      <c r="D9" s="10">
        <v>4</v>
      </c>
      <c r="E9" s="10">
        <v>1107</v>
      </c>
      <c r="F9" s="10">
        <v>29318297.392397735</v>
      </c>
      <c r="G9" s="10">
        <v>1013</v>
      </c>
      <c r="H9" s="10">
        <v>9</v>
      </c>
      <c r="I9" s="10">
        <v>2</v>
      </c>
      <c r="J9" s="10">
        <v>988</v>
      </c>
      <c r="K9" s="10">
        <v>30652409.729366504</v>
      </c>
    </row>
    <row r="10" spans="1:11" x14ac:dyDescent="0.35">
      <c r="A10" s="9" t="s">
        <v>123</v>
      </c>
      <c r="B10" s="10">
        <v>408</v>
      </c>
      <c r="C10" s="10">
        <v>1</v>
      </c>
      <c r="D10" s="10">
        <v>1</v>
      </c>
      <c r="E10" s="10">
        <v>365</v>
      </c>
      <c r="F10" s="10">
        <v>13283507.106397798</v>
      </c>
      <c r="G10" s="10">
        <v>446</v>
      </c>
      <c r="H10" s="10">
        <v>4</v>
      </c>
      <c r="I10" s="10">
        <v>1</v>
      </c>
      <c r="J10" s="10">
        <v>384</v>
      </c>
      <c r="K10" s="10">
        <v>14049843.096260291</v>
      </c>
    </row>
    <row r="11" spans="1:11" x14ac:dyDescent="0.35">
      <c r="A11" s="9" t="s">
        <v>125</v>
      </c>
      <c r="B11" s="10">
        <v>386</v>
      </c>
      <c r="C11" s="10">
        <v>3</v>
      </c>
      <c r="D11" s="10">
        <v>2</v>
      </c>
      <c r="E11" s="10">
        <v>288</v>
      </c>
      <c r="F11" s="10">
        <v>10853864.931478668</v>
      </c>
      <c r="G11" s="10">
        <v>288</v>
      </c>
      <c r="H11" s="10">
        <v>2</v>
      </c>
      <c r="I11" s="10">
        <v>2</v>
      </c>
      <c r="J11" s="10">
        <v>259</v>
      </c>
      <c r="K11" s="10">
        <v>8990943.7944361828</v>
      </c>
    </row>
    <row r="12" spans="1:11" x14ac:dyDescent="0.35">
      <c r="A12" s="9" t="s">
        <v>131</v>
      </c>
      <c r="B12" s="10">
        <v>595</v>
      </c>
      <c r="C12" s="10">
        <v>2</v>
      </c>
      <c r="D12" s="10">
        <v>2</v>
      </c>
      <c r="E12" s="10">
        <v>525</v>
      </c>
      <c r="F12" s="10">
        <v>13059467.406061232</v>
      </c>
      <c r="G12" s="10">
        <v>549</v>
      </c>
      <c r="H12" s="10">
        <v>6</v>
      </c>
      <c r="I12" s="10">
        <v>0</v>
      </c>
      <c r="J12" s="10">
        <v>441</v>
      </c>
      <c r="K12" s="10">
        <v>12805254.646765212</v>
      </c>
    </row>
    <row r="13" spans="1:11" x14ac:dyDescent="0.35">
      <c r="A13" s="9" t="s">
        <v>133</v>
      </c>
      <c r="B13" s="10">
        <v>170</v>
      </c>
      <c r="C13" s="10">
        <v>0</v>
      </c>
      <c r="D13" s="10">
        <v>1</v>
      </c>
      <c r="E13" s="10">
        <v>136</v>
      </c>
      <c r="F13" s="10">
        <v>5741955.8301954772</v>
      </c>
      <c r="G13" s="10">
        <v>162</v>
      </c>
      <c r="H13" s="10">
        <v>0</v>
      </c>
      <c r="I13" s="10">
        <v>1</v>
      </c>
      <c r="J13" s="10">
        <v>136</v>
      </c>
      <c r="K13" s="10">
        <v>5817133.5092633413</v>
      </c>
    </row>
    <row r="14" spans="1:11" x14ac:dyDescent="0.35">
      <c r="A14" s="9" t="s">
        <v>141</v>
      </c>
      <c r="B14" s="10">
        <v>186</v>
      </c>
      <c r="C14" s="10">
        <v>1</v>
      </c>
      <c r="D14" s="10">
        <v>1</v>
      </c>
      <c r="E14" s="10">
        <v>172</v>
      </c>
      <c r="F14" s="10">
        <v>2514733.047916695</v>
      </c>
      <c r="G14" s="10">
        <v>198</v>
      </c>
      <c r="H14" s="10">
        <v>1</v>
      </c>
      <c r="I14" s="10">
        <v>1</v>
      </c>
      <c r="J14" s="10">
        <v>161</v>
      </c>
      <c r="K14" s="10">
        <v>5792518.2435795534</v>
      </c>
    </row>
    <row r="15" spans="1:11" x14ac:dyDescent="0.35">
      <c r="A15" s="9" t="s">
        <v>135</v>
      </c>
      <c r="B15" s="10">
        <v>381</v>
      </c>
      <c r="C15" s="10">
        <v>2</v>
      </c>
      <c r="D15" s="10">
        <v>1</v>
      </c>
      <c r="E15" s="10">
        <v>360</v>
      </c>
      <c r="F15" s="10">
        <v>11277110.458755046</v>
      </c>
      <c r="G15" s="10">
        <v>441</v>
      </c>
      <c r="H15" s="10">
        <v>6</v>
      </c>
      <c r="I15" s="10">
        <v>1</v>
      </c>
      <c r="J15" s="10">
        <v>357</v>
      </c>
      <c r="K15" s="10">
        <v>10388805.87979324</v>
      </c>
    </row>
    <row r="16" spans="1:11" x14ac:dyDescent="0.35">
      <c r="A16" s="9" t="s">
        <v>143</v>
      </c>
      <c r="B16" s="10">
        <v>220</v>
      </c>
      <c r="C16" s="10">
        <v>0</v>
      </c>
      <c r="D16" s="10">
        <v>2</v>
      </c>
      <c r="E16" s="10">
        <v>267</v>
      </c>
      <c r="F16" s="10">
        <v>5807814.7055882718</v>
      </c>
      <c r="G16" s="10">
        <v>230</v>
      </c>
      <c r="H16" s="10">
        <v>1</v>
      </c>
      <c r="I16" s="10">
        <v>2</v>
      </c>
      <c r="J16" s="10">
        <v>243</v>
      </c>
      <c r="K16" s="10">
        <v>5110223.9326150976</v>
      </c>
    </row>
    <row r="17" spans="1:11" x14ac:dyDescent="0.35">
      <c r="A17" s="9" t="s">
        <v>145</v>
      </c>
      <c r="B17" s="10">
        <v>241</v>
      </c>
      <c r="C17" s="10">
        <v>1</v>
      </c>
      <c r="D17" s="10">
        <v>2</v>
      </c>
      <c r="E17" s="10">
        <v>229</v>
      </c>
      <c r="F17" s="10">
        <v>6163624.0632635523</v>
      </c>
      <c r="G17" s="10">
        <v>286</v>
      </c>
      <c r="H17" s="10">
        <v>1</v>
      </c>
      <c r="I17" s="10">
        <v>0</v>
      </c>
      <c r="J17" s="10">
        <v>231</v>
      </c>
      <c r="K17" s="10">
        <v>6597285.5653288113</v>
      </c>
    </row>
    <row r="18" spans="1:11" x14ac:dyDescent="0.35">
      <c r="A18" s="9" t="s">
        <v>20</v>
      </c>
      <c r="B18" s="10">
        <v>1428</v>
      </c>
      <c r="C18" s="10">
        <v>4</v>
      </c>
      <c r="D18" s="10">
        <v>3</v>
      </c>
      <c r="E18" s="10">
        <v>1101</v>
      </c>
      <c r="F18" s="10">
        <v>25128238.575954139</v>
      </c>
      <c r="G18" s="10">
        <v>1411</v>
      </c>
      <c r="H18" s="10">
        <v>8</v>
      </c>
      <c r="I18" s="10">
        <v>6</v>
      </c>
      <c r="J18" s="10">
        <v>1270</v>
      </c>
      <c r="K18" s="10">
        <v>35041852.324905545</v>
      </c>
    </row>
    <row r="19" spans="1:11" x14ac:dyDescent="0.35">
      <c r="A19" s="9" t="s">
        <v>45</v>
      </c>
      <c r="B19" s="10">
        <v>1235</v>
      </c>
      <c r="C19" s="10">
        <v>2</v>
      </c>
      <c r="D19" s="10">
        <v>3</v>
      </c>
      <c r="E19" s="10">
        <v>895</v>
      </c>
      <c r="F19" s="10">
        <v>43125207.394685581</v>
      </c>
      <c r="G19" s="10">
        <v>1151</v>
      </c>
      <c r="H19" s="10">
        <v>0</v>
      </c>
      <c r="I19" s="10">
        <v>2</v>
      </c>
      <c r="J19" s="10">
        <v>908</v>
      </c>
      <c r="K19" s="10">
        <v>48844413.069735177</v>
      </c>
    </row>
    <row r="20" spans="1:11" x14ac:dyDescent="0.35">
      <c r="A20" s="9" t="s">
        <v>47</v>
      </c>
      <c r="B20" s="10">
        <v>1028</v>
      </c>
      <c r="C20" s="10">
        <v>3</v>
      </c>
      <c r="D20" s="10">
        <v>5</v>
      </c>
      <c r="E20" s="10">
        <v>894</v>
      </c>
      <c r="F20" s="10">
        <v>23325512.922970474</v>
      </c>
      <c r="G20" s="10">
        <v>1074</v>
      </c>
      <c r="H20" s="10">
        <v>6</v>
      </c>
      <c r="I20" s="10">
        <v>5</v>
      </c>
      <c r="J20" s="10">
        <v>903</v>
      </c>
      <c r="K20" s="10">
        <v>23662126.798789363</v>
      </c>
    </row>
    <row r="21" spans="1:11" x14ac:dyDescent="0.35">
      <c r="A21" s="9" t="s">
        <v>49</v>
      </c>
      <c r="B21" s="10">
        <v>916</v>
      </c>
      <c r="C21" s="10">
        <v>4</v>
      </c>
      <c r="D21" s="10">
        <v>3</v>
      </c>
      <c r="E21" s="10">
        <v>696</v>
      </c>
      <c r="F21" s="10">
        <v>18890377.12714364</v>
      </c>
      <c r="G21" s="10">
        <v>785</v>
      </c>
      <c r="H21" s="10">
        <v>1</v>
      </c>
      <c r="I21" s="10">
        <v>4</v>
      </c>
      <c r="J21" s="10">
        <v>667</v>
      </c>
      <c r="K21" s="10">
        <v>22825110.871727254</v>
      </c>
    </row>
    <row r="22" spans="1:11" x14ac:dyDescent="0.35">
      <c r="A22" s="9" t="s">
        <v>51</v>
      </c>
      <c r="B22" s="10">
        <v>2813</v>
      </c>
      <c r="C22" s="10">
        <v>181</v>
      </c>
      <c r="D22" s="10">
        <v>10</v>
      </c>
      <c r="E22" s="10">
        <v>2092</v>
      </c>
      <c r="F22" s="10">
        <v>86538124.393357381</v>
      </c>
      <c r="G22" s="10">
        <v>2724</v>
      </c>
      <c r="H22" s="10">
        <v>118</v>
      </c>
      <c r="I22" s="10">
        <v>12</v>
      </c>
      <c r="J22" s="10">
        <v>2200</v>
      </c>
      <c r="K22" s="10">
        <v>82403650.006621614</v>
      </c>
    </row>
    <row r="23" spans="1:11" x14ac:dyDescent="0.35">
      <c r="A23" s="9" t="s">
        <v>53</v>
      </c>
      <c r="B23" s="10">
        <v>1381</v>
      </c>
      <c r="C23" s="10">
        <v>6</v>
      </c>
      <c r="D23" s="10">
        <v>1</v>
      </c>
      <c r="E23" s="10">
        <v>1167</v>
      </c>
      <c r="F23" s="10">
        <v>26002211.72344863</v>
      </c>
      <c r="G23" s="10">
        <v>1267</v>
      </c>
      <c r="H23" s="10">
        <v>5</v>
      </c>
      <c r="I23" s="10">
        <v>2</v>
      </c>
      <c r="J23" s="10">
        <v>1190</v>
      </c>
      <c r="K23" s="10">
        <v>43335722.521319821</v>
      </c>
    </row>
    <row r="24" spans="1:11" x14ac:dyDescent="0.35">
      <c r="A24" s="9" t="s">
        <v>55</v>
      </c>
      <c r="B24" s="10">
        <v>2936</v>
      </c>
      <c r="C24" s="10">
        <v>18</v>
      </c>
      <c r="D24" s="10">
        <v>10</v>
      </c>
      <c r="E24" s="10">
        <v>2002</v>
      </c>
      <c r="F24" s="10">
        <v>87558270.252023414</v>
      </c>
      <c r="G24" s="10">
        <v>2548</v>
      </c>
      <c r="H24" s="10">
        <v>6</v>
      </c>
      <c r="I24" s="10">
        <v>10</v>
      </c>
      <c r="J24" s="10">
        <v>2147</v>
      </c>
      <c r="K24" s="10">
        <v>78374783.039749846</v>
      </c>
    </row>
    <row r="25" spans="1:11" x14ac:dyDescent="0.35">
      <c r="A25" s="9" t="s">
        <v>67</v>
      </c>
      <c r="B25" s="10">
        <v>533</v>
      </c>
      <c r="C25" s="10">
        <v>5</v>
      </c>
      <c r="D25" s="10">
        <v>1</v>
      </c>
      <c r="E25" s="10">
        <v>482</v>
      </c>
      <c r="F25" s="10">
        <v>13183778.010977268</v>
      </c>
      <c r="G25" s="10">
        <v>483</v>
      </c>
      <c r="H25" s="10">
        <v>2</v>
      </c>
      <c r="I25" s="10">
        <v>1</v>
      </c>
      <c r="J25" s="10">
        <v>476</v>
      </c>
      <c r="K25" s="10">
        <v>11826239.269592175</v>
      </c>
    </row>
    <row r="26" spans="1:11" x14ac:dyDescent="0.35">
      <c r="A26" s="9" t="s">
        <v>74</v>
      </c>
      <c r="B26" s="10">
        <v>1698</v>
      </c>
      <c r="C26" s="10">
        <v>18</v>
      </c>
      <c r="D26" s="10">
        <v>1</v>
      </c>
      <c r="E26" s="10">
        <v>1381</v>
      </c>
      <c r="F26" s="10">
        <v>36192562.219717629</v>
      </c>
      <c r="G26" s="10">
        <v>1876</v>
      </c>
      <c r="H26" s="10">
        <v>16</v>
      </c>
      <c r="I26" s="10">
        <v>1</v>
      </c>
      <c r="J26" s="10">
        <v>1449</v>
      </c>
      <c r="K26" s="10">
        <v>32935272.975362118</v>
      </c>
    </row>
    <row r="27" spans="1:11" x14ac:dyDescent="0.35">
      <c r="A27" s="9" t="s">
        <v>70</v>
      </c>
      <c r="B27" s="10">
        <v>876</v>
      </c>
      <c r="C27" s="10">
        <v>10</v>
      </c>
      <c r="D27" s="10">
        <v>1</v>
      </c>
      <c r="E27" s="10">
        <v>867</v>
      </c>
      <c r="F27" s="10">
        <v>15022021.249958932</v>
      </c>
      <c r="G27" s="10">
        <v>904</v>
      </c>
      <c r="H27" s="10">
        <v>6</v>
      </c>
      <c r="I27" s="10">
        <v>0</v>
      </c>
      <c r="J27" s="10">
        <v>780</v>
      </c>
      <c r="K27" s="10">
        <v>13972572.86172664</v>
      </c>
    </row>
    <row r="28" spans="1:11" x14ac:dyDescent="0.35">
      <c r="A28" s="9" t="s">
        <v>72</v>
      </c>
      <c r="B28" s="10">
        <v>875</v>
      </c>
      <c r="C28" s="10">
        <v>5</v>
      </c>
      <c r="D28" s="10">
        <v>1</v>
      </c>
      <c r="E28" s="10">
        <v>759</v>
      </c>
      <c r="F28" s="10">
        <v>18344574.830965456</v>
      </c>
      <c r="G28" s="10">
        <v>896</v>
      </c>
      <c r="H28" s="10">
        <v>4</v>
      </c>
      <c r="I28" s="10">
        <v>0</v>
      </c>
      <c r="J28" s="10">
        <v>760</v>
      </c>
      <c r="K28" s="10">
        <v>18270548.609162889</v>
      </c>
    </row>
    <row r="29" spans="1:11" x14ac:dyDescent="0.35">
      <c r="A29" s="9" t="s">
        <v>79</v>
      </c>
      <c r="B29" s="10">
        <v>228</v>
      </c>
      <c r="C29" s="10">
        <v>1</v>
      </c>
      <c r="D29" s="10">
        <v>2</v>
      </c>
      <c r="E29" s="10">
        <v>192</v>
      </c>
      <c r="F29" s="10">
        <v>4146758.08022347</v>
      </c>
      <c r="G29" s="10">
        <v>184</v>
      </c>
      <c r="H29" s="10">
        <v>1</v>
      </c>
      <c r="I29" s="10">
        <v>0</v>
      </c>
      <c r="J29" s="10">
        <v>153</v>
      </c>
      <c r="K29" s="10">
        <v>4544499.9292088114</v>
      </c>
    </row>
    <row r="30" spans="1:11" x14ac:dyDescent="0.35">
      <c r="A30" s="9" t="s">
        <v>109</v>
      </c>
      <c r="B30" s="10">
        <v>1653</v>
      </c>
      <c r="C30" s="10">
        <v>10</v>
      </c>
      <c r="D30" s="10">
        <v>5</v>
      </c>
      <c r="E30" s="10">
        <v>1384</v>
      </c>
      <c r="F30" s="10">
        <v>34683862.559180304</v>
      </c>
      <c r="G30" s="10">
        <v>1686</v>
      </c>
      <c r="H30" s="10">
        <v>3</v>
      </c>
      <c r="I30" s="10">
        <v>6</v>
      </c>
      <c r="J30" s="10">
        <v>1431</v>
      </c>
      <c r="K30" s="10">
        <v>34833450.097463757</v>
      </c>
    </row>
    <row r="31" spans="1:11" x14ac:dyDescent="0.35">
      <c r="A31" s="9" t="s">
        <v>111</v>
      </c>
      <c r="B31" s="10">
        <v>876</v>
      </c>
      <c r="C31" s="10">
        <v>3</v>
      </c>
      <c r="D31" s="10">
        <v>1</v>
      </c>
      <c r="E31" s="10">
        <v>695</v>
      </c>
      <c r="F31" s="10">
        <v>28942176.601938333</v>
      </c>
      <c r="G31" s="10">
        <v>839</v>
      </c>
      <c r="H31" s="10">
        <v>3</v>
      </c>
      <c r="I31" s="10">
        <v>1</v>
      </c>
      <c r="J31" s="10">
        <v>697</v>
      </c>
      <c r="K31" s="10">
        <v>31477197.298174005</v>
      </c>
    </row>
    <row r="32" spans="1:11" x14ac:dyDescent="0.35">
      <c r="A32" s="9" t="s">
        <v>113</v>
      </c>
      <c r="B32" s="10">
        <v>1044</v>
      </c>
      <c r="C32" s="10">
        <v>2</v>
      </c>
      <c r="D32" s="10">
        <v>1</v>
      </c>
      <c r="E32" s="10">
        <v>623</v>
      </c>
      <c r="F32" s="10">
        <v>27322835.150993686</v>
      </c>
      <c r="G32" s="10">
        <v>1007</v>
      </c>
      <c r="H32" s="10">
        <v>1</v>
      </c>
      <c r="I32" s="10">
        <v>3</v>
      </c>
      <c r="J32" s="10">
        <v>868</v>
      </c>
      <c r="K32" s="10">
        <v>31575073.436375592</v>
      </c>
    </row>
    <row r="33" spans="1:11" x14ac:dyDescent="0.35">
      <c r="A33" s="9" t="s">
        <v>115</v>
      </c>
      <c r="B33" s="10">
        <v>1120</v>
      </c>
      <c r="C33" s="10">
        <v>3</v>
      </c>
      <c r="D33" s="10">
        <v>2</v>
      </c>
      <c r="E33" s="10">
        <v>1017</v>
      </c>
      <c r="F33" s="10">
        <v>38750202.555159338</v>
      </c>
      <c r="G33" s="10">
        <v>993</v>
      </c>
      <c r="H33" s="10">
        <v>2</v>
      </c>
      <c r="I33" s="10">
        <v>3</v>
      </c>
      <c r="J33" s="10">
        <v>819</v>
      </c>
      <c r="K33" s="10">
        <v>38158631.406307779</v>
      </c>
    </row>
    <row r="34" spans="1:11" x14ac:dyDescent="0.35">
      <c r="A34" s="9" t="s">
        <v>16</v>
      </c>
      <c r="B34" s="10">
        <v>1445</v>
      </c>
      <c r="C34" s="10">
        <v>4</v>
      </c>
      <c r="D34" s="10">
        <v>4</v>
      </c>
      <c r="E34" s="10">
        <v>1153</v>
      </c>
      <c r="F34" s="10">
        <v>49704479.1329192</v>
      </c>
      <c r="G34" s="10">
        <v>598</v>
      </c>
      <c r="H34" s="10">
        <v>5</v>
      </c>
      <c r="I34" s="10">
        <v>2</v>
      </c>
      <c r="J34" s="10">
        <v>261</v>
      </c>
      <c r="K34" s="10">
        <v>51670729.287840143</v>
      </c>
    </row>
    <row r="35" spans="1:11" x14ac:dyDescent="0.35">
      <c r="A35" s="9" t="s">
        <v>18</v>
      </c>
      <c r="B35" s="10">
        <v>698</v>
      </c>
      <c r="C35" s="10">
        <v>1</v>
      </c>
      <c r="D35" s="10">
        <v>5</v>
      </c>
      <c r="E35" s="10">
        <v>657</v>
      </c>
      <c r="F35" s="10">
        <v>22482772.205797095</v>
      </c>
      <c r="G35" s="10">
        <v>669</v>
      </c>
      <c r="H35" s="10">
        <v>4</v>
      </c>
      <c r="I35" s="10">
        <v>5</v>
      </c>
      <c r="J35" s="10">
        <v>487</v>
      </c>
      <c r="K35" s="10">
        <v>22045431.28545827</v>
      </c>
    </row>
    <row r="36" spans="1:11" x14ac:dyDescent="0.35">
      <c r="A36" s="9" t="s">
        <v>43</v>
      </c>
      <c r="B36" s="10">
        <v>1923</v>
      </c>
      <c r="C36" s="10">
        <v>9</v>
      </c>
      <c r="D36" s="10">
        <v>9</v>
      </c>
      <c r="E36" s="10">
        <v>1597</v>
      </c>
      <c r="F36" s="10">
        <v>54659271.855845027</v>
      </c>
      <c r="G36" s="10">
        <v>1778</v>
      </c>
      <c r="H36" s="10">
        <v>3</v>
      </c>
      <c r="I36" s="10">
        <v>7</v>
      </c>
      <c r="J36" s="10">
        <v>1612</v>
      </c>
      <c r="K36" s="10">
        <v>46584687.457568675</v>
      </c>
    </row>
    <row r="37" spans="1:11" x14ac:dyDescent="0.35">
      <c r="A37" s="9" t="s">
        <v>152</v>
      </c>
      <c r="B37" s="10">
        <v>857</v>
      </c>
      <c r="C37" s="10">
        <v>3</v>
      </c>
      <c r="D37" s="10">
        <v>2</v>
      </c>
      <c r="E37" s="10">
        <v>699</v>
      </c>
      <c r="F37" s="10">
        <v>22656058.277334604</v>
      </c>
      <c r="G37" s="10">
        <v>1266</v>
      </c>
      <c r="H37" s="10">
        <v>2</v>
      </c>
      <c r="I37" s="10">
        <v>3</v>
      </c>
      <c r="J37" s="10">
        <v>1430</v>
      </c>
      <c r="K37" s="10">
        <v>22394741.412024934</v>
      </c>
    </row>
    <row r="38" spans="1:11" x14ac:dyDescent="0.35">
      <c r="A38" s="9" t="s">
        <v>149</v>
      </c>
      <c r="B38" s="10">
        <v>748</v>
      </c>
      <c r="C38" s="10">
        <v>3</v>
      </c>
      <c r="D38" s="10">
        <v>1</v>
      </c>
      <c r="E38" s="10">
        <v>560</v>
      </c>
      <c r="F38" s="10">
        <v>20514275.541951414</v>
      </c>
      <c r="G38" s="10">
        <v>764</v>
      </c>
      <c r="H38" s="10">
        <v>2</v>
      </c>
      <c r="I38" s="10">
        <v>1</v>
      </c>
      <c r="J38" s="10">
        <v>584</v>
      </c>
      <c r="K38" s="10">
        <v>20280297.833904956</v>
      </c>
    </row>
    <row r="39" spans="1:11" x14ac:dyDescent="0.35">
      <c r="A39" s="9" t="s">
        <v>154</v>
      </c>
      <c r="B39" s="10">
        <v>1162</v>
      </c>
      <c r="C39" s="10">
        <v>17</v>
      </c>
      <c r="D39" s="10">
        <v>1</v>
      </c>
      <c r="E39" s="10">
        <v>849</v>
      </c>
      <c r="F39" s="10">
        <v>31706807.770847913</v>
      </c>
      <c r="G39" s="10">
        <v>1383</v>
      </c>
      <c r="H39" s="10">
        <v>6</v>
      </c>
      <c r="I39" s="10">
        <v>2</v>
      </c>
      <c r="J39" s="10">
        <v>951</v>
      </c>
      <c r="K39" s="10">
        <v>35210619.986819968</v>
      </c>
    </row>
    <row r="40" spans="1:11" x14ac:dyDescent="0.35">
      <c r="A40" s="9" t="s">
        <v>2</v>
      </c>
      <c r="B40" s="10">
        <v>1271</v>
      </c>
      <c r="C40" s="10">
        <v>121</v>
      </c>
      <c r="D40" s="10">
        <v>1</v>
      </c>
      <c r="E40" s="10">
        <v>880</v>
      </c>
      <c r="F40" s="10">
        <v>30008831.32454332</v>
      </c>
      <c r="G40" s="10">
        <v>1309</v>
      </c>
      <c r="H40" s="10">
        <v>391</v>
      </c>
      <c r="I40" s="10">
        <v>1</v>
      </c>
      <c r="J40" s="10">
        <v>870</v>
      </c>
      <c r="K40" s="10">
        <v>32153124.55919506</v>
      </c>
    </row>
    <row r="41" spans="1:11" x14ac:dyDescent="0.35">
      <c r="A41" s="9" t="s">
        <v>156</v>
      </c>
      <c r="B41" s="10">
        <v>2274</v>
      </c>
      <c r="C41" s="10">
        <v>70</v>
      </c>
      <c r="D41" s="10">
        <v>5</v>
      </c>
      <c r="E41" s="10">
        <v>1420</v>
      </c>
      <c r="F41" s="10">
        <v>54089568.346732005</v>
      </c>
      <c r="G41" s="10">
        <v>2316</v>
      </c>
      <c r="H41" s="10">
        <v>266</v>
      </c>
      <c r="I41" s="10">
        <v>5</v>
      </c>
      <c r="J41" s="10">
        <v>1436</v>
      </c>
      <c r="K41" s="10">
        <v>53090474.700370014</v>
      </c>
    </row>
    <row r="42" spans="1:11" x14ac:dyDescent="0.35">
      <c r="A42" s="9" t="s">
        <v>14</v>
      </c>
      <c r="B42" s="10">
        <v>621</v>
      </c>
      <c r="C42" s="10">
        <v>1</v>
      </c>
      <c r="D42" s="10">
        <v>6</v>
      </c>
      <c r="E42" s="10">
        <v>480</v>
      </c>
      <c r="F42" s="10">
        <v>19559864.968351118</v>
      </c>
      <c r="G42" s="10">
        <v>516</v>
      </c>
      <c r="H42" s="10">
        <v>4</v>
      </c>
      <c r="I42" s="10">
        <v>7</v>
      </c>
      <c r="J42" s="10">
        <v>459</v>
      </c>
      <c r="K42" s="10">
        <v>20014278.607087888</v>
      </c>
    </row>
    <row r="43" spans="1:11" x14ac:dyDescent="0.35">
      <c r="A43" s="9" t="s">
        <v>8</v>
      </c>
      <c r="B43" s="10">
        <v>2052</v>
      </c>
      <c r="C43" s="10">
        <v>4</v>
      </c>
      <c r="D43" s="10">
        <v>6</v>
      </c>
      <c r="E43" s="10">
        <v>1899</v>
      </c>
      <c r="F43" s="10">
        <v>62806648.991798967</v>
      </c>
      <c r="G43" s="10">
        <v>2293</v>
      </c>
      <c r="H43" s="10">
        <v>5</v>
      </c>
      <c r="I43" s="10">
        <v>5</v>
      </c>
      <c r="J43" s="10">
        <v>2156</v>
      </c>
      <c r="K43" s="10">
        <v>61438729.827034511</v>
      </c>
    </row>
    <row r="44" spans="1:11" x14ac:dyDescent="0.35">
      <c r="A44" s="9" t="s">
        <v>39</v>
      </c>
      <c r="B44" s="10">
        <v>898</v>
      </c>
      <c r="C44" s="10">
        <v>3</v>
      </c>
      <c r="D44" s="10">
        <v>4</v>
      </c>
      <c r="E44" s="10">
        <v>849</v>
      </c>
      <c r="F44" s="10">
        <v>43715380.459994063</v>
      </c>
      <c r="G44" s="10">
        <v>1015</v>
      </c>
      <c r="H44" s="10">
        <v>6</v>
      </c>
      <c r="I44" s="10">
        <v>4</v>
      </c>
      <c r="J44" s="10">
        <v>830</v>
      </c>
      <c r="K44" s="10">
        <v>47264068.682267107</v>
      </c>
    </row>
    <row r="45" spans="1:11" x14ac:dyDescent="0.35">
      <c r="A45" s="9" t="s">
        <v>6</v>
      </c>
      <c r="B45" s="10">
        <v>1097</v>
      </c>
      <c r="C45" s="10">
        <v>5</v>
      </c>
      <c r="D45" s="10">
        <v>3</v>
      </c>
      <c r="E45" s="10">
        <v>1095</v>
      </c>
      <c r="F45" s="10">
        <v>25162534.388928577</v>
      </c>
      <c r="G45" s="10">
        <v>1121</v>
      </c>
      <c r="H45" s="10">
        <v>8</v>
      </c>
      <c r="I45" s="10">
        <v>3</v>
      </c>
      <c r="J45" s="10">
        <v>941</v>
      </c>
      <c r="K45" s="10">
        <v>33425173.710316837</v>
      </c>
    </row>
    <row r="46" spans="1:11" x14ac:dyDescent="0.35">
      <c r="A46" s="9" t="s">
        <v>41</v>
      </c>
      <c r="B46" s="10">
        <v>830</v>
      </c>
      <c r="C46" s="10">
        <v>5</v>
      </c>
      <c r="D46" s="10">
        <v>4</v>
      </c>
      <c r="E46" s="10">
        <v>573</v>
      </c>
      <c r="F46" s="10">
        <v>32737539.875770304</v>
      </c>
      <c r="G46" s="10">
        <v>728</v>
      </c>
      <c r="H46" s="10">
        <v>3</v>
      </c>
      <c r="I46" s="10">
        <v>5</v>
      </c>
      <c r="J46" s="10">
        <v>675</v>
      </c>
      <c r="K46" s="10">
        <v>34760498.561225682</v>
      </c>
    </row>
    <row r="47" spans="1:11" x14ac:dyDescent="0.35">
      <c r="A47" s="9" t="s">
        <v>158</v>
      </c>
      <c r="B47" s="10">
        <v>701</v>
      </c>
      <c r="C47" s="10">
        <v>3</v>
      </c>
      <c r="D47" s="10">
        <v>11</v>
      </c>
      <c r="E47" s="10">
        <v>671</v>
      </c>
      <c r="F47" s="10">
        <v>21253968.086201899</v>
      </c>
      <c r="G47" s="10">
        <v>709</v>
      </c>
      <c r="H47" s="10">
        <v>0</v>
      </c>
      <c r="I47" s="10">
        <v>8</v>
      </c>
      <c r="J47" s="10">
        <v>558</v>
      </c>
      <c r="K47" s="10">
        <v>20575729.222999271</v>
      </c>
    </row>
    <row r="48" spans="1:11" x14ac:dyDescent="0.35">
      <c r="A48" s="9" t="s">
        <v>160</v>
      </c>
      <c r="B48" s="10">
        <v>690</v>
      </c>
      <c r="C48" s="10">
        <v>0</v>
      </c>
      <c r="D48" s="10">
        <v>1</v>
      </c>
      <c r="E48" s="10">
        <v>732</v>
      </c>
      <c r="F48" s="10">
        <v>18181143.725431334</v>
      </c>
      <c r="G48" s="10">
        <v>795</v>
      </c>
      <c r="H48" s="10">
        <v>0</v>
      </c>
      <c r="I48" s="10">
        <v>2</v>
      </c>
      <c r="J48" s="10">
        <v>744</v>
      </c>
      <c r="K48" s="10">
        <v>19303865.027933616</v>
      </c>
    </row>
    <row r="49" spans="1:11" x14ac:dyDescent="0.35">
      <c r="A49" s="9" t="s">
        <v>83</v>
      </c>
      <c r="B49" s="10">
        <v>1238</v>
      </c>
      <c r="C49" s="10">
        <v>2</v>
      </c>
      <c r="D49" s="10">
        <v>5</v>
      </c>
      <c r="E49" s="10">
        <v>1454</v>
      </c>
      <c r="F49" s="10">
        <v>58056100.845717795</v>
      </c>
      <c r="G49" s="10">
        <v>1195</v>
      </c>
      <c r="H49" s="10">
        <v>5</v>
      </c>
      <c r="I49" s="10">
        <v>6</v>
      </c>
      <c r="J49" s="10">
        <v>1094</v>
      </c>
      <c r="K49" s="10">
        <v>62385273.714933924</v>
      </c>
    </row>
    <row r="50" spans="1:11" x14ac:dyDescent="0.35">
      <c r="A50" s="9" t="s">
        <v>201</v>
      </c>
      <c r="B50" s="10">
        <v>444</v>
      </c>
      <c r="C50" s="10">
        <v>1</v>
      </c>
      <c r="D50" s="10">
        <v>1</v>
      </c>
      <c r="E50" s="10">
        <v>440</v>
      </c>
      <c r="F50" s="10">
        <v>9368029.2382126935</v>
      </c>
      <c r="G50" s="10">
        <v>495</v>
      </c>
      <c r="H50" s="10">
        <v>1</v>
      </c>
      <c r="I50" s="10">
        <v>1</v>
      </c>
      <c r="J50" s="10">
        <v>462</v>
      </c>
      <c r="K50" s="10">
        <v>9787519.2750786394</v>
      </c>
    </row>
    <row r="51" spans="1:11" x14ac:dyDescent="0.35">
      <c r="A51" s="9" t="s">
        <v>31</v>
      </c>
      <c r="B51" s="10">
        <v>910</v>
      </c>
      <c r="C51" s="10">
        <v>3</v>
      </c>
      <c r="D51" s="10">
        <v>7</v>
      </c>
      <c r="E51" s="10">
        <v>939</v>
      </c>
      <c r="F51" s="10">
        <v>27501290.30900624</v>
      </c>
      <c r="G51" s="10">
        <v>938</v>
      </c>
      <c r="H51" s="10">
        <v>2</v>
      </c>
      <c r="I51" s="10">
        <v>5</v>
      </c>
      <c r="J51" s="10">
        <v>927</v>
      </c>
      <c r="K51" s="10">
        <v>27142791.840424143</v>
      </c>
    </row>
    <row r="52" spans="1:11" x14ac:dyDescent="0.35">
      <c r="A52" s="9" t="s">
        <v>33</v>
      </c>
      <c r="B52" s="10">
        <v>1345</v>
      </c>
      <c r="C52" s="10">
        <v>5</v>
      </c>
      <c r="D52" s="10">
        <v>12</v>
      </c>
      <c r="E52" s="10">
        <v>951</v>
      </c>
      <c r="F52" s="10">
        <v>48007052.156097807</v>
      </c>
      <c r="G52" s="10">
        <v>1495</v>
      </c>
      <c r="H52" s="10">
        <v>3</v>
      </c>
      <c r="I52" s="10">
        <v>11</v>
      </c>
      <c r="J52" s="10">
        <v>1097</v>
      </c>
      <c r="K52" s="10">
        <v>49754972.721462965</v>
      </c>
    </row>
    <row r="53" spans="1:11" x14ac:dyDescent="0.35">
      <c r="A53" s="9" t="s">
        <v>85</v>
      </c>
      <c r="B53" s="10">
        <v>485</v>
      </c>
      <c r="C53" s="10">
        <v>1</v>
      </c>
      <c r="D53" s="10">
        <v>6</v>
      </c>
      <c r="E53" s="10">
        <v>370</v>
      </c>
      <c r="F53" s="10">
        <v>24801070.576041028</v>
      </c>
      <c r="G53" s="10">
        <v>488</v>
      </c>
      <c r="H53" s="10">
        <v>4</v>
      </c>
      <c r="I53" s="10">
        <v>6</v>
      </c>
      <c r="J53" s="10">
        <v>393</v>
      </c>
      <c r="K53" s="10">
        <v>24039362.163346086</v>
      </c>
    </row>
    <row r="54" spans="1:11" x14ac:dyDescent="0.35">
      <c r="A54" s="9" t="s">
        <v>81</v>
      </c>
      <c r="B54" s="10">
        <v>456</v>
      </c>
      <c r="C54" s="10">
        <v>0</v>
      </c>
      <c r="D54" s="10">
        <v>4</v>
      </c>
      <c r="E54" s="10">
        <v>314</v>
      </c>
      <c r="F54" s="10">
        <v>18011128.017276742</v>
      </c>
      <c r="G54" s="10">
        <v>444</v>
      </c>
      <c r="H54" s="10">
        <v>2</v>
      </c>
      <c r="I54" s="10">
        <v>3</v>
      </c>
      <c r="J54" s="10">
        <v>359</v>
      </c>
      <c r="K54" s="10">
        <v>20227997.511374339</v>
      </c>
    </row>
    <row r="55" spans="1:11" x14ac:dyDescent="0.35">
      <c r="A55" s="9" t="s">
        <v>87</v>
      </c>
      <c r="B55" s="10">
        <v>422</v>
      </c>
      <c r="C55" s="10">
        <v>2</v>
      </c>
      <c r="D55" s="10">
        <v>4</v>
      </c>
      <c r="E55" s="10">
        <v>335</v>
      </c>
      <c r="F55" s="10">
        <v>15806729.969322076</v>
      </c>
      <c r="G55" s="10">
        <v>221</v>
      </c>
      <c r="H55" s="10">
        <v>1</v>
      </c>
      <c r="I55" s="10">
        <v>1</v>
      </c>
      <c r="J55" s="10">
        <v>315</v>
      </c>
      <c r="K55" s="10">
        <v>6362445.1973371059</v>
      </c>
    </row>
    <row r="56" spans="1:11" x14ac:dyDescent="0.35">
      <c r="A56" s="9" t="s">
        <v>166</v>
      </c>
      <c r="B56" s="10">
        <v>1104</v>
      </c>
      <c r="C56" s="10">
        <v>5</v>
      </c>
      <c r="D56" s="10">
        <v>1</v>
      </c>
      <c r="E56" s="10">
        <v>921</v>
      </c>
      <c r="F56" s="10">
        <v>37145639.08092615</v>
      </c>
      <c r="G56" s="10">
        <v>972</v>
      </c>
      <c r="H56" s="10">
        <v>3</v>
      </c>
      <c r="I56" s="10">
        <v>0</v>
      </c>
      <c r="J56" s="10">
        <v>929</v>
      </c>
      <c r="K56" s="10">
        <v>39087199.660863936</v>
      </c>
    </row>
    <row r="57" spans="1:11" x14ac:dyDescent="0.35">
      <c r="A57" s="9" t="s">
        <v>93</v>
      </c>
      <c r="B57" s="10">
        <v>1009</v>
      </c>
      <c r="C57" s="10">
        <v>7</v>
      </c>
      <c r="D57" s="10">
        <v>1</v>
      </c>
      <c r="E57" s="10">
        <v>926</v>
      </c>
      <c r="F57" s="10">
        <v>38646435.694154151</v>
      </c>
      <c r="G57" s="10">
        <v>1110</v>
      </c>
      <c r="H57" s="10">
        <v>5</v>
      </c>
      <c r="I57" s="10">
        <v>2</v>
      </c>
      <c r="J57" s="10">
        <v>883</v>
      </c>
      <c r="K57" s="10">
        <v>40674626.262159429</v>
      </c>
    </row>
    <row r="58" spans="1:11" x14ac:dyDescent="0.35">
      <c r="A58" s="9" t="s">
        <v>95</v>
      </c>
      <c r="B58" s="10">
        <v>2036</v>
      </c>
      <c r="C58" s="10">
        <v>10</v>
      </c>
      <c r="D58" s="10">
        <v>8</v>
      </c>
      <c r="E58" s="10">
        <v>1773</v>
      </c>
      <c r="F58" s="10">
        <v>69493810.821061969</v>
      </c>
      <c r="G58" s="10">
        <v>1846</v>
      </c>
      <c r="H58" s="10">
        <v>16</v>
      </c>
      <c r="I58" s="10">
        <v>9</v>
      </c>
      <c r="J58" s="10">
        <v>1501</v>
      </c>
      <c r="K58" s="10">
        <v>72374424.098745659</v>
      </c>
    </row>
    <row r="59" spans="1:11" x14ac:dyDescent="0.35">
      <c r="A59" s="9" t="s">
        <v>174</v>
      </c>
      <c r="B59" s="10">
        <v>692</v>
      </c>
      <c r="C59" s="10">
        <v>4</v>
      </c>
      <c r="D59" s="10">
        <v>0</v>
      </c>
      <c r="E59" s="10">
        <v>498</v>
      </c>
      <c r="F59" s="10">
        <v>17384753.173172586</v>
      </c>
      <c r="G59" s="10">
        <v>562</v>
      </c>
      <c r="H59" s="10">
        <v>2</v>
      </c>
      <c r="I59" s="10">
        <v>0</v>
      </c>
      <c r="J59" s="10">
        <v>545</v>
      </c>
      <c r="K59" s="10">
        <v>18923708.401292492</v>
      </c>
    </row>
    <row r="60" spans="1:11" x14ac:dyDescent="0.35">
      <c r="A60" s="9" t="s">
        <v>99</v>
      </c>
      <c r="B60" s="10">
        <v>862</v>
      </c>
      <c r="C60" s="10">
        <v>6</v>
      </c>
      <c r="D60" s="10">
        <v>5</v>
      </c>
      <c r="E60" s="10">
        <v>790</v>
      </c>
      <c r="F60" s="10">
        <v>30326520.036693711</v>
      </c>
      <c r="G60" s="10">
        <v>903</v>
      </c>
      <c r="H60" s="10">
        <v>8</v>
      </c>
      <c r="I60" s="10">
        <v>6</v>
      </c>
      <c r="J60" s="10">
        <v>775</v>
      </c>
      <c r="K60" s="10">
        <v>34240647.79706008</v>
      </c>
    </row>
    <row r="61" spans="1:11" x14ac:dyDescent="0.35">
      <c r="A61" s="9" t="s">
        <v>172</v>
      </c>
      <c r="B61" s="10">
        <v>746</v>
      </c>
      <c r="C61" s="10">
        <v>4</v>
      </c>
      <c r="D61" s="10">
        <v>1</v>
      </c>
      <c r="E61" s="10">
        <v>658</v>
      </c>
      <c r="F61" s="10">
        <v>19194844.171725195</v>
      </c>
      <c r="G61" s="10">
        <v>663</v>
      </c>
      <c r="H61" s="10">
        <v>0</v>
      </c>
      <c r="I61" s="10">
        <v>0</v>
      </c>
      <c r="J61" s="10">
        <v>574</v>
      </c>
      <c r="K61" s="10">
        <v>17557864.945764679</v>
      </c>
    </row>
    <row r="62" spans="1:11" x14ac:dyDescent="0.35">
      <c r="A62" s="9" t="s">
        <v>168</v>
      </c>
      <c r="B62" s="10">
        <v>1110</v>
      </c>
      <c r="C62" s="10">
        <v>6</v>
      </c>
      <c r="D62" s="10">
        <v>0</v>
      </c>
      <c r="E62" s="10">
        <v>938</v>
      </c>
      <c r="F62" s="10">
        <v>38667760.821667828</v>
      </c>
      <c r="G62" s="10">
        <v>1156</v>
      </c>
      <c r="H62" s="10">
        <v>6</v>
      </c>
      <c r="I62" s="10">
        <v>1</v>
      </c>
      <c r="J62" s="10">
        <v>1062</v>
      </c>
      <c r="K62" s="10">
        <v>42707054.597119845</v>
      </c>
    </row>
    <row r="63" spans="1:11" x14ac:dyDescent="0.35">
      <c r="A63" s="9" t="s">
        <v>101</v>
      </c>
      <c r="B63" s="10">
        <v>1497</v>
      </c>
      <c r="C63" s="10">
        <v>8</v>
      </c>
      <c r="D63" s="10">
        <v>4</v>
      </c>
      <c r="E63" s="10">
        <v>1041</v>
      </c>
      <c r="F63" s="10">
        <v>47149145.488019548</v>
      </c>
      <c r="G63" s="10">
        <v>1748</v>
      </c>
      <c r="H63" s="10">
        <v>17</v>
      </c>
      <c r="I63" s="10">
        <v>5</v>
      </c>
      <c r="J63" s="10">
        <v>1603</v>
      </c>
      <c r="K63" s="10">
        <v>59553692.350798987</v>
      </c>
    </row>
    <row r="64" spans="1:11" x14ac:dyDescent="0.35">
      <c r="A64" s="9" t="s">
        <v>103</v>
      </c>
      <c r="B64" s="10">
        <v>764</v>
      </c>
      <c r="C64" s="10">
        <v>2</v>
      </c>
      <c r="D64" s="10">
        <v>4</v>
      </c>
      <c r="E64" s="10">
        <v>754</v>
      </c>
      <c r="F64" s="10">
        <v>26294359.603784792</v>
      </c>
      <c r="G64" s="10">
        <v>875</v>
      </c>
      <c r="H64" s="10">
        <v>4</v>
      </c>
      <c r="I64" s="10">
        <v>5</v>
      </c>
      <c r="J64" s="10">
        <v>809</v>
      </c>
      <c r="K64" s="10">
        <v>24696556.024657793</v>
      </c>
    </row>
    <row r="65" spans="1:11" x14ac:dyDescent="0.35">
      <c r="A65" s="9" t="s">
        <v>105</v>
      </c>
      <c r="B65" s="10">
        <v>636</v>
      </c>
      <c r="C65" s="10">
        <v>10</v>
      </c>
      <c r="D65" s="10">
        <v>5</v>
      </c>
      <c r="E65" s="10">
        <v>470</v>
      </c>
      <c r="F65" s="10">
        <v>29381517.297919996</v>
      </c>
      <c r="G65" s="10">
        <v>567</v>
      </c>
      <c r="H65" s="10">
        <v>5</v>
      </c>
      <c r="I65" s="10">
        <v>7</v>
      </c>
      <c r="J65" s="10">
        <v>471</v>
      </c>
      <c r="K65" s="10">
        <v>30966755.450658873</v>
      </c>
    </row>
    <row r="66" spans="1:11" x14ac:dyDescent="0.35">
      <c r="A66" s="9" t="s">
        <v>24</v>
      </c>
      <c r="B66" s="10">
        <v>1990</v>
      </c>
      <c r="C66" s="10">
        <v>14</v>
      </c>
      <c r="D66" s="10">
        <v>11</v>
      </c>
      <c r="E66" s="10">
        <v>1567</v>
      </c>
      <c r="F66" s="10">
        <v>94637122.61423178</v>
      </c>
      <c r="G66" s="10">
        <v>1973</v>
      </c>
      <c r="H66" s="10">
        <v>19</v>
      </c>
      <c r="I66" s="10">
        <v>12</v>
      </c>
      <c r="J66" s="10">
        <v>1667</v>
      </c>
      <c r="K66" s="10">
        <v>98297860.045866206</v>
      </c>
    </row>
    <row r="67" spans="1:11" x14ac:dyDescent="0.35">
      <c r="A67" s="9" t="s">
        <v>27</v>
      </c>
      <c r="B67" s="10">
        <v>1599</v>
      </c>
      <c r="C67" s="10">
        <v>16</v>
      </c>
      <c r="D67" s="10">
        <v>6</v>
      </c>
      <c r="E67" s="10">
        <v>1356</v>
      </c>
      <c r="F67" s="10">
        <v>70773748.576810673</v>
      </c>
      <c r="G67" s="10">
        <v>1671</v>
      </c>
      <c r="H67" s="10">
        <v>14</v>
      </c>
      <c r="I67" s="10">
        <v>7</v>
      </c>
      <c r="J67" s="10">
        <v>1328</v>
      </c>
      <c r="K67" s="10">
        <v>71935440.42983456</v>
      </c>
    </row>
    <row r="68" spans="1:11" x14ac:dyDescent="0.35">
      <c r="A68" s="9" t="s">
        <v>29</v>
      </c>
      <c r="B68" s="10">
        <v>894</v>
      </c>
      <c r="C68" s="10">
        <v>7</v>
      </c>
      <c r="D68" s="10">
        <v>1</v>
      </c>
      <c r="E68" s="10">
        <v>654</v>
      </c>
      <c r="F68" s="10">
        <v>45665609.810448475</v>
      </c>
      <c r="G68" s="10">
        <v>937</v>
      </c>
      <c r="H68" s="10">
        <v>2</v>
      </c>
      <c r="I68" s="10">
        <v>1</v>
      </c>
      <c r="J68" s="10">
        <v>732</v>
      </c>
      <c r="K68" s="10">
        <v>47462901.347901933</v>
      </c>
    </row>
    <row r="69" spans="1:11" x14ac:dyDescent="0.35">
      <c r="A69" s="9" t="s">
        <v>57</v>
      </c>
      <c r="B69" s="10">
        <v>2204</v>
      </c>
      <c r="C69" s="10">
        <v>377</v>
      </c>
      <c r="D69" s="10">
        <v>12</v>
      </c>
      <c r="E69" s="10">
        <v>1245</v>
      </c>
      <c r="F69" s="10">
        <v>67656800.451480851</v>
      </c>
      <c r="G69" s="10">
        <v>2091</v>
      </c>
      <c r="H69" s="10">
        <v>513</v>
      </c>
      <c r="I69" s="10">
        <v>13</v>
      </c>
      <c r="J69" s="10">
        <v>1327</v>
      </c>
      <c r="K69" s="10">
        <v>64152120.69018504</v>
      </c>
    </row>
    <row r="70" spans="1:11" x14ac:dyDescent="0.35">
      <c r="A70" s="9" t="s">
        <v>137</v>
      </c>
      <c r="B70" s="10">
        <v>252</v>
      </c>
      <c r="C70" s="10">
        <v>0</v>
      </c>
      <c r="D70" s="10">
        <v>1</v>
      </c>
      <c r="E70" s="10">
        <v>246</v>
      </c>
      <c r="F70" s="10">
        <v>2633379.3830935382</v>
      </c>
      <c r="G70" s="10">
        <v>265</v>
      </c>
      <c r="H70" s="10">
        <v>2</v>
      </c>
      <c r="I70" s="10">
        <v>0</v>
      </c>
      <c r="J70" s="10">
        <v>264</v>
      </c>
      <c r="K70" s="10">
        <v>5153593.4177207183</v>
      </c>
    </row>
    <row r="71" spans="1:11" x14ac:dyDescent="0.35">
      <c r="A71" s="9" t="s">
        <v>10</v>
      </c>
      <c r="B71" s="10">
        <v>1663</v>
      </c>
      <c r="C71" s="10">
        <v>9</v>
      </c>
      <c r="D71" s="10">
        <v>6</v>
      </c>
      <c r="E71" s="10">
        <v>1571</v>
      </c>
      <c r="F71" s="10">
        <v>48997107.208894491</v>
      </c>
      <c r="G71" s="10">
        <v>1715</v>
      </c>
      <c r="H71" s="10">
        <v>18</v>
      </c>
      <c r="I71" s="10">
        <v>8</v>
      </c>
      <c r="J71" s="10">
        <v>1523</v>
      </c>
      <c r="K71" s="10">
        <v>47950631.785390586</v>
      </c>
    </row>
    <row r="72" spans="1:11" x14ac:dyDescent="0.35">
      <c r="A72" s="9" t="s">
        <v>12</v>
      </c>
      <c r="B72" s="10">
        <v>739</v>
      </c>
      <c r="C72" s="10">
        <v>3</v>
      </c>
      <c r="D72" s="10">
        <v>3</v>
      </c>
      <c r="E72" s="10">
        <v>614</v>
      </c>
      <c r="F72" s="10">
        <v>23101263.016764838</v>
      </c>
      <c r="G72" s="10">
        <v>877</v>
      </c>
      <c r="H72" s="10">
        <v>4</v>
      </c>
      <c r="I72" s="10">
        <v>4</v>
      </c>
      <c r="J72" s="10">
        <v>612</v>
      </c>
      <c r="K72" s="10">
        <v>22046341.14536155</v>
      </c>
    </row>
    <row r="73" spans="1:11" x14ac:dyDescent="0.35">
      <c r="A73" s="9" t="s">
        <v>162</v>
      </c>
      <c r="B73" s="10">
        <v>1391</v>
      </c>
      <c r="C73" s="10">
        <v>23</v>
      </c>
      <c r="D73" s="10">
        <v>4</v>
      </c>
      <c r="E73" s="10">
        <v>982</v>
      </c>
      <c r="F73" s="10">
        <v>34973917.453895658</v>
      </c>
      <c r="G73" s="10">
        <v>1378</v>
      </c>
      <c r="H73" s="10">
        <v>66</v>
      </c>
      <c r="I73" s="10">
        <v>5</v>
      </c>
      <c r="J73" s="10">
        <v>1117</v>
      </c>
      <c r="K73" s="10">
        <v>36678397.562773459</v>
      </c>
    </row>
    <row r="74" spans="1:11" x14ac:dyDescent="0.35">
      <c r="A74" s="9" t="s">
        <v>63</v>
      </c>
      <c r="B74" s="10">
        <v>1253</v>
      </c>
      <c r="C74" s="10">
        <v>6</v>
      </c>
      <c r="D74" s="10">
        <v>5</v>
      </c>
      <c r="E74" s="10">
        <v>1208</v>
      </c>
      <c r="F74" s="10">
        <v>22203502.898916803</v>
      </c>
      <c r="G74" s="10">
        <v>1561</v>
      </c>
      <c r="H74" s="10">
        <v>6</v>
      </c>
      <c r="I74" s="10">
        <v>4</v>
      </c>
      <c r="J74" s="10">
        <v>1377</v>
      </c>
      <c r="K74" s="10">
        <v>27770658.560409263</v>
      </c>
    </row>
    <row r="75" spans="1:11" x14ac:dyDescent="0.35">
      <c r="A75" s="9" t="s">
        <v>59</v>
      </c>
      <c r="B75" s="10">
        <v>1758</v>
      </c>
      <c r="C75" s="10">
        <v>13</v>
      </c>
      <c r="D75" s="10">
        <v>5</v>
      </c>
      <c r="E75" s="10">
        <v>1241</v>
      </c>
      <c r="F75" s="10">
        <v>61243048.896313921</v>
      </c>
      <c r="G75" s="10">
        <v>1564</v>
      </c>
      <c r="H75" s="10">
        <v>14</v>
      </c>
      <c r="I75" s="10">
        <v>7</v>
      </c>
      <c r="J75" s="10">
        <v>1292</v>
      </c>
      <c r="K75" s="10">
        <v>63578906.020253301</v>
      </c>
    </row>
    <row r="76" spans="1:11" x14ac:dyDescent="0.35">
      <c r="A76" s="9" t="s">
        <v>139</v>
      </c>
      <c r="B76" s="10">
        <v>507</v>
      </c>
      <c r="C76" s="10">
        <v>2</v>
      </c>
      <c r="D76" s="10">
        <v>1</v>
      </c>
      <c r="E76" s="10">
        <v>440</v>
      </c>
      <c r="F76" s="10">
        <v>12389661.65920596</v>
      </c>
      <c r="G76" s="10">
        <v>472</v>
      </c>
      <c r="H76" s="10">
        <v>4</v>
      </c>
      <c r="I76" s="10">
        <v>1</v>
      </c>
      <c r="J76" s="10">
        <v>419</v>
      </c>
      <c r="K76" s="10">
        <v>11379397.772014776</v>
      </c>
    </row>
    <row r="77" spans="1:11" x14ac:dyDescent="0.35">
      <c r="A77" s="9" t="s">
        <v>170</v>
      </c>
      <c r="B77" s="10">
        <v>879</v>
      </c>
      <c r="C77" s="10">
        <v>3</v>
      </c>
      <c r="D77" s="10">
        <v>1</v>
      </c>
      <c r="E77" s="10">
        <v>791</v>
      </c>
      <c r="F77" s="10">
        <v>19944616.410577688</v>
      </c>
      <c r="G77" s="10">
        <v>831</v>
      </c>
      <c r="H77" s="10">
        <v>2</v>
      </c>
      <c r="I77" s="10">
        <v>0</v>
      </c>
      <c r="J77" s="10">
        <v>835</v>
      </c>
      <c r="K77" s="10">
        <v>22860464.684708528</v>
      </c>
    </row>
    <row r="78" spans="1:11" x14ac:dyDescent="0.35">
      <c r="A78" s="9" t="s">
        <v>61</v>
      </c>
      <c r="B78" s="10">
        <v>645</v>
      </c>
      <c r="C78" s="10">
        <v>1</v>
      </c>
      <c r="D78" s="10">
        <v>3</v>
      </c>
      <c r="E78" s="10">
        <v>487</v>
      </c>
      <c r="F78" s="10">
        <v>19632821.125206627</v>
      </c>
      <c r="G78" s="10">
        <v>596</v>
      </c>
      <c r="H78" s="10">
        <v>2</v>
      </c>
      <c r="I78" s="10">
        <v>3</v>
      </c>
      <c r="J78" s="10">
        <v>485</v>
      </c>
      <c r="K78" s="10">
        <v>21790440.960611559</v>
      </c>
    </row>
    <row r="79" spans="1:11" x14ac:dyDescent="0.35">
      <c r="A79" s="9" t="s">
        <v>129</v>
      </c>
      <c r="B79" s="10">
        <v>616</v>
      </c>
      <c r="C79" s="10">
        <v>6</v>
      </c>
      <c r="D79" s="10">
        <v>1</v>
      </c>
      <c r="E79" s="10">
        <v>596</v>
      </c>
      <c r="F79" s="10">
        <v>14969353.601374509</v>
      </c>
      <c r="G79" s="10">
        <v>934</v>
      </c>
      <c r="H79" s="10">
        <v>12</v>
      </c>
      <c r="I79" s="10">
        <v>1</v>
      </c>
      <c r="J79" s="10">
        <v>897</v>
      </c>
      <c r="K79" s="10">
        <v>14624074.907011259</v>
      </c>
    </row>
    <row r="80" spans="1:11" x14ac:dyDescent="0.35">
      <c r="A80" s="9" t="s">
        <v>35</v>
      </c>
      <c r="B80" s="10">
        <v>442</v>
      </c>
      <c r="C80" s="10">
        <v>1</v>
      </c>
      <c r="D80" s="10">
        <v>7</v>
      </c>
      <c r="E80" s="10">
        <v>471</v>
      </c>
      <c r="F80" s="10">
        <v>16533756.493633192</v>
      </c>
      <c r="G80" s="10">
        <v>455</v>
      </c>
      <c r="H80" s="10">
        <v>3</v>
      </c>
      <c r="I80" s="10">
        <v>8</v>
      </c>
      <c r="J80" s="10">
        <v>451</v>
      </c>
      <c r="K80" s="10">
        <v>14984463.80901321</v>
      </c>
    </row>
    <row r="81" spans="1:11" x14ac:dyDescent="0.35">
      <c r="A81" s="9" t="s">
        <v>107</v>
      </c>
      <c r="B81" s="10">
        <v>919</v>
      </c>
      <c r="C81" s="10">
        <v>6</v>
      </c>
      <c r="D81" s="10">
        <v>3</v>
      </c>
      <c r="E81" s="10">
        <v>911</v>
      </c>
      <c r="F81" s="10">
        <v>43975831.586132079</v>
      </c>
      <c r="G81" s="10">
        <v>821</v>
      </c>
      <c r="H81" s="10">
        <v>7</v>
      </c>
      <c r="I81" s="10">
        <v>3</v>
      </c>
      <c r="J81" s="10">
        <v>716</v>
      </c>
      <c r="K81" s="10">
        <v>36846421.380385205</v>
      </c>
    </row>
    <row r="82" spans="1:11" x14ac:dyDescent="0.35">
      <c r="A82" s="9" t="s">
        <v>37</v>
      </c>
      <c r="B82" s="10">
        <v>772</v>
      </c>
      <c r="C82" s="10">
        <v>2</v>
      </c>
      <c r="D82" s="10">
        <v>10</v>
      </c>
      <c r="E82" s="10">
        <v>694</v>
      </c>
      <c r="F82" s="10">
        <v>25803193.875584789</v>
      </c>
      <c r="G82" s="10">
        <v>795</v>
      </c>
      <c r="H82" s="10">
        <v>3</v>
      </c>
      <c r="I82" s="10">
        <v>9</v>
      </c>
      <c r="J82" s="10">
        <v>729</v>
      </c>
      <c r="K82" s="10">
        <v>26570428.250516757</v>
      </c>
    </row>
    <row r="83" spans="1:11" x14ac:dyDescent="0.35">
      <c r="A83" s="9" t="s">
        <v>76</v>
      </c>
      <c r="B83" s="10">
        <v>961</v>
      </c>
      <c r="C83" s="10">
        <v>3</v>
      </c>
      <c r="D83" s="10">
        <v>2</v>
      </c>
      <c r="E83" s="10">
        <v>969</v>
      </c>
      <c r="F83" s="10">
        <v>21430456.487673119</v>
      </c>
      <c r="G83" s="10">
        <v>1014</v>
      </c>
      <c r="H83" s="10">
        <v>3</v>
      </c>
      <c r="I83" s="10">
        <v>2</v>
      </c>
      <c r="J83" s="10">
        <v>912</v>
      </c>
      <c r="K83" s="10">
        <v>21496542.429334331</v>
      </c>
    </row>
    <row r="84" spans="1:11" x14ac:dyDescent="0.35">
      <c r="A84" s="9" t="s">
        <v>65</v>
      </c>
      <c r="B84" s="10">
        <v>996</v>
      </c>
      <c r="C84" s="10">
        <v>2</v>
      </c>
      <c r="D84" s="10">
        <v>5</v>
      </c>
      <c r="E84" s="10">
        <v>866</v>
      </c>
      <c r="F84" s="10">
        <v>22212680.787092481</v>
      </c>
      <c r="G84" s="10">
        <v>887</v>
      </c>
      <c r="H84" s="10">
        <v>2</v>
      </c>
      <c r="I84" s="10">
        <v>4</v>
      </c>
      <c r="J84" s="10">
        <v>829</v>
      </c>
      <c r="K84" s="10">
        <v>25862734.284609228</v>
      </c>
    </row>
    <row r="85" spans="1:11" x14ac:dyDescent="0.35">
      <c r="A85" s="9" t="s">
        <v>89</v>
      </c>
      <c r="B85" s="10">
        <v>759</v>
      </c>
      <c r="C85" s="10">
        <v>2</v>
      </c>
      <c r="D85" s="10">
        <v>6</v>
      </c>
      <c r="E85" s="10">
        <v>743</v>
      </c>
      <c r="F85" s="10">
        <v>28452287.495797113</v>
      </c>
      <c r="G85" s="10">
        <v>778</v>
      </c>
      <c r="H85" s="10">
        <v>3</v>
      </c>
      <c r="I85" s="10">
        <v>7</v>
      </c>
      <c r="J85" s="10">
        <v>726</v>
      </c>
      <c r="K85" s="10">
        <v>31363755.234437577</v>
      </c>
    </row>
    <row r="86" spans="1:11" x14ac:dyDescent="0.35">
      <c r="A86" s="9" t="s">
        <v>147</v>
      </c>
      <c r="B86" s="10">
        <v>565</v>
      </c>
      <c r="C86" s="10">
        <v>2</v>
      </c>
      <c r="D86" s="10">
        <v>1</v>
      </c>
      <c r="E86" s="10">
        <v>522</v>
      </c>
      <c r="F86" s="10">
        <v>13050905.489939887</v>
      </c>
      <c r="G86" s="10">
        <v>611</v>
      </c>
      <c r="H86" s="10">
        <v>4</v>
      </c>
      <c r="I86" s="10">
        <v>1</v>
      </c>
      <c r="J86" s="10">
        <v>549</v>
      </c>
      <c r="K86" s="10">
        <v>11988485.977876555</v>
      </c>
    </row>
    <row r="87" spans="1:11" x14ac:dyDescent="0.35">
      <c r="A87" s="9" t="s">
        <v>164</v>
      </c>
      <c r="B87" s="10">
        <v>1764</v>
      </c>
      <c r="C87" s="10">
        <v>6</v>
      </c>
      <c r="D87" s="10">
        <v>10</v>
      </c>
      <c r="E87" s="10">
        <v>1312</v>
      </c>
      <c r="F87" s="10">
        <v>54521234.381260686</v>
      </c>
      <c r="G87" s="10">
        <v>1639</v>
      </c>
      <c r="H87" s="10">
        <v>2</v>
      </c>
      <c r="I87" s="10">
        <v>9</v>
      </c>
      <c r="J87" s="10">
        <v>1380</v>
      </c>
      <c r="K87" s="10">
        <v>66487916.797526561</v>
      </c>
    </row>
    <row r="88" spans="1:11" x14ac:dyDescent="0.35">
      <c r="A88" s="9" t="s">
        <v>91</v>
      </c>
      <c r="B88" s="10">
        <v>578</v>
      </c>
      <c r="C88" s="10">
        <v>0</v>
      </c>
      <c r="D88" s="10">
        <v>3</v>
      </c>
      <c r="E88" s="10">
        <v>671</v>
      </c>
      <c r="F88" s="10">
        <v>12629426.927350204</v>
      </c>
      <c r="G88" s="10">
        <v>858</v>
      </c>
      <c r="H88" s="10">
        <v>2</v>
      </c>
      <c r="I88" s="10">
        <v>3</v>
      </c>
      <c r="J88" s="10">
        <v>928</v>
      </c>
      <c r="K88" s="10">
        <v>14912277.198876899</v>
      </c>
    </row>
    <row r="89" spans="1:11" x14ac:dyDescent="0.35">
      <c r="A89" s="9" t="s">
        <v>97</v>
      </c>
      <c r="B89" s="10">
        <v>631</v>
      </c>
      <c r="C89" s="10">
        <v>4</v>
      </c>
      <c r="D89" s="10">
        <v>7</v>
      </c>
      <c r="E89" s="10">
        <v>641</v>
      </c>
      <c r="F89" s="10">
        <v>24516929.914394263</v>
      </c>
      <c r="G89" s="10">
        <v>806</v>
      </c>
      <c r="H89" s="10">
        <v>5</v>
      </c>
      <c r="I89" s="10">
        <v>8</v>
      </c>
      <c r="J89" s="10">
        <v>581</v>
      </c>
      <c r="K89" s="10">
        <v>26691110.077262778</v>
      </c>
    </row>
    <row r="90" spans="1:11" x14ac:dyDescent="0.35">
      <c r="A90" s="9" t="s">
        <v>78</v>
      </c>
      <c r="B90" s="10">
        <v>358</v>
      </c>
      <c r="C90" s="10">
        <v>2</v>
      </c>
      <c r="D90" s="10">
        <v>1</v>
      </c>
      <c r="E90" s="10">
        <v>380</v>
      </c>
      <c r="F90" s="10">
        <v>5910987.391414376</v>
      </c>
      <c r="G90" s="10">
        <v>192</v>
      </c>
      <c r="H90" s="10">
        <v>2</v>
      </c>
      <c r="I90" s="10">
        <v>1</v>
      </c>
      <c r="J90" s="10">
        <v>225</v>
      </c>
      <c r="K90" s="10">
        <v>4445161.1584503073</v>
      </c>
    </row>
    <row r="91" spans="1:11" x14ac:dyDescent="0.35">
      <c r="A91" s="14" t="s">
        <v>203</v>
      </c>
      <c r="B91" s="13">
        <v>84407</v>
      </c>
      <c r="C91" s="13">
        <v>1140</v>
      </c>
      <c r="D91" s="13">
        <v>318</v>
      </c>
      <c r="E91" s="13">
        <v>70297</v>
      </c>
      <c r="F91" s="13">
        <v>2541296940.4072208</v>
      </c>
      <c r="G91" s="13">
        <v>83705</v>
      </c>
      <c r="H91" s="13">
        <v>1727</v>
      </c>
      <c r="I91" s="13">
        <v>321</v>
      </c>
      <c r="J91" s="13">
        <v>71011</v>
      </c>
      <c r="K91" s="13">
        <v>2629013067.6293702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2026-09-20T05:12:40Z</dcterms:modified>
</cp:coreProperties>
</file>