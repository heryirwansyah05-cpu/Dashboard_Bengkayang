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<sst xmlns="http://schemas.openxmlformats.org/spreadsheetml/2006/main" count="540" uniqueCount="205">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</sst>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10031059.186713256</v>
      </c>
      <c r="G2" s="1">
        <f>VLOOKUP(A:A,MASTER!A:K,11,0)</f>
        <v>10451748.424652403</v>
      </c>
      <c r="H2" s="12">
        <f>IFERROR(G2/F2-1,0)</f>
        <v>4.1938665709038592E-2</v>
      </c>
      <c r="I2" s="2">
        <f>VLOOKUP(A:A,MASTER!A:E,5,0)</f>
        <v>430</v>
      </c>
      <c r="J2" s="2">
        <f>VLOOKUP(A:A,MASTER!A:J,10,0)</f>
        <v>332</v>
      </c>
      <c r="K2" s="12">
        <f>IFERROR(J2/I2-1,0)</f>
        <v>-0.22790697674418603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414</v>
      </c>
      <c r="S2">
        <f>VLOOKUP(A:A,MASTER!A:G,7,0)</f>
        <v>432</v>
      </c>
      <c r="T2" s="12">
        <f>IFERROR(S2/R2-1,0)</f>
        <v>4.3478260869565188E-2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11847668.973308677</v>
      </c>
      <c r="G3" s="1">
        <f>VLOOKUP(A:A,MASTER!A:K,11,0)</f>
        <v>11365040.339451777</v>
      </c>
      <c r="H3" s="12">
        <f t="shared" ref="H3:H66" si="0">IFERROR(G3/F3-1,0)</f>
        <v>-4.0736168012813545E-2</v>
      </c>
      <c r="I3" s="2">
        <f>VLOOKUP(A:A,MASTER!A:E,5,0)</f>
        <v>544</v>
      </c>
      <c r="J3" s="2">
        <f>VLOOKUP(A:A,MASTER!A:J,10,0)</f>
        <v>592</v>
      </c>
      <c r="K3" s="12">
        <f t="shared" ref="K3:K66" si="1">IFERROR(J3/I3-1,0)</f>
        <v>8.8235294117646967E-2</v>
      </c>
      <c r="L3" s="2">
        <f>VLOOKUP(A:A,MASTER!A:D,4,0)</f>
        <v>3</v>
      </c>
      <c r="M3" s="2">
        <f>VLOOKUP(A:A,MASTER!A:I,9,0)</f>
        <v>3</v>
      </c>
      <c r="N3" s="12">
        <f t="shared" ref="N3:N66" si="2">IFERROR(M3/L3-1,0)</f>
        <v>0</v>
      </c>
      <c r="O3" s="1">
        <f>VLOOKUP(A:A,MASTER!A:C,3,0)</f>
        <v>4</v>
      </c>
      <c r="P3" s="1">
        <f>VLOOKUP(A:A,MASTER!A:H,8,0)</f>
        <v>6</v>
      </c>
      <c r="Q3" s="12">
        <f t="shared" ref="Q3:Q66" si="3">IFERROR(P3/O3-1,0)</f>
        <v>0.5</v>
      </c>
      <c r="R3" s="1">
        <f>VLOOKUP(A:A,MASTER!A:B,2,0)</f>
        <v>639</v>
      </c>
      <c r="S3">
        <f>VLOOKUP(A:A,MASTER!A:G,7,0)</f>
        <v>555</v>
      </c>
      <c r="T3" s="12">
        <f t="shared" ref="T3:T66" si="4">IFERROR(S3/R3-1,0)</f>
        <v>-0.13145539906103287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15693282.493840273</v>
      </c>
      <c r="G4" s="1">
        <f>VLOOKUP(A:A,MASTER!A:K,11,0)</f>
        <v>13027212.983451417</v>
      </c>
      <c r="H4" s="12">
        <f t="shared" si="0"/>
        <v>-0.16988603317599793</v>
      </c>
      <c r="I4" s="2">
        <f>VLOOKUP(A:A,MASTER!A:E,5,0)</f>
        <v>803</v>
      </c>
      <c r="J4" s="2">
        <f>VLOOKUP(A:A,MASTER!A:J,10,0)</f>
        <v>307</v>
      </c>
      <c r="K4" s="12">
        <f t="shared" si="1"/>
        <v>-0.61768368617683689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6</v>
      </c>
      <c r="P4" s="1">
        <f>VLOOKUP(A:A,MASTER!A:H,8,0)</f>
        <v>4</v>
      </c>
      <c r="Q4" s="12">
        <f t="shared" si="3"/>
        <v>-0.33333333333333337</v>
      </c>
      <c r="R4" s="1">
        <f>VLOOKUP(A:A,MASTER!A:B,2,0)</f>
        <v>756</v>
      </c>
      <c r="S4">
        <f>VLOOKUP(A:A,MASTER!A:G,7,0)</f>
        <v>767</v>
      </c>
      <c r="T4" s="12">
        <f t="shared" si="4"/>
        <v>1.4550264550264647E-2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25636221.356210988</v>
      </c>
      <c r="G5" s="1">
        <f>VLOOKUP(A:A,MASTER!A:K,11,0)</f>
        <v>27343918.425037589</v>
      </c>
      <c r="H5" s="12">
        <f t="shared" si="0"/>
        <v>6.6612666706939327E-2</v>
      </c>
      <c r="I5" s="2">
        <f>VLOOKUP(A:A,MASTER!A:E,5,0)</f>
        <v>1123</v>
      </c>
      <c r="J5" s="2">
        <f>VLOOKUP(A:A,MASTER!A:J,10,0)</f>
        <v>955</v>
      </c>
      <c r="K5" s="12">
        <f t="shared" si="1"/>
        <v>-0.1495992876224399</v>
      </c>
      <c r="L5" s="2">
        <f>VLOOKUP(A:A,MASTER!A:D,4,0)</f>
        <v>4</v>
      </c>
      <c r="M5" s="2">
        <f>VLOOKUP(A:A,MASTER!A:I,9,0)</f>
        <v>2</v>
      </c>
      <c r="N5" s="12">
        <f t="shared" si="2"/>
        <v>-0.5</v>
      </c>
      <c r="O5" s="1">
        <f>VLOOKUP(A:A,MASTER!A:C,3,0)</f>
        <v>5</v>
      </c>
      <c r="P5" s="1">
        <f>VLOOKUP(A:A,MASTER!A:H,8,0)</f>
        <v>8</v>
      </c>
      <c r="Q5" s="12">
        <f t="shared" si="3"/>
        <v>0.60000000000000009</v>
      </c>
      <c r="R5" s="1">
        <f>VLOOKUP(A:A,MASTER!A:B,2,0)</f>
        <v>1206</v>
      </c>
      <c r="S5">
        <f>VLOOKUP(A:A,MASTER!A:G,7,0)</f>
        <v>1222</v>
      </c>
      <c r="T5" s="12">
        <f t="shared" si="4"/>
        <v>1.3266998341625147E-2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11567766.085140552</v>
      </c>
      <c r="G6" s="1">
        <f>VLOOKUP(A:A,MASTER!A:K,11,0)</f>
        <v>12437976.728047604</v>
      </c>
      <c r="H6" s="12">
        <f t="shared" si="0"/>
        <v>7.5227199141317813E-2</v>
      </c>
      <c r="I6" s="2">
        <f>VLOOKUP(A:A,MASTER!A:E,5,0)</f>
        <v>377</v>
      </c>
      <c r="J6" s="2">
        <f>VLOOKUP(A:A,MASTER!A:J,10,0)</f>
        <v>369</v>
      </c>
      <c r="K6" s="12">
        <f t="shared" si="1"/>
        <v>-2.1220159151193685E-2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411</v>
      </c>
      <c r="S6">
        <f>VLOOKUP(A:A,MASTER!A:G,7,0)</f>
        <v>392</v>
      </c>
      <c r="T6" s="12">
        <f t="shared" si="4"/>
        <v>-4.6228710462287159E-2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9574246.6887910403</v>
      </c>
      <c r="G7" s="1">
        <f>VLOOKUP(A:A,MASTER!A:K,11,0)</f>
        <v>7884637.3578127623</v>
      </c>
      <c r="H7" s="12">
        <f t="shared" si="0"/>
        <v>-0.17647438862802356</v>
      </c>
      <c r="I7" s="2">
        <f>VLOOKUP(A:A,MASTER!A:E,5,0)</f>
        <v>280</v>
      </c>
      <c r="J7" s="2">
        <f>VLOOKUP(A:A,MASTER!A:J,10,0)</f>
        <v>276</v>
      </c>
      <c r="K7" s="12">
        <f t="shared" si="1"/>
        <v>-1.4285714285714235E-2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2</v>
      </c>
      <c r="Q7" s="12">
        <f t="shared" si="3"/>
        <v>-0.33333333333333337</v>
      </c>
      <c r="R7" s="1">
        <f>VLOOKUP(A:A,MASTER!A:B,2,0)</f>
        <v>381</v>
      </c>
      <c r="S7">
        <f>VLOOKUP(A:A,MASTER!A:G,7,0)</f>
        <v>374</v>
      </c>
      <c r="T7" s="12">
        <f t="shared" si="4"/>
        <v>-1.8372703412073532E-2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11358396.529773155</v>
      </c>
      <c r="G8" s="1">
        <f>VLOOKUP(A:A,MASTER!A:K,11,0)</f>
        <v>11563533.990490887</v>
      </c>
      <c r="H8" s="12">
        <f t="shared" si="0"/>
        <v>1.8060424301970412E-2</v>
      </c>
      <c r="I8" s="2">
        <f>VLOOKUP(A:A,MASTER!A:E,5,0)</f>
        <v>516</v>
      </c>
      <c r="J8" s="2">
        <f>VLOOKUP(A:A,MASTER!A:J,10,0)</f>
        <v>461</v>
      </c>
      <c r="K8" s="12">
        <f t="shared" si="1"/>
        <v>-0.10658914728682167</v>
      </c>
      <c r="L8" s="2">
        <f>VLOOKUP(A:A,MASTER!A:D,4,0)</f>
        <v>3</v>
      </c>
      <c r="M8" s="2">
        <f>VLOOKUP(A:A,MASTER!A:I,9,0)</f>
        <v>0</v>
      </c>
      <c r="N8" s="12">
        <f t="shared" si="2"/>
        <v>-1</v>
      </c>
      <c r="O8" s="1">
        <f>VLOOKUP(A:A,MASTER!A:C,3,0)</f>
        <v>2</v>
      </c>
      <c r="P8" s="1">
        <f>VLOOKUP(A:A,MASTER!A:H,8,0)</f>
        <v>5</v>
      </c>
      <c r="Q8" s="12">
        <f t="shared" si="3"/>
        <v>1.5</v>
      </c>
      <c r="R8" s="1">
        <f>VLOOKUP(A:A,MASTER!A:B,2,0)</f>
        <v>595</v>
      </c>
      <c r="S8">
        <f>VLOOKUP(A:A,MASTER!A:G,7,0)</f>
        <v>635</v>
      </c>
      <c r="T8" s="12">
        <f t="shared" si="4"/>
        <v>6.7226890756302504E-2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5043289.1807349501</v>
      </c>
      <c r="G9" s="1">
        <f>VLOOKUP(A:A,MASTER!A:K,11,0)</f>
        <v>5164313.8401981639</v>
      </c>
      <c r="H9" s="12">
        <f t="shared" si="0"/>
        <v>2.3997168341153285E-2</v>
      </c>
      <c r="I9" s="2">
        <f>VLOOKUP(A:A,MASTER!A:E,5,0)</f>
        <v>126</v>
      </c>
      <c r="J9" s="2">
        <f>VLOOKUP(A:A,MASTER!A:J,10,0)</f>
        <v>122</v>
      </c>
      <c r="K9" s="12">
        <f t="shared" si="1"/>
        <v>-3.1746031746031744E-2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168</v>
      </c>
      <c r="S9">
        <f>VLOOKUP(A:A,MASTER!A:G,7,0)</f>
        <v>176</v>
      </c>
      <c r="T9" s="12">
        <f t="shared" si="4"/>
        <v>4.7619047619047672E-2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1745372.714907849</v>
      </c>
      <c r="G10" s="1">
        <f>VLOOKUP(A:A,MASTER!A:K,11,0)</f>
        <v>5210121.033227575</v>
      </c>
      <c r="H10" s="12">
        <f t="shared" si="0"/>
        <v>1.9851051232359018</v>
      </c>
      <c r="I10" s="2">
        <f>VLOOKUP(A:A,MASTER!A:E,5,0)</f>
        <v>236</v>
      </c>
      <c r="J10" s="2">
        <f>VLOOKUP(A:A,MASTER!A:J,10,0)</f>
        <v>160</v>
      </c>
      <c r="K10" s="12">
        <f t="shared" si="1"/>
        <v>-0.32203389830508478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0</v>
      </c>
      <c r="Q10" s="12">
        <f t="shared" si="3"/>
        <v>-1</v>
      </c>
      <c r="R10" s="1">
        <f>VLOOKUP(A:A,MASTER!A:B,2,0)</f>
        <v>186</v>
      </c>
      <c r="S10">
        <f>VLOOKUP(A:A,MASTER!A:G,7,0)</f>
        <v>209</v>
      </c>
      <c r="T10" s="12">
        <f t="shared" si="4"/>
        <v>0.12365591397849451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10047490.355405016</v>
      </c>
      <c r="G11" s="1">
        <f>VLOOKUP(A:A,MASTER!A:K,11,0)</f>
        <v>9232093.1963549405</v>
      </c>
      <c r="H11" s="12">
        <f t="shared" si="0"/>
        <v>-8.1154311196868667E-2</v>
      </c>
      <c r="I11" s="2">
        <f>VLOOKUP(A:A,MASTER!A:E,5,0)</f>
        <v>375</v>
      </c>
      <c r="J11" s="2">
        <f>VLOOKUP(A:A,MASTER!A:J,10,0)</f>
        <v>376</v>
      </c>
      <c r="K11" s="12">
        <f t="shared" si="1"/>
        <v>2.666666666666595E-3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5</v>
      </c>
      <c r="Q11" s="12">
        <f t="shared" si="3"/>
        <v>4</v>
      </c>
      <c r="R11" s="1">
        <f>VLOOKUP(A:A,MASTER!A:B,2,0)</f>
        <v>376</v>
      </c>
      <c r="S11">
        <f>VLOOKUP(A:A,MASTER!A:G,7,0)</f>
        <v>357</v>
      </c>
      <c r="T11" s="12">
        <f t="shared" si="4"/>
        <v>-5.0531914893616969E-2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4958031.3880373193</v>
      </c>
      <c r="G12" s="1">
        <f>VLOOKUP(A:A,MASTER!A:K,11,0)</f>
        <v>4506119.9493312472</v>
      </c>
      <c r="H12" s="12">
        <f t="shared" si="0"/>
        <v>-9.1147353321812119E-2</v>
      </c>
      <c r="I12" s="2">
        <f>VLOOKUP(A:A,MASTER!A:E,5,0)</f>
        <v>289</v>
      </c>
      <c r="J12" s="2">
        <f>VLOOKUP(A:A,MASTER!A:J,10,0)</f>
        <v>217</v>
      </c>
      <c r="K12" s="12">
        <f t="shared" si="1"/>
        <v>-0.24913494809688586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218</v>
      </c>
      <c r="S12">
        <f>VLOOKUP(A:A,MASTER!A:G,7,0)</f>
        <v>237</v>
      </c>
      <c r="T12" s="12">
        <f t="shared" si="4"/>
        <v>8.7155963302752326E-2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5380823.6863983767</v>
      </c>
      <c r="G13" s="1">
        <f>VLOOKUP(A:A,MASTER!A:K,11,0)</f>
        <v>5726064.83562293</v>
      </c>
      <c r="H13" s="12">
        <f t="shared" si="0"/>
        <v>6.4161394118386061E-2</v>
      </c>
      <c r="I13" s="2">
        <f>VLOOKUP(A:A,MASTER!A:E,5,0)</f>
        <v>250</v>
      </c>
      <c r="J13" s="2">
        <f>VLOOKUP(A:A,MASTER!A:J,10,0)</f>
        <v>231</v>
      </c>
      <c r="K13" s="12">
        <f t="shared" si="1"/>
        <v>-7.5999999999999956E-2</v>
      </c>
      <c r="L13" s="2">
        <f>VLOOKUP(A:A,MASTER!A:D,4,0)</f>
        <v>2</v>
      </c>
      <c r="M13" s="2">
        <f>VLOOKUP(A:A,MASTER!A:I,9,0)</f>
        <v>0</v>
      </c>
      <c r="N13" s="12">
        <f t="shared" si="2"/>
        <v>-1</v>
      </c>
      <c r="O13" s="1">
        <f>VLOOKUP(A:A,MASTER!A:C,3,0)</f>
        <v>1</v>
      </c>
      <c r="P13" s="1">
        <f>VLOOKUP(A:A,MASTER!A:H,8,0)</f>
        <v>0</v>
      </c>
      <c r="Q13" s="12">
        <f t="shared" si="3"/>
        <v>-1</v>
      </c>
      <c r="R13" s="1">
        <f>VLOOKUP(A:A,MASTER!A:B,2,0)</f>
        <v>250</v>
      </c>
      <c r="S13">
        <f>VLOOKUP(A:A,MASTER!A:G,7,0)</f>
        <v>236</v>
      </c>
      <c r="T13" s="12">
        <f t="shared" si="4"/>
        <v>-5.600000000000005E-2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21396343.684887961</v>
      </c>
      <c r="G14" s="1">
        <f>VLOOKUP(A:A,MASTER!A:K,11,0)</f>
        <v>30850756.8154644</v>
      </c>
      <c r="H14" s="12">
        <f t="shared" si="0"/>
        <v>0.44187050226034663</v>
      </c>
      <c r="I14" s="2">
        <f>VLOOKUP(A:A,MASTER!A:E,5,0)</f>
        <v>1023</v>
      </c>
      <c r="J14" s="2">
        <f>VLOOKUP(A:A,MASTER!A:J,10,0)</f>
        <v>1239</v>
      </c>
      <c r="K14" s="12">
        <f t="shared" si="1"/>
        <v>0.21114369501466279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3</v>
      </c>
      <c r="P14" s="1">
        <f>VLOOKUP(A:A,MASTER!A:H,8,0)</f>
        <v>8</v>
      </c>
      <c r="Q14" s="12">
        <f t="shared" si="3"/>
        <v>1.6666666666666665</v>
      </c>
      <c r="R14" s="1">
        <f>VLOOKUP(A:A,MASTER!A:B,2,0)</f>
        <v>1435</v>
      </c>
      <c r="S14">
        <f>VLOOKUP(A:A,MASTER!A:G,7,0)</f>
        <v>1397</v>
      </c>
      <c r="T14" s="12">
        <f t="shared" si="4"/>
        <v>-2.6480836236933758E-2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37588029.534986168</v>
      </c>
      <c r="G15" s="1">
        <f>VLOOKUP(A:A,MASTER!A:K,11,0)</f>
        <v>43478586.493676245</v>
      </c>
      <c r="H15" s="12">
        <f t="shared" si="0"/>
        <v>0.15671364079373373</v>
      </c>
      <c r="I15" s="2">
        <f>VLOOKUP(A:A,MASTER!A:E,5,0)</f>
        <v>888</v>
      </c>
      <c r="J15" s="2">
        <f>VLOOKUP(A:A,MASTER!A:J,10,0)</f>
        <v>934</v>
      </c>
      <c r="K15" s="12">
        <f t="shared" si="1"/>
        <v>5.1801801801801828E-2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1241</v>
      </c>
      <c r="S15">
        <f>VLOOKUP(A:A,MASTER!A:G,7,0)</f>
        <v>1252</v>
      </c>
      <c r="T15" s="12">
        <f t="shared" si="4"/>
        <v>8.8638195004029363E-3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21212507.702614099</v>
      </c>
      <c r="G16" s="1">
        <f>VLOOKUP(A:A,MASTER!A:K,11,0)</f>
        <v>21010450.610085927</v>
      </c>
      <c r="H16" s="12">
        <f t="shared" si="0"/>
        <v>-9.5253750928878667E-3</v>
      </c>
      <c r="I16" s="2">
        <f>VLOOKUP(A:A,MASTER!A:E,5,0)</f>
        <v>1135</v>
      </c>
      <c r="J16" s="2">
        <f>VLOOKUP(A:A,MASTER!A:J,10,0)</f>
        <v>964</v>
      </c>
      <c r="K16" s="12">
        <f t="shared" si="1"/>
        <v>-0.15066079295154189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3</v>
      </c>
      <c r="P16" s="1">
        <f>VLOOKUP(A:A,MASTER!A:H,8,0)</f>
        <v>5</v>
      </c>
      <c r="Q16" s="12">
        <f t="shared" si="3"/>
        <v>0.66666666666666674</v>
      </c>
      <c r="R16" s="1">
        <f>VLOOKUP(A:A,MASTER!A:B,2,0)</f>
        <v>1028</v>
      </c>
      <c r="S16">
        <f>VLOOKUP(A:A,MASTER!A:G,7,0)</f>
        <v>1015</v>
      </c>
      <c r="T16" s="12">
        <f t="shared" si="4"/>
        <v>-1.2645914396887115E-2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16152779.022945462</v>
      </c>
      <c r="G17" s="1">
        <f>VLOOKUP(A:A,MASTER!A:K,11,0)</f>
        <v>20384337.964686051</v>
      </c>
      <c r="H17" s="12">
        <f t="shared" si="0"/>
        <v>0.26197095470256504</v>
      </c>
      <c r="I17" s="2">
        <f>VLOOKUP(A:A,MASTER!A:E,5,0)</f>
        <v>659</v>
      </c>
      <c r="J17" s="2">
        <f>VLOOKUP(A:A,MASTER!A:J,10,0)</f>
        <v>767</v>
      </c>
      <c r="K17" s="12">
        <f t="shared" si="1"/>
        <v>0.16388467374810323</v>
      </c>
      <c r="L17" s="2">
        <f>VLOOKUP(A:A,MASTER!A:D,4,0)</f>
        <v>3</v>
      </c>
      <c r="M17" s="2">
        <f>VLOOKUP(A:A,MASTER!A:I,9,0)</f>
        <v>4</v>
      </c>
      <c r="N17" s="12">
        <f t="shared" si="2"/>
        <v>0.33333333333333326</v>
      </c>
      <c r="O17" s="1">
        <f>VLOOKUP(A:A,MASTER!A:C,3,0)</f>
        <v>4</v>
      </c>
      <c r="P17" s="1">
        <f>VLOOKUP(A:A,MASTER!A:H,8,0)</f>
        <v>1</v>
      </c>
      <c r="Q17" s="12">
        <f t="shared" si="3"/>
        <v>-0.75</v>
      </c>
      <c r="R17" s="1">
        <f>VLOOKUP(A:A,MASTER!A:B,2,0)</f>
        <v>914</v>
      </c>
      <c r="S17">
        <f>VLOOKUP(A:A,MASTER!A:G,7,0)</f>
        <v>915</v>
      </c>
      <c r="T17" s="12">
        <f t="shared" si="4"/>
        <v>1.094091903719896E-3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77653874.701062784</v>
      </c>
      <c r="G18" s="1">
        <f>VLOOKUP(A:A,MASTER!A:K,11,0)</f>
        <v>73261977.766638085</v>
      </c>
      <c r="H18" s="12">
        <f t="shared" si="0"/>
        <v>-5.6557344386636177E-2</v>
      </c>
      <c r="I18" s="2">
        <f>VLOOKUP(A:A,MASTER!A:E,5,0)</f>
        <v>2030</v>
      </c>
      <c r="J18" s="2">
        <f>VLOOKUP(A:A,MASTER!A:J,10,0)</f>
        <v>2196</v>
      </c>
      <c r="K18" s="12">
        <f t="shared" si="1"/>
        <v>8.1773399014778425E-2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176</v>
      </c>
      <c r="P18" s="1">
        <f>VLOOKUP(A:A,MASTER!A:H,8,0)</f>
        <v>117</v>
      </c>
      <c r="Q18" s="12">
        <f t="shared" si="3"/>
        <v>-0.33522727272727271</v>
      </c>
      <c r="R18" s="1">
        <f>VLOOKUP(A:A,MASTER!A:B,2,0)</f>
        <v>2824</v>
      </c>
      <c r="S18">
        <f>VLOOKUP(A:A,MASTER!A:G,7,0)</f>
        <v>2756</v>
      </c>
      <c r="T18" s="12">
        <f t="shared" si="4"/>
        <v>-2.4079320113314484E-2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20823267.672696736</v>
      </c>
      <c r="G19" s="1">
        <f>VLOOKUP(A:A,MASTER!A:K,11,0)</f>
        <v>38461930.24138011</v>
      </c>
      <c r="H19" s="12">
        <f t="shared" si="0"/>
        <v>0.84706506423153827</v>
      </c>
      <c r="I19" s="2">
        <f>VLOOKUP(A:A,MASTER!A:E,5,0)</f>
        <v>1147</v>
      </c>
      <c r="J19" s="2">
        <f>VLOOKUP(A:A,MASTER!A:J,10,0)</f>
        <v>1218</v>
      </c>
      <c r="K19" s="12">
        <f t="shared" si="1"/>
        <v>6.1900610287707103E-2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5</v>
      </c>
      <c r="P19" s="1">
        <f>VLOOKUP(A:A,MASTER!A:H,8,0)</f>
        <v>5</v>
      </c>
      <c r="Q19" s="12">
        <f t="shared" si="3"/>
        <v>0</v>
      </c>
      <c r="R19" s="1">
        <f>VLOOKUP(A:A,MASTER!A:B,2,0)</f>
        <v>1377</v>
      </c>
      <c r="S19">
        <f>VLOOKUP(A:A,MASTER!A:G,7,0)</f>
        <v>1363</v>
      </c>
      <c r="T19" s="12">
        <f t="shared" si="4"/>
        <v>-1.0167029774872938E-2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78189279.719223753</v>
      </c>
      <c r="G20" s="1">
        <f>VLOOKUP(A:A,MASTER!A:K,11,0)</f>
        <v>68713287.365769863</v>
      </c>
      <c r="H20" s="12">
        <f t="shared" si="0"/>
        <v>-0.12119298690922853</v>
      </c>
      <c r="I20" s="2">
        <f>VLOOKUP(A:A,MASTER!A:E,5,0)</f>
        <v>2154</v>
      </c>
      <c r="J20" s="2">
        <f>VLOOKUP(A:A,MASTER!A:J,10,0)</f>
        <v>2185</v>
      </c>
      <c r="K20" s="12">
        <f t="shared" si="1"/>
        <v>1.4391829155060432E-2</v>
      </c>
      <c r="L20" s="2">
        <f>VLOOKUP(A:A,MASTER!A:D,4,0)</f>
        <v>10</v>
      </c>
      <c r="M20" s="2">
        <f>VLOOKUP(A:A,MASTER!A:I,9,0)</f>
        <v>10</v>
      </c>
      <c r="N20" s="12">
        <f t="shared" si="2"/>
        <v>0</v>
      </c>
      <c r="O20" s="1">
        <f>VLOOKUP(A:A,MASTER!A:C,3,0)</f>
        <v>16</v>
      </c>
      <c r="P20" s="1">
        <f>VLOOKUP(A:A,MASTER!A:H,8,0)</f>
        <v>5</v>
      </c>
      <c r="Q20" s="12">
        <f t="shared" si="3"/>
        <v>-0.6875</v>
      </c>
      <c r="R20" s="1">
        <f>VLOOKUP(A:A,MASTER!A:B,2,0)</f>
        <v>2957</v>
      </c>
      <c r="S20">
        <f>VLOOKUP(A:A,MASTER!A:G,7,0)</f>
        <v>2776</v>
      </c>
      <c r="T20" s="12">
        <f t="shared" si="4"/>
        <v>-6.1210686506594558E-2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11618026.828046735</v>
      </c>
      <c r="G21" s="1">
        <f>VLOOKUP(A:A,MASTER!A:K,11,0)</f>
        <v>10481400.58186681</v>
      </c>
      <c r="H21" s="12">
        <f t="shared" si="0"/>
        <v>-9.783298515338501E-2</v>
      </c>
      <c r="I21" s="2">
        <f>VLOOKUP(A:A,MASTER!A:E,5,0)</f>
        <v>453</v>
      </c>
      <c r="J21" s="2">
        <f>VLOOKUP(A:A,MASTER!A:J,10,0)</f>
        <v>398</v>
      </c>
      <c r="K21" s="12">
        <f t="shared" si="1"/>
        <v>-0.12141280353200878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4</v>
      </c>
      <c r="P21" s="1">
        <f>VLOOKUP(A:A,MASTER!A:H,8,0)</f>
        <v>2</v>
      </c>
      <c r="Q21" s="12">
        <f t="shared" si="3"/>
        <v>-0.5</v>
      </c>
      <c r="R21" s="1">
        <f>VLOOKUP(A:A,MASTER!A:B,2,0)</f>
        <v>533</v>
      </c>
      <c r="S21">
        <f>VLOOKUP(A:A,MASTER!A:G,7,0)</f>
        <v>516</v>
      </c>
      <c r="T21" s="12">
        <f t="shared" si="4"/>
        <v>-3.1894934333958735E-2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31902604.980764087</v>
      </c>
      <c r="G22" s="1">
        <f>VLOOKUP(A:A,MASTER!A:K,11,0)</f>
        <v>29385357.135773905</v>
      </c>
      <c r="H22" s="12">
        <f t="shared" si="0"/>
        <v>-7.890414737316831E-2</v>
      </c>
      <c r="I22" s="2">
        <f>VLOOKUP(A:A,MASTER!A:E,5,0)</f>
        <v>1279</v>
      </c>
      <c r="J22" s="2">
        <f>VLOOKUP(A:A,MASTER!A:J,10,0)</f>
        <v>1573</v>
      </c>
      <c r="K22" s="12">
        <f t="shared" si="1"/>
        <v>0.22986708365910857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17</v>
      </c>
      <c r="P22" s="1">
        <f>VLOOKUP(A:A,MASTER!A:H,8,0)</f>
        <v>16</v>
      </c>
      <c r="Q22" s="12">
        <f t="shared" si="3"/>
        <v>-5.8823529411764719E-2</v>
      </c>
      <c r="R22" s="1">
        <f>VLOOKUP(A:A,MASTER!A:B,2,0)</f>
        <v>1714</v>
      </c>
      <c r="S22">
        <f>VLOOKUP(A:A,MASTER!A:G,7,0)</f>
        <v>1744</v>
      </c>
      <c r="T22" s="12">
        <f t="shared" si="4"/>
        <v>1.7502917152858899E-2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12991656.7694692</v>
      </c>
      <c r="G23" s="1">
        <f>VLOOKUP(A:A,MASTER!A:K,11,0)</f>
        <v>12337413.658601355</v>
      </c>
      <c r="H23" s="12">
        <f t="shared" si="0"/>
        <v>-5.0358712709016151E-2</v>
      </c>
      <c r="I23" s="2">
        <f>VLOOKUP(A:A,MASTER!A:E,5,0)</f>
        <v>894</v>
      </c>
      <c r="J23" s="2">
        <f>VLOOKUP(A:A,MASTER!A:J,10,0)</f>
        <v>843</v>
      </c>
      <c r="K23" s="12">
        <f t="shared" si="1"/>
        <v>-5.7046979865771785E-2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10</v>
      </c>
      <c r="P23" s="1">
        <f>VLOOKUP(A:A,MASTER!A:H,8,0)</f>
        <v>6</v>
      </c>
      <c r="Q23" s="12">
        <f t="shared" si="3"/>
        <v>-0.4</v>
      </c>
      <c r="R23" s="1">
        <f>VLOOKUP(A:A,MASTER!A:B,2,0)</f>
        <v>880</v>
      </c>
      <c r="S23">
        <f>VLOOKUP(A:A,MASTER!A:G,7,0)</f>
        <v>839</v>
      </c>
      <c r="T23" s="12">
        <f t="shared" si="4"/>
        <v>-4.6590909090909127E-2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16148057.481919851</v>
      </c>
      <c r="G24" s="1">
        <f>VLOOKUP(A:A,MASTER!A:K,11,0)</f>
        <v>15970386.192980677</v>
      </c>
      <c r="H24" s="12">
        <f t="shared" si="0"/>
        <v>-1.1002641595628693E-2</v>
      </c>
      <c r="I24" s="2">
        <f>VLOOKUP(A:A,MASTER!A:E,5,0)</f>
        <v>871</v>
      </c>
      <c r="J24" s="2">
        <f>VLOOKUP(A:A,MASTER!A:J,10,0)</f>
        <v>783</v>
      </c>
      <c r="K24" s="12">
        <f t="shared" si="1"/>
        <v>-0.10103329506314584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5</v>
      </c>
      <c r="P24" s="1">
        <f>VLOOKUP(A:A,MASTER!A:H,8,0)</f>
        <v>3</v>
      </c>
      <c r="Q24" s="12">
        <f t="shared" si="3"/>
        <v>-0.4</v>
      </c>
      <c r="R24" s="1">
        <f>VLOOKUP(A:A,MASTER!A:B,2,0)</f>
        <v>884</v>
      </c>
      <c r="S24">
        <f>VLOOKUP(A:A,MASTER!A:G,7,0)</f>
        <v>877</v>
      </c>
      <c r="T24" s="12">
        <f t="shared" si="4"/>
        <v>-7.9185520361990669E-3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3545079.2402608488</v>
      </c>
      <c r="G25" s="1">
        <f>VLOOKUP(A:A,MASTER!A:K,11,0)</f>
        <v>4033521.2907017982</v>
      </c>
      <c r="H25" s="12">
        <f t="shared" si="0"/>
        <v>0.13778029131021885</v>
      </c>
      <c r="I25" s="2">
        <f>VLOOKUP(A:A,MASTER!A:E,5,0)</f>
        <v>178</v>
      </c>
      <c r="J25" s="2">
        <f>VLOOKUP(A:A,MASTER!A:J,10,0)</f>
        <v>166</v>
      </c>
      <c r="K25" s="12">
        <f t="shared" si="1"/>
        <v>-6.7415730337078705E-2</v>
      </c>
      <c r="L25" s="2">
        <f>VLOOKUP(A:A,MASTER!A:D,4,0)</f>
        <v>2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224</v>
      </c>
      <c r="S25">
        <f>VLOOKUP(A:A,MASTER!A:G,7,0)</f>
        <v>219</v>
      </c>
      <c r="T25" s="12">
        <f t="shared" si="4"/>
        <v>-2.2321428571428603E-2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30369760.083999842</v>
      </c>
      <c r="G26" s="1">
        <f>VLOOKUP(A:A,MASTER!A:K,11,0)</f>
        <v>30813505.786671042</v>
      </c>
      <c r="H26" s="12">
        <f t="shared" si="0"/>
        <v>1.4611432604137775E-2</v>
      </c>
      <c r="I26" s="2">
        <f>VLOOKUP(A:A,MASTER!A:E,5,0)</f>
        <v>1456</v>
      </c>
      <c r="J26" s="2">
        <f>VLOOKUP(A:A,MASTER!A:J,10,0)</f>
        <v>1431</v>
      </c>
      <c r="K26" s="12">
        <f t="shared" si="1"/>
        <v>-1.717032967032972E-2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10</v>
      </c>
      <c r="P26" s="1">
        <f>VLOOKUP(A:A,MASTER!A:H,8,0)</f>
        <v>3</v>
      </c>
      <c r="Q26" s="12">
        <f t="shared" si="3"/>
        <v>-0.7</v>
      </c>
      <c r="R26" s="1">
        <f>VLOOKUP(A:A,MASTER!A:B,2,0)</f>
        <v>1647</v>
      </c>
      <c r="S26">
        <f>VLOOKUP(A:A,MASTER!A:G,7,0)</f>
        <v>1651</v>
      </c>
      <c r="T26" s="12">
        <f t="shared" si="4"/>
        <v>2.4286581663630624E-3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25130828.725072499</v>
      </c>
      <c r="G27" s="1">
        <f>VLOOKUP(A:A,MASTER!A:K,11,0)</f>
        <v>27992379.158031393</v>
      </c>
      <c r="H27" s="12">
        <f t="shared" si="0"/>
        <v>0.1138661388473825</v>
      </c>
      <c r="I27" s="2">
        <f>VLOOKUP(A:A,MASTER!A:E,5,0)</f>
        <v>683</v>
      </c>
      <c r="J27" s="2">
        <f>VLOOKUP(A:A,MASTER!A:J,10,0)</f>
        <v>680</v>
      </c>
      <c r="K27" s="12">
        <f t="shared" si="1"/>
        <v>-4.3923865300146137E-3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2</v>
      </c>
      <c r="P27" s="1">
        <f>VLOOKUP(A:A,MASTER!A:H,8,0)</f>
        <v>3</v>
      </c>
      <c r="Q27" s="12">
        <f t="shared" si="3"/>
        <v>0.5</v>
      </c>
      <c r="R27" s="1">
        <f>VLOOKUP(A:A,MASTER!A:B,2,0)</f>
        <v>875</v>
      </c>
      <c r="S27">
        <f>VLOOKUP(A:A,MASTER!A:G,7,0)</f>
        <v>895</v>
      </c>
      <c r="T27" s="12">
        <f t="shared" si="4"/>
        <v>2.2857142857142909E-2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24348017.987532649</v>
      </c>
      <c r="G28" s="1">
        <f>VLOOKUP(A:A,MASTER!A:K,11,0)</f>
        <v>27339018.879904401</v>
      </c>
      <c r="H28" s="12">
        <f t="shared" si="0"/>
        <v>0.12284371129934635</v>
      </c>
      <c r="I28" s="2">
        <f>VLOOKUP(A:A,MASTER!A:E,5,0)</f>
        <v>813</v>
      </c>
      <c r="J28" s="2">
        <f>VLOOKUP(A:A,MASTER!A:J,10,0)</f>
        <v>915</v>
      </c>
      <c r="K28" s="12">
        <f t="shared" si="1"/>
        <v>0.1254612546125462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2</v>
      </c>
      <c r="P28" s="1">
        <f>VLOOKUP(A:A,MASTER!A:H,8,0)</f>
        <v>1</v>
      </c>
      <c r="Q28" s="12">
        <f t="shared" si="3"/>
        <v>-0.5</v>
      </c>
      <c r="R28" s="1">
        <f>VLOOKUP(A:A,MASTER!A:B,2,0)</f>
        <v>1052</v>
      </c>
      <c r="S28">
        <f>VLOOKUP(A:A,MASTER!A:G,7,0)</f>
        <v>1013</v>
      </c>
      <c r="T28" s="12">
        <f t="shared" si="4"/>
        <v>-3.7072243346007561E-2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33287094.194697849</v>
      </c>
      <c r="G29" s="1">
        <f>VLOOKUP(A:A,MASTER!A:K,11,0)</f>
        <v>33866219.070671238</v>
      </c>
      <c r="H29" s="12">
        <f t="shared" si="0"/>
        <v>1.7397880168994684E-2</v>
      </c>
      <c r="I29" s="2">
        <f>VLOOKUP(A:A,MASTER!A:E,5,0)</f>
        <v>865</v>
      </c>
      <c r="J29" s="2">
        <f>VLOOKUP(A:A,MASTER!A:J,10,0)</f>
        <v>804</v>
      </c>
      <c r="K29" s="12">
        <f t="shared" si="1"/>
        <v>-7.0520231213872853E-2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3</v>
      </c>
      <c r="P29" s="1">
        <f>VLOOKUP(A:A,MASTER!A:H,8,0)</f>
        <v>2</v>
      </c>
      <c r="Q29" s="12">
        <f t="shared" si="3"/>
        <v>-0.33333333333333337</v>
      </c>
      <c r="R29" s="1">
        <f>VLOOKUP(A:A,MASTER!A:B,2,0)</f>
        <v>1124</v>
      </c>
      <c r="S29">
        <f>VLOOKUP(A:A,MASTER!A:G,7,0)</f>
        <v>1140</v>
      </c>
      <c r="T29" s="12">
        <f t="shared" si="4"/>
        <v>1.4234875444839812E-2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46940123.260832466</v>
      </c>
      <c r="G30" s="1">
        <f>VLOOKUP(A:A,MASTER!A:K,11,0)</f>
        <v>48286581.885638237</v>
      </c>
      <c r="H30" s="12">
        <f t="shared" si="0"/>
        <v>2.8684599256885157E-2</v>
      </c>
      <c r="I30" s="2">
        <f>VLOOKUP(A:A,MASTER!A:E,5,0)</f>
        <v>1108</v>
      </c>
      <c r="J30" s="2">
        <f>VLOOKUP(A:A,MASTER!A:J,10,0)</f>
        <v>1214</v>
      </c>
      <c r="K30" s="12">
        <f t="shared" si="1"/>
        <v>9.566787003610111E-2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4</v>
      </c>
      <c r="P30" s="1">
        <f>VLOOKUP(A:A,MASTER!A:H,8,0)</f>
        <v>4</v>
      </c>
      <c r="Q30" s="12">
        <f t="shared" si="3"/>
        <v>0</v>
      </c>
      <c r="R30" s="1">
        <f>VLOOKUP(A:A,MASTER!A:B,2,0)</f>
        <v>1453</v>
      </c>
      <c r="S30">
        <f>VLOOKUP(A:A,MASTER!A:G,7,0)</f>
        <v>1453</v>
      </c>
      <c r="T30" s="12">
        <f t="shared" si="4"/>
        <v>0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19339477.823665723</v>
      </c>
      <c r="G31" s="1">
        <f>VLOOKUP(A:A,MASTER!A:K,11,0)</f>
        <v>19612777.992599472</v>
      </c>
      <c r="H31" s="12">
        <f t="shared" si="0"/>
        <v>1.4131724311569061E-2</v>
      </c>
      <c r="I31" s="2">
        <f>VLOOKUP(A:A,MASTER!A:E,5,0)</f>
        <v>566</v>
      </c>
      <c r="J31" s="2">
        <f>VLOOKUP(A:A,MASTER!A:J,10,0)</f>
        <v>577</v>
      </c>
      <c r="K31" s="12">
        <f t="shared" si="1"/>
        <v>1.9434628975264934E-2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1</v>
      </c>
      <c r="P31" s="1">
        <f>VLOOKUP(A:A,MASTER!A:H,8,0)</f>
        <v>4</v>
      </c>
      <c r="Q31" s="12">
        <f t="shared" si="3"/>
        <v>3</v>
      </c>
      <c r="R31" s="1">
        <f>VLOOKUP(A:A,MASTER!A:B,2,0)</f>
        <v>685</v>
      </c>
      <c r="S31">
        <f>VLOOKUP(A:A,MASTER!A:G,7,0)</f>
        <v>679</v>
      </c>
      <c r="T31" s="12">
        <f t="shared" si="4"/>
        <v>-8.7591240875912746E-3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46678468.479174599</v>
      </c>
      <c r="G32" s="1">
        <f>VLOOKUP(A:A,MASTER!A:K,11,0)</f>
        <v>39716345.829926766</v>
      </c>
      <c r="H32" s="12">
        <f t="shared" si="0"/>
        <v>-0.14915062289059366</v>
      </c>
      <c r="I32" s="2">
        <f>VLOOKUP(A:A,MASTER!A:E,5,0)</f>
        <v>985</v>
      </c>
      <c r="J32" s="2">
        <f>VLOOKUP(A:A,MASTER!A:J,10,0)</f>
        <v>1632</v>
      </c>
      <c r="K32" s="12">
        <f t="shared" si="1"/>
        <v>0.65685279187817258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6</v>
      </c>
      <c r="P32" s="1">
        <f>VLOOKUP(A:A,MASTER!A:H,8,0)</f>
        <v>3</v>
      </c>
      <c r="Q32" s="12">
        <f t="shared" si="3"/>
        <v>-0.5</v>
      </c>
      <c r="R32" s="1">
        <f>VLOOKUP(A:A,MASTER!A:B,2,0)</f>
        <v>1906</v>
      </c>
      <c r="S32">
        <f>VLOOKUP(A:A,MASTER!A:G,7,0)</f>
        <v>1856</v>
      </c>
      <c r="T32" s="12">
        <f t="shared" si="4"/>
        <v>-2.6232948583420734E-2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19600077.597591951</v>
      </c>
      <c r="G33" s="1">
        <f>VLOOKUP(A:A,MASTER!A:K,11,0)</f>
        <v>19603837.280351806</v>
      </c>
      <c r="H33" s="12">
        <f t="shared" si="0"/>
        <v>1.9181978954607715E-4</v>
      </c>
      <c r="I33" s="2">
        <f>VLOOKUP(A:A,MASTER!A:E,5,0)</f>
        <v>673</v>
      </c>
      <c r="J33" s="2">
        <f>VLOOKUP(A:A,MASTER!A:J,10,0)</f>
        <v>698</v>
      </c>
      <c r="K33" s="12">
        <f t="shared" si="1"/>
        <v>3.7147102526003062E-2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2</v>
      </c>
      <c r="P33" s="1">
        <f>VLOOKUP(A:A,MASTER!A:H,8,0)</f>
        <v>2</v>
      </c>
      <c r="Q33" s="12">
        <f t="shared" si="3"/>
        <v>0</v>
      </c>
      <c r="R33" s="1">
        <f>VLOOKUP(A:A,MASTER!A:B,2,0)</f>
        <v>855</v>
      </c>
      <c r="S33">
        <f>VLOOKUP(A:A,MASTER!A:G,7,0)</f>
        <v>847</v>
      </c>
      <c r="T33" s="12">
        <f t="shared" si="4"/>
        <v>-9.3567251461987855E-3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18503531.759908363</v>
      </c>
      <c r="G34" s="1">
        <f>VLOOKUP(A:A,MASTER!A:K,11,0)</f>
        <v>17848929.749518771</v>
      </c>
      <c r="H34" s="12">
        <f t="shared" si="0"/>
        <v>-3.5377138747529235E-2</v>
      </c>
      <c r="I34" s="2">
        <f>VLOOKUP(A:A,MASTER!A:E,5,0)</f>
        <v>458</v>
      </c>
      <c r="J34" s="2">
        <f>VLOOKUP(A:A,MASTER!A:J,10,0)</f>
        <v>582</v>
      </c>
      <c r="K34" s="12">
        <f t="shared" si="1"/>
        <v>0.27074235807860259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2</v>
      </c>
      <c r="P34" s="1">
        <f>VLOOKUP(A:A,MASTER!A:H,8,0)</f>
        <v>1</v>
      </c>
      <c r="Q34" s="12">
        <f t="shared" si="3"/>
        <v>-0.5</v>
      </c>
      <c r="R34" s="1">
        <f>VLOOKUP(A:A,MASTER!A:B,2,0)</f>
        <v>746</v>
      </c>
      <c r="S34">
        <f>VLOOKUP(A:A,MASTER!A:G,7,0)</f>
        <v>731</v>
      </c>
      <c r="T34" s="12">
        <f t="shared" si="4"/>
        <v>-2.0107238605898137E-2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27886563.921537865</v>
      </c>
      <c r="G35" s="1">
        <f>VLOOKUP(A:A,MASTER!A:K,11,0)</f>
        <v>31244315.963416766</v>
      </c>
      <c r="H35" s="12">
        <f t="shared" si="0"/>
        <v>0.12040752139009792</v>
      </c>
      <c r="I35" s="2">
        <f>VLOOKUP(A:A,MASTER!A:E,5,0)</f>
        <v>837</v>
      </c>
      <c r="J35" s="2">
        <f>VLOOKUP(A:A,MASTER!A:J,10,0)</f>
        <v>896</v>
      </c>
      <c r="K35" s="12">
        <f t="shared" si="1"/>
        <v>7.0489844683393033E-2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15</v>
      </c>
      <c r="P35" s="1">
        <f>VLOOKUP(A:A,MASTER!A:H,8,0)</f>
        <v>6</v>
      </c>
      <c r="Q35" s="12">
        <f t="shared" si="3"/>
        <v>-0.6</v>
      </c>
      <c r="R35" s="1">
        <f>VLOOKUP(A:A,MASTER!A:B,2,0)</f>
        <v>1158</v>
      </c>
      <c r="S35">
        <f>VLOOKUP(A:A,MASTER!A:G,7,0)</f>
        <v>1195</v>
      </c>
      <c r="T35" s="12">
        <f t="shared" si="4"/>
        <v>3.1951640759930955E-2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25980146.357264768</v>
      </c>
      <c r="G36" s="1">
        <f>VLOOKUP(A:A,MASTER!A:K,11,0)</f>
        <v>28569315.557240028</v>
      </c>
      <c r="H36" s="12">
        <f t="shared" si="0"/>
        <v>9.9659530949919306E-2</v>
      </c>
      <c r="I36" s="2">
        <f>VLOOKUP(A:A,MASTER!A:E,5,0)</f>
        <v>806</v>
      </c>
      <c r="J36" s="2">
        <f>VLOOKUP(A:A,MASTER!A:J,10,0)</f>
        <v>926</v>
      </c>
      <c r="K36" s="12">
        <f t="shared" si="1"/>
        <v>0.14888337468982638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120</v>
      </c>
      <c r="P36" s="1">
        <f>VLOOKUP(A:A,MASTER!A:H,8,0)</f>
        <v>318</v>
      </c>
      <c r="Q36" s="12">
        <f t="shared" si="3"/>
        <v>1.65</v>
      </c>
      <c r="R36" s="1">
        <f>VLOOKUP(A:A,MASTER!A:B,2,0)</f>
        <v>1315</v>
      </c>
      <c r="S36">
        <f>VLOOKUP(A:A,MASTER!A:G,7,0)</f>
        <v>1368</v>
      </c>
      <c r="T36" s="12">
        <f t="shared" si="4"/>
        <v>4.0304182509505626E-2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47828167.354593977</v>
      </c>
      <c r="G37" s="1">
        <f>VLOOKUP(A:A,MASTER!A:K,11,0)</f>
        <v>47327626.983007781</v>
      </c>
      <c r="H37" s="12">
        <f t="shared" si="0"/>
        <v>-1.0465388896781946E-2</v>
      </c>
      <c r="I37" s="2">
        <f>VLOOKUP(A:A,MASTER!A:E,5,0)</f>
        <v>1627</v>
      </c>
      <c r="J37" s="2">
        <f>VLOOKUP(A:A,MASTER!A:J,10,0)</f>
        <v>1348</v>
      </c>
      <c r="K37" s="12">
        <f t="shared" si="1"/>
        <v>-0.17148125384142598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70</v>
      </c>
      <c r="P37" s="1">
        <f>VLOOKUP(A:A,MASTER!A:H,8,0)</f>
        <v>238</v>
      </c>
      <c r="Q37" s="12">
        <f t="shared" si="3"/>
        <v>2.4</v>
      </c>
      <c r="R37" s="1">
        <f>VLOOKUP(A:A,MASTER!A:B,2,0)</f>
        <v>2319</v>
      </c>
      <c r="S37">
        <f>VLOOKUP(A:A,MASTER!A:G,7,0)</f>
        <v>2231</v>
      </c>
      <c r="T37" s="12">
        <f t="shared" si="4"/>
        <v>-3.794739111686074E-2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17239734.609239098</v>
      </c>
      <c r="G38" s="1">
        <f>VLOOKUP(A:A,MASTER!A:K,11,0)</f>
        <v>17601943.18951926</v>
      </c>
      <c r="H38" s="12">
        <f t="shared" si="0"/>
        <v>2.1010101865840181E-2</v>
      </c>
      <c r="I38" s="2">
        <f>VLOOKUP(A:A,MASTER!A:E,5,0)</f>
        <v>485</v>
      </c>
      <c r="J38" s="2">
        <f>VLOOKUP(A:A,MASTER!A:J,10,0)</f>
        <v>456</v>
      </c>
      <c r="K38" s="12">
        <f t="shared" si="1"/>
        <v>-5.97938144329897E-2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624</v>
      </c>
      <c r="S38">
        <f>VLOOKUP(A:A,MASTER!A:G,7,0)</f>
        <v>586</v>
      </c>
      <c r="T38" s="12">
        <f t="shared" si="4"/>
        <v>-6.0897435897435903E-2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55863457.338151634</v>
      </c>
      <c r="G39" s="1">
        <f>VLOOKUP(A:A,MASTER!A:K,11,0)</f>
        <v>53820568.949218951</v>
      </c>
      <c r="H39" s="12">
        <f t="shared" si="0"/>
        <v>-3.6569315367767308E-2</v>
      </c>
      <c r="I39" s="2">
        <f>VLOOKUP(A:A,MASTER!A:E,5,0)</f>
        <v>1813</v>
      </c>
      <c r="J39" s="2">
        <f>VLOOKUP(A:A,MASTER!A:J,10,0)</f>
        <v>1899</v>
      </c>
      <c r="K39" s="12">
        <f t="shared" si="1"/>
        <v>4.7435190292333118E-2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3</v>
      </c>
      <c r="P39" s="1">
        <f>VLOOKUP(A:A,MASTER!A:H,8,0)</f>
        <v>4</v>
      </c>
      <c r="Q39" s="12">
        <f t="shared" si="3"/>
        <v>0.33333333333333326</v>
      </c>
      <c r="R39" s="1">
        <f>VLOOKUP(A:A,MASTER!A:B,2,0)</f>
        <v>2060</v>
      </c>
      <c r="S39">
        <f>VLOOKUP(A:A,MASTER!A:G,7,0)</f>
        <v>2037</v>
      </c>
      <c r="T39" s="12">
        <f t="shared" si="4"/>
        <v>-1.1165048543689271E-2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38794693.14317365</v>
      </c>
      <c r="G40" s="1">
        <f>VLOOKUP(A:A,MASTER!A:K,11,0)</f>
        <v>42105567.733273089</v>
      </c>
      <c r="H40" s="12">
        <f t="shared" si="0"/>
        <v>8.5343492159623446E-2</v>
      </c>
      <c r="I40" s="2">
        <f>VLOOKUP(A:A,MASTER!A:E,5,0)</f>
        <v>1214</v>
      </c>
      <c r="J40" s="2">
        <f>VLOOKUP(A:A,MASTER!A:J,10,0)</f>
        <v>879</v>
      </c>
      <c r="K40" s="12">
        <f t="shared" si="1"/>
        <v>-0.27594728171334426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3</v>
      </c>
      <c r="P40" s="1">
        <f>VLOOKUP(A:A,MASTER!A:H,8,0)</f>
        <v>6</v>
      </c>
      <c r="Q40" s="12">
        <f t="shared" si="3"/>
        <v>1</v>
      </c>
      <c r="R40" s="1">
        <f>VLOOKUP(A:A,MASTER!A:B,2,0)</f>
        <v>903</v>
      </c>
      <c r="S40">
        <f>VLOOKUP(A:A,MASTER!A:G,7,0)</f>
        <v>934</v>
      </c>
      <c r="T40" s="12">
        <f t="shared" si="4"/>
        <v>3.4330011074197087E-2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21326951.017018501</v>
      </c>
      <c r="G41" s="1">
        <f>VLOOKUP(A:A,MASTER!A:K,11,0)</f>
        <v>29772505.600011189</v>
      </c>
      <c r="H41" s="12">
        <f t="shared" si="0"/>
        <v>0.39600384397438226</v>
      </c>
      <c r="I41" s="2">
        <f>VLOOKUP(A:A,MASTER!A:E,5,0)</f>
        <v>936</v>
      </c>
      <c r="J41" s="2">
        <f>VLOOKUP(A:A,MASTER!A:J,10,0)</f>
        <v>981</v>
      </c>
      <c r="K41" s="12">
        <f t="shared" si="1"/>
        <v>4.8076923076923128E-2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4</v>
      </c>
      <c r="P41" s="1">
        <f>VLOOKUP(A:A,MASTER!A:H,8,0)</f>
        <v>6</v>
      </c>
      <c r="Q41" s="12">
        <f t="shared" si="3"/>
        <v>0.5</v>
      </c>
      <c r="R41" s="1">
        <f>VLOOKUP(A:A,MASTER!A:B,2,0)</f>
        <v>1088</v>
      </c>
      <c r="S41">
        <f>VLOOKUP(A:A,MASTER!A:G,7,0)</f>
        <v>1066</v>
      </c>
      <c r="T41" s="12">
        <f t="shared" si="4"/>
        <v>-2.0220588235294157E-2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28987672.484540347</v>
      </c>
      <c r="G42" s="1">
        <f>VLOOKUP(A:A,MASTER!A:K,11,0)</f>
        <v>30625362.113111999</v>
      </c>
      <c r="H42" s="12">
        <f t="shared" si="0"/>
        <v>5.6496071888664456E-2</v>
      </c>
      <c r="I42" s="2">
        <f>VLOOKUP(A:A,MASTER!A:E,5,0)</f>
        <v>564</v>
      </c>
      <c r="J42" s="2">
        <f>VLOOKUP(A:A,MASTER!A:J,10,0)</f>
        <v>653</v>
      </c>
      <c r="K42" s="12">
        <f t="shared" si="1"/>
        <v>0.15780141843971629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5</v>
      </c>
      <c r="P42" s="1">
        <f>VLOOKUP(A:A,MASTER!A:H,8,0)</f>
        <v>2</v>
      </c>
      <c r="Q42" s="12">
        <f t="shared" si="3"/>
        <v>-0.6</v>
      </c>
      <c r="R42" s="1">
        <f>VLOOKUP(A:A,MASTER!A:B,2,0)</f>
        <v>833</v>
      </c>
      <c r="S42">
        <f>VLOOKUP(A:A,MASTER!A:G,7,0)</f>
        <v>832</v>
      </c>
      <c r="T42" s="12">
        <f t="shared" si="4"/>
        <v>-1.2004801920768582E-3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18797706.720624097</v>
      </c>
      <c r="G43" s="1">
        <f>VLOOKUP(A:A,MASTER!A:K,11,0)</f>
        <v>18111709.274998784</v>
      </c>
      <c r="H43" s="12">
        <f t="shared" si="0"/>
        <v>-3.6493677437400618E-2</v>
      </c>
      <c r="I43" s="2">
        <f>VLOOKUP(A:A,MASTER!A:E,5,0)</f>
        <v>1046</v>
      </c>
      <c r="J43" s="2">
        <f>VLOOKUP(A:A,MASTER!A:J,10,0)</f>
        <v>577</v>
      </c>
      <c r="K43" s="12">
        <f t="shared" si="1"/>
        <v>-0.44837476099426388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2</v>
      </c>
      <c r="P43" s="1">
        <f>VLOOKUP(A:A,MASTER!A:H,8,0)</f>
        <v>0</v>
      </c>
      <c r="Q43" s="12">
        <f t="shared" si="3"/>
        <v>-1</v>
      </c>
      <c r="R43" s="1">
        <f>VLOOKUP(A:A,MASTER!A:B,2,0)</f>
        <v>693</v>
      </c>
      <c r="S43">
        <f>VLOOKUP(A:A,MASTER!A:G,7,0)</f>
        <v>717</v>
      </c>
      <c r="T43" s="12">
        <f t="shared" si="4"/>
        <v>3.463203463203457E-2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16326037.684438676</v>
      </c>
      <c r="G44" s="1">
        <f>VLOOKUP(A:A,MASTER!A:K,11,0)</f>
        <v>16974532.487811487</v>
      </c>
      <c r="H44" s="12">
        <f t="shared" si="0"/>
        <v>3.9721505971466176E-2</v>
      </c>
      <c r="I44" s="2">
        <f>VLOOKUP(A:A,MASTER!A:E,5,0)</f>
        <v>475</v>
      </c>
      <c r="J44" s="2">
        <f>VLOOKUP(A:A,MASTER!A:J,10,0)</f>
        <v>800</v>
      </c>
      <c r="K44" s="12">
        <f t="shared" si="1"/>
        <v>0.68421052631578938</v>
      </c>
      <c r="L44" s="2">
        <f>VLOOKUP(A:A,MASTER!A:D,4,0)</f>
        <v>2</v>
      </c>
      <c r="M44" s="2">
        <f>VLOOKUP(A:A,MASTER!A:I,9,0)</f>
        <v>2</v>
      </c>
      <c r="N44" s="12">
        <f t="shared" si="2"/>
        <v>0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686</v>
      </c>
      <c r="S44">
        <f>VLOOKUP(A:A,MASTER!A:G,7,0)</f>
        <v>705</v>
      </c>
      <c r="T44" s="12">
        <f t="shared" si="4"/>
        <v>2.7696793002915499E-2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50350879.089841045</v>
      </c>
      <c r="G45" s="1">
        <f>VLOOKUP(A:A,MASTER!A:K,11,0)</f>
        <v>55925546.402918451</v>
      </c>
      <c r="H45" s="12">
        <f t="shared" si="0"/>
        <v>0.11071638497374647</v>
      </c>
      <c r="I45" s="2">
        <f>VLOOKUP(A:A,MASTER!A:E,5,0)</f>
        <v>1074</v>
      </c>
      <c r="J45" s="2">
        <f>VLOOKUP(A:A,MASTER!A:J,10,0)</f>
        <v>1140</v>
      </c>
      <c r="K45" s="12">
        <f t="shared" si="1"/>
        <v>6.1452513966480549E-2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2</v>
      </c>
      <c r="P45" s="1">
        <f>VLOOKUP(A:A,MASTER!A:H,8,0)</f>
        <v>5</v>
      </c>
      <c r="Q45" s="12">
        <f t="shared" si="3"/>
        <v>1.5</v>
      </c>
      <c r="R45" s="1">
        <f>VLOOKUP(A:A,MASTER!A:B,2,0)</f>
        <v>1237</v>
      </c>
      <c r="S45">
        <f>VLOOKUP(A:A,MASTER!A:G,7,0)</f>
        <v>1287</v>
      </c>
      <c r="T45" s="12">
        <f t="shared" si="4"/>
        <v>4.0420371867421201E-2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24329645.084981102</v>
      </c>
      <c r="G46" s="1">
        <f>VLOOKUP(A:A,MASTER!A:K,11,0)</f>
        <v>24008510.265390374</v>
      </c>
      <c r="H46" s="12">
        <f t="shared" si="0"/>
        <v>-1.3199321998698998E-2</v>
      </c>
      <c r="I46" s="2">
        <f>VLOOKUP(A:A,MASTER!A:E,5,0)</f>
        <v>921</v>
      </c>
      <c r="J46" s="2">
        <f>VLOOKUP(A:A,MASTER!A:J,10,0)</f>
        <v>916</v>
      </c>
      <c r="K46" s="12">
        <f t="shared" si="1"/>
        <v>-5.4288816503800241E-3</v>
      </c>
      <c r="L46" s="2">
        <f>VLOOKUP(A:A,MASTER!A:D,4,0)</f>
        <v>7</v>
      </c>
      <c r="M46" s="2">
        <f>VLOOKUP(A:A,MASTER!A:I,9,0)</f>
        <v>5</v>
      </c>
      <c r="N46" s="12">
        <f t="shared" si="2"/>
        <v>-0.2857142857142857</v>
      </c>
      <c r="O46" s="1">
        <f>VLOOKUP(A:A,MASTER!A:C,3,0)</f>
        <v>2</v>
      </c>
      <c r="P46" s="1">
        <f>VLOOKUP(A:A,MASTER!A:H,8,0)</f>
        <v>2</v>
      </c>
      <c r="Q46" s="12">
        <f t="shared" si="3"/>
        <v>0</v>
      </c>
      <c r="R46" s="1">
        <f>VLOOKUP(A:A,MASTER!A:B,2,0)</f>
        <v>913</v>
      </c>
      <c r="S46">
        <f>VLOOKUP(A:A,MASTER!A:G,7,0)</f>
        <v>885</v>
      </c>
      <c r="T46" s="12">
        <f t="shared" si="4"/>
        <v>-3.066812705366917E-2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42604532.316107005</v>
      </c>
      <c r="G47" s="1">
        <f>VLOOKUP(A:A,MASTER!A:K,11,0)</f>
        <v>43979107.294347867</v>
      </c>
      <c r="H47" s="12">
        <f t="shared" si="0"/>
        <v>3.2263585668353745E-2</v>
      </c>
      <c r="I47" s="2">
        <f>VLOOKUP(A:A,MASTER!A:E,5,0)</f>
        <v>956</v>
      </c>
      <c r="J47" s="2">
        <f>VLOOKUP(A:A,MASTER!A:J,10,0)</f>
        <v>1138</v>
      </c>
      <c r="K47" s="12">
        <f t="shared" si="1"/>
        <v>0.19037656903765687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4</v>
      </c>
      <c r="P47" s="1">
        <f>VLOOKUP(A:A,MASTER!A:H,8,0)</f>
        <v>3</v>
      </c>
      <c r="Q47" s="12">
        <f t="shared" si="3"/>
        <v>-0.25</v>
      </c>
      <c r="R47" s="1">
        <f>VLOOKUP(A:A,MASTER!A:B,2,0)</f>
        <v>1348</v>
      </c>
      <c r="S47">
        <f>VLOOKUP(A:A,MASTER!A:G,7,0)</f>
        <v>1419</v>
      </c>
      <c r="T47" s="12">
        <f t="shared" si="4"/>
        <v>5.2670623145400608E-2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22005709.005341128</v>
      </c>
      <c r="G48" s="1">
        <f>VLOOKUP(A:A,MASTER!A:K,11,0)</f>
        <v>21167858.625659622</v>
      </c>
      <c r="H48" s="12">
        <f t="shared" si="0"/>
        <v>-3.807422789595849E-2</v>
      </c>
      <c r="I48" s="2">
        <f>VLOOKUP(A:A,MASTER!A:E,5,0)</f>
        <v>377</v>
      </c>
      <c r="J48" s="2">
        <f>VLOOKUP(A:A,MASTER!A:J,10,0)</f>
        <v>403</v>
      </c>
      <c r="K48" s="12">
        <f t="shared" si="1"/>
        <v>6.8965517241379226E-2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1</v>
      </c>
      <c r="P48" s="1">
        <f>VLOOKUP(A:A,MASTER!A:H,8,0)</f>
        <v>4</v>
      </c>
      <c r="Q48" s="12">
        <f t="shared" si="3"/>
        <v>3</v>
      </c>
      <c r="R48" s="1">
        <f>VLOOKUP(A:A,MASTER!A:B,2,0)</f>
        <v>487</v>
      </c>
      <c r="S48">
        <f>VLOOKUP(A:A,MASTER!A:G,7,0)</f>
        <v>498</v>
      </c>
      <c r="T48" s="12">
        <f t="shared" si="4"/>
        <v>2.2587268993839782E-2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16006981.240799496</v>
      </c>
      <c r="G49" s="1">
        <f>VLOOKUP(A:A,MASTER!A:K,11,0)</f>
        <v>17965408.831571799</v>
      </c>
      <c r="H49" s="12">
        <f t="shared" si="0"/>
        <v>0.12234834047162813</v>
      </c>
      <c r="I49" s="2">
        <f>VLOOKUP(A:A,MASTER!A:E,5,0)</f>
        <v>302</v>
      </c>
      <c r="J49" s="2">
        <f>VLOOKUP(A:A,MASTER!A:J,10,0)</f>
        <v>460</v>
      </c>
      <c r="K49" s="12">
        <f t="shared" si="1"/>
        <v>0.52317880794701987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2</v>
      </c>
      <c r="Q49" s="12">
        <f t="shared" si="3"/>
        <v>0</v>
      </c>
      <c r="R49" s="1">
        <f>VLOOKUP(A:A,MASTER!A:B,2,0)</f>
        <v>458</v>
      </c>
      <c r="S49">
        <f>VLOOKUP(A:A,MASTER!A:G,7,0)</f>
        <v>461</v>
      </c>
      <c r="T49" s="12">
        <f t="shared" si="4"/>
        <v>6.5502183406114245E-3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13856935.277226221</v>
      </c>
      <c r="G50" s="1">
        <f>VLOOKUP(A:A,MASTER!A:K,11,0)</f>
        <v>5873087.196715177</v>
      </c>
      <c r="H50" s="12">
        <f t="shared" si="0"/>
        <v>-0.57616261610404162</v>
      </c>
      <c r="I50" s="2">
        <f>VLOOKUP(A:A,MASTER!A:E,5,0)</f>
        <v>302</v>
      </c>
      <c r="J50" s="2">
        <f>VLOOKUP(A:A,MASTER!A:J,10,0)</f>
        <v>10</v>
      </c>
      <c r="K50" s="12">
        <f t="shared" si="1"/>
        <v>-0.9668874172185431</v>
      </c>
      <c r="L50" s="2">
        <f>VLOOKUP(A:A,MASTER!A:D,4,0)</f>
        <v>4</v>
      </c>
      <c r="M50" s="2">
        <f>VLOOKUP(A:A,MASTER!A:I,9,0)</f>
        <v>1</v>
      </c>
      <c r="N50" s="12">
        <f t="shared" si="2"/>
        <v>-0.75</v>
      </c>
      <c r="O50" s="1">
        <f>VLOOKUP(A:A,MASTER!A:C,3,0)</f>
        <v>1</v>
      </c>
      <c r="P50" s="1">
        <f>VLOOKUP(A:A,MASTER!A:H,8,0)</f>
        <v>1</v>
      </c>
      <c r="Q50" s="12">
        <f t="shared" si="3"/>
        <v>0</v>
      </c>
      <c r="R50" s="1">
        <f>VLOOKUP(A:A,MASTER!A:B,2,0)</f>
        <v>422</v>
      </c>
      <c r="S50">
        <f>VLOOKUP(A:A,MASTER!A:G,7,0)</f>
        <v>385</v>
      </c>
      <c r="T50" s="12">
        <f t="shared" si="4"/>
        <v>-8.7677725118483374E-2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32922233.232268192</v>
      </c>
      <c r="G51" s="1">
        <f>VLOOKUP(A:A,MASTER!A:K,11,0)</f>
        <v>34613136.454139821</v>
      </c>
      <c r="H51" s="12">
        <f t="shared" si="0"/>
        <v>5.1360526181265298E-2</v>
      </c>
      <c r="I51" s="2">
        <f>VLOOKUP(A:A,MASTER!A:E,5,0)</f>
        <v>872</v>
      </c>
      <c r="J51" s="2">
        <f>VLOOKUP(A:A,MASTER!A:J,10,0)</f>
        <v>940</v>
      </c>
      <c r="K51" s="12">
        <f t="shared" si="1"/>
        <v>7.7981651376146877E-2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5</v>
      </c>
      <c r="P51" s="1">
        <f>VLOOKUP(A:A,MASTER!A:H,8,0)</f>
        <v>3</v>
      </c>
      <c r="Q51" s="12">
        <f t="shared" si="3"/>
        <v>-0.4</v>
      </c>
      <c r="R51" s="1">
        <f>VLOOKUP(A:A,MASTER!A:B,2,0)</f>
        <v>1104</v>
      </c>
      <c r="S51">
        <f>VLOOKUP(A:A,MASTER!A:G,7,0)</f>
        <v>1103</v>
      </c>
      <c r="T51" s="12">
        <f t="shared" si="4"/>
        <v>-9.0579710144922387E-4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32767497.85062144</v>
      </c>
      <c r="G52" s="1">
        <f>VLOOKUP(A:A,MASTER!A:K,11,0)</f>
        <v>35690534.982378751</v>
      </c>
      <c r="H52" s="12">
        <f t="shared" si="0"/>
        <v>8.9205381048094834E-2</v>
      </c>
      <c r="I52" s="2">
        <f>VLOOKUP(A:A,MASTER!A:E,5,0)</f>
        <v>1002</v>
      </c>
      <c r="J52" s="2">
        <f>VLOOKUP(A:A,MASTER!A:J,10,0)</f>
        <v>963</v>
      </c>
      <c r="K52" s="12">
        <f t="shared" si="1"/>
        <v>-3.8922155688622784E-2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7</v>
      </c>
      <c r="P52" s="1">
        <f>VLOOKUP(A:A,MASTER!A:H,8,0)</f>
        <v>5</v>
      </c>
      <c r="Q52" s="12">
        <f t="shared" si="3"/>
        <v>-0.2857142857142857</v>
      </c>
      <c r="R52" s="1">
        <f>VLOOKUP(A:A,MASTER!A:B,2,0)</f>
        <v>1002</v>
      </c>
      <c r="S52">
        <f>VLOOKUP(A:A,MASTER!A:G,7,0)</f>
        <v>941</v>
      </c>
      <c r="T52" s="12">
        <f t="shared" si="4"/>
        <v>-6.0878243512974106E-2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61113798.319160461</v>
      </c>
      <c r="G53" s="1">
        <f>VLOOKUP(A:A,MASTER!A:K,11,0)</f>
        <v>64882425.838394135</v>
      </c>
      <c r="H53" s="12">
        <f t="shared" si="0"/>
        <v>6.1665738718323704E-2</v>
      </c>
      <c r="I53" s="2">
        <f>VLOOKUP(A:A,MASTER!A:E,5,0)</f>
        <v>1601</v>
      </c>
      <c r="J53" s="2">
        <f>VLOOKUP(A:A,MASTER!A:J,10,0)</f>
        <v>1658</v>
      </c>
      <c r="K53" s="12">
        <f t="shared" si="1"/>
        <v>3.5602748282323571E-2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9</v>
      </c>
      <c r="P53" s="1">
        <f>VLOOKUP(A:A,MASTER!A:H,8,0)</f>
        <v>15</v>
      </c>
      <c r="Q53" s="12">
        <f t="shared" si="3"/>
        <v>0.66666666666666674</v>
      </c>
      <c r="R53" s="1">
        <f>VLOOKUP(A:A,MASTER!A:B,2,0)</f>
        <v>2048</v>
      </c>
      <c r="S53">
        <f>VLOOKUP(A:A,MASTER!A:G,7,0)</f>
        <v>2073</v>
      </c>
      <c r="T53" s="12">
        <f t="shared" si="4"/>
        <v>1.220703125E-2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15237386.793200787</v>
      </c>
      <c r="G54" s="1">
        <f>VLOOKUP(A:A,MASTER!A:K,11,0)</f>
        <v>16923572.104882669</v>
      </c>
      <c r="H54" s="12">
        <f t="shared" si="0"/>
        <v>0.1106610558993153</v>
      </c>
      <c r="I54" s="2">
        <f>VLOOKUP(A:A,MASTER!A:E,5,0)</f>
        <v>447</v>
      </c>
      <c r="J54" s="2">
        <f>VLOOKUP(A:A,MASTER!A:J,10,0)</f>
        <v>510</v>
      </c>
      <c r="K54" s="12">
        <f t="shared" si="1"/>
        <v>0.14093959731543615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4</v>
      </c>
      <c r="P54" s="1">
        <f>VLOOKUP(A:A,MASTER!A:H,8,0)</f>
        <v>2</v>
      </c>
      <c r="Q54" s="12">
        <f t="shared" si="3"/>
        <v>-0.5</v>
      </c>
      <c r="R54" s="1">
        <f>VLOOKUP(A:A,MASTER!A:B,2,0)</f>
        <v>676</v>
      </c>
      <c r="S54">
        <f>VLOOKUP(A:A,MASTER!A:G,7,0)</f>
        <v>662</v>
      </c>
      <c r="T54" s="12">
        <f t="shared" si="4"/>
        <v>-2.0710059171597628E-2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26569100.705542248</v>
      </c>
      <c r="G55" s="1">
        <f>VLOOKUP(A:A,MASTER!A:K,11,0)</f>
        <v>30353544.458011288</v>
      </c>
      <c r="H55" s="12">
        <f t="shared" si="0"/>
        <v>0.14243778118088946</v>
      </c>
      <c r="I55" s="2">
        <f>VLOOKUP(A:A,MASTER!A:E,5,0)</f>
        <v>715</v>
      </c>
      <c r="J55" s="2">
        <f>VLOOKUP(A:A,MASTER!A:J,10,0)</f>
        <v>738</v>
      </c>
      <c r="K55" s="12">
        <f t="shared" si="1"/>
        <v>3.2167832167832255E-2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6</v>
      </c>
      <c r="P55" s="1">
        <f>VLOOKUP(A:A,MASTER!A:H,8,0)</f>
        <v>8</v>
      </c>
      <c r="Q55" s="12">
        <f t="shared" si="3"/>
        <v>0.33333333333333326</v>
      </c>
      <c r="R55" s="1">
        <f>VLOOKUP(A:A,MASTER!A:B,2,0)</f>
        <v>868</v>
      </c>
      <c r="S55">
        <f>VLOOKUP(A:A,MASTER!A:G,7,0)</f>
        <v>922</v>
      </c>
      <c r="T55" s="12">
        <f t="shared" si="4"/>
        <v>6.2211981566820285E-2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16880304.095586132</v>
      </c>
      <c r="G56" s="1">
        <f>VLOOKUP(A:A,MASTER!A:K,11,0)</f>
        <v>15435179.114867197</v>
      </c>
      <c r="H56" s="12">
        <f t="shared" si="0"/>
        <v>-8.5610127195327457E-2</v>
      </c>
      <c r="I56" s="2">
        <f>VLOOKUP(A:A,MASTER!A:E,5,0)</f>
        <v>740</v>
      </c>
      <c r="J56" s="2">
        <f>VLOOKUP(A:A,MASTER!A:J,10,0)</f>
        <v>613</v>
      </c>
      <c r="K56" s="12">
        <f t="shared" si="1"/>
        <v>-0.17162162162162165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0</v>
      </c>
      <c r="Q56" s="12">
        <f t="shared" si="3"/>
        <v>-1</v>
      </c>
      <c r="R56" s="1">
        <f>VLOOKUP(A:A,MASTER!A:B,2,0)</f>
        <v>753</v>
      </c>
      <c r="S56">
        <f>VLOOKUP(A:A,MASTER!A:G,7,0)</f>
        <v>678</v>
      </c>
      <c r="T56" s="12">
        <f t="shared" si="4"/>
        <v>-9.9601593625498031E-2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34340368.090365291</v>
      </c>
      <c r="G57" s="1">
        <f>VLOOKUP(A:A,MASTER!A:K,11,0)</f>
        <v>37729757.422791846</v>
      </c>
      <c r="H57" s="12">
        <f t="shared" si="0"/>
        <v>9.8699854454312064E-2</v>
      </c>
      <c r="I57" s="2">
        <f>VLOOKUP(A:A,MASTER!A:E,5,0)</f>
        <v>869</v>
      </c>
      <c r="J57" s="2">
        <f>VLOOKUP(A:A,MASTER!A:J,10,0)</f>
        <v>1163</v>
      </c>
      <c r="K57" s="12">
        <f t="shared" si="1"/>
        <v>0.33831990794016109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5</v>
      </c>
      <c r="P57" s="1">
        <f>VLOOKUP(A:A,MASTER!A:H,8,0)</f>
        <v>6</v>
      </c>
      <c r="Q57" s="12">
        <f t="shared" si="3"/>
        <v>0.19999999999999996</v>
      </c>
      <c r="R57" s="1">
        <f>VLOOKUP(A:A,MASTER!A:B,2,0)</f>
        <v>1112</v>
      </c>
      <c r="S57">
        <f>VLOOKUP(A:A,MASTER!A:G,7,0)</f>
        <v>1099</v>
      </c>
      <c r="T57" s="12">
        <f t="shared" si="4"/>
        <v>-1.1690647482014427E-2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43422115.586745128</v>
      </c>
      <c r="G58" s="1">
        <f>VLOOKUP(A:A,MASTER!A:K,11,0)</f>
        <v>51933160.195166431</v>
      </c>
      <c r="H58" s="12">
        <f t="shared" si="0"/>
        <v>0.19600713814642767</v>
      </c>
      <c r="I58" s="2">
        <f>VLOOKUP(A:A,MASTER!A:E,5,0)</f>
        <v>1339</v>
      </c>
      <c r="J58" s="2">
        <f>VLOOKUP(A:A,MASTER!A:J,10,0)</f>
        <v>1618</v>
      </c>
      <c r="K58" s="12">
        <f t="shared" si="1"/>
        <v>0.20836445108289769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5</v>
      </c>
      <c r="P58" s="1">
        <f>VLOOKUP(A:A,MASTER!A:H,8,0)</f>
        <v>13</v>
      </c>
      <c r="Q58" s="12">
        <f t="shared" si="3"/>
        <v>1.6</v>
      </c>
      <c r="R58" s="1">
        <f>VLOOKUP(A:A,MASTER!A:B,2,0)</f>
        <v>1478</v>
      </c>
      <c r="S58">
        <f>VLOOKUP(A:A,MASTER!A:G,7,0)</f>
        <v>1621</v>
      </c>
      <c r="T58" s="12">
        <f t="shared" si="4"/>
        <v>9.6752368064952687E-2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23207604.557711422</v>
      </c>
      <c r="G59" s="1">
        <f>VLOOKUP(A:A,MASTER!A:K,11,0)</f>
        <v>21502821.729210172</v>
      </c>
      <c r="H59" s="12">
        <f t="shared" si="0"/>
        <v>-7.3457940230836294E-2</v>
      </c>
      <c r="I59" s="2">
        <f>VLOOKUP(A:A,MASTER!A:E,5,0)</f>
        <v>693</v>
      </c>
      <c r="J59" s="2">
        <f>VLOOKUP(A:A,MASTER!A:J,10,0)</f>
        <v>760</v>
      </c>
      <c r="K59" s="12">
        <f t="shared" si="1"/>
        <v>9.6681096681096701E-2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2</v>
      </c>
      <c r="P59" s="1">
        <f>VLOOKUP(A:A,MASTER!A:H,8,0)</f>
        <v>4</v>
      </c>
      <c r="Q59" s="12">
        <f t="shared" si="3"/>
        <v>1</v>
      </c>
      <c r="R59" s="1">
        <f>VLOOKUP(A:A,MASTER!A:B,2,0)</f>
        <v>769</v>
      </c>
      <c r="S59">
        <f>VLOOKUP(A:A,MASTER!A:G,7,0)</f>
        <v>798</v>
      </c>
      <c r="T59" s="12">
        <f t="shared" si="4"/>
        <v>3.771131339401812E-2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25855386.35664548</v>
      </c>
      <c r="G60" s="1">
        <f>VLOOKUP(A:A,MASTER!A:K,11,0)</f>
        <v>27515605.348086242</v>
      </c>
      <c r="H60" s="12">
        <f t="shared" si="0"/>
        <v>6.421172627397409E-2</v>
      </c>
      <c r="I60" s="2">
        <f>VLOOKUP(A:A,MASTER!A:E,5,0)</f>
        <v>468</v>
      </c>
      <c r="J60" s="2">
        <f>VLOOKUP(A:A,MASTER!A:J,10,0)</f>
        <v>467</v>
      </c>
      <c r="K60" s="12">
        <f t="shared" si="1"/>
        <v>-2.1367521367521292E-3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7</v>
      </c>
      <c r="P60" s="1">
        <f>VLOOKUP(A:A,MASTER!A:H,8,0)</f>
        <v>5</v>
      </c>
      <c r="Q60" s="12">
        <f t="shared" si="3"/>
        <v>-0.2857142857142857</v>
      </c>
      <c r="R60" s="1">
        <f>VLOOKUP(A:A,MASTER!A:B,2,0)</f>
        <v>638</v>
      </c>
      <c r="S60">
        <f>VLOOKUP(A:A,MASTER!A:G,7,0)</f>
        <v>644</v>
      </c>
      <c r="T60" s="12">
        <f t="shared" si="4"/>
        <v>9.4043887147334804E-3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83988262.907164082</v>
      </c>
      <c r="G61" s="1">
        <f>VLOOKUP(A:A,MASTER!A:K,11,0)</f>
        <v>87322079.567863107</v>
      </c>
      <c r="H61" s="12">
        <f t="shared" si="0"/>
        <v>3.9693839892653182E-2</v>
      </c>
      <c r="I61" s="2">
        <f>VLOOKUP(A:A,MASTER!A:E,5,0)</f>
        <v>1969</v>
      </c>
      <c r="J61" s="2">
        <f>VLOOKUP(A:A,MASTER!A:J,10,0)</f>
        <v>1637</v>
      </c>
      <c r="K61" s="12">
        <f t="shared" si="1"/>
        <v>-0.16861350939563235</v>
      </c>
      <c r="L61" s="2">
        <f>VLOOKUP(A:A,MASTER!A:D,4,0)</f>
        <v>11</v>
      </c>
      <c r="M61" s="2">
        <f>VLOOKUP(A:A,MASTER!A:I,9,0)</f>
        <v>12</v>
      </c>
      <c r="N61" s="12">
        <f t="shared" si="2"/>
        <v>9.0909090909090828E-2</v>
      </c>
      <c r="O61" s="1">
        <f>VLOOKUP(A:A,MASTER!A:C,3,0)</f>
        <v>11</v>
      </c>
      <c r="P61" s="1">
        <f>VLOOKUP(A:A,MASTER!A:H,8,0)</f>
        <v>18</v>
      </c>
      <c r="Q61" s="12">
        <f t="shared" si="3"/>
        <v>0.63636363636363646</v>
      </c>
      <c r="R61" s="1">
        <f>VLOOKUP(A:A,MASTER!A:B,2,0)</f>
        <v>1983</v>
      </c>
      <c r="S61">
        <f>VLOOKUP(A:A,MASTER!A:G,7,0)</f>
        <v>1957</v>
      </c>
      <c r="T61" s="12">
        <f t="shared" si="4"/>
        <v>-1.3111447302067591E-2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62144411.904331289</v>
      </c>
      <c r="G62" s="1">
        <f>VLOOKUP(A:A,MASTER!A:K,11,0)</f>
        <v>63302163.709051661</v>
      </c>
      <c r="H62" s="12">
        <f t="shared" si="0"/>
        <v>1.8630022704256621E-2</v>
      </c>
      <c r="I62" s="2">
        <f>VLOOKUP(A:A,MASTER!A:E,5,0)</f>
        <v>1096</v>
      </c>
      <c r="J62" s="2">
        <f>VLOOKUP(A:A,MASTER!A:J,10,0)</f>
        <v>1318</v>
      </c>
      <c r="K62" s="12">
        <f t="shared" si="1"/>
        <v>0.20255474452554734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16</v>
      </c>
      <c r="P62" s="1">
        <f>VLOOKUP(A:A,MASTER!A:H,8,0)</f>
        <v>13</v>
      </c>
      <c r="Q62" s="12">
        <f t="shared" si="3"/>
        <v>-0.1875</v>
      </c>
      <c r="R62" s="1">
        <f>VLOOKUP(A:A,MASTER!A:B,2,0)</f>
        <v>1583</v>
      </c>
      <c r="S62">
        <f>VLOOKUP(A:A,MASTER!A:G,7,0)</f>
        <v>1597</v>
      </c>
      <c r="T62" s="12">
        <f t="shared" si="4"/>
        <v>8.8439671509792372E-3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40291786.850265786</v>
      </c>
      <c r="G63" s="1">
        <f>VLOOKUP(A:A,MASTER!A:K,11,0)</f>
        <v>42230040.117961869</v>
      </c>
      <c r="H63" s="12">
        <f t="shared" si="0"/>
        <v>4.8105418478934903E-2</v>
      </c>
      <c r="I63" s="2">
        <f>VLOOKUP(A:A,MASTER!A:E,5,0)</f>
        <v>720</v>
      </c>
      <c r="J63" s="2">
        <f>VLOOKUP(A:A,MASTER!A:J,10,0)</f>
        <v>743</v>
      </c>
      <c r="K63" s="12">
        <f t="shared" si="1"/>
        <v>3.1944444444444553E-2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6</v>
      </c>
      <c r="P63" s="1">
        <f>VLOOKUP(A:A,MASTER!A:H,8,0)</f>
        <v>2</v>
      </c>
      <c r="Q63" s="12">
        <f t="shared" si="3"/>
        <v>-0.66666666666666674</v>
      </c>
      <c r="R63" s="1">
        <f>VLOOKUP(A:A,MASTER!A:B,2,0)</f>
        <v>893</v>
      </c>
      <c r="S63">
        <f>VLOOKUP(A:A,MASTER!A:G,7,0)</f>
        <v>896</v>
      </c>
      <c r="T63" s="12">
        <f t="shared" si="4"/>
        <v>3.3594624860022737E-3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60482844.879700385</v>
      </c>
      <c r="G64" s="1">
        <f>VLOOKUP(A:A,MASTER!A:K,11,0)</f>
        <v>56679542.814377584</v>
      </c>
      <c r="H64" s="12">
        <f t="shared" si="0"/>
        <v>-6.2882327590369158E-2</v>
      </c>
      <c r="I64" s="2">
        <f>VLOOKUP(A:A,MASTER!A:E,5,0)</f>
        <v>1405</v>
      </c>
      <c r="J64" s="2">
        <f>VLOOKUP(A:A,MASTER!A:J,10,0)</f>
        <v>1337</v>
      </c>
      <c r="K64" s="12">
        <f t="shared" si="1"/>
        <v>-4.8398576512455493E-2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373</v>
      </c>
      <c r="P64" s="1">
        <f>VLOOKUP(A:A,MASTER!A:H,8,0)</f>
        <v>462</v>
      </c>
      <c r="Q64" s="12">
        <f t="shared" si="3"/>
        <v>0.23860589812332433</v>
      </c>
      <c r="R64" s="1">
        <f>VLOOKUP(A:A,MASTER!A:B,2,0)</f>
        <v>2275</v>
      </c>
      <c r="S64">
        <f>VLOOKUP(A:A,MASTER!A:G,7,0)</f>
        <v>2369</v>
      </c>
      <c r="T64" s="12">
        <f t="shared" si="4"/>
        <v>4.1318681318681216E-2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2049584.514477622</v>
      </c>
      <c r="G65" s="1">
        <f>VLOOKUP(A:A,MASTER!A:K,11,0)</f>
        <v>4609199.2052098904</v>
      </c>
      <c r="H65" s="12">
        <f t="shared" si="0"/>
        <v>1.2488456429349233</v>
      </c>
      <c r="I65" s="2">
        <f>VLOOKUP(A:A,MASTER!A:E,5,0)</f>
        <v>246</v>
      </c>
      <c r="J65" s="2">
        <f>VLOOKUP(A:A,MASTER!A:J,10,0)</f>
        <v>240</v>
      </c>
      <c r="K65" s="12">
        <f t="shared" si="1"/>
        <v>-2.4390243902439046E-2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245</v>
      </c>
      <c r="S65">
        <f>VLOOKUP(A:A,MASTER!A:G,7,0)</f>
        <v>245</v>
      </c>
      <c r="T65" s="12">
        <f t="shared" si="4"/>
        <v>0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43221691.643919691</v>
      </c>
      <c r="G66" s="1">
        <f>VLOOKUP(A:A,MASTER!A:K,11,0)</f>
        <v>42527106.473903023</v>
      </c>
      <c r="H66" s="12">
        <f t="shared" si="0"/>
        <v>-1.6070291180155127E-2</v>
      </c>
      <c r="I66" s="2">
        <f>VLOOKUP(A:A,MASTER!A:E,5,0)</f>
        <v>1620</v>
      </c>
      <c r="J66" s="2">
        <f>VLOOKUP(A:A,MASTER!A:J,10,0)</f>
        <v>1580</v>
      </c>
      <c r="K66" s="12">
        <f t="shared" si="1"/>
        <v>-2.4691358024691357E-2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9</v>
      </c>
      <c r="P66" s="1">
        <f>VLOOKUP(A:A,MASTER!A:H,8,0)</f>
        <v>17</v>
      </c>
      <c r="Q66" s="12">
        <f t="shared" si="3"/>
        <v>0.88888888888888884</v>
      </c>
      <c r="R66" s="1">
        <f>VLOOKUP(A:A,MASTER!A:B,2,0)</f>
        <v>1659</v>
      </c>
      <c r="S66">
        <f>VLOOKUP(A:A,MASTER!A:G,7,0)</f>
        <v>1592</v>
      </c>
      <c r="T66" s="12">
        <f t="shared" si="4"/>
        <v>-4.0385774562989751E-2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20584123.922306944</v>
      </c>
      <c r="G67" s="1">
        <f>VLOOKUP(A:A,MASTER!A:K,11,0)</f>
        <v>19382725.801420636</v>
      </c>
      <c r="H67" s="12">
        <f t="shared" ref="H67:H85" si="5">IFERROR(G67/F67-1,0)</f>
        <v>-5.8365278280527511E-2</v>
      </c>
      <c r="I67" s="2">
        <f>VLOOKUP(A:A,MASTER!A:E,5,0)</f>
        <v>591</v>
      </c>
      <c r="J67" s="2">
        <f>VLOOKUP(A:A,MASTER!A:J,10,0)</f>
        <v>647</v>
      </c>
      <c r="K67" s="12">
        <f t="shared" ref="K67:K85" si="6">IFERROR(J67/I67-1,0)</f>
        <v>9.4754653130287636E-2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3</v>
      </c>
      <c r="P67" s="1">
        <f>VLOOKUP(A:A,MASTER!A:H,8,0)</f>
        <v>3</v>
      </c>
      <c r="Q67" s="12">
        <f t="shared" ref="Q67:Q85" si="8">IFERROR(P67/O67-1,0)</f>
        <v>0</v>
      </c>
      <c r="R67" s="1">
        <f>VLOOKUP(A:A,MASTER!A:B,2,0)</f>
        <v>740</v>
      </c>
      <c r="S67">
        <f>VLOOKUP(A:A,MASTER!A:G,7,0)</f>
        <v>791</v>
      </c>
      <c r="T67" s="12">
        <f t="shared" ref="T67:T85" si="9">IFERROR(S67/R67-1,0)</f>
        <v>6.8918918918918992E-2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30147825.724716209</v>
      </c>
      <c r="G68" s="1">
        <f>VLOOKUP(A:A,MASTER!A:K,11,0)</f>
        <v>32338446.233785421</v>
      </c>
      <c r="H68" s="12">
        <f t="shared" si="5"/>
        <v>7.26626367377885E-2</v>
      </c>
      <c r="I68" s="2">
        <f>VLOOKUP(A:A,MASTER!A:E,5,0)</f>
        <v>1057</v>
      </c>
      <c r="J68" s="2">
        <f>VLOOKUP(A:A,MASTER!A:J,10,0)</f>
        <v>952</v>
      </c>
      <c r="K68" s="12">
        <f t="shared" si="6"/>
        <v>-9.9337748344370813E-2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22</v>
      </c>
      <c r="P68" s="1">
        <f>VLOOKUP(A:A,MASTER!A:H,8,0)</f>
        <v>66</v>
      </c>
      <c r="Q68" s="12">
        <f t="shared" si="8"/>
        <v>2</v>
      </c>
      <c r="R68" s="1">
        <f>VLOOKUP(A:A,MASTER!A:B,2,0)</f>
        <v>1362</v>
      </c>
      <c r="S68">
        <f>VLOOKUP(A:A,MASTER!A:G,7,0)</f>
        <v>1484</v>
      </c>
      <c r="T68" s="12">
        <f t="shared" si="9"/>
        <v>8.9574155653450838E-2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18961499.08903724</v>
      </c>
      <c r="G69" s="1">
        <f>VLOOKUP(A:A,MASTER!A:K,11,0)</f>
        <v>24722694.050578289</v>
      </c>
      <c r="H69" s="12">
        <f t="shared" si="5"/>
        <v>0.30383647065499875</v>
      </c>
      <c r="I69" s="2">
        <f>VLOOKUP(A:A,MASTER!A:E,5,0)</f>
        <v>1206</v>
      </c>
      <c r="J69" s="2">
        <f>VLOOKUP(A:A,MASTER!A:J,10,0)</f>
        <v>1420</v>
      </c>
      <c r="K69" s="12">
        <f t="shared" si="6"/>
        <v>0.17744610281923712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5</v>
      </c>
      <c r="P69" s="1">
        <f>VLOOKUP(A:A,MASTER!A:H,8,0)</f>
        <v>4</v>
      </c>
      <c r="Q69" s="12">
        <f t="shared" si="8"/>
        <v>-0.19999999999999996</v>
      </c>
      <c r="R69" s="1">
        <f>VLOOKUP(A:A,MASTER!A:B,2,0)</f>
        <v>1262</v>
      </c>
      <c r="S69">
        <f>VLOOKUP(A:A,MASTER!A:G,7,0)</f>
        <v>1340</v>
      </c>
      <c r="T69" s="12">
        <f t="shared" si="9"/>
        <v>6.1806656101426327E-2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53783637.746164359</v>
      </c>
      <c r="G70" s="1">
        <f>VLOOKUP(A:A,MASTER!A:K,11,0)</f>
        <v>56895215.540526107</v>
      </c>
      <c r="H70" s="12">
        <f t="shared" si="5"/>
        <v>5.7853613566398288E-2</v>
      </c>
      <c r="I70" s="2">
        <f>VLOOKUP(A:A,MASTER!A:E,5,0)</f>
        <v>1165</v>
      </c>
      <c r="J70" s="2">
        <f>VLOOKUP(A:A,MASTER!A:J,10,0)</f>
        <v>1308</v>
      </c>
      <c r="K70" s="12">
        <f t="shared" si="6"/>
        <v>0.12274678111587978</v>
      </c>
      <c r="L70" s="2">
        <f>VLOOKUP(A:A,MASTER!A:D,4,0)</f>
        <v>4</v>
      </c>
      <c r="M70" s="2">
        <f>VLOOKUP(A:A,MASTER!A:I,9,0)</f>
        <v>7</v>
      </c>
      <c r="N70" s="12">
        <f t="shared" si="7"/>
        <v>0.75</v>
      </c>
      <c r="O70" s="1">
        <f>VLOOKUP(A:A,MASTER!A:C,3,0)</f>
        <v>10</v>
      </c>
      <c r="P70" s="1">
        <f>VLOOKUP(A:A,MASTER!A:H,8,0)</f>
        <v>12</v>
      </c>
      <c r="Q70" s="12">
        <f t="shared" si="8"/>
        <v>0.19999999999999996</v>
      </c>
      <c r="R70" s="1">
        <f>VLOOKUP(A:A,MASTER!A:B,2,0)</f>
        <v>1752</v>
      </c>
      <c r="S70">
        <f>VLOOKUP(A:A,MASTER!A:G,7,0)</f>
        <v>1798</v>
      </c>
      <c r="T70" s="12">
        <f t="shared" si="9"/>
        <v>2.6255707762557146E-2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10904494.48472932</v>
      </c>
      <c r="G71" s="1">
        <f>VLOOKUP(A:A,MASTER!A:K,11,0)</f>
        <v>10133380.339113291</v>
      </c>
      <c r="H71" s="12">
        <f t="shared" si="5"/>
        <v>-7.0715258437325845E-2</v>
      </c>
      <c r="I71" s="2">
        <f>VLOOKUP(A:A,MASTER!A:E,5,0)</f>
        <v>432</v>
      </c>
      <c r="J71" s="2">
        <f>VLOOKUP(A:A,MASTER!A:J,10,0)</f>
        <v>400</v>
      </c>
      <c r="K71" s="12">
        <f t="shared" si="6"/>
        <v>-7.407407407407407E-2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4</v>
      </c>
      <c r="Q71" s="12">
        <f t="shared" si="8"/>
        <v>1</v>
      </c>
      <c r="R71" s="1">
        <f>VLOOKUP(A:A,MASTER!A:B,2,0)</f>
        <v>509</v>
      </c>
      <c r="S71">
        <f>VLOOKUP(A:A,MASTER!A:G,7,0)</f>
        <v>488</v>
      </c>
      <c r="T71" s="12">
        <f t="shared" si="9"/>
        <v>-4.125736738703345E-2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17298035.563470758</v>
      </c>
      <c r="G72" s="1">
        <f>VLOOKUP(A:A,MASTER!A:K,11,0)</f>
        <v>20101925.882868141</v>
      </c>
      <c r="H72" s="12">
        <f t="shared" si="5"/>
        <v>0.16209299079708894</v>
      </c>
      <c r="I72" s="2">
        <f>VLOOKUP(A:A,MASTER!A:E,5,0)</f>
        <v>1324</v>
      </c>
      <c r="J72" s="2">
        <f>VLOOKUP(A:A,MASTER!A:J,10,0)</f>
        <v>771</v>
      </c>
      <c r="K72" s="12">
        <f t="shared" si="6"/>
        <v>-0.41767371601208458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2</v>
      </c>
      <c r="Q72" s="12">
        <f t="shared" si="8"/>
        <v>-0.33333333333333337</v>
      </c>
      <c r="R72" s="1">
        <f>VLOOKUP(A:A,MASTER!A:B,2,0)</f>
        <v>881</v>
      </c>
      <c r="S72">
        <f>VLOOKUP(A:A,MASTER!A:G,7,0)</f>
        <v>888</v>
      </c>
      <c r="T72" s="12">
        <f t="shared" si="9"/>
        <v>7.9455164585697791E-3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17062080.811463322</v>
      </c>
      <c r="G73" s="1">
        <f>VLOOKUP(A:A,MASTER!A:K,11,0)</f>
        <v>19008135.274495997</v>
      </c>
      <c r="H73" s="12">
        <f t="shared" si="5"/>
        <v>0.11405727616324501</v>
      </c>
      <c r="I73" s="2">
        <f>VLOOKUP(A:A,MASTER!A:E,5,0)</f>
        <v>504</v>
      </c>
      <c r="J73" s="2">
        <f>VLOOKUP(A:A,MASTER!A:J,10,0)</f>
        <v>480</v>
      </c>
      <c r="K73" s="12">
        <f t="shared" si="6"/>
        <v>-4.7619047619047672E-2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645</v>
      </c>
      <c r="S73">
        <f>VLOOKUP(A:A,MASTER!A:G,7,0)</f>
        <v>636</v>
      </c>
      <c r="T73" s="12">
        <f t="shared" si="9"/>
        <v>-1.3953488372092981E-2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13406292.038853647</v>
      </c>
      <c r="G74" s="1">
        <f>VLOOKUP(A:A,MASTER!A:K,11,0)</f>
        <v>12587822.709509639</v>
      </c>
      <c r="H74" s="12">
        <f t="shared" si="5"/>
        <v>-6.1051133823726067E-2</v>
      </c>
      <c r="I74" s="2">
        <f>VLOOKUP(A:A,MASTER!A:E,5,0)</f>
        <v>700</v>
      </c>
      <c r="J74" s="2">
        <f>VLOOKUP(A:A,MASTER!A:J,10,0)</f>
        <v>1099</v>
      </c>
      <c r="K74" s="12">
        <f t="shared" si="6"/>
        <v>0.57000000000000006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9</v>
      </c>
      <c r="Q74" s="12">
        <f t="shared" si="8"/>
        <v>0.5</v>
      </c>
      <c r="R74" s="1">
        <f>VLOOKUP(A:A,MASTER!A:B,2,0)</f>
        <v>610</v>
      </c>
      <c r="S74">
        <f>VLOOKUP(A:A,MASTER!A:G,7,0)</f>
        <v>629</v>
      </c>
      <c r="T74" s="12">
        <f t="shared" si="9"/>
        <v>3.1147540983606614E-2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14534308.575940792</v>
      </c>
      <c r="G75" s="1">
        <f>VLOOKUP(A:A,MASTER!A:K,11,0)</f>
        <v>13056774.364971524</v>
      </c>
      <c r="H75" s="12">
        <f t="shared" si="5"/>
        <v>-0.10165837633412345</v>
      </c>
      <c r="I75" s="2">
        <f>VLOOKUP(A:A,MASTER!A:E,5,0)</f>
        <v>405</v>
      </c>
      <c r="J75" s="2">
        <f>VLOOKUP(A:A,MASTER!A:J,10,0)</f>
        <v>461</v>
      </c>
      <c r="K75" s="12">
        <f t="shared" si="6"/>
        <v>0.13827160493827151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1</v>
      </c>
      <c r="P75" s="1">
        <f>VLOOKUP(A:A,MASTER!A:H,8,0)</f>
        <v>3</v>
      </c>
      <c r="Q75" s="12">
        <f t="shared" si="8"/>
        <v>2</v>
      </c>
      <c r="R75" s="1">
        <f>VLOOKUP(A:A,MASTER!A:B,2,0)</f>
        <v>446</v>
      </c>
      <c r="S75">
        <f>VLOOKUP(A:A,MASTER!A:G,7,0)</f>
        <v>445</v>
      </c>
      <c r="T75" s="12">
        <f t="shared" si="9"/>
        <v>-2.2421524663677195E-3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38552320.650037184</v>
      </c>
      <c r="G76" s="1">
        <f>VLOOKUP(A:A,MASTER!A:K,11,0)</f>
        <v>31224051.282621074</v>
      </c>
      <c r="H76" s="12">
        <f t="shared" si="5"/>
        <v>-0.19008633576015455</v>
      </c>
      <c r="I76" s="2">
        <f>VLOOKUP(A:A,MASTER!A:E,5,0)</f>
        <v>502</v>
      </c>
      <c r="J76" s="2">
        <f>VLOOKUP(A:A,MASTER!A:J,10,0)</f>
        <v>777</v>
      </c>
      <c r="K76" s="12">
        <f t="shared" si="6"/>
        <v>0.547808764940239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5</v>
      </c>
      <c r="P76" s="1">
        <f>VLOOKUP(A:A,MASTER!A:H,8,0)</f>
        <v>5</v>
      </c>
      <c r="Q76" s="12">
        <f t="shared" si="8"/>
        <v>0</v>
      </c>
      <c r="R76" s="1">
        <f>VLOOKUP(A:A,MASTER!A:B,2,0)</f>
        <v>930</v>
      </c>
      <c r="S76">
        <f>VLOOKUP(A:A,MASTER!A:G,7,0)</f>
        <v>873</v>
      </c>
      <c r="T76" s="12">
        <f t="shared" si="9"/>
        <v>-6.1290322580645151E-2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22945629.138666265</v>
      </c>
      <c r="G77" s="1">
        <f>VLOOKUP(A:A,MASTER!A:K,11,0)</f>
        <v>23789675.00632247</v>
      </c>
      <c r="H77" s="12">
        <f t="shared" si="5"/>
        <v>3.6784603401171623E-2</v>
      </c>
      <c r="I77" s="2">
        <f>VLOOKUP(A:A,MASTER!A:E,5,0)</f>
        <v>681</v>
      </c>
      <c r="J77" s="2">
        <f>VLOOKUP(A:A,MASTER!A:J,10,0)</f>
        <v>719</v>
      </c>
      <c r="K77" s="12">
        <f t="shared" si="6"/>
        <v>5.580029368575623E-2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2</v>
      </c>
      <c r="P77" s="1">
        <f>VLOOKUP(A:A,MASTER!A:H,8,0)</f>
        <v>3</v>
      </c>
      <c r="Q77" s="12">
        <f t="shared" si="8"/>
        <v>0.5</v>
      </c>
      <c r="R77" s="1">
        <f>VLOOKUP(A:A,MASTER!A:B,2,0)</f>
        <v>775</v>
      </c>
      <c r="S77">
        <f>VLOOKUP(A:A,MASTER!A:G,7,0)</f>
        <v>781</v>
      </c>
      <c r="T77" s="12">
        <f t="shared" si="9"/>
        <v>7.7419354838710319E-3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18897104.306166232</v>
      </c>
      <c r="G78" s="1">
        <f>VLOOKUP(A:A,MASTER!A:K,11,0)</f>
        <v>19078223.4680488</v>
      </c>
      <c r="H78" s="12">
        <f t="shared" si="5"/>
        <v>9.5844928909805116E-3</v>
      </c>
      <c r="I78" s="2">
        <f>VLOOKUP(A:A,MASTER!A:E,5,0)</f>
        <v>919</v>
      </c>
      <c r="J78" s="2">
        <f>VLOOKUP(A:A,MASTER!A:J,10,0)</f>
        <v>771</v>
      </c>
      <c r="K78" s="12">
        <f t="shared" si="6"/>
        <v>-0.1610446137105549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2</v>
      </c>
      <c r="Q78" s="12">
        <f t="shared" si="8"/>
        <v>-0.33333333333333337</v>
      </c>
      <c r="R78" s="1">
        <f>VLOOKUP(A:A,MASTER!A:B,2,0)</f>
        <v>961</v>
      </c>
      <c r="S78">
        <f>VLOOKUP(A:A,MASTER!A:G,7,0)</f>
        <v>949</v>
      </c>
      <c r="T78" s="12">
        <f t="shared" si="9"/>
        <v>-1.2486992715920908E-2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18943363.690892089</v>
      </c>
      <c r="G79" s="1">
        <f>VLOOKUP(A:A,MASTER!A:K,11,0)</f>
        <v>23083990.683582705</v>
      </c>
      <c r="H79" s="12">
        <f t="shared" si="5"/>
        <v>0.21857929036549173</v>
      </c>
      <c r="I79" s="2">
        <f>VLOOKUP(A:A,MASTER!A:E,5,0)</f>
        <v>859</v>
      </c>
      <c r="J79" s="2">
        <f>VLOOKUP(A:A,MASTER!A:J,10,0)</f>
        <v>693</v>
      </c>
      <c r="K79" s="12">
        <f t="shared" si="6"/>
        <v>-0.19324796274738065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2</v>
      </c>
      <c r="P79" s="1">
        <f>VLOOKUP(A:A,MASTER!A:H,8,0)</f>
        <v>2</v>
      </c>
      <c r="Q79" s="12">
        <f t="shared" si="8"/>
        <v>0</v>
      </c>
      <c r="R79" s="1">
        <f>VLOOKUP(A:A,MASTER!A:B,2,0)</f>
        <v>993</v>
      </c>
      <c r="S79">
        <f>VLOOKUP(A:A,MASTER!A:G,7,0)</f>
        <v>969</v>
      </c>
      <c r="T79" s="12">
        <f t="shared" si="9"/>
        <v>-2.4169184290030232E-2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24876612.513585679</v>
      </c>
      <c r="G80" s="1">
        <f>VLOOKUP(A:A,MASTER!A:K,11,0)</f>
        <v>27850529.967314817</v>
      </c>
      <c r="H80" s="12">
        <f t="shared" si="5"/>
        <v>0.11954672092532759</v>
      </c>
      <c r="I80" s="2">
        <f>VLOOKUP(A:A,MASTER!A:E,5,0)</f>
        <v>791</v>
      </c>
      <c r="J80" s="2">
        <f>VLOOKUP(A:A,MASTER!A:J,10,0)</f>
        <v>724</v>
      </c>
      <c r="K80" s="12">
        <f t="shared" si="6"/>
        <v>-8.4702907711757258E-2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2</v>
      </c>
      <c r="Q80" s="12">
        <f t="shared" si="8"/>
        <v>0</v>
      </c>
      <c r="R80" s="1">
        <f>VLOOKUP(A:A,MASTER!A:B,2,0)</f>
        <v>757</v>
      </c>
      <c r="S80">
        <f>VLOOKUP(A:A,MASTER!A:G,7,0)</f>
        <v>762</v>
      </c>
      <c r="T80" s="12">
        <f t="shared" si="9"/>
        <v>6.6050198150593431E-3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11491400.052304247</v>
      </c>
      <c r="G81" s="1">
        <f>VLOOKUP(A:A,MASTER!A:K,11,0)</f>
        <v>10714929.701390397</v>
      </c>
      <c r="H81" s="12">
        <f t="shared" si="5"/>
        <v>-6.7569691019342182E-2</v>
      </c>
      <c r="I81" s="2">
        <f>VLOOKUP(A:A,MASTER!A:E,5,0)</f>
        <v>587</v>
      </c>
      <c r="J81" s="2">
        <f>VLOOKUP(A:A,MASTER!A:J,10,0)</f>
        <v>543</v>
      </c>
      <c r="K81" s="12">
        <f t="shared" si="6"/>
        <v>-7.4957410562180526E-2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1</v>
      </c>
      <c r="P81" s="1">
        <f>VLOOKUP(A:A,MASTER!A:H,8,0)</f>
        <v>4</v>
      </c>
      <c r="Q81" s="12">
        <f t="shared" si="8"/>
        <v>3</v>
      </c>
      <c r="R81" s="1">
        <f>VLOOKUP(A:A,MASTER!A:B,2,0)</f>
        <v>566</v>
      </c>
      <c r="S81">
        <f>VLOOKUP(A:A,MASTER!A:G,7,0)</f>
        <v>540</v>
      </c>
      <c r="T81" s="12">
        <f t="shared" si="9"/>
        <v>-4.5936395759717308E-2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48346216.085946538</v>
      </c>
      <c r="G82" s="1">
        <f>VLOOKUP(A:A,MASTER!A:K,11,0)</f>
        <v>58448649.984140679</v>
      </c>
      <c r="H82" s="12">
        <f t="shared" si="5"/>
        <v>0.20896017757076879</v>
      </c>
      <c r="I82" s="2">
        <f>VLOOKUP(A:A,MASTER!A:E,5,0)</f>
        <v>1068</v>
      </c>
      <c r="J82" s="2">
        <f>VLOOKUP(A:A,MASTER!A:J,10,0)</f>
        <v>1408</v>
      </c>
      <c r="K82" s="12">
        <f t="shared" si="6"/>
        <v>0.31835205992509352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2</v>
      </c>
      <c r="P82" s="1">
        <f>VLOOKUP(A:A,MASTER!A:H,8,0)</f>
        <v>2</v>
      </c>
      <c r="Q82" s="12">
        <f t="shared" si="8"/>
        <v>0</v>
      </c>
      <c r="R82" s="1">
        <f>VLOOKUP(A:A,MASTER!A:B,2,0)</f>
        <v>1770</v>
      </c>
      <c r="S82">
        <f>VLOOKUP(A:A,MASTER!A:G,7,0)</f>
        <v>1798</v>
      </c>
      <c r="T82" s="12">
        <f t="shared" si="9"/>
        <v>1.5819209039547921E-2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11404405.748291109</v>
      </c>
      <c r="G83" s="1">
        <f>VLOOKUP(A:A,MASTER!A:K,11,0)</f>
        <v>12978754.33964923</v>
      </c>
      <c r="H83" s="12">
        <f t="shared" si="5"/>
        <v>0.13804740256580494</v>
      </c>
      <c r="I83" s="2">
        <f>VLOOKUP(A:A,MASTER!A:E,5,0)</f>
        <v>606</v>
      </c>
      <c r="J83" s="2">
        <f>VLOOKUP(A:A,MASTER!A:J,10,0)</f>
        <v>739</v>
      </c>
      <c r="K83" s="12">
        <f t="shared" si="6"/>
        <v>0.21947194719471952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567</v>
      </c>
      <c r="S83">
        <f>VLOOKUP(A:A,MASTER!A:G,7,0)</f>
        <v>630</v>
      </c>
      <c r="T83" s="12">
        <f t="shared" si="9"/>
        <v>0.11111111111111116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21469701.985500403</v>
      </c>
      <c r="G84" s="1">
        <f>VLOOKUP(A:A,MASTER!A:K,11,0)</f>
        <v>23423151.156611502</v>
      </c>
      <c r="H84" s="12">
        <f t="shared" si="5"/>
        <v>9.0986319811535488E-2</v>
      </c>
      <c r="I84" s="2">
        <f>VLOOKUP(A:A,MASTER!A:E,5,0)</f>
        <v>569</v>
      </c>
      <c r="J84" s="2">
        <f>VLOOKUP(A:A,MASTER!A:J,10,0)</f>
        <v>741</v>
      </c>
      <c r="K84" s="12">
        <f t="shared" si="6"/>
        <v>0.30228471001757473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4</v>
      </c>
      <c r="P84" s="1">
        <f>VLOOKUP(A:A,MASTER!A:H,8,0)</f>
        <v>5</v>
      </c>
      <c r="Q84" s="12">
        <f t="shared" si="8"/>
        <v>0.25</v>
      </c>
      <c r="R84" s="1">
        <f>VLOOKUP(A:A,MASTER!A:B,2,0)</f>
        <v>646</v>
      </c>
      <c r="S84">
        <f>VLOOKUP(A:A,MASTER!A:G,7,0)</f>
        <v>680</v>
      </c>
      <c r="T84" s="12">
        <f t="shared" si="9"/>
        <v>5.2631578947368363E-2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5260642.5641915696</v>
      </c>
      <c r="G85" s="1">
        <f>VLOOKUP(A:A,MASTER!A:K,11,0)</f>
        <v>4319308.1950398814</v>
      </c>
      <c r="H85" s="12">
        <f t="shared" si="5"/>
        <v>-0.17893904740063782</v>
      </c>
      <c r="I85" s="2">
        <f>VLOOKUP(A:A,MASTER!A:E,5,0)</f>
        <v>296</v>
      </c>
      <c r="J85" s="2">
        <f>VLOOKUP(A:A,MASTER!A:J,10,0)</f>
        <v>183</v>
      </c>
      <c r="K85" s="12">
        <f t="shared" si="6"/>
        <v>-0.3817567567567568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353</v>
      </c>
      <c r="S85">
        <f>VLOOKUP(A:A,MASTER!A:G,7,0)</f>
        <v>374</v>
      </c>
      <c r="T85" s="12">
        <f t="shared" si="9"/>
        <v>5.9490084985835745E-2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84549</v>
      </c>
      <c r="C3" s="11">
        <f t="shared" si="0"/>
        <v>1079</v>
      </c>
      <c r="D3" s="11">
        <f t="shared" si="0"/>
        <v>318</v>
      </c>
      <c r="E3" s="11">
        <f t="shared" si="0"/>
        <v>69895</v>
      </c>
      <c r="F3" s="11">
        <f t="shared" si="0"/>
        <v>2236113285.2862201</v>
      </c>
      <c r="G3" s="11">
        <f t="shared" si="0"/>
        <v>84637</v>
      </c>
      <c r="H3" s="11">
        <f t="shared" si="0"/>
        <v>1539</v>
      </c>
      <c r="I3" s="11">
        <f t="shared" si="0"/>
        <v>319</v>
      </c>
      <c r="J3" s="11">
        <f t="shared" si="0"/>
        <v>71296</v>
      </c>
      <c r="K3" s="11">
        <f t="shared" si="0"/>
        <v>2327481078.9661198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414</v>
      </c>
      <c r="C6" s="10">
        <v>0</v>
      </c>
      <c r="D6" s="10">
        <v>2</v>
      </c>
      <c r="E6" s="10">
        <v>430</v>
      </c>
      <c r="F6" s="10">
        <v>10031059.186713256</v>
      </c>
      <c r="G6" s="10">
        <v>432</v>
      </c>
      <c r="H6" s="10">
        <v>1</v>
      </c>
      <c r="I6" s="10">
        <v>2</v>
      </c>
      <c r="J6" s="10">
        <v>332</v>
      </c>
      <c r="K6" s="10">
        <v>10451748.424652403</v>
      </c>
    </row>
    <row r="7" spans="1:11" x14ac:dyDescent="0.35">
      <c r="A7" s="9" t="s">
        <v>127</v>
      </c>
      <c r="B7" s="10">
        <v>639</v>
      </c>
      <c r="C7" s="10">
        <v>4</v>
      </c>
      <c r="D7" s="10">
        <v>3</v>
      </c>
      <c r="E7" s="10">
        <v>544</v>
      </c>
      <c r="F7" s="10">
        <v>11847668.973308677</v>
      </c>
      <c r="G7" s="10">
        <v>555</v>
      </c>
      <c r="H7" s="10">
        <v>6</v>
      </c>
      <c r="I7" s="10">
        <v>3</v>
      </c>
      <c r="J7" s="10">
        <v>592</v>
      </c>
      <c r="K7" s="10">
        <v>11365040.339451777</v>
      </c>
    </row>
    <row r="8" spans="1:11" x14ac:dyDescent="0.35">
      <c r="A8" s="9" t="s">
        <v>119</v>
      </c>
      <c r="B8" s="10">
        <v>756</v>
      </c>
      <c r="C8" s="10">
        <v>6</v>
      </c>
      <c r="D8" s="10">
        <v>1</v>
      </c>
      <c r="E8" s="10">
        <v>803</v>
      </c>
      <c r="F8" s="10">
        <v>15693282.493840273</v>
      </c>
      <c r="G8" s="10">
        <v>767</v>
      </c>
      <c r="H8" s="10">
        <v>4</v>
      </c>
      <c r="I8" s="10">
        <v>1</v>
      </c>
      <c r="J8" s="10">
        <v>307</v>
      </c>
      <c r="K8" s="10">
        <v>13027212.983451417</v>
      </c>
    </row>
    <row r="9" spans="1:11" x14ac:dyDescent="0.35">
      <c r="A9" s="9" t="s">
        <v>121</v>
      </c>
      <c r="B9" s="10">
        <v>1206</v>
      </c>
      <c r="C9" s="10">
        <v>5</v>
      </c>
      <c r="D9" s="10">
        <v>4</v>
      </c>
      <c r="E9" s="10">
        <v>1123</v>
      </c>
      <c r="F9" s="10">
        <v>25636221.356210988</v>
      </c>
      <c r="G9" s="10">
        <v>1222</v>
      </c>
      <c r="H9" s="10">
        <v>8</v>
      </c>
      <c r="I9" s="10">
        <v>2</v>
      </c>
      <c r="J9" s="10">
        <v>955</v>
      </c>
      <c r="K9" s="10">
        <v>27343918.425037589</v>
      </c>
    </row>
    <row r="10" spans="1:11" x14ac:dyDescent="0.35">
      <c r="A10" s="9" t="s">
        <v>123</v>
      </c>
      <c r="B10" s="10">
        <v>411</v>
      </c>
      <c r="C10" s="10">
        <v>1</v>
      </c>
      <c r="D10" s="10">
        <v>1</v>
      </c>
      <c r="E10" s="10">
        <v>377</v>
      </c>
      <c r="F10" s="10">
        <v>11567766.085140552</v>
      </c>
      <c r="G10" s="10">
        <v>392</v>
      </c>
      <c r="H10" s="10">
        <v>4</v>
      </c>
      <c r="I10" s="10">
        <v>1</v>
      </c>
      <c r="J10" s="10">
        <v>369</v>
      </c>
      <c r="K10" s="10">
        <v>12437976.728047604</v>
      </c>
    </row>
    <row r="11" spans="1:11" x14ac:dyDescent="0.35">
      <c r="A11" s="9" t="s">
        <v>125</v>
      </c>
      <c r="B11" s="10">
        <v>381</v>
      </c>
      <c r="C11" s="10">
        <v>3</v>
      </c>
      <c r="D11" s="10">
        <v>2</v>
      </c>
      <c r="E11" s="10">
        <v>280</v>
      </c>
      <c r="F11" s="10">
        <v>9574246.6887910403</v>
      </c>
      <c r="G11" s="10">
        <v>374</v>
      </c>
      <c r="H11" s="10">
        <v>2</v>
      </c>
      <c r="I11" s="10">
        <v>2</v>
      </c>
      <c r="J11" s="10">
        <v>276</v>
      </c>
      <c r="K11" s="10">
        <v>7884637.3578127623</v>
      </c>
    </row>
    <row r="12" spans="1:11" x14ac:dyDescent="0.35">
      <c r="A12" s="9" t="s">
        <v>131</v>
      </c>
      <c r="B12" s="10">
        <v>595</v>
      </c>
      <c r="C12" s="10">
        <v>2</v>
      </c>
      <c r="D12" s="10">
        <v>3</v>
      </c>
      <c r="E12" s="10">
        <v>516</v>
      </c>
      <c r="F12" s="10">
        <v>11358396.529773155</v>
      </c>
      <c r="G12" s="10">
        <v>635</v>
      </c>
      <c r="H12" s="10">
        <v>5</v>
      </c>
      <c r="I12" s="10">
        <v>0</v>
      </c>
      <c r="J12" s="10">
        <v>461</v>
      </c>
      <c r="K12" s="10">
        <v>11563533.990490887</v>
      </c>
    </row>
    <row r="13" spans="1:11" x14ac:dyDescent="0.35">
      <c r="A13" s="9" t="s">
        <v>133</v>
      </c>
      <c r="B13" s="10">
        <v>168</v>
      </c>
      <c r="C13" s="10">
        <v>0</v>
      </c>
      <c r="D13" s="10">
        <v>1</v>
      </c>
      <c r="E13" s="10">
        <v>126</v>
      </c>
      <c r="F13" s="10">
        <v>5043289.1807349501</v>
      </c>
      <c r="G13" s="10">
        <v>176</v>
      </c>
      <c r="H13" s="10">
        <v>0</v>
      </c>
      <c r="I13" s="10">
        <v>1</v>
      </c>
      <c r="J13" s="10">
        <v>122</v>
      </c>
      <c r="K13" s="10">
        <v>5164313.8401981639</v>
      </c>
    </row>
    <row r="14" spans="1:11" x14ac:dyDescent="0.35">
      <c r="A14" s="9" t="s">
        <v>141</v>
      </c>
      <c r="B14" s="10">
        <v>186</v>
      </c>
      <c r="C14" s="10">
        <v>1</v>
      </c>
      <c r="D14" s="10">
        <v>1</v>
      </c>
      <c r="E14" s="10">
        <v>236</v>
      </c>
      <c r="F14" s="10">
        <v>1745372.714907849</v>
      </c>
      <c r="G14" s="10">
        <v>209</v>
      </c>
      <c r="H14" s="10">
        <v>0</v>
      </c>
      <c r="I14" s="10">
        <v>1</v>
      </c>
      <c r="J14" s="10">
        <v>160</v>
      </c>
      <c r="K14" s="10">
        <v>5210121.033227575</v>
      </c>
    </row>
    <row r="15" spans="1:11" x14ac:dyDescent="0.35">
      <c r="A15" s="9" t="s">
        <v>135</v>
      </c>
      <c r="B15" s="10">
        <v>376</v>
      </c>
      <c r="C15" s="10">
        <v>1</v>
      </c>
      <c r="D15" s="10">
        <v>1</v>
      </c>
      <c r="E15" s="10">
        <v>375</v>
      </c>
      <c r="F15" s="10">
        <v>10047490.355405016</v>
      </c>
      <c r="G15" s="10">
        <v>357</v>
      </c>
      <c r="H15" s="10">
        <v>5</v>
      </c>
      <c r="I15" s="10">
        <v>1</v>
      </c>
      <c r="J15" s="10">
        <v>376</v>
      </c>
      <c r="K15" s="10">
        <v>9232093.1963549405</v>
      </c>
    </row>
    <row r="16" spans="1:11" x14ac:dyDescent="0.35">
      <c r="A16" s="9" t="s">
        <v>143</v>
      </c>
      <c r="B16" s="10">
        <v>218</v>
      </c>
      <c r="C16" s="10">
        <v>0</v>
      </c>
      <c r="D16" s="10">
        <v>2</v>
      </c>
      <c r="E16" s="10">
        <v>289</v>
      </c>
      <c r="F16" s="10">
        <v>4958031.3880373193</v>
      </c>
      <c r="G16" s="10">
        <v>237</v>
      </c>
      <c r="H16" s="10">
        <v>1</v>
      </c>
      <c r="I16" s="10">
        <v>2</v>
      </c>
      <c r="J16" s="10">
        <v>217</v>
      </c>
      <c r="K16" s="10">
        <v>4506119.9493312472</v>
      </c>
    </row>
    <row r="17" spans="1:11" x14ac:dyDescent="0.35">
      <c r="A17" s="9" t="s">
        <v>145</v>
      </c>
      <c r="B17" s="10">
        <v>250</v>
      </c>
      <c r="C17" s="10">
        <v>1</v>
      </c>
      <c r="D17" s="10">
        <v>2</v>
      </c>
      <c r="E17" s="10">
        <v>250</v>
      </c>
      <c r="F17" s="10">
        <v>5380823.6863983767</v>
      </c>
      <c r="G17" s="10">
        <v>236</v>
      </c>
      <c r="H17" s="10">
        <v>0</v>
      </c>
      <c r="I17" s="10">
        <v>0</v>
      </c>
      <c r="J17" s="10">
        <v>231</v>
      </c>
      <c r="K17" s="10">
        <v>5726064.83562293</v>
      </c>
    </row>
    <row r="18" spans="1:11" x14ac:dyDescent="0.35">
      <c r="A18" s="9" t="s">
        <v>20</v>
      </c>
      <c r="B18" s="10">
        <v>1435</v>
      </c>
      <c r="C18" s="10">
        <v>3</v>
      </c>
      <c r="D18" s="10">
        <v>3</v>
      </c>
      <c r="E18" s="10">
        <v>1023</v>
      </c>
      <c r="F18" s="10">
        <v>21396343.684887961</v>
      </c>
      <c r="G18" s="10">
        <v>1397</v>
      </c>
      <c r="H18" s="10">
        <v>8</v>
      </c>
      <c r="I18" s="10">
        <v>5</v>
      </c>
      <c r="J18" s="10">
        <v>1239</v>
      </c>
      <c r="K18" s="10">
        <v>30850756.8154644</v>
      </c>
    </row>
    <row r="19" spans="1:11" x14ac:dyDescent="0.35">
      <c r="A19" s="9" t="s">
        <v>45</v>
      </c>
      <c r="B19" s="10">
        <v>1241</v>
      </c>
      <c r="C19" s="10">
        <v>1</v>
      </c>
      <c r="D19" s="10">
        <v>3</v>
      </c>
      <c r="E19" s="10">
        <v>888</v>
      </c>
      <c r="F19" s="10">
        <v>37588029.534986168</v>
      </c>
      <c r="G19" s="10">
        <v>1252</v>
      </c>
      <c r="H19" s="10">
        <v>0</v>
      </c>
      <c r="I19" s="10">
        <v>2</v>
      </c>
      <c r="J19" s="10">
        <v>934</v>
      </c>
      <c r="K19" s="10">
        <v>43478586.493676245</v>
      </c>
    </row>
    <row r="20" spans="1:11" x14ac:dyDescent="0.35">
      <c r="A20" s="9" t="s">
        <v>47</v>
      </c>
      <c r="B20" s="10">
        <v>1028</v>
      </c>
      <c r="C20" s="10">
        <v>3</v>
      </c>
      <c r="D20" s="10">
        <v>5</v>
      </c>
      <c r="E20" s="10">
        <v>1135</v>
      </c>
      <c r="F20" s="10">
        <v>21212507.702614099</v>
      </c>
      <c r="G20" s="10">
        <v>1015</v>
      </c>
      <c r="H20" s="10">
        <v>5</v>
      </c>
      <c r="I20" s="10">
        <v>5</v>
      </c>
      <c r="J20" s="10">
        <v>964</v>
      </c>
      <c r="K20" s="10">
        <v>21010450.610085927</v>
      </c>
    </row>
    <row r="21" spans="1:11" x14ac:dyDescent="0.35">
      <c r="A21" s="9" t="s">
        <v>49</v>
      </c>
      <c r="B21" s="10">
        <v>914</v>
      </c>
      <c r="C21" s="10">
        <v>4</v>
      </c>
      <c r="D21" s="10">
        <v>3</v>
      </c>
      <c r="E21" s="10">
        <v>659</v>
      </c>
      <c r="F21" s="10">
        <v>16152779.022945462</v>
      </c>
      <c r="G21" s="10">
        <v>915</v>
      </c>
      <c r="H21" s="10">
        <v>1</v>
      </c>
      <c r="I21" s="10">
        <v>4</v>
      </c>
      <c r="J21" s="10">
        <v>767</v>
      </c>
      <c r="K21" s="10">
        <v>20384337.964686051</v>
      </c>
    </row>
    <row r="22" spans="1:11" x14ac:dyDescent="0.35">
      <c r="A22" s="9" t="s">
        <v>51</v>
      </c>
      <c r="B22" s="10">
        <v>2824</v>
      </c>
      <c r="C22" s="10">
        <v>176</v>
      </c>
      <c r="D22" s="10">
        <v>10</v>
      </c>
      <c r="E22" s="10">
        <v>2030</v>
      </c>
      <c r="F22" s="10">
        <v>77653874.701062784</v>
      </c>
      <c r="G22" s="10">
        <v>2756</v>
      </c>
      <c r="H22" s="10">
        <v>117</v>
      </c>
      <c r="I22" s="10">
        <v>12</v>
      </c>
      <c r="J22" s="10">
        <v>2196</v>
      </c>
      <c r="K22" s="10">
        <v>73261977.766638085</v>
      </c>
    </row>
    <row r="23" spans="1:11" x14ac:dyDescent="0.35">
      <c r="A23" s="9" t="s">
        <v>53</v>
      </c>
      <c r="B23" s="10">
        <v>1377</v>
      </c>
      <c r="C23" s="10">
        <v>5</v>
      </c>
      <c r="D23" s="10">
        <v>1</v>
      </c>
      <c r="E23" s="10">
        <v>1147</v>
      </c>
      <c r="F23" s="10">
        <v>20823267.672696736</v>
      </c>
      <c r="G23" s="10">
        <v>1363</v>
      </c>
      <c r="H23" s="10">
        <v>5</v>
      </c>
      <c r="I23" s="10">
        <v>2</v>
      </c>
      <c r="J23" s="10">
        <v>1218</v>
      </c>
      <c r="K23" s="10">
        <v>38461930.24138011</v>
      </c>
    </row>
    <row r="24" spans="1:11" x14ac:dyDescent="0.35">
      <c r="A24" s="9" t="s">
        <v>55</v>
      </c>
      <c r="B24" s="10">
        <v>2957</v>
      </c>
      <c r="C24" s="10">
        <v>16</v>
      </c>
      <c r="D24" s="10">
        <v>10</v>
      </c>
      <c r="E24" s="10">
        <v>2154</v>
      </c>
      <c r="F24" s="10">
        <v>78189279.719223753</v>
      </c>
      <c r="G24" s="10">
        <v>2776</v>
      </c>
      <c r="H24" s="10">
        <v>5</v>
      </c>
      <c r="I24" s="10">
        <v>10</v>
      </c>
      <c r="J24" s="10">
        <v>2185</v>
      </c>
      <c r="K24" s="10">
        <v>68713287.365769863</v>
      </c>
    </row>
    <row r="25" spans="1:11" x14ac:dyDescent="0.35">
      <c r="A25" s="9" t="s">
        <v>67</v>
      </c>
      <c r="B25" s="10">
        <v>533</v>
      </c>
      <c r="C25" s="10">
        <v>4</v>
      </c>
      <c r="D25" s="10">
        <v>1</v>
      </c>
      <c r="E25" s="10">
        <v>453</v>
      </c>
      <c r="F25" s="10">
        <v>11618026.828046735</v>
      </c>
      <c r="G25" s="10">
        <v>516</v>
      </c>
      <c r="H25" s="10">
        <v>2</v>
      </c>
      <c r="I25" s="10">
        <v>1</v>
      </c>
      <c r="J25" s="10">
        <v>398</v>
      </c>
      <c r="K25" s="10">
        <v>10481400.58186681</v>
      </c>
    </row>
    <row r="26" spans="1:11" x14ac:dyDescent="0.35">
      <c r="A26" s="9" t="s">
        <v>74</v>
      </c>
      <c r="B26" s="10">
        <v>1714</v>
      </c>
      <c r="C26" s="10">
        <v>17</v>
      </c>
      <c r="D26" s="10">
        <v>1</v>
      </c>
      <c r="E26" s="10">
        <v>1279</v>
      </c>
      <c r="F26" s="10">
        <v>31902604.980764087</v>
      </c>
      <c r="G26" s="10">
        <v>1744</v>
      </c>
      <c r="H26" s="10">
        <v>16</v>
      </c>
      <c r="I26" s="10">
        <v>1</v>
      </c>
      <c r="J26" s="10">
        <v>1573</v>
      </c>
      <c r="K26" s="10">
        <v>29385357.135773905</v>
      </c>
    </row>
    <row r="27" spans="1:11" x14ac:dyDescent="0.35">
      <c r="A27" s="9" t="s">
        <v>70</v>
      </c>
      <c r="B27" s="10">
        <v>880</v>
      </c>
      <c r="C27" s="10">
        <v>10</v>
      </c>
      <c r="D27" s="10">
        <v>1</v>
      </c>
      <c r="E27" s="10">
        <v>894</v>
      </c>
      <c r="F27" s="10">
        <v>12991656.7694692</v>
      </c>
      <c r="G27" s="10">
        <v>839</v>
      </c>
      <c r="H27" s="10">
        <v>6</v>
      </c>
      <c r="I27" s="10">
        <v>0</v>
      </c>
      <c r="J27" s="10">
        <v>843</v>
      </c>
      <c r="K27" s="10">
        <v>12337413.658601355</v>
      </c>
    </row>
    <row r="28" spans="1:11" x14ac:dyDescent="0.35">
      <c r="A28" s="9" t="s">
        <v>72</v>
      </c>
      <c r="B28" s="10">
        <v>884</v>
      </c>
      <c r="C28" s="10">
        <v>5</v>
      </c>
      <c r="D28" s="10">
        <v>1</v>
      </c>
      <c r="E28" s="10">
        <v>871</v>
      </c>
      <c r="F28" s="10">
        <v>16148057.481919851</v>
      </c>
      <c r="G28" s="10">
        <v>877</v>
      </c>
      <c r="H28" s="10">
        <v>3</v>
      </c>
      <c r="I28" s="10">
        <v>0</v>
      </c>
      <c r="J28" s="10">
        <v>783</v>
      </c>
      <c r="K28" s="10">
        <v>15970386.192980677</v>
      </c>
    </row>
    <row r="29" spans="1:11" x14ac:dyDescent="0.35">
      <c r="A29" s="9" t="s">
        <v>79</v>
      </c>
      <c r="B29" s="10">
        <v>224</v>
      </c>
      <c r="C29" s="10">
        <v>1</v>
      </c>
      <c r="D29" s="10">
        <v>2</v>
      </c>
      <c r="E29" s="10">
        <v>178</v>
      </c>
      <c r="F29" s="10">
        <v>3545079.2402608488</v>
      </c>
      <c r="G29" s="10">
        <v>219</v>
      </c>
      <c r="H29" s="10">
        <v>1</v>
      </c>
      <c r="I29" s="10">
        <v>0</v>
      </c>
      <c r="J29" s="10">
        <v>166</v>
      </c>
      <c r="K29" s="10">
        <v>4033521.2907017982</v>
      </c>
    </row>
    <row r="30" spans="1:11" x14ac:dyDescent="0.35">
      <c r="A30" s="9" t="s">
        <v>109</v>
      </c>
      <c r="B30" s="10">
        <v>1647</v>
      </c>
      <c r="C30" s="10">
        <v>10</v>
      </c>
      <c r="D30" s="10">
        <v>5</v>
      </c>
      <c r="E30" s="10">
        <v>1456</v>
      </c>
      <c r="F30" s="10">
        <v>30369760.083999842</v>
      </c>
      <c r="G30" s="10">
        <v>1651</v>
      </c>
      <c r="H30" s="10">
        <v>3</v>
      </c>
      <c r="I30" s="10">
        <v>6</v>
      </c>
      <c r="J30" s="10">
        <v>1431</v>
      </c>
      <c r="K30" s="10">
        <v>30813505.786671042</v>
      </c>
    </row>
    <row r="31" spans="1:11" x14ac:dyDescent="0.35">
      <c r="A31" s="9" t="s">
        <v>111</v>
      </c>
      <c r="B31" s="10">
        <v>875</v>
      </c>
      <c r="C31" s="10">
        <v>2</v>
      </c>
      <c r="D31" s="10">
        <v>1</v>
      </c>
      <c r="E31" s="10">
        <v>683</v>
      </c>
      <c r="F31" s="10">
        <v>25130828.725072499</v>
      </c>
      <c r="G31" s="10">
        <v>895</v>
      </c>
      <c r="H31" s="10">
        <v>3</v>
      </c>
      <c r="I31" s="10">
        <v>1</v>
      </c>
      <c r="J31" s="10">
        <v>680</v>
      </c>
      <c r="K31" s="10">
        <v>27992379.158031393</v>
      </c>
    </row>
    <row r="32" spans="1:11" x14ac:dyDescent="0.35">
      <c r="A32" s="9" t="s">
        <v>113</v>
      </c>
      <c r="B32" s="10">
        <v>1052</v>
      </c>
      <c r="C32" s="10">
        <v>2</v>
      </c>
      <c r="D32" s="10">
        <v>2</v>
      </c>
      <c r="E32" s="10">
        <v>813</v>
      </c>
      <c r="F32" s="10">
        <v>24348017.987532649</v>
      </c>
      <c r="G32" s="10">
        <v>1013</v>
      </c>
      <c r="H32" s="10">
        <v>1</v>
      </c>
      <c r="I32" s="10">
        <v>3</v>
      </c>
      <c r="J32" s="10">
        <v>915</v>
      </c>
      <c r="K32" s="10">
        <v>27339018.879904401</v>
      </c>
    </row>
    <row r="33" spans="1:11" x14ac:dyDescent="0.35">
      <c r="A33" s="9" t="s">
        <v>115</v>
      </c>
      <c r="B33" s="10">
        <v>1124</v>
      </c>
      <c r="C33" s="10">
        <v>3</v>
      </c>
      <c r="D33" s="10">
        <v>2</v>
      </c>
      <c r="E33" s="10">
        <v>865</v>
      </c>
      <c r="F33" s="10">
        <v>33287094.194697849</v>
      </c>
      <c r="G33" s="10">
        <v>1140</v>
      </c>
      <c r="H33" s="10">
        <v>2</v>
      </c>
      <c r="I33" s="10">
        <v>3</v>
      </c>
      <c r="J33" s="10">
        <v>804</v>
      </c>
      <c r="K33" s="10">
        <v>33866219.070671238</v>
      </c>
    </row>
    <row r="34" spans="1:11" x14ac:dyDescent="0.35">
      <c r="A34" s="9" t="s">
        <v>16</v>
      </c>
      <c r="B34" s="10">
        <v>1453</v>
      </c>
      <c r="C34" s="10">
        <v>4</v>
      </c>
      <c r="D34" s="10">
        <v>4</v>
      </c>
      <c r="E34" s="10">
        <v>1108</v>
      </c>
      <c r="F34" s="10">
        <v>46940123.260832466</v>
      </c>
      <c r="G34" s="10">
        <v>1453</v>
      </c>
      <c r="H34" s="10">
        <v>4</v>
      </c>
      <c r="I34" s="10">
        <v>2</v>
      </c>
      <c r="J34" s="10">
        <v>1214</v>
      </c>
      <c r="K34" s="10">
        <v>48286581.885638237</v>
      </c>
    </row>
    <row r="35" spans="1:11" x14ac:dyDescent="0.35">
      <c r="A35" s="9" t="s">
        <v>18</v>
      </c>
      <c r="B35" s="10">
        <v>685</v>
      </c>
      <c r="C35" s="10">
        <v>1</v>
      </c>
      <c r="D35" s="10">
        <v>5</v>
      </c>
      <c r="E35" s="10">
        <v>566</v>
      </c>
      <c r="F35" s="10">
        <v>19339477.823665723</v>
      </c>
      <c r="G35" s="10">
        <v>679</v>
      </c>
      <c r="H35" s="10">
        <v>4</v>
      </c>
      <c r="I35" s="10">
        <v>5</v>
      </c>
      <c r="J35" s="10">
        <v>577</v>
      </c>
      <c r="K35" s="10">
        <v>19612777.992599472</v>
      </c>
    </row>
    <row r="36" spans="1:11" x14ac:dyDescent="0.35">
      <c r="A36" s="9" t="s">
        <v>43</v>
      </c>
      <c r="B36" s="10">
        <v>1906</v>
      </c>
      <c r="C36" s="10">
        <v>6</v>
      </c>
      <c r="D36" s="10">
        <v>9</v>
      </c>
      <c r="E36" s="10">
        <v>985</v>
      </c>
      <c r="F36" s="10">
        <v>46678468.479174599</v>
      </c>
      <c r="G36" s="10">
        <v>1856</v>
      </c>
      <c r="H36" s="10">
        <v>3</v>
      </c>
      <c r="I36" s="10">
        <v>7</v>
      </c>
      <c r="J36" s="10">
        <v>1632</v>
      </c>
      <c r="K36" s="10">
        <v>39716345.829926766</v>
      </c>
    </row>
    <row r="37" spans="1:11" x14ac:dyDescent="0.35">
      <c r="A37" s="9" t="s">
        <v>152</v>
      </c>
      <c r="B37" s="10">
        <v>855</v>
      </c>
      <c r="C37" s="10">
        <v>2</v>
      </c>
      <c r="D37" s="10">
        <v>2</v>
      </c>
      <c r="E37" s="10">
        <v>673</v>
      </c>
      <c r="F37" s="10">
        <v>19600077.597591951</v>
      </c>
      <c r="G37" s="10">
        <v>847</v>
      </c>
      <c r="H37" s="10">
        <v>2</v>
      </c>
      <c r="I37" s="10">
        <v>2</v>
      </c>
      <c r="J37" s="10">
        <v>698</v>
      </c>
      <c r="K37" s="10">
        <v>19603837.280351806</v>
      </c>
    </row>
    <row r="38" spans="1:11" x14ac:dyDescent="0.35">
      <c r="A38" s="9" t="s">
        <v>149</v>
      </c>
      <c r="B38" s="10">
        <v>746</v>
      </c>
      <c r="C38" s="10">
        <v>2</v>
      </c>
      <c r="D38" s="10">
        <v>1</v>
      </c>
      <c r="E38" s="10">
        <v>458</v>
      </c>
      <c r="F38" s="10">
        <v>18503531.759908363</v>
      </c>
      <c r="G38" s="10">
        <v>731</v>
      </c>
      <c r="H38" s="10">
        <v>1</v>
      </c>
      <c r="I38" s="10">
        <v>1</v>
      </c>
      <c r="J38" s="10">
        <v>582</v>
      </c>
      <c r="K38" s="10">
        <v>17848929.749518771</v>
      </c>
    </row>
    <row r="39" spans="1:11" x14ac:dyDescent="0.35">
      <c r="A39" s="9" t="s">
        <v>154</v>
      </c>
      <c r="B39" s="10">
        <v>1158</v>
      </c>
      <c r="C39" s="10">
        <v>15</v>
      </c>
      <c r="D39" s="10">
        <v>1</v>
      </c>
      <c r="E39" s="10">
        <v>837</v>
      </c>
      <c r="F39" s="10">
        <v>27886563.921537865</v>
      </c>
      <c r="G39" s="10">
        <v>1195</v>
      </c>
      <c r="H39" s="10">
        <v>6</v>
      </c>
      <c r="I39" s="10">
        <v>2</v>
      </c>
      <c r="J39" s="10">
        <v>896</v>
      </c>
      <c r="K39" s="10">
        <v>31244315.963416766</v>
      </c>
    </row>
    <row r="40" spans="1:11" x14ac:dyDescent="0.35">
      <c r="A40" s="9" t="s">
        <v>2</v>
      </c>
      <c r="B40" s="10">
        <v>1315</v>
      </c>
      <c r="C40" s="10">
        <v>120</v>
      </c>
      <c r="D40" s="10">
        <v>1</v>
      </c>
      <c r="E40" s="10">
        <v>806</v>
      </c>
      <c r="F40" s="10">
        <v>25980146.357264768</v>
      </c>
      <c r="G40" s="10">
        <v>1368</v>
      </c>
      <c r="H40" s="10">
        <v>318</v>
      </c>
      <c r="I40" s="10">
        <v>1</v>
      </c>
      <c r="J40" s="10">
        <v>926</v>
      </c>
      <c r="K40" s="10">
        <v>28569315.557240028</v>
      </c>
    </row>
    <row r="41" spans="1:11" x14ac:dyDescent="0.35">
      <c r="A41" s="9" t="s">
        <v>156</v>
      </c>
      <c r="B41" s="10">
        <v>2319</v>
      </c>
      <c r="C41" s="10">
        <v>70</v>
      </c>
      <c r="D41" s="10">
        <v>5</v>
      </c>
      <c r="E41" s="10">
        <v>1627</v>
      </c>
      <c r="F41" s="10">
        <v>47828167.354593977</v>
      </c>
      <c r="G41" s="10">
        <v>2231</v>
      </c>
      <c r="H41" s="10">
        <v>238</v>
      </c>
      <c r="I41" s="10">
        <v>5</v>
      </c>
      <c r="J41" s="10">
        <v>1348</v>
      </c>
      <c r="K41" s="10">
        <v>47327626.983007781</v>
      </c>
    </row>
    <row r="42" spans="1:11" x14ac:dyDescent="0.35">
      <c r="A42" s="9" t="s">
        <v>14</v>
      </c>
      <c r="B42" s="10">
        <v>624</v>
      </c>
      <c r="C42" s="10">
        <v>1</v>
      </c>
      <c r="D42" s="10">
        <v>6</v>
      </c>
      <c r="E42" s="10">
        <v>485</v>
      </c>
      <c r="F42" s="10">
        <v>17239734.609239098</v>
      </c>
      <c r="G42" s="10">
        <v>586</v>
      </c>
      <c r="H42" s="10">
        <v>4</v>
      </c>
      <c r="I42" s="10">
        <v>7</v>
      </c>
      <c r="J42" s="10">
        <v>456</v>
      </c>
      <c r="K42" s="10">
        <v>17601943.18951926</v>
      </c>
    </row>
    <row r="43" spans="1:11" x14ac:dyDescent="0.35">
      <c r="A43" s="9" t="s">
        <v>8</v>
      </c>
      <c r="B43" s="10">
        <v>2060</v>
      </c>
      <c r="C43" s="10">
        <v>3</v>
      </c>
      <c r="D43" s="10">
        <v>6</v>
      </c>
      <c r="E43" s="10">
        <v>1813</v>
      </c>
      <c r="F43" s="10">
        <v>55863457.338151634</v>
      </c>
      <c r="G43" s="10">
        <v>2037</v>
      </c>
      <c r="H43" s="10">
        <v>4</v>
      </c>
      <c r="I43" s="10">
        <v>5</v>
      </c>
      <c r="J43" s="10">
        <v>1899</v>
      </c>
      <c r="K43" s="10">
        <v>53820568.949218951</v>
      </c>
    </row>
    <row r="44" spans="1:11" x14ac:dyDescent="0.35">
      <c r="A44" s="9" t="s">
        <v>39</v>
      </c>
      <c r="B44" s="10">
        <v>903</v>
      </c>
      <c r="C44" s="10">
        <v>3</v>
      </c>
      <c r="D44" s="10">
        <v>4</v>
      </c>
      <c r="E44" s="10">
        <v>1214</v>
      </c>
      <c r="F44" s="10">
        <v>38794693.14317365</v>
      </c>
      <c r="G44" s="10">
        <v>934</v>
      </c>
      <c r="H44" s="10">
        <v>6</v>
      </c>
      <c r="I44" s="10">
        <v>4</v>
      </c>
      <c r="J44" s="10">
        <v>879</v>
      </c>
      <c r="K44" s="10">
        <v>42105567.733273089</v>
      </c>
    </row>
    <row r="45" spans="1:11" x14ac:dyDescent="0.35">
      <c r="A45" s="9" t="s">
        <v>6</v>
      </c>
      <c r="B45" s="10">
        <v>1088</v>
      </c>
      <c r="C45" s="10">
        <v>4</v>
      </c>
      <c r="D45" s="10">
        <v>3</v>
      </c>
      <c r="E45" s="10">
        <v>936</v>
      </c>
      <c r="F45" s="10">
        <v>21326951.017018501</v>
      </c>
      <c r="G45" s="10">
        <v>1066</v>
      </c>
      <c r="H45" s="10">
        <v>6</v>
      </c>
      <c r="I45" s="10">
        <v>3</v>
      </c>
      <c r="J45" s="10">
        <v>981</v>
      </c>
      <c r="K45" s="10">
        <v>29772505.600011189</v>
      </c>
    </row>
    <row r="46" spans="1:11" x14ac:dyDescent="0.35">
      <c r="A46" s="9" t="s">
        <v>41</v>
      </c>
      <c r="B46" s="10">
        <v>833</v>
      </c>
      <c r="C46" s="10">
        <v>5</v>
      </c>
      <c r="D46" s="10">
        <v>4</v>
      </c>
      <c r="E46" s="10">
        <v>564</v>
      </c>
      <c r="F46" s="10">
        <v>28987672.484540347</v>
      </c>
      <c r="G46" s="10">
        <v>832</v>
      </c>
      <c r="H46" s="10">
        <v>2</v>
      </c>
      <c r="I46" s="10">
        <v>5</v>
      </c>
      <c r="J46" s="10">
        <v>653</v>
      </c>
      <c r="K46" s="10">
        <v>30625362.113111999</v>
      </c>
    </row>
    <row r="47" spans="1:11" x14ac:dyDescent="0.35">
      <c r="A47" s="9" t="s">
        <v>158</v>
      </c>
      <c r="B47" s="10">
        <v>693</v>
      </c>
      <c r="C47" s="10">
        <v>2</v>
      </c>
      <c r="D47" s="10">
        <v>10</v>
      </c>
      <c r="E47" s="10">
        <v>1046</v>
      </c>
      <c r="F47" s="10">
        <v>18797706.720624097</v>
      </c>
      <c r="G47" s="10">
        <v>717</v>
      </c>
      <c r="H47" s="10">
        <v>0</v>
      </c>
      <c r="I47" s="10">
        <v>9</v>
      </c>
      <c r="J47" s="10">
        <v>577</v>
      </c>
      <c r="K47" s="10">
        <v>18111709.274998784</v>
      </c>
    </row>
    <row r="48" spans="1:11" x14ac:dyDescent="0.35">
      <c r="A48" s="9" t="s">
        <v>160</v>
      </c>
      <c r="B48" s="10">
        <v>686</v>
      </c>
      <c r="C48" s="10">
        <v>0</v>
      </c>
      <c r="D48" s="10">
        <v>2</v>
      </c>
      <c r="E48" s="10">
        <v>475</v>
      </c>
      <c r="F48" s="10">
        <v>16326037.684438676</v>
      </c>
      <c r="G48" s="10">
        <v>705</v>
      </c>
      <c r="H48" s="10">
        <v>0</v>
      </c>
      <c r="I48" s="10">
        <v>2</v>
      </c>
      <c r="J48" s="10">
        <v>800</v>
      </c>
      <c r="K48" s="10">
        <v>16974532.487811487</v>
      </c>
    </row>
    <row r="49" spans="1:11" x14ac:dyDescent="0.35">
      <c r="A49" s="9" t="s">
        <v>83</v>
      </c>
      <c r="B49" s="10">
        <v>1237</v>
      </c>
      <c r="C49" s="10">
        <v>2</v>
      </c>
      <c r="D49" s="10">
        <v>5</v>
      </c>
      <c r="E49" s="10">
        <v>1074</v>
      </c>
      <c r="F49" s="10">
        <v>50350879.089841045</v>
      </c>
      <c r="G49" s="10">
        <v>1287</v>
      </c>
      <c r="H49" s="10">
        <v>5</v>
      </c>
      <c r="I49" s="10">
        <v>6</v>
      </c>
      <c r="J49" s="10">
        <v>1140</v>
      </c>
      <c r="K49" s="10">
        <v>55925546.402918451</v>
      </c>
    </row>
    <row r="50" spans="1:11" x14ac:dyDescent="0.35">
      <c r="A50" s="9" t="s">
        <v>201</v>
      </c>
      <c r="B50" s="10">
        <v>440</v>
      </c>
      <c r="C50" s="10">
        <v>1</v>
      </c>
      <c r="D50" s="10">
        <v>1</v>
      </c>
      <c r="E50" s="10">
        <v>429</v>
      </c>
      <c r="F50" s="10">
        <v>8260863.7707575997</v>
      </c>
      <c r="G50" s="10">
        <v>453</v>
      </c>
      <c r="H50" s="10">
        <v>1</v>
      </c>
      <c r="I50" s="10">
        <v>1</v>
      </c>
      <c r="J50" s="10">
        <v>496</v>
      </c>
      <c r="K50" s="10">
        <v>8658076.1250030715</v>
      </c>
    </row>
    <row r="51" spans="1:11" x14ac:dyDescent="0.35">
      <c r="A51" s="9" t="s">
        <v>31</v>
      </c>
      <c r="B51" s="10">
        <v>913</v>
      </c>
      <c r="C51" s="10">
        <v>2</v>
      </c>
      <c r="D51" s="10">
        <v>7</v>
      </c>
      <c r="E51" s="10">
        <v>921</v>
      </c>
      <c r="F51" s="10">
        <v>24329645.084981102</v>
      </c>
      <c r="G51" s="10">
        <v>885</v>
      </c>
      <c r="H51" s="10">
        <v>2</v>
      </c>
      <c r="I51" s="10">
        <v>5</v>
      </c>
      <c r="J51" s="10">
        <v>916</v>
      </c>
      <c r="K51" s="10">
        <v>24008510.265390374</v>
      </c>
    </row>
    <row r="52" spans="1:11" x14ac:dyDescent="0.35">
      <c r="A52" s="9" t="s">
        <v>33</v>
      </c>
      <c r="B52" s="10">
        <v>1348</v>
      </c>
      <c r="C52" s="10">
        <v>4</v>
      </c>
      <c r="D52" s="10">
        <v>12</v>
      </c>
      <c r="E52" s="10">
        <v>956</v>
      </c>
      <c r="F52" s="10">
        <v>42604532.316107005</v>
      </c>
      <c r="G52" s="10">
        <v>1419</v>
      </c>
      <c r="H52" s="10">
        <v>3</v>
      </c>
      <c r="I52" s="10">
        <v>11</v>
      </c>
      <c r="J52" s="10">
        <v>1138</v>
      </c>
      <c r="K52" s="10">
        <v>43979107.294347867</v>
      </c>
    </row>
    <row r="53" spans="1:11" x14ac:dyDescent="0.35">
      <c r="A53" s="9" t="s">
        <v>85</v>
      </c>
      <c r="B53" s="10">
        <v>487</v>
      </c>
      <c r="C53" s="10">
        <v>1</v>
      </c>
      <c r="D53" s="10">
        <v>6</v>
      </c>
      <c r="E53" s="10">
        <v>377</v>
      </c>
      <c r="F53" s="10">
        <v>22005709.005341128</v>
      </c>
      <c r="G53" s="10">
        <v>498</v>
      </c>
      <c r="H53" s="10">
        <v>4</v>
      </c>
      <c r="I53" s="10">
        <v>6</v>
      </c>
      <c r="J53" s="10">
        <v>403</v>
      </c>
      <c r="K53" s="10">
        <v>21167858.625659622</v>
      </c>
    </row>
    <row r="54" spans="1:11" x14ac:dyDescent="0.35">
      <c r="A54" s="9" t="s">
        <v>81</v>
      </c>
      <c r="B54" s="10">
        <v>458</v>
      </c>
      <c r="C54" s="10">
        <v>0</v>
      </c>
      <c r="D54" s="10">
        <v>4</v>
      </c>
      <c r="E54" s="10">
        <v>302</v>
      </c>
      <c r="F54" s="10">
        <v>16006981.240799496</v>
      </c>
      <c r="G54" s="10">
        <v>461</v>
      </c>
      <c r="H54" s="10">
        <v>2</v>
      </c>
      <c r="I54" s="10">
        <v>3</v>
      </c>
      <c r="J54" s="10">
        <v>460</v>
      </c>
      <c r="K54" s="10">
        <v>17965408.831571799</v>
      </c>
    </row>
    <row r="55" spans="1:11" x14ac:dyDescent="0.35">
      <c r="A55" s="9" t="s">
        <v>87</v>
      </c>
      <c r="B55" s="10">
        <v>422</v>
      </c>
      <c r="C55" s="10">
        <v>1</v>
      </c>
      <c r="D55" s="10">
        <v>4</v>
      </c>
      <c r="E55" s="10">
        <v>302</v>
      </c>
      <c r="F55" s="10">
        <v>13856935.277226221</v>
      </c>
      <c r="G55" s="10">
        <v>385</v>
      </c>
      <c r="H55" s="10">
        <v>1</v>
      </c>
      <c r="I55" s="10">
        <v>1</v>
      </c>
      <c r="J55" s="10">
        <v>10</v>
      </c>
      <c r="K55" s="10">
        <v>5873087.196715177</v>
      </c>
    </row>
    <row r="56" spans="1:11" x14ac:dyDescent="0.35">
      <c r="A56" s="9" t="s">
        <v>166</v>
      </c>
      <c r="B56" s="10">
        <v>1104</v>
      </c>
      <c r="C56" s="10">
        <v>5</v>
      </c>
      <c r="D56" s="10">
        <v>0</v>
      </c>
      <c r="E56" s="10">
        <v>872</v>
      </c>
      <c r="F56" s="10">
        <v>32922233.232268192</v>
      </c>
      <c r="G56" s="10">
        <v>1103</v>
      </c>
      <c r="H56" s="10">
        <v>3</v>
      </c>
      <c r="I56" s="10">
        <v>0</v>
      </c>
      <c r="J56" s="10">
        <v>940</v>
      </c>
      <c r="K56" s="10">
        <v>34613136.454139821</v>
      </c>
    </row>
    <row r="57" spans="1:11" x14ac:dyDescent="0.35">
      <c r="A57" s="9" t="s">
        <v>93</v>
      </c>
      <c r="B57" s="10">
        <v>1002</v>
      </c>
      <c r="C57" s="10">
        <v>7</v>
      </c>
      <c r="D57" s="10">
        <v>1</v>
      </c>
      <c r="E57" s="10">
        <v>1002</v>
      </c>
      <c r="F57" s="10">
        <v>32767497.85062144</v>
      </c>
      <c r="G57" s="10">
        <v>941</v>
      </c>
      <c r="H57" s="10">
        <v>5</v>
      </c>
      <c r="I57" s="10">
        <v>2</v>
      </c>
      <c r="J57" s="10">
        <v>963</v>
      </c>
      <c r="K57" s="10">
        <v>35690534.982378751</v>
      </c>
    </row>
    <row r="58" spans="1:11" x14ac:dyDescent="0.35">
      <c r="A58" s="9" t="s">
        <v>95</v>
      </c>
      <c r="B58" s="10">
        <v>2048</v>
      </c>
      <c r="C58" s="10">
        <v>9</v>
      </c>
      <c r="D58" s="10">
        <v>8</v>
      </c>
      <c r="E58" s="10">
        <v>1601</v>
      </c>
      <c r="F58" s="10">
        <v>61113798.319160461</v>
      </c>
      <c r="G58" s="10">
        <v>2073</v>
      </c>
      <c r="H58" s="10">
        <v>15</v>
      </c>
      <c r="I58" s="10">
        <v>9</v>
      </c>
      <c r="J58" s="10">
        <v>1658</v>
      </c>
      <c r="K58" s="10">
        <v>64882425.838394135</v>
      </c>
    </row>
    <row r="59" spans="1:11" x14ac:dyDescent="0.35">
      <c r="A59" s="9" t="s">
        <v>174</v>
      </c>
      <c r="B59" s="10">
        <v>676</v>
      </c>
      <c r="C59" s="10">
        <v>4</v>
      </c>
      <c r="D59" s="10">
        <v>0</v>
      </c>
      <c r="E59" s="10">
        <v>447</v>
      </c>
      <c r="F59" s="10">
        <v>15237386.793200787</v>
      </c>
      <c r="G59" s="10">
        <v>662</v>
      </c>
      <c r="H59" s="10">
        <v>2</v>
      </c>
      <c r="I59" s="10">
        <v>0</v>
      </c>
      <c r="J59" s="10">
        <v>510</v>
      </c>
      <c r="K59" s="10">
        <v>16923572.104882669</v>
      </c>
    </row>
    <row r="60" spans="1:11" x14ac:dyDescent="0.35">
      <c r="A60" s="9" t="s">
        <v>99</v>
      </c>
      <c r="B60" s="10">
        <v>868</v>
      </c>
      <c r="C60" s="10">
        <v>6</v>
      </c>
      <c r="D60" s="10">
        <v>5</v>
      </c>
      <c r="E60" s="10">
        <v>715</v>
      </c>
      <c r="F60" s="10">
        <v>26569100.705542248</v>
      </c>
      <c r="G60" s="10">
        <v>922</v>
      </c>
      <c r="H60" s="10">
        <v>8</v>
      </c>
      <c r="I60" s="10">
        <v>6</v>
      </c>
      <c r="J60" s="10">
        <v>738</v>
      </c>
      <c r="K60" s="10">
        <v>30353544.458011288</v>
      </c>
    </row>
    <row r="61" spans="1:11" x14ac:dyDescent="0.35">
      <c r="A61" s="9" t="s">
        <v>172</v>
      </c>
      <c r="B61" s="10">
        <v>753</v>
      </c>
      <c r="C61" s="10">
        <v>4</v>
      </c>
      <c r="D61" s="10">
        <v>1</v>
      </c>
      <c r="E61" s="10">
        <v>740</v>
      </c>
      <c r="F61" s="10">
        <v>16880304.095586132</v>
      </c>
      <c r="G61" s="10">
        <v>678</v>
      </c>
      <c r="H61" s="10">
        <v>0</v>
      </c>
      <c r="I61" s="10">
        <v>0</v>
      </c>
      <c r="J61" s="10">
        <v>613</v>
      </c>
      <c r="K61" s="10">
        <v>15435179.114867197</v>
      </c>
    </row>
    <row r="62" spans="1:11" x14ac:dyDescent="0.35">
      <c r="A62" s="9" t="s">
        <v>168</v>
      </c>
      <c r="B62" s="10">
        <v>1112</v>
      </c>
      <c r="C62" s="10">
        <v>5</v>
      </c>
      <c r="D62" s="10">
        <v>0</v>
      </c>
      <c r="E62" s="10">
        <v>869</v>
      </c>
      <c r="F62" s="10">
        <v>34340368.090365291</v>
      </c>
      <c r="G62" s="10">
        <v>1099</v>
      </c>
      <c r="H62" s="10">
        <v>6</v>
      </c>
      <c r="I62" s="10">
        <v>1</v>
      </c>
      <c r="J62" s="10">
        <v>1163</v>
      </c>
      <c r="K62" s="10">
        <v>37729757.422791846</v>
      </c>
    </row>
    <row r="63" spans="1:11" x14ac:dyDescent="0.35">
      <c r="A63" s="9" t="s">
        <v>101</v>
      </c>
      <c r="B63" s="10">
        <v>1478</v>
      </c>
      <c r="C63" s="10">
        <v>5</v>
      </c>
      <c r="D63" s="10">
        <v>4</v>
      </c>
      <c r="E63" s="10">
        <v>1339</v>
      </c>
      <c r="F63" s="10">
        <v>43422115.586745128</v>
      </c>
      <c r="G63" s="10">
        <v>1621</v>
      </c>
      <c r="H63" s="10">
        <v>13</v>
      </c>
      <c r="I63" s="10">
        <v>5</v>
      </c>
      <c r="J63" s="10">
        <v>1618</v>
      </c>
      <c r="K63" s="10">
        <v>51933160.195166431</v>
      </c>
    </row>
    <row r="64" spans="1:11" x14ac:dyDescent="0.35">
      <c r="A64" s="9" t="s">
        <v>103</v>
      </c>
      <c r="B64" s="10">
        <v>769</v>
      </c>
      <c r="C64" s="10">
        <v>2</v>
      </c>
      <c r="D64" s="10">
        <v>4</v>
      </c>
      <c r="E64" s="10">
        <v>693</v>
      </c>
      <c r="F64" s="10">
        <v>23207604.557711422</v>
      </c>
      <c r="G64" s="10">
        <v>798</v>
      </c>
      <c r="H64" s="10">
        <v>4</v>
      </c>
      <c r="I64" s="10">
        <v>5</v>
      </c>
      <c r="J64" s="10">
        <v>760</v>
      </c>
      <c r="K64" s="10">
        <v>21502821.729210172</v>
      </c>
    </row>
    <row r="65" spans="1:11" x14ac:dyDescent="0.35">
      <c r="A65" s="9" t="s">
        <v>105</v>
      </c>
      <c r="B65" s="10">
        <v>638</v>
      </c>
      <c r="C65" s="10">
        <v>7</v>
      </c>
      <c r="D65" s="10">
        <v>5</v>
      </c>
      <c r="E65" s="10">
        <v>468</v>
      </c>
      <c r="F65" s="10">
        <v>25855386.35664548</v>
      </c>
      <c r="G65" s="10">
        <v>644</v>
      </c>
      <c r="H65" s="10">
        <v>5</v>
      </c>
      <c r="I65" s="10">
        <v>7</v>
      </c>
      <c r="J65" s="10">
        <v>467</v>
      </c>
      <c r="K65" s="10">
        <v>27515605.348086242</v>
      </c>
    </row>
    <row r="66" spans="1:11" x14ac:dyDescent="0.35">
      <c r="A66" s="9" t="s">
        <v>24</v>
      </c>
      <c r="B66" s="10">
        <v>1983</v>
      </c>
      <c r="C66" s="10">
        <v>11</v>
      </c>
      <c r="D66" s="10">
        <v>11</v>
      </c>
      <c r="E66" s="10">
        <v>1969</v>
      </c>
      <c r="F66" s="10">
        <v>83988262.907164082</v>
      </c>
      <c r="G66" s="10">
        <v>1957</v>
      </c>
      <c r="H66" s="10">
        <v>18</v>
      </c>
      <c r="I66" s="10">
        <v>12</v>
      </c>
      <c r="J66" s="10">
        <v>1637</v>
      </c>
      <c r="K66" s="10">
        <v>87322079.567863107</v>
      </c>
    </row>
    <row r="67" spans="1:11" x14ac:dyDescent="0.35">
      <c r="A67" s="9" t="s">
        <v>27</v>
      </c>
      <c r="B67" s="10">
        <v>1583</v>
      </c>
      <c r="C67" s="10">
        <v>16</v>
      </c>
      <c r="D67" s="10">
        <v>6</v>
      </c>
      <c r="E67" s="10">
        <v>1096</v>
      </c>
      <c r="F67" s="10">
        <v>62144411.904331289</v>
      </c>
      <c r="G67" s="10">
        <v>1597</v>
      </c>
      <c r="H67" s="10">
        <v>13</v>
      </c>
      <c r="I67" s="10">
        <v>7</v>
      </c>
      <c r="J67" s="10">
        <v>1318</v>
      </c>
      <c r="K67" s="10">
        <v>63302163.709051661</v>
      </c>
    </row>
    <row r="68" spans="1:11" x14ac:dyDescent="0.35">
      <c r="A68" s="9" t="s">
        <v>29</v>
      </c>
      <c r="B68" s="10">
        <v>893</v>
      </c>
      <c r="C68" s="10">
        <v>6</v>
      </c>
      <c r="D68" s="10">
        <v>1</v>
      </c>
      <c r="E68" s="10">
        <v>720</v>
      </c>
      <c r="F68" s="10">
        <v>40291786.850265786</v>
      </c>
      <c r="G68" s="10">
        <v>896</v>
      </c>
      <c r="H68" s="10">
        <v>2</v>
      </c>
      <c r="I68" s="10">
        <v>1</v>
      </c>
      <c r="J68" s="10">
        <v>743</v>
      </c>
      <c r="K68" s="10">
        <v>42230040.117961869</v>
      </c>
    </row>
    <row r="69" spans="1:11" x14ac:dyDescent="0.35">
      <c r="A69" s="9" t="s">
        <v>57</v>
      </c>
      <c r="B69" s="10">
        <v>2275</v>
      </c>
      <c r="C69" s="10">
        <v>373</v>
      </c>
      <c r="D69" s="10">
        <v>12</v>
      </c>
      <c r="E69" s="10">
        <v>1405</v>
      </c>
      <c r="F69" s="10">
        <v>60482844.879700385</v>
      </c>
      <c r="G69" s="10">
        <v>2369</v>
      </c>
      <c r="H69" s="10">
        <v>462</v>
      </c>
      <c r="I69" s="10">
        <v>13</v>
      </c>
      <c r="J69" s="10">
        <v>1337</v>
      </c>
      <c r="K69" s="10">
        <v>56679542.814377584</v>
      </c>
    </row>
    <row r="70" spans="1:11" x14ac:dyDescent="0.35">
      <c r="A70" s="9" t="s">
        <v>137</v>
      </c>
      <c r="B70" s="10">
        <v>245</v>
      </c>
      <c r="C70" s="10">
        <v>0</v>
      </c>
      <c r="D70" s="10">
        <v>1</v>
      </c>
      <c r="E70" s="10">
        <v>246</v>
      </c>
      <c r="F70" s="10">
        <v>2049584.514477622</v>
      </c>
      <c r="G70" s="10">
        <v>245</v>
      </c>
      <c r="H70" s="10">
        <v>2</v>
      </c>
      <c r="I70" s="10">
        <v>0</v>
      </c>
      <c r="J70" s="10">
        <v>240</v>
      </c>
      <c r="K70" s="10">
        <v>4609199.2052098904</v>
      </c>
    </row>
    <row r="71" spans="1:11" x14ac:dyDescent="0.35">
      <c r="A71" s="9" t="s">
        <v>10</v>
      </c>
      <c r="B71" s="10">
        <v>1659</v>
      </c>
      <c r="C71" s="10">
        <v>9</v>
      </c>
      <c r="D71" s="10">
        <v>6</v>
      </c>
      <c r="E71" s="10">
        <v>1620</v>
      </c>
      <c r="F71" s="10">
        <v>43221691.643919691</v>
      </c>
      <c r="G71" s="10">
        <v>1592</v>
      </c>
      <c r="H71" s="10">
        <v>17</v>
      </c>
      <c r="I71" s="10">
        <v>8</v>
      </c>
      <c r="J71" s="10">
        <v>1580</v>
      </c>
      <c r="K71" s="10">
        <v>42527106.473903023</v>
      </c>
    </row>
    <row r="72" spans="1:11" x14ac:dyDescent="0.35">
      <c r="A72" s="9" t="s">
        <v>12</v>
      </c>
      <c r="B72" s="10">
        <v>740</v>
      </c>
      <c r="C72" s="10">
        <v>3</v>
      </c>
      <c r="D72" s="10">
        <v>3</v>
      </c>
      <c r="E72" s="10">
        <v>591</v>
      </c>
      <c r="F72" s="10">
        <v>20584123.922306944</v>
      </c>
      <c r="G72" s="10">
        <v>791</v>
      </c>
      <c r="H72" s="10">
        <v>3</v>
      </c>
      <c r="I72" s="10">
        <v>4</v>
      </c>
      <c r="J72" s="10">
        <v>647</v>
      </c>
      <c r="K72" s="10">
        <v>19382725.801420636</v>
      </c>
    </row>
    <row r="73" spans="1:11" x14ac:dyDescent="0.35">
      <c r="A73" s="9" t="s">
        <v>162</v>
      </c>
      <c r="B73" s="10">
        <v>1362</v>
      </c>
      <c r="C73" s="10">
        <v>22</v>
      </c>
      <c r="D73" s="10">
        <v>4</v>
      </c>
      <c r="E73" s="10">
        <v>1057</v>
      </c>
      <c r="F73" s="10">
        <v>30147825.724716209</v>
      </c>
      <c r="G73" s="10">
        <v>1484</v>
      </c>
      <c r="H73" s="10">
        <v>66</v>
      </c>
      <c r="I73" s="10">
        <v>5</v>
      </c>
      <c r="J73" s="10">
        <v>952</v>
      </c>
      <c r="K73" s="10">
        <v>32338446.233785421</v>
      </c>
    </row>
    <row r="74" spans="1:11" x14ac:dyDescent="0.35">
      <c r="A74" s="9" t="s">
        <v>63</v>
      </c>
      <c r="B74" s="10">
        <v>1262</v>
      </c>
      <c r="C74" s="10">
        <v>5</v>
      </c>
      <c r="D74" s="10">
        <v>5</v>
      </c>
      <c r="E74" s="10">
        <v>1206</v>
      </c>
      <c r="F74" s="10">
        <v>18961499.08903724</v>
      </c>
      <c r="G74" s="10">
        <v>1340</v>
      </c>
      <c r="H74" s="10">
        <v>4</v>
      </c>
      <c r="I74" s="10">
        <v>4</v>
      </c>
      <c r="J74" s="10">
        <v>1420</v>
      </c>
      <c r="K74" s="10">
        <v>24722694.050578289</v>
      </c>
    </row>
    <row r="75" spans="1:11" x14ac:dyDescent="0.35">
      <c r="A75" s="9" t="s">
        <v>59</v>
      </c>
      <c r="B75" s="10">
        <v>1752</v>
      </c>
      <c r="C75" s="10">
        <v>10</v>
      </c>
      <c r="D75" s="10">
        <v>4</v>
      </c>
      <c r="E75" s="10">
        <v>1165</v>
      </c>
      <c r="F75" s="10">
        <v>53783637.746164359</v>
      </c>
      <c r="G75" s="10">
        <v>1798</v>
      </c>
      <c r="H75" s="10">
        <v>12</v>
      </c>
      <c r="I75" s="10">
        <v>7</v>
      </c>
      <c r="J75" s="10">
        <v>1308</v>
      </c>
      <c r="K75" s="10">
        <v>56895215.540526107</v>
      </c>
    </row>
    <row r="76" spans="1:11" x14ac:dyDescent="0.35">
      <c r="A76" s="9" t="s">
        <v>139</v>
      </c>
      <c r="B76" s="10">
        <v>509</v>
      </c>
      <c r="C76" s="10">
        <v>2</v>
      </c>
      <c r="D76" s="10">
        <v>1</v>
      </c>
      <c r="E76" s="10">
        <v>432</v>
      </c>
      <c r="F76" s="10">
        <v>10904494.48472932</v>
      </c>
      <c r="G76" s="10">
        <v>488</v>
      </c>
      <c r="H76" s="10">
        <v>4</v>
      </c>
      <c r="I76" s="10">
        <v>1</v>
      </c>
      <c r="J76" s="10">
        <v>400</v>
      </c>
      <c r="K76" s="10">
        <v>10133380.339113291</v>
      </c>
    </row>
    <row r="77" spans="1:11" x14ac:dyDescent="0.35">
      <c r="A77" s="9" t="s">
        <v>170</v>
      </c>
      <c r="B77" s="10">
        <v>881</v>
      </c>
      <c r="C77" s="10">
        <v>3</v>
      </c>
      <c r="D77" s="10">
        <v>1</v>
      </c>
      <c r="E77" s="10">
        <v>1324</v>
      </c>
      <c r="F77" s="10">
        <v>17298035.563470758</v>
      </c>
      <c r="G77" s="10">
        <v>888</v>
      </c>
      <c r="H77" s="10">
        <v>2</v>
      </c>
      <c r="I77" s="10">
        <v>0</v>
      </c>
      <c r="J77" s="10">
        <v>771</v>
      </c>
      <c r="K77" s="10">
        <v>20101925.882868141</v>
      </c>
    </row>
    <row r="78" spans="1:11" x14ac:dyDescent="0.35">
      <c r="A78" s="9" t="s">
        <v>61</v>
      </c>
      <c r="B78" s="10">
        <v>645</v>
      </c>
      <c r="C78" s="10">
        <v>0</v>
      </c>
      <c r="D78" s="10">
        <v>3</v>
      </c>
      <c r="E78" s="10">
        <v>504</v>
      </c>
      <c r="F78" s="10">
        <v>17062080.811463322</v>
      </c>
      <c r="G78" s="10">
        <v>636</v>
      </c>
      <c r="H78" s="10">
        <v>2</v>
      </c>
      <c r="I78" s="10">
        <v>3</v>
      </c>
      <c r="J78" s="10">
        <v>480</v>
      </c>
      <c r="K78" s="10">
        <v>19008135.274495997</v>
      </c>
    </row>
    <row r="79" spans="1:11" x14ac:dyDescent="0.35">
      <c r="A79" s="9" t="s">
        <v>129</v>
      </c>
      <c r="B79" s="10">
        <v>610</v>
      </c>
      <c r="C79" s="10">
        <v>6</v>
      </c>
      <c r="D79" s="10">
        <v>1</v>
      </c>
      <c r="E79" s="10">
        <v>700</v>
      </c>
      <c r="F79" s="10">
        <v>13406292.038853647</v>
      </c>
      <c r="G79" s="10">
        <v>629</v>
      </c>
      <c r="H79" s="10">
        <v>9</v>
      </c>
      <c r="I79" s="10">
        <v>1</v>
      </c>
      <c r="J79" s="10">
        <v>1099</v>
      </c>
      <c r="K79" s="10">
        <v>12587822.709509639</v>
      </c>
    </row>
    <row r="80" spans="1:11" x14ac:dyDescent="0.35">
      <c r="A80" s="9" t="s">
        <v>35</v>
      </c>
      <c r="B80" s="10">
        <v>446</v>
      </c>
      <c r="C80" s="10">
        <v>1</v>
      </c>
      <c r="D80" s="10">
        <v>7</v>
      </c>
      <c r="E80" s="10">
        <v>405</v>
      </c>
      <c r="F80" s="10">
        <v>14534308.575940792</v>
      </c>
      <c r="G80" s="10">
        <v>445</v>
      </c>
      <c r="H80" s="10">
        <v>3</v>
      </c>
      <c r="I80" s="10">
        <v>7</v>
      </c>
      <c r="J80" s="10">
        <v>461</v>
      </c>
      <c r="K80" s="10">
        <v>13056774.364971524</v>
      </c>
    </row>
    <row r="81" spans="1:11" x14ac:dyDescent="0.35">
      <c r="A81" s="9" t="s">
        <v>107</v>
      </c>
      <c r="B81" s="10">
        <v>930</v>
      </c>
      <c r="C81" s="10">
        <v>5</v>
      </c>
      <c r="D81" s="10">
        <v>3</v>
      </c>
      <c r="E81" s="10">
        <v>502</v>
      </c>
      <c r="F81" s="10">
        <v>38552320.650037184</v>
      </c>
      <c r="G81" s="10">
        <v>873</v>
      </c>
      <c r="H81" s="10">
        <v>5</v>
      </c>
      <c r="I81" s="10">
        <v>3</v>
      </c>
      <c r="J81" s="10">
        <v>777</v>
      </c>
      <c r="K81" s="10">
        <v>31224051.282621074</v>
      </c>
    </row>
    <row r="82" spans="1:11" x14ac:dyDescent="0.35">
      <c r="A82" s="9" t="s">
        <v>37</v>
      </c>
      <c r="B82" s="10">
        <v>775</v>
      </c>
      <c r="C82" s="10">
        <v>2</v>
      </c>
      <c r="D82" s="10">
        <v>10</v>
      </c>
      <c r="E82" s="10">
        <v>681</v>
      </c>
      <c r="F82" s="10">
        <v>22945629.138666265</v>
      </c>
      <c r="G82" s="10">
        <v>781</v>
      </c>
      <c r="H82" s="10">
        <v>3</v>
      </c>
      <c r="I82" s="10">
        <v>9</v>
      </c>
      <c r="J82" s="10">
        <v>719</v>
      </c>
      <c r="K82" s="10">
        <v>23789675.00632247</v>
      </c>
    </row>
    <row r="83" spans="1:11" x14ac:dyDescent="0.35">
      <c r="A83" s="9" t="s">
        <v>76</v>
      </c>
      <c r="B83" s="10">
        <v>961</v>
      </c>
      <c r="C83" s="10">
        <v>3</v>
      </c>
      <c r="D83" s="10">
        <v>2</v>
      </c>
      <c r="E83" s="10">
        <v>919</v>
      </c>
      <c r="F83" s="10">
        <v>18897104.306166232</v>
      </c>
      <c r="G83" s="10">
        <v>949</v>
      </c>
      <c r="H83" s="10">
        <v>2</v>
      </c>
      <c r="I83" s="10">
        <v>2</v>
      </c>
      <c r="J83" s="10">
        <v>771</v>
      </c>
      <c r="K83" s="10">
        <v>19078223.4680488</v>
      </c>
    </row>
    <row r="84" spans="1:11" x14ac:dyDescent="0.35">
      <c r="A84" s="9" t="s">
        <v>65</v>
      </c>
      <c r="B84" s="10">
        <v>993</v>
      </c>
      <c r="C84" s="10">
        <v>2</v>
      </c>
      <c r="D84" s="10">
        <v>5</v>
      </c>
      <c r="E84" s="10">
        <v>859</v>
      </c>
      <c r="F84" s="10">
        <v>18943363.690892089</v>
      </c>
      <c r="G84" s="10">
        <v>969</v>
      </c>
      <c r="H84" s="10">
        <v>2</v>
      </c>
      <c r="I84" s="10">
        <v>4</v>
      </c>
      <c r="J84" s="10">
        <v>693</v>
      </c>
      <c r="K84" s="10">
        <v>23083990.683582705</v>
      </c>
    </row>
    <row r="85" spans="1:11" x14ac:dyDescent="0.35">
      <c r="A85" s="9" t="s">
        <v>89</v>
      </c>
      <c r="B85" s="10">
        <v>757</v>
      </c>
      <c r="C85" s="10">
        <v>2</v>
      </c>
      <c r="D85" s="10">
        <v>6</v>
      </c>
      <c r="E85" s="10">
        <v>791</v>
      </c>
      <c r="F85" s="10">
        <v>24876612.513585679</v>
      </c>
      <c r="G85" s="10">
        <v>762</v>
      </c>
      <c r="H85" s="10">
        <v>2</v>
      </c>
      <c r="I85" s="10">
        <v>7</v>
      </c>
      <c r="J85" s="10">
        <v>724</v>
      </c>
      <c r="K85" s="10">
        <v>27850529.967314817</v>
      </c>
    </row>
    <row r="86" spans="1:11" x14ac:dyDescent="0.35">
      <c r="A86" s="9" t="s">
        <v>147</v>
      </c>
      <c r="B86" s="10">
        <v>566</v>
      </c>
      <c r="C86" s="10">
        <v>1</v>
      </c>
      <c r="D86" s="10">
        <v>1</v>
      </c>
      <c r="E86" s="10">
        <v>587</v>
      </c>
      <c r="F86" s="10">
        <v>11491400.052304247</v>
      </c>
      <c r="G86" s="10">
        <v>540</v>
      </c>
      <c r="H86" s="10">
        <v>4</v>
      </c>
      <c r="I86" s="10">
        <v>1</v>
      </c>
      <c r="J86" s="10">
        <v>543</v>
      </c>
      <c r="K86" s="10">
        <v>10714929.701390397</v>
      </c>
    </row>
    <row r="87" spans="1:11" x14ac:dyDescent="0.35">
      <c r="A87" s="9" t="s">
        <v>164</v>
      </c>
      <c r="B87" s="10">
        <v>1770</v>
      </c>
      <c r="C87" s="10">
        <v>2</v>
      </c>
      <c r="D87" s="10">
        <v>10</v>
      </c>
      <c r="E87" s="10">
        <v>1068</v>
      </c>
      <c r="F87" s="10">
        <v>48346216.085946538</v>
      </c>
      <c r="G87" s="10">
        <v>1798</v>
      </c>
      <c r="H87" s="10">
        <v>2</v>
      </c>
      <c r="I87" s="10">
        <v>9</v>
      </c>
      <c r="J87" s="10">
        <v>1408</v>
      </c>
      <c r="K87" s="10">
        <v>58448649.984140679</v>
      </c>
    </row>
    <row r="88" spans="1:11" x14ac:dyDescent="0.35">
      <c r="A88" s="9" t="s">
        <v>91</v>
      </c>
      <c r="B88" s="10">
        <v>567</v>
      </c>
      <c r="C88" s="10">
        <v>0</v>
      </c>
      <c r="D88" s="10">
        <v>3</v>
      </c>
      <c r="E88" s="10">
        <v>606</v>
      </c>
      <c r="F88" s="10">
        <v>11404405.748291109</v>
      </c>
      <c r="G88" s="10">
        <v>630</v>
      </c>
      <c r="H88" s="10">
        <v>2</v>
      </c>
      <c r="I88" s="10">
        <v>3</v>
      </c>
      <c r="J88" s="10">
        <v>739</v>
      </c>
      <c r="K88" s="10">
        <v>12978754.33964923</v>
      </c>
    </row>
    <row r="89" spans="1:11" x14ac:dyDescent="0.35">
      <c r="A89" s="9" t="s">
        <v>97</v>
      </c>
      <c r="B89" s="10">
        <v>646</v>
      </c>
      <c r="C89" s="10">
        <v>4</v>
      </c>
      <c r="D89" s="10">
        <v>7</v>
      </c>
      <c r="E89" s="10">
        <v>569</v>
      </c>
      <c r="F89" s="10">
        <v>21469701.985500403</v>
      </c>
      <c r="G89" s="10">
        <v>680</v>
      </c>
      <c r="H89" s="10">
        <v>5</v>
      </c>
      <c r="I89" s="10">
        <v>8</v>
      </c>
      <c r="J89" s="10">
        <v>741</v>
      </c>
      <c r="K89" s="10">
        <v>23423151.156611502</v>
      </c>
    </row>
    <row r="90" spans="1:11" x14ac:dyDescent="0.35">
      <c r="A90" s="9" t="s">
        <v>78</v>
      </c>
      <c r="B90" s="10">
        <v>353</v>
      </c>
      <c r="C90" s="10">
        <v>2</v>
      </c>
      <c r="D90" s="10">
        <v>1</v>
      </c>
      <c r="E90" s="10">
        <v>296</v>
      </c>
      <c r="F90" s="10">
        <v>5260642.5641915696</v>
      </c>
      <c r="G90" s="10">
        <v>374</v>
      </c>
      <c r="H90" s="10">
        <v>2</v>
      </c>
      <c r="I90" s="10">
        <v>1</v>
      </c>
      <c r="J90" s="10">
        <v>183</v>
      </c>
      <c r="K90" s="10">
        <v>4319308.1950398814</v>
      </c>
    </row>
    <row r="91" spans="1:11" x14ac:dyDescent="0.35">
      <c r="A91" s="14" t="s">
        <v>203</v>
      </c>
      <c r="B91" s="13">
        <v>84549</v>
      </c>
      <c r="C91" s="13">
        <v>1079</v>
      </c>
      <c r="D91" s="13">
        <v>318</v>
      </c>
      <c r="E91" s="13">
        <v>69895</v>
      </c>
      <c r="F91" s="13">
        <v>2236113285.2862201</v>
      </c>
      <c r="G91" s="13">
        <v>84637</v>
      </c>
      <c r="H91" s="13">
        <v>1539</v>
      </c>
      <c r="I91" s="13">
        <v>319</v>
      </c>
      <c r="J91" s="13">
        <v>71296</v>
      </c>
      <c r="K91" s="13">
        <v>2327481078.9661198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2026-09-17T05:56:05Z</dcterms:modified>
</cp:coreProperties>
</file>