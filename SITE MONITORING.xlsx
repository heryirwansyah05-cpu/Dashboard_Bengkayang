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930" activeTab="1"/>
  </bookViews>
  <sheets>
    <sheet name="Sheet1" sheetId="3" r:id="rId1"/>
    <sheet name="MASTER" sheetId="4" r:id="rId2"/>
  </sheets>
  <definedNames>
    <definedName name="_xlnm._FilterDatabase" localSheetId="1" hidden="1">MASTER!$A$5:$K$5</definedName>
    <definedName name="_xlnm._FilterDatabase" localSheetId="0" hidden="1">Sheet1!$A$1:$U$85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4" l="1"/>
  <c r="C3" i="4"/>
  <c r="D3" i="4"/>
  <c r="E3" i="4"/>
  <c r="F3" i="4"/>
  <c r="G3" i="4"/>
  <c r="H3" i="4"/>
  <c r="I3" i="4"/>
  <c r="J3" i="4"/>
  <c r="K3" i="4"/>
  <c r="R3" i="3" l="1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2" i="3"/>
  <c r="F3" i="3" l="1"/>
  <c r="G3" i="3"/>
  <c r="I3" i="3"/>
  <c r="J3" i="3"/>
  <c r="L3" i="3"/>
  <c r="M3" i="3"/>
  <c r="O3" i="3"/>
  <c r="P3" i="3"/>
  <c r="S3" i="3"/>
  <c r="T3" i="3" s="1"/>
  <c r="F4" i="3"/>
  <c r="G4" i="3"/>
  <c r="H4" i="3" s="1"/>
  <c r="I4" i="3"/>
  <c r="J4" i="3"/>
  <c r="L4" i="3"/>
  <c r="M4" i="3"/>
  <c r="O4" i="3"/>
  <c r="P4" i="3"/>
  <c r="S4" i="3"/>
  <c r="T4" i="3" s="1"/>
  <c r="F5" i="3"/>
  <c r="G5" i="3"/>
  <c r="I5" i="3"/>
  <c r="J5" i="3"/>
  <c r="L5" i="3"/>
  <c r="M5" i="3"/>
  <c r="O5" i="3"/>
  <c r="P5" i="3"/>
  <c r="S5" i="3"/>
  <c r="T5" i="3" s="1"/>
  <c r="F6" i="3"/>
  <c r="G6" i="3"/>
  <c r="I6" i="3"/>
  <c r="J6" i="3"/>
  <c r="L6" i="3"/>
  <c r="M6" i="3"/>
  <c r="O6" i="3"/>
  <c r="P6" i="3"/>
  <c r="Q6" i="3" s="1"/>
  <c r="S6" i="3"/>
  <c r="T6" i="3" s="1"/>
  <c r="F7" i="3"/>
  <c r="G7" i="3"/>
  <c r="I7" i="3"/>
  <c r="J7" i="3"/>
  <c r="L7" i="3"/>
  <c r="M7" i="3"/>
  <c r="O7" i="3"/>
  <c r="P7" i="3"/>
  <c r="S7" i="3"/>
  <c r="T7" i="3" s="1"/>
  <c r="F8" i="3"/>
  <c r="G8" i="3"/>
  <c r="H8" i="3" s="1"/>
  <c r="I8" i="3"/>
  <c r="J8" i="3"/>
  <c r="L8" i="3"/>
  <c r="M8" i="3"/>
  <c r="O8" i="3"/>
  <c r="P8" i="3"/>
  <c r="S8" i="3"/>
  <c r="T8" i="3" s="1"/>
  <c r="F9" i="3"/>
  <c r="G9" i="3"/>
  <c r="I9" i="3"/>
  <c r="J9" i="3"/>
  <c r="L9" i="3"/>
  <c r="M9" i="3"/>
  <c r="O9" i="3"/>
  <c r="P9" i="3"/>
  <c r="S9" i="3"/>
  <c r="T9" i="3" s="1"/>
  <c r="F10" i="3"/>
  <c r="G10" i="3"/>
  <c r="I10" i="3"/>
  <c r="J10" i="3"/>
  <c r="L10" i="3"/>
  <c r="M10" i="3"/>
  <c r="O10" i="3"/>
  <c r="P10" i="3"/>
  <c r="Q10" i="3" s="1"/>
  <c r="S10" i="3"/>
  <c r="T10" i="3" s="1"/>
  <c r="F11" i="3"/>
  <c r="G11" i="3"/>
  <c r="I11" i="3"/>
  <c r="J11" i="3"/>
  <c r="L11" i="3"/>
  <c r="M11" i="3"/>
  <c r="O11" i="3"/>
  <c r="P11" i="3"/>
  <c r="S11" i="3"/>
  <c r="T11" i="3" s="1"/>
  <c r="F12" i="3"/>
  <c r="G12" i="3"/>
  <c r="H12" i="3" s="1"/>
  <c r="I12" i="3"/>
  <c r="J12" i="3"/>
  <c r="L12" i="3"/>
  <c r="M12" i="3"/>
  <c r="O12" i="3"/>
  <c r="P12" i="3"/>
  <c r="S12" i="3"/>
  <c r="T12" i="3" s="1"/>
  <c r="F13" i="3"/>
  <c r="G13" i="3"/>
  <c r="I13" i="3"/>
  <c r="J13" i="3"/>
  <c r="L13" i="3"/>
  <c r="M13" i="3"/>
  <c r="O13" i="3"/>
  <c r="P13" i="3"/>
  <c r="S13" i="3"/>
  <c r="T13" i="3" s="1"/>
  <c r="F14" i="3"/>
  <c r="G14" i="3"/>
  <c r="I14" i="3"/>
  <c r="J14" i="3"/>
  <c r="L14" i="3"/>
  <c r="M14" i="3"/>
  <c r="O14" i="3"/>
  <c r="P14" i="3"/>
  <c r="Q14" i="3" s="1"/>
  <c r="S14" i="3"/>
  <c r="T14" i="3" s="1"/>
  <c r="F15" i="3"/>
  <c r="G15" i="3"/>
  <c r="I15" i="3"/>
  <c r="J15" i="3"/>
  <c r="L15" i="3"/>
  <c r="M15" i="3"/>
  <c r="O15" i="3"/>
  <c r="P15" i="3"/>
  <c r="S15" i="3"/>
  <c r="T15" i="3" s="1"/>
  <c r="F16" i="3"/>
  <c r="G16" i="3"/>
  <c r="H16" i="3" s="1"/>
  <c r="I16" i="3"/>
  <c r="J16" i="3"/>
  <c r="L16" i="3"/>
  <c r="M16" i="3"/>
  <c r="O16" i="3"/>
  <c r="P16" i="3"/>
  <c r="S16" i="3"/>
  <c r="T16" i="3" s="1"/>
  <c r="F17" i="3"/>
  <c r="G17" i="3"/>
  <c r="I17" i="3"/>
  <c r="J17" i="3"/>
  <c r="L17" i="3"/>
  <c r="M17" i="3"/>
  <c r="N17" i="3" s="1"/>
  <c r="O17" i="3"/>
  <c r="P17" i="3"/>
  <c r="S17" i="3"/>
  <c r="T17" i="3" s="1"/>
  <c r="F18" i="3"/>
  <c r="G18" i="3"/>
  <c r="I18" i="3"/>
  <c r="J18" i="3"/>
  <c r="L18" i="3"/>
  <c r="M18" i="3"/>
  <c r="O18" i="3"/>
  <c r="P18" i="3"/>
  <c r="Q18" i="3" s="1"/>
  <c r="S18" i="3"/>
  <c r="T18" i="3" s="1"/>
  <c r="F19" i="3"/>
  <c r="G19" i="3"/>
  <c r="I19" i="3"/>
  <c r="J19" i="3"/>
  <c r="L19" i="3"/>
  <c r="M19" i="3"/>
  <c r="O19" i="3"/>
  <c r="P19" i="3"/>
  <c r="S19" i="3"/>
  <c r="T19" i="3" s="1"/>
  <c r="F20" i="3"/>
  <c r="G20" i="3"/>
  <c r="H20" i="3" s="1"/>
  <c r="I20" i="3"/>
  <c r="J20" i="3"/>
  <c r="L20" i="3"/>
  <c r="M20" i="3"/>
  <c r="O20" i="3"/>
  <c r="P20" i="3"/>
  <c r="S20" i="3"/>
  <c r="T20" i="3" s="1"/>
  <c r="F21" i="3"/>
  <c r="G21" i="3"/>
  <c r="I21" i="3"/>
  <c r="J21" i="3"/>
  <c r="L21" i="3"/>
  <c r="M21" i="3"/>
  <c r="N21" i="3" s="1"/>
  <c r="O21" i="3"/>
  <c r="P21" i="3"/>
  <c r="S21" i="3"/>
  <c r="T21" i="3" s="1"/>
  <c r="F22" i="3"/>
  <c r="G22" i="3"/>
  <c r="I22" i="3"/>
  <c r="J22" i="3"/>
  <c r="L22" i="3"/>
  <c r="M22" i="3"/>
  <c r="O22" i="3"/>
  <c r="P22" i="3"/>
  <c r="Q22" i="3" s="1"/>
  <c r="S22" i="3"/>
  <c r="T22" i="3" s="1"/>
  <c r="F23" i="3"/>
  <c r="G23" i="3"/>
  <c r="I23" i="3"/>
  <c r="J23" i="3"/>
  <c r="L23" i="3"/>
  <c r="M23" i="3"/>
  <c r="O23" i="3"/>
  <c r="P23" i="3"/>
  <c r="S23" i="3"/>
  <c r="T23" i="3" s="1"/>
  <c r="F24" i="3"/>
  <c r="G24" i="3"/>
  <c r="H24" i="3" s="1"/>
  <c r="I24" i="3"/>
  <c r="J24" i="3"/>
  <c r="L24" i="3"/>
  <c r="M24" i="3"/>
  <c r="O24" i="3"/>
  <c r="P24" i="3"/>
  <c r="S24" i="3"/>
  <c r="T24" i="3" s="1"/>
  <c r="F25" i="3"/>
  <c r="G25" i="3"/>
  <c r="I25" i="3"/>
  <c r="J25" i="3"/>
  <c r="L25" i="3"/>
  <c r="M25" i="3"/>
  <c r="N25" i="3" s="1"/>
  <c r="O25" i="3"/>
  <c r="P25" i="3"/>
  <c r="S25" i="3"/>
  <c r="T25" i="3" s="1"/>
  <c r="F26" i="3"/>
  <c r="G26" i="3"/>
  <c r="I26" i="3"/>
  <c r="J26" i="3"/>
  <c r="L26" i="3"/>
  <c r="M26" i="3"/>
  <c r="O26" i="3"/>
  <c r="P26" i="3"/>
  <c r="Q26" i="3" s="1"/>
  <c r="S26" i="3"/>
  <c r="T26" i="3" s="1"/>
  <c r="F27" i="3"/>
  <c r="G27" i="3"/>
  <c r="I27" i="3"/>
  <c r="J27" i="3"/>
  <c r="L27" i="3"/>
  <c r="M27" i="3"/>
  <c r="O27" i="3"/>
  <c r="P27" i="3"/>
  <c r="S27" i="3"/>
  <c r="T27" i="3" s="1"/>
  <c r="F28" i="3"/>
  <c r="G28" i="3"/>
  <c r="H28" i="3" s="1"/>
  <c r="I28" i="3"/>
  <c r="J28" i="3"/>
  <c r="L28" i="3"/>
  <c r="M28" i="3"/>
  <c r="O28" i="3"/>
  <c r="P28" i="3"/>
  <c r="S28" i="3"/>
  <c r="T28" i="3" s="1"/>
  <c r="F29" i="3"/>
  <c r="G29" i="3"/>
  <c r="I29" i="3"/>
  <c r="J29" i="3"/>
  <c r="L29" i="3"/>
  <c r="M29" i="3"/>
  <c r="N29" i="3" s="1"/>
  <c r="O29" i="3"/>
  <c r="P29" i="3"/>
  <c r="S29" i="3"/>
  <c r="T29" i="3" s="1"/>
  <c r="F30" i="3"/>
  <c r="G30" i="3"/>
  <c r="I30" i="3"/>
  <c r="J30" i="3"/>
  <c r="L30" i="3"/>
  <c r="M30" i="3"/>
  <c r="O30" i="3"/>
  <c r="P30" i="3"/>
  <c r="Q30" i="3" s="1"/>
  <c r="S30" i="3"/>
  <c r="T30" i="3" s="1"/>
  <c r="F31" i="3"/>
  <c r="G31" i="3"/>
  <c r="I31" i="3"/>
  <c r="J31" i="3"/>
  <c r="L31" i="3"/>
  <c r="M31" i="3"/>
  <c r="O31" i="3"/>
  <c r="P31" i="3"/>
  <c r="S31" i="3"/>
  <c r="T31" i="3" s="1"/>
  <c r="F32" i="3"/>
  <c r="G32" i="3"/>
  <c r="H32" i="3" s="1"/>
  <c r="I32" i="3"/>
  <c r="J32" i="3"/>
  <c r="L32" i="3"/>
  <c r="M32" i="3"/>
  <c r="O32" i="3"/>
  <c r="P32" i="3"/>
  <c r="S32" i="3"/>
  <c r="T32" i="3" s="1"/>
  <c r="F33" i="3"/>
  <c r="G33" i="3"/>
  <c r="I33" i="3"/>
  <c r="J33" i="3"/>
  <c r="L33" i="3"/>
  <c r="M33" i="3"/>
  <c r="N33" i="3" s="1"/>
  <c r="O33" i="3"/>
  <c r="P33" i="3"/>
  <c r="S33" i="3"/>
  <c r="T33" i="3" s="1"/>
  <c r="F34" i="3"/>
  <c r="G34" i="3"/>
  <c r="I34" i="3"/>
  <c r="J34" i="3"/>
  <c r="L34" i="3"/>
  <c r="M34" i="3"/>
  <c r="O34" i="3"/>
  <c r="P34" i="3"/>
  <c r="Q34" i="3" s="1"/>
  <c r="S34" i="3"/>
  <c r="T34" i="3" s="1"/>
  <c r="F35" i="3"/>
  <c r="G35" i="3"/>
  <c r="I35" i="3"/>
  <c r="J35" i="3"/>
  <c r="L35" i="3"/>
  <c r="M35" i="3"/>
  <c r="O35" i="3"/>
  <c r="P35" i="3"/>
  <c r="S35" i="3"/>
  <c r="T35" i="3" s="1"/>
  <c r="F36" i="3"/>
  <c r="G36" i="3"/>
  <c r="H36" i="3" s="1"/>
  <c r="I36" i="3"/>
  <c r="J36" i="3"/>
  <c r="L36" i="3"/>
  <c r="M36" i="3"/>
  <c r="O36" i="3"/>
  <c r="P36" i="3"/>
  <c r="S36" i="3"/>
  <c r="T36" i="3" s="1"/>
  <c r="F37" i="3"/>
  <c r="G37" i="3"/>
  <c r="I37" i="3"/>
  <c r="J37" i="3"/>
  <c r="L37" i="3"/>
  <c r="M37" i="3"/>
  <c r="N37" i="3" s="1"/>
  <c r="O37" i="3"/>
  <c r="P37" i="3"/>
  <c r="S37" i="3"/>
  <c r="T37" i="3" s="1"/>
  <c r="F38" i="3"/>
  <c r="G38" i="3"/>
  <c r="I38" i="3"/>
  <c r="J38" i="3"/>
  <c r="L38" i="3"/>
  <c r="M38" i="3"/>
  <c r="O38" i="3"/>
  <c r="P38" i="3"/>
  <c r="Q38" i="3" s="1"/>
  <c r="S38" i="3"/>
  <c r="T38" i="3" s="1"/>
  <c r="F39" i="3"/>
  <c r="G39" i="3"/>
  <c r="I39" i="3"/>
  <c r="J39" i="3"/>
  <c r="L39" i="3"/>
  <c r="M39" i="3"/>
  <c r="O39" i="3"/>
  <c r="P39" i="3"/>
  <c r="S39" i="3"/>
  <c r="T39" i="3" s="1"/>
  <c r="F40" i="3"/>
  <c r="G40" i="3"/>
  <c r="H40" i="3" s="1"/>
  <c r="I40" i="3"/>
  <c r="J40" i="3"/>
  <c r="L40" i="3"/>
  <c r="M40" i="3"/>
  <c r="O40" i="3"/>
  <c r="P40" i="3"/>
  <c r="S40" i="3"/>
  <c r="T40" i="3" s="1"/>
  <c r="F41" i="3"/>
  <c r="G41" i="3"/>
  <c r="I41" i="3"/>
  <c r="J41" i="3"/>
  <c r="L41" i="3"/>
  <c r="M41" i="3"/>
  <c r="N41" i="3" s="1"/>
  <c r="O41" i="3"/>
  <c r="P41" i="3"/>
  <c r="S41" i="3"/>
  <c r="T41" i="3" s="1"/>
  <c r="F42" i="3"/>
  <c r="G42" i="3"/>
  <c r="I42" i="3"/>
  <c r="J42" i="3"/>
  <c r="L42" i="3"/>
  <c r="M42" i="3"/>
  <c r="O42" i="3"/>
  <c r="P42" i="3"/>
  <c r="Q42" i="3" s="1"/>
  <c r="S42" i="3"/>
  <c r="T42" i="3" s="1"/>
  <c r="F43" i="3"/>
  <c r="G43" i="3"/>
  <c r="I43" i="3"/>
  <c r="J43" i="3"/>
  <c r="L43" i="3"/>
  <c r="M43" i="3"/>
  <c r="O43" i="3"/>
  <c r="P43" i="3"/>
  <c r="S43" i="3"/>
  <c r="T43" i="3" s="1"/>
  <c r="F44" i="3"/>
  <c r="G44" i="3"/>
  <c r="H44" i="3" s="1"/>
  <c r="I44" i="3"/>
  <c r="J44" i="3"/>
  <c r="L44" i="3"/>
  <c r="M44" i="3"/>
  <c r="O44" i="3"/>
  <c r="P44" i="3"/>
  <c r="S44" i="3"/>
  <c r="T44" i="3" s="1"/>
  <c r="F45" i="3"/>
  <c r="G45" i="3"/>
  <c r="I45" i="3"/>
  <c r="J45" i="3"/>
  <c r="L45" i="3"/>
  <c r="M45" i="3"/>
  <c r="N45" i="3" s="1"/>
  <c r="O45" i="3"/>
  <c r="P45" i="3"/>
  <c r="S45" i="3"/>
  <c r="T45" i="3" s="1"/>
  <c r="F46" i="3"/>
  <c r="G46" i="3"/>
  <c r="I46" i="3"/>
  <c r="J46" i="3"/>
  <c r="L46" i="3"/>
  <c r="M46" i="3"/>
  <c r="O46" i="3"/>
  <c r="P46" i="3"/>
  <c r="Q46" i="3" s="1"/>
  <c r="S46" i="3"/>
  <c r="T46" i="3" s="1"/>
  <c r="F47" i="3"/>
  <c r="G47" i="3"/>
  <c r="I47" i="3"/>
  <c r="J47" i="3"/>
  <c r="L47" i="3"/>
  <c r="M47" i="3"/>
  <c r="O47" i="3"/>
  <c r="P47" i="3"/>
  <c r="S47" i="3"/>
  <c r="T47" i="3" s="1"/>
  <c r="F48" i="3"/>
  <c r="G48" i="3"/>
  <c r="H48" i="3" s="1"/>
  <c r="I48" i="3"/>
  <c r="J48" i="3"/>
  <c r="L48" i="3"/>
  <c r="M48" i="3"/>
  <c r="O48" i="3"/>
  <c r="P48" i="3"/>
  <c r="S48" i="3"/>
  <c r="T48" i="3" s="1"/>
  <c r="F49" i="3"/>
  <c r="G49" i="3"/>
  <c r="I49" i="3"/>
  <c r="J49" i="3"/>
  <c r="L49" i="3"/>
  <c r="M49" i="3"/>
  <c r="N49" i="3" s="1"/>
  <c r="O49" i="3"/>
  <c r="P49" i="3"/>
  <c r="S49" i="3"/>
  <c r="T49" i="3" s="1"/>
  <c r="F50" i="3"/>
  <c r="G50" i="3"/>
  <c r="I50" i="3"/>
  <c r="J50" i="3"/>
  <c r="L50" i="3"/>
  <c r="M50" i="3"/>
  <c r="O50" i="3"/>
  <c r="P50" i="3"/>
  <c r="Q50" i="3" s="1"/>
  <c r="S50" i="3"/>
  <c r="T50" i="3" s="1"/>
  <c r="F51" i="3"/>
  <c r="G51" i="3"/>
  <c r="I51" i="3"/>
  <c r="J51" i="3"/>
  <c r="L51" i="3"/>
  <c r="M51" i="3"/>
  <c r="O51" i="3"/>
  <c r="P51" i="3"/>
  <c r="S51" i="3"/>
  <c r="T51" i="3" s="1"/>
  <c r="F52" i="3"/>
  <c r="G52" i="3"/>
  <c r="I52" i="3"/>
  <c r="J52" i="3"/>
  <c r="L52" i="3"/>
  <c r="M52" i="3"/>
  <c r="O52" i="3"/>
  <c r="P52" i="3"/>
  <c r="S52" i="3"/>
  <c r="T52" i="3" s="1"/>
  <c r="F53" i="3"/>
  <c r="G53" i="3"/>
  <c r="I53" i="3"/>
  <c r="J53" i="3"/>
  <c r="L53" i="3"/>
  <c r="M53" i="3"/>
  <c r="N53" i="3" s="1"/>
  <c r="O53" i="3"/>
  <c r="P53" i="3"/>
  <c r="S53" i="3"/>
  <c r="T53" i="3" s="1"/>
  <c r="F54" i="3"/>
  <c r="G54" i="3"/>
  <c r="I54" i="3"/>
  <c r="J54" i="3"/>
  <c r="L54" i="3"/>
  <c r="M54" i="3"/>
  <c r="O54" i="3"/>
  <c r="P54" i="3"/>
  <c r="Q54" i="3" s="1"/>
  <c r="S54" i="3"/>
  <c r="T54" i="3" s="1"/>
  <c r="F55" i="3"/>
  <c r="G55" i="3"/>
  <c r="I55" i="3"/>
  <c r="J55" i="3"/>
  <c r="L55" i="3"/>
  <c r="M55" i="3"/>
  <c r="O55" i="3"/>
  <c r="P55" i="3"/>
  <c r="S55" i="3"/>
  <c r="T55" i="3" s="1"/>
  <c r="F56" i="3"/>
  <c r="G56" i="3"/>
  <c r="H56" i="3" s="1"/>
  <c r="I56" i="3"/>
  <c r="J56" i="3"/>
  <c r="L56" i="3"/>
  <c r="M56" i="3"/>
  <c r="O56" i="3"/>
  <c r="P56" i="3"/>
  <c r="S56" i="3"/>
  <c r="T56" i="3" s="1"/>
  <c r="F57" i="3"/>
  <c r="G57" i="3"/>
  <c r="I57" i="3"/>
  <c r="J57" i="3"/>
  <c r="L57" i="3"/>
  <c r="M57" i="3"/>
  <c r="N57" i="3" s="1"/>
  <c r="O57" i="3"/>
  <c r="P57" i="3"/>
  <c r="S57" i="3"/>
  <c r="T57" i="3" s="1"/>
  <c r="F58" i="3"/>
  <c r="G58" i="3"/>
  <c r="I58" i="3"/>
  <c r="J58" i="3"/>
  <c r="L58" i="3"/>
  <c r="M58" i="3"/>
  <c r="O58" i="3"/>
  <c r="P58" i="3"/>
  <c r="Q58" i="3" s="1"/>
  <c r="S58" i="3"/>
  <c r="T58" i="3" s="1"/>
  <c r="F59" i="3"/>
  <c r="G59" i="3"/>
  <c r="I59" i="3"/>
  <c r="J59" i="3"/>
  <c r="L59" i="3"/>
  <c r="M59" i="3"/>
  <c r="O59" i="3"/>
  <c r="P59" i="3"/>
  <c r="S59" i="3"/>
  <c r="T59" i="3" s="1"/>
  <c r="F60" i="3"/>
  <c r="G60" i="3"/>
  <c r="H60" i="3" s="1"/>
  <c r="I60" i="3"/>
  <c r="J60" i="3"/>
  <c r="L60" i="3"/>
  <c r="M60" i="3"/>
  <c r="O60" i="3"/>
  <c r="P60" i="3"/>
  <c r="S60" i="3"/>
  <c r="T60" i="3" s="1"/>
  <c r="F61" i="3"/>
  <c r="G61" i="3"/>
  <c r="I61" i="3"/>
  <c r="J61" i="3"/>
  <c r="L61" i="3"/>
  <c r="M61" i="3"/>
  <c r="N61" i="3" s="1"/>
  <c r="O61" i="3"/>
  <c r="P61" i="3"/>
  <c r="S61" i="3"/>
  <c r="T61" i="3" s="1"/>
  <c r="F62" i="3"/>
  <c r="G62" i="3"/>
  <c r="I62" i="3"/>
  <c r="J62" i="3"/>
  <c r="L62" i="3"/>
  <c r="M62" i="3"/>
  <c r="O62" i="3"/>
  <c r="P62" i="3"/>
  <c r="Q62" i="3" s="1"/>
  <c r="S62" i="3"/>
  <c r="T62" i="3" s="1"/>
  <c r="F63" i="3"/>
  <c r="G63" i="3"/>
  <c r="I63" i="3"/>
  <c r="J63" i="3"/>
  <c r="L63" i="3"/>
  <c r="M63" i="3"/>
  <c r="O63" i="3"/>
  <c r="P63" i="3"/>
  <c r="S63" i="3"/>
  <c r="T63" i="3" s="1"/>
  <c r="F64" i="3"/>
  <c r="G64" i="3"/>
  <c r="I64" i="3"/>
  <c r="J64" i="3"/>
  <c r="L64" i="3"/>
  <c r="M64" i="3"/>
  <c r="O64" i="3"/>
  <c r="P64" i="3"/>
  <c r="S64" i="3"/>
  <c r="T64" i="3" s="1"/>
  <c r="F65" i="3"/>
  <c r="G65" i="3"/>
  <c r="I65" i="3"/>
  <c r="J65" i="3"/>
  <c r="L65" i="3"/>
  <c r="M65" i="3"/>
  <c r="N65" i="3" s="1"/>
  <c r="O65" i="3"/>
  <c r="P65" i="3"/>
  <c r="S65" i="3"/>
  <c r="T65" i="3" s="1"/>
  <c r="F66" i="3"/>
  <c r="G66" i="3"/>
  <c r="I66" i="3"/>
  <c r="J66" i="3"/>
  <c r="L66" i="3"/>
  <c r="M66" i="3"/>
  <c r="O66" i="3"/>
  <c r="P66" i="3"/>
  <c r="Q66" i="3" s="1"/>
  <c r="S66" i="3"/>
  <c r="T66" i="3" s="1"/>
  <c r="F67" i="3"/>
  <c r="G67" i="3"/>
  <c r="I67" i="3"/>
  <c r="J67" i="3"/>
  <c r="L67" i="3"/>
  <c r="M67" i="3"/>
  <c r="O67" i="3"/>
  <c r="P67" i="3"/>
  <c r="S67" i="3"/>
  <c r="T67" i="3" s="1"/>
  <c r="F68" i="3"/>
  <c r="G68" i="3"/>
  <c r="H68" i="3" s="1"/>
  <c r="I68" i="3"/>
  <c r="J68" i="3"/>
  <c r="L68" i="3"/>
  <c r="M68" i="3"/>
  <c r="O68" i="3"/>
  <c r="P68" i="3"/>
  <c r="S68" i="3"/>
  <c r="T68" i="3" s="1"/>
  <c r="F69" i="3"/>
  <c r="G69" i="3"/>
  <c r="I69" i="3"/>
  <c r="J69" i="3"/>
  <c r="L69" i="3"/>
  <c r="M69" i="3"/>
  <c r="N69" i="3" s="1"/>
  <c r="O69" i="3"/>
  <c r="P69" i="3"/>
  <c r="S69" i="3"/>
  <c r="T69" i="3" s="1"/>
  <c r="F70" i="3"/>
  <c r="G70" i="3"/>
  <c r="I70" i="3"/>
  <c r="J70" i="3"/>
  <c r="L70" i="3"/>
  <c r="M70" i="3"/>
  <c r="O70" i="3"/>
  <c r="P70" i="3"/>
  <c r="Q70" i="3" s="1"/>
  <c r="S70" i="3"/>
  <c r="T70" i="3" s="1"/>
  <c r="F71" i="3"/>
  <c r="G71" i="3"/>
  <c r="I71" i="3"/>
  <c r="J71" i="3"/>
  <c r="L71" i="3"/>
  <c r="M71" i="3"/>
  <c r="O71" i="3"/>
  <c r="P71" i="3"/>
  <c r="S71" i="3"/>
  <c r="T71" i="3" s="1"/>
  <c r="F72" i="3"/>
  <c r="G72" i="3"/>
  <c r="H72" i="3" s="1"/>
  <c r="I72" i="3"/>
  <c r="J72" i="3"/>
  <c r="L72" i="3"/>
  <c r="M72" i="3"/>
  <c r="O72" i="3"/>
  <c r="P72" i="3"/>
  <c r="S72" i="3"/>
  <c r="T72" i="3" s="1"/>
  <c r="F73" i="3"/>
  <c r="G73" i="3"/>
  <c r="I73" i="3"/>
  <c r="J73" i="3"/>
  <c r="L73" i="3"/>
  <c r="M73" i="3"/>
  <c r="N73" i="3" s="1"/>
  <c r="O73" i="3"/>
  <c r="P73" i="3"/>
  <c r="S73" i="3"/>
  <c r="T73" i="3" s="1"/>
  <c r="F74" i="3"/>
  <c r="G74" i="3"/>
  <c r="I74" i="3"/>
  <c r="J74" i="3"/>
  <c r="L74" i="3"/>
  <c r="M74" i="3"/>
  <c r="O74" i="3"/>
  <c r="P74" i="3"/>
  <c r="Q74" i="3" s="1"/>
  <c r="S74" i="3"/>
  <c r="T74" i="3" s="1"/>
  <c r="F75" i="3"/>
  <c r="G75" i="3"/>
  <c r="I75" i="3"/>
  <c r="J75" i="3"/>
  <c r="L75" i="3"/>
  <c r="M75" i="3"/>
  <c r="O75" i="3"/>
  <c r="P75" i="3"/>
  <c r="S75" i="3"/>
  <c r="T75" i="3" s="1"/>
  <c r="F76" i="3"/>
  <c r="G76" i="3"/>
  <c r="H76" i="3" s="1"/>
  <c r="I76" i="3"/>
  <c r="J76" i="3"/>
  <c r="L76" i="3"/>
  <c r="M76" i="3"/>
  <c r="O76" i="3"/>
  <c r="P76" i="3"/>
  <c r="S76" i="3"/>
  <c r="T76" i="3" s="1"/>
  <c r="F77" i="3"/>
  <c r="G77" i="3"/>
  <c r="I77" i="3"/>
  <c r="J77" i="3"/>
  <c r="L77" i="3"/>
  <c r="M77" i="3"/>
  <c r="N77" i="3" s="1"/>
  <c r="O77" i="3"/>
  <c r="P77" i="3"/>
  <c r="S77" i="3"/>
  <c r="T77" i="3" s="1"/>
  <c r="F78" i="3"/>
  <c r="G78" i="3"/>
  <c r="I78" i="3"/>
  <c r="J78" i="3"/>
  <c r="L78" i="3"/>
  <c r="M78" i="3"/>
  <c r="O78" i="3"/>
  <c r="P78" i="3"/>
  <c r="Q78" i="3" s="1"/>
  <c r="S78" i="3"/>
  <c r="T78" i="3" s="1"/>
  <c r="F79" i="3"/>
  <c r="G79" i="3"/>
  <c r="I79" i="3"/>
  <c r="J79" i="3"/>
  <c r="L79" i="3"/>
  <c r="M79" i="3"/>
  <c r="O79" i="3"/>
  <c r="P79" i="3"/>
  <c r="S79" i="3"/>
  <c r="T79" i="3" s="1"/>
  <c r="F80" i="3"/>
  <c r="G80" i="3"/>
  <c r="H80" i="3" s="1"/>
  <c r="I80" i="3"/>
  <c r="J80" i="3"/>
  <c r="L80" i="3"/>
  <c r="M80" i="3"/>
  <c r="O80" i="3"/>
  <c r="P80" i="3"/>
  <c r="S80" i="3"/>
  <c r="T80" i="3" s="1"/>
  <c r="F81" i="3"/>
  <c r="G81" i="3"/>
  <c r="I81" i="3"/>
  <c r="J81" i="3"/>
  <c r="L81" i="3"/>
  <c r="M81" i="3"/>
  <c r="N81" i="3" s="1"/>
  <c r="O81" i="3"/>
  <c r="P81" i="3"/>
  <c r="S81" i="3"/>
  <c r="T81" i="3" s="1"/>
  <c r="F82" i="3"/>
  <c r="G82" i="3"/>
  <c r="I82" i="3"/>
  <c r="J82" i="3"/>
  <c r="L82" i="3"/>
  <c r="M82" i="3"/>
  <c r="O82" i="3"/>
  <c r="P82" i="3"/>
  <c r="Q82" i="3" s="1"/>
  <c r="S82" i="3"/>
  <c r="T82" i="3" s="1"/>
  <c r="F83" i="3"/>
  <c r="G83" i="3"/>
  <c r="I83" i="3"/>
  <c r="J83" i="3"/>
  <c r="L83" i="3"/>
  <c r="M83" i="3"/>
  <c r="O83" i="3"/>
  <c r="P83" i="3"/>
  <c r="S83" i="3"/>
  <c r="T83" i="3" s="1"/>
  <c r="F84" i="3"/>
  <c r="G84" i="3"/>
  <c r="H84" i="3" s="1"/>
  <c r="I84" i="3"/>
  <c r="J84" i="3"/>
  <c r="L84" i="3"/>
  <c r="M84" i="3"/>
  <c r="O84" i="3"/>
  <c r="P84" i="3"/>
  <c r="S84" i="3"/>
  <c r="T84" i="3" s="1"/>
  <c r="F85" i="3"/>
  <c r="G85" i="3"/>
  <c r="I85" i="3"/>
  <c r="J85" i="3"/>
  <c r="L85" i="3"/>
  <c r="M85" i="3"/>
  <c r="N85" i="3" s="1"/>
  <c r="O85" i="3"/>
  <c r="P85" i="3"/>
  <c r="S85" i="3"/>
  <c r="T85" i="3" s="1"/>
  <c r="S2" i="3"/>
  <c r="T2" i="3" s="1"/>
  <c r="P2" i="3"/>
  <c r="O2" i="3"/>
  <c r="M2" i="3"/>
  <c r="L2" i="3"/>
  <c r="J2" i="3"/>
  <c r="I2" i="3"/>
  <c r="G2" i="3"/>
  <c r="F2" i="3"/>
  <c r="N70" i="3" l="1"/>
  <c r="N66" i="3"/>
  <c r="N62" i="3"/>
  <c r="N58" i="3"/>
  <c r="N54" i="3"/>
  <c r="N50" i="3"/>
  <c r="N46" i="3"/>
  <c r="N42" i="3"/>
  <c r="N38" i="3"/>
  <c r="N34" i="3"/>
  <c r="N30" i="3"/>
  <c r="N26" i="3"/>
  <c r="N22" i="3"/>
  <c r="N18" i="3"/>
  <c r="N14" i="3"/>
  <c r="N10" i="3"/>
  <c r="N6" i="3"/>
  <c r="N13" i="3"/>
  <c r="N9" i="3"/>
  <c r="N5" i="3"/>
  <c r="K82" i="3"/>
  <c r="K78" i="3"/>
  <c r="K74" i="3"/>
  <c r="K70" i="3"/>
  <c r="K66" i="3"/>
  <c r="K62" i="3"/>
  <c r="K58" i="3"/>
  <c r="K54" i="3"/>
  <c r="K50" i="3"/>
  <c r="K46" i="3"/>
  <c r="K42" i="3"/>
  <c r="K38" i="3"/>
  <c r="K34" i="3"/>
  <c r="K30" i="3"/>
  <c r="K26" i="3"/>
  <c r="K22" i="3"/>
  <c r="K18" i="3"/>
  <c r="K14" i="3"/>
  <c r="K10" i="3"/>
  <c r="K6" i="3"/>
  <c r="Q77" i="3"/>
  <c r="Q73" i="3"/>
  <c r="Q69" i="3"/>
  <c r="Q65" i="3"/>
  <c r="Q61" i="3"/>
  <c r="Q57" i="3"/>
  <c r="H64" i="3"/>
  <c r="H52" i="3"/>
  <c r="K85" i="3"/>
  <c r="Q85" i="3"/>
  <c r="Q81" i="3"/>
  <c r="N31" i="3"/>
  <c r="N27" i="3"/>
  <c r="N23" i="3"/>
  <c r="N19" i="3"/>
  <c r="N15" i="3"/>
  <c r="N11" i="3"/>
  <c r="N7" i="3"/>
  <c r="N3" i="3"/>
  <c r="K7" i="3"/>
  <c r="K3" i="3"/>
  <c r="K81" i="3"/>
  <c r="K77" i="3"/>
  <c r="K73" i="3"/>
  <c r="K69" i="3"/>
  <c r="K65" i="3"/>
  <c r="K61" i="3"/>
  <c r="K57" i="3"/>
  <c r="K53" i="3"/>
  <c r="K49" i="3"/>
  <c r="K45" i="3"/>
  <c r="K41" i="3"/>
  <c r="K37" i="3"/>
  <c r="N83" i="3"/>
  <c r="N79" i="3"/>
  <c r="N75" i="3"/>
  <c r="N71" i="3"/>
  <c r="N67" i="3"/>
  <c r="N63" i="3"/>
  <c r="N59" i="3"/>
  <c r="N55" i="3"/>
  <c r="N51" i="3"/>
  <c r="N47" i="3"/>
  <c r="N43" i="3"/>
  <c r="N39" i="3"/>
  <c r="Q84" i="3"/>
  <c r="H82" i="3"/>
  <c r="Q80" i="3"/>
  <c r="Q76" i="3"/>
  <c r="Q72" i="3"/>
  <c r="Q68" i="3"/>
  <c r="Q64" i="3"/>
  <c r="Q60" i="3"/>
  <c r="Q56" i="3"/>
  <c r="Q52" i="3"/>
  <c r="Q48" i="3"/>
  <c r="Q44" i="3"/>
  <c r="Q40" i="3"/>
  <c r="Q36" i="3"/>
  <c r="Q32" i="3"/>
  <c r="Q28" i="3"/>
  <c r="Q24" i="3"/>
  <c r="Q20" i="3"/>
  <c r="Q16" i="3"/>
  <c r="Q12" i="3"/>
  <c r="Q8" i="3"/>
  <c r="Q4" i="3"/>
  <c r="Q53" i="3"/>
  <c r="Q49" i="3"/>
  <c r="Q45" i="3"/>
  <c r="Q41" i="3"/>
  <c r="Q37" i="3"/>
  <c r="Q33" i="3"/>
  <c r="Q29" i="3"/>
  <c r="Q25" i="3"/>
  <c r="Q21" i="3"/>
  <c r="Q17" i="3"/>
  <c r="Q13" i="3"/>
  <c r="H11" i="3"/>
  <c r="Q9" i="3"/>
  <c r="H7" i="3"/>
  <c r="Q5" i="3"/>
  <c r="H3" i="3"/>
  <c r="K33" i="3"/>
  <c r="K29" i="3"/>
  <c r="K25" i="3"/>
  <c r="K21" i="3"/>
  <c r="K17" i="3"/>
  <c r="K13" i="3"/>
  <c r="K9" i="3"/>
  <c r="K5" i="3"/>
  <c r="N82" i="3"/>
  <c r="N78" i="3"/>
  <c r="N74" i="3"/>
  <c r="Q83" i="3"/>
  <c r="Q79" i="3"/>
  <c r="Q75" i="3"/>
  <c r="Q71" i="3"/>
  <c r="Q67" i="3"/>
  <c r="Q63" i="3"/>
  <c r="Q59" i="3"/>
  <c r="Q55" i="3"/>
  <c r="Q51" i="3"/>
  <c r="Q47" i="3"/>
  <c r="Q43" i="3"/>
  <c r="Q39" i="3"/>
  <c r="Q35" i="3"/>
  <c r="Q31" i="3"/>
  <c r="Q27" i="3"/>
  <c r="Q23" i="3"/>
  <c r="Q19" i="3"/>
  <c r="Q15" i="3"/>
  <c r="Q11" i="3"/>
  <c r="Q7" i="3"/>
  <c r="Q3" i="3"/>
  <c r="K27" i="3"/>
  <c r="K23" i="3"/>
  <c r="K19" i="3"/>
  <c r="K15" i="3"/>
  <c r="K11" i="3"/>
  <c r="N84" i="3"/>
  <c r="N80" i="3"/>
  <c r="N76" i="3"/>
  <c r="N72" i="3"/>
  <c r="N68" i="3"/>
  <c r="N64" i="3"/>
  <c r="N60" i="3"/>
  <c r="N56" i="3"/>
  <c r="N52" i="3"/>
  <c r="N48" i="3"/>
  <c r="N44" i="3"/>
  <c r="N40" i="3"/>
  <c r="N36" i="3"/>
  <c r="N32" i="3"/>
  <c r="N28" i="3"/>
  <c r="N24" i="3"/>
  <c r="N20" i="3"/>
  <c r="N16" i="3"/>
  <c r="N12" i="3"/>
  <c r="N8" i="3"/>
  <c r="N4" i="3"/>
  <c r="N35" i="3"/>
  <c r="Q2" i="3"/>
  <c r="H78" i="3"/>
  <c r="H74" i="3"/>
  <c r="H70" i="3"/>
  <c r="H66" i="3"/>
  <c r="H62" i="3"/>
  <c r="H58" i="3"/>
  <c r="H54" i="3"/>
  <c r="H50" i="3"/>
  <c r="H46" i="3"/>
  <c r="H42" i="3"/>
  <c r="H38" i="3"/>
  <c r="H34" i="3"/>
  <c r="H30" i="3"/>
  <c r="H26" i="3"/>
  <c r="H22" i="3"/>
  <c r="H18" i="3"/>
  <c r="H14" i="3"/>
  <c r="H10" i="3"/>
  <c r="H6" i="3"/>
  <c r="N2" i="3"/>
  <c r="H85" i="3"/>
  <c r="H81" i="3"/>
  <c r="H77" i="3"/>
  <c r="H73" i="3"/>
  <c r="H69" i="3"/>
  <c r="H65" i="3"/>
  <c r="H61" i="3"/>
  <c r="H57" i="3"/>
  <c r="H53" i="3"/>
  <c r="H49" i="3"/>
  <c r="H45" i="3"/>
  <c r="H41" i="3"/>
  <c r="H37" i="3"/>
  <c r="H33" i="3"/>
  <c r="H29" i="3"/>
  <c r="H25" i="3"/>
  <c r="H21" i="3"/>
  <c r="H17" i="3"/>
  <c r="H13" i="3"/>
  <c r="H9" i="3"/>
  <c r="H5" i="3"/>
  <c r="K2" i="3"/>
  <c r="K83" i="3"/>
  <c r="K79" i="3"/>
  <c r="K75" i="3"/>
  <c r="K71" i="3"/>
  <c r="K67" i="3"/>
  <c r="K63" i="3"/>
  <c r="K59" i="3"/>
  <c r="K55" i="3"/>
  <c r="K51" i="3"/>
  <c r="K47" i="3"/>
  <c r="K43" i="3"/>
  <c r="K39" i="3"/>
  <c r="K35" i="3"/>
  <c r="K31" i="3"/>
  <c r="H2" i="3"/>
  <c r="H83" i="3"/>
  <c r="H79" i="3"/>
  <c r="H75" i="3"/>
  <c r="H71" i="3"/>
  <c r="H67" i="3"/>
  <c r="H63" i="3"/>
  <c r="H59" i="3"/>
  <c r="H55" i="3"/>
  <c r="H51" i="3"/>
  <c r="H47" i="3"/>
  <c r="H43" i="3"/>
  <c r="H39" i="3"/>
  <c r="H35" i="3"/>
  <c r="H31" i="3"/>
  <c r="H27" i="3"/>
  <c r="H23" i="3"/>
  <c r="H19" i="3"/>
  <c r="H15" i="3"/>
  <c r="K84" i="3"/>
  <c r="K80" i="3"/>
  <c r="K76" i="3"/>
  <c r="K72" i="3"/>
  <c r="K68" i="3"/>
  <c r="K64" i="3"/>
  <c r="K60" i="3"/>
  <c r="K56" i="3"/>
  <c r="K52" i="3"/>
  <c r="K48" i="3"/>
  <c r="K44" i="3"/>
  <c r="K40" i="3"/>
  <c r="K36" i="3"/>
  <c r="K32" i="3"/>
  <c r="K28" i="3"/>
  <c r="K24" i="3"/>
  <c r="K20" i="3"/>
  <c r="K16" i="3"/>
  <c r="K12" i="3"/>
  <c r="K8" i="3"/>
  <c r="K4" i="3"/>
</calcChain>
</file>

<file path=xl/sharedStrings.xml><?xml version="1.0" encoding="utf-8"?>
<sst xmlns="http://schemas.openxmlformats.org/spreadsheetml/2006/main" count="539" uniqueCount="204">
  <si>
    <t>SITE ID</t>
  </si>
  <si>
    <t>SITE NAME</t>
  </si>
  <si>
    <t>20BEK0038</t>
  </si>
  <si>
    <t>BUMI_EMAS_MT</t>
  </si>
  <si>
    <t>PT-JAGOI BABANG</t>
  </si>
  <si>
    <t>DSE-JAGOIBABNG02</t>
  </si>
  <si>
    <t>20BEK0043</t>
  </si>
  <si>
    <t>RANGKANG_BEK_EP</t>
  </si>
  <si>
    <t>20BEK0041</t>
  </si>
  <si>
    <t>TVRI_BUMI_AMAS_MT</t>
  </si>
  <si>
    <t>20BEK0072</t>
  </si>
  <si>
    <t>SEKAYOK_TAMANKENCANA_PL</t>
  </si>
  <si>
    <t>20BEK0074</t>
  </si>
  <si>
    <t>GUNABARU_TRANSRANGKAKNG_PL</t>
  </si>
  <si>
    <t>20BEK0040</t>
  </si>
  <si>
    <t>SEBALO_BEK_PL</t>
  </si>
  <si>
    <t>20BEK0032</t>
  </si>
  <si>
    <t>TIRTA_KENCANA_BEK_PL</t>
  </si>
  <si>
    <t>20BEK0033</t>
  </si>
  <si>
    <t>DESA_CIPTAKARYA_BEK_PL</t>
  </si>
  <si>
    <t>20BEK0013</t>
  </si>
  <si>
    <t>CAPKALA_MT</t>
  </si>
  <si>
    <t>PT-MONTERADO</t>
  </si>
  <si>
    <t>DSE1082</t>
  </si>
  <si>
    <t>20BEK0066</t>
  </si>
  <si>
    <t>SELUAS_BEK1_MT</t>
  </si>
  <si>
    <t>DSE1147</t>
  </si>
  <si>
    <t>20BEK0067</t>
  </si>
  <si>
    <t>JAGOI_SEKIDA_EB</t>
  </si>
  <si>
    <t>20BEK0068</t>
  </si>
  <si>
    <t>JAGOIBABANG_EP</t>
  </si>
  <si>
    <t>20BEK0050</t>
  </si>
  <si>
    <t>JESAPE_MT</t>
  </si>
  <si>
    <t>20BEK0051</t>
  </si>
  <si>
    <t>LEDO_MT</t>
  </si>
  <si>
    <t>20BEK0084</t>
  </si>
  <si>
    <t>SUKADAMAI_GADONG_MT</t>
  </si>
  <si>
    <t>20BEK0086</t>
  </si>
  <si>
    <t>TEBUAH_MARONG_PL</t>
  </si>
  <si>
    <t>20BEK0042</t>
  </si>
  <si>
    <t>BELIMBING_BEK_PL</t>
  </si>
  <si>
    <t>20BEK0044</t>
  </si>
  <si>
    <t>LAMOLDA_TB</t>
  </si>
  <si>
    <t>20BEK0034</t>
  </si>
  <si>
    <t>LUMAR_MT</t>
  </si>
  <si>
    <t>20BEK0014</t>
  </si>
  <si>
    <t>JAHANDUNG1_MT</t>
  </si>
  <si>
    <t>20BEK0015</t>
  </si>
  <si>
    <t>RANTAU_BEK_PL</t>
  </si>
  <si>
    <t>20BEK0016</t>
  </si>
  <si>
    <t>SIMPANG_MONTERADO_MT</t>
  </si>
  <si>
    <t>20BEK0017</t>
  </si>
  <si>
    <t>MONTERADO_MT</t>
  </si>
  <si>
    <t>20BEK0018</t>
  </si>
  <si>
    <t>NEK_GINAP_PL</t>
  </si>
  <si>
    <t>20BEK0020</t>
  </si>
  <si>
    <t>GINAP_MONTERADO_PL</t>
  </si>
  <si>
    <t>20BEK0069</t>
  </si>
  <si>
    <t>MONTERADO_CAPKALA_ST</t>
  </si>
  <si>
    <t>20BEK0077</t>
  </si>
  <si>
    <t>SIPKANYIN_JAHANDUNG_PL</t>
  </si>
  <si>
    <t>20BEK0082</t>
  </si>
  <si>
    <t>BOMA_MONTERADO_PL</t>
  </si>
  <si>
    <t>20BEK0076</t>
  </si>
  <si>
    <t>JAHANDUNG_BENGKAYANG_PL</t>
  </si>
  <si>
    <t>20BEK0088</t>
  </si>
  <si>
    <t>MONTERADO_BENGKAYANG_PL</t>
  </si>
  <si>
    <t>20BEK0022</t>
  </si>
  <si>
    <t>MARUNSU_PL</t>
  </si>
  <si>
    <t>DSE-BENGKAYANG01</t>
  </si>
  <si>
    <t>20BEK0025</t>
  </si>
  <si>
    <t>BUKIT_SERAYAN_PL</t>
  </si>
  <si>
    <t>20BEK0026</t>
  </si>
  <si>
    <t>BABANE_MT</t>
  </si>
  <si>
    <t>20BEK0023</t>
  </si>
  <si>
    <t>SAMALANTAN_MT</t>
  </si>
  <si>
    <t>20BEK0087</t>
  </si>
  <si>
    <t>DUSUN_JIRAK_PL</t>
  </si>
  <si>
    <t>20BEK0094</t>
  </si>
  <si>
    <t>20BEK0027</t>
  </si>
  <si>
    <t>PASTIJAYA_PL</t>
  </si>
  <si>
    <t>20BEK0053</t>
  </si>
  <si>
    <t>BANGE_BEK_MT</t>
  </si>
  <si>
    <t>20BEK0047</t>
  </si>
  <si>
    <t>DANTI_PL</t>
  </si>
  <si>
    <t>20BEK0052</t>
  </si>
  <si>
    <t>JESAPEG_PL</t>
  </si>
  <si>
    <t>20BEK0054</t>
  </si>
  <si>
    <t>LEMBANG_BEK_PL</t>
  </si>
  <si>
    <t>20BEK0089</t>
  </si>
  <si>
    <t>TRANS_SEBAKUL_PL</t>
  </si>
  <si>
    <t>20BEK0092</t>
  </si>
  <si>
    <t>GUA_DUGINANG_PL</t>
  </si>
  <si>
    <t>20BEK0056</t>
  </si>
  <si>
    <t>LEMBANGG_PL</t>
  </si>
  <si>
    <t>20BEK0057</t>
  </si>
  <si>
    <t>SANGGAU_LEDO_PL</t>
  </si>
  <si>
    <t>20BEK0093</t>
  </si>
  <si>
    <t>SIMPANG_PAKET_MT</t>
  </si>
  <si>
    <t>20BEK0060</t>
  </si>
  <si>
    <t>MAYAK_BEK_MT</t>
  </si>
  <si>
    <t>20BEK0063</t>
  </si>
  <si>
    <t>SELUAS_BEK2_TB</t>
  </si>
  <si>
    <t>20BEK0064</t>
  </si>
  <si>
    <t>RAYA_SELUAS_TB</t>
  </si>
  <si>
    <t>20BEK0065</t>
  </si>
  <si>
    <t>SENTANGAU_JAYA_EB</t>
  </si>
  <si>
    <t>20BEK0085</t>
  </si>
  <si>
    <t>LAPANGAN_PEREGES_PL</t>
  </si>
  <si>
    <t>20BEK0028</t>
  </si>
  <si>
    <t>GUNUNG_MANDERING_EP</t>
  </si>
  <si>
    <t>20BEK0029</t>
  </si>
  <si>
    <t>SUKA_MAJUG_PL</t>
  </si>
  <si>
    <t>20BEK0030</t>
  </si>
  <si>
    <t>SEMALAT_MT</t>
  </si>
  <si>
    <t>20BEK0031</t>
  </si>
  <si>
    <t>CIPTA_KARYA_BEK_PL</t>
  </si>
  <si>
    <t>20BEK0001</t>
  </si>
  <si>
    <t>KARIMUNTING_BEK2_PL</t>
  </si>
  <si>
    <t>20BEK0003</t>
  </si>
  <si>
    <t>RAYA_KEPULAUAN_ST</t>
  </si>
  <si>
    <t>20BEK0004</t>
  </si>
  <si>
    <t>SEI_RAYA_EP</t>
  </si>
  <si>
    <t>20BEK0005</t>
  </si>
  <si>
    <t>SEI_KERANG_PL</t>
  </si>
  <si>
    <t>20BEK0006</t>
  </si>
  <si>
    <t>RUKMA_JAYA_PL</t>
  </si>
  <si>
    <t>20BEK0002</t>
  </si>
  <si>
    <t>KARIMUNTING_BEK1_EP</t>
  </si>
  <si>
    <t>20BEK0083</t>
  </si>
  <si>
    <t>PANTAI_SOGA_PL</t>
  </si>
  <si>
    <t>20BEK0007</t>
  </si>
  <si>
    <t>SEI_DURI_PL</t>
  </si>
  <si>
    <t>20BEK0008</t>
  </si>
  <si>
    <t>RUKMA_JAYA1_PL</t>
  </si>
  <si>
    <t>20BEK0010</t>
  </si>
  <si>
    <t>SUNGAI_DURI1_MT</t>
  </si>
  <si>
    <t>20BEK0070</t>
  </si>
  <si>
    <t>SUNGAI_JAGA_MT</t>
  </si>
  <si>
    <t>20BEK0079</t>
  </si>
  <si>
    <t>SELUAS_SUNGAIRAYA_PL</t>
  </si>
  <si>
    <t>20BEK0009</t>
  </si>
  <si>
    <t>SUNGAI_DURI2_PL</t>
  </si>
  <si>
    <t>20BEK0011</t>
  </si>
  <si>
    <t>SUNGAI_JAGA_A_BEK_PL</t>
  </si>
  <si>
    <t>20BEK0012</t>
  </si>
  <si>
    <t>SEIPANGKALAN_EP</t>
  </si>
  <si>
    <t>20BEK0090</t>
  </si>
  <si>
    <t>SUNGAIDURI_BENGKAYANG_PL</t>
  </si>
  <si>
    <t>20BEK0036</t>
  </si>
  <si>
    <t>BUMI_MAS_PL</t>
  </si>
  <si>
    <t>DSE-JAGOIBABNG01</t>
  </si>
  <si>
    <t>20BEK0035</t>
  </si>
  <si>
    <t>JELAYAN_TERIAK_BEK_MT</t>
  </si>
  <si>
    <t>20BEK0037</t>
  </si>
  <si>
    <t>BUMI_EMAS_BENGKAYANG_MT</t>
  </si>
  <si>
    <t>20BEK0039</t>
  </si>
  <si>
    <t>BENGKAYANG_MT</t>
  </si>
  <si>
    <t>20BEK0045</t>
  </si>
  <si>
    <t>MALO_JELAYAN_IB</t>
  </si>
  <si>
    <t>20BEK0046</t>
  </si>
  <si>
    <t>BENGKAYANG2_MT</t>
  </si>
  <si>
    <t>20BEK0075</t>
  </si>
  <si>
    <t>NEW_LALAGOLDEN_PL</t>
  </si>
  <si>
    <t>20BEK0091</t>
  </si>
  <si>
    <t>TERIAK_BANA_PL</t>
  </si>
  <si>
    <t>20BEK0055</t>
  </si>
  <si>
    <t>PISAK_KAMUH_PL</t>
  </si>
  <si>
    <t>20BEK0062</t>
  </si>
  <si>
    <t>PISAK_MT</t>
  </si>
  <si>
    <t>20BEK0080</t>
  </si>
  <si>
    <t>PISAK_TUJUHBELAS_PL</t>
  </si>
  <si>
    <t>20BEK0061</t>
  </si>
  <si>
    <t>SEGUNDE_MT</t>
  </si>
  <si>
    <t>20BEK0058</t>
  </si>
  <si>
    <t>SINAR_TEBUDAK_MT</t>
  </si>
  <si>
    <t>CATEGORY</t>
  </si>
  <si>
    <t>BANDARA_SERUKAM_CM</t>
  </si>
  <si>
    <t>PARTNER</t>
  </si>
  <si>
    <t>DSE CODE</t>
  </si>
  <si>
    <t>LRS</t>
  </si>
  <si>
    <t>AT RISK</t>
  </si>
  <si>
    <t>PROFIT</t>
  </si>
  <si>
    <t>REVENUE MTD</t>
  </si>
  <si>
    <t>FWA VLR MTD</t>
  </si>
  <si>
    <t>OUTLET AGUSTUS</t>
  </si>
  <si>
    <t>REVENUE LMTD</t>
  </si>
  <si>
    <t>VLR MTD</t>
  </si>
  <si>
    <t>VLR LMTD</t>
  </si>
  <si>
    <t>FWA VLR LMTD</t>
  </si>
  <si>
    <t>RGU GA LMTD</t>
  </si>
  <si>
    <t>RGU GA MTD</t>
  </si>
  <si>
    <t>RGU 90D MTD</t>
  </si>
  <si>
    <t>RGU 90D LMTD</t>
  </si>
  <si>
    <t>lmtd</t>
  </si>
  <si>
    <t>mtd</t>
  </si>
  <si>
    <t>Row Labels</t>
  </si>
  <si>
    <t>Sum of RGU 90D</t>
  </si>
  <si>
    <t>Sum of RGU GA TRADE</t>
  </si>
  <si>
    <t>Sum of FWA VLR</t>
  </si>
  <si>
    <t>Sum of VLR SUBS</t>
  </si>
  <si>
    <t>Sum of PREPAID REVENUE NETT</t>
  </si>
  <si>
    <t>20BEK0049</t>
  </si>
  <si>
    <t>GROWTH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</si>
</sst>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4">
    <xf numFmtId="0" fontId="0" fillId="0" borderId="0" xfId="0"/>
    <xf numFmtId="164" fontId="0" fillId="0" borderId="0" xfId="1" applyNumberFormat="1" applyFont="1"/>
    <xf numFmtId="3" fontId="0" fillId="0" borderId="0" xfId="0" applyNumberFormat="1"/>
    <xf numFmtId="0" fontId="2" fillId="2" borderId="1" xfId="0" applyFont="1" applyFill="1" applyBorder="1"/>
    <xf numFmtId="0" fontId="2" fillId="2" borderId="0" xfId="0" applyFont="1" applyFill="1" applyBorder="1"/>
    <xf numFmtId="164" fontId="2" fillId="2" borderId="1" xfId="1" applyNumberFormat="1" applyFont="1" applyFill="1" applyBorder="1"/>
    <xf numFmtId="164" fontId="2" fillId="2" borderId="0" xfId="1" applyNumberFormat="1" applyFont="1" applyFill="1" applyBorder="1"/>
    <xf numFmtId="0" fontId="3" fillId="3" borderId="0" xfId="0" applyFont="1" applyFill="1"/>
    <xf numFmtId="0" fontId="3" fillId="3" borderId="2" xfId="0" applyFont="1" applyFill="1" applyBorder="1"/>
    <xf numFmtId="0" fontId="0" fillId="0" borderId="0" xfId="0" applyAlignment="1">
      <alignment horizontal="left"/>
    </xf>
    <xf numFmtId="0" fontId="0" fillId="0" borderId="0" xfId="0" applyNumberFormat="1"/>
    <xf numFmtId="164" fontId="3" fillId="3" borderId="0" xfId="1" applyNumberFormat="1" applyFont="1" applyFill="1"/>
    <xf numFmtId="10" fontId="0" fillId="0" borderId="0" xfId="2" applyNumberFormat="1" applyFont="1"/>
    <xf numFmtId="0" fontId="3" fillId="3" borderId="3" xfId="0" applyNumberFormat="1" applyFont="1" applyFill="1" applyBorder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85"/>
  <sheetViews>
    <sheetView workbookViewId="0">
      <pane xSplit="1" ySplit="1" topLeftCell="B68" activePane="bottomRight" state="frozen"/>
      <selection pane="topRight" activeCell="C1" sqref="C1"/>
      <selection pane="bottomLeft" activeCell="A2" sqref="A2"/>
      <selection pane="bottomRight" sqref="A1:C85"/>
    </sheetView>
  </sheetViews>
  <sheetFormatPr defaultRowHeight="14.5" x14ac:dyDescent="0.35"/>
  <cols>
    <col min="1" max="1" width="9.90625" bestFit="1" customWidth="1"/>
    <col min="2" max="2" width="30.7265625" bestFit="1" customWidth="1"/>
    <col min="3" max="3" width="16.08984375" bestFit="1" customWidth="1"/>
    <col min="4" max="4" width="18.36328125" bestFit="1" customWidth="1"/>
    <col min="5" max="5" width="13" bestFit="1" customWidth="1"/>
    <col min="6" max="6" width="18.26953125" bestFit="1" customWidth="1"/>
    <col min="7" max="8" width="18.26953125" customWidth="1"/>
    <col min="9" max="9" width="12.08984375" bestFit="1" customWidth="1"/>
    <col min="10" max="10" width="12.08984375" customWidth="1"/>
    <col min="11" max="11" width="16.54296875" bestFit="1" customWidth="1"/>
    <col min="12" max="12" width="16.54296875" customWidth="1"/>
    <col min="13" max="13" width="17" style="1" bestFit="1" customWidth="1"/>
    <col min="14" max="14" width="17" style="1" customWidth="1"/>
    <col min="15" max="15" width="17.81640625" style="1" bestFit="1" customWidth="1"/>
    <col min="16" max="16" width="18.54296875" bestFit="1" customWidth="1"/>
    <col min="17" max="17" width="17" bestFit="1" customWidth="1"/>
    <col min="21" max="21" width="17" bestFit="1" customWidth="1"/>
  </cols>
  <sheetData>
    <row r="1" spans="1:21" x14ac:dyDescent="0.35">
      <c r="A1" s="3" t="s">
        <v>0</v>
      </c>
      <c r="B1" s="3" t="s">
        <v>1</v>
      </c>
      <c r="C1" s="4" t="s">
        <v>178</v>
      </c>
      <c r="D1" s="4" t="s">
        <v>179</v>
      </c>
      <c r="E1" s="3" t="s">
        <v>176</v>
      </c>
      <c r="F1" s="5" t="s">
        <v>186</v>
      </c>
      <c r="G1" s="5" t="s">
        <v>183</v>
      </c>
      <c r="H1" s="5" t="s">
        <v>203</v>
      </c>
      <c r="I1" s="3" t="s">
        <v>188</v>
      </c>
      <c r="J1" s="3" t="s">
        <v>187</v>
      </c>
      <c r="K1" s="5" t="s">
        <v>203</v>
      </c>
      <c r="L1" s="3" t="s">
        <v>189</v>
      </c>
      <c r="M1" s="3" t="s">
        <v>184</v>
      </c>
      <c r="N1" s="5" t="s">
        <v>203</v>
      </c>
      <c r="O1" s="5" t="s">
        <v>190</v>
      </c>
      <c r="P1" s="5" t="s">
        <v>191</v>
      </c>
      <c r="Q1" s="5" t="s">
        <v>203</v>
      </c>
      <c r="R1" s="5" t="s">
        <v>193</v>
      </c>
      <c r="S1" s="5" t="s">
        <v>192</v>
      </c>
      <c r="T1" s="5" t="s">
        <v>203</v>
      </c>
      <c r="U1" s="6" t="s">
        <v>185</v>
      </c>
    </row>
    <row r="2" spans="1:21" x14ac:dyDescent="0.35">
      <c r="A2" t="s">
        <v>117</v>
      </c>
      <c r="B2" t="s">
        <v>118</v>
      </c>
      <c r="C2" t="s">
        <v>22</v>
      </c>
      <c r="D2" t="s">
        <v>69</v>
      </c>
      <c r="E2" t="s">
        <v>180</v>
      </c>
      <c r="F2" s="1">
        <f>VLOOKUP(A:A,MASTER!A:F,6,0)</f>
        <v>12452036.798173808</v>
      </c>
      <c r="G2" s="1">
        <f>VLOOKUP(A:A,MASTER!A:K,11,0)</f>
        <v>12287955.952436997</v>
      </c>
      <c r="H2" s="12">
        <f>IFERROR(G2/F2-1,0)</f>
        <v>-1.3177028657743395E-2</v>
      </c>
      <c r="I2" s="2">
        <f>VLOOKUP(A:A,MASTER!A:E,5,0)</f>
        <v>308</v>
      </c>
      <c r="J2" s="2">
        <f>VLOOKUP(A:A,MASTER!A:J,10,0)</f>
        <v>353</v>
      </c>
      <c r="K2" s="12">
        <f>IFERROR(J2/I2-1,0)</f>
        <v>0.14610389610389607</v>
      </c>
      <c r="L2" s="2">
        <f>VLOOKUP(A:A,MASTER!A:D,4,0)</f>
        <v>2</v>
      </c>
      <c r="M2" s="2">
        <f>VLOOKUP(A:A,MASTER!A:I,9,0)</f>
        <v>2</v>
      </c>
      <c r="N2" s="12">
        <f>IFERROR(M2/L2-1,0)</f>
        <v>0</v>
      </c>
      <c r="O2" s="1">
        <f>VLOOKUP(A:A,MASTER!A:C,3,0)</f>
        <v>3</v>
      </c>
      <c r="P2" s="1">
        <f>VLOOKUP(A:A,MASTER!A:H,8,0)</f>
        <v>1</v>
      </c>
      <c r="Q2" s="12">
        <f>IFERROR(P2/O2-1,0)</f>
        <v>-0.66666666666666674</v>
      </c>
      <c r="R2" s="1">
        <f>VLOOKUP(A:A,MASTER!A:B,2,0)</f>
        <v>411</v>
      </c>
      <c r="S2">
        <f>VLOOKUP(A:A,MASTER!A:G,7,0)</f>
        <v>414</v>
      </c>
      <c r="T2" s="12">
        <f>IFERROR(S2/R2-1,0)</f>
        <v>7.2992700729928028E-3</v>
      </c>
      <c r="U2">
        <v>3</v>
      </c>
    </row>
    <row r="3" spans="1:21" x14ac:dyDescent="0.35">
      <c r="A3" t="s">
        <v>127</v>
      </c>
      <c r="B3" t="s">
        <v>128</v>
      </c>
      <c r="C3" t="s">
        <v>22</v>
      </c>
      <c r="D3" t="s">
        <v>69</v>
      </c>
      <c r="E3" t="s">
        <v>181</v>
      </c>
      <c r="F3" s="1">
        <f>VLOOKUP(A:A,MASTER!A:F,6,0)</f>
        <v>15270377.5820772</v>
      </c>
      <c r="G3" s="1">
        <f>VLOOKUP(A:A,MASTER!A:K,11,0)</f>
        <v>14339947.092993161</v>
      </c>
      <c r="H3" s="12">
        <f t="shared" ref="H3:H66" si="0">IFERROR(G3/F3-1,0)</f>
        <v>-6.0930417999361275E-2</v>
      </c>
      <c r="I3" s="2">
        <f>VLOOKUP(A:A,MASTER!A:E,5,0)</f>
        <v>476</v>
      </c>
      <c r="J3" s="2">
        <f>VLOOKUP(A:A,MASTER!A:J,10,0)</f>
        <v>500</v>
      </c>
      <c r="K3" s="12">
        <f t="shared" ref="K3:K66" si="1">IFERROR(J3/I3-1,0)</f>
        <v>5.0420168067226934E-2</v>
      </c>
      <c r="L3" s="2">
        <f>VLOOKUP(A:A,MASTER!A:D,4,0)</f>
        <v>1</v>
      </c>
      <c r="M3" s="2">
        <f>VLOOKUP(A:A,MASTER!A:I,9,0)</f>
        <v>2</v>
      </c>
      <c r="N3" s="12">
        <f t="shared" ref="N3:N66" si="2">IFERROR(M3/L3-1,0)</f>
        <v>1</v>
      </c>
      <c r="O3" s="1">
        <f>VLOOKUP(A:A,MASTER!A:C,3,0)</f>
        <v>2</v>
      </c>
      <c r="P3" s="1">
        <f>VLOOKUP(A:A,MASTER!A:H,8,0)</f>
        <v>6</v>
      </c>
      <c r="Q3" s="12">
        <f t="shared" ref="Q3:Q66" si="3">IFERROR(P3/O3-1,0)</f>
        <v>2</v>
      </c>
      <c r="R3" s="1">
        <f>VLOOKUP(A:A,MASTER!A:B,2,0)</f>
        <v>672</v>
      </c>
      <c r="S3">
        <f>VLOOKUP(A:A,MASTER!A:G,7,0)</f>
        <v>634</v>
      </c>
      <c r="T3" s="12">
        <f t="shared" ref="T3:T66" si="4">IFERROR(S3/R3-1,0)</f>
        <v>-5.6547619047619069E-2</v>
      </c>
      <c r="U3">
        <v>2</v>
      </c>
    </row>
    <row r="4" spans="1:21" x14ac:dyDescent="0.35">
      <c r="A4" t="s">
        <v>119</v>
      </c>
      <c r="B4" t="s">
        <v>120</v>
      </c>
      <c r="C4" t="s">
        <v>22</v>
      </c>
      <c r="D4" t="s">
        <v>69</v>
      </c>
      <c r="E4" t="s">
        <v>182</v>
      </c>
      <c r="F4" s="1">
        <f>VLOOKUP(A:A,MASTER!A:F,6,0)</f>
        <v>17041117.995255239</v>
      </c>
      <c r="G4" s="1">
        <f>VLOOKUP(A:A,MASTER!A:K,11,0)</f>
        <v>19961475.905457538</v>
      </c>
      <c r="H4" s="12">
        <f t="shared" si="0"/>
        <v>0.17137126279011827</v>
      </c>
      <c r="I4" s="2">
        <f>VLOOKUP(A:A,MASTER!A:E,5,0)</f>
        <v>809</v>
      </c>
      <c r="J4" s="2">
        <f>VLOOKUP(A:A,MASTER!A:J,10,0)</f>
        <v>788</v>
      </c>
      <c r="K4" s="12">
        <f t="shared" si="1"/>
        <v>-2.595797280593326E-2</v>
      </c>
      <c r="L4" s="2">
        <f>VLOOKUP(A:A,MASTER!A:D,4,0)</f>
        <v>2</v>
      </c>
      <c r="M4" s="2">
        <f>VLOOKUP(A:A,MASTER!A:I,9,0)</f>
        <v>1</v>
      </c>
      <c r="N4" s="12">
        <f t="shared" si="2"/>
        <v>-0.5</v>
      </c>
      <c r="O4" s="1">
        <f>VLOOKUP(A:A,MASTER!A:C,3,0)</f>
        <v>7</v>
      </c>
      <c r="P4" s="1">
        <f>VLOOKUP(A:A,MASTER!A:H,8,0)</f>
        <v>9</v>
      </c>
      <c r="Q4" s="12">
        <f t="shared" si="3"/>
        <v>0.28571428571428581</v>
      </c>
      <c r="R4" s="1">
        <f>VLOOKUP(A:A,MASTER!A:B,2,0)</f>
        <v>688</v>
      </c>
      <c r="S4">
        <f>VLOOKUP(A:A,MASTER!A:G,7,0)</f>
        <v>770</v>
      </c>
      <c r="T4" s="12">
        <f t="shared" si="4"/>
        <v>0.1191860465116279</v>
      </c>
      <c r="U4">
        <v>4</v>
      </c>
    </row>
    <row r="5" spans="1:21" x14ac:dyDescent="0.35">
      <c r="A5" t="s">
        <v>121</v>
      </c>
      <c r="B5" t="s">
        <v>122</v>
      </c>
      <c r="C5" t="s">
        <v>22</v>
      </c>
      <c r="D5" t="s">
        <v>69</v>
      </c>
      <c r="E5" t="s">
        <v>182</v>
      </c>
      <c r="F5" s="1">
        <f>VLOOKUP(A:A,MASTER!A:F,6,0)</f>
        <v>30428581.790787671</v>
      </c>
      <c r="G5" s="1">
        <f>VLOOKUP(A:A,MASTER!A:K,11,0)</f>
        <v>31260783.726436041</v>
      </c>
      <c r="H5" s="12">
        <f t="shared" si="0"/>
        <v>2.7349350073894163E-2</v>
      </c>
      <c r="I5" s="2">
        <f>VLOOKUP(A:A,MASTER!A:E,5,0)</f>
        <v>1442</v>
      </c>
      <c r="J5" s="2">
        <f>VLOOKUP(A:A,MASTER!A:J,10,0)</f>
        <v>1130</v>
      </c>
      <c r="K5" s="12">
        <f t="shared" si="1"/>
        <v>-0.21636615811373094</v>
      </c>
      <c r="L5" s="2">
        <f>VLOOKUP(A:A,MASTER!A:D,4,0)</f>
        <v>3</v>
      </c>
      <c r="M5" s="2">
        <f>VLOOKUP(A:A,MASTER!A:I,9,0)</f>
        <v>3</v>
      </c>
      <c r="N5" s="12">
        <f t="shared" si="2"/>
        <v>0</v>
      </c>
      <c r="O5" s="1">
        <f>VLOOKUP(A:A,MASTER!A:C,3,0)</f>
        <v>8</v>
      </c>
      <c r="P5" s="1">
        <f>VLOOKUP(A:A,MASTER!A:H,8,0)</f>
        <v>8</v>
      </c>
      <c r="Q5" s="12">
        <f t="shared" si="3"/>
        <v>0</v>
      </c>
      <c r="R5" s="1">
        <f>VLOOKUP(A:A,MASTER!A:B,2,0)</f>
        <v>1193</v>
      </c>
      <c r="S5">
        <f>VLOOKUP(A:A,MASTER!A:G,7,0)</f>
        <v>1214</v>
      </c>
      <c r="T5" s="12">
        <f t="shared" si="4"/>
        <v>1.7602682313495377E-2</v>
      </c>
      <c r="U5">
        <v>3</v>
      </c>
    </row>
    <row r="6" spans="1:21" x14ac:dyDescent="0.35">
      <c r="A6" t="s">
        <v>123</v>
      </c>
      <c r="B6" t="s">
        <v>124</v>
      </c>
      <c r="C6" t="s">
        <v>22</v>
      </c>
      <c r="D6" t="s">
        <v>69</v>
      </c>
      <c r="E6" t="s">
        <v>182</v>
      </c>
      <c r="F6" s="1">
        <f>VLOOKUP(A:A,MASTER!A:F,6,0)</f>
        <v>12572009.692979235</v>
      </c>
      <c r="G6" s="1">
        <f>VLOOKUP(A:A,MASTER!A:K,11,0)</f>
        <v>14087321.867469653</v>
      </c>
      <c r="H6" s="12">
        <f t="shared" si="0"/>
        <v>0.12053062410034854</v>
      </c>
      <c r="I6" s="2">
        <f>VLOOKUP(A:A,MASTER!A:E,5,0)</f>
        <v>333</v>
      </c>
      <c r="J6" s="2">
        <f>VLOOKUP(A:A,MASTER!A:J,10,0)</f>
        <v>377</v>
      </c>
      <c r="K6" s="12">
        <f t="shared" si="1"/>
        <v>0.13213213213213204</v>
      </c>
      <c r="L6" s="2">
        <f>VLOOKUP(A:A,MASTER!A:D,4,0)</f>
        <v>1</v>
      </c>
      <c r="M6" s="2">
        <f>VLOOKUP(A:A,MASTER!A:I,9,0)</f>
        <v>1</v>
      </c>
      <c r="N6" s="12">
        <f t="shared" si="2"/>
        <v>0</v>
      </c>
      <c r="O6" s="1">
        <f>VLOOKUP(A:A,MASTER!A:C,3,0)</f>
        <v>2</v>
      </c>
      <c r="P6" s="1">
        <f>VLOOKUP(A:A,MASTER!A:H,8,0)</f>
        <v>1</v>
      </c>
      <c r="Q6" s="12">
        <f t="shared" si="3"/>
        <v>-0.5</v>
      </c>
      <c r="R6" s="1">
        <f>VLOOKUP(A:A,MASTER!A:B,2,0)</f>
        <v>424</v>
      </c>
      <c r="S6">
        <f>VLOOKUP(A:A,MASTER!A:G,7,0)</f>
        <v>413</v>
      </c>
      <c r="T6" s="12">
        <f t="shared" si="4"/>
        <v>-2.5943396226415061E-2</v>
      </c>
      <c r="U6">
        <v>3</v>
      </c>
    </row>
    <row r="7" spans="1:21" x14ac:dyDescent="0.35">
      <c r="A7" t="s">
        <v>125</v>
      </c>
      <c r="B7" t="s">
        <v>126</v>
      </c>
      <c r="C7" t="s">
        <v>22</v>
      </c>
      <c r="D7" t="s">
        <v>69</v>
      </c>
      <c r="E7" t="s">
        <v>182</v>
      </c>
      <c r="F7" s="1">
        <f>VLOOKUP(A:A,MASTER!A:F,6,0)</f>
        <v>10954941.459135331</v>
      </c>
      <c r="G7" s="1">
        <f>VLOOKUP(A:A,MASTER!A:K,11,0)</f>
        <v>11489847.967613995</v>
      </c>
      <c r="H7" s="12">
        <f t="shared" si="0"/>
        <v>4.8827874660398507E-2</v>
      </c>
      <c r="I7" s="2">
        <f>VLOOKUP(A:A,MASTER!A:E,5,0)</f>
        <v>328</v>
      </c>
      <c r="J7" s="2">
        <f>VLOOKUP(A:A,MASTER!A:J,10,0)</f>
        <v>268</v>
      </c>
      <c r="K7" s="12">
        <f t="shared" si="1"/>
        <v>-0.18292682926829273</v>
      </c>
      <c r="L7" s="2">
        <f>VLOOKUP(A:A,MASTER!A:D,4,0)</f>
        <v>2</v>
      </c>
      <c r="M7" s="2">
        <f>VLOOKUP(A:A,MASTER!A:I,9,0)</f>
        <v>2</v>
      </c>
      <c r="N7" s="12">
        <f t="shared" si="2"/>
        <v>0</v>
      </c>
      <c r="O7" s="1">
        <f>VLOOKUP(A:A,MASTER!A:C,3,0)</f>
        <v>3</v>
      </c>
      <c r="P7" s="1">
        <f>VLOOKUP(A:A,MASTER!A:H,8,0)</f>
        <v>3</v>
      </c>
      <c r="Q7" s="12">
        <f t="shared" si="3"/>
        <v>0</v>
      </c>
      <c r="R7" s="1">
        <f>VLOOKUP(A:A,MASTER!A:B,2,0)</f>
        <v>375</v>
      </c>
      <c r="S7">
        <f>VLOOKUP(A:A,MASTER!A:G,7,0)</f>
        <v>387</v>
      </c>
      <c r="T7" s="12">
        <f t="shared" si="4"/>
        <v>3.2000000000000028E-2</v>
      </c>
      <c r="U7">
        <v>2</v>
      </c>
    </row>
    <row r="8" spans="1:21" x14ac:dyDescent="0.35">
      <c r="A8" t="s">
        <v>131</v>
      </c>
      <c r="B8" t="s">
        <v>132</v>
      </c>
      <c r="C8" t="s">
        <v>22</v>
      </c>
      <c r="D8" t="s">
        <v>69</v>
      </c>
      <c r="E8" t="s">
        <v>182</v>
      </c>
      <c r="F8" s="1">
        <f>VLOOKUP(A:A,MASTER!A:F,6,0)</f>
        <v>12590405.038448486</v>
      </c>
      <c r="G8" s="1">
        <f>VLOOKUP(A:A,MASTER!A:K,11,0)</f>
        <v>13775550.668594858</v>
      </c>
      <c r="H8" s="12">
        <f t="shared" si="0"/>
        <v>9.4130858104022996E-2</v>
      </c>
      <c r="I8" s="2">
        <f>VLOOKUP(A:A,MASTER!A:E,5,0)</f>
        <v>459</v>
      </c>
      <c r="J8" s="2">
        <f>VLOOKUP(A:A,MASTER!A:J,10,0)</f>
        <v>374</v>
      </c>
      <c r="K8" s="12">
        <f t="shared" si="1"/>
        <v>-0.18518518518518523</v>
      </c>
      <c r="L8" s="2">
        <f>VLOOKUP(A:A,MASTER!A:D,4,0)</f>
        <v>1</v>
      </c>
      <c r="M8" s="2">
        <f>VLOOKUP(A:A,MASTER!A:I,9,0)</f>
        <v>2</v>
      </c>
      <c r="N8" s="12">
        <f t="shared" si="2"/>
        <v>1</v>
      </c>
      <c r="O8" s="1">
        <f>VLOOKUP(A:A,MASTER!A:C,3,0)</f>
        <v>2</v>
      </c>
      <c r="P8" s="1">
        <f>VLOOKUP(A:A,MASTER!A:H,8,0)</f>
        <v>3</v>
      </c>
      <c r="Q8" s="12">
        <f t="shared" si="3"/>
        <v>0.5</v>
      </c>
      <c r="R8" s="1">
        <f>VLOOKUP(A:A,MASTER!A:B,2,0)</f>
        <v>589</v>
      </c>
      <c r="S8">
        <f>VLOOKUP(A:A,MASTER!A:G,7,0)</f>
        <v>419</v>
      </c>
      <c r="T8" s="12">
        <f t="shared" si="4"/>
        <v>-0.28862478777589129</v>
      </c>
      <c r="U8">
        <v>9</v>
      </c>
    </row>
    <row r="9" spans="1:21" x14ac:dyDescent="0.35">
      <c r="A9" t="s">
        <v>133</v>
      </c>
      <c r="B9" t="s">
        <v>134</v>
      </c>
      <c r="C9" t="s">
        <v>22</v>
      </c>
      <c r="D9" t="s">
        <v>69</v>
      </c>
      <c r="E9" t="s">
        <v>182</v>
      </c>
      <c r="F9" s="1">
        <f>VLOOKUP(A:A,MASTER!A:F,6,0)</f>
        <v>5908394.1481695939</v>
      </c>
      <c r="G9" s="1">
        <f>VLOOKUP(A:A,MASTER!A:K,11,0)</f>
        <v>6045648.5828848016</v>
      </c>
      <c r="H9" s="12">
        <f t="shared" si="0"/>
        <v>2.3230412743829643E-2</v>
      </c>
      <c r="I9" s="2">
        <f>VLOOKUP(A:A,MASTER!A:E,5,0)</f>
        <v>153</v>
      </c>
      <c r="J9" s="2">
        <f>VLOOKUP(A:A,MASTER!A:J,10,0)</f>
        <v>500</v>
      </c>
      <c r="K9" s="12">
        <f t="shared" si="1"/>
        <v>2.2679738562091503</v>
      </c>
      <c r="L9" s="2">
        <f>VLOOKUP(A:A,MASTER!A:D,4,0)</f>
        <v>1</v>
      </c>
      <c r="M9" s="2">
        <f>VLOOKUP(A:A,MASTER!A:I,9,0)</f>
        <v>2</v>
      </c>
      <c r="N9" s="12">
        <f t="shared" si="2"/>
        <v>1</v>
      </c>
      <c r="O9" s="1">
        <f>VLOOKUP(A:A,MASTER!A:C,3,0)</f>
        <v>1</v>
      </c>
      <c r="P9" s="1">
        <f>VLOOKUP(A:A,MASTER!A:H,8,0)</f>
        <v>6</v>
      </c>
      <c r="Q9" s="12">
        <f t="shared" si="3"/>
        <v>5</v>
      </c>
      <c r="R9" s="1">
        <f>VLOOKUP(A:A,MASTER!A:B,2,0)</f>
        <v>172</v>
      </c>
      <c r="S9">
        <f>VLOOKUP(A:A,MASTER!A:G,7,0)</f>
        <v>629</v>
      </c>
      <c r="T9" s="12">
        <f t="shared" si="4"/>
        <v>2.6569767441860463</v>
      </c>
      <c r="U9">
        <v>1</v>
      </c>
    </row>
    <row r="10" spans="1:21" x14ac:dyDescent="0.35">
      <c r="A10" t="s">
        <v>141</v>
      </c>
      <c r="B10" t="s">
        <v>142</v>
      </c>
      <c r="C10" t="s">
        <v>22</v>
      </c>
      <c r="D10" t="s">
        <v>69</v>
      </c>
      <c r="E10" t="s">
        <v>180</v>
      </c>
      <c r="F10" s="1">
        <f>VLOOKUP(A:A,MASTER!A:F,6,0)</f>
        <v>5680298.6802293016</v>
      </c>
      <c r="G10" s="1">
        <f>VLOOKUP(A:A,MASTER!A:K,11,0)</f>
        <v>2860659.9967147</v>
      </c>
      <c r="H10" s="12">
        <f t="shared" si="0"/>
        <v>-0.49638915878289325</v>
      </c>
      <c r="I10" s="2">
        <f>VLOOKUP(A:A,MASTER!A:E,5,0)</f>
        <v>163</v>
      </c>
      <c r="J10" s="2">
        <f>VLOOKUP(A:A,MASTER!A:J,10,0)</f>
        <v>757</v>
      </c>
      <c r="K10" s="12">
        <f t="shared" si="1"/>
        <v>3.6441717791411046</v>
      </c>
      <c r="L10" s="2">
        <f>VLOOKUP(A:A,MASTER!A:D,4,0)</f>
        <v>0</v>
      </c>
      <c r="M10" s="2">
        <f>VLOOKUP(A:A,MASTER!A:I,9,0)</f>
        <v>1</v>
      </c>
      <c r="N10" s="12">
        <f t="shared" si="2"/>
        <v>0</v>
      </c>
      <c r="O10" s="1">
        <f>VLOOKUP(A:A,MASTER!A:C,3,0)</f>
        <v>1</v>
      </c>
      <c r="P10" s="1">
        <f>VLOOKUP(A:A,MASTER!A:H,8,0)</f>
        <v>10</v>
      </c>
      <c r="Q10" s="12">
        <f t="shared" si="3"/>
        <v>9</v>
      </c>
      <c r="R10" s="1">
        <f>VLOOKUP(A:A,MASTER!A:B,2,0)</f>
        <v>197</v>
      </c>
      <c r="S10">
        <f>VLOOKUP(A:A,MASTER!A:G,7,0)</f>
        <v>774</v>
      </c>
      <c r="T10" s="12">
        <f t="shared" si="4"/>
        <v>2.9289340101522843</v>
      </c>
      <c r="U10">
        <v>1</v>
      </c>
    </row>
    <row r="11" spans="1:21" x14ac:dyDescent="0.35">
      <c r="A11" t="s">
        <v>135</v>
      </c>
      <c r="B11" t="s">
        <v>136</v>
      </c>
      <c r="C11" t="s">
        <v>22</v>
      </c>
      <c r="D11" t="s">
        <v>69</v>
      </c>
      <c r="E11" t="s">
        <v>182</v>
      </c>
      <c r="F11" s="1">
        <f>VLOOKUP(A:A,MASTER!A:F,6,0)</f>
        <v>8944383.1211307161</v>
      </c>
      <c r="G11" s="1">
        <f>VLOOKUP(A:A,MASTER!A:K,11,0)</f>
        <v>11890504.003905904</v>
      </c>
      <c r="H11" s="12">
        <f t="shared" si="0"/>
        <v>0.32938223272380918</v>
      </c>
      <c r="I11" s="2">
        <f>VLOOKUP(A:A,MASTER!A:E,5,0)</f>
        <v>330</v>
      </c>
      <c r="J11" s="2">
        <f>VLOOKUP(A:A,MASTER!A:J,10,0)</f>
        <v>1155</v>
      </c>
      <c r="K11" s="12">
        <f t="shared" si="1"/>
        <v>2.5</v>
      </c>
      <c r="L11" s="2">
        <f>VLOOKUP(A:A,MASTER!A:D,4,0)</f>
        <v>1</v>
      </c>
      <c r="M11" s="2">
        <f>VLOOKUP(A:A,MASTER!A:I,9,0)</f>
        <v>3</v>
      </c>
      <c r="N11" s="12">
        <f t="shared" si="2"/>
        <v>2</v>
      </c>
      <c r="O11" s="1">
        <f>VLOOKUP(A:A,MASTER!A:C,3,0)</f>
        <v>1</v>
      </c>
      <c r="P11" s="1">
        <f>VLOOKUP(A:A,MASTER!A:H,8,0)</f>
        <v>9</v>
      </c>
      <c r="Q11" s="12">
        <f t="shared" si="3"/>
        <v>8</v>
      </c>
      <c r="R11" s="1">
        <f>VLOOKUP(A:A,MASTER!A:B,2,0)</f>
        <v>335</v>
      </c>
      <c r="S11">
        <f>VLOOKUP(A:A,MASTER!A:G,7,0)</f>
        <v>1210</v>
      </c>
      <c r="T11" s="12">
        <f t="shared" si="4"/>
        <v>2.6119402985074629</v>
      </c>
      <c r="U11">
        <v>4</v>
      </c>
    </row>
    <row r="12" spans="1:21" x14ac:dyDescent="0.35">
      <c r="A12" t="s">
        <v>143</v>
      </c>
      <c r="B12" t="s">
        <v>144</v>
      </c>
      <c r="C12" t="s">
        <v>22</v>
      </c>
      <c r="D12" t="s">
        <v>69</v>
      </c>
      <c r="E12" t="s">
        <v>180</v>
      </c>
      <c r="F12" s="1">
        <f>VLOOKUP(A:A,MASTER!A:F,6,0)</f>
        <v>4262490.9429104608</v>
      </c>
      <c r="G12" s="1">
        <f>VLOOKUP(A:A,MASTER!A:K,11,0)</f>
        <v>6152814.3065978391</v>
      </c>
      <c r="H12" s="12">
        <f t="shared" si="0"/>
        <v>0.44347856429617449</v>
      </c>
      <c r="I12" s="2">
        <f>VLOOKUP(A:A,MASTER!A:E,5,0)</f>
        <v>226</v>
      </c>
      <c r="J12" s="2">
        <f>VLOOKUP(A:A,MASTER!A:J,10,0)</f>
        <v>374</v>
      </c>
      <c r="K12" s="12">
        <f t="shared" si="1"/>
        <v>0.65486725663716805</v>
      </c>
      <c r="L12" s="2">
        <f>VLOOKUP(A:A,MASTER!A:D,4,0)</f>
        <v>1</v>
      </c>
      <c r="M12" s="2">
        <f>VLOOKUP(A:A,MASTER!A:I,9,0)</f>
        <v>1</v>
      </c>
      <c r="N12" s="12">
        <f t="shared" si="2"/>
        <v>0</v>
      </c>
      <c r="O12" s="1">
        <f>VLOOKUP(A:A,MASTER!A:C,3,0)</f>
        <v>0</v>
      </c>
      <c r="P12" s="1">
        <f>VLOOKUP(A:A,MASTER!A:H,8,0)</f>
        <v>1</v>
      </c>
      <c r="Q12" s="12">
        <f t="shared" si="3"/>
        <v>0</v>
      </c>
      <c r="R12" s="1">
        <f>VLOOKUP(A:A,MASTER!A:B,2,0)</f>
        <v>213</v>
      </c>
      <c r="S12">
        <f>VLOOKUP(A:A,MASTER!A:G,7,0)</f>
        <v>410</v>
      </c>
      <c r="T12" s="12">
        <f t="shared" si="4"/>
        <v>0.92488262910798125</v>
      </c>
      <c r="U12">
        <v>3</v>
      </c>
    </row>
    <row r="13" spans="1:21" x14ac:dyDescent="0.35">
      <c r="A13" t="s">
        <v>145</v>
      </c>
      <c r="B13" t="s">
        <v>146</v>
      </c>
      <c r="C13" t="s">
        <v>22</v>
      </c>
      <c r="D13" t="s">
        <v>69</v>
      </c>
      <c r="E13" t="s">
        <v>180</v>
      </c>
      <c r="F13" s="1">
        <f>VLOOKUP(A:A,MASTER!A:F,6,0)</f>
        <v>5733341.8539821506</v>
      </c>
      <c r="G13" s="1">
        <f>VLOOKUP(A:A,MASTER!A:K,11,0)</f>
        <v>6544098.7908061044</v>
      </c>
      <c r="H13" s="12">
        <f t="shared" si="0"/>
        <v>0.14141088347293196</v>
      </c>
      <c r="I13" s="2">
        <f>VLOOKUP(A:A,MASTER!A:E,5,0)</f>
        <v>203</v>
      </c>
      <c r="J13" s="2">
        <f>VLOOKUP(A:A,MASTER!A:J,10,0)</f>
        <v>322</v>
      </c>
      <c r="K13" s="12">
        <f t="shared" si="1"/>
        <v>0.5862068965517242</v>
      </c>
      <c r="L13" s="2">
        <f>VLOOKUP(A:A,MASTER!A:D,4,0)</f>
        <v>1</v>
      </c>
      <c r="M13" s="2">
        <f>VLOOKUP(A:A,MASTER!A:I,9,0)</f>
        <v>2</v>
      </c>
      <c r="N13" s="12">
        <f t="shared" si="2"/>
        <v>1</v>
      </c>
      <c r="O13" s="1">
        <f>VLOOKUP(A:A,MASTER!A:C,3,0)</f>
        <v>7</v>
      </c>
      <c r="P13" s="1">
        <f>VLOOKUP(A:A,MASTER!A:H,8,0)</f>
        <v>3</v>
      </c>
      <c r="Q13" s="12">
        <f t="shared" si="3"/>
        <v>-0.5714285714285714</v>
      </c>
      <c r="R13" s="1">
        <f>VLOOKUP(A:A,MASTER!A:B,2,0)</f>
        <v>256</v>
      </c>
      <c r="S13">
        <f>VLOOKUP(A:A,MASTER!A:G,7,0)</f>
        <v>390</v>
      </c>
      <c r="T13" s="12">
        <f t="shared" si="4"/>
        <v>0.5234375</v>
      </c>
      <c r="U13">
        <v>5</v>
      </c>
    </row>
    <row r="14" spans="1:21" x14ac:dyDescent="0.35">
      <c r="A14" t="s">
        <v>20</v>
      </c>
      <c r="B14" t="s">
        <v>21</v>
      </c>
      <c r="C14" t="s">
        <v>22</v>
      </c>
      <c r="D14" t="s">
        <v>69</v>
      </c>
      <c r="E14" t="s">
        <v>182</v>
      </c>
      <c r="F14" s="1">
        <f>VLOOKUP(A:A,MASTER!A:F,6,0)</f>
        <v>12150068.330912439</v>
      </c>
      <c r="G14" s="1">
        <f>VLOOKUP(A:A,MASTER!A:K,11,0)</f>
        <v>27129953.922294252</v>
      </c>
      <c r="H14" s="12">
        <f t="shared" si="0"/>
        <v>1.2329054605618719</v>
      </c>
      <c r="I14" s="2">
        <f>VLOOKUP(A:A,MASTER!A:E,5,0)</f>
        <v>1199</v>
      </c>
      <c r="J14" s="2">
        <f>VLOOKUP(A:A,MASTER!A:J,10,0)</f>
        <v>529</v>
      </c>
      <c r="K14" s="12">
        <f t="shared" si="1"/>
        <v>-0.55879899916597164</v>
      </c>
      <c r="L14" s="2">
        <f>VLOOKUP(A:A,MASTER!A:D,4,0)</f>
        <v>2</v>
      </c>
      <c r="M14" s="2">
        <f>VLOOKUP(A:A,MASTER!A:I,9,0)</f>
        <v>2</v>
      </c>
      <c r="N14" s="12">
        <f t="shared" si="2"/>
        <v>0</v>
      </c>
      <c r="O14" s="1">
        <f>VLOOKUP(A:A,MASTER!A:C,3,0)</f>
        <v>0</v>
      </c>
      <c r="P14" s="1">
        <f>VLOOKUP(A:A,MASTER!A:H,8,0)</f>
        <v>3</v>
      </c>
      <c r="Q14" s="12">
        <f t="shared" si="3"/>
        <v>0</v>
      </c>
      <c r="R14" s="1">
        <f>VLOOKUP(A:A,MASTER!A:B,2,0)</f>
        <v>1426</v>
      </c>
      <c r="S14">
        <f>VLOOKUP(A:A,MASTER!A:G,7,0)</f>
        <v>615</v>
      </c>
      <c r="T14" s="12">
        <f t="shared" si="4"/>
        <v>-0.56872370266479666</v>
      </c>
      <c r="U14">
        <v>3</v>
      </c>
    </row>
    <row r="15" spans="1:21" x14ac:dyDescent="0.35">
      <c r="A15" t="s">
        <v>45</v>
      </c>
      <c r="B15" t="s">
        <v>46</v>
      </c>
      <c r="C15" t="s">
        <v>22</v>
      </c>
      <c r="D15" t="s">
        <v>23</v>
      </c>
      <c r="E15" t="s">
        <v>182</v>
      </c>
      <c r="F15" s="1">
        <f>VLOOKUP(A:A,MASTER!A:F,6,0)</f>
        <v>37115893.490185946</v>
      </c>
      <c r="G15" s="1">
        <f>VLOOKUP(A:A,MASTER!A:K,11,0)</f>
        <v>46248297.021251909</v>
      </c>
      <c r="H15" s="12">
        <f t="shared" si="0"/>
        <v>0.2460510221444816</v>
      </c>
      <c r="I15" s="2">
        <f>VLOOKUP(A:A,MASTER!A:E,5,0)</f>
        <v>996</v>
      </c>
      <c r="J15" s="2">
        <f>VLOOKUP(A:A,MASTER!A:J,10,0)</f>
        <v>150</v>
      </c>
      <c r="K15" s="12">
        <f t="shared" si="1"/>
        <v>-0.8493975903614458</v>
      </c>
      <c r="L15" s="2">
        <f>VLOOKUP(A:A,MASTER!A:D,4,0)</f>
        <v>2</v>
      </c>
      <c r="M15" s="2">
        <f>VLOOKUP(A:A,MASTER!A:I,9,0)</f>
        <v>1</v>
      </c>
      <c r="N15" s="12">
        <f t="shared" si="2"/>
        <v>-0.5</v>
      </c>
      <c r="O15" s="1">
        <f>VLOOKUP(A:A,MASTER!A:C,3,0)</f>
        <v>2</v>
      </c>
      <c r="P15" s="1">
        <f>VLOOKUP(A:A,MASTER!A:H,8,0)</f>
        <v>0</v>
      </c>
      <c r="Q15" s="12">
        <f t="shared" si="3"/>
        <v>-1</v>
      </c>
      <c r="R15" s="1">
        <f>VLOOKUP(A:A,MASTER!A:B,2,0)</f>
        <v>1259</v>
      </c>
      <c r="S15">
        <f>VLOOKUP(A:A,MASTER!A:G,7,0)</f>
        <v>176</v>
      </c>
      <c r="T15" s="12">
        <f t="shared" si="4"/>
        <v>-0.86020651310563934</v>
      </c>
      <c r="U15">
        <v>4</v>
      </c>
    </row>
    <row r="16" spans="1:21" x14ac:dyDescent="0.35">
      <c r="A16" t="s">
        <v>47</v>
      </c>
      <c r="B16" t="s">
        <v>48</v>
      </c>
      <c r="C16" t="s">
        <v>22</v>
      </c>
      <c r="D16" t="s">
        <v>23</v>
      </c>
      <c r="E16" t="s">
        <v>182</v>
      </c>
      <c r="F16" s="1">
        <f>VLOOKUP(A:A,MASTER!A:F,6,0)</f>
        <v>24557779.647644848</v>
      </c>
      <c r="G16" s="1">
        <f>VLOOKUP(A:A,MASTER!A:K,11,0)</f>
        <v>24780324.33078628</v>
      </c>
      <c r="H16" s="12">
        <f t="shared" si="0"/>
        <v>9.062084860052666E-3</v>
      </c>
      <c r="I16" s="2">
        <f>VLOOKUP(A:A,MASTER!A:E,5,0)</f>
        <v>1758</v>
      </c>
      <c r="J16" s="2">
        <f>VLOOKUP(A:A,MASTER!A:J,10,0)</f>
        <v>186</v>
      </c>
      <c r="K16" s="12">
        <f t="shared" si="1"/>
        <v>-0.89419795221843001</v>
      </c>
      <c r="L16" s="2">
        <f>VLOOKUP(A:A,MASTER!A:D,4,0)</f>
        <v>4</v>
      </c>
      <c r="M16" s="2">
        <f>VLOOKUP(A:A,MASTER!A:I,9,0)</f>
        <v>1</v>
      </c>
      <c r="N16" s="12">
        <f t="shared" si="2"/>
        <v>-0.75</v>
      </c>
      <c r="O16" s="1">
        <f>VLOOKUP(A:A,MASTER!A:C,3,0)</f>
        <v>4</v>
      </c>
      <c r="P16" s="1">
        <f>VLOOKUP(A:A,MASTER!A:H,8,0)</f>
        <v>1</v>
      </c>
      <c r="Q16" s="12">
        <f t="shared" si="3"/>
        <v>-0.75</v>
      </c>
      <c r="R16" s="1">
        <f>VLOOKUP(A:A,MASTER!A:B,2,0)</f>
        <v>1028</v>
      </c>
      <c r="S16">
        <f>VLOOKUP(A:A,MASTER!A:G,7,0)</f>
        <v>199</v>
      </c>
      <c r="T16" s="12">
        <f t="shared" si="4"/>
        <v>-0.80642023346303504</v>
      </c>
      <c r="U16">
        <v>4</v>
      </c>
    </row>
    <row r="17" spans="1:21" x14ac:dyDescent="0.35">
      <c r="A17" t="s">
        <v>49</v>
      </c>
      <c r="B17" t="s">
        <v>50</v>
      </c>
      <c r="C17" t="s">
        <v>22</v>
      </c>
      <c r="D17" t="s">
        <v>23</v>
      </c>
      <c r="E17" t="s">
        <v>182</v>
      </c>
      <c r="F17" s="1">
        <f>VLOOKUP(A:A,MASTER!A:F,6,0)</f>
        <v>24093521.100269504</v>
      </c>
      <c r="G17" s="1">
        <f>VLOOKUP(A:A,MASTER!A:K,11,0)</f>
        <v>20292128.333114807</v>
      </c>
      <c r="H17" s="12">
        <f t="shared" si="0"/>
        <v>-0.15777655542062619</v>
      </c>
      <c r="I17" s="2">
        <f>VLOOKUP(A:A,MASTER!A:E,5,0)</f>
        <v>587</v>
      </c>
      <c r="J17" s="2">
        <f>VLOOKUP(A:A,MASTER!A:J,10,0)</f>
        <v>431</v>
      </c>
      <c r="K17" s="12">
        <f t="shared" si="1"/>
        <v>-0.26575809199318567</v>
      </c>
      <c r="L17" s="2">
        <f>VLOOKUP(A:A,MASTER!A:D,4,0)</f>
        <v>3</v>
      </c>
      <c r="M17" s="2">
        <f>VLOOKUP(A:A,MASTER!A:I,9,0)</f>
        <v>1</v>
      </c>
      <c r="N17" s="12">
        <f t="shared" si="2"/>
        <v>-0.66666666666666674</v>
      </c>
      <c r="O17" s="1">
        <f>VLOOKUP(A:A,MASTER!A:C,3,0)</f>
        <v>1</v>
      </c>
      <c r="P17" s="1">
        <f>VLOOKUP(A:A,MASTER!A:H,8,0)</f>
        <v>3</v>
      </c>
      <c r="Q17" s="12">
        <f t="shared" si="3"/>
        <v>2</v>
      </c>
      <c r="R17" s="1">
        <f>VLOOKUP(A:A,MASTER!A:B,2,0)</f>
        <v>948</v>
      </c>
      <c r="S17">
        <f>VLOOKUP(A:A,MASTER!A:G,7,0)</f>
        <v>387</v>
      </c>
      <c r="T17" s="12">
        <f t="shared" si="4"/>
        <v>-0.59177215189873422</v>
      </c>
      <c r="U17">
        <v>4</v>
      </c>
    </row>
    <row r="18" spans="1:21" x14ac:dyDescent="0.35">
      <c r="A18" t="s">
        <v>51</v>
      </c>
      <c r="B18" t="s">
        <v>52</v>
      </c>
      <c r="C18" t="s">
        <v>22</v>
      </c>
      <c r="D18" t="s">
        <v>23</v>
      </c>
      <c r="E18" t="s">
        <v>182</v>
      </c>
      <c r="F18" s="1">
        <f>VLOOKUP(A:A,MASTER!A:F,6,0)</f>
        <v>84378043.245911941</v>
      </c>
      <c r="G18" s="1">
        <f>VLOOKUP(A:A,MASTER!A:K,11,0)</f>
        <v>91431790.086039543</v>
      </c>
      <c r="H18" s="12">
        <f t="shared" si="0"/>
        <v>8.3596947366628482E-2</v>
      </c>
      <c r="I18" s="2">
        <f>VLOOKUP(A:A,MASTER!A:E,5,0)</f>
        <v>2465</v>
      </c>
      <c r="J18" s="2">
        <f>VLOOKUP(A:A,MASTER!A:J,10,0)</f>
        <v>263</v>
      </c>
      <c r="K18" s="12">
        <f t="shared" si="1"/>
        <v>-0.89330628803245438</v>
      </c>
      <c r="L18" s="2">
        <f>VLOOKUP(A:A,MASTER!A:D,4,0)</f>
        <v>11</v>
      </c>
      <c r="M18" s="2">
        <f>VLOOKUP(A:A,MASTER!A:I,9,0)</f>
        <v>2</v>
      </c>
      <c r="N18" s="12">
        <f t="shared" si="2"/>
        <v>-0.81818181818181812</v>
      </c>
      <c r="O18" s="1">
        <f>VLOOKUP(A:A,MASTER!A:C,3,0)</f>
        <v>695</v>
      </c>
      <c r="P18" s="1">
        <f>VLOOKUP(A:A,MASTER!A:H,8,0)</f>
        <v>0</v>
      </c>
      <c r="Q18" s="12">
        <f t="shared" si="3"/>
        <v>-1</v>
      </c>
      <c r="R18" s="1">
        <f>VLOOKUP(A:A,MASTER!A:B,2,0)</f>
        <v>3177</v>
      </c>
      <c r="S18">
        <f>VLOOKUP(A:A,MASTER!A:G,7,0)</f>
        <v>226</v>
      </c>
      <c r="T18" s="12">
        <f t="shared" si="4"/>
        <v>-0.92886370790053507</v>
      </c>
      <c r="U18">
        <v>5</v>
      </c>
    </row>
    <row r="19" spans="1:21" x14ac:dyDescent="0.35">
      <c r="A19" t="s">
        <v>53</v>
      </c>
      <c r="B19" t="s">
        <v>54</v>
      </c>
      <c r="C19" t="s">
        <v>22</v>
      </c>
      <c r="D19" t="s">
        <v>23</v>
      </c>
      <c r="E19" t="s">
        <v>182</v>
      </c>
      <c r="F19" s="1">
        <f>VLOOKUP(A:A,MASTER!A:F,6,0)</f>
        <v>45853440.719571456</v>
      </c>
      <c r="G19" s="1">
        <f>VLOOKUP(A:A,MASTER!A:K,11,0)</f>
        <v>28580704.230768949</v>
      </c>
      <c r="H19" s="12">
        <f t="shared" si="0"/>
        <v>-0.3766944468668858</v>
      </c>
      <c r="I19" s="2">
        <f>VLOOKUP(A:A,MASTER!A:E,5,0)</f>
        <v>1195</v>
      </c>
      <c r="J19" s="2">
        <f>VLOOKUP(A:A,MASTER!A:J,10,0)</f>
        <v>231</v>
      </c>
      <c r="K19" s="12">
        <f t="shared" si="1"/>
        <v>-0.80669456066945611</v>
      </c>
      <c r="L19" s="2">
        <f>VLOOKUP(A:A,MASTER!A:D,4,0)</f>
        <v>2</v>
      </c>
      <c r="M19" s="2">
        <f>VLOOKUP(A:A,MASTER!A:I,9,0)</f>
        <v>1</v>
      </c>
      <c r="N19" s="12">
        <f t="shared" si="2"/>
        <v>-0.5</v>
      </c>
      <c r="O19" s="1">
        <f>VLOOKUP(A:A,MASTER!A:C,3,0)</f>
        <v>1</v>
      </c>
      <c r="P19" s="1">
        <f>VLOOKUP(A:A,MASTER!A:H,8,0)</f>
        <v>2</v>
      </c>
      <c r="Q19" s="12">
        <f t="shared" si="3"/>
        <v>1</v>
      </c>
      <c r="R19" s="1">
        <f>VLOOKUP(A:A,MASTER!A:B,2,0)</f>
        <v>1435</v>
      </c>
      <c r="S19">
        <f>VLOOKUP(A:A,MASTER!A:G,7,0)</f>
        <v>239</v>
      </c>
      <c r="T19" s="12">
        <f t="shared" si="4"/>
        <v>-0.83344947735191632</v>
      </c>
      <c r="U19">
        <v>1</v>
      </c>
    </row>
    <row r="20" spans="1:21" x14ac:dyDescent="0.35">
      <c r="A20" t="s">
        <v>55</v>
      </c>
      <c r="B20" t="s">
        <v>56</v>
      </c>
      <c r="C20" t="s">
        <v>22</v>
      </c>
      <c r="D20" t="s">
        <v>23</v>
      </c>
      <c r="E20" t="s">
        <v>182</v>
      </c>
      <c r="F20" s="1">
        <f>VLOOKUP(A:A,MASTER!A:F,6,0)</f>
        <v>91985409.680114254</v>
      </c>
      <c r="G20" s="1">
        <f>VLOOKUP(A:A,MASTER!A:K,11,0)</f>
        <v>91798677.850888729</v>
      </c>
      <c r="H20" s="12">
        <f t="shared" si="0"/>
        <v>-2.0300157370054528E-3</v>
      </c>
      <c r="I20" s="2">
        <f>VLOOKUP(A:A,MASTER!A:E,5,0)</f>
        <v>2257</v>
      </c>
      <c r="J20" s="2">
        <f>VLOOKUP(A:A,MASTER!A:J,10,0)</f>
        <v>1040</v>
      </c>
      <c r="K20" s="12">
        <f t="shared" si="1"/>
        <v>-0.539211342490031</v>
      </c>
      <c r="L20" s="2">
        <f>VLOOKUP(A:A,MASTER!A:D,4,0)</f>
        <v>11</v>
      </c>
      <c r="M20" s="2">
        <f>VLOOKUP(A:A,MASTER!A:I,9,0)</f>
        <v>3</v>
      </c>
      <c r="N20" s="12">
        <f t="shared" si="2"/>
        <v>-0.72727272727272729</v>
      </c>
      <c r="O20" s="1">
        <f>VLOOKUP(A:A,MASTER!A:C,3,0)</f>
        <v>19</v>
      </c>
      <c r="P20" s="1">
        <f>VLOOKUP(A:A,MASTER!A:H,8,0)</f>
        <v>4</v>
      </c>
      <c r="Q20" s="12">
        <f t="shared" si="3"/>
        <v>-0.78947368421052633</v>
      </c>
      <c r="R20" s="1">
        <f>VLOOKUP(A:A,MASTER!A:B,2,0)</f>
        <v>3011</v>
      </c>
      <c r="S20">
        <f>VLOOKUP(A:A,MASTER!A:G,7,0)</f>
        <v>1386</v>
      </c>
      <c r="T20" s="12">
        <f t="shared" si="4"/>
        <v>-0.53968781135835275</v>
      </c>
      <c r="U20">
        <v>8</v>
      </c>
    </row>
    <row r="21" spans="1:21" x14ac:dyDescent="0.35">
      <c r="A21" t="s">
        <v>67</v>
      </c>
      <c r="B21" t="s">
        <v>68</v>
      </c>
      <c r="C21" t="s">
        <v>22</v>
      </c>
      <c r="D21" t="s">
        <v>23</v>
      </c>
      <c r="E21" t="s">
        <v>180</v>
      </c>
      <c r="F21" s="1">
        <f>VLOOKUP(A:A,MASTER!A:F,6,0)</f>
        <v>13083985.836379612</v>
      </c>
      <c r="G21" s="1">
        <f>VLOOKUP(A:A,MASTER!A:K,11,0)</f>
        <v>13952390.293539824</v>
      </c>
      <c r="H21" s="12">
        <f t="shared" si="0"/>
        <v>6.6371552829539215E-2</v>
      </c>
      <c r="I21" s="2">
        <f>VLOOKUP(A:A,MASTER!A:E,5,0)</f>
        <v>465</v>
      </c>
      <c r="J21" s="2">
        <f>VLOOKUP(A:A,MASTER!A:J,10,0)</f>
        <v>893</v>
      </c>
      <c r="K21" s="12">
        <f t="shared" si="1"/>
        <v>0.9204301075268817</v>
      </c>
      <c r="L21" s="2">
        <f>VLOOKUP(A:A,MASTER!A:D,4,0)</f>
        <v>1</v>
      </c>
      <c r="M21" s="2">
        <f>VLOOKUP(A:A,MASTER!A:I,9,0)</f>
        <v>3</v>
      </c>
      <c r="N21" s="12">
        <f t="shared" si="2"/>
        <v>2</v>
      </c>
      <c r="O21" s="1">
        <f>VLOOKUP(A:A,MASTER!A:C,3,0)</f>
        <v>6</v>
      </c>
      <c r="P21" s="1">
        <f>VLOOKUP(A:A,MASTER!A:H,8,0)</f>
        <v>2</v>
      </c>
      <c r="Q21" s="12">
        <f t="shared" si="3"/>
        <v>-0.66666666666666674</v>
      </c>
      <c r="R21" s="1">
        <f>VLOOKUP(A:A,MASTER!A:B,2,0)</f>
        <v>547</v>
      </c>
      <c r="S21">
        <f>VLOOKUP(A:A,MASTER!A:G,7,0)</f>
        <v>1233</v>
      </c>
      <c r="T21" s="12">
        <f t="shared" si="4"/>
        <v>1.2541133455210236</v>
      </c>
      <c r="U21">
        <v>1</v>
      </c>
    </row>
    <row r="22" spans="1:21" x14ac:dyDescent="0.35">
      <c r="A22" t="s">
        <v>74</v>
      </c>
      <c r="B22" t="s">
        <v>75</v>
      </c>
      <c r="C22" t="s">
        <v>22</v>
      </c>
      <c r="D22" t="s">
        <v>23</v>
      </c>
      <c r="E22" t="s">
        <v>182</v>
      </c>
      <c r="F22" s="1">
        <f>VLOOKUP(A:A,MASTER!A:F,6,0)</f>
        <v>36202793.63631741</v>
      </c>
      <c r="G22" s="1">
        <f>VLOOKUP(A:A,MASTER!A:K,11,0)</f>
        <v>38550165.164171152</v>
      </c>
      <c r="H22" s="12">
        <f t="shared" si="0"/>
        <v>6.4839513531324222E-2</v>
      </c>
      <c r="I22" s="2">
        <f>VLOOKUP(A:A,MASTER!A:E,5,0)</f>
        <v>1297</v>
      </c>
      <c r="J22" s="2">
        <f>VLOOKUP(A:A,MASTER!A:J,10,0)</f>
        <v>904</v>
      </c>
      <c r="K22" s="12">
        <f t="shared" si="1"/>
        <v>-0.30300693909020815</v>
      </c>
      <c r="L22" s="2">
        <f>VLOOKUP(A:A,MASTER!A:D,4,0)</f>
        <v>1</v>
      </c>
      <c r="M22" s="2">
        <f>VLOOKUP(A:A,MASTER!A:I,9,0)</f>
        <v>5</v>
      </c>
      <c r="N22" s="12">
        <f t="shared" si="2"/>
        <v>4</v>
      </c>
      <c r="O22" s="1">
        <f>VLOOKUP(A:A,MASTER!A:C,3,0)</f>
        <v>22</v>
      </c>
      <c r="P22" s="1">
        <f>VLOOKUP(A:A,MASTER!A:H,8,0)</f>
        <v>5</v>
      </c>
      <c r="Q22" s="12">
        <f t="shared" si="3"/>
        <v>-0.77272727272727271</v>
      </c>
      <c r="R22" s="1">
        <f>VLOOKUP(A:A,MASTER!A:B,2,0)</f>
        <v>1731</v>
      </c>
      <c r="S22">
        <f>VLOOKUP(A:A,MASTER!A:G,7,0)</f>
        <v>1017</v>
      </c>
      <c r="T22" s="12">
        <f t="shared" si="4"/>
        <v>-0.41247833622183705</v>
      </c>
      <c r="U22">
        <v>7</v>
      </c>
    </row>
    <row r="23" spans="1:21" x14ac:dyDescent="0.35">
      <c r="A23" t="s">
        <v>70</v>
      </c>
      <c r="B23" t="s">
        <v>71</v>
      </c>
      <c r="C23" t="s">
        <v>22</v>
      </c>
      <c r="D23" t="s">
        <v>23</v>
      </c>
      <c r="E23" t="s">
        <v>180</v>
      </c>
      <c r="F23" s="1">
        <f>VLOOKUP(A:A,MASTER!A:F,6,0)</f>
        <v>15994034.782365471</v>
      </c>
      <c r="G23" s="1">
        <f>VLOOKUP(A:A,MASTER!A:K,11,0)</f>
        <v>16023991.278544333</v>
      </c>
      <c r="H23" s="12">
        <f t="shared" si="0"/>
        <v>1.8729793067531197E-3</v>
      </c>
      <c r="I23" s="2">
        <f>VLOOKUP(A:A,MASTER!A:E,5,0)</f>
        <v>743</v>
      </c>
      <c r="J23" s="2">
        <f>VLOOKUP(A:A,MASTER!A:J,10,0)</f>
        <v>673</v>
      </c>
      <c r="K23" s="12">
        <f t="shared" si="1"/>
        <v>-9.4212651413189796E-2</v>
      </c>
      <c r="L23" s="2">
        <f>VLOOKUP(A:A,MASTER!A:D,4,0)</f>
        <v>1</v>
      </c>
      <c r="M23" s="2">
        <f>VLOOKUP(A:A,MASTER!A:I,9,0)</f>
        <v>3</v>
      </c>
      <c r="N23" s="12">
        <f t="shared" si="2"/>
        <v>2</v>
      </c>
      <c r="O23" s="1">
        <f>VLOOKUP(A:A,MASTER!A:C,3,0)</f>
        <v>12</v>
      </c>
      <c r="P23" s="1">
        <f>VLOOKUP(A:A,MASTER!A:H,8,0)</f>
        <v>4</v>
      </c>
      <c r="Q23" s="12">
        <f t="shared" si="3"/>
        <v>-0.66666666666666674</v>
      </c>
      <c r="R23" s="1">
        <f>VLOOKUP(A:A,MASTER!A:B,2,0)</f>
        <v>875</v>
      </c>
      <c r="S23">
        <f>VLOOKUP(A:A,MASTER!A:G,7,0)</f>
        <v>919</v>
      </c>
      <c r="T23" s="12">
        <f t="shared" si="4"/>
        <v>5.0285714285714267E-2</v>
      </c>
      <c r="U23">
        <v>1</v>
      </c>
    </row>
    <row r="24" spans="1:21" x14ac:dyDescent="0.35">
      <c r="A24" t="s">
        <v>72</v>
      </c>
      <c r="B24" t="s">
        <v>73</v>
      </c>
      <c r="C24" t="s">
        <v>22</v>
      </c>
      <c r="D24" t="s">
        <v>23</v>
      </c>
      <c r="E24" t="s">
        <v>180</v>
      </c>
      <c r="F24" s="1">
        <f>VLOOKUP(A:A,MASTER!A:F,6,0)</f>
        <v>17730094.775826979</v>
      </c>
      <c r="G24" s="1">
        <f>VLOOKUP(A:A,MASTER!A:K,11,0)</f>
        <v>19429198.640231583</v>
      </c>
      <c r="H24" s="12">
        <f t="shared" si="0"/>
        <v>9.5831628983796824E-2</v>
      </c>
      <c r="I24" s="2">
        <f>VLOOKUP(A:A,MASTER!A:E,5,0)</f>
        <v>920</v>
      </c>
      <c r="J24" s="2">
        <f>VLOOKUP(A:A,MASTER!A:J,10,0)</f>
        <v>2089</v>
      </c>
      <c r="K24" s="12">
        <f t="shared" si="1"/>
        <v>1.2706521739130436</v>
      </c>
      <c r="L24" s="2">
        <f>VLOOKUP(A:A,MASTER!A:D,4,0)</f>
        <v>1</v>
      </c>
      <c r="M24" s="2">
        <f>VLOOKUP(A:A,MASTER!A:I,9,0)</f>
        <v>10</v>
      </c>
      <c r="N24" s="12">
        <f t="shared" si="2"/>
        <v>9</v>
      </c>
      <c r="O24" s="1">
        <f>VLOOKUP(A:A,MASTER!A:C,3,0)</f>
        <v>5</v>
      </c>
      <c r="P24" s="1">
        <f>VLOOKUP(A:A,MASTER!A:H,8,0)</f>
        <v>186</v>
      </c>
      <c r="Q24" s="12">
        <f t="shared" si="3"/>
        <v>36.200000000000003</v>
      </c>
      <c r="R24" s="1">
        <f>VLOOKUP(A:A,MASTER!A:B,2,0)</f>
        <v>897</v>
      </c>
      <c r="S24">
        <f>VLOOKUP(A:A,MASTER!A:G,7,0)</f>
        <v>2788</v>
      </c>
      <c r="T24" s="12">
        <f t="shared" si="4"/>
        <v>2.1081382385730212</v>
      </c>
      <c r="U24">
        <v>3</v>
      </c>
    </row>
    <row r="25" spans="1:21" x14ac:dyDescent="0.35">
      <c r="A25" t="s">
        <v>79</v>
      </c>
      <c r="B25" t="s">
        <v>80</v>
      </c>
      <c r="C25" t="s">
        <v>22</v>
      </c>
      <c r="D25" t="s">
        <v>23</v>
      </c>
      <c r="E25" t="s">
        <v>180</v>
      </c>
      <c r="F25" s="1">
        <f>VLOOKUP(A:A,MASTER!A:F,6,0)</f>
        <v>5277024.5563090751</v>
      </c>
      <c r="G25" s="1">
        <f>VLOOKUP(A:A,MASTER!A:K,11,0)</f>
        <v>4433708.8725122856</v>
      </c>
      <c r="H25" s="12">
        <f t="shared" si="0"/>
        <v>-0.15980893679726071</v>
      </c>
      <c r="I25" s="2">
        <f>VLOOKUP(A:A,MASTER!A:E,5,0)</f>
        <v>172</v>
      </c>
      <c r="J25" s="2">
        <f>VLOOKUP(A:A,MASTER!A:J,10,0)</f>
        <v>1195</v>
      </c>
      <c r="K25" s="12">
        <f t="shared" si="1"/>
        <v>5.9476744186046515</v>
      </c>
      <c r="L25" s="2">
        <f>VLOOKUP(A:A,MASTER!A:D,4,0)</f>
        <v>0</v>
      </c>
      <c r="M25" s="2">
        <f>VLOOKUP(A:A,MASTER!A:I,9,0)</f>
        <v>2</v>
      </c>
      <c r="N25" s="12">
        <f t="shared" si="2"/>
        <v>0</v>
      </c>
      <c r="O25" s="1">
        <f>VLOOKUP(A:A,MASTER!A:C,3,0)</f>
        <v>1</v>
      </c>
      <c r="P25" s="1">
        <f>VLOOKUP(A:A,MASTER!A:H,8,0)</f>
        <v>8</v>
      </c>
      <c r="Q25" s="12">
        <f t="shared" si="3"/>
        <v>7</v>
      </c>
      <c r="R25" s="1">
        <f>VLOOKUP(A:A,MASTER!A:B,2,0)</f>
        <v>230</v>
      </c>
      <c r="S25">
        <f>VLOOKUP(A:A,MASTER!A:G,7,0)</f>
        <v>1379</v>
      </c>
      <c r="T25" s="12">
        <f t="shared" si="4"/>
        <v>4.9956521739130437</v>
      </c>
      <c r="U25">
        <v>1</v>
      </c>
    </row>
    <row r="26" spans="1:21" x14ac:dyDescent="0.35">
      <c r="A26" t="s">
        <v>109</v>
      </c>
      <c r="B26" t="s">
        <v>110</v>
      </c>
      <c r="C26" t="s">
        <v>22</v>
      </c>
      <c r="D26" t="s">
        <v>23</v>
      </c>
      <c r="E26" t="s">
        <v>182</v>
      </c>
      <c r="F26" s="1">
        <f>VLOOKUP(A:A,MASTER!A:F,6,0)</f>
        <v>40235450.07087151</v>
      </c>
      <c r="G26" s="1">
        <f>VLOOKUP(A:A,MASTER!A:K,11,0)</f>
        <v>36803930.469524823</v>
      </c>
      <c r="H26" s="12">
        <f t="shared" si="0"/>
        <v>-8.5285975310387729E-2</v>
      </c>
      <c r="I26" s="2">
        <f>VLOOKUP(A:A,MASTER!A:E,5,0)</f>
        <v>1323</v>
      </c>
      <c r="J26" s="2">
        <f>VLOOKUP(A:A,MASTER!A:J,10,0)</f>
        <v>2088</v>
      </c>
      <c r="K26" s="12">
        <f t="shared" si="1"/>
        <v>0.57823129251700678</v>
      </c>
      <c r="L26" s="2">
        <f>VLOOKUP(A:A,MASTER!A:D,4,0)</f>
        <v>5</v>
      </c>
      <c r="M26" s="2">
        <f>VLOOKUP(A:A,MASTER!A:I,9,0)</f>
        <v>10</v>
      </c>
      <c r="N26" s="12">
        <f t="shared" si="2"/>
        <v>1</v>
      </c>
      <c r="O26" s="1">
        <f>VLOOKUP(A:A,MASTER!A:C,3,0)</f>
        <v>4</v>
      </c>
      <c r="P26" s="1">
        <f>VLOOKUP(A:A,MASTER!A:H,8,0)</f>
        <v>21</v>
      </c>
      <c r="Q26" s="12">
        <f t="shared" si="3"/>
        <v>4.25</v>
      </c>
      <c r="R26" s="1">
        <f>VLOOKUP(A:A,MASTER!A:B,2,0)</f>
        <v>1653</v>
      </c>
      <c r="S26">
        <f>VLOOKUP(A:A,MASTER!A:G,7,0)</f>
        <v>2920</v>
      </c>
      <c r="T26" s="12">
        <f t="shared" si="4"/>
        <v>0.76648517846339992</v>
      </c>
      <c r="U26">
        <v>1</v>
      </c>
    </row>
    <row r="27" spans="1:21" x14ac:dyDescent="0.35">
      <c r="A27" t="s">
        <v>111</v>
      </c>
      <c r="B27" t="s">
        <v>112</v>
      </c>
      <c r="C27" t="s">
        <v>22</v>
      </c>
      <c r="D27" t="s">
        <v>23</v>
      </c>
      <c r="E27" t="s">
        <v>182</v>
      </c>
      <c r="F27" s="1">
        <f>VLOOKUP(A:A,MASTER!A:F,6,0)</f>
        <v>28301686.739777543</v>
      </c>
      <c r="G27" s="1">
        <f>VLOOKUP(A:A,MASTER!A:K,11,0)</f>
        <v>30880741.730442863</v>
      </c>
      <c r="H27" s="12">
        <f t="shared" si="0"/>
        <v>9.1127253805707076E-2</v>
      </c>
      <c r="I27" s="2">
        <f>VLOOKUP(A:A,MASTER!A:E,5,0)</f>
        <v>607</v>
      </c>
      <c r="J27" s="2">
        <f>VLOOKUP(A:A,MASTER!A:J,10,0)</f>
        <v>485</v>
      </c>
      <c r="K27" s="12">
        <f t="shared" si="1"/>
        <v>-0.20098846787479407</v>
      </c>
      <c r="L27" s="2">
        <f>VLOOKUP(A:A,MASTER!A:D,4,0)</f>
        <v>1</v>
      </c>
      <c r="M27" s="2">
        <f>VLOOKUP(A:A,MASTER!A:I,9,0)</f>
        <v>1</v>
      </c>
      <c r="N27" s="12">
        <f t="shared" si="2"/>
        <v>0</v>
      </c>
      <c r="O27" s="1">
        <f>VLOOKUP(A:A,MASTER!A:C,3,0)</f>
        <v>6</v>
      </c>
      <c r="P27" s="1">
        <f>VLOOKUP(A:A,MASTER!A:H,8,0)</f>
        <v>6</v>
      </c>
      <c r="Q27" s="12">
        <f t="shared" si="3"/>
        <v>0</v>
      </c>
      <c r="R27" s="1">
        <f>VLOOKUP(A:A,MASTER!A:B,2,0)</f>
        <v>863</v>
      </c>
      <c r="S27">
        <f>VLOOKUP(A:A,MASTER!A:G,7,0)</f>
        <v>537</v>
      </c>
      <c r="T27" s="12">
        <f t="shared" si="4"/>
        <v>-0.3777520278099652</v>
      </c>
      <c r="U27">
        <v>1</v>
      </c>
    </row>
    <row r="28" spans="1:21" x14ac:dyDescent="0.35">
      <c r="A28" t="s">
        <v>113</v>
      </c>
      <c r="B28" t="s">
        <v>114</v>
      </c>
      <c r="C28" t="s">
        <v>22</v>
      </c>
      <c r="D28" t="s">
        <v>23</v>
      </c>
      <c r="E28" t="s">
        <v>182</v>
      </c>
      <c r="F28" s="1">
        <f>VLOOKUP(A:A,MASTER!A:F,6,0)</f>
        <v>30771914.979088616</v>
      </c>
      <c r="G28" s="1">
        <f>VLOOKUP(A:A,MASTER!A:K,11,0)</f>
        <v>29013524.004899658</v>
      </c>
      <c r="H28" s="12">
        <f t="shared" si="0"/>
        <v>-5.7142721711791133E-2</v>
      </c>
      <c r="I28" s="2">
        <f>VLOOKUP(A:A,MASTER!A:E,5,0)</f>
        <v>770</v>
      </c>
      <c r="J28" s="2">
        <f>VLOOKUP(A:A,MASTER!A:J,10,0)</f>
        <v>1300</v>
      </c>
      <c r="K28" s="12">
        <f t="shared" si="1"/>
        <v>0.68831168831168821</v>
      </c>
      <c r="L28" s="2">
        <f>VLOOKUP(A:A,MASTER!A:D,4,0)</f>
        <v>1</v>
      </c>
      <c r="M28" s="2">
        <f>VLOOKUP(A:A,MASTER!A:I,9,0)</f>
        <v>2</v>
      </c>
      <c r="N28" s="12">
        <f t="shared" si="2"/>
        <v>1</v>
      </c>
      <c r="O28" s="1">
        <f>VLOOKUP(A:A,MASTER!A:C,3,0)</f>
        <v>2</v>
      </c>
      <c r="P28" s="1">
        <f>VLOOKUP(A:A,MASTER!A:H,8,0)</f>
        <v>21</v>
      </c>
      <c r="Q28" s="12">
        <f t="shared" si="3"/>
        <v>9.5</v>
      </c>
      <c r="R28" s="1">
        <f>VLOOKUP(A:A,MASTER!A:B,2,0)</f>
        <v>1115</v>
      </c>
      <c r="S28">
        <f>VLOOKUP(A:A,MASTER!A:G,7,0)</f>
        <v>1671</v>
      </c>
      <c r="T28" s="12">
        <f t="shared" si="4"/>
        <v>0.49865470852017935</v>
      </c>
      <c r="U28">
        <v>1</v>
      </c>
    </row>
    <row r="29" spans="1:21" x14ac:dyDescent="0.35">
      <c r="A29" t="s">
        <v>115</v>
      </c>
      <c r="B29" t="s">
        <v>116</v>
      </c>
      <c r="C29" t="s">
        <v>22</v>
      </c>
      <c r="D29" t="s">
        <v>23</v>
      </c>
      <c r="E29" t="s">
        <v>182</v>
      </c>
      <c r="F29" s="1">
        <f>VLOOKUP(A:A,MASTER!A:F,6,0)</f>
        <v>39627788.142400511</v>
      </c>
      <c r="G29" s="1">
        <f>VLOOKUP(A:A,MASTER!A:K,11,0)</f>
        <v>41174058.474659473</v>
      </c>
      <c r="H29" s="12">
        <f t="shared" si="0"/>
        <v>3.901984957380189E-2</v>
      </c>
      <c r="I29" s="2">
        <f>VLOOKUP(A:A,MASTER!A:E,5,0)</f>
        <v>915</v>
      </c>
      <c r="J29" s="2">
        <f>VLOOKUP(A:A,MASTER!A:J,10,0)</f>
        <v>954</v>
      </c>
      <c r="K29" s="12">
        <f t="shared" si="1"/>
        <v>4.2622950819672045E-2</v>
      </c>
      <c r="L29" s="2">
        <f>VLOOKUP(A:A,MASTER!A:D,4,0)</f>
        <v>2</v>
      </c>
      <c r="M29" s="2">
        <f>VLOOKUP(A:A,MASTER!A:I,9,0)</f>
        <v>1</v>
      </c>
      <c r="N29" s="12">
        <f t="shared" si="2"/>
        <v>-0.5</v>
      </c>
      <c r="O29" s="1">
        <f>VLOOKUP(A:A,MASTER!A:C,3,0)</f>
        <v>3</v>
      </c>
      <c r="P29" s="1">
        <f>VLOOKUP(A:A,MASTER!A:H,8,0)</f>
        <v>12</v>
      </c>
      <c r="Q29" s="12">
        <f t="shared" si="3"/>
        <v>3</v>
      </c>
      <c r="R29" s="1">
        <f>VLOOKUP(A:A,MASTER!A:B,2,0)</f>
        <v>1134</v>
      </c>
      <c r="S29">
        <f>VLOOKUP(A:A,MASTER!A:G,7,0)</f>
        <v>872</v>
      </c>
      <c r="T29" s="12">
        <f t="shared" si="4"/>
        <v>-0.23104056437389775</v>
      </c>
      <c r="U29">
        <v>1</v>
      </c>
    </row>
    <row r="30" spans="1:21" x14ac:dyDescent="0.35">
      <c r="A30" t="s">
        <v>16</v>
      </c>
      <c r="B30" t="s">
        <v>17</v>
      </c>
      <c r="C30" t="s">
        <v>4</v>
      </c>
      <c r="D30" t="s">
        <v>151</v>
      </c>
      <c r="E30" t="s">
        <v>182</v>
      </c>
      <c r="F30" s="1">
        <f>VLOOKUP(A:A,MASTER!A:F,6,0)</f>
        <v>57867671.527397662</v>
      </c>
      <c r="G30" s="1">
        <f>VLOOKUP(A:A,MASTER!A:K,11,0)</f>
        <v>52940271.569831714</v>
      </c>
      <c r="H30" s="12">
        <f t="shared" si="0"/>
        <v>-8.5149442296689859E-2</v>
      </c>
      <c r="I30" s="2">
        <f>VLOOKUP(A:A,MASTER!A:E,5,0)</f>
        <v>1163</v>
      </c>
      <c r="J30" s="2">
        <f>VLOOKUP(A:A,MASTER!A:J,10,0)</f>
        <v>684</v>
      </c>
      <c r="K30" s="12">
        <f t="shared" si="1"/>
        <v>-0.41186586414445403</v>
      </c>
      <c r="L30" s="2">
        <f>VLOOKUP(A:A,MASTER!A:D,4,0)</f>
        <v>5</v>
      </c>
      <c r="M30" s="2">
        <f>VLOOKUP(A:A,MASTER!A:I,9,0)</f>
        <v>1</v>
      </c>
      <c r="N30" s="12">
        <f t="shared" si="2"/>
        <v>-0.8</v>
      </c>
      <c r="O30" s="1">
        <f>VLOOKUP(A:A,MASTER!A:C,3,0)</f>
        <v>3</v>
      </c>
      <c r="P30" s="1">
        <f>VLOOKUP(A:A,MASTER!A:H,8,0)</f>
        <v>6</v>
      </c>
      <c r="Q30" s="12">
        <f t="shared" si="3"/>
        <v>1</v>
      </c>
      <c r="R30" s="1">
        <f>VLOOKUP(A:A,MASTER!A:B,2,0)</f>
        <v>1507</v>
      </c>
      <c r="S30">
        <f>VLOOKUP(A:A,MASTER!A:G,7,0)</f>
        <v>872</v>
      </c>
      <c r="T30" s="12">
        <f t="shared" si="4"/>
        <v>-0.42136695421366954</v>
      </c>
      <c r="U30">
        <v>4</v>
      </c>
    </row>
    <row r="31" spans="1:21" x14ac:dyDescent="0.35">
      <c r="A31" t="s">
        <v>18</v>
      </c>
      <c r="B31" t="s">
        <v>19</v>
      </c>
      <c r="C31" t="s">
        <v>4</v>
      </c>
      <c r="D31" t="s">
        <v>151</v>
      </c>
      <c r="E31" t="s">
        <v>182</v>
      </c>
      <c r="F31" s="1">
        <f>VLOOKUP(A:A,MASTER!A:F,6,0)</f>
        <v>21899406.198145673</v>
      </c>
      <c r="G31" s="1">
        <f>VLOOKUP(A:A,MASTER!A:K,11,0)</f>
        <v>23896792.324472841</v>
      </c>
      <c r="H31" s="12">
        <f t="shared" si="0"/>
        <v>9.1207318968141493E-2</v>
      </c>
      <c r="I31" s="2">
        <f>VLOOKUP(A:A,MASTER!A:E,5,0)</f>
        <v>604</v>
      </c>
      <c r="J31" s="2">
        <f>VLOOKUP(A:A,MASTER!A:J,10,0)</f>
        <v>177</v>
      </c>
      <c r="K31" s="12">
        <f t="shared" si="1"/>
        <v>-0.70695364238410596</v>
      </c>
      <c r="L31" s="2">
        <f>VLOOKUP(A:A,MASTER!A:D,4,0)</f>
        <v>3</v>
      </c>
      <c r="M31" s="2">
        <f>VLOOKUP(A:A,MASTER!A:I,9,0)</f>
        <v>1</v>
      </c>
      <c r="N31" s="12">
        <f t="shared" si="2"/>
        <v>-0.66666666666666674</v>
      </c>
      <c r="O31" s="1">
        <f>VLOOKUP(A:A,MASTER!A:C,3,0)</f>
        <v>3</v>
      </c>
      <c r="P31" s="1">
        <f>VLOOKUP(A:A,MASTER!A:H,8,0)</f>
        <v>1</v>
      </c>
      <c r="Q31" s="12">
        <f t="shared" si="3"/>
        <v>-0.66666666666666674</v>
      </c>
      <c r="R31" s="1">
        <f>VLOOKUP(A:A,MASTER!A:B,2,0)</f>
        <v>705</v>
      </c>
      <c r="S31">
        <f>VLOOKUP(A:A,MASTER!A:G,7,0)</f>
        <v>229</v>
      </c>
      <c r="T31" s="12">
        <f t="shared" si="4"/>
        <v>-0.67517730496453898</v>
      </c>
      <c r="U31">
        <v>3</v>
      </c>
    </row>
    <row r="32" spans="1:21" x14ac:dyDescent="0.35">
      <c r="A32" t="s">
        <v>43</v>
      </c>
      <c r="B32" t="s">
        <v>44</v>
      </c>
      <c r="C32" t="s">
        <v>4</v>
      </c>
      <c r="D32" t="s">
        <v>5</v>
      </c>
      <c r="E32" t="s">
        <v>182</v>
      </c>
      <c r="F32" s="1">
        <f>VLOOKUP(A:A,MASTER!A:F,6,0)</f>
        <v>68379291.574158043</v>
      </c>
      <c r="G32" s="1">
        <f>VLOOKUP(A:A,MASTER!A:K,11,0)</f>
        <v>58685299.940138116</v>
      </c>
      <c r="H32" s="12">
        <f t="shared" si="0"/>
        <v>-0.14176794480982147</v>
      </c>
      <c r="I32" s="2">
        <f>VLOOKUP(A:A,MASTER!A:E,5,0)</f>
        <v>1677</v>
      </c>
      <c r="J32" s="2">
        <f>VLOOKUP(A:A,MASTER!A:J,10,0)</f>
        <v>1317</v>
      </c>
      <c r="K32" s="12">
        <f t="shared" si="1"/>
        <v>-0.21466905187835417</v>
      </c>
      <c r="L32" s="2">
        <f>VLOOKUP(A:A,MASTER!A:D,4,0)</f>
        <v>11</v>
      </c>
      <c r="M32" s="2">
        <f>VLOOKUP(A:A,MASTER!A:I,9,0)</f>
        <v>5</v>
      </c>
      <c r="N32" s="12">
        <f t="shared" si="2"/>
        <v>-0.54545454545454541</v>
      </c>
      <c r="O32" s="1">
        <f>VLOOKUP(A:A,MASTER!A:C,3,0)</f>
        <v>17</v>
      </c>
      <c r="P32" s="1">
        <f>VLOOKUP(A:A,MASTER!A:H,8,0)</f>
        <v>12</v>
      </c>
      <c r="Q32" s="12">
        <f t="shared" si="3"/>
        <v>-0.29411764705882348</v>
      </c>
      <c r="R32" s="1">
        <f>VLOOKUP(A:A,MASTER!A:B,2,0)</f>
        <v>1958</v>
      </c>
      <c r="S32">
        <f>VLOOKUP(A:A,MASTER!A:G,7,0)</f>
        <v>1638</v>
      </c>
      <c r="T32" s="12">
        <f t="shared" si="4"/>
        <v>-0.16343207354443312</v>
      </c>
      <c r="U32">
        <v>5</v>
      </c>
    </row>
    <row r="33" spans="1:21" x14ac:dyDescent="0.35">
      <c r="A33" t="s">
        <v>152</v>
      </c>
      <c r="B33" t="s">
        <v>153</v>
      </c>
      <c r="C33" t="s">
        <v>4</v>
      </c>
      <c r="D33" t="s">
        <v>151</v>
      </c>
      <c r="E33" t="s">
        <v>182</v>
      </c>
      <c r="F33" s="1">
        <f>VLOOKUP(A:A,MASTER!A:F,6,0)</f>
        <v>23416239.072707906</v>
      </c>
      <c r="G33" s="1">
        <f>VLOOKUP(A:A,MASTER!A:K,11,0)</f>
        <v>23846332.143704496</v>
      </c>
      <c r="H33" s="12">
        <f t="shared" si="0"/>
        <v>1.8367299277272542E-2</v>
      </c>
      <c r="I33" s="2">
        <f>VLOOKUP(A:A,MASTER!A:E,5,0)</f>
        <v>707</v>
      </c>
      <c r="J33" s="2">
        <f>VLOOKUP(A:A,MASTER!A:J,10,0)</f>
        <v>631</v>
      </c>
      <c r="K33" s="12">
        <f t="shared" si="1"/>
        <v>-0.10749646393210754</v>
      </c>
      <c r="L33" s="2">
        <f>VLOOKUP(A:A,MASTER!A:D,4,0)</f>
        <v>2</v>
      </c>
      <c r="M33" s="2">
        <f>VLOOKUP(A:A,MASTER!A:I,9,0)</f>
        <v>1</v>
      </c>
      <c r="N33" s="12">
        <f t="shared" si="2"/>
        <v>-0.5</v>
      </c>
      <c r="O33" s="1">
        <f>VLOOKUP(A:A,MASTER!A:C,3,0)</f>
        <v>2</v>
      </c>
      <c r="P33" s="1">
        <f>VLOOKUP(A:A,MASTER!A:H,8,0)</f>
        <v>5</v>
      </c>
      <c r="Q33" s="12">
        <f t="shared" si="3"/>
        <v>1.5</v>
      </c>
      <c r="R33" s="1">
        <f>VLOOKUP(A:A,MASTER!A:B,2,0)</f>
        <v>839</v>
      </c>
      <c r="S33">
        <f>VLOOKUP(A:A,MASTER!A:G,7,0)</f>
        <v>884</v>
      </c>
      <c r="T33" s="12">
        <f t="shared" si="4"/>
        <v>5.3635280095351678E-2</v>
      </c>
      <c r="U33">
        <v>3</v>
      </c>
    </row>
    <row r="34" spans="1:21" x14ac:dyDescent="0.35">
      <c r="A34" t="s">
        <v>149</v>
      </c>
      <c r="B34" t="s">
        <v>150</v>
      </c>
      <c r="C34" t="s">
        <v>4</v>
      </c>
      <c r="D34" t="s">
        <v>151</v>
      </c>
      <c r="E34" t="s">
        <v>182</v>
      </c>
      <c r="F34" s="1">
        <f>VLOOKUP(A:A,MASTER!A:F,6,0)</f>
        <v>19580984.263010703</v>
      </c>
      <c r="G34" s="1">
        <f>VLOOKUP(A:A,MASTER!A:K,11,0)</f>
        <v>21933834.462986201</v>
      </c>
      <c r="H34" s="12">
        <f t="shared" si="0"/>
        <v>0.12015995561674253</v>
      </c>
      <c r="I34" s="2">
        <f>VLOOKUP(A:A,MASTER!A:E,5,0)</f>
        <v>592</v>
      </c>
      <c r="J34" s="2">
        <f>VLOOKUP(A:A,MASTER!A:J,10,0)</f>
        <v>1418</v>
      </c>
      <c r="K34" s="12">
        <f t="shared" si="1"/>
        <v>1.3952702702702702</v>
      </c>
      <c r="L34" s="2">
        <f>VLOOKUP(A:A,MASTER!A:D,4,0)</f>
        <v>1</v>
      </c>
      <c r="M34" s="2">
        <f>VLOOKUP(A:A,MASTER!A:I,9,0)</f>
        <v>2</v>
      </c>
      <c r="N34" s="12">
        <f t="shared" si="2"/>
        <v>1</v>
      </c>
      <c r="O34" s="1">
        <f>VLOOKUP(A:A,MASTER!A:C,3,0)</f>
        <v>5</v>
      </c>
      <c r="P34" s="1">
        <f>VLOOKUP(A:A,MASTER!A:H,8,0)</f>
        <v>3</v>
      </c>
      <c r="Q34" s="12">
        <f t="shared" si="3"/>
        <v>-0.4</v>
      </c>
      <c r="R34" s="1">
        <f>VLOOKUP(A:A,MASTER!A:B,2,0)</f>
        <v>697</v>
      </c>
      <c r="S34">
        <f>VLOOKUP(A:A,MASTER!A:G,7,0)</f>
        <v>1039</v>
      </c>
      <c r="T34" s="12">
        <f t="shared" si="4"/>
        <v>0.49067431850789101</v>
      </c>
      <c r="U34">
        <v>4</v>
      </c>
    </row>
    <row r="35" spans="1:21" x14ac:dyDescent="0.35">
      <c r="A35" t="s">
        <v>154</v>
      </c>
      <c r="B35" t="s">
        <v>155</v>
      </c>
      <c r="C35" t="s">
        <v>4</v>
      </c>
      <c r="D35" t="s">
        <v>151</v>
      </c>
      <c r="E35" t="s">
        <v>182</v>
      </c>
      <c r="F35" s="1">
        <f>VLOOKUP(A:A,MASTER!A:F,6,0)</f>
        <v>34271546.343865938</v>
      </c>
      <c r="G35" s="1">
        <f>VLOOKUP(A:A,MASTER!A:K,11,0)</f>
        <v>33947334.926795498</v>
      </c>
      <c r="H35" s="12">
        <f t="shared" si="0"/>
        <v>-9.4600755337224118E-3</v>
      </c>
      <c r="I35" s="2">
        <f>VLOOKUP(A:A,MASTER!A:E,5,0)</f>
        <v>993</v>
      </c>
      <c r="J35" s="2">
        <f>VLOOKUP(A:A,MASTER!A:J,10,0)</f>
        <v>892</v>
      </c>
      <c r="K35" s="12">
        <f t="shared" si="1"/>
        <v>-0.10171198388721048</v>
      </c>
      <c r="L35" s="2">
        <f>VLOOKUP(A:A,MASTER!A:D,4,0)</f>
        <v>2</v>
      </c>
      <c r="M35" s="2">
        <f>VLOOKUP(A:A,MASTER!A:I,9,0)</f>
        <v>2</v>
      </c>
      <c r="N35" s="12">
        <f t="shared" si="2"/>
        <v>0</v>
      </c>
      <c r="O35" s="1">
        <f>VLOOKUP(A:A,MASTER!A:C,3,0)</f>
        <v>18</v>
      </c>
      <c r="P35" s="1">
        <f>VLOOKUP(A:A,MASTER!A:H,8,0)</f>
        <v>4</v>
      </c>
      <c r="Q35" s="12">
        <f t="shared" si="3"/>
        <v>-0.77777777777777779</v>
      </c>
      <c r="R35" s="1">
        <f>VLOOKUP(A:A,MASTER!A:B,2,0)</f>
        <v>1124</v>
      </c>
      <c r="S35">
        <f>VLOOKUP(A:A,MASTER!A:G,7,0)</f>
        <v>1130</v>
      </c>
      <c r="T35" s="12">
        <f t="shared" si="4"/>
        <v>5.3380782918148739E-3</v>
      </c>
      <c r="U35">
        <v>13</v>
      </c>
    </row>
    <row r="36" spans="1:21" x14ac:dyDescent="0.35">
      <c r="A36" t="s">
        <v>2</v>
      </c>
      <c r="B36" t="s">
        <v>3</v>
      </c>
      <c r="C36" t="s">
        <v>4</v>
      </c>
      <c r="D36" t="s">
        <v>151</v>
      </c>
      <c r="E36" t="s">
        <v>182</v>
      </c>
      <c r="F36" s="1">
        <f>VLOOKUP(A:A,MASTER!A:F,6,0)</f>
        <v>33052464.113899976</v>
      </c>
      <c r="G36" s="1">
        <f>VLOOKUP(A:A,MASTER!A:K,11,0)</f>
        <v>32190582.015026674</v>
      </c>
      <c r="H36" s="12">
        <f t="shared" si="0"/>
        <v>-2.6076182880139465E-2</v>
      </c>
      <c r="I36" s="2">
        <f>VLOOKUP(A:A,MASTER!A:E,5,0)</f>
        <v>867</v>
      </c>
      <c r="J36" s="2">
        <f>VLOOKUP(A:A,MASTER!A:J,10,0)</f>
        <v>1129</v>
      </c>
      <c r="K36" s="12">
        <f t="shared" si="1"/>
        <v>0.3021914648212225</v>
      </c>
      <c r="L36" s="2">
        <f>VLOOKUP(A:A,MASTER!A:D,4,0)</f>
        <v>1</v>
      </c>
      <c r="M36" s="2">
        <f>VLOOKUP(A:A,MASTER!A:I,9,0)</f>
        <v>4</v>
      </c>
      <c r="N36" s="12">
        <f t="shared" si="2"/>
        <v>3</v>
      </c>
      <c r="O36" s="1">
        <f>VLOOKUP(A:A,MASTER!A:C,3,0)</f>
        <v>41</v>
      </c>
      <c r="P36" s="1">
        <f>VLOOKUP(A:A,MASTER!A:H,8,0)</f>
        <v>5</v>
      </c>
      <c r="Q36" s="12">
        <f t="shared" si="3"/>
        <v>-0.87804878048780488</v>
      </c>
      <c r="R36" s="1">
        <f>VLOOKUP(A:A,MASTER!A:B,2,0)</f>
        <v>1093</v>
      </c>
      <c r="S36">
        <f>VLOOKUP(A:A,MASTER!A:G,7,0)</f>
        <v>1460</v>
      </c>
      <c r="T36" s="12">
        <f t="shared" si="4"/>
        <v>0.33577310155535223</v>
      </c>
      <c r="U36">
        <v>4</v>
      </c>
    </row>
    <row r="37" spans="1:21" x14ac:dyDescent="0.35">
      <c r="A37" t="s">
        <v>156</v>
      </c>
      <c r="B37" t="s">
        <v>157</v>
      </c>
      <c r="C37" t="s">
        <v>4</v>
      </c>
      <c r="D37" t="s">
        <v>151</v>
      </c>
      <c r="E37" t="s">
        <v>182</v>
      </c>
      <c r="F37" s="1">
        <f>VLOOKUP(A:A,MASTER!A:F,6,0)</f>
        <v>52158232.747112714</v>
      </c>
      <c r="G37" s="1">
        <f>VLOOKUP(A:A,MASTER!A:K,11,0)</f>
        <v>57989157.172912218</v>
      </c>
      <c r="H37" s="12">
        <f t="shared" si="0"/>
        <v>0.11179298298066431</v>
      </c>
      <c r="I37" s="2">
        <f>VLOOKUP(A:A,MASTER!A:E,5,0)</f>
        <v>1425</v>
      </c>
      <c r="J37" s="2">
        <f>VLOOKUP(A:A,MASTER!A:J,10,0)</f>
        <v>827</v>
      </c>
      <c r="K37" s="12">
        <f t="shared" si="1"/>
        <v>-0.41964912280701749</v>
      </c>
      <c r="L37" s="2">
        <f>VLOOKUP(A:A,MASTER!A:D,4,0)</f>
        <v>4</v>
      </c>
      <c r="M37" s="2">
        <f>VLOOKUP(A:A,MASTER!A:I,9,0)</f>
        <v>5</v>
      </c>
      <c r="N37" s="12">
        <f t="shared" si="2"/>
        <v>0.25</v>
      </c>
      <c r="O37" s="1">
        <f>VLOOKUP(A:A,MASTER!A:C,3,0)</f>
        <v>57</v>
      </c>
      <c r="P37" s="1">
        <f>VLOOKUP(A:A,MASTER!A:H,8,0)</f>
        <v>1</v>
      </c>
      <c r="Q37" s="12">
        <f t="shared" si="3"/>
        <v>-0.98245614035087714</v>
      </c>
      <c r="R37" s="1">
        <f>VLOOKUP(A:A,MASTER!A:B,2,0)</f>
        <v>1791</v>
      </c>
      <c r="S37">
        <f>VLOOKUP(A:A,MASTER!A:G,7,0)</f>
        <v>696</v>
      </c>
      <c r="T37" s="12">
        <f t="shared" si="4"/>
        <v>-0.61139028475711887</v>
      </c>
      <c r="U37">
        <v>16</v>
      </c>
    </row>
    <row r="38" spans="1:21" x14ac:dyDescent="0.35">
      <c r="A38" t="s">
        <v>14</v>
      </c>
      <c r="B38" t="s">
        <v>15</v>
      </c>
      <c r="C38" t="s">
        <v>4</v>
      </c>
      <c r="D38" t="s">
        <v>151</v>
      </c>
      <c r="E38" t="s">
        <v>182</v>
      </c>
      <c r="F38" s="1">
        <f>VLOOKUP(A:A,MASTER!A:F,6,0)</f>
        <v>17501175.59762124</v>
      </c>
      <c r="G38" s="1">
        <f>VLOOKUP(A:A,MASTER!A:K,11,0)</f>
        <v>20656820.414189544</v>
      </c>
      <c r="H38" s="12">
        <f t="shared" si="0"/>
        <v>0.18031044823053022</v>
      </c>
      <c r="I38" s="2">
        <f>VLOOKUP(A:A,MASTER!A:E,5,0)</f>
        <v>443</v>
      </c>
      <c r="J38" s="2">
        <f>VLOOKUP(A:A,MASTER!A:J,10,0)</f>
        <v>1560</v>
      </c>
      <c r="K38" s="12">
        <f t="shared" si="1"/>
        <v>2.5214446952595937</v>
      </c>
      <c r="L38" s="2">
        <f>VLOOKUP(A:A,MASTER!A:D,4,0)</f>
        <v>4</v>
      </c>
      <c r="M38" s="2">
        <f>VLOOKUP(A:A,MASTER!A:I,9,0)</f>
        <v>9</v>
      </c>
      <c r="N38" s="12">
        <f t="shared" si="2"/>
        <v>1.25</v>
      </c>
      <c r="O38" s="1">
        <f>VLOOKUP(A:A,MASTER!A:C,3,0)</f>
        <v>2</v>
      </c>
      <c r="P38" s="1">
        <f>VLOOKUP(A:A,MASTER!A:H,8,0)</f>
        <v>11</v>
      </c>
      <c r="Q38" s="12">
        <f t="shared" si="3"/>
        <v>4.5</v>
      </c>
      <c r="R38" s="1">
        <f>VLOOKUP(A:A,MASTER!A:B,2,0)</f>
        <v>603</v>
      </c>
      <c r="S38">
        <f>VLOOKUP(A:A,MASTER!A:G,7,0)</f>
        <v>1909</v>
      </c>
      <c r="T38" s="12">
        <f t="shared" si="4"/>
        <v>2.1658374792703152</v>
      </c>
      <c r="U38">
        <v>3</v>
      </c>
    </row>
    <row r="39" spans="1:21" x14ac:dyDescent="0.35">
      <c r="A39" t="s">
        <v>8</v>
      </c>
      <c r="B39" t="s">
        <v>9</v>
      </c>
      <c r="C39" t="s">
        <v>4</v>
      </c>
      <c r="D39" t="s">
        <v>151</v>
      </c>
      <c r="E39" t="s">
        <v>182</v>
      </c>
      <c r="F39" s="1">
        <f>VLOOKUP(A:A,MASTER!A:F,6,0)</f>
        <v>61288523.598765254</v>
      </c>
      <c r="G39" s="1">
        <f>VLOOKUP(A:A,MASTER!A:K,11,0)</f>
        <v>66763112.972614646</v>
      </c>
      <c r="H39" s="12">
        <f t="shared" si="0"/>
        <v>8.9324869525159833E-2</v>
      </c>
      <c r="I39" s="2">
        <f>VLOOKUP(A:A,MASTER!A:E,5,0)</f>
        <v>2056</v>
      </c>
      <c r="J39" s="2">
        <f>VLOOKUP(A:A,MASTER!A:J,10,0)</f>
        <v>601</v>
      </c>
      <c r="K39" s="12">
        <f t="shared" si="1"/>
        <v>-0.70768482490272366</v>
      </c>
      <c r="L39" s="2">
        <f>VLOOKUP(A:A,MASTER!A:D,4,0)</f>
        <v>5</v>
      </c>
      <c r="M39" s="2">
        <f>VLOOKUP(A:A,MASTER!A:I,9,0)</f>
        <v>2</v>
      </c>
      <c r="N39" s="12">
        <f t="shared" si="2"/>
        <v>-0.6</v>
      </c>
      <c r="O39" s="1">
        <f>VLOOKUP(A:A,MASTER!A:C,3,0)</f>
        <v>14</v>
      </c>
      <c r="P39" s="1">
        <f>VLOOKUP(A:A,MASTER!A:H,8,0)</f>
        <v>4</v>
      </c>
      <c r="Q39" s="12">
        <f t="shared" si="3"/>
        <v>-0.7142857142857143</v>
      </c>
      <c r="R39" s="1">
        <f>VLOOKUP(A:A,MASTER!A:B,2,0)</f>
        <v>2055</v>
      </c>
      <c r="S39">
        <f>VLOOKUP(A:A,MASTER!A:G,7,0)</f>
        <v>866</v>
      </c>
      <c r="T39" s="12">
        <f t="shared" si="4"/>
        <v>-0.57858880778588806</v>
      </c>
      <c r="U39">
        <v>4</v>
      </c>
    </row>
    <row r="40" spans="1:21" x14ac:dyDescent="0.35">
      <c r="A40" t="s">
        <v>39</v>
      </c>
      <c r="B40" t="s">
        <v>40</v>
      </c>
      <c r="C40" t="s">
        <v>4</v>
      </c>
      <c r="D40" t="s">
        <v>5</v>
      </c>
      <c r="E40" t="s">
        <v>182</v>
      </c>
      <c r="F40" s="1">
        <f>VLOOKUP(A:A,MASTER!A:F,6,0)</f>
        <v>42805016.573299475</v>
      </c>
      <c r="G40" s="1">
        <f>VLOOKUP(A:A,MASTER!A:K,11,0)</f>
        <v>46227650.783002853</v>
      </c>
      <c r="H40" s="12">
        <f t="shared" si="0"/>
        <v>7.9958717077995844E-2</v>
      </c>
      <c r="I40" s="2">
        <f>VLOOKUP(A:A,MASTER!A:E,5,0)</f>
        <v>793</v>
      </c>
      <c r="J40" s="2">
        <f>VLOOKUP(A:A,MASTER!A:J,10,0)</f>
        <v>507</v>
      </c>
      <c r="K40" s="12">
        <f t="shared" si="1"/>
        <v>-0.36065573770491799</v>
      </c>
      <c r="L40" s="2">
        <f>VLOOKUP(A:A,MASTER!A:D,4,0)</f>
        <v>4</v>
      </c>
      <c r="M40" s="2">
        <f>VLOOKUP(A:A,MASTER!A:I,9,0)</f>
        <v>1</v>
      </c>
      <c r="N40" s="12">
        <f t="shared" si="2"/>
        <v>-0.75</v>
      </c>
      <c r="O40" s="1">
        <f>VLOOKUP(A:A,MASTER!A:C,3,0)</f>
        <v>7</v>
      </c>
      <c r="P40" s="1">
        <f>VLOOKUP(A:A,MASTER!A:H,8,0)</f>
        <v>3</v>
      </c>
      <c r="Q40" s="12">
        <f t="shared" si="3"/>
        <v>-0.5714285714285714</v>
      </c>
      <c r="R40" s="1">
        <f>VLOOKUP(A:A,MASTER!A:B,2,0)</f>
        <v>880</v>
      </c>
      <c r="S40">
        <f>VLOOKUP(A:A,MASTER!A:G,7,0)</f>
        <v>754</v>
      </c>
      <c r="T40" s="12">
        <f t="shared" si="4"/>
        <v>-0.14318181818181819</v>
      </c>
      <c r="U40">
        <v>3</v>
      </c>
    </row>
    <row r="41" spans="1:21" x14ac:dyDescent="0.35">
      <c r="A41" t="s">
        <v>6</v>
      </c>
      <c r="B41" t="s">
        <v>7</v>
      </c>
      <c r="C41" t="s">
        <v>4</v>
      </c>
      <c r="D41" t="s">
        <v>151</v>
      </c>
      <c r="E41" t="s">
        <v>182</v>
      </c>
      <c r="F41" s="1">
        <f>VLOOKUP(A:A,MASTER!A:F,6,0)</f>
        <v>35305267.70624648</v>
      </c>
      <c r="G41" s="1">
        <f>VLOOKUP(A:A,MASTER!A:K,11,0)</f>
        <v>27034432.239690185</v>
      </c>
      <c r="H41" s="12">
        <f t="shared" si="0"/>
        <v>-0.23426632918840484</v>
      </c>
      <c r="I41" s="2">
        <f>VLOOKUP(A:A,MASTER!A:E,5,0)</f>
        <v>954</v>
      </c>
      <c r="J41" s="2">
        <f>VLOOKUP(A:A,MASTER!A:J,10,0)</f>
        <v>822</v>
      </c>
      <c r="K41" s="12">
        <f t="shared" si="1"/>
        <v>-0.13836477987421381</v>
      </c>
      <c r="L41" s="2">
        <f>VLOOKUP(A:A,MASTER!A:D,4,0)</f>
        <v>3</v>
      </c>
      <c r="M41" s="2">
        <f>VLOOKUP(A:A,MASTER!A:I,9,0)</f>
        <v>1</v>
      </c>
      <c r="N41" s="12">
        <f t="shared" si="2"/>
        <v>-0.66666666666666674</v>
      </c>
      <c r="O41" s="1">
        <f>VLOOKUP(A:A,MASTER!A:C,3,0)</f>
        <v>3</v>
      </c>
      <c r="P41" s="1">
        <f>VLOOKUP(A:A,MASTER!A:H,8,0)</f>
        <v>22</v>
      </c>
      <c r="Q41" s="12">
        <f t="shared" si="3"/>
        <v>6.333333333333333</v>
      </c>
      <c r="R41" s="1">
        <f>VLOOKUP(A:A,MASTER!A:B,2,0)</f>
        <v>1099</v>
      </c>
      <c r="S41">
        <f>VLOOKUP(A:A,MASTER!A:G,7,0)</f>
        <v>1146</v>
      </c>
      <c r="T41" s="12">
        <f t="shared" si="4"/>
        <v>4.2766151046405909E-2</v>
      </c>
      <c r="U41">
        <v>4</v>
      </c>
    </row>
    <row r="42" spans="1:21" x14ac:dyDescent="0.35">
      <c r="A42" t="s">
        <v>41</v>
      </c>
      <c r="B42" t="s">
        <v>42</v>
      </c>
      <c r="C42" t="s">
        <v>4</v>
      </c>
      <c r="D42" t="s">
        <v>5</v>
      </c>
      <c r="E42" t="s">
        <v>182</v>
      </c>
      <c r="F42" s="1">
        <f>VLOOKUP(A:A,MASTER!A:F,6,0)</f>
        <v>34656045.854344085</v>
      </c>
      <c r="G42" s="1">
        <f>VLOOKUP(A:A,MASTER!A:K,11,0)</f>
        <v>34623144.718677483</v>
      </c>
      <c r="H42" s="12">
        <f t="shared" si="0"/>
        <v>-9.4936207681861617E-4</v>
      </c>
      <c r="I42" s="2">
        <f>VLOOKUP(A:A,MASTER!A:E,5,0)</f>
        <v>621</v>
      </c>
      <c r="J42" s="2">
        <f>VLOOKUP(A:A,MASTER!A:J,10,0)</f>
        <v>932</v>
      </c>
      <c r="K42" s="12">
        <f t="shared" si="1"/>
        <v>0.50080515297906603</v>
      </c>
      <c r="L42" s="2">
        <f>VLOOKUP(A:A,MASTER!A:D,4,0)</f>
        <v>5</v>
      </c>
      <c r="M42" s="2">
        <f>VLOOKUP(A:A,MASTER!A:I,9,0)</f>
        <v>1</v>
      </c>
      <c r="N42" s="12">
        <f t="shared" si="2"/>
        <v>-0.8</v>
      </c>
      <c r="O42" s="1">
        <f>VLOOKUP(A:A,MASTER!A:C,3,0)</f>
        <v>0</v>
      </c>
      <c r="P42" s="1">
        <f>VLOOKUP(A:A,MASTER!A:H,8,0)</f>
        <v>319</v>
      </c>
      <c r="Q42" s="12">
        <f t="shared" si="3"/>
        <v>0</v>
      </c>
      <c r="R42" s="1">
        <f>VLOOKUP(A:A,MASTER!A:B,2,0)</f>
        <v>860</v>
      </c>
      <c r="S42">
        <f>VLOOKUP(A:A,MASTER!A:G,7,0)</f>
        <v>1415</v>
      </c>
      <c r="T42" s="12">
        <f t="shared" si="4"/>
        <v>0.64534883720930236</v>
      </c>
      <c r="U42">
        <v>2</v>
      </c>
    </row>
    <row r="43" spans="1:21" x14ac:dyDescent="0.35">
      <c r="A43" t="s">
        <v>158</v>
      </c>
      <c r="B43" t="s">
        <v>159</v>
      </c>
      <c r="C43" t="s">
        <v>4</v>
      </c>
      <c r="D43" t="s">
        <v>151</v>
      </c>
      <c r="E43" t="s">
        <v>182</v>
      </c>
      <c r="F43" s="1">
        <f>VLOOKUP(A:A,MASTER!A:F,6,0)</f>
        <v>21610464.703248747</v>
      </c>
      <c r="G43" s="1">
        <f>VLOOKUP(A:A,MASTER!A:K,11,0)</f>
        <v>21742784.05233898</v>
      </c>
      <c r="H43" s="12">
        <f t="shared" si="0"/>
        <v>6.1229293727469436E-3</v>
      </c>
      <c r="I43" s="2">
        <f>VLOOKUP(A:A,MASTER!A:E,5,0)</f>
        <v>568</v>
      </c>
      <c r="J43" s="2">
        <f>VLOOKUP(A:A,MASTER!A:J,10,0)</f>
        <v>1573</v>
      </c>
      <c r="K43" s="12">
        <f t="shared" si="1"/>
        <v>1.7693661971830985</v>
      </c>
      <c r="L43" s="2">
        <f>VLOOKUP(A:A,MASTER!A:D,4,0)</f>
        <v>10</v>
      </c>
      <c r="M43" s="2">
        <f>VLOOKUP(A:A,MASTER!A:I,9,0)</f>
        <v>5</v>
      </c>
      <c r="N43" s="12">
        <f t="shared" si="2"/>
        <v>-0.5</v>
      </c>
      <c r="O43" s="1">
        <f>VLOOKUP(A:A,MASTER!A:C,3,0)</f>
        <v>3</v>
      </c>
      <c r="P43" s="1">
        <f>VLOOKUP(A:A,MASTER!A:H,8,0)</f>
        <v>137</v>
      </c>
      <c r="Q43" s="12">
        <f t="shared" si="3"/>
        <v>44.666666666666664</v>
      </c>
      <c r="R43" s="1">
        <f>VLOOKUP(A:A,MASTER!A:B,2,0)</f>
        <v>666</v>
      </c>
      <c r="S43">
        <f>VLOOKUP(A:A,MASTER!A:G,7,0)</f>
        <v>2252</v>
      </c>
      <c r="T43" s="12">
        <f t="shared" si="4"/>
        <v>2.3813813813813813</v>
      </c>
      <c r="U43">
        <v>2</v>
      </c>
    </row>
    <row r="44" spans="1:21" x14ac:dyDescent="0.35">
      <c r="A44" t="s">
        <v>160</v>
      </c>
      <c r="B44" t="s">
        <v>161</v>
      </c>
      <c r="C44" t="s">
        <v>4</v>
      </c>
      <c r="D44" t="s">
        <v>151</v>
      </c>
      <c r="E44" t="s">
        <v>182</v>
      </c>
      <c r="F44" s="1">
        <f>VLOOKUP(A:A,MASTER!A:F,6,0)</f>
        <v>20687868.148741201</v>
      </c>
      <c r="G44" s="1">
        <f>VLOOKUP(A:A,MASTER!A:K,11,0)</f>
        <v>18652888.434304617</v>
      </c>
      <c r="H44" s="12">
        <f t="shared" si="0"/>
        <v>-9.8365848999303784E-2</v>
      </c>
      <c r="I44" s="2">
        <f>VLOOKUP(A:A,MASTER!A:E,5,0)</f>
        <v>720</v>
      </c>
      <c r="J44" s="2">
        <f>VLOOKUP(A:A,MASTER!A:J,10,0)</f>
        <v>442</v>
      </c>
      <c r="K44" s="12">
        <f t="shared" si="1"/>
        <v>-0.38611111111111107</v>
      </c>
      <c r="L44" s="2">
        <f>VLOOKUP(A:A,MASTER!A:D,4,0)</f>
        <v>1</v>
      </c>
      <c r="M44" s="2">
        <f>VLOOKUP(A:A,MASTER!A:I,9,0)</f>
        <v>6</v>
      </c>
      <c r="N44" s="12">
        <f t="shared" si="2"/>
        <v>5</v>
      </c>
      <c r="O44" s="1">
        <f>VLOOKUP(A:A,MASTER!A:C,3,0)</f>
        <v>2</v>
      </c>
      <c r="P44" s="1">
        <f>VLOOKUP(A:A,MASTER!A:H,8,0)</f>
        <v>1</v>
      </c>
      <c r="Q44" s="12">
        <f t="shared" si="3"/>
        <v>-0.5</v>
      </c>
      <c r="R44" s="1">
        <f>VLOOKUP(A:A,MASTER!A:B,2,0)</f>
        <v>709</v>
      </c>
      <c r="S44">
        <f>VLOOKUP(A:A,MASTER!A:G,7,0)</f>
        <v>614</v>
      </c>
      <c r="T44" s="12">
        <f t="shared" si="4"/>
        <v>-0.13399153737658676</v>
      </c>
      <c r="U44">
        <v>3</v>
      </c>
    </row>
    <row r="45" spans="1:21" x14ac:dyDescent="0.35">
      <c r="A45" t="s">
        <v>83</v>
      </c>
      <c r="B45" t="s">
        <v>84</v>
      </c>
      <c r="C45" t="s">
        <v>4</v>
      </c>
      <c r="D45" t="s">
        <v>26</v>
      </c>
      <c r="E45" t="s">
        <v>182</v>
      </c>
      <c r="F45" s="1">
        <f>VLOOKUP(A:A,MASTER!A:F,6,0)</f>
        <v>65941089.434293799</v>
      </c>
      <c r="G45" s="1">
        <f>VLOOKUP(A:A,MASTER!A:K,11,0)</f>
        <v>62024410.34365315</v>
      </c>
      <c r="H45" s="12">
        <f t="shared" si="0"/>
        <v>-5.9396639094708603E-2</v>
      </c>
      <c r="I45" s="2">
        <f>VLOOKUP(A:A,MASTER!A:E,5,0)</f>
        <v>1083</v>
      </c>
      <c r="J45" s="2">
        <f>VLOOKUP(A:A,MASTER!A:J,10,0)</f>
        <v>1807</v>
      </c>
      <c r="K45" s="12">
        <f t="shared" si="1"/>
        <v>0.66851338873499544</v>
      </c>
      <c r="L45" s="2">
        <f>VLOOKUP(A:A,MASTER!A:D,4,0)</f>
        <v>5</v>
      </c>
      <c r="M45" s="2">
        <f>VLOOKUP(A:A,MASTER!A:I,9,0)</f>
        <v>6</v>
      </c>
      <c r="N45" s="12">
        <f t="shared" si="2"/>
        <v>0.19999999999999996</v>
      </c>
      <c r="O45" s="1">
        <f>VLOOKUP(A:A,MASTER!A:C,3,0)</f>
        <v>12</v>
      </c>
      <c r="P45" s="1">
        <f>VLOOKUP(A:A,MASTER!A:H,8,0)</f>
        <v>8</v>
      </c>
      <c r="Q45" s="12">
        <f t="shared" si="3"/>
        <v>-0.33333333333333337</v>
      </c>
      <c r="R45" s="1">
        <f>VLOOKUP(A:A,MASTER!A:B,2,0)</f>
        <v>1259</v>
      </c>
      <c r="S45">
        <f>VLOOKUP(A:A,MASTER!A:G,7,0)</f>
        <v>2070</v>
      </c>
      <c r="T45" s="12">
        <f t="shared" si="4"/>
        <v>0.64416203335980948</v>
      </c>
      <c r="U45">
        <v>5</v>
      </c>
    </row>
    <row r="46" spans="1:21" x14ac:dyDescent="0.35">
      <c r="A46" t="s">
        <v>31</v>
      </c>
      <c r="B46" t="s">
        <v>32</v>
      </c>
      <c r="C46" t="s">
        <v>4</v>
      </c>
      <c r="D46" t="s">
        <v>5</v>
      </c>
      <c r="E46" t="s">
        <v>182</v>
      </c>
      <c r="F46" s="1">
        <f>VLOOKUP(A:A,MASTER!A:F,6,0)</f>
        <v>29718671.064681828</v>
      </c>
      <c r="G46" s="1">
        <f>VLOOKUP(A:A,MASTER!A:K,11,0)</f>
        <v>29054377.526877664</v>
      </c>
      <c r="H46" s="12">
        <f t="shared" si="0"/>
        <v>-2.2352733618483445E-2</v>
      </c>
      <c r="I46" s="2">
        <f>VLOOKUP(A:A,MASTER!A:E,5,0)</f>
        <v>908</v>
      </c>
      <c r="J46" s="2">
        <f>VLOOKUP(A:A,MASTER!A:J,10,0)</f>
        <v>1098</v>
      </c>
      <c r="K46" s="12">
        <f t="shared" si="1"/>
        <v>0.20925110132158586</v>
      </c>
      <c r="L46" s="2">
        <f>VLOOKUP(A:A,MASTER!A:D,4,0)</f>
        <v>5</v>
      </c>
      <c r="M46" s="2">
        <f>VLOOKUP(A:A,MASTER!A:I,9,0)</f>
        <v>3</v>
      </c>
      <c r="N46" s="12">
        <f t="shared" si="2"/>
        <v>-0.4</v>
      </c>
      <c r="O46" s="1">
        <f>VLOOKUP(A:A,MASTER!A:C,3,0)</f>
        <v>3</v>
      </c>
      <c r="P46" s="1">
        <f>VLOOKUP(A:A,MASTER!A:H,8,0)</f>
        <v>8</v>
      </c>
      <c r="Q46" s="12">
        <f t="shared" si="3"/>
        <v>1.6666666666666665</v>
      </c>
      <c r="R46" s="1">
        <f>VLOOKUP(A:A,MASTER!A:B,2,0)</f>
        <v>892</v>
      </c>
      <c r="S46">
        <f>VLOOKUP(A:A,MASTER!A:G,7,0)</f>
        <v>1097</v>
      </c>
      <c r="T46" s="12">
        <f t="shared" si="4"/>
        <v>0.22982062780269064</v>
      </c>
      <c r="U46">
        <v>4</v>
      </c>
    </row>
    <row r="47" spans="1:21" x14ac:dyDescent="0.35">
      <c r="A47" t="s">
        <v>33</v>
      </c>
      <c r="B47" t="s">
        <v>34</v>
      </c>
      <c r="C47" t="s">
        <v>4</v>
      </c>
      <c r="D47" t="s">
        <v>5</v>
      </c>
      <c r="E47" t="s">
        <v>182</v>
      </c>
      <c r="F47" s="1">
        <f>VLOOKUP(A:A,MASTER!A:F,6,0)</f>
        <v>43797964.177689955</v>
      </c>
      <c r="G47" s="1">
        <f>VLOOKUP(A:A,MASTER!A:K,11,0)</f>
        <v>50825033.960358381</v>
      </c>
      <c r="H47" s="12">
        <f t="shared" si="0"/>
        <v>0.16044284054298386</v>
      </c>
      <c r="I47" s="2">
        <f>VLOOKUP(A:A,MASTER!A:E,5,0)</f>
        <v>1055</v>
      </c>
      <c r="J47" s="2">
        <f>VLOOKUP(A:A,MASTER!A:J,10,0)</f>
        <v>621</v>
      </c>
      <c r="K47" s="12">
        <f t="shared" si="1"/>
        <v>-0.41137440758293842</v>
      </c>
      <c r="L47" s="2">
        <f>VLOOKUP(A:A,MASTER!A:D,4,0)</f>
        <v>12</v>
      </c>
      <c r="M47" s="2">
        <f>VLOOKUP(A:A,MASTER!A:I,9,0)</f>
        <v>4</v>
      </c>
      <c r="N47" s="12">
        <f t="shared" si="2"/>
        <v>-0.66666666666666674</v>
      </c>
      <c r="O47" s="1">
        <f>VLOOKUP(A:A,MASTER!A:C,3,0)</f>
        <v>18</v>
      </c>
      <c r="P47" s="1">
        <f>VLOOKUP(A:A,MASTER!A:H,8,0)</f>
        <v>6</v>
      </c>
      <c r="Q47" s="12">
        <f t="shared" si="3"/>
        <v>-0.66666666666666674</v>
      </c>
      <c r="R47" s="1">
        <f>VLOOKUP(A:A,MASTER!A:B,2,0)</f>
        <v>1308</v>
      </c>
      <c r="S47">
        <f>VLOOKUP(A:A,MASTER!A:G,7,0)</f>
        <v>833</v>
      </c>
      <c r="T47" s="12">
        <f t="shared" si="4"/>
        <v>-0.36314984709480125</v>
      </c>
      <c r="U47">
        <v>6</v>
      </c>
    </row>
    <row r="48" spans="1:21" x14ac:dyDescent="0.35">
      <c r="A48" t="s">
        <v>85</v>
      </c>
      <c r="B48" t="s">
        <v>86</v>
      </c>
      <c r="C48" t="s">
        <v>4</v>
      </c>
      <c r="D48" t="s">
        <v>26</v>
      </c>
      <c r="E48" t="s">
        <v>182</v>
      </c>
      <c r="F48" s="1">
        <f>VLOOKUP(A:A,MASTER!A:F,6,0)</f>
        <v>22770248.911103602</v>
      </c>
      <c r="G48" s="1">
        <f>VLOOKUP(A:A,MASTER!A:K,11,0)</f>
        <v>26152148.725233007</v>
      </c>
      <c r="H48" s="12">
        <f t="shared" si="0"/>
        <v>0.14852274243169417</v>
      </c>
      <c r="I48" s="2">
        <f>VLOOKUP(A:A,MASTER!A:E,5,0)</f>
        <v>383</v>
      </c>
      <c r="J48" s="2">
        <f>VLOOKUP(A:A,MASTER!A:J,10,0)</f>
        <v>547</v>
      </c>
      <c r="K48" s="12">
        <f t="shared" si="1"/>
        <v>0.42819843342036545</v>
      </c>
      <c r="L48" s="2">
        <f>VLOOKUP(A:A,MASTER!A:D,4,0)</f>
        <v>5</v>
      </c>
      <c r="M48" s="2">
        <f>VLOOKUP(A:A,MASTER!A:I,9,0)</f>
        <v>10</v>
      </c>
      <c r="N48" s="12">
        <f t="shared" si="2"/>
        <v>1</v>
      </c>
      <c r="O48" s="1">
        <f>VLOOKUP(A:A,MASTER!A:C,3,0)</f>
        <v>9</v>
      </c>
      <c r="P48" s="1">
        <f>VLOOKUP(A:A,MASTER!A:H,8,0)</f>
        <v>3</v>
      </c>
      <c r="Q48" s="12">
        <f t="shared" si="3"/>
        <v>-0.66666666666666674</v>
      </c>
      <c r="R48" s="1">
        <f>VLOOKUP(A:A,MASTER!A:B,2,0)</f>
        <v>485</v>
      </c>
      <c r="S48">
        <f>VLOOKUP(A:A,MASTER!A:G,7,0)</f>
        <v>703</v>
      </c>
      <c r="T48" s="12">
        <f t="shared" si="4"/>
        <v>0.44948453608247418</v>
      </c>
      <c r="U48">
        <v>1</v>
      </c>
    </row>
    <row r="49" spans="1:21" x14ac:dyDescent="0.35">
      <c r="A49" t="s">
        <v>81</v>
      </c>
      <c r="B49" t="s">
        <v>82</v>
      </c>
      <c r="C49" t="s">
        <v>4</v>
      </c>
      <c r="D49" t="s">
        <v>26</v>
      </c>
      <c r="E49" t="s">
        <v>182</v>
      </c>
      <c r="F49" s="1">
        <f>VLOOKUP(A:A,MASTER!A:F,6,0)</f>
        <v>22546305.818256099</v>
      </c>
      <c r="G49" s="1">
        <f>VLOOKUP(A:A,MASTER!A:K,11,0)</f>
        <v>19126089.304449983</v>
      </c>
      <c r="H49" s="12">
        <f t="shared" si="0"/>
        <v>-0.15169742402042252</v>
      </c>
      <c r="I49" s="2">
        <f>VLOOKUP(A:A,MASTER!A:E,5,0)</f>
        <v>292</v>
      </c>
      <c r="J49" s="2">
        <f>VLOOKUP(A:A,MASTER!A:J,10,0)</f>
        <v>756</v>
      </c>
      <c r="K49" s="12">
        <f t="shared" si="1"/>
        <v>1.5890410958904111</v>
      </c>
      <c r="L49" s="2">
        <f>VLOOKUP(A:A,MASTER!A:D,4,0)</f>
        <v>6</v>
      </c>
      <c r="M49" s="2">
        <f>VLOOKUP(A:A,MASTER!A:I,9,0)</f>
        <v>1</v>
      </c>
      <c r="N49" s="12">
        <f t="shared" si="2"/>
        <v>-0.83333333333333337</v>
      </c>
      <c r="O49" s="1">
        <f>VLOOKUP(A:A,MASTER!A:C,3,0)</f>
        <v>2</v>
      </c>
      <c r="P49" s="1">
        <f>VLOOKUP(A:A,MASTER!A:H,8,0)</f>
        <v>2</v>
      </c>
      <c r="Q49" s="12">
        <f t="shared" si="3"/>
        <v>0</v>
      </c>
      <c r="R49" s="1">
        <f>VLOOKUP(A:A,MASTER!A:B,2,0)</f>
        <v>445</v>
      </c>
      <c r="S49">
        <f>VLOOKUP(A:A,MASTER!A:G,7,0)</f>
        <v>694</v>
      </c>
      <c r="T49" s="12">
        <f t="shared" si="4"/>
        <v>0.55955056179775275</v>
      </c>
      <c r="U49">
        <v>5</v>
      </c>
    </row>
    <row r="50" spans="1:21" x14ac:dyDescent="0.35">
      <c r="A50" t="s">
        <v>87</v>
      </c>
      <c r="B50" t="s">
        <v>88</v>
      </c>
      <c r="C50" t="s">
        <v>4</v>
      </c>
      <c r="D50" t="s">
        <v>26</v>
      </c>
      <c r="E50" t="s">
        <v>182</v>
      </c>
      <c r="F50" s="1">
        <f>VLOOKUP(A:A,MASTER!A:F,6,0)</f>
        <v>18657852.426756896</v>
      </c>
      <c r="G50" s="1">
        <f>VLOOKUP(A:A,MASTER!A:K,11,0)</f>
        <v>16764643.498383747</v>
      </c>
      <c r="H50" s="12">
        <f t="shared" si="0"/>
        <v>-0.10146982005593164</v>
      </c>
      <c r="I50" s="2">
        <f>VLOOKUP(A:A,MASTER!A:E,5,0)</f>
        <v>348</v>
      </c>
      <c r="J50" s="2">
        <f>VLOOKUP(A:A,MASTER!A:J,10,0)</f>
        <v>1358</v>
      </c>
      <c r="K50" s="12">
        <f t="shared" si="1"/>
        <v>2.9022988505747125</v>
      </c>
      <c r="L50" s="2">
        <f>VLOOKUP(A:A,MASTER!A:D,4,0)</f>
        <v>2</v>
      </c>
      <c r="M50" s="2">
        <f>VLOOKUP(A:A,MASTER!A:I,9,0)</f>
        <v>5</v>
      </c>
      <c r="N50" s="12">
        <f t="shared" si="2"/>
        <v>1.5</v>
      </c>
      <c r="O50" s="1">
        <f>VLOOKUP(A:A,MASTER!A:C,3,0)</f>
        <v>11</v>
      </c>
      <c r="P50" s="1">
        <f>VLOOKUP(A:A,MASTER!A:H,8,0)</f>
        <v>6</v>
      </c>
      <c r="Q50" s="12">
        <f t="shared" si="3"/>
        <v>-0.45454545454545459</v>
      </c>
      <c r="R50" s="1">
        <f>VLOOKUP(A:A,MASTER!A:B,2,0)</f>
        <v>427</v>
      </c>
      <c r="S50">
        <f>VLOOKUP(A:A,MASTER!A:G,7,0)</f>
        <v>1262</v>
      </c>
      <c r="T50" s="12">
        <f t="shared" si="4"/>
        <v>1.9555035128805622</v>
      </c>
      <c r="U50">
        <v>4</v>
      </c>
    </row>
    <row r="51" spans="1:21" x14ac:dyDescent="0.35">
      <c r="A51" t="s">
        <v>166</v>
      </c>
      <c r="B51" t="s">
        <v>167</v>
      </c>
      <c r="C51" t="s">
        <v>4</v>
      </c>
      <c r="D51" t="s">
        <v>5</v>
      </c>
      <c r="E51" t="s">
        <v>182</v>
      </c>
      <c r="F51" s="1">
        <f>VLOOKUP(A:A,MASTER!A:F,6,0)</f>
        <v>40544706.538535334</v>
      </c>
      <c r="G51" s="1">
        <f>VLOOKUP(A:A,MASTER!A:K,11,0)</f>
        <v>39213836.923041739</v>
      </c>
      <c r="H51" s="12">
        <f t="shared" si="0"/>
        <v>-3.2824744069332001E-2</v>
      </c>
      <c r="I51" s="2">
        <f>VLOOKUP(A:A,MASTER!A:E,5,0)</f>
        <v>995</v>
      </c>
      <c r="J51" s="2">
        <f>VLOOKUP(A:A,MASTER!A:J,10,0)</f>
        <v>492</v>
      </c>
      <c r="K51" s="12">
        <f t="shared" si="1"/>
        <v>-0.50552763819095481</v>
      </c>
      <c r="L51" s="2">
        <f>VLOOKUP(A:A,MASTER!A:D,4,0)</f>
        <v>1</v>
      </c>
      <c r="M51" s="2">
        <f>VLOOKUP(A:A,MASTER!A:I,9,0)</f>
        <v>1</v>
      </c>
      <c r="N51" s="12">
        <f t="shared" si="2"/>
        <v>0</v>
      </c>
      <c r="O51" s="1">
        <f>VLOOKUP(A:A,MASTER!A:C,3,0)</f>
        <v>5</v>
      </c>
      <c r="P51" s="1">
        <f>VLOOKUP(A:A,MASTER!A:H,8,0)</f>
        <v>1</v>
      </c>
      <c r="Q51" s="12">
        <f t="shared" si="3"/>
        <v>-0.8</v>
      </c>
      <c r="R51" s="1">
        <f>VLOOKUP(A:A,MASTER!A:B,2,0)</f>
        <v>1134</v>
      </c>
      <c r="S51">
        <f>VLOOKUP(A:A,MASTER!A:G,7,0)</f>
        <v>441</v>
      </c>
      <c r="T51" s="12">
        <f t="shared" si="4"/>
        <v>-0.61111111111111116</v>
      </c>
      <c r="U51">
        <v>5</v>
      </c>
    </row>
    <row r="52" spans="1:21" x14ac:dyDescent="0.35">
      <c r="A52" t="s">
        <v>93</v>
      </c>
      <c r="B52" t="s">
        <v>94</v>
      </c>
      <c r="C52" t="s">
        <v>4</v>
      </c>
      <c r="D52" t="s">
        <v>26</v>
      </c>
      <c r="E52" t="s">
        <v>182</v>
      </c>
      <c r="F52" s="1">
        <f>VLOOKUP(A:A,MASTER!A:F,6,0)</f>
        <v>42886891.103262864</v>
      </c>
      <c r="G52" s="1">
        <f>VLOOKUP(A:A,MASTER!A:K,11,0)</f>
        <v>40939585.895147137</v>
      </c>
      <c r="H52" s="12">
        <f t="shared" si="0"/>
        <v>-4.540560432387164E-2</v>
      </c>
      <c r="I52" s="2">
        <f>VLOOKUP(A:A,MASTER!A:E,5,0)</f>
        <v>912</v>
      </c>
      <c r="J52" s="2">
        <f>VLOOKUP(A:A,MASTER!A:J,10,0)</f>
        <v>949</v>
      </c>
      <c r="K52" s="12">
        <f t="shared" si="1"/>
        <v>4.0570175438596534E-2</v>
      </c>
      <c r="L52" s="2">
        <f>VLOOKUP(A:A,MASTER!A:D,4,0)</f>
        <v>2</v>
      </c>
      <c r="M52" s="2">
        <f>VLOOKUP(A:A,MASTER!A:I,9,0)</f>
        <v>6</v>
      </c>
      <c r="N52" s="12">
        <f t="shared" si="2"/>
        <v>2</v>
      </c>
      <c r="O52" s="1">
        <f>VLOOKUP(A:A,MASTER!A:C,3,0)</f>
        <v>14</v>
      </c>
      <c r="P52" s="1">
        <f>VLOOKUP(A:A,MASTER!A:H,8,0)</f>
        <v>3</v>
      </c>
      <c r="Q52" s="12">
        <f t="shared" si="3"/>
        <v>-0.7857142857142857</v>
      </c>
      <c r="R52" s="1">
        <f>VLOOKUP(A:A,MASTER!A:B,2,0)</f>
        <v>978</v>
      </c>
      <c r="S52">
        <f>VLOOKUP(A:A,MASTER!A:G,7,0)</f>
        <v>922</v>
      </c>
      <c r="T52" s="12">
        <f t="shared" si="4"/>
        <v>-5.7259713701431458E-2</v>
      </c>
      <c r="U52">
        <v>4</v>
      </c>
    </row>
    <row r="53" spans="1:21" x14ac:dyDescent="0.35">
      <c r="A53" t="s">
        <v>95</v>
      </c>
      <c r="B53" t="s">
        <v>96</v>
      </c>
      <c r="C53" t="s">
        <v>4</v>
      </c>
      <c r="D53" t="s">
        <v>26</v>
      </c>
      <c r="E53" t="s">
        <v>182</v>
      </c>
      <c r="F53" s="1">
        <f>VLOOKUP(A:A,MASTER!A:F,6,0)</f>
        <v>60223755.032434106</v>
      </c>
      <c r="G53" s="1">
        <f>VLOOKUP(A:A,MASTER!A:K,11,0)</f>
        <v>73666459.599487707</v>
      </c>
      <c r="H53" s="12">
        <f t="shared" si="0"/>
        <v>0.22321266018390751</v>
      </c>
      <c r="I53" s="2">
        <f>VLOOKUP(A:A,MASTER!A:E,5,0)</f>
        <v>1462</v>
      </c>
      <c r="J53" s="2">
        <f>VLOOKUP(A:A,MASTER!A:J,10,0)</f>
        <v>1087</v>
      </c>
      <c r="K53" s="12">
        <f t="shared" si="1"/>
        <v>-0.2564979480164159</v>
      </c>
      <c r="L53" s="2">
        <f>VLOOKUP(A:A,MASTER!A:D,4,0)</f>
        <v>7</v>
      </c>
      <c r="M53" s="2">
        <f>VLOOKUP(A:A,MASTER!A:I,9,0)</f>
        <v>12</v>
      </c>
      <c r="N53" s="12">
        <f t="shared" si="2"/>
        <v>0.71428571428571419</v>
      </c>
      <c r="O53" s="1">
        <f>VLOOKUP(A:A,MASTER!A:C,3,0)</f>
        <v>39</v>
      </c>
      <c r="P53" s="1">
        <f>VLOOKUP(A:A,MASTER!A:H,8,0)</f>
        <v>6</v>
      </c>
      <c r="Q53" s="12">
        <f t="shared" si="3"/>
        <v>-0.84615384615384615</v>
      </c>
      <c r="R53" s="1">
        <f>VLOOKUP(A:A,MASTER!A:B,2,0)</f>
        <v>2083</v>
      </c>
      <c r="S53">
        <f>VLOOKUP(A:A,MASTER!A:G,7,0)</f>
        <v>1354</v>
      </c>
      <c r="T53" s="12">
        <f t="shared" si="4"/>
        <v>-0.34997599615938546</v>
      </c>
      <c r="U53">
        <v>8</v>
      </c>
    </row>
    <row r="54" spans="1:21" x14ac:dyDescent="0.35">
      <c r="A54" t="s">
        <v>174</v>
      </c>
      <c r="B54" t="s">
        <v>175</v>
      </c>
      <c r="C54" t="s">
        <v>4</v>
      </c>
      <c r="D54" t="s">
        <v>5</v>
      </c>
      <c r="E54" t="s">
        <v>182</v>
      </c>
      <c r="F54" s="1">
        <f>VLOOKUP(A:A,MASTER!A:F,6,0)</f>
        <v>19628260.883901495</v>
      </c>
      <c r="G54" s="1">
        <f>VLOOKUP(A:A,MASTER!A:K,11,0)</f>
        <v>18415275.797894016</v>
      </c>
      <c r="H54" s="12">
        <f t="shared" si="0"/>
        <v>-6.1797888930767875E-2</v>
      </c>
      <c r="I54" s="2">
        <f>VLOOKUP(A:A,MASTER!A:E,5,0)</f>
        <v>529</v>
      </c>
      <c r="J54" s="2">
        <f>VLOOKUP(A:A,MASTER!A:J,10,0)</f>
        <v>357</v>
      </c>
      <c r="K54" s="12">
        <f t="shared" si="1"/>
        <v>-0.32514177693761814</v>
      </c>
      <c r="L54" s="2">
        <f>VLOOKUP(A:A,MASTER!A:D,4,0)</f>
        <v>0</v>
      </c>
      <c r="M54" s="2">
        <f>VLOOKUP(A:A,MASTER!A:I,9,0)</f>
        <v>6</v>
      </c>
      <c r="N54" s="12">
        <f t="shared" si="2"/>
        <v>0</v>
      </c>
      <c r="O54" s="1">
        <f>VLOOKUP(A:A,MASTER!A:C,3,0)</f>
        <v>3</v>
      </c>
      <c r="P54" s="1">
        <f>VLOOKUP(A:A,MASTER!A:H,8,0)</f>
        <v>4</v>
      </c>
      <c r="Q54" s="12">
        <f t="shared" si="3"/>
        <v>0.33333333333333326</v>
      </c>
      <c r="R54" s="1">
        <f>VLOOKUP(A:A,MASTER!A:B,2,0)</f>
        <v>686</v>
      </c>
      <c r="S54">
        <f>VLOOKUP(A:A,MASTER!A:G,7,0)</f>
        <v>490</v>
      </c>
      <c r="T54" s="12">
        <f t="shared" si="4"/>
        <v>-0.2857142857142857</v>
      </c>
      <c r="U54">
        <v>2</v>
      </c>
    </row>
    <row r="55" spans="1:21" x14ac:dyDescent="0.35">
      <c r="A55" t="s">
        <v>99</v>
      </c>
      <c r="B55" t="s">
        <v>100</v>
      </c>
      <c r="C55" t="s">
        <v>4</v>
      </c>
      <c r="D55" t="s">
        <v>26</v>
      </c>
      <c r="E55" t="s">
        <v>182</v>
      </c>
      <c r="F55" s="1">
        <f>VLOOKUP(A:A,MASTER!A:F,6,0)</f>
        <v>30615413.367241357</v>
      </c>
      <c r="G55" s="1">
        <f>VLOOKUP(A:A,MASTER!A:K,11,0)</f>
        <v>32094490.60502778</v>
      </c>
      <c r="H55" s="12">
        <f t="shared" si="0"/>
        <v>4.8311522697552123E-2</v>
      </c>
      <c r="I55" s="2">
        <f>VLOOKUP(A:A,MASTER!A:E,5,0)</f>
        <v>796</v>
      </c>
      <c r="J55" s="2">
        <f>VLOOKUP(A:A,MASTER!A:J,10,0)</f>
        <v>310</v>
      </c>
      <c r="K55" s="12">
        <f t="shared" si="1"/>
        <v>-0.61055276381909551</v>
      </c>
      <c r="L55" s="2">
        <f>VLOOKUP(A:A,MASTER!A:D,4,0)</f>
        <v>5</v>
      </c>
      <c r="M55" s="2">
        <f>VLOOKUP(A:A,MASTER!A:I,9,0)</f>
        <v>4</v>
      </c>
      <c r="N55" s="12">
        <f t="shared" si="2"/>
        <v>-0.19999999999999996</v>
      </c>
      <c r="O55" s="1">
        <f>VLOOKUP(A:A,MASTER!A:C,3,0)</f>
        <v>9</v>
      </c>
      <c r="P55" s="1">
        <f>VLOOKUP(A:A,MASTER!A:H,8,0)</f>
        <v>4</v>
      </c>
      <c r="Q55" s="12">
        <f t="shared" si="3"/>
        <v>-0.55555555555555558</v>
      </c>
      <c r="R55" s="1">
        <f>VLOOKUP(A:A,MASTER!A:B,2,0)</f>
        <v>889</v>
      </c>
      <c r="S55">
        <f>VLOOKUP(A:A,MASTER!A:G,7,0)</f>
        <v>457</v>
      </c>
      <c r="T55" s="12">
        <f t="shared" si="4"/>
        <v>-0.48593925759280088</v>
      </c>
      <c r="U55">
        <v>7</v>
      </c>
    </row>
    <row r="56" spans="1:21" x14ac:dyDescent="0.35">
      <c r="A56" t="s">
        <v>172</v>
      </c>
      <c r="B56" t="s">
        <v>173</v>
      </c>
      <c r="C56" t="s">
        <v>4</v>
      </c>
      <c r="D56" t="s">
        <v>5</v>
      </c>
      <c r="E56" t="s">
        <v>182</v>
      </c>
      <c r="F56" s="1">
        <f>VLOOKUP(A:A,MASTER!A:F,6,0)</f>
        <v>23662873.351727627</v>
      </c>
      <c r="G56" s="1">
        <f>VLOOKUP(A:A,MASTER!A:K,11,0)</f>
        <v>20317389.490997106</v>
      </c>
      <c r="H56" s="12">
        <f t="shared" si="0"/>
        <v>-0.14138113368578997</v>
      </c>
      <c r="I56" s="2">
        <f>VLOOKUP(A:A,MASTER!A:E,5,0)</f>
        <v>679</v>
      </c>
      <c r="J56" s="2">
        <f>VLOOKUP(A:A,MASTER!A:J,10,0)</f>
        <v>326</v>
      </c>
      <c r="K56" s="12">
        <f t="shared" si="1"/>
        <v>-0.51988217967599404</v>
      </c>
      <c r="L56" s="2">
        <f>VLOOKUP(A:A,MASTER!A:D,4,0)</f>
        <v>1</v>
      </c>
      <c r="M56" s="2">
        <f>VLOOKUP(A:A,MASTER!A:I,9,0)</f>
        <v>3</v>
      </c>
      <c r="N56" s="12">
        <f t="shared" si="2"/>
        <v>2</v>
      </c>
      <c r="O56" s="1">
        <f>VLOOKUP(A:A,MASTER!A:C,3,0)</f>
        <v>3</v>
      </c>
      <c r="P56" s="1">
        <f>VLOOKUP(A:A,MASTER!A:H,8,0)</f>
        <v>2</v>
      </c>
      <c r="Q56" s="12">
        <f t="shared" si="3"/>
        <v>-0.33333333333333337</v>
      </c>
      <c r="R56" s="1">
        <f>VLOOKUP(A:A,MASTER!A:B,2,0)</f>
        <v>777</v>
      </c>
      <c r="S56">
        <f>VLOOKUP(A:A,MASTER!A:G,7,0)</f>
        <v>418</v>
      </c>
      <c r="T56" s="12">
        <f t="shared" si="4"/>
        <v>-0.46203346203346207</v>
      </c>
      <c r="U56">
        <v>3</v>
      </c>
    </row>
    <row r="57" spans="1:21" x14ac:dyDescent="0.35">
      <c r="A57" t="s">
        <v>168</v>
      </c>
      <c r="B57" t="s">
        <v>169</v>
      </c>
      <c r="C57" t="s">
        <v>4</v>
      </c>
      <c r="D57" t="s">
        <v>5</v>
      </c>
      <c r="E57" t="s">
        <v>182</v>
      </c>
      <c r="F57" s="1">
        <f>VLOOKUP(A:A,MASTER!A:F,6,0)</f>
        <v>40636216.140523255</v>
      </c>
      <c r="G57" s="1">
        <f>VLOOKUP(A:A,MASTER!A:K,11,0)</f>
        <v>40981093.886455111</v>
      </c>
      <c r="H57" s="12">
        <f t="shared" si="0"/>
        <v>8.486955201223445E-3</v>
      </c>
      <c r="I57" s="2">
        <f>VLOOKUP(A:A,MASTER!A:E,5,0)</f>
        <v>978</v>
      </c>
      <c r="J57" s="2">
        <f>VLOOKUP(A:A,MASTER!A:J,10,0)</f>
        <v>949</v>
      </c>
      <c r="K57" s="12">
        <f t="shared" si="1"/>
        <v>-2.9652351738241323E-2</v>
      </c>
      <c r="L57" s="2">
        <f>VLOOKUP(A:A,MASTER!A:D,4,0)</f>
        <v>1</v>
      </c>
      <c r="M57" s="2">
        <f>VLOOKUP(A:A,MASTER!A:I,9,0)</f>
        <v>1</v>
      </c>
      <c r="N57" s="12">
        <f t="shared" si="2"/>
        <v>0</v>
      </c>
      <c r="O57" s="1">
        <f>VLOOKUP(A:A,MASTER!A:C,3,0)</f>
        <v>8</v>
      </c>
      <c r="P57" s="1">
        <f>VLOOKUP(A:A,MASTER!A:H,8,0)</f>
        <v>7</v>
      </c>
      <c r="Q57" s="12">
        <f t="shared" si="3"/>
        <v>-0.125</v>
      </c>
      <c r="R57" s="1">
        <f>VLOOKUP(A:A,MASTER!A:B,2,0)</f>
        <v>1094</v>
      </c>
      <c r="S57">
        <f>VLOOKUP(A:A,MASTER!A:G,7,0)</f>
        <v>1096</v>
      </c>
      <c r="T57" s="12">
        <f t="shared" si="4"/>
        <v>1.8281535648994041E-3</v>
      </c>
      <c r="U57">
        <v>3</v>
      </c>
    </row>
    <row r="58" spans="1:21" x14ac:dyDescent="0.35">
      <c r="A58" t="s">
        <v>101</v>
      </c>
      <c r="B58" t="s">
        <v>102</v>
      </c>
      <c r="C58" t="s">
        <v>4</v>
      </c>
      <c r="D58" t="s">
        <v>26</v>
      </c>
      <c r="E58" t="s">
        <v>182</v>
      </c>
      <c r="F58" s="1">
        <f>VLOOKUP(A:A,MASTER!A:F,6,0)</f>
        <v>51975399.294892192</v>
      </c>
      <c r="G58" s="1">
        <f>VLOOKUP(A:A,MASTER!A:K,11,0)</f>
        <v>50074452.206668533</v>
      </c>
      <c r="H58" s="12">
        <f t="shared" si="0"/>
        <v>-3.6573977574241967E-2</v>
      </c>
      <c r="I58" s="2">
        <f>VLOOKUP(A:A,MASTER!A:E,5,0)</f>
        <v>1304</v>
      </c>
      <c r="J58" s="2">
        <f>VLOOKUP(A:A,MASTER!A:J,10,0)</f>
        <v>803</v>
      </c>
      <c r="K58" s="12">
        <f t="shared" si="1"/>
        <v>-0.38420245398773001</v>
      </c>
      <c r="L58" s="2">
        <f>VLOOKUP(A:A,MASTER!A:D,4,0)</f>
        <v>4</v>
      </c>
      <c r="M58" s="2">
        <f>VLOOKUP(A:A,MASTER!A:I,9,0)</f>
        <v>1</v>
      </c>
      <c r="N58" s="12">
        <f t="shared" si="2"/>
        <v>-0.75</v>
      </c>
      <c r="O58" s="1">
        <f>VLOOKUP(A:A,MASTER!A:C,3,0)</f>
        <v>14</v>
      </c>
      <c r="P58" s="1">
        <f>VLOOKUP(A:A,MASTER!A:H,8,0)</f>
        <v>7</v>
      </c>
      <c r="Q58" s="12">
        <f t="shared" si="3"/>
        <v>-0.5</v>
      </c>
      <c r="R58" s="1">
        <f>VLOOKUP(A:A,MASTER!A:B,2,0)</f>
        <v>1374</v>
      </c>
      <c r="S58">
        <f>VLOOKUP(A:A,MASTER!A:G,7,0)</f>
        <v>1011</v>
      </c>
      <c r="T58" s="12">
        <f t="shared" si="4"/>
        <v>-0.26419213973799127</v>
      </c>
      <c r="U58">
        <v>4</v>
      </c>
    </row>
    <row r="59" spans="1:21" x14ac:dyDescent="0.35">
      <c r="A59" t="s">
        <v>103</v>
      </c>
      <c r="B59" t="s">
        <v>104</v>
      </c>
      <c r="C59" t="s">
        <v>4</v>
      </c>
      <c r="D59" t="s">
        <v>26</v>
      </c>
      <c r="E59" t="s">
        <v>182</v>
      </c>
      <c r="F59" s="1">
        <f>VLOOKUP(A:A,MASTER!A:F,6,0)</f>
        <v>26207240.497092113</v>
      </c>
      <c r="G59" s="1">
        <f>VLOOKUP(A:A,MASTER!A:K,11,0)</f>
        <v>27821994.716877595</v>
      </c>
      <c r="H59" s="12">
        <f t="shared" si="0"/>
        <v>6.1614812897399451E-2</v>
      </c>
      <c r="I59" s="2">
        <f>VLOOKUP(A:A,MASTER!A:E,5,0)</f>
        <v>741</v>
      </c>
      <c r="J59" s="2">
        <f>VLOOKUP(A:A,MASTER!A:J,10,0)</f>
        <v>1700</v>
      </c>
      <c r="K59" s="12">
        <f t="shared" si="1"/>
        <v>1.2941970310391362</v>
      </c>
      <c r="L59" s="2">
        <f>VLOOKUP(A:A,MASTER!A:D,4,0)</f>
        <v>5</v>
      </c>
      <c r="M59" s="2">
        <f>VLOOKUP(A:A,MASTER!A:I,9,0)</f>
        <v>8</v>
      </c>
      <c r="N59" s="12">
        <f t="shared" si="2"/>
        <v>0.60000000000000009</v>
      </c>
      <c r="O59" s="1">
        <f>VLOOKUP(A:A,MASTER!A:C,3,0)</f>
        <v>6</v>
      </c>
      <c r="P59" s="1">
        <f>VLOOKUP(A:A,MASTER!A:H,8,0)</f>
        <v>12</v>
      </c>
      <c r="Q59" s="12">
        <f t="shared" si="3"/>
        <v>1</v>
      </c>
      <c r="R59" s="1">
        <f>VLOOKUP(A:A,MASTER!A:B,2,0)</f>
        <v>778</v>
      </c>
      <c r="S59">
        <f>VLOOKUP(A:A,MASTER!A:G,7,0)</f>
        <v>2052</v>
      </c>
      <c r="T59" s="12">
        <f t="shared" si="4"/>
        <v>1.6375321336760926</v>
      </c>
      <c r="U59">
        <v>3</v>
      </c>
    </row>
    <row r="60" spans="1:21" x14ac:dyDescent="0.35">
      <c r="A60" t="s">
        <v>105</v>
      </c>
      <c r="B60" t="s">
        <v>106</v>
      </c>
      <c r="C60" t="s">
        <v>4</v>
      </c>
      <c r="D60" t="s">
        <v>26</v>
      </c>
      <c r="E60" t="s">
        <v>182</v>
      </c>
      <c r="F60" s="1">
        <f>VLOOKUP(A:A,MASTER!A:F,6,0)</f>
        <v>30690396.011699993</v>
      </c>
      <c r="G60" s="1">
        <f>VLOOKUP(A:A,MASTER!A:K,11,0)</f>
        <v>31019483.13461696</v>
      </c>
      <c r="H60" s="12">
        <f t="shared" si="0"/>
        <v>1.0722804710356693E-2</v>
      </c>
      <c r="I60" s="2">
        <f>VLOOKUP(A:A,MASTER!A:E,5,0)</f>
        <v>495</v>
      </c>
      <c r="J60" s="2">
        <f>VLOOKUP(A:A,MASTER!A:J,10,0)</f>
        <v>650</v>
      </c>
      <c r="K60" s="12">
        <f t="shared" si="1"/>
        <v>0.31313131313131315</v>
      </c>
      <c r="L60" s="2">
        <f>VLOOKUP(A:A,MASTER!A:D,4,0)</f>
        <v>5</v>
      </c>
      <c r="M60" s="2">
        <f>VLOOKUP(A:A,MASTER!A:I,9,0)</f>
        <v>0</v>
      </c>
      <c r="N60" s="12">
        <f t="shared" si="2"/>
        <v>-1</v>
      </c>
      <c r="O60" s="1">
        <f>VLOOKUP(A:A,MASTER!A:C,3,0)</f>
        <v>7</v>
      </c>
      <c r="P60" s="1">
        <f>VLOOKUP(A:A,MASTER!A:H,8,0)</f>
        <v>4</v>
      </c>
      <c r="Q60" s="12">
        <f t="shared" si="3"/>
        <v>-0.4285714285714286</v>
      </c>
      <c r="R60" s="1">
        <f>VLOOKUP(A:A,MASTER!A:B,2,0)</f>
        <v>681</v>
      </c>
      <c r="S60">
        <f>VLOOKUP(A:A,MASTER!A:G,7,0)</f>
        <v>683</v>
      </c>
      <c r="T60" s="12">
        <f t="shared" si="4"/>
        <v>2.936857562408246E-3</v>
      </c>
      <c r="U60">
        <v>10</v>
      </c>
    </row>
    <row r="61" spans="1:21" x14ac:dyDescent="0.35">
      <c r="A61" t="s">
        <v>24</v>
      </c>
      <c r="B61" t="s">
        <v>25</v>
      </c>
      <c r="C61" t="s">
        <v>4</v>
      </c>
      <c r="D61" t="s">
        <v>26</v>
      </c>
      <c r="E61" t="s">
        <v>182</v>
      </c>
      <c r="F61" s="1">
        <f>VLOOKUP(A:A,MASTER!A:F,6,0)</f>
        <v>80494151.517660826</v>
      </c>
      <c r="G61" s="1">
        <f>VLOOKUP(A:A,MASTER!A:K,11,0)</f>
        <v>99819639.769979075</v>
      </c>
      <c r="H61" s="12">
        <f t="shared" si="0"/>
        <v>0.24008561973695852</v>
      </c>
      <c r="I61" s="2">
        <f>VLOOKUP(A:A,MASTER!A:E,5,0)</f>
        <v>1780</v>
      </c>
      <c r="J61" s="2">
        <f>VLOOKUP(A:A,MASTER!A:J,10,0)</f>
        <v>733</v>
      </c>
      <c r="K61" s="12">
        <f t="shared" si="1"/>
        <v>-0.58820224719101122</v>
      </c>
      <c r="L61" s="2">
        <f>VLOOKUP(A:A,MASTER!A:D,4,0)</f>
        <v>9</v>
      </c>
      <c r="M61" s="2">
        <f>VLOOKUP(A:A,MASTER!A:I,9,0)</f>
        <v>5</v>
      </c>
      <c r="N61" s="12">
        <f t="shared" si="2"/>
        <v>-0.44444444444444442</v>
      </c>
      <c r="O61" s="1">
        <f>VLOOKUP(A:A,MASTER!A:C,3,0)</f>
        <v>22</v>
      </c>
      <c r="P61" s="1">
        <f>VLOOKUP(A:A,MASTER!A:H,8,0)</f>
        <v>9</v>
      </c>
      <c r="Q61" s="12">
        <f t="shared" si="3"/>
        <v>-0.59090909090909083</v>
      </c>
      <c r="R61" s="1">
        <f>VLOOKUP(A:A,MASTER!A:B,2,0)</f>
        <v>2034</v>
      </c>
      <c r="S61">
        <f>VLOOKUP(A:A,MASTER!A:G,7,0)</f>
        <v>864</v>
      </c>
      <c r="T61" s="12">
        <f t="shared" si="4"/>
        <v>-0.5752212389380531</v>
      </c>
      <c r="U61">
        <v>10</v>
      </c>
    </row>
    <row r="62" spans="1:21" x14ac:dyDescent="0.35">
      <c r="A62" t="s">
        <v>27</v>
      </c>
      <c r="B62" t="s">
        <v>28</v>
      </c>
      <c r="C62" t="s">
        <v>4</v>
      </c>
      <c r="D62" t="s">
        <v>26</v>
      </c>
      <c r="E62" t="s">
        <v>182</v>
      </c>
      <c r="F62" s="1">
        <f>VLOOKUP(A:A,MASTER!A:F,6,0)</f>
        <v>74403597.224619329</v>
      </c>
      <c r="G62" s="1">
        <f>VLOOKUP(A:A,MASTER!A:K,11,0)</f>
        <v>75202591.101204753</v>
      </c>
      <c r="H62" s="12">
        <f t="shared" si="0"/>
        <v>1.0738645796564361E-2</v>
      </c>
      <c r="I62" s="2">
        <f>VLOOKUP(A:A,MASTER!A:E,5,0)</f>
        <v>1208</v>
      </c>
      <c r="J62" s="2">
        <f>VLOOKUP(A:A,MASTER!A:J,10,0)</f>
        <v>622</v>
      </c>
      <c r="K62" s="12">
        <f t="shared" si="1"/>
        <v>-0.48509933774834435</v>
      </c>
      <c r="L62" s="2">
        <f>VLOOKUP(A:A,MASTER!A:D,4,0)</f>
        <v>7</v>
      </c>
      <c r="M62" s="2">
        <f>VLOOKUP(A:A,MASTER!A:I,9,0)</f>
        <v>1</v>
      </c>
      <c r="N62" s="12">
        <f t="shared" si="2"/>
        <v>-0.85714285714285721</v>
      </c>
      <c r="O62" s="1">
        <f>VLOOKUP(A:A,MASTER!A:C,3,0)</f>
        <v>22</v>
      </c>
      <c r="P62" s="1">
        <f>VLOOKUP(A:A,MASTER!A:H,8,0)</f>
        <v>4</v>
      </c>
      <c r="Q62" s="12">
        <f t="shared" si="3"/>
        <v>-0.81818181818181812</v>
      </c>
      <c r="R62" s="1">
        <f>VLOOKUP(A:A,MASTER!A:B,2,0)</f>
        <v>1582</v>
      </c>
      <c r="S62">
        <f>VLOOKUP(A:A,MASTER!A:G,7,0)</f>
        <v>714</v>
      </c>
      <c r="T62" s="12">
        <f t="shared" si="4"/>
        <v>-0.54867256637168138</v>
      </c>
      <c r="U62">
        <v>8</v>
      </c>
    </row>
    <row r="63" spans="1:21" x14ac:dyDescent="0.35">
      <c r="A63" t="s">
        <v>29</v>
      </c>
      <c r="B63" t="s">
        <v>30</v>
      </c>
      <c r="C63" t="s">
        <v>4</v>
      </c>
      <c r="D63" t="s">
        <v>26</v>
      </c>
      <c r="E63" t="s">
        <v>182</v>
      </c>
      <c r="F63" s="1">
        <f>VLOOKUP(A:A,MASTER!A:F,6,0)</f>
        <v>46188082.820514478</v>
      </c>
      <c r="G63" s="1">
        <f>VLOOKUP(A:A,MASTER!A:K,11,0)</f>
        <v>48323897.682485439</v>
      </c>
      <c r="H63" s="12">
        <f t="shared" si="0"/>
        <v>4.6241686849628927E-2</v>
      </c>
      <c r="I63" s="2">
        <f>VLOOKUP(A:A,MASTER!A:E,5,0)</f>
        <v>737</v>
      </c>
      <c r="J63" s="2">
        <f>VLOOKUP(A:A,MASTER!A:J,10,0)</f>
        <v>990</v>
      </c>
      <c r="K63" s="12">
        <f t="shared" si="1"/>
        <v>0.34328358208955234</v>
      </c>
      <c r="L63" s="2">
        <f>VLOOKUP(A:A,MASTER!A:D,4,0)</f>
        <v>1</v>
      </c>
      <c r="M63" s="2">
        <f>VLOOKUP(A:A,MASTER!A:I,9,0)</f>
        <v>0</v>
      </c>
      <c r="N63" s="12">
        <f t="shared" si="2"/>
        <v>-1</v>
      </c>
      <c r="O63" s="1">
        <f>VLOOKUP(A:A,MASTER!A:C,3,0)</f>
        <v>2</v>
      </c>
      <c r="P63" s="1">
        <f>VLOOKUP(A:A,MASTER!A:H,8,0)</f>
        <v>7</v>
      </c>
      <c r="Q63" s="12">
        <f t="shared" si="3"/>
        <v>2.5</v>
      </c>
      <c r="R63" s="1">
        <f>VLOOKUP(A:A,MASTER!A:B,2,0)</f>
        <v>857</v>
      </c>
      <c r="S63">
        <f>VLOOKUP(A:A,MASTER!A:G,7,0)</f>
        <v>1094</v>
      </c>
      <c r="T63" s="12">
        <f t="shared" si="4"/>
        <v>0.27654609101516914</v>
      </c>
      <c r="U63">
        <v>4</v>
      </c>
    </row>
    <row r="64" spans="1:21" x14ac:dyDescent="0.35">
      <c r="A64" t="s">
        <v>57</v>
      </c>
      <c r="B64" t="s">
        <v>58</v>
      </c>
      <c r="C64" t="s">
        <v>22</v>
      </c>
      <c r="D64" t="s">
        <v>23</v>
      </c>
      <c r="E64" t="s">
        <v>182</v>
      </c>
      <c r="F64" s="1">
        <f>VLOOKUP(A:A,MASTER!A:F,6,0)</f>
        <v>67882627.172021404</v>
      </c>
      <c r="G64" s="1">
        <f>VLOOKUP(A:A,MASTER!A:K,11,0)</f>
        <v>71504925.88939625</v>
      </c>
      <c r="H64" s="12">
        <f t="shared" si="0"/>
        <v>5.3361204011677099E-2</v>
      </c>
      <c r="I64" s="2">
        <f>VLOOKUP(A:A,MASTER!A:E,5,0)</f>
        <v>1282</v>
      </c>
      <c r="J64" s="2">
        <f>VLOOKUP(A:A,MASTER!A:J,10,0)</f>
        <v>1548</v>
      </c>
      <c r="K64" s="12">
        <f t="shared" si="1"/>
        <v>0.20748829953198134</v>
      </c>
      <c r="L64" s="2">
        <f>VLOOKUP(A:A,MASTER!A:D,4,0)</f>
        <v>13</v>
      </c>
      <c r="M64" s="2">
        <f>VLOOKUP(A:A,MASTER!A:I,9,0)</f>
        <v>4</v>
      </c>
      <c r="N64" s="12">
        <f t="shared" si="2"/>
        <v>-0.69230769230769229</v>
      </c>
      <c r="O64" s="1">
        <f>VLOOKUP(A:A,MASTER!A:C,3,0)</f>
        <v>280</v>
      </c>
      <c r="P64" s="1">
        <f>VLOOKUP(A:A,MASTER!A:H,8,0)</f>
        <v>11</v>
      </c>
      <c r="Q64" s="12">
        <f t="shared" si="3"/>
        <v>-0.96071428571428574</v>
      </c>
      <c r="R64" s="1">
        <f>VLOOKUP(A:A,MASTER!A:B,2,0)</f>
        <v>2017</v>
      </c>
      <c r="S64">
        <f>VLOOKUP(A:A,MASTER!A:G,7,0)</f>
        <v>1522</v>
      </c>
      <c r="T64" s="12">
        <f t="shared" si="4"/>
        <v>-0.24541398116013879</v>
      </c>
      <c r="U64">
        <v>9</v>
      </c>
    </row>
    <row r="65" spans="1:21" x14ac:dyDescent="0.35">
      <c r="A65" t="s">
        <v>137</v>
      </c>
      <c r="B65" t="s">
        <v>138</v>
      </c>
      <c r="C65" t="s">
        <v>22</v>
      </c>
      <c r="D65" t="s">
        <v>69</v>
      </c>
      <c r="E65" t="s">
        <v>180</v>
      </c>
      <c r="F65" s="1">
        <f>VLOOKUP(A:A,MASTER!A:F,6,0)</f>
        <v>5076964.1164683579</v>
      </c>
      <c r="G65" s="1">
        <f>VLOOKUP(A:A,MASTER!A:K,11,0)</f>
        <v>2920456.5121259899</v>
      </c>
      <c r="H65" s="12">
        <f t="shared" si="0"/>
        <v>-0.42476321574683096</v>
      </c>
      <c r="I65" s="2">
        <f>VLOOKUP(A:A,MASTER!A:E,5,0)</f>
        <v>249</v>
      </c>
      <c r="J65" s="2">
        <f>VLOOKUP(A:A,MASTER!A:J,10,0)</f>
        <v>702</v>
      </c>
      <c r="K65" s="12">
        <f t="shared" si="1"/>
        <v>1.8192771084337349</v>
      </c>
      <c r="L65" s="2">
        <f>VLOOKUP(A:A,MASTER!A:D,4,0)</f>
        <v>1</v>
      </c>
      <c r="M65" s="2">
        <f>VLOOKUP(A:A,MASTER!A:I,9,0)</f>
        <v>4</v>
      </c>
      <c r="N65" s="12">
        <f t="shared" si="2"/>
        <v>3</v>
      </c>
      <c r="O65" s="1">
        <f>VLOOKUP(A:A,MASTER!A:C,3,0)</f>
        <v>2</v>
      </c>
      <c r="P65" s="1">
        <f>VLOOKUP(A:A,MASTER!A:H,8,0)</f>
        <v>3</v>
      </c>
      <c r="Q65" s="12">
        <f t="shared" si="3"/>
        <v>0.5</v>
      </c>
      <c r="R65" s="1">
        <f>VLOOKUP(A:A,MASTER!A:B,2,0)</f>
        <v>262</v>
      </c>
      <c r="S65">
        <f>VLOOKUP(A:A,MASTER!A:G,7,0)</f>
        <v>762</v>
      </c>
      <c r="T65" s="12">
        <f t="shared" si="4"/>
        <v>1.9083969465648853</v>
      </c>
      <c r="U65">
        <v>3</v>
      </c>
    </row>
    <row r="66" spans="1:21" x14ac:dyDescent="0.35">
      <c r="A66" t="s">
        <v>10</v>
      </c>
      <c r="B66" t="s">
        <v>11</v>
      </c>
      <c r="C66" t="s">
        <v>4</v>
      </c>
      <c r="D66" t="s">
        <v>151</v>
      </c>
      <c r="E66" t="s">
        <v>182</v>
      </c>
      <c r="F66" s="1">
        <f>VLOOKUP(A:A,MASTER!A:F,6,0)</f>
        <v>53626628.117396288</v>
      </c>
      <c r="G66" s="1">
        <f>VLOOKUP(A:A,MASTER!A:K,11,0)</f>
        <v>51942957.043750465</v>
      </c>
      <c r="H66" s="12">
        <f t="shared" si="0"/>
        <v>-3.1396176354031247E-2</v>
      </c>
      <c r="I66" s="2">
        <f>VLOOKUP(A:A,MASTER!A:E,5,0)</f>
        <v>1532</v>
      </c>
      <c r="J66" s="2">
        <f>VLOOKUP(A:A,MASTER!A:J,10,0)</f>
        <v>481</v>
      </c>
      <c r="K66" s="12">
        <f t="shared" si="1"/>
        <v>-0.68603133159268936</v>
      </c>
      <c r="L66" s="2">
        <f>VLOOKUP(A:A,MASTER!A:D,4,0)</f>
        <v>7</v>
      </c>
      <c r="M66" s="2">
        <f>VLOOKUP(A:A,MASTER!A:I,9,0)</f>
        <v>5</v>
      </c>
      <c r="N66" s="12">
        <f t="shared" si="2"/>
        <v>-0.2857142857142857</v>
      </c>
      <c r="O66" s="1">
        <f>VLOOKUP(A:A,MASTER!A:C,3,0)</f>
        <v>6</v>
      </c>
      <c r="P66" s="1">
        <f>VLOOKUP(A:A,MASTER!A:H,8,0)</f>
        <v>9</v>
      </c>
      <c r="Q66" s="12">
        <f t="shared" si="3"/>
        <v>0.5</v>
      </c>
      <c r="R66" s="1">
        <f>VLOOKUP(A:A,MASTER!A:B,2,0)</f>
        <v>1767</v>
      </c>
      <c r="S66">
        <f>VLOOKUP(A:A,MASTER!A:G,7,0)</f>
        <v>623</v>
      </c>
      <c r="T66" s="12">
        <f t="shared" si="4"/>
        <v>-0.64742501414827391</v>
      </c>
      <c r="U66">
        <v>6</v>
      </c>
    </row>
    <row r="67" spans="1:21" x14ac:dyDescent="0.35">
      <c r="A67" t="s">
        <v>12</v>
      </c>
      <c r="B67" t="s">
        <v>13</v>
      </c>
      <c r="C67" t="s">
        <v>4</v>
      </c>
      <c r="D67" t="s">
        <v>151</v>
      </c>
      <c r="E67" t="s">
        <v>182</v>
      </c>
      <c r="F67" s="1">
        <f>VLOOKUP(A:A,MASTER!A:F,6,0)</f>
        <v>21968090.95705428</v>
      </c>
      <c r="G67" s="1">
        <f>VLOOKUP(A:A,MASTER!A:K,11,0)</f>
        <v>24581273.682099607</v>
      </c>
      <c r="H67" s="12">
        <f t="shared" ref="H67:H85" si="5">IFERROR(G67/F67-1,0)</f>
        <v>0.11895356452018846</v>
      </c>
      <c r="I67" s="2">
        <f>VLOOKUP(A:A,MASTER!A:E,5,0)</f>
        <v>591</v>
      </c>
      <c r="J67" s="2">
        <f>VLOOKUP(A:A,MASTER!A:J,10,0)</f>
        <v>1820</v>
      </c>
      <c r="K67" s="12">
        <f t="shared" ref="K67:K85" si="6">IFERROR(J67/I67-1,0)</f>
        <v>2.0795262267343486</v>
      </c>
      <c r="L67" s="2">
        <f>VLOOKUP(A:A,MASTER!A:D,4,0)</f>
        <v>2</v>
      </c>
      <c r="M67" s="2">
        <f>VLOOKUP(A:A,MASTER!A:I,9,0)</f>
        <v>11</v>
      </c>
      <c r="N67" s="12">
        <f t="shared" ref="N67:N85" si="7">IFERROR(M67/L67-1,0)</f>
        <v>4.5</v>
      </c>
      <c r="O67" s="1">
        <f>VLOOKUP(A:A,MASTER!A:C,3,0)</f>
        <v>3</v>
      </c>
      <c r="P67" s="1">
        <f>VLOOKUP(A:A,MASTER!A:H,8,0)</f>
        <v>16</v>
      </c>
      <c r="Q67" s="12">
        <f t="shared" ref="Q67:Q85" si="8">IFERROR(P67/O67-1,0)</f>
        <v>4.333333333333333</v>
      </c>
      <c r="R67" s="1">
        <f>VLOOKUP(A:A,MASTER!A:B,2,0)</f>
        <v>670</v>
      </c>
      <c r="S67">
        <f>VLOOKUP(A:A,MASTER!A:G,7,0)</f>
        <v>2012</v>
      </c>
      <c r="T67" s="12">
        <f t="shared" ref="T67:T85" si="9">IFERROR(S67/R67-1,0)</f>
        <v>2.0029850746268658</v>
      </c>
      <c r="U67">
        <v>3</v>
      </c>
    </row>
    <row r="68" spans="1:21" x14ac:dyDescent="0.35">
      <c r="A68" t="s">
        <v>162</v>
      </c>
      <c r="B68" t="s">
        <v>163</v>
      </c>
      <c r="C68" t="s">
        <v>4</v>
      </c>
      <c r="D68" t="s">
        <v>151</v>
      </c>
      <c r="E68" t="s">
        <v>182</v>
      </c>
      <c r="F68" s="1">
        <f>VLOOKUP(A:A,MASTER!A:F,6,0)</f>
        <v>36202729.775051877</v>
      </c>
      <c r="G68" s="1">
        <f>VLOOKUP(A:A,MASTER!A:K,11,0)</f>
        <v>37415644.270037763</v>
      </c>
      <c r="H68" s="12">
        <f t="shared" si="5"/>
        <v>3.3503398846507215E-2</v>
      </c>
      <c r="I68" s="2">
        <f>VLOOKUP(A:A,MASTER!A:E,5,0)</f>
        <v>899</v>
      </c>
      <c r="J68" s="2">
        <f>VLOOKUP(A:A,MASTER!A:J,10,0)</f>
        <v>1199</v>
      </c>
      <c r="K68" s="12">
        <f t="shared" si="6"/>
        <v>0.33370411568409342</v>
      </c>
      <c r="L68" s="2">
        <f>VLOOKUP(A:A,MASTER!A:D,4,0)</f>
        <v>5</v>
      </c>
      <c r="M68" s="2">
        <f>VLOOKUP(A:A,MASTER!A:I,9,0)</f>
        <v>6</v>
      </c>
      <c r="N68" s="12">
        <f t="shared" si="7"/>
        <v>0.19999999999999996</v>
      </c>
      <c r="O68" s="1">
        <f>VLOOKUP(A:A,MASTER!A:C,3,0)</f>
        <v>47</v>
      </c>
      <c r="P68" s="1">
        <f>VLOOKUP(A:A,MASTER!A:H,8,0)</f>
        <v>24</v>
      </c>
      <c r="Q68" s="12">
        <f t="shared" si="8"/>
        <v>-0.48936170212765961</v>
      </c>
      <c r="R68" s="1">
        <f>VLOOKUP(A:A,MASTER!A:B,2,0)</f>
        <v>1319</v>
      </c>
      <c r="S68">
        <f>VLOOKUP(A:A,MASTER!A:G,7,0)</f>
        <v>1580</v>
      </c>
      <c r="T68" s="12">
        <f t="shared" si="9"/>
        <v>0.19787717968157703</v>
      </c>
      <c r="U68">
        <v>4</v>
      </c>
    </row>
    <row r="69" spans="1:21" x14ac:dyDescent="0.35">
      <c r="A69" t="s">
        <v>63</v>
      </c>
      <c r="B69" t="s">
        <v>64</v>
      </c>
      <c r="C69" t="s">
        <v>22</v>
      </c>
      <c r="D69" t="s">
        <v>23</v>
      </c>
      <c r="E69" t="s">
        <v>182</v>
      </c>
      <c r="F69" s="1">
        <f>VLOOKUP(A:A,MASTER!A:F,6,0)</f>
        <v>17783711.442227617</v>
      </c>
      <c r="G69" s="1">
        <f>VLOOKUP(A:A,MASTER!A:K,11,0)</f>
        <v>23929894.673063796</v>
      </c>
      <c r="H69" s="12">
        <f t="shared" si="5"/>
        <v>0.34560745380978242</v>
      </c>
      <c r="I69" s="2">
        <f>VLOOKUP(A:A,MASTER!A:E,5,0)</f>
        <v>1397</v>
      </c>
      <c r="J69" s="2">
        <f>VLOOKUP(A:A,MASTER!A:J,10,0)</f>
        <v>716</v>
      </c>
      <c r="K69" s="12">
        <f t="shared" si="6"/>
        <v>-0.48747315676449532</v>
      </c>
      <c r="L69" s="2">
        <f>VLOOKUP(A:A,MASTER!A:D,4,0)</f>
        <v>5</v>
      </c>
      <c r="M69" s="2">
        <f>VLOOKUP(A:A,MASTER!A:I,9,0)</f>
        <v>1</v>
      </c>
      <c r="N69" s="12">
        <f t="shared" si="7"/>
        <v>-0.8</v>
      </c>
      <c r="O69" s="1">
        <f>VLOOKUP(A:A,MASTER!A:C,3,0)</f>
        <v>7</v>
      </c>
      <c r="P69" s="1">
        <f>VLOOKUP(A:A,MASTER!A:H,8,0)</f>
        <v>9</v>
      </c>
      <c r="Q69" s="12">
        <f t="shared" si="8"/>
        <v>0.28571428571428581</v>
      </c>
      <c r="R69" s="1">
        <f>VLOOKUP(A:A,MASTER!A:B,2,0)</f>
        <v>1327</v>
      </c>
      <c r="S69">
        <f>VLOOKUP(A:A,MASTER!A:G,7,0)</f>
        <v>898</v>
      </c>
      <c r="T69" s="12">
        <f t="shared" si="9"/>
        <v>-0.32328560663149963</v>
      </c>
      <c r="U69">
        <v>4</v>
      </c>
    </row>
    <row r="70" spans="1:21" x14ac:dyDescent="0.35">
      <c r="A70" t="s">
        <v>59</v>
      </c>
      <c r="B70" t="s">
        <v>60</v>
      </c>
      <c r="C70" t="s">
        <v>22</v>
      </c>
      <c r="D70" t="s">
        <v>23</v>
      </c>
      <c r="E70" t="s">
        <v>182</v>
      </c>
      <c r="F70" s="1">
        <f>VLOOKUP(A:A,MASTER!A:F,6,0)</f>
        <v>63481150.813349932</v>
      </c>
      <c r="G70" s="1">
        <f>VLOOKUP(A:A,MASTER!A:K,11,0)</f>
        <v>65060314.538961947</v>
      </c>
      <c r="H70" s="12">
        <f t="shared" si="5"/>
        <v>2.4876104251089215E-2</v>
      </c>
      <c r="I70" s="2">
        <f>VLOOKUP(A:A,MASTER!A:E,5,0)</f>
        <v>1189</v>
      </c>
      <c r="J70" s="2">
        <f>VLOOKUP(A:A,MASTER!A:J,10,0)</f>
        <v>1301</v>
      </c>
      <c r="K70" s="12">
        <f t="shared" si="6"/>
        <v>9.419680403700581E-2</v>
      </c>
      <c r="L70" s="2">
        <f>VLOOKUP(A:A,MASTER!A:D,4,0)</f>
        <v>5</v>
      </c>
      <c r="M70" s="2">
        <f>VLOOKUP(A:A,MASTER!A:I,9,0)</f>
        <v>12</v>
      </c>
      <c r="N70" s="12">
        <f t="shared" si="7"/>
        <v>1.4</v>
      </c>
      <c r="O70" s="1">
        <f>VLOOKUP(A:A,MASTER!A:C,3,0)</f>
        <v>10</v>
      </c>
      <c r="P70" s="1">
        <f>VLOOKUP(A:A,MASTER!A:H,8,0)</f>
        <v>527</v>
      </c>
      <c r="Q70" s="12">
        <f t="shared" si="8"/>
        <v>51.7</v>
      </c>
      <c r="R70" s="1">
        <f>VLOOKUP(A:A,MASTER!A:B,2,0)</f>
        <v>1750</v>
      </c>
      <c r="S70">
        <f>VLOOKUP(A:A,MASTER!A:G,7,0)</f>
        <v>2257</v>
      </c>
      <c r="T70" s="12">
        <f t="shared" si="9"/>
        <v>0.28971428571428581</v>
      </c>
      <c r="U70">
        <v>4</v>
      </c>
    </row>
    <row r="71" spans="1:21" x14ac:dyDescent="0.35">
      <c r="A71" t="s">
        <v>139</v>
      </c>
      <c r="B71" t="s">
        <v>140</v>
      </c>
      <c r="C71" t="s">
        <v>22</v>
      </c>
      <c r="D71" t="s">
        <v>69</v>
      </c>
      <c r="E71" t="s">
        <v>180</v>
      </c>
      <c r="F71" s="1">
        <f>VLOOKUP(A:A,MASTER!A:F,6,0)</f>
        <v>13786630.717428997</v>
      </c>
      <c r="G71" s="1">
        <f>VLOOKUP(A:A,MASTER!A:K,11,0)</f>
        <v>13044733.106628915</v>
      </c>
      <c r="H71" s="12">
        <f t="shared" si="5"/>
        <v>-5.3812829690301212E-2</v>
      </c>
      <c r="I71" s="2">
        <f>VLOOKUP(A:A,MASTER!A:E,5,0)</f>
        <v>424</v>
      </c>
      <c r="J71" s="2">
        <f>VLOOKUP(A:A,MASTER!A:J,10,0)</f>
        <v>269</v>
      </c>
      <c r="K71" s="12">
        <f t="shared" si="6"/>
        <v>-0.36556603773584906</v>
      </c>
      <c r="L71" s="2">
        <f>VLOOKUP(A:A,MASTER!A:D,4,0)</f>
        <v>2</v>
      </c>
      <c r="M71" s="2">
        <f>VLOOKUP(A:A,MASTER!A:I,9,0)</f>
        <v>1</v>
      </c>
      <c r="N71" s="12">
        <f t="shared" si="7"/>
        <v>-0.5</v>
      </c>
      <c r="O71" s="1">
        <f>VLOOKUP(A:A,MASTER!A:C,3,0)</f>
        <v>4</v>
      </c>
      <c r="P71" s="1">
        <f>VLOOKUP(A:A,MASTER!A:H,8,0)</f>
        <v>0</v>
      </c>
      <c r="Q71" s="12">
        <f t="shared" si="8"/>
        <v>-1</v>
      </c>
      <c r="R71" s="1">
        <f>VLOOKUP(A:A,MASTER!A:B,2,0)</f>
        <v>497</v>
      </c>
      <c r="S71">
        <f>VLOOKUP(A:A,MASTER!A:G,7,0)</f>
        <v>250</v>
      </c>
      <c r="T71" s="12">
        <f t="shared" si="9"/>
        <v>-0.49698189134808857</v>
      </c>
      <c r="U71">
        <v>2</v>
      </c>
    </row>
    <row r="72" spans="1:21" x14ac:dyDescent="0.35">
      <c r="A72" t="s">
        <v>170</v>
      </c>
      <c r="B72" t="s">
        <v>171</v>
      </c>
      <c r="C72" t="s">
        <v>4</v>
      </c>
      <c r="D72" t="s">
        <v>5</v>
      </c>
      <c r="E72" t="s">
        <v>182</v>
      </c>
      <c r="F72" s="1">
        <f>VLOOKUP(A:A,MASTER!A:F,6,0)</f>
        <v>21117188.467634171</v>
      </c>
      <c r="G72" s="1">
        <f>VLOOKUP(A:A,MASTER!A:K,11,0)</f>
        <v>21197941.625014752</v>
      </c>
      <c r="H72" s="12">
        <f t="shared" si="5"/>
        <v>3.8240487129406198E-3</v>
      </c>
      <c r="I72" s="2">
        <f>VLOOKUP(A:A,MASTER!A:E,5,0)</f>
        <v>761</v>
      </c>
      <c r="J72" s="2">
        <f>VLOOKUP(A:A,MASTER!A:J,10,0)</f>
        <v>1722</v>
      </c>
      <c r="K72" s="12">
        <f t="shared" si="6"/>
        <v>1.2628120893561103</v>
      </c>
      <c r="L72" s="2">
        <f>VLOOKUP(A:A,MASTER!A:D,4,0)</f>
        <v>1</v>
      </c>
      <c r="M72" s="2">
        <f>VLOOKUP(A:A,MASTER!A:I,9,0)</f>
        <v>6</v>
      </c>
      <c r="N72" s="12">
        <f t="shared" si="7"/>
        <v>5</v>
      </c>
      <c r="O72" s="1">
        <f>VLOOKUP(A:A,MASTER!A:C,3,0)</f>
        <v>5</v>
      </c>
      <c r="P72" s="1">
        <f>VLOOKUP(A:A,MASTER!A:H,8,0)</f>
        <v>11</v>
      </c>
      <c r="Q72" s="12">
        <f t="shared" si="8"/>
        <v>1.2000000000000002</v>
      </c>
      <c r="R72" s="1">
        <f>VLOOKUP(A:A,MASTER!A:B,2,0)</f>
        <v>890</v>
      </c>
      <c r="S72">
        <f>VLOOKUP(A:A,MASTER!A:G,7,0)</f>
        <v>1669</v>
      </c>
      <c r="T72" s="12">
        <f t="shared" si="9"/>
        <v>0.87528089887640448</v>
      </c>
      <c r="U72">
        <v>3</v>
      </c>
    </row>
    <row r="73" spans="1:21" x14ac:dyDescent="0.35">
      <c r="A73" t="s">
        <v>61</v>
      </c>
      <c r="B73" t="s">
        <v>62</v>
      </c>
      <c r="C73" t="s">
        <v>22</v>
      </c>
      <c r="D73" t="s">
        <v>23</v>
      </c>
      <c r="E73" t="s">
        <v>182</v>
      </c>
      <c r="F73" s="1">
        <f>VLOOKUP(A:A,MASTER!A:F,6,0)</f>
        <v>14736341.28762248</v>
      </c>
      <c r="G73" s="1">
        <f>VLOOKUP(A:A,MASTER!A:K,11,0)</f>
        <v>20935184.704319578</v>
      </c>
      <c r="H73" s="12">
        <f t="shared" si="5"/>
        <v>0.4206500986716224</v>
      </c>
      <c r="I73" s="2">
        <f>VLOOKUP(A:A,MASTER!A:E,5,0)</f>
        <v>173</v>
      </c>
      <c r="J73" s="2">
        <f>VLOOKUP(A:A,MASTER!A:J,10,0)</f>
        <v>578</v>
      </c>
      <c r="K73" s="12">
        <f t="shared" si="6"/>
        <v>2.3410404624277459</v>
      </c>
      <c r="L73" s="2">
        <f>VLOOKUP(A:A,MASTER!A:D,4,0)</f>
        <v>4</v>
      </c>
      <c r="M73" s="2">
        <f>VLOOKUP(A:A,MASTER!A:I,9,0)</f>
        <v>4</v>
      </c>
      <c r="N73" s="12">
        <f t="shared" si="7"/>
        <v>0</v>
      </c>
      <c r="O73" s="1">
        <f>VLOOKUP(A:A,MASTER!A:C,3,0)</f>
        <v>2</v>
      </c>
      <c r="P73" s="1">
        <f>VLOOKUP(A:A,MASTER!A:H,8,0)</f>
        <v>5</v>
      </c>
      <c r="Q73" s="12">
        <f t="shared" si="8"/>
        <v>1.5</v>
      </c>
      <c r="R73" s="1">
        <f>VLOOKUP(A:A,MASTER!A:B,2,0)</f>
        <v>666</v>
      </c>
      <c r="S73">
        <f>VLOOKUP(A:A,MASTER!A:G,7,0)</f>
        <v>762</v>
      </c>
      <c r="T73" s="12">
        <f t="shared" si="9"/>
        <v>0.14414414414414423</v>
      </c>
      <c r="U73">
        <v>7</v>
      </c>
    </row>
    <row r="74" spans="1:21" x14ac:dyDescent="0.35">
      <c r="A74" t="s">
        <v>129</v>
      </c>
      <c r="B74" t="s">
        <v>130</v>
      </c>
      <c r="C74" t="s">
        <v>22</v>
      </c>
      <c r="D74" t="s">
        <v>69</v>
      </c>
      <c r="E74" t="s">
        <v>180</v>
      </c>
      <c r="F74" s="1">
        <f>VLOOKUP(A:A,MASTER!A:F,6,0)</f>
        <v>13803241.814353952</v>
      </c>
      <c r="G74" s="1">
        <f>VLOOKUP(A:A,MASTER!A:K,11,0)</f>
        <v>15506233.992221871</v>
      </c>
      <c r="H74" s="12">
        <f t="shared" si="5"/>
        <v>0.12337624746217091</v>
      </c>
      <c r="I74" s="2">
        <f>VLOOKUP(A:A,MASTER!A:E,5,0)</f>
        <v>5</v>
      </c>
      <c r="J74" s="2">
        <f>VLOOKUP(A:A,MASTER!A:J,10,0)</f>
        <v>815</v>
      </c>
      <c r="K74" s="12">
        <f t="shared" si="6"/>
        <v>162</v>
      </c>
      <c r="L74" s="2">
        <f>VLOOKUP(A:A,MASTER!A:D,4,0)</f>
        <v>1</v>
      </c>
      <c r="M74" s="2">
        <f>VLOOKUP(A:A,MASTER!A:I,9,0)</f>
        <v>5</v>
      </c>
      <c r="N74" s="12">
        <f t="shared" si="7"/>
        <v>4</v>
      </c>
      <c r="O74" s="1">
        <f>VLOOKUP(A:A,MASTER!A:C,3,0)</f>
        <v>5</v>
      </c>
      <c r="P74" s="1">
        <f>VLOOKUP(A:A,MASTER!A:H,8,0)</f>
        <v>77</v>
      </c>
      <c r="Q74" s="12">
        <f t="shared" si="8"/>
        <v>14.4</v>
      </c>
      <c r="R74" s="1">
        <f>VLOOKUP(A:A,MASTER!A:B,2,0)</f>
        <v>590</v>
      </c>
      <c r="S74">
        <f>VLOOKUP(A:A,MASTER!A:G,7,0)</f>
        <v>1377</v>
      </c>
      <c r="T74" s="12">
        <f t="shared" si="9"/>
        <v>1.3338983050847459</v>
      </c>
      <c r="U74">
        <v>2</v>
      </c>
    </row>
    <row r="75" spans="1:21" x14ac:dyDescent="0.35">
      <c r="A75" t="s">
        <v>35</v>
      </c>
      <c r="B75" t="s">
        <v>36</v>
      </c>
      <c r="C75" t="s">
        <v>4</v>
      </c>
      <c r="D75" t="s">
        <v>5</v>
      </c>
      <c r="E75" t="s">
        <v>180</v>
      </c>
      <c r="F75" s="1">
        <f>VLOOKUP(A:A,MASTER!A:F,6,0)</f>
        <v>16238993.027723324</v>
      </c>
      <c r="G75" s="1">
        <f>VLOOKUP(A:A,MASTER!A:K,11,0)</f>
        <v>17523590.520165198</v>
      </c>
      <c r="H75" s="12">
        <f t="shared" si="5"/>
        <v>7.9105735820490741E-2</v>
      </c>
      <c r="I75" s="2">
        <f>VLOOKUP(A:A,MASTER!A:E,5,0)</f>
        <v>494</v>
      </c>
      <c r="J75" s="2">
        <f>VLOOKUP(A:A,MASTER!A:J,10,0)</f>
        <v>1288</v>
      </c>
      <c r="K75" s="12">
        <f t="shared" si="6"/>
        <v>1.6072874493927127</v>
      </c>
      <c r="L75" s="2">
        <f>VLOOKUP(A:A,MASTER!A:D,4,0)</f>
        <v>6</v>
      </c>
      <c r="M75" s="2">
        <f>VLOOKUP(A:A,MASTER!A:I,9,0)</f>
        <v>5</v>
      </c>
      <c r="N75" s="12">
        <f t="shared" si="7"/>
        <v>-0.16666666666666663</v>
      </c>
      <c r="O75" s="1">
        <f>VLOOKUP(A:A,MASTER!A:C,3,0)</f>
        <v>6</v>
      </c>
      <c r="P75" s="1">
        <f>VLOOKUP(A:A,MASTER!A:H,8,0)</f>
        <v>10</v>
      </c>
      <c r="Q75" s="12">
        <f t="shared" si="8"/>
        <v>0.66666666666666674</v>
      </c>
      <c r="R75" s="1">
        <f>VLOOKUP(A:A,MASTER!A:B,2,0)</f>
        <v>427</v>
      </c>
      <c r="S75">
        <f>VLOOKUP(A:A,MASTER!A:G,7,0)</f>
        <v>1260</v>
      </c>
      <c r="T75" s="12">
        <f t="shared" si="9"/>
        <v>1.9508196721311477</v>
      </c>
      <c r="U75">
        <v>1</v>
      </c>
    </row>
    <row r="76" spans="1:21" x14ac:dyDescent="0.35">
      <c r="A76" t="s">
        <v>107</v>
      </c>
      <c r="B76" t="s">
        <v>108</v>
      </c>
      <c r="C76" t="s">
        <v>4</v>
      </c>
      <c r="D76" t="s">
        <v>26</v>
      </c>
      <c r="E76" t="s">
        <v>182</v>
      </c>
      <c r="F76" s="1">
        <f>VLOOKUP(A:A,MASTER!A:F,6,0)</f>
        <v>46538332.60440968</v>
      </c>
      <c r="G76" s="1">
        <f>VLOOKUP(A:A,MASTER!A:K,11,0)</f>
        <v>46909192.026860319</v>
      </c>
      <c r="H76" s="12">
        <f t="shared" si="5"/>
        <v>7.9689022295461598E-3</v>
      </c>
      <c r="I76" s="2">
        <f>VLOOKUP(A:A,MASTER!A:E,5,0)</f>
        <v>644</v>
      </c>
      <c r="J76" s="2">
        <f>VLOOKUP(A:A,MASTER!A:J,10,0)</f>
        <v>1222</v>
      </c>
      <c r="K76" s="12">
        <f t="shared" si="6"/>
        <v>0.89751552795031064</v>
      </c>
      <c r="L76" s="2">
        <f>VLOOKUP(A:A,MASTER!A:D,4,0)</f>
        <v>3</v>
      </c>
      <c r="M76" s="2">
        <f>VLOOKUP(A:A,MASTER!A:I,9,0)</f>
        <v>5</v>
      </c>
      <c r="N76" s="12">
        <f t="shared" si="7"/>
        <v>0.66666666666666674</v>
      </c>
      <c r="O76" s="1">
        <f>VLOOKUP(A:A,MASTER!A:C,3,0)</f>
        <v>11</v>
      </c>
      <c r="P76" s="1">
        <f>VLOOKUP(A:A,MASTER!A:H,8,0)</f>
        <v>13</v>
      </c>
      <c r="Q76" s="12">
        <f t="shared" si="8"/>
        <v>0.18181818181818188</v>
      </c>
      <c r="R76" s="1">
        <f>VLOOKUP(A:A,MASTER!A:B,2,0)</f>
        <v>939</v>
      </c>
      <c r="S76">
        <f>VLOOKUP(A:A,MASTER!A:G,7,0)</f>
        <v>1723</v>
      </c>
      <c r="T76" s="12">
        <f t="shared" si="9"/>
        <v>0.83493077742279009</v>
      </c>
      <c r="U76">
        <v>4</v>
      </c>
    </row>
    <row r="77" spans="1:21" x14ac:dyDescent="0.35">
      <c r="A77" t="s">
        <v>37</v>
      </c>
      <c r="B77" t="s">
        <v>38</v>
      </c>
      <c r="C77" t="s">
        <v>4</v>
      </c>
      <c r="D77" t="s">
        <v>5</v>
      </c>
      <c r="E77" t="s">
        <v>182</v>
      </c>
      <c r="F77" s="1">
        <f>VLOOKUP(A:A,MASTER!A:F,6,0)</f>
        <v>27857525.216046929</v>
      </c>
      <c r="G77" s="1">
        <f>VLOOKUP(A:A,MASTER!A:K,11,0)</f>
        <v>27265674.916935232</v>
      </c>
      <c r="H77" s="12">
        <f t="shared" si="5"/>
        <v>-2.1245616562190928E-2</v>
      </c>
      <c r="I77" s="2">
        <f>VLOOKUP(A:A,MASTER!A:E,5,0)</f>
        <v>787</v>
      </c>
      <c r="J77" s="2">
        <f>VLOOKUP(A:A,MASTER!A:J,10,0)</f>
        <v>458</v>
      </c>
      <c r="K77" s="12">
        <f t="shared" si="6"/>
        <v>-0.4180432020330368</v>
      </c>
      <c r="L77" s="2">
        <f>VLOOKUP(A:A,MASTER!A:D,4,0)</f>
        <v>10</v>
      </c>
      <c r="M77" s="2">
        <f>VLOOKUP(A:A,MASTER!A:I,9,0)</f>
        <v>1</v>
      </c>
      <c r="N77" s="12">
        <f t="shared" si="7"/>
        <v>-0.9</v>
      </c>
      <c r="O77" s="1">
        <f>VLOOKUP(A:A,MASTER!A:C,3,0)</f>
        <v>4</v>
      </c>
      <c r="P77" s="1">
        <f>VLOOKUP(A:A,MASTER!A:H,8,0)</f>
        <v>2</v>
      </c>
      <c r="Q77" s="12">
        <f t="shared" si="8"/>
        <v>-0.5</v>
      </c>
      <c r="R77" s="1">
        <f>VLOOKUP(A:A,MASTER!A:B,2,0)</f>
        <v>802</v>
      </c>
      <c r="S77">
        <f>VLOOKUP(A:A,MASTER!A:G,7,0)</f>
        <v>512</v>
      </c>
      <c r="T77" s="12">
        <f t="shared" si="9"/>
        <v>-0.36159600997506236</v>
      </c>
      <c r="U77">
        <v>3</v>
      </c>
    </row>
    <row r="78" spans="1:21" x14ac:dyDescent="0.35">
      <c r="A78" t="s">
        <v>76</v>
      </c>
      <c r="B78" t="s">
        <v>77</v>
      </c>
      <c r="C78" t="s">
        <v>22</v>
      </c>
      <c r="D78" t="s">
        <v>23</v>
      </c>
      <c r="E78" t="s">
        <v>182</v>
      </c>
      <c r="F78" s="1">
        <f>VLOOKUP(A:A,MASTER!A:F,6,0)</f>
        <v>22505847.82083239</v>
      </c>
      <c r="G78" s="1">
        <f>VLOOKUP(A:A,MASTER!A:K,11,0)</f>
        <v>22856536.852877505</v>
      </c>
      <c r="H78" s="12">
        <f t="shared" si="5"/>
        <v>1.5582129357530894E-2</v>
      </c>
      <c r="I78" s="2">
        <f>VLOOKUP(A:A,MASTER!A:E,5,0)</f>
        <v>978</v>
      </c>
      <c r="J78" s="2">
        <f>VLOOKUP(A:A,MASTER!A:J,10,0)</f>
        <v>774</v>
      </c>
      <c r="K78" s="12">
        <f t="shared" si="6"/>
        <v>-0.20858895705521474</v>
      </c>
      <c r="L78" s="2">
        <f>VLOOKUP(A:A,MASTER!A:D,4,0)</f>
        <v>2</v>
      </c>
      <c r="M78" s="2">
        <f>VLOOKUP(A:A,MASTER!A:I,9,0)</f>
        <v>1</v>
      </c>
      <c r="N78" s="12">
        <f t="shared" si="7"/>
        <v>-0.5</v>
      </c>
      <c r="O78" s="1">
        <f>VLOOKUP(A:A,MASTER!A:C,3,0)</f>
        <v>1</v>
      </c>
      <c r="P78" s="1">
        <f>VLOOKUP(A:A,MASTER!A:H,8,0)</f>
        <v>6</v>
      </c>
      <c r="Q78" s="12">
        <f t="shared" si="8"/>
        <v>5</v>
      </c>
      <c r="R78" s="1">
        <f>VLOOKUP(A:A,MASTER!A:B,2,0)</f>
        <v>952</v>
      </c>
      <c r="S78">
        <f>VLOOKUP(A:A,MASTER!A:G,7,0)</f>
        <v>876</v>
      </c>
      <c r="T78" s="12">
        <f t="shared" si="9"/>
        <v>-7.9831932773109293E-2</v>
      </c>
      <c r="U78">
        <v>3</v>
      </c>
    </row>
    <row r="79" spans="1:21" x14ac:dyDescent="0.35">
      <c r="A79" t="s">
        <v>65</v>
      </c>
      <c r="B79" t="s">
        <v>66</v>
      </c>
      <c r="C79" t="s">
        <v>22</v>
      </c>
      <c r="D79" t="s">
        <v>23</v>
      </c>
      <c r="E79" t="s">
        <v>182</v>
      </c>
      <c r="F79" s="1">
        <f>VLOOKUP(A:A,MASTER!A:F,6,0)</f>
        <v>25689391.598872714</v>
      </c>
      <c r="G79" s="1">
        <f>VLOOKUP(A:A,MASTER!A:K,11,0)</f>
        <v>23804512.005560592</v>
      </c>
      <c r="H79" s="12">
        <f t="shared" si="5"/>
        <v>-7.3371904743545269E-2</v>
      </c>
      <c r="I79" s="2">
        <f>VLOOKUP(A:A,MASTER!A:E,5,0)</f>
        <v>836</v>
      </c>
      <c r="J79" s="2">
        <f>VLOOKUP(A:A,MASTER!A:J,10,0)</f>
        <v>480</v>
      </c>
      <c r="K79" s="12">
        <f t="shared" si="6"/>
        <v>-0.42583732057416268</v>
      </c>
      <c r="L79" s="2">
        <f>VLOOKUP(A:A,MASTER!A:D,4,0)</f>
        <v>4</v>
      </c>
      <c r="M79" s="2">
        <f>VLOOKUP(A:A,MASTER!A:I,9,0)</f>
        <v>3</v>
      </c>
      <c r="N79" s="12">
        <f t="shared" si="7"/>
        <v>-0.25</v>
      </c>
      <c r="O79" s="1">
        <f>VLOOKUP(A:A,MASTER!A:C,3,0)</f>
        <v>7</v>
      </c>
      <c r="P79" s="1">
        <f>VLOOKUP(A:A,MASTER!A:H,8,0)</f>
        <v>2</v>
      </c>
      <c r="Q79" s="12">
        <f t="shared" si="8"/>
        <v>-0.7142857142857143</v>
      </c>
      <c r="R79" s="1">
        <f>VLOOKUP(A:A,MASTER!A:B,2,0)</f>
        <v>1010</v>
      </c>
      <c r="S79">
        <f>VLOOKUP(A:A,MASTER!A:G,7,0)</f>
        <v>652</v>
      </c>
      <c r="T79" s="12">
        <f t="shared" si="9"/>
        <v>-0.35445544554455444</v>
      </c>
      <c r="U79">
        <v>3</v>
      </c>
    </row>
    <row r="80" spans="1:21" x14ac:dyDescent="0.35">
      <c r="A80" t="s">
        <v>89</v>
      </c>
      <c r="B80" t="s">
        <v>90</v>
      </c>
      <c r="C80" t="s">
        <v>4</v>
      </c>
      <c r="D80" t="s">
        <v>26</v>
      </c>
      <c r="E80" t="s">
        <v>182</v>
      </c>
      <c r="F80" s="1">
        <f>VLOOKUP(A:A,MASTER!A:F,6,0)</f>
        <v>27707878.138874147</v>
      </c>
      <c r="G80" s="1">
        <f>VLOOKUP(A:A,MASTER!A:K,11,0)</f>
        <v>30321505.756113347</v>
      </c>
      <c r="H80" s="12">
        <f t="shared" si="5"/>
        <v>9.4327959872621214E-2</v>
      </c>
      <c r="I80" s="2">
        <f>VLOOKUP(A:A,MASTER!A:E,5,0)</f>
        <v>683</v>
      </c>
      <c r="J80" s="2">
        <f>VLOOKUP(A:A,MASTER!A:J,10,0)</f>
        <v>542</v>
      </c>
      <c r="K80" s="12">
        <f t="shared" si="6"/>
        <v>-0.20644216691068817</v>
      </c>
      <c r="L80" s="2">
        <f>VLOOKUP(A:A,MASTER!A:D,4,0)</f>
        <v>5</v>
      </c>
      <c r="M80" s="2">
        <f>VLOOKUP(A:A,MASTER!A:I,9,0)</f>
        <v>1</v>
      </c>
      <c r="N80" s="12">
        <f t="shared" si="7"/>
        <v>-0.8</v>
      </c>
      <c r="O80" s="1">
        <f>VLOOKUP(A:A,MASTER!A:C,3,0)</f>
        <v>6</v>
      </c>
      <c r="P80" s="1">
        <f>VLOOKUP(A:A,MASTER!A:H,8,0)</f>
        <v>6</v>
      </c>
      <c r="Q80" s="12">
        <f t="shared" si="8"/>
        <v>0</v>
      </c>
      <c r="R80" s="1">
        <f>VLOOKUP(A:A,MASTER!A:B,2,0)</f>
        <v>743</v>
      </c>
      <c r="S80">
        <f>VLOOKUP(A:A,MASTER!A:G,7,0)</f>
        <v>620</v>
      </c>
      <c r="T80" s="12">
        <f t="shared" si="9"/>
        <v>-0.16554508748317631</v>
      </c>
      <c r="U80">
        <v>3</v>
      </c>
    </row>
    <row r="81" spans="1:21" x14ac:dyDescent="0.35">
      <c r="A81" t="s">
        <v>147</v>
      </c>
      <c r="B81" t="s">
        <v>148</v>
      </c>
      <c r="C81" t="s">
        <v>22</v>
      </c>
      <c r="D81" t="s">
        <v>69</v>
      </c>
      <c r="E81" t="s">
        <v>180</v>
      </c>
      <c r="F81" s="1">
        <f>VLOOKUP(A:A,MASTER!A:F,6,0)</f>
        <v>12297623.509624189</v>
      </c>
      <c r="G81" s="1">
        <f>VLOOKUP(A:A,MASTER!A:K,11,0)</f>
        <v>13851013.837541368</v>
      </c>
      <c r="H81" s="12">
        <f t="shared" si="5"/>
        <v>0.12631630222713253</v>
      </c>
      <c r="I81" s="2">
        <f>VLOOKUP(A:A,MASTER!A:E,5,0)</f>
        <v>566</v>
      </c>
      <c r="J81" s="2">
        <f>VLOOKUP(A:A,MASTER!A:J,10,0)</f>
        <v>464</v>
      </c>
      <c r="K81" s="12">
        <f t="shared" si="6"/>
        <v>-0.18021201413427557</v>
      </c>
      <c r="L81" s="2">
        <f>VLOOKUP(A:A,MASTER!A:D,4,0)</f>
        <v>1</v>
      </c>
      <c r="M81" s="2">
        <f>VLOOKUP(A:A,MASTER!A:I,9,0)</f>
        <v>7</v>
      </c>
      <c r="N81" s="12">
        <f t="shared" si="7"/>
        <v>6</v>
      </c>
      <c r="O81" s="1">
        <f>VLOOKUP(A:A,MASTER!A:C,3,0)</f>
        <v>2</v>
      </c>
      <c r="P81" s="1">
        <f>VLOOKUP(A:A,MASTER!A:H,8,0)</f>
        <v>2</v>
      </c>
      <c r="Q81" s="12">
        <f t="shared" si="8"/>
        <v>0</v>
      </c>
      <c r="R81" s="1">
        <f>VLOOKUP(A:A,MASTER!A:B,2,0)</f>
        <v>568</v>
      </c>
      <c r="S81">
        <f>VLOOKUP(A:A,MASTER!A:G,7,0)</f>
        <v>447</v>
      </c>
      <c r="T81" s="12">
        <f t="shared" si="9"/>
        <v>-0.2130281690140845</v>
      </c>
      <c r="U81">
        <v>1</v>
      </c>
    </row>
    <row r="82" spans="1:21" x14ac:dyDescent="0.35">
      <c r="A82" t="s">
        <v>164</v>
      </c>
      <c r="B82" t="s">
        <v>165</v>
      </c>
      <c r="C82" t="s">
        <v>4</v>
      </c>
      <c r="D82" t="s">
        <v>151</v>
      </c>
      <c r="E82" t="s">
        <v>182</v>
      </c>
      <c r="F82" s="1">
        <f>VLOOKUP(A:A,MASTER!A:F,6,0)</f>
        <v>52982781.551008649</v>
      </c>
      <c r="G82" s="1">
        <f>VLOOKUP(A:A,MASTER!A:K,11,0)</f>
        <v>56341564.403701298</v>
      </c>
      <c r="H82" s="12">
        <f t="shared" si="5"/>
        <v>6.3393856539204485E-2</v>
      </c>
      <c r="I82" s="2">
        <f>VLOOKUP(A:A,MASTER!A:E,5,0)</f>
        <v>1265</v>
      </c>
      <c r="J82" s="2">
        <f>VLOOKUP(A:A,MASTER!A:J,10,0)</f>
        <v>550</v>
      </c>
      <c r="K82" s="12">
        <f t="shared" si="6"/>
        <v>-0.56521739130434789</v>
      </c>
      <c r="L82" s="2">
        <f>VLOOKUP(A:A,MASTER!A:D,4,0)</f>
        <v>10</v>
      </c>
      <c r="M82" s="2">
        <f>VLOOKUP(A:A,MASTER!A:I,9,0)</f>
        <v>3</v>
      </c>
      <c r="N82" s="12">
        <f t="shared" si="7"/>
        <v>-0.7</v>
      </c>
      <c r="O82" s="1">
        <f>VLOOKUP(A:A,MASTER!A:C,3,0)</f>
        <v>10</v>
      </c>
      <c r="P82" s="1">
        <f>VLOOKUP(A:A,MASTER!A:H,8,0)</f>
        <v>9</v>
      </c>
      <c r="Q82" s="12">
        <f t="shared" si="8"/>
        <v>-9.9999999999999978E-2</v>
      </c>
      <c r="R82" s="1">
        <f>VLOOKUP(A:A,MASTER!A:B,2,0)</f>
        <v>1702</v>
      </c>
      <c r="S82">
        <f>VLOOKUP(A:A,MASTER!A:G,7,0)</f>
        <v>900</v>
      </c>
      <c r="T82" s="12">
        <f t="shared" si="9"/>
        <v>-0.47121034077555812</v>
      </c>
      <c r="U82">
        <v>2</v>
      </c>
    </row>
    <row r="83" spans="1:21" x14ac:dyDescent="0.35">
      <c r="A83" t="s">
        <v>91</v>
      </c>
      <c r="B83" t="s">
        <v>92</v>
      </c>
      <c r="C83" t="s">
        <v>4</v>
      </c>
      <c r="D83" t="s">
        <v>26</v>
      </c>
      <c r="E83" t="s">
        <v>180</v>
      </c>
      <c r="F83" s="1">
        <f>VLOOKUP(A:A,MASTER!A:F,6,0)</f>
        <v>14099053.264334928</v>
      </c>
      <c r="G83" s="1">
        <f>VLOOKUP(A:A,MASTER!A:K,11,0)</f>
        <v>13251615.22394882</v>
      </c>
      <c r="H83" s="12">
        <f t="shared" si="5"/>
        <v>-6.010602446121649E-2</v>
      </c>
      <c r="I83" s="2">
        <f>VLOOKUP(A:A,MASTER!A:E,5,0)</f>
        <v>901</v>
      </c>
      <c r="J83" s="2">
        <f>VLOOKUP(A:A,MASTER!A:J,10,0)</f>
        <v>709</v>
      </c>
      <c r="K83" s="12">
        <f t="shared" si="6"/>
        <v>-0.21309655937846839</v>
      </c>
      <c r="L83" s="2">
        <f>VLOOKUP(A:A,MASTER!A:D,4,0)</f>
        <v>3</v>
      </c>
      <c r="M83" s="2">
        <f>VLOOKUP(A:A,MASTER!A:I,9,0)</f>
        <v>10</v>
      </c>
      <c r="N83" s="12">
        <f t="shared" si="7"/>
        <v>2.3333333333333335</v>
      </c>
      <c r="O83" s="1">
        <f>VLOOKUP(A:A,MASTER!A:C,3,0)</f>
        <v>6</v>
      </c>
      <c r="P83" s="1">
        <f>VLOOKUP(A:A,MASTER!A:H,8,0)</f>
        <v>4</v>
      </c>
      <c r="Q83" s="12">
        <f t="shared" si="8"/>
        <v>-0.33333333333333337</v>
      </c>
      <c r="R83" s="1">
        <f>VLOOKUP(A:A,MASTER!A:B,2,0)</f>
        <v>624</v>
      </c>
      <c r="S83">
        <f>VLOOKUP(A:A,MASTER!A:G,7,0)</f>
        <v>769</v>
      </c>
      <c r="T83" s="12">
        <f t="shared" si="9"/>
        <v>0.23237179487179493</v>
      </c>
      <c r="U83">
        <v>2</v>
      </c>
    </row>
    <row r="84" spans="1:21" x14ac:dyDescent="0.35">
      <c r="A84" t="s">
        <v>97</v>
      </c>
      <c r="B84" t="s">
        <v>98</v>
      </c>
      <c r="C84" t="s">
        <v>4</v>
      </c>
      <c r="D84" t="s">
        <v>26</v>
      </c>
      <c r="E84" t="s">
        <v>182</v>
      </c>
      <c r="F84" s="1">
        <f>VLOOKUP(A:A,MASTER!A:F,6,0)</f>
        <v>24761684.048804503</v>
      </c>
      <c r="G84" s="1">
        <f>VLOOKUP(A:A,MASTER!A:K,11,0)</f>
        <v>25936117.318591543</v>
      </c>
      <c r="H84" s="12">
        <f t="shared" si="5"/>
        <v>4.7429458653630574E-2</v>
      </c>
      <c r="I84" s="2">
        <f>VLOOKUP(A:A,MASTER!A:E,5,0)</f>
        <v>501</v>
      </c>
      <c r="J84" s="2">
        <f>VLOOKUP(A:A,MASTER!A:J,10,0)</f>
        <v>1026</v>
      </c>
      <c r="K84" s="12">
        <f t="shared" si="6"/>
        <v>1.0479041916167664</v>
      </c>
      <c r="L84" s="2">
        <f>VLOOKUP(A:A,MASTER!A:D,4,0)</f>
        <v>6</v>
      </c>
      <c r="M84" s="2">
        <f>VLOOKUP(A:A,MASTER!A:I,9,0)</f>
        <v>2</v>
      </c>
      <c r="N84" s="12">
        <f t="shared" si="7"/>
        <v>-0.66666666666666674</v>
      </c>
      <c r="O84" s="1">
        <f>VLOOKUP(A:A,MASTER!A:C,3,0)</f>
        <v>13</v>
      </c>
      <c r="P84" s="1">
        <f>VLOOKUP(A:A,MASTER!A:H,8,0)</f>
        <v>3</v>
      </c>
      <c r="Q84" s="12">
        <f t="shared" si="8"/>
        <v>-0.76923076923076916</v>
      </c>
      <c r="R84" s="1">
        <f>VLOOKUP(A:A,MASTER!A:B,2,0)</f>
        <v>590</v>
      </c>
      <c r="S84">
        <f>VLOOKUP(A:A,MASTER!A:G,7,0)</f>
        <v>954</v>
      </c>
      <c r="T84" s="12">
        <f t="shared" si="9"/>
        <v>0.61694915254237293</v>
      </c>
      <c r="U84">
        <v>7</v>
      </c>
    </row>
    <row r="85" spans="1:21" x14ac:dyDescent="0.35">
      <c r="A85" t="s">
        <v>78</v>
      </c>
      <c r="B85" t="s">
        <v>177</v>
      </c>
      <c r="C85" t="s">
        <v>22</v>
      </c>
      <c r="D85" t="s">
        <v>23</v>
      </c>
      <c r="E85" t="s">
        <v>180</v>
      </c>
      <c r="F85" s="1">
        <f>VLOOKUP(A:A,MASTER!A:F,6,0)</f>
        <v>6820595.096124053</v>
      </c>
      <c r="G85" s="1">
        <f>VLOOKUP(A:A,MASTER!A:K,11,0)</f>
        <v>6214020.6016599154</v>
      </c>
      <c r="H85" s="12">
        <f t="shared" si="5"/>
        <v>-8.8932781658426885E-2</v>
      </c>
      <c r="I85" s="2">
        <f>VLOOKUP(A:A,MASTER!A:E,5,0)</f>
        <v>308</v>
      </c>
      <c r="J85" s="2">
        <f>VLOOKUP(A:A,MASTER!A:J,10,0)</f>
        <v>892</v>
      </c>
      <c r="K85" s="12">
        <f t="shared" si="6"/>
        <v>1.8961038961038961</v>
      </c>
      <c r="L85" s="2">
        <f>VLOOKUP(A:A,MASTER!A:D,4,0)</f>
        <v>1</v>
      </c>
      <c r="M85" s="2">
        <f>VLOOKUP(A:A,MASTER!A:I,9,0)</f>
        <v>5</v>
      </c>
      <c r="N85" s="12">
        <f t="shared" si="7"/>
        <v>4</v>
      </c>
      <c r="O85" s="1">
        <f>VLOOKUP(A:A,MASTER!A:C,3,0)</f>
        <v>3</v>
      </c>
      <c r="P85" s="1">
        <f>VLOOKUP(A:A,MASTER!A:H,8,0)</f>
        <v>3</v>
      </c>
      <c r="Q85" s="12">
        <f t="shared" si="8"/>
        <v>0</v>
      </c>
      <c r="R85" s="1">
        <f>VLOOKUP(A:A,MASTER!A:B,2,0)</f>
        <v>360</v>
      </c>
      <c r="S85">
        <f>VLOOKUP(A:A,MASTER!A:G,7,0)</f>
        <v>988</v>
      </c>
      <c r="T85" s="12">
        <f t="shared" si="9"/>
        <v>1.7444444444444445</v>
      </c>
      <c r="U85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K91"/>
  <sheetViews>
    <sheetView tabSelected="1" workbookViewId="0">
      <pane xSplit="1" ySplit="5" topLeftCell="B77" activePane="bottomRight" state="frozen"/>
      <selection pane="topRight" activeCell="B1" sqref="B1"/>
      <selection pane="bottomLeft" activeCell="A6" sqref="A6"/>
      <selection pane="bottomRight" activeCell="A6" sqref="A6:A90"/>
    </sheetView>
  </sheetViews>
  <sheetFormatPr defaultRowHeight="14.5" x14ac:dyDescent="0.35"/>
  <cols>
    <col min="1" max="1" width="11.36328125" bestFit="1" customWidth="1"/>
    <col min="2" max="2" width="14.54296875" bestFit="1" customWidth="1"/>
    <col min="3" max="3" width="19.81640625" bestFit="1" customWidth="1"/>
    <col min="4" max="4" width="14.6328125" bestFit="1" customWidth="1"/>
    <col min="5" max="5" width="14.90625" bestFit="1" customWidth="1"/>
    <col min="6" max="6" width="27.7265625" bestFit="1" customWidth="1"/>
    <col min="7" max="7" width="14.54296875" bestFit="1" customWidth="1"/>
    <col min="8" max="8" width="19.81640625" bestFit="1" customWidth="1"/>
    <col min="9" max="9" width="14.6328125" bestFit="1" customWidth="1"/>
    <col min="10" max="10" width="14.90625" bestFit="1" customWidth="1"/>
    <col min="11" max="11" width="27.7265625" bestFit="1" customWidth="1"/>
  </cols>
  <sheetData>
    <row r="3" spans="1:11" s="1" customFormat="1" x14ac:dyDescent="0.35">
      <c r="A3" s="11"/>
      <c r="B3" s="11">
        <f t="shared" ref="B3:K3" si="0">SUBTOTAL(9,B6:B90)</f>
        <v>84119</v>
      </c>
      <c r="C3" s="11">
        <f t="shared" si="0"/>
        <v>1649</v>
      </c>
      <c r="D3" s="11">
        <f t="shared" si="0"/>
        <v>307</v>
      </c>
      <c r="E3" s="11">
        <f t="shared" si="0"/>
        <v>70689</v>
      </c>
      <c r="F3" s="11">
        <f t="shared" si="0"/>
        <v>2612231633.0339432</v>
      </c>
      <c r="G3" s="11">
        <f t="shared" si="0"/>
        <v>83692</v>
      </c>
      <c r="H3" s="11">
        <f t="shared" si="0"/>
        <v>1733</v>
      </c>
      <c r="I3" s="11">
        <f t="shared" si="0"/>
        <v>299</v>
      </c>
      <c r="J3" s="11">
        <f t="shared" si="0"/>
        <v>70354</v>
      </c>
      <c r="K3" s="11">
        <f t="shared" si="0"/>
        <v>2686502429.4066834</v>
      </c>
    </row>
    <row r="4" spans="1:11" x14ac:dyDescent="0.35">
      <c r="A4" s="7"/>
      <c r="B4" s="7" t="s">
        <v>194</v>
      </c>
      <c r="C4" s="7"/>
      <c r="D4" s="7"/>
      <c r="E4" s="7"/>
      <c r="F4" s="7"/>
      <c r="G4" s="7" t="s">
        <v>195</v>
      </c>
      <c r="H4" s="7"/>
      <c r="I4" s="7"/>
      <c r="J4" s="7"/>
      <c r="K4" s="7"/>
    </row>
    <row r="5" spans="1:11" x14ac:dyDescent="0.35">
      <c r="A5" s="8" t="s">
        <v>196</v>
      </c>
      <c r="B5" s="8" t="s">
        <v>197</v>
      </c>
      <c r="C5" s="8" t="s">
        <v>198</v>
      </c>
      <c r="D5" s="8" t="s">
        <v>199</v>
      </c>
      <c r="E5" s="8" t="s">
        <v>200</v>
      </c>
      <c r="F5" s="8" t="s">
        <v>201</v>
      </c>
      <c r="G5" s="8" t="s">
        <v>197</v>
      </c>
      <c r="H5" s="8" t="s">
        <v>198</v>
      </c>
      <c r="I5" s="8" t="s">
        <v>199</v>
      </c>
      <c r="J5" s="8" t="s">
        <v>200</v>
      </c>
      <c r="K5" s="8" t="s">
        <v>201</v>
      </c>
    </row>
    <row r="6" spans="1:11" x14ac:dyDescent="0.35">
      <c r="A6" s="9" t="s">
        <v>117</v>
      </c>
      <c r="B6" s="10">
        <v>411</v>
      </c>
      <c r="C6" s="10">
        <v>3</v>
      </c>
      <c r="D6" s="10">
        <v>2</v>
      </c>
      <c r="E6" s="10">
        <v>308</v>
      </c>
      <c r="F6" s="10">
        <v>12452036.798173808</v>
      </c>
      <c r="G6" s="10">
        <v>414</v>
      </c>
      <c r="H6" s="10">
        <v>1</v>
      </c>
      <c r="I6" s="10">
        <v>2</v>
      </c>
      <c r="J6" s="10">
        <v>353</v>
      </c>
      <c r="K6" s="10">
        <v>12287955.952436997</v>
      </c>
    </row>
    <row r="7" spans="1:11" x14ac:dyDescent="0.35">
      <c r="A7" s="9" t="s">
        <v>127</v>
      </c>
      <c r="B7" s="10">
        <v>672</v>
      </c>
      <c r="C7" s="10">
        <v>2</v>
      </c>
      <c r="D7" s="10">
        <v>1</v>
      </c>
      <c r="E7" s="10">
        <v>476</v>
      </c>
      <c r="F7" s="10">
        <v>15270377.5820772</v>
      </c>
      <c r="G7" s="10">
        <v>634</v>
      </c>
      <c r="H7" s="10">
        <v>6</v>
      </c>
      <c r="I7" s="10">
        <v>2</v>
      </c>
      <c r="J7" s="10">
        <v>500</v>
      </c>
      <c r="K7" s="10">
        <v>14339947.092993161</v>
      </c>
    </row>
    <row r="8" spans="1:11" x14ac:dyDescent="0.35">
      <c r="A8" s="9" t="s">
        <v>119</v>
      </c>
      <c r="B8" s="10">
        <v>688</v>
      </c>
      <c r="C8" s="10">
        <v>7</v>
      </c>
      <c r="D8" s="10">
        <v>2</v>
      </c>
      <c r="E8" s="10">
        <v>809</v>
      </c>
      <c r="F8" s="10">
        <v>17041117.995255239</v>
      </c>
      <c r="G8" s="10">
        <v>770</v>
      </c>
      <c r="H8" s="10">
        <v>9</v>
      </c>
      <c r="I8" s="10">
        <v>1</v>
      </c>
      <c r="J8" s="10">
        <v>788</v>
      </c>
      <c r="K8" s="10">
        <v>19961475.905457538</v>
      </c>
    </row>
    <row r="9" spans="1:11" x14ac:dyDescent="0.35">
      <c r="A9" s="9" t="s">
        <v>121</v>
      </c>
      <c r="B9" s="10">
        <v>1193</v>
      </c>
      <c r="C9" s="10">
        <v>8</v>
      </c>
      <c r="D9" s="10">
        <v>3</v>
      </c>
      <c r="E9" s="10">
        <v>1442</v>
      </c>
      <c r="F9" s="10">
        <v>30428581.790787671</v>
      </c>
      <c r="G9" s="10">
        <v>1214</v>
      </c>
      <c r="H9" s="10">
        <v>8</v>
      </c>
      <c r="I9" s="10">
        <v>3</v>
      </c>
      <c r="J9" s="10">
        <v>1130</v>
      </c>
      <c r="K9" s="10">
        <v>31260783.726436041</v>
      </c>
    </row>
    <row r="10" spans="1:11" x14ac:dyDescent="0.35">
      <c r="A10" s="9" t="s">
        <v>123</v>
      </c>
      <c r="B10" s="10">
        <v>424</v>
      </c>
      <c r="C10" s="10">
        <v>2</v>
      </c>
      <c r="D10" s="10">
        <v>1</v>
      </c>
      <c r="E10" s="10">
        <v>333</v>
      </c>
      <c r="F10" s="10">
        <v>12572009.692979235</v>
      </c>
      <c r="G10" s="10">
        <v>413</v>
      </c>
      <c r="H10" s="10">
        <v>1</v>
      </c>
      <c r="I10" s="10">
        <v>1</v>
      </c>
      <c r="J10" s="10">
        <v>377</v>
      </c>
      <c r="K10" s="10">
        <v>14087321.867469653</v>
      </c>
    </row>
    <row r="11" spans="1:11" x14ac:dyDescent="0.35">
      <c r="A11" s="9" t="s">
        <v>125</v>
      </c>
      <c r="B11" s="10">
        <v>375</v>
      </c>
      <c r="C11" s="10">
        <v>3</v>
      </c>
      <c r="D11" s="10">
        <v>2</v>
      </c>
      <c r="E11" s="10">
        <v>328</v>
      </c>
      <c r="F11" s="10">
        <v>10954941.459135331</v>
      </c>
      <c r="G11" s="10">
        <v>387</v>
      </c>
      <c r="H11" s="10">
        <v>3</v>
      </c>
      <c r="I11" s="10">
        <v>2</v>
      </c>
      <c r="J11" s="10">
        <v>268</v>
      </c>
      <c r="K11" s="10">
        <v>11489847.967613995</v>
      </c>
    </row>
    <row r="12" spans="1:11" x14ac:dyDescent="0.35">
      <c r="A12" s="9" t="s">
        <v>131</v>
      </c>
      <c r="B12" s="10">
        <v>589</v>
      </c>
      <c r="C12" s="10">
        <v>2</v>
      </c>
      <c r="D12" s="10">
        <v>1</v>
      </c>
      <c r="E12" s="10">
        <v>459</v>
      </c>
      <c r="F12" s="10">
        <v>12590405.038448486</v>
      </c>
      <c r="G12" s="10">
        <v>419</v>
      </c>
      <c r="H12" s="10">
        <v>3</v>
      </c>
      <c r="I12" s="10">
        <v>2</v>
      </c>
      <c r="J12" s="10">
        <v>374</v>
      </c>
      <c r="K12" s="10">
        <v>13775550.668594858</v>
      </c>
    </row>
    <row r="13" spans="1:11" x14ac:dyDescent="0.35">
      <c r="A13" s="9" t="s">
        <v>133</v>
      </c>
      <c r="B13" s="10">
        <v>172</v>
      </c>
      <c r="C13" s="10">
        <v>1</v>
      </c>
      <c r="D13" s="10">
        <v>1</v>
      </c>
      <c r="E13" s="10">
        <v>153</v>
      </c>
      <c r="F13" s="10">
        <v>5908394.1481695939</v>
      </c>
      <c r="G13" s="10">
        <v>629</v>
      </c>
      <c r="H13" s="10">
        <v>6</v>
      </c>
      <c r="I13" s="10">
        <v>2</v>
      </c>
      <c r="J13" s="10">
        <v>500</v>
      </c>
      <c r="K13" s="10">
        <v>6045648.5828848016</v>
      </c>
    </row>
    <row r="14" spans="1:11" x14ac:dyDescent="0.35">
      <c r="A14" s="9" t="s">
        <v>141</v>
      </c>
      <c r="B14" s="10">
        <v>197</v>
      </c>
      <c r="C14" s="10">
        <v>1</v>
      </c>
      <c r="D14" s="10">
        <v>0</v>
      </c>
      <c r="E14" s="10">
        <v>163</v>
      </c>
      <c r="F14" s="10">
        <v>5680298.6802293016</v>
      </c>
      <c r="G14" s="10">
        <v>774</v>
      </c>
      <c r="H14" s="10">
        <v>10</v>
      </c>
      <c r="I14" s="10">
        <v>1</v>
      </c>
      <c r="J14" s="10">
        <v>757</v>
      </c>
      <c r="K14" s="10">
        <v>2860659.9967147</v>
      </c>
    </row>
    <row r="15" spans="1:11" x14ac:dyDescent="0.35">
      <c r="A15" s="9" t="s">
        <v>135</v>
      </c>
      <c r="B15" s="10">
        <v>335</v>
      </c>
      <c r="C15" s="10">
        <v>1</v>
      </c>
      <c r="D15" s="10">
        <v>1</v>
      </c>
      <c r="E15" s="10">
        <v>330</v>
      </c>
      <c r="F15" s="10">
        <v>8944383.1211307161</v>
      </c>
      <c r="G15" s="10">
        <v>1210</v>
      </c>
      <c r="H15" s="10">
        <v>9</v>
      </c>
      <c r="I15" s="10">
        <v>3</v>
      </c>
      <c r="J15" s="10">
        <v>1155</v>
      </c>
      <c r="K15" s="10">
        <v>11890504.003905904</v>
      </c>
    </row>
    <row r="16" spans="1:11" x14ac:dyDescent="0.35">
      <c r="A16" s="9" t="s">
        <v>143</v>
      </c>
      <c r="B16" s="10">
        <v>213</v>
      </c>
      <c r="C16" s="10">
        <v>0</v>
      </c>
      <c r="D16" s="10">
        <v>1</v>
      </c>
      <c r="E16" s="10">
        <v>226</v>
      </c>
      <c r="F16" s="10">
        <v>4262490.9429104608</v>
      </c>
      <c r="G16" s="10">
        <v>410</v>
      </c>
      <c r="H16" s="10">
        <v>1</v>
      </c>
      <c r="I16" s="10">
        <v>1</v>
      </c>
      <c r="J16" s="10">
        <v>374</v>
      </c>
      <c r="K16" s="10">
        <v>6152814.3065978391</v>
      </c>
    </row>
    <row r="17" spans="1:11" x14ac:dyDescent="0.35">
      <c r="A17" s="9" t="s">
        <v>145</v>
      </c>
      <c r="B17" s="10">
        <v>256</v>
      </c>
      <c r="C17" s="10">
        <v>7</v>
      </c>
      <c r="D17" s="10">
        <v>1</v>
      </c>
      <c r="E17" s="10">
        <v>203</v>
      </c>
      <c r="F17" s="10">
        <v>5733341.8539821506</v>
      </c>
      <c r="G17" s="10">
        <v>390</v>
      </c>
      <c r="H17" s="10">
        <v>3</v>
      </c>
      <c r="I17" s="10">
        <v>2</v>
      </c>
      <c r="J17" s="10">
        <v>322</v>
      </c>
      <c r="K17" s="10">
        <v>6544098.7908061044</v>
      </c>
    </row>
    <row r="18" spans="1:11" x14ac:dyDescent="0.35">
      <c r="A18" s="9" t="s">
        <v>20</v>
      </c>
      <c r="B18" s="10">
        <v>1426</v>
      </c>
      <c r="C18" s="10">
        <v>0</v>
      </c>
      <c r="D18" s="10">
        <v>2</v>
      </c>
      <c r="E18" s="10">
        <v>1199</v>
      </c>
      <c r="F18" s="10">
        <v>12150068.330912439</v>
      </c>
      <c r="G18" s="10">
        <v>615</v>
      </c>
      <c r="H18" s="10">
        <v>3</v>
      </c>
      <c r="I18" s="10">
        <v>2</v>
      </c>
      <c r="J18" s="10">
        <v>529</v>
      </c>
      <c r="K18" s="10">
        <v>27129953.922294252</v>
      </c>
    </row>
    <row r="19" spans="1:11" x14ac:dyDescent="0.35">
      <c r="A19" s="9" t="s">
        <v>45</v>
      </c>
      <c r="B19" s="10">
        <v>1259</v>
      </c>
      <c r="C19" s="10">
        <v>2</v>
      </c>
      <c r="D19" s="10">
        <v>2</v>
      </c>
      <c r="E19" s="10">
        <v>996</v>
      </c>
      <c r="F19" s="10">
        <v>37115893.490185946</v>
      </c>
      <c r="G19" s="10">
        <v>176</v>
      </c>
      <c r="H19" s="10">
        <v>0</v>
      </c>
      <c r="I19" s="10">
        <v>1</v>
      </c>
      <c r="J19" s="10">
        <v>150</v>
      </c>
      <c r="K19" s="10">
        <v>46248297.021251909</v>
      </c>
    </row>
    <row r="20" spans="1:11" x14ac:dyDescent="0.35">
      <c r="A20" s="9" t="s">
        <v>47</v>
      </c>
      <c r="B20" s="10">
        <v>1028</v>
      </c>
      <c r="C20" s="10">
        <v>4</v>
      </c>
      <c r="D20" s="10">
        <v>4</v>
      </c>
      <c r="E20" s="10">
        <v>1758</v>
      </c>
      <c r="F20" s="10">
        <v>24557779.647644848</v>
      </c>
      <c r="G20" s="10">
        <v>199</v>
      </c>
      <c r="H20" s="10">
        <v>1</v>
      </c>
      <c r="I20" s="10">
        <v>1</v>
      </c>
      <c r="J20" s="10">
        <v>186</v>
      </c>
      <c r="K20" s="10">
        <v>24780324.33078628</v>
      </c>
    </row>
    <row r="21" spans="1:11" x14ac:dyDescent="0.35">
      <c r="A21" s="9" t="s">
        <v>49</v>
      </c>
      <c r="B21" s="10">
        <v>948</v>
      </c>
      <c r="C21" s="10">
        <v>1</v>
      </c>
      <c r="D21" s="10">
        <v>3</v>
      </c>
      <c r="E21" s="10">
        <v>587</v>
      </c>
      <c r="F21" s="10">
        <v>24093521.100269504</v>
      </c>
      <c r="G21" s="10">
        <v>387</v>
      </c>
      <c r="H21" s="10">
        <v>3</v>
      </c>
      <c r="I21" s="10">
        <v>1</v>
      </c>
      <c r="J21" s="10">
        <v>431</v>
      </c>
      <c r="K21" s="10">
        <v>20292128.333114807</v>
      </c>
    </row>
    <row r="22" spans="1:11" x14ac:dyDescent="0.35">
      <c r="A22" s="9" t="s">
        <v>51</v>
      </c>
      <c r="B22" s="10">
        <v>3177</v>
      </c>
      <c r="C22" s="10">
        <v>695</v>
      </c>
      <c r="D22" s="10">
        <v>11</v>
      </c>
      <c r="E22" s="10">
        <v>2465</v>
      </c>
      <c r="F22" s="10">
        <v>84378043.245911941</v>
      </c>
      <c r="G22" s="10">
        <v>226</v>
      </c>
      <c r="H22" s="10">
        <v>0</v>
      </c>
      <c r="I22" s="10">
        <v>2</v>
      </c>
      <c r="J22" s="10">
        <v>263</v>
      </c>
      <c r="K22" s="10">
        <v>91431790.086039543</v>
      </c>
    </row>
    <row r="23" spans="1:11" x14ac:dyDescent="0.35">
      <c r="A23" s="9" t="s">
        <v>53</v>
      </c>
      <c r="B23" s="10">
        <v>1435</v>
      </c>
      <c r="C23" s="10">
        <v>1</v>
      </c>
      <c r="D23" s="10">
        <v>2</v>
      </c>
      <c r="E23" s="10">
        <v>1195</v>
      </c>
      <c r="F23" s="10">
        <v>45853440.719571456</v>
      </c>
      <c r="G23" s="10">
        <v>239</v>
      </c>
      <c r="H23" s="10">
        <v>2</v>
      </c>
      <c r="I23" s="10">
        <v>1</v>
      </c>
      <c r="J23" s="10">
        <v>231</v>
      </c>
      <c r="K23" s="10">
        <v>28580704.230768949</v>
      </c>
    </row>
    <row r="24" spans="1:11" x14ac:dyDescent="0.35">
      <c r="A24" s="9" t="s">
        <v>55</v>
      </c>
      <c r="B24" s="10">
        <v>3011</v>
      </c>
      <c r="C24" s="10">
        <v>19</v>
      </c>
      <c r="D24" s="10">
        <v>11</v>
      </c>
      <c r="E24" s="10">
        <v>2257</v>
      </c>
      <c r="F24" s="10">
        <v>91985409.680114254</v>
      </c>
      <c r="G24" s="10">
        <v>1386</v>
      </c>
      <c r="H24" s="10">
        <v>4</v>
      </c>
      <c r="I24" s="10">
        <v>3</v>
      </c>
      <c r="J24" s="10">
        <v>1040</v>
      </c>
      <c r="K24" s="10">
        <v>91798677.850888729</v>
      </c>
    </row>
    <row r="25" spans="1:11" x14ac:dyDescent="0.35">
      <c r="A25" s="9" t="s">
        <v>67</v>
      </c>
      <c r="B25" s="10">
        <v>547</v>
      </c>
      <c r="C25" s="10">
        <v>6</v>
      </c>
      <c r="D25" s="10">
        <v>1</v>
      </c>
      <c r="E25" s="10">
        <v>465</v>
      </c>
      <c r="F25" s="10">
        <v>13083985.836379612</v>
      </c>
      <c r="G25" s="10">
        <v>1233</v>
      </c>
      <c r="H25" s="10">
        <v>2</v>
      </c>
      <c r="I25" s="10">
        <v>3</v>
      </c>
      <c r="J25" s="10">
        <v>893</v>
      </c>
      <c r="K25" s="10">
        <v>13952390.293539824</v>
      </c>
    </row>
    <row r="26" spans="1:11" x14ac:dyDescent="0.35">
      <c r="A26" s="9" t="s">
        <v>74</v>
      </c>
      <c r="B26" s="10">
        <v>1731</v>
      </c>
      <c r="C26" s="10">
        <v>22</v>
      </c>
      <c r="D26" s="10">
        <v>1</v>
      </c>
      <c r="E26" s="10">
        <v>1297</v>
      </c>
      <c r="F26" s="10">
        <v>36202793.63631741</v>
      </c>
      <c r="G26" s="10">
        <v>1017</v>
      </c>
      <c r="H26" s="10">
        <v>5</v>
      </c>
      <c r="I26" s="10">
        <v>5</v>
      </c>
      <c r="J26" s="10">
        <v>904</v>
      </c>
      <c r="K26" s="10">
        <v>38550165.164171152</v>
      </c>
    </row>
    <row r="27" spans="1:11" x14ac:dyDescent="0.35">
      <c r="A27" s="9" t="s">
        <v>70</v>
      </c>
      <c r="B27" s="10">
        <v>875</v>
      </c>
      <c r="C27" s="10">
        <v>12</v>
      </c>
      <c r="D27" s="10">
        <v>1</v>
      </c>
      <c r="E27" s="10">
        <v>743</v>
      </c>
      <c r="F27" s="10">
        <v>15994034.782365471</v>
      </c>
      <c r="G27" s="10">
        <v>919</v>
      </c>
      <c r="H27" s="10">
        <v>4</v>
      </c>
      <c r="I27" s="10">
        <v>3</v>
      </c>
      <c r="J27" s="10">
        <v>673</v>
      </c>
      <c r="K27" s="10">
        <v>16023991.278544333</v>
      </c>
    </row>
    <row r="28" spans="1:11" x14ac:dyDescent="0.35">
      <c r="A28" s="9" t="s">
        <v>72</v>
      </c>
      <c r="B28" s="10">
        <v>897</v>
      </c>
      <c r="C28" s="10">
        <v>5</v>
      </c>
      <c r="D28" s="10">
        <v>1</v>
      </c>
      <c r="E28" s="10">
        <v>920</v>
      </c>
      <c r="F28" s="10">
        <v>17730094.775826979</v>
      </c>
      <c r="G28" s="10">
        <v>2788</v>
      </c>
      <c r="H28" s="10">
        <v>186</v>
      </c>
      <c r="I28" s="10">
        <v>10</v>
      </c>
      <c r="J28" s="10">
        <v>2089</v>
      </c>
      <c r="K28" s="10">
        <v>19429198.640231583</v>
      </c>
    </row>
    <row r="29" spans="1:11" x14ac:dyDescent="0.35">
      <c r="A29" s="9" t="s">
        <v>79</v>
      </c>
      <c r="B29" s="10">
        <v>230</v>
      </c>
      <c r="C29" s="10">
        <v>1</v>
      </c>
      <c r="D29" s="10">
        <v>0</v>
      </c>
      <c r="E29" s="10">
        <v>172</v>
      </c>
      <c r="F29" s="10">
        <v>5277024.5563090751</v>
      </c>
      <c r="G29" s="10">
        <v>1379</v>
      </c>
      <c r="H29" s="10">
        <v>8</v>
      </c>
      <c r="I29" s="10">
        <v>2</v>
      </c>
      <c r="J29" s="10">
        <v>1195</v>
      </c>
      <c r="K29" s="10">
        <v>4433708.8725122856</v>
      </c>
    </row>
    <row r="30" spans="1:11" x14ac:dyDescent="0.35">
      <c r="A30" s="9" t="s">
        <v>109</v>
      </c>
      <c r="B30" s="10">
        <v>1653</v>
      </c>
      <c r="C30" s="10">
        <v>4</v>
      </c>
      <c r="D30" s="10">
        <v>5</v>
      </c>
      <c r="E30" s="10">
        <v>1323</v>
      </c>
      <c r="F30" s="10">
        <v>40235450.07087151</v>
      </c>
      <c r="G30" s="10">
        <v>2920</v>
      </c>
      <c r="H30" s="10">
        <v>21</v>
      </c>
      <c r="I30" s="10">
        <v>10</v>
      </c>
      <c r="J30" s="10">
        <v>2088</v>
      </c>
      <c r="K30" s="10">
        <v>36803930.469524823</v>
      </c>
    </row>
    <row r="31" spans="1:11" x14ac:dyDescent="0.35">
      <c r="A31" s="9" t="s">
        <v>111</v>
      </c>
      <c r="B31" s="10">
        <v>863</v>
      </c>
      <c r="C31" s="10">
        <v>6</v>
      </c>
      <c r="D31" s="10">
        <v>1</v>
      </c>
      <c r="E31" s="10">
        <v>607</v>
      </c>
      <c r="F31" s="10">
        <v>28301686.739777543</v>
      </c>
      <c r="G31" s="10">
        <v>537</v>
      </c>
      <c r="H31" s="10">
        <v>6</v>
      </c>
      <c r="I31" s="10">
        <v>1</v>
      </c>
      <c r="J31" s="10">
        <v>485</v>
      </c>
      <c r="K31" s="10">
        <v>30880741.730442863</v>
      </c>
    </row>
    <row r="32" spans="1:11" x14ac:dyDescent="0.35">
      <c r="A32" s="9" t="s">
        <v>113</v>
      </c>
      <c r="B32" s="10">
        <v>1115</v>
      </c>
      <c r="C32" s="10">
        <v>2</v>
      </c>
      <c r="D32" s="10">
        <v>1</v>
      </c>
      <c r="E32" s="10">
        <v>770</v>
      </c>
      <c r="F32" s="10">
        <v>30771914.979088616</v>
      </c>
      <c r="G32" s="10">
        <v>1671</v>
      </c>
      <c r="H32" s="10">
        <v>21</v>
      </c>
      <c r="I32" s="10">
        <v>2</v>
      </c>
      <c r="J32" s="10">
        <v>1300</v>
      </c>
      <c r="K32" s="10">
        <v>29013524.004899658</v>
      </c>
    </row>
    <row r="33" spans="1:11" x14ac:dyDescent="0.35">
      <c r="A33" s="9" t="s">
        <v>115</v>
      </c>
      <c r="B33" s="10">
        <v>1134</v>
      </c>
      <c r="C33" s="10">
        <v>3</v>
      </c>
      <c r="D33" s="10">
        <v>2</v>
      </c>
      <c r="E33" s="10">
        <v>915</v>
      </c>
      <c r="F33" s="10">
        <v>39627788.142400511</v>
      </c>
      <c r="G33" s="10">
        <v>872</v>
      </c>
      <c r="H33" s="10">
        <v>12</v>
      </c>
      <c r="I33" s="10">
        <v>1</v>
      </c>
      <c r="J33" s="10">
        <v>954</v>
      </c>
      <c r="K33" s="10">
        <v>41174058.474659473</v>
      </c>
    </row>
    <row r="34" spans="1:11" x14ac:dyDescent="0.35">
      <c r="A34" s="9" t="s">
        <v>16</v>
      </c>
      <c r="B34" s="10">
        <v>1507</v>
      </c>
      <c r="C34" s="10">
        <v>3</v>
      </c>
      <c r="D34" s="10">
        <v>5</v>
      </c>
      <c r="E34" s="10">
        <v>1163</v>
      </c>
      <c r="F34" s="10">
        <v>57867671.527397662</v>
      </c>
      <c r="G34" s="10">
        <v>872</v>
      </c>
      <c r="H34" s="10">
        <v>6</v>
      </c>
      <c r="I34" s="10">
        <v>1</v>
      </c>
      <c r="J34" s="10">
        <v>684</v>
      </c>
      <c r="K34" s="10">
        <v>52940271.569831714</v>
      </c>
    </row>
    <row r="35" spans="1:11" x14ac:dyDescent="0.35">
      <c r="A35" s="9" t="s">
        <v>18</v>
      </c>
      <c r="B35" s="10">
        <v>705</v>
      </c>
      <c r="C35" s="10">
        <v>3</v>
      </c>
      <c r="D35" s="10">
        <v>3</v>
      </c>
      <c r="E35" s="10">
        <v>604</v>
      </c>
      <c r="F35" s="10">
        <v>21899406.198145673</v>
      </c>
      <c r="G35" s="10">
        <v>229</v>
      </c>
      <c r="H35" s="10">
        <v>1</v>
      </c>
      <c r="I35" s="10">
        <v>1</v>
      </c>
      <c r="J35" s="10">
        <v>177</v>
      </c>
      <c r="K35" s="10">
        <v>23896792.324472841</v>
      </c>
    </row>
    <row r="36" spans="1:11" x14ac:dyDescent="0.35">
      <c r="A36" s="9" t="s">
        <v>43</v>
      </c>
      <c r="B36" s="10">
        <v>1958</v>
      </c>
      <c r="C36" s="10">
        <v>17</v>
      </c>
      <c r="D36" s="10">
        <v>11</v>
      </c>
      <c r="E36" s="10">
        <v>1677</v>
      </c>
      <c r="F36" s="10">
        <v>68379291.574158043</v>
      </c>
      <c r="G36" s="10">
        <v>1638</v>
      </c>
      <c r="H36" s="10">
        <v>12</v>
      </c>
      <c r="I36" s="10">
        <v>5</v>
      </c>
      <c r="J36" s="10">
        <v>1317</v>
      </c>
      <c r="K36" s="10">
        <v>58685299.940138116</v>
      </c>
    </row>
    <row r="37" spans="1:11" x14ac:dyDescent="0.35">
      <c r="A37" s="9" t="s">
        <v>152</v>
      </c>
      <c r="B37" s="10">
        <v>839</v>
      </c>
      <c r="C37" s="10">
        <v>2</v>
      </c>
      <c r="D37" s="10">
        <v>2</v>
      </c>
      <c r="E37" s="10">
        <v>707</v>
      </c>
      <c r="F37" s="10">
        <v>23416239.072707906</v>
      </c>
      <c r="G37" s="10">
        <v>884</v>
      </c>
      <c r="H37" s="10">
        <v>5</v>
      </c>
      <c r="I37" s="10">
        <v>1</v>
      </c>
      <c r="J37" s="10">
        <v>631</v>
      </c>
      <c r="K37" s="10">
        <v>23846332.143704496</v>
      </c>
    </row>
    <row r="38" spans="1:11" x14ac:dyDescent="0.35">
      <c r="A38" s="9" t="s">
        <v>149</v>
      </c>
      <c r="B38" s="10">
        <v>697</v>
      </c>
      <c r="C38" s="10">
        <v>5</v>
      </c>
      <c r="D38" s="10">
        <v>1</v>
      </c>
      <c r="E38" s="10">
        <v>592</v>
      </c>
      <c r="F38" s="10">
        <v>19580984.263010703</v>
      </c>
      <c r="G38" s="10">
        <v>1039</v>
      </c>
      <c r="H38" s="10">
        <v>3</v>
      </c>
      <c r="I38" s="10">
        <v>2</v>
      </c>
      <c r="J38" s="10">
        <v>1418</v>
      </c>
      <c r="K38" s="10">
        <v>21933834.462986201</v>
      </c>
    </row>
    <row r="39" spans="1:11" x14ac:dyDescent="0.35">
      <c r="A39" s="9" t="s">
        <v>154</v>
      </c>
      <c r="B39" s="10">
        <v>1124</v>
      </c>
      <c r="C39" s="10">
        <v>18</v>
      </c>
      <c r="D39" s="10">
        <v>2</v>
      </c>
      <c r="E39" s="10">
        <v>993</v>
      </c>
      <c r="F39" s="10">
        <v>34271546.343865938</v>
      </c>
      <c r="G39" s="10">
        <v>1130</v>
      </c>
      <c r="H39" s="10">
        <v>4</v>
      </c>
      <c r="I39" s="10">
        <v>2</v>
      </c>
      <c r="J39" s="10">
        <v>892</v>
      </c>
      <c r="K39" s="10">
        <v>33947334.926795498</v>
      </c>
    </row>
    <row r="40" spans="1:11" x14ac:dyDescent="0.35">
      <c r="A40" s="9" t="s">
        <v>2</v>
      </c>
      <c r="B40" s="10">
        <v>1093</v>
      </c>
      <c r="C40" s="10">
        <v>41</v>
      </c>
      <c r="D40" s="10">
        <v>1</v>
      </c>
      <c r="E40" s="10">
        <v>867</v>
      </c>
      <c r="F40" s="10">
        <v>33052464.113899976</v>
      </c>
      <c r="G40" s="10">
        <v>1460</v>
      </c>
      <c r="H40" s="10">
        <v>5</v>
      </c>
      <c r="I40" s="10">
        <v>4</v>
      </c>
      <c r="J40" s="10">
        <v>1129</v>
      </c>
      <c r="K40" s="10">
        <v>32190582.015026674</v>
      </c>
    </row>
    <row r="41" spans="1:11" x14ac:dyDescent="0.35">
      <c r="A41" s="9" t="s">
        <v>156</v>
      </c>
      <c r="B41" s="10">
        <v>1791</v>
      </c>
      <c r="C41" s="10">
        <v>57</v>
      </c>
      <c r="D41" s="10">
        <v>4</v>
      </c>
      <c r="E41" s="10">
        <v>1425</v>
      </c>
      <c r="F41" s="10">
        <v>52158232.747112714</v>
      </c>
      <c r="G41" s="10">
        <v>696</v>
      </c>
      <c r="H41" s="10">
        <v>1</v>
      </c>
      <c r="I41" s="10">
        <v>5</v>
      </c>
      <c r="J41" s="10">
        <v>827</v>
      </c>
      <c r="K41" s="10">
        <v>57989157.172912218</v>
      </c>
    </row>
    <row r="42" spans="1:11" x14ac:dyDescent="0.35">
      <c r="A42" s="9" t="s">
        <v>14</v>
      </c>
      <c r="B42" s="10">
        <v>603</v>
      </c>
      <c r="C42" s="10">
        <v>2</v>
      </c>
      <c r="D42" s="10">
        <v>4</v>
      </c>
      <c r="E42" s="10">
        <v>443</v>
      </c>
      <c r="F42" s="10">
        <v>17501175.59762124</v>
      </c>
      <c r="G42" s="10">
        <v>1909</v>
      </c>
      <c r="H42" s="10">
        <v>11</v>
      </c>
      <c r="I42" s="10">
        <v>9</v>
      </c>
      <c r="J42" s="10">
        <v>1560</v>
      </c>
      <c r="K42" s="10">
        <v>20656820.414189544</v>
      </c>
    </row>
    <row r="43" spans="1:11" x14ac:dyDescent="0.35">
      <c r="A43" s="9" t="s">
        <v>8</v>
      </c>
      <c r="B43" s="10">
        <v>2055</v>
      </c>
      <c r="C43" s="10">
        <v>14</v>
      </c>
      <c r="D43" s="10">
        <v>5</v>
      </c>
      <c r="E43" s="10">
        <v>2056</v>
      </c>
      <c r="F43" s="10">
        <v>61288523.598765254</v>
      </c>
      <c r="G43" s="10">
        <v>866</v>
      </c>
      <c r="H43" s="10">
        <v>4</v>
      </c>
      <c r="I43" s="10">
        <v>2</v>
      </c>
      <c r="J43" s="10">
        <v>601</v>
      </c>
      <c r="K43" s="10">
        <v>66763112.972614646</v>
      </c>
    </row>
    <row r="44" spans="1:11" x14ac:dyDescent="0.35">
      <c r="A44" s="9" t="s">
        <v>39</v>
      </c>
      <c r="B44" s="10">
        <v>880</v>
      </c>
      <c r="C44" s="10">
        <v>7</v>
      </c>
      <c r="D44" s="10">
        <v>4</v>
      </c>
      <c r="E44" s="10">
        <v>793</v>
      </c>
      <c r="F44" s="10">
        <v>42805016.573299475</v>
      </c>
      <c r="G44" s="10">
        <v>754</v>
      </c>
      <c r="H44" s="10">
        <v>3</v>
      </c>
      <c r="I44" s="10">
        <v>1</v>
      </c>
      <c r="J44" s="10">
        <v>507</v>
      </c>
      <c r="K44" s="10">
        <v>46227650.783002853</v>
      </c>
    </row>
    <row r="45" spans="1:11" x14ac:dyDescent="0.35">
      <c r="A45" s="9" t="s">
        <v>6</v>
      </c>
      <c r="B45" s="10">
        <v>1099</v>
      </c>
      <c r="C45" s="10">
        <v>3</v>
      </c>
      <c r="D45" s="10">
        <v>3</v>
      </c>
      <c r="E45" s="10">
        <v>954</v>
      </c>
      <c r="F45" s="10">
        <v>35305267.70624648</v>
      </c>
      <c r="G45" s="10">
        <v>1146</v>
      </c>
      <c r="H45" s="10">
        <v>22</v>
      </c>
      <c r="I45" s="10">
        <v>1</v>
      </c>
      <c r="J45" s="10">
        <v>822</v>
      </c>
      <c r="K45" s="10">
        <v>27034432.239690185</v>
      </c>
    </row>
    <row r="46" spans="1:11" x14ac:dyDescent="0.35">
      <c r="A46" s="9" t="s">
        <v>41</v>
      </c>
      <c r="B46" s="10">
        <v>860</v>
      </c>
      <c r="C46" s="10">
        <v>0</v>
      </c>
      <c r="D46" s="10">
        <v>5</v>
      </c>
      <c r="E46" s="10">
        <v>621</v>
      </c>
      <c r="F46" s="10">
        <v>34656045.854344085</v>
      </c>
      <c r="G46" s="10">
        <v>1415</v>
      </c>
      <c r="H46" s="10">
        <v>319</v>
      </c>
      <c r="I46" s="10">
        <v>1</v>
      </c>
      <c r="J46" s="10">
        <v>932</v>
      </c>
      <c r="K46" s="10">
        <v>34623144.718677483</v>
      </c>
    </row>
    <row r="47" spans="1:11" x14ac:dyDescent="0.35">
      <c r="A47" s="9" t="s">
        <v>158</v>
      </c>
      <c r="B47" s="10">
        <v>666</v>
      </c>
      <c r="C47" s="10">
        <v>3</v>
      </c>
      <c r="D47" s="10">
        <v>10</v>
      </c>
      <c r="E47" s="10">
        <v>568</v>
      </c>
      <c r="F47" s="10">
        <v>21610464.703248747</v>
      </c>
      <c r="G47" s="10">
        <v>2252</v>
      </c>
      <c r="H47" s="10">
        <v>137</v>
      </c>
      <c r="I47" s="10">
        <v>5</v>
      </c>
      <c r="J47" s="10">
        <v>1573</v>
      </c>
      <c r="K47" s="10">
        <v>21742784.05233898</v>
      </c>
    </row>
    <row r="48" spans="1:11" x14ac:dyDescent="0.35">
      <c r="A48" s="9" t="s">
        <v>160</v>
      </c>
      <c r="B48" s="10">
        <v>709</v>
      </c>
      <c r="C48" s="10">
        <v>2</v>
      </c>
      <c r="D48" s="10">
        <v>1</v>
      </c>
      <c r="E48" s="10">
        <v>720</v>
      </c>
      <c r="F48" s="10">
        <v>20687868.148741201</v>
      </c>
      <c r="G48" s="10">
        <v>614</v>
      </c>
      <c r="H48" s="10">
        <v>1</v>
      </c>
      <c r="I48" s="10">
        <v>6</v>
      </c>
      <c r="J48" s="10">
        <v>442</v>
      </c>
      <c r="K48" s="10">
        <v>18652888.434304617</v>
      </c>
    </row>
    <row r="49" spans="1:11" x14ac:dyDescent="0.35">
      <c r="A49" s="9" t="s">
        <v>83</v>
      </c>
      <c r="B49" s="10">
        <v>1259</v>
      </c>
      <c r="C49" s="10">
        <v>12</v>
      </c>
      <c r="D49" s="10">
        <v>5</v>
      </c>
      <c r="E49" s="10">
        <v>1083</v>
      </c>
      <c r="F49" s="10">
        <v>65941089.434293799</v>
      </c>
      <c r="G49" s="10">
        <v>2070</v>
      </c>
      <c r="H49" s="10">
        <v>8</v>
      </c>
      <c r="I49" s="10">
        <v>6</v>
      </c>
      <c r="J49" s="10">
        <v>1807</v>
      </c>
      <c r="K49" s="10">
        <v>62024410.34365315</v>
      </c>
    </row>
    <row r="50" spans="1:11" x14ac:dyDescent="0.35">
      <c r="A50" s="9" t="s">
        <v>202</v>
      </c>
      <c r="B50" s="10">
        <v>444</v>
      </c>
      <c r="C50" s="10">
        <v>3</v>
      </c>
      <c r="D50" s="10">
        <v>2</v>
      </c>
      <c r="E50" s="10">
        <v>457</v>
      </c>
      <c r="F50" s="10">
        <v>0</v>
      </c>
      <c r="G50" s="10">
        <v>892</v>
      </c>
      <c r="H50" s="10">
        <v>6</v>
      </c>
      <c r="I50" s="10">
        <v>4</v>
      </c>
      <c r="J50" s="10">
        <v>822</v>
      </c>
      <c r="K50" s="10">
        <v>0</v>
      </c>
    </row>
    <row r="51" spans="1:11" x14ac:dyDescent="0.35">
      <c r="A51" s="9" t="s">
        <v>31</v>
      </c>
      <c r="B51" s="10">
        <v>892</v>
      </c>
      <c r="C51" s="10">
        <v>3</v>
      </c>
      <c r="D51" s="10">
        <v>5</v>
      </c>
      <c r="E51" s="10">
        <v>908</v>
      </c>
      <c r="F51" s="10">
        <v>29718671.064681828</v>
      </c>
      <c r="G51" s="10">
        <v>1097</v>
      </c>
      <c r="H51" s="10">
        <v>8</v>
      </c>
      <c r="I51" s="10">
        <v>3</v>
      </c>
      <c r="J51" s="10">
        <v>1098</v>
      </c>
      <c r="K51" s="10">
        <v>29054377.526877664</v>
      </c>
    </row>
    <row r="52" spans="1:11" x14ac:dyDescent="0.35">
      <c r="A52" s="9" t="s">
        <v>33</v>
      </c>
      <c r="B52" s="10">
        <v>1308</v>
      </c>
      <c r="C52" s="10">
        <v>18</v>
      </c>
      <c r="D52" s="10">
        <v>12</v>
      </c>
      <c r="E52" s="10">
        <v>1055</v>
      </c>
      <c r="F52" s="10">
        <v>43797964.177689955</v>
      </c>
      <c r="G52" s="10">
        <v>833</v>
      </c>
      <c r="H52" s="10">
        <v>6</v>
      </c>
      <c r="I52" s="10">
        <v>4</v>
      </c>
      <c r="J52" s="10">
        <v>621</v>
      </c>
      <c r="K52" s="10">
        <v>50825033.960358381</v>
      </c>
    </row>
    <row r="53" spans="1:11" x14ac:dyDescent="0.35">
      <c r="A53" s="9" t="s">
        <v>85</v>
      </c>
      <c r="B53" s="10">
        <v>485</v>
      </c>
      <c r="C53" s="10">
        <v>9</v>
      </c>
      <c r="D53" s="10">
        <v>5</v>
      </c>
      <c r="E53" s="10">
        <v>383</v>
      </c>
      <c r="F53" s="10">
        <v>22770248.911103602</v>
      </c>
      <c r="G53" s="10">
        <v>703</v>
      </c>
      <c r="H53" s="10">
        <v>3</v>
      </c>
      <c r="I53" s="10">
        <v>10</v>
      </c>
      <c r="J53" s="10">
        <v>547</v>
      </c>
      <c r="K53" s="10">
        <v>26152148.725233007</v>
      </c>
    </row>
    <row r="54" spans="1:11" x14ac:dyDescent="0.35">
      <c r="A54" s="9" t="s">
        <v>81</v>
      </c>
      <c r="B54" s="10">
        <v>445</v>
      </c>
      <c r="C54" s="10">
        <v>2</v>
      </c>
      <c r="D54" s="10">
        <v>6</v>
      </c>
      <c r="E54" s="10">
        <v>292</v>
      </c>
      <c r="F54" s="10">
        <v>22546305.818256099</v>
      </c>
      <c r="G54" s="10">
        <v>694</v>
      </c>
      <c r="H54" s="10">
        <v>2</v>
      </c>
      <c r="I54" s="10">
        <v>1</v>
      </c>
      <c r="J54" s="10">
        <v>756</v>
      </c>
      <c r="K54" s="10">
        <v>19126089.304449983</v>
      </c>
    </row>
    <row r="55" spans="1:11" x14ac:dyDescent="0.35">
      <c r="A55" s="9" t="s">
        <v>87</v>
      </c>
      <c r="B55" s="10">
        <v>427</v>
      </c>
      <c r="C55" s="10">
        <v>11</v>
      </c>
      <c r="D55" s="10">
        <v>2</v>
      </c>
      <c r="E55" s="10">
        <v>348</v>
      </c>
      <c r="F55" s="10">
        <v>18657852.426756896</v>
      </c>
      <c r="G55" s="10">
        <v>1262</v>
      </c>
      <c r="H55" s="10">
        <v>6</v>
      </c>
      <c r="I55" s="10">
        <v>5</v>
      </c>
      <c r="J55" s="10">
        <v>1358</v>
      </c>
      <c r="K55" s="10">
        <v>16764643.498383747</v>
      </c>
    </row>
    <row r="56" spans="1:11" x14ac:dyDescent="0.35">
      <c r="A56" s="9" t="s">
        <v>166</v>
      </c>
      <c r="B56" s="10">
        <v>1134</v>
      </c>
      <c r="C56" s="10">
        <v>5</v>
      </c>
      <c r="D56" s="10">
        <v>1</v>
      </c>
      <c r="E56" s="10">
        <v>995</v>
      </c>
      <c r="F56" s="10">
        <v>40544706.538535334</v>
      </c>
      <c r="G56" s="10">
        <v>441</v>
      </c>
      <c r="H56" s="10">
        <v>1</v>
      </c>
      <c r="I56" s="10">
        <v>1</v>
      </c>
      <c r="J56" s="10">
        <v>492</v>
      </c>
      <c r="K56" s="10">
        <v>39213836.923041739</v>
      </c>
    </row>
    <row r="57" spans="1:11" x14ac:dyDescent="0.35">
      <c r="A57" s="9" t="s">
        <v>93</v>
      </c>
      <c r="B57" s="10">
        <v>978</v>
      </c>
      <c r="C57" s="10">
        <v>14</v>
      </c>
      <c r="D57" s="10">
        <v>2</v>
      </c>
      <c r="E57" s="10">
        <v>912</v>
      </c>
      <c r="F57" s="10">
        <v>42886891.103262864</v>
      </c>
      <c r="G57" s="10">
        <v>922</v>
      </c>
      <c r="H57" s="10">
        <v>3</v>
      </c>
      <c r="I57" s="10">
        <v>6</v>
      </c>
      <c r="J57" s="10">
        <v>949</v>
      </c>
      <c r="K57" s="10">
        <v>40939585.895147137</v>
      </c>
    </row>
    <row r="58" spans="1:11" x14ac:dyDescent="0.35">
      <c r="A58" s="9" t="s">
        <v>95</v>
      </c>
      <c r="B58" s="10">
        <v>2083</v>
      </c>
      <c r="C58" s="10">
        <v>39</v>
      </c>
      <c r="D58" s="10">
        <v>7</v>
      </c>
      <c r="E58" s="10">
        <v>1462</v>
      </c>
      <c r="F58" s="10">
        <v>60223755.032434106</v>
      </c>
      <c r="G58" s="10">
        <v>1354</v>
      </c>
      <c r="H58" s="10">
        <v>6</v>
      </c>
      <c r="I58" s="10">
        <v>12</v>
      </c>
      <c r="J58" s="10">
        <v>1087</v>
      </c>
      <c r="K58" s="10">
        <v>73666459.599487707</v>
      </c>
    </row>
    <row r="59" spans="1:11" x14ac:dyDescent="0.35">
      <c r="A59" s="9" t="s">
        <v>174</v>
      </c>
      <c r="B59" s="10">
        <v>686</v>
      </c>
      <c r="C59" s="10">
        <v>3</v>
      </c>
      <c r="D59" s="10">
        <v>0</v>
      </c>
      <c r="E59" s="10">
        <v>529</v>
      </c>
      <c r="F59" s="10">
        <v>19628260.883901495</v>
      </c>
      <c r="G59" s="10">
        <v>490</v>
      </c>
      <c r="H59" s="10">
        <v>4</v>
      </c>
      <c r="I59" s="10">
        <v>6</v>
      </c>
      <c r="J59" s="10">
        <v>357</v>
      </c>
      <c r="K59" s="10">
        <v>18415275.797894016</v>
      </c>
    </row>
    <row r="60" spans="1:11" x14ac:dyDescent="0.35">
      <c r="A60" s="9" t="s">
        <v>99</v>
      </c>
      <c r="B60" s="10">
        <v>889</v>
      </c>
      <c r="C60" s="10">
        <v>9</v>
      </c>
      <c r="D60" s="10">
        <v>5</v>
      </c>
      <c r="E60" s="10">
        <v>796</v>
      </c>
      <c r="F60" s="10">
        <v>30615413.367241357</v>
      </c>
      <c r="G60" s="10">
        <v>457</v>
      </c>
      <c r="H60" s="10">
        <v>4</v>
      </c>
      <c r="I60" s="10">
        <v>4</v>
      </c>
      <c r="J60" s="10">
        <v>310</v>
      </c>
      <c r="K60" s="10">
        <v>32094490.60502778</v>
      </c>
    </row>
    <row r="61" spans="1:11" x14ac:dyDescent="0.35">
      <c r="A61" s="9" t="s">
        <v>172</v>
      </c>
      <c r="B61" s="10">
        <v>777</v>
      </c>
      <c r="C61" s="10">
        <v>3</v>
      </c>
      <c r="D61" s="10">
        <v>1</v>
      </c>
      <c r="E61" s="10">
        <v>679</v>
      </c>
      <c r="F61" s="10">
        <v>23662873.351727627</v>
      </c>
      <c r="G61" s="10">
        <v>418</v>
      </c>
      <c r="H61" s="10">
        <v>2</v>
      </c>
      <c r="I61" s="10">
        <v>3</v>
      </c>
      <c r="J61" s="10">
        <v>326</v>
      </c>
      <c r="K61" s="10">
        <v>20317389.490997106</v>
      </c>
    </row>
    <row r="62" spans="1:11" x14ac:dyDescent="0.35">
      <c r="A62" s="9" t="s">
        <v>168</v>
      </c>
      <c r="B62" s="10">
        <v>1094</v>
      </c>
      <c r="C62" s="10">
        <v>8</v>
      </c>
      <c r="D62" s="10">
        <v>1</v>
      </c>
      <c r="E62" s="10">
        <v>978</v>
      </c>
      <c r="F62" s="10">
        <v>40636216.140523255</v>
      </c>
      <c r="G62" s="10">
        <v>1096</v>
      </c>
      <c r="H62" s="10">
        <v>7</v>
      </c>
      <c r="I62" s="10">
        <v>1</v>
      </c>
      <c r="J62" s="10">
        <v>949</v>
      </c>
      <c r="K62" s="10">
        <v>40981093.886455111</v>
      </c>
    </row>
    <row r="63" spans="1:11" x14ac:dyDescent="0.35">
      <c r="A63" s="9" t="s">
        <v>101</v>
      </c>
      <c r="B63" s="10">
        <v>1374</v>
      </c>
      <c r="C63" s="10">
        <v>14</v>
      </c>
      <c r="D63" s="10">
        <v>4</v>
      </c>
      <c r="E63" s="10">
        <v>1304</v>
      </c>
      <c r="F63" s="10">
        <v>51975399.294892192</v>
      </c>
      <c r="G63" s="10">
        <v>1011</v>
      </c>
      <c r="H63" s="10">
        <v>7</v>
      </c>
      <c r="I63" s="10">
        <v>1</v>
      </c>
      <c r="J63" s="10">
        <v>803</v>
      </c>
      <c r="K63" s="10">
        <v>50074452.206668533</v>
      </c>
    </row>
    <row r="64" spans="1:11" x14ac:dyDescent="0.35">
      <c r="A64" s="9" t="s">
        <v>103</v>
      </c>
      <c r="B64" s="10">
        <v>778</v>
      </c>
      <c r="C64" s="10">
        <v>6</v>
      </c>
      <c r="D64" s="10">
        <v>5</v>
      </c>
      <c r="E64" s="10">
        <v>741</v>
      </c>
      <c r="F64" s="10">
        <v>26207240.497092113</v>
      </c>
      <c r="G64" s="10">
        <v>2052</v>
      </c>
      <c r="H64" s="10">
        <v>12</v>
      </c>
      <c r="I64" s="10">
        <v>8</v>
      </c>
      <c r="J64" s="10">
        <v>1700</v>
      </c>
      <c r="K64" s="10">
        <v>27821994.716877595</v>
      </c>
    </row>
    <row r="65" spans="1:11" x14ac:dyDescent="0.35">
      <c r="A65" s="9" t="s">
        <v>105</v>
      </c>
      <c r="B65" s="10">
        <v>681</v>
      </c>
      <c r="C65" s="10">
        <v>7</v>
      </c>
      <c r="D65" s="10">
        <v>5</v>
      </c>
      <c r="E65" s="10">
        <v>495</v>
      </c>
      <c r="F65" s="10">
        <v>30690396.011699993</v>
      </c>
      <c r="G65" s="10">
        <v>683</v>
      </c>
      <c r="H65" s="10">
        <v>4</v>
      </c>
      <c r="I65" s="10">
        <v>0</v>
      </c>
      <c r="J65" s="10">
        <v>650</v>
      </c>
      <c r="K65" s="10">
        <v>31019483.13461696</v>
      </c>
    </row>
    <row r="66" spans="1:11" x14ac:dyDescent="0.35">
      <c r="A66" s="9" t="s">
        <v>24</v>
      </c>
      <c r="B66" s="10">
        <v>2034</v>
      </c>
      <c r="C66" s="10">
        <v>22</v>
      </c>
      <c r="D66" s="10">
        <v>9</v>
      </c>
      <c r="E66" s="10">
        <v>1780</v>
      </c>
      <c r="F66" s="10">
        <v>80494151.517660826</v>
      </c>
      <c r="G66" s="10">
        <v>864</v>
      </c>
      <c r="H66" s="10">
        <v>9</v>
      </c>
      <c r="I66" s="10">
        <v>5</v>
      </c>
      <c r="J66" s="10">
        <v>733</v>
      </c>
      <c r="K66" s="10">
        <v>99819639.769979075</v>
      </c>
    </row>
    <row r="67" spans="1:11" x14ac:dyDescent="0.35">
      <c r="A67" s="9" t="s">
        <v>27</v>
      </c>
      <c r="B67" s="10">
        <v>1582</v>
      </c>
      <c r="C67" s="10">
        <v>22</v>
      </c>
      <c r="D67" s="10">
        <v>7</v>
      </c>
      <c r="E67" s="10">
        <v>1208</v>
      </c>
      <c r="F67" s="10">
        <v>74403597.224619329</v>
      </c>
      <c r="G67" s="10">
        <v>714</v>
      </c>
      <c r="H67" s="10">
        <v>4</v>
      </c>
      <c r="I67" s="10">
        <v>1</v>
      </c>
      <c r="J67" s="10">
        <v>622</v>
      </c>
      <c r="K67" s="10">
        <v>75202591.101204753</v>
      </c>
    </row>
    <row r="68" spans="1:11" x14ac:dyDescent="0.35">
      <c r="A68" s="9" t="s">
        <v>29</v>
      </c>
      <c r="B68" s="10">
        <v>857</v>
      </c>
      <c r="C68" s="10">
        <v>2</v>
      </c>
      <c r="D68" s="10">
        <v>1</v>
      </c>
      <c r="E68" s="10">
        <v>737</v>
      </c>
      <c r="F68" s="10">
        <v>46188082.820514478</v>
      </c>
      <c r="G68" s="10">
        <v>1094</v>
      </c>
      <c r="H68" s="10">
        <v>7</v>
      </c>
      <c r="I68" s="10">
        <v>0</v>
      </c>
      <c r="J68" s="10">
        <v>990</v>
      </c>
      <c r="K68" s="10">
        <v>48323897.682485439</v>
      </c>
    </row>
    <row r="69" spans="1:11" x14ac:dyDescent="0.35">
      <c r="A69" s="9" t="s">
        <v>57</v>
      </c>
      <c r="B69" s="10">
        <v>2017</v>
      </c>
      <c r="C69" s="10">
        <v>280</v>
      </c>
      <c r="D69" s="10">
        <v>13</v>
      </c>
      <c r="E69" s="10">
        <v>1282</v>
      </c>
      <c r="F69" s="10">
        <v>67882627.172021404</v>
      </c>
      <c r="G69" s="10">
        <v>1522</v>
      </c>
      <c r="H69" s="10">
        <v>11</v>
      </c>
      <c r="I69" s="10">
        <v>4</v>
      </c>
      <c r="J69" s="10">
        <v>1548</v>
      </c>
      <c r="K69" s="10">
        <v>71504925.88939625</v>
      </c>
    </row>
    <row r="70" spans="1:11" x14ac:dyDescent="0.35">
      <c r="A70" s="9" t="s">
        <v>137</v>
      </c>
      <c r="B70" s="10">
        <v>262</v>
      </c>
      <c r="C70" s="10">
        <v>2</v>
      </c>
      <c r="D70" s="10">
        <v>1</v>
      </c>
      <c r="E70" s="10">
        <v>249</v>
      </c>
      <c r="F70" s="10">
        <v>5076964.1164683579</v>
      </c>
      <c r="G70" s="10">
        <v>762</v>
      </c>
      <c r="H70" s="10">
        <v>3</v>
      </c>
      <c r="I70" s="10">
        <v>4</v>
      </c>
      <c r="J70" s="10">
        <v>702</v>
      </c>
      <c r="K70" s="10">
        <v>2920456.5121259899</v>
      </c>
    </row>
    <row r="71" spans="1:11" x14ac:dyDescent="0.35">
      <c r="A71" s="9" t="s">
        <v>10</v>
      </c>
      <c r="B71" s="10">
        <v>1767</v>
      </c>
      <c r="C71" s="10">
        <v>6</v>
      </c>
      <c r="D71" s="10">
        <v>7</v>
      </c>
      <c r="E71" s="10">
        <v>1532</v>
      </c>
      <c r="F71" s="10">
        <v>53626628.117396288</v>
      </c>
      <c r="G71" s="10">
        <v>623</v>
      </c>
      <c r="H71" s="10">
        <v>9</v>
      </c>
      <c r="I71" s="10">
        <v>5</v>
      </c>
      <c r="J71" s="10">
        <v>481</v>
      </c>
      <c r="K71" s="10">
        <v>51942957.043750465</v>
      </c>
    </row>
    <row r="72" spans="1:11" x14ac:dyDescent="0.35">
      <c r="A72" s="9" t="s">
        <v>12</v>
      </c>
      <c r="B72" s="10">
        <v>670</v>
      </c>
      <c r="C72" s="10">
        <v>3</v>
      </c>
      <c r="D72" s="10">
        <v>2</v>
      </c>
      <c r="E72" s="10">
        <v>591</v>
      </c>
      <c r="F72" s="10">
        <v>21968090.95705428</v>
      </c>
      <c r="G72" s="10">
        <v>2012</v>
      </c>
      <c r="H72" s="10">
        <v>16</v>
      </c>
      <c r="I72" s="10">
        <v>11</v>
      </c>
      <c r="J72" s="10">
        <v>1820</v>
      </c>
      <c r="K72" s="10">
        <v>24581273.682099607</v>
      </c>
    </row>
    <row r="73" spans="1:11" x14ac:dyDescent="0.35">
      <c r="A73" s="9" t="s">
        <v>162</v>
      </c>
      <c r="B73" s="10">
        <v>1319</v>
      </c>
      <c r="C73" s="10">
        <v>47</v>
      </c>
      <c r="D73" s="10">
        <v>5</v>
      </c>
      <c r="E73" s="10">
        <v>899</v>
      </c>
      <c r="F73" s="10">
        <v>36202729.775051877</v>
      </c>
      <c r="G73" s="10">
        <v>1580</v>
      </c>
      <c r="H73" s="10">
        <v>24</v>
      </c>
      <c r="I73" s="10">
        <v>6</v>
      </c>
      <c r="J73" s="10">
        <v>1199</v>
      </c>
      <c r="K73" s="10">
        <v>37415644.270037763</v>
      </c>
    </row>
    <row r="74" spans="1:11" x14ac:dyDescent="0.35">
      <c r="A74" s="9" t="s">
        <v>63</v>
      </c>
      <c r="B74" s="10">
        <v>1327</v>
      </c>
      <c r="C74" s="10">
        <v>7</v>
      </c>
      <c r="D74" s="10">
        <v>5</v>
      </c>
      <c r="E74" s="10">
        <v>1397</v>
      </c>
      <c r="F74" s="10">
        <v>17783711.442227617</v>
      </c>
      <c r="G74" s="10">
        <v>898</v>
      </c>
      <c r="H74" s="10">
        <v>9</v>
      </c>
      <c r="I74" s="10">
        <v>1</v>
      </c>
      <c r="J74" s="10">
        <v>716</v>
      </c>
      <c r="K74" s="10">
        <v>23929894.673063796</v>
      </c>
    </row>
    <row r="75" spans="1:11" x14ac:dyDescent="0.35">
      <c r="A75" s="9" t="s">
        <v>59</v>
      </c>
      <c r="B75" s="10">
        <v>1750</v>
      </c>
      <c r="C75" s="10">
        <v>10</v>
      </c>
      <c r="D75" s="10">
        <v>5</v>
      </c>
      <c r="E75" s="10">
        <v>1189</v>
      </c>
      <c r="F75" s="10">
        <v>63481150.813349932</v>
      </c>
      <c r="G75" s="10">
        <v>2257</v>
      </c>
      <c r="H75" s="10">
        <v>527</v>
      </c>
      <c r="I75" s="10">
        <v>12</v>
      </c>
      <c r="J75" s="10">
        <v>1301</v>
      </c>
      <c r="K75" s="10">
        <v>65060314.538961947</v>
      </c>
    </row>
    <row r="76" spans="1:11" x14ac:dyDescent="0.35">
      <c r="A76" s="9" t="s">
        <v>139</v>
      </c>
      <c r="B76" s="10">
        <v>497</v>
      </c>
      <c r="C76" s="10">
        <v>4</v>
      </c>
      <c r="D76" s="10">
        <v>2</v>
      </c>
      <c r="E76" s="10">
        <v>424</v>
      </c>
      <c r="F76" s="10">
        <v>13786630.717428997</v>
      </c>
      <c r="G76" s="10">
        <v>250</v>
      </c>
      <c r="H76" s="10">
        <v>0</v>
      </c>
      <c r="I76" s="10">
        <v>1</v>
      </c>
      <c r="J76" s="10">
        <v>269</v>
      </c>
      <c r="K76" s="10">
        <v>13044733.106628915</v>
      </c>
    </row>
    <row r="77" spans="1:11" x14ac:dyDescent="0.35">
      <c r="A77" s="9" t="s">
        <v>170</v>
      </c>
      <c r="B77" s="10">
        <v>890</v>
      </c>
      <c r="C77" s="10">
        <v>5</v>
      </c>
      <c r="D77" s="10">
        <v>1</v>
      </c>
      <c r="E77" s="10">
        <v>761</v>
      </c>
      <c r="F77" s="10">
        <v>21117188.467634171</v>
      </c>
      <c r="G77" s="10">
        <v>1669</v>
      </c>
      <c r="H77" s="10">
        <v>11</v>
      </c>
      <c r="I77" s="10">
        <v>6</v>
      </c>
      <c r="J77" s="10">
        <v>1722</v>
      </c>
      <c r="K77" s="10">
        <v>21197941.625014752</v>
      </c>
    </row>
    <row r="78" spans="1:11" x14ac:dyDescent="0.35">
      <c r="A78" s="9" t="s">
        <v>61</v>
      </c>
      <c r="B78" s="10">
        <v>666</v>
      </c>
      <c r="C78" s="10">
        <v>2</v>
      </c>
      <c r="D78" s="10">
        <v>4</v>
      </c>
      <c r="E78" s="10">
        <v>173</v>
      </c>
      <c r="F78" s="10">
        <v>14736341.28762248</v>
      </c>
      <c r="G78" s="10">
        <v>762</v>
      </c>
      <c r="H78" s="10">
        <v>5</v>
      </c>
      <c r="I78" s="10">
        <v>4</v>
      </c>
      <c r="J78" s="10">
        <v>578</v>
      </c>
      <c r="K78" s="10">
        <v>20935184.704319578</v>
      </c>
    </row>
    <row r="79" spans="1:11" x14ac:dyDescent="0.35">
      <c r="A79" s="9" t="s">
        <v>129</v>
      </c>
      <c r="B79" s="10">
        <v>590</v>
      </c>
      <c r="C79" s="10">
        <v>5</v>
      </c>
      <c r="D79" s="10">
        <v>1</v>
      </c>
      <c r="E79" s="10">
        <v>5</v>
      </c>
      <c r="F79" s="10">
        <v>13803241.814353952</v>
      </c>
      <c r="G79" s="10">
        <v>1377</v>
      </c>
      <c r="H79" s="10">
        <v>77</v>
      </c>
      <c r="I79" s="10">
        <v>5</v>
      </c>
      <c r="J79" s="10">
        <v>815</v>
      </c>
      <c r="K79" s="10">
        <v>15506233.992221871</v>
      </c>
    </row>
    <row r="80" spans="1:11" x14ac:dyDescent="0.35">
      <c r="A80" s="9" t="s">
        <v>35</v>
      </c>
      <c r="B80" s="10">
        <v>427</v>
      </c>
      <c r="C80" s="10">
        <v>6</v>
      </c>
      <c r="D80" s="10">
        <v>6</v>
      </c>
      <c r="E80" s="10">
        <v>494</v>
      </c>
      <c r="F80" s="10">
        <v>16238993.027723324</v>
      </c>
      <c r="G80" s="10">
        <v>1260</v>
      </c>
      <c r="H80" s="10">
        <v>10</v>
      </c>
      <c r="I80" s="10">
        <v>5</v>
      </c>
      <c r="J80" s="10">
        <v>1288</v>
      </c>
      <c r="K80" s="10">
        <v>17523590.520165198</v>
      </c>
    </row>
    <row r="81" spans="1:11" x14ac:dyDescent="0.35">
      <c r="A81" s="9" t="s">
        <v>107</v>
      </c>
      <c r="B81" s="10">
        <v>939</v>
      </c>
      <c r="C81" s="10">
        <v>11</v>
      </c>
      <c r="D81" s="10">
        <v>3</v>
      </c>
      <c r="E81" s="10">
        <v>644</v>
      </c>
      <c r="F81" s="10">
        <v>46538332.60440968</v>
      </c>
      <c r="G81" s="10">
        <v>1723</v>
      </c>
      <c r="H81" s="10">
        <v>13</v>
      </c>
      <c r="I81" s="10">
        <v>5</v>
      </c>
      <c r="J81" s="10">
        <v>1222</v>
      </c>
      <c r="K81" s="10">
        <v>46909192.026860319</v>
      </c>
    </row>
    <row r="82" spans="1:11" x14ac:dyDescent="0.35">
      <c r="A82" s="9" t="s">
        <v>37</v>
      </c>
      <c r="B82" s="10">
        <v>802</v>
      </c>
      <c r="C82" s="10">
        <v>4</v>
      </c>
      <c r="D82" s="10">
        <v>10</v>
      </c>
      <c r="E82" s="10">
        <v>787</v>
      </c>
      <c r="F82" s="10">
        <v>27857525.216046929</v>
      </c>
      <c r="G82" s="10">
        <v>512</v>
      </c>
      <c r="H82" s="10">
        <v>2</v>
      </c>
      <c r="I82" s="10">
        <v>1</v>
      </c>
      <c r="J82" s="10">
        <v>458</v>
      </c>
      <c r="K82" s="10">
        <v>27265674.916935232</v>
      </c>
    </row>
    <row r="83" spans="1:11" x14ac:dyDescent="0.35">
      <c r="A83" s="9" t="s">
        <v>76</v>
      </c>
      <c r="B83" s="10">
        <v>952</v>
      </c>
      <c r="C83" s="10">
        <v>1</v>
      </c>
      <c r="D83" s="10">
        <v>2</v>
      </c>
      <c r="E83" s="10">
        <v>978</v>
      </c>
      <c r="F83" s="10">
        <v>22505847.82083239</v>
      </c>
      <c r="G83" s="10">
        <v>876</v>
      </c>
      <c r="H83" s="10">
        <v>6</v>
      </c>
      <c r="I83" s="10">
        <v>1</v>
      </c>
      <c r="J83" s="10">
        <v>774</v>
      </c>
      <c r="K83" s="10">
        <v>22856536.852877505</v>
      </c>
    </row>
    <row r="84" spans="1:11" x14ac:dyDescent="0.35">
      <c r="A84" s="9" t="s">
        <v>65</v>
      </c>
      <c r="B84" s="10">
        <v>1010</v>
      </c>
      <c r="C84" s="10">
        <v>7</v>
      </c>
      <c r="D84" s="10">
        <v>4</v>
      </c>
      <c r="E84" s="10">
        <v>836</v>
      </c>
      <c r="F84" s="10">
        <v>25689391.598872714</v>
      </c>
      <c r="G84" s="10">
        <v>652</v>
      </c>
      <c r="H84" s="10">
        <v>2</v>
      </c>
      <c r="I84" s="10">
        <v>3</v>
      </c>
      <c r="J84" s="10">
        <v>480</v>
      </c>
      <c r="K84" s="10">
        <v>23804512.005560592</v>
      </c>
    </row>
    <row r="85" spans="1:11" x14ac:dyDescent="0.35">
      <c r="A85" s="9" t="s">
        <v>89</v>
      </c>
      <c r="B85" s="10">
        <v>743</v>
      </c>
      <c r="C85" s="10">
        <v>6</v>
      </c>
      <c r="D85" s="10">
        <v>5</v>
      </c>
      <c r="E85" s="10">
        <v>683</v>
      </c>
      <c r="F85" s="10">
        <v>27707878.138874147</v>
      </c>
      <c r="G85" s="10">
        <v>620</v>
      </c>
      <c r="H85" s="10">
        <v>6</v>
      </c>
      <c r="I85" s="10">
        <v>1</v>
      </c>
      <c r="J85" s="10">
        <v>542</v>
      </c>
      <c r="K85" s="10">
        <v>30321505.756113347</v>
      </c>
    </row>
    <row r="86" spans="1:11" x14ac:dyDescent="0.35">
      <c r="A86" s="9" t="s">
        <v>147</v>
      </c>
      <c r="B86" s="10">
        <v>568</v>
      </c>
      <c r="C86" s="10">
        <v>2</v>
      </c>
      <c r="D86" s="10">
        <v>1</v>
      </c>
      <c r="E86" s="10">
        <v>566</v>
      </c>
      <c r="F86" s="10">
        <v>12297623.509624189</v>
      </c>
      <c r="G86" s="10">
        <v>447</v>
      </c>
      <c r="H86" s="10">
        <v>2</v>
      </c>
      <c r="I86" s="10">
        <v>7</v>
      </c>
      <c r="J86" s="10">
        <v>464</v>
      </c>
      <c r="K86" s="10">
        <v>13851013.837541368</v>
      </c>
    </row>
    <row r="87" spans="1:11" x14ac:dyDescent="0.35">
      <c r="A87" s="9" t="s">
        <v>164</v>
      </c>
      <c r="B87" s="10">
        <v>1702</v>
      </c>
      <c r="C87" s="10">
        <v>10</v>
      </c>
      <c r="D87" s="10">
        <v>10</v>
      </c>
      <c r="E87" s="10">
        <v>1265</v>
      </c>
      <c r="F87" s="10">
        <v>52982781.551008649</v>
      </c>
      <c r="G87" s="10">
        <v>900</v>
      </c>
      <c r="H87" s="10">
        <v>9</v>
      </c>
      <c r="I87" s="10">
        <v>3</v>
      </c>
      <c r="J87" s="10">
        <v>550</v>
      </c>
      <c r="K87" s="10">
        <v>56341564.403701298</v>
      </c>
    </row>
    <row r="88" spans="1:11" x14ac:dyDescent="0.35">
      <c r="A88" s="9" t="s">
        <v>91</v>
      </c>
      <c r="B88" s="10">
        <v>624</v>
      </c>
      <c r="C88" s="10">
        <v>6</v>
      </c>
      <c r="D88" s="10">
        <v>3</v>
      </c>
      <c r="E88" s="10">
        <v>901</v>
      </c>
      <c r="F88" s="10">
        <v>14099053.264334928</v>
      </c>
      <c r="G88" s="10">
        <v>769</v>
      </c>
      <c r="H88" s="10">
        <v>4</v>
      </c>
      <c r="I88" s="10">
        <v>10</v>
      </c>
      <c r="J88" s="10">
        <v>709</v>
      </c>
      <c r="K88" s="10">
        <v>13251615.22394882</v>
      </c>
    </row>
    <row r="89" spans="1:11" x14ac:dyDescent="0.35">
      <c r="A89" s="9" t="s">
        <v>97</v>
      </c>
      <c r="B89" s="10">
        <v>590</v>
      </c>
      <c r="C89" s="10">
        <v>13</v>
      </c>
      <c r="D89" s="10">
        <v>6</v>
      </c>
      <c r="E89" s="10">
        <v>501</v>
      </c>
      <c r="F89" s="10">
        <v>24761684.048804503</v>
      </c>
      <c r="G89" s="10">
        <v>954</v>
      </c>
      <c r="H89" s="10">
        <v>3</v>
      </c>
      <c r="I89" s="10">
        <v>2</v>
      </c>
      <c r="J89" s="10">
        <v>1026</v>
      </c>
      <c r="K89" s="10">
        <v>25936117.318591543</v>
      </c>
    </row>
    <row r="90" spans="1:11" x14ac:dyDescent="0.35">
      <c r="A90" s="9" t="s">
        <v>78</v>
      </c>
      <c r="B90" s="10">
        <v>360</v>
      </c>
      <c r="C90" s="10">
        <v>3</v>
      </c>
      <c r="D90" s="10">
        <v>1</v>
      </c>
      <c r="E90" s="10">
        <v>308</v>
      </c>
      <c r="F90" s="10">
        <v>6820595.096124053</v>
      </c>
      <c r="G90" s="10">
        <v>988</v>
      </c>
      <c r="H90" s="10">
        <v>3</v>
      </c>
      <c r="I90" s="10">
        <v>5</v>
      </c>
      <c r="J90" s="10">
        <v>892</v>
      </c>
      <c r="K90" s="10">
        <v>6214020.6016599154</v>
      </c>
    </row>
    <row r="91" spans="1:11" x14ac:dyDescent="0.35">
      <c r="B91" s="13">
        <v>84155</v>
      </c>
      <c r="C91" s="13">
        <v>1484</v>
      </c>
      <c r="D91" s="13">
        <v>307</v>
      </c>
      <c r="E91" s="13">
        <v>70150</v>
      </c>
      <c r="F91" s="10">
        <v>0</v>
      </c>
      <c r="G91" s="10">
        <v>760</v>
      </c>
      <c r="H91" s="10">
        <v>2</v>
      </c>
      <c r="I91" s="10">
        <v>6</v>
      </c>
      <c r="J91" s="10">
        <v>771</v>
      </c>
      <c r="K91" s="10">
        <v>0</v>
      </c>
    </row>
  </sheetData>
  <autoFilter ref="A5:K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2024-10-24T02:40:19Z</dcterms:created>
  <dcterms:modified xsi:type="dcterms:W3CDTF">2026-08-23T10:15:17Z</dcterms:modified>
</cp:coreProperties>
</file>