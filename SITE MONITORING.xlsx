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N6" i="3" s="1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N10" i="3" s="1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N14" i="3" s="1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N17" i="3" s="1"/>
  <c r="O17" i="3"/>
  <c r="P17" i="3"/>
  <c r="S17" i="3"/>
  <c r="T17" i="3" s="1"/>
  <c r="F18" i="3"/>
  <c r="G18" i="3"/>
  <c r="I18" i="3"/>
  <c r="J18" i="3"/>
  <c r="L18" i="3"/>
  <c r="M18" i="3"/>
  <c r="N18" i="3" s="1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N21" i="3" s="1"/>
  <c r="O21" i="3"/>
  <c r="P21" i="3"/>
  <c r="S21" i="3"/>
  <c r="T21" i="3" s="1"/>
  <c r="F22" i="3"/>
  <c r="G22" i="3"/>
  <c r="I22" i="3"/>
  <c r="J22" i="3"/>
  <c r="L22" i="3"/>
  <c r="M22" i="3"/>
  <c r="N22" i="3" s="1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N25" i="3" s="1"/>
  <c r="O25" i="3"/>
  <c r="P25" i="3"/>
  <c r="S25" i="3"/>
  <c r="T25" i="3" s="1"/>
  <c r="F26" i="3"/>
  <c r="G26" i="3"/>
  <c r="I26" i="3"/>
  <c r="J26" i="3"/>
  <c r="L26" i="3"/>
  <c r="M26" i="3"/>
  <c r="N26" i="3" s="1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N29" i="3" s="1"/>
  <c r="O29" i="3"/>
  <c r="P29" i="3"/>
  <c r="S29" i="3"/>
  <c r="T29" i="3" s="1"/>
  <c r="F30" i="3"/>
  <c r="G30" i="3"/>
  <c r="I30" i="3"/>
  <c r="J30" i="3"/>
  <c r="L30" i="3"/>
  <c r="M30" i="3"/>
  <c r="N30" i="3" s="1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N33" i="3" s="1"/>
  <c r="O33" i="3"/>
  <c r="P33" i="3"/>
  <c r="S33" i="3"/>
  <c r="T33" i="3" s="1"/>
  <c r="F34" i="3"/>
  <c r="G34" i="3"/>
  <c r="I34" i="3"/>
  <c r="J34" i="3"/>
  <c r="L34" i="3"/>
  <c r="M34" i="3"/>
  <c r="N34" i="3" s="1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N37" i="3" s="1"/>
  <c r="O37" i="3"/>
  <c r="P37" i="3"/>
  <c r="S37" i="3"/>
  <c r="T37" i="3" s="1"/>
  <c r="F38" i="3"/>
  <c r="G38" i="3"/>
  <c r="I38" i="3"/>
  <c r="J38" i="3"/>
  <c r="L38" i="3"/>
  <c r="M38" i="3"/>
  <c r="N38" i="3" s="1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N41" i="3" s="1"/>
  <c r="O41" i="3"/>
  <c r="P41" i="3"/>
  <c r="S41" i="3"/>
  <c r="T41" i="3" s="1"/>
  <c r="F42" i="3"/>
  <c r="G42" i="3"/>
  <c r="I42" i="3"/>
  <c r="J42" i="3"/>
  <c r="L42" i="3"/>
  <c r="M42" i="3"/>
  <c r="N42" i="3" s="1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N45" i="3" s="1"/>
  <c r="O45" i="3"/>
  <c r="P45" i="3"/>
  <c r="S45" i="3"/>
  <c r="T45" i="3" s="1"/>
  <c r="F46" i="3"/>
  <c r="G46" i="3"/>
  <c r="I46" i="3"/>
  <c r="J46" i="3"/>
  <c r="L46" i="3"/>
  <c r="M46" i="3"/>
  <c r="N46" i="3" s="1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N49" i="3" s="1"/>
  <c r="O49" i="3"/>
  <c r="P49" i="3"/>
  <c r="S49" i="3"/>
  <c r="T49" i="3" s="1"/>
  <c r="F50" i="3"/>
  <c r="G50" i="3"/>
  <c r="I50" i="3"/>
  <c r="J50" i="3"/>
  <c r="L50" i="3"/>
  <c r="M50" i="3"/>
  <c r="N50" i="3" s="1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N53" i="3" s="1"/>
  <c r="O53" i="3"/>
  <c r="P53" i="3"/>
  <c r="S53" i="3"/>
  <c r="T53" i="3" s="1"/>
  <c r="F54" i="3"/>
  <c r="G54" i="3"/>
  <c r="I54" i="3"/>
  <c r="J54" i="3"/>
  <c r="L54" i="3"/>
  <c r="M54" i="3"/>
  <c r="N54" i="3" s="1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N57" i="3" s="1"/>
  <c r="O57" i="3"/>
  <c r="P57" i="3"/>
  <c r="S57" i="3"/>
  <c r="T57" i="3" s="1"/>
  <c r="F58" i="3"/>
  <c r="G58" i="3"/>
  <c r="I58" i="3"/>
  <c r="J58" i="3"/>
  <c r="L58" i="3"/>
  <c r="M58" i="3"/>
  <c r="N58" i="3" s="1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N61" i="3" s="1"/>
  <c r="O61" i="3"/>
  <c r="P61" i="3"/>
  <c r="S61" i="3"/>
  <c r="T61" i="3" s="1"/>
  <c r="F62" i="3"/>
  <c r="G62" i="3"/>
  <c r="I62" i="3"/>
  <c r="J62" i="3"/>
  <c r="L62" i="3"/>
  <c r="M62" i="3"/>
  <c r="N62" i="3" s="1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N65" i="3" s="1"/>
  <c r="O65" i="3"/>
  <c r="P65" i="3"/>
  <c r="S65" i="3"/>
  <c r="T65" i="3" s="1"/>
  <c r="F66" i="3"/>
  <c r="G66" i="3"/>
  <c r="I66" i="3"/>
  <c r="J66" i="3"/>
  <c r="L66" i="3"/>
  <c r="M66" i="3"/>
  <c r="N66" i="3" s="1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N69" i="3" s="1"/>
  <c r="O69" i="3"/>
  <c r="P69" i="3"/>
  <c r="S69" i="3"/>
  <c r="T69" i="3" s="1"/>
  <c r="F70" i="3"/>
  <c r="G70" i="3"/>
  <c r="I70" i="3"/>
  <c r="J70" i="3"/>
  <c r="L70" i="3"/>
  <c r="M70" i="3"/>
  <c r="N70" i="3" s="1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N73" i="3" s="1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N77" i="3" s="1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13" i="3" l="1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<sst xmlns="http://schemas.openxmlformats.org/spreadsheetml/2006/main" count="539" uniqueCount="204">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</sst>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sqref="A1:C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12452036.798173808</v>
      </c>
      <c r="G2" s="1">
        <f>VLOOKUP(A:A,MASTER!A:K,11,0)</f>
        <v>12287955.952436997</v>
      </c>
      <c r="H2" s="12">
        <f>IFERROR(G2/F2-1,0)</f>
        <v>-1.3177028657743395E-2</v>
      </c>
      <c r="I2" s="2">
        <f>VLOOKUP(A:A,MASTER!A:E,5,0)</f>
        <v>339</v>
      </c>
      <c r="J2" s="2">
        <f>VLOOKUP(A:A,MASTER!A:J,10,0)</f>
        <v>364</v>
      </c>
      <c r="K2" s="12">
        <f>IFERROR(J2/I2-1,0)</f>
        <v>7.3746312684365822E-2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0</v>
      </c>
      <c r="Q2" s="12">
        <f>IFERROR(P2/O2-1,0)</f>
        <v>-1</v>
      </c>
      <c r="R2" s="1">
        <f>VLOOKUP(A:A,MASTER!A:B,2,0)</f>
        <v>417</v>
      </c>
      <c r="S2">
        <f>VLOOKUP(A:A,MASTER!A:G,7,0)</f>
        <v>410</v>
      </c>
      <c r="T2" s="12">
        <f>IFERROR(S2/R2-1,0)</f>
        <v>-1.6786570743405282E-2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15270377.5820772</v>
      </c>
      <c r="G3" s="1">
        <f>VLOOKUP(A:A,MASTER!A:K,11,0)</f>
        <v>14339947.092993161</v>
      </c>
      <c r="H3" s="12">
        <f t="shared" ref="H3:H66" si="0">IFERROR(G3/F3-1,0)</f>
        <v>-6.0930417999361275E-2</v>
      </c>
      <c r="I3" s="2">
        <f>VLOOKUP(A:A,MASTER!A:E,5,0)</f>
        <v>525</v>
      </c>
      <c r="J3" s="2">
        <f>VLOOKUP(A:A,MASTER!A:J,10,0)</f>
        <v>487</v>
      </c>
      <c r="K3" s="12">
        <f t="shared" ref="K3:K66" si="1">IFERROR(J3/I3-1,0)</f>
        <v>-7.2380952380952435E-2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681</v>
      </c>
      <c r="S3">
        <f>VLOOKUP(A:A,MASTER!A:G,7,0)</f>
        <v>633</v>
      </c>
      <c r="T3" s="12">
        <f t="shared" ref="T3:T66" si="4">IFERROR(S3/R3-1,0)</f>
        <v>-7.0484581497797349E-2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17041117.995255239</v>
      </c>
      <c r="G4" s="1">
        <f>VLOOKUP(A:A,MASTER!A:K,11,0)</f>
        <v>19961475.905457538</v>
      </c>
      <c r="H4" s="12">
        <f t="shared" si="0"/>
        <v>0.17137126279011827</v>
      </c>
      <c r="I4" s="2">
        <f>VLOOKUP(A:A,MASTER!A:E,5,0)</f>
        <v>909</v>
      </c>
      <c r="J4" s="2">
        <f>VLOOKUP(A:A,MASTER!A:J,10,0)</f>
        <v>806</v>
      </c>
      <c r="K4" s="12">
        <f t="shared" si="1"/>
        <v>-0.11331133113311331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7</v>
      </c>
      <c r="P4" s="1">
        <f>VLOOKUP(A:A,MASTER!A:H,8,0)</f>
        <v>8</v>
      </c>
      <c r="Q4" s="12">
        <f t="shared" si="3"/>
        <v>0.14285714285714279</v>
      </c>
      <c r="R4" s="1">
        <f>VLOOKUP(A:A,MASTER!A:B,2,0)</f>
        <v>687</v>
      </c>
      <c r="S4">
        <f>VLOOKUP(A:A,MASTER!A:G,7,0)</f>
        <v>765</v>
      </c>
      <c r="T4" s="12">
        <f t="shared" si="4"/>
        <v>0.11353711790393017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30428581.790787671</v>
      </c>
      <c r="G5" s="1">
        <f>VLOOKUP(A:A,MASTER!A:K,11,0)</f>
        <v>31260783.726436041</v>
      </c>
      <c r="H5" s="12">
        <f t="shared" si="0"/>
        <v>2.7349350073894163E-2</v>
      </c>
      <c r="I5" s="2">
        <f>VLOOKUP(A:A,MASTER!A:E,5,0)</f>
        <v>1468</v>
      </c>
      <c r="J5" s="2">
        <f>VLOOKUP(A:A,MASTER!A:J,10,0)</f>
        <v>1088</v>
      </c>
      <c r="K5" s="12">
        <f t="shared" si="1"/>
        <v>-0.25885558583106272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7</v>
      </c>
      <c r="P5" s="1">
        <f>VLOOKUP(A:A,MASTER!A:H,8,0)</f>
        <v>8</v>
      </c>
      <c r="Q5" s="12">
        <f t="shared" si="3"/>
        <v>0.14285714285714279</v>
      </c>
      <c r="R5" s="1">
        <f>VLOOKUP(A:A,MASTER!A:B,2,0)</f>
        <v>1184</v>
      </c>
      <c r="S5">
        <f>VLOOKUP(A:A,MASTER!A:G,7,0)</f>
        <v>1213</v>
      </c>
      <c r="T5" s="12">
        <f t="shared" si="4"/>
        <v>2.4493243243243201E-2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12572009.692979235</v>
      </c>
      <c r="G6" s="1">
        <f>VLOOKUP(A:A,MASTER!A:K,11,0)</f>
        <v>14087321.867469653</v>
      </c>
      <c r="H6" s="12">
        <f t="shared" si="0"/>
        <v>0.12053062410034854</v>
      </c>
      <c r="I6" s="2">
        <f>VLOOKUP(A:A,MASTER!A:E,5,0)</f>
        <v>384</v>
      </c>
      <c r="J6" s="2">
        <f>VLOOKUP(A:A,MASTER!A:J,10,0)</f>
        <v>383</v>
      </c>
      <c r="K6" s="12">
        <f t="shared" si="1"/>
        <v>-2.6041666666666297E-3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1</v>
      </c>
      <c r="Q6" s="12">
        <f t="shared" si="3"/>
        <v>0</v>
      </c>
      <c r="R6" s="1">
        <f>VLOOKUP(A:A,MASTER!A:B,2,0)</f>
        <v>417</v>
      </c>
      <c r="S6">
        <f>VLOOKUP(A:A,MASTER!A:G,7,0)</f>
        <v>416</v>
      </c>
      <c r="T6" s="12">
        <f t="shared" si="4"/>
        <v>-2.3980815347721673E-3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10954941.459135331</v>
      </c>
      <c r="G7" s="1">
        <f>VLOOKUP(A:A,MASTER!A:K,11,0)</f>
        <v>11489847.967613995</v>
      </c>
      <c r="H7" s="12">
        <f t="shared" si="0"/>
        <v>4.8827874660398507E-2</v>
      </c>
      <c r="I7" s="2">
        <f>VLOOKUP(A:A,MASTER!A:E,5,0)</f>
        <v>338</v>
      </c>
      <c r="J7" s="2">
        <f>VLOOKUP(A:A,MASTER!A:J,10,0)</f>
        <v>280</v>
      </c>
      <c r="K7" s="12">
        <f t="shared" si="1"/>
        <v>-0.17159763313609466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379</v>
      </c>
      <c r="S7">
        <f>VLOOKUP(A:A,MASTER!A:G,7,0)</f>
        <v>386</v>
      </c>
      <c r="T7" s="12">
        <f t="shared" si="4"/>
        <v>1.846965699208436E-2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12590405.038448486</v>
      </c>
      <c r="G8" s="1">
        <f>VLOOKUP(A:A,MASTER!A:K,11,0)</f>
        <v>13775550.668594858</v>
      </c>
      <c r="H8" s="12">
        <f t="shared" si="0"/>
        <v>9.4130858104022996E-2</v>
      </c>
      <c r="I8" s="2">
        <f>VLOOKUP(A:A,MASTER!A:E,5,0)</f>
        <v>463</v>
      </c>
      <c r="J8" s="2">
        <f>VLOOKUP(A:A,MASTER!A:J,10,0)</f>
        <v>488</v>
      </c>
      <c r="K8" s="12">
        <f t="shared" si="1"/>
        <v>5.3995680345572339E-2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1</v>
      </c>
      <c r="P8" s="1">
        <f>VLOOKUP(A:A,MASTER!A:H,8,0)</f>
        <v>3</v>
      </c>
      <c r="Q8" s="12">
        <f t="shared" si="3"/>
        <v>2</v>
      </c>
      <c r="R8" s="1">
        <f>VLOOKUP(A:A,MASTER!A:B,2,0)</f>
        <v>592</v>
      </c>
      <c r="S8">
        <f>VLOOKUP(A:A,MASTER!A:G,7,0)</f>
        <v>592</v>
      </c>
      <c r="T8" s="12">
        <f t="shared" si="4"/>
        <v>0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5908394.1481695939</v>
      </c>
      <c r="G9" s="1">
        <f>VLOOKUP(A:A,MASTER!A:K,11,0)</f>
        <v>6045648.5828848016</v>
      </c>
      <c r="H9" s="12">
        <f t="shared" si="0"/>
        <v>2.3230412743829643E-2</v>
      </c>
      <c r="I9" s="2">
        <f>VLOOKUP(A:A,MASTER!A:E,5,0)</f>
        <v>385</v>
      </c>
      <c r="J9" s="2">
        <f>VLOOKUP(A:A,MASTER!A:J,10,0)</f>
        <v>133</v>
      </c>
      <c r="K9" s="12">
        <f t="shared" si="1"/>
        <v>-0.65454545454545454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171</v>
      </c>
      <c r="S9">
        <f>VLOOKUP(A:A,MASTER!A:G,7,0)</f>
        <v>175</v>
      </c>
      <c r="T9" s="12">
        <f t="shared" si="4"/>
        <v>2.3391812865497075E-2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5680298.6802293016</v>
      </c>
      <c r="G10" s="1">
        <f>VLOOKUP(A:A,MASTER!A:K,11,0)</f>
        <v>2860659.9967147</v>
      </c>
      <c r="H10" s="12">
        <f t="shared" si="0"/>
        <v>-0.49638915878289325</v>
      </c>
      <c r="I10" s="2">
        <f>VLOOKUP(A:A,MASTER!A:E,5,0)</f>
        <v>226</v>
      </c>
      <c r="J10" s="2">
        <f>VLOOKUP(A:A,MASTER!A:J,10,0)</f>
        <v>176</v>
      </c>
      <c r="K10" s="12">
        <f t="shared" si="1"/>
        <v>-0.22123893805309736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195</v>
      </c>
      <c r="S10">
        <f>VLOOKUP(A:A,MASTER!A:G,7,0)</f>
        <v>187</v>
      </c>
      <c r="T10" s="12">
        <f t="shared" si="4"/>
        <v>-4.1025641025640991E-2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8944383.1211307161</v>
      </c>
      <c r="G11" s="1">
        <f>VLOOKUP(A:A,MASTER!A:K,11,0)</f>
        <v>11890504.003905904</v>
      </c>
      <c r="H11" s="12">
        <f t="shared" si="0"/>
        <v>0.32938223272380918</v>
      </c>
      <c r="I11" s="2">
        <f>VLOOKUP(A:A,MASTER!A:E,5,0)</f>
        <v>376</v>
      </c>
      <c r="J11" s="2">
        <f>VLOOKUP(A:A,MASTER!A:J,10,0)</f>
        <v>347</v>
      </c>
      <c r="K11" s="12">
        <f t="shared" si="1"/>
        <v>-7.7127659574468099E-2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2</v>
      </c>
      <c r="Q11" s="12">
        <f t="shared" si="3"/>
        <v>0</v>
      </c>
      <c r="R11" s="1">
        <f>VLOOKUP(A:A,MASTER!A:B,2,0)</f>
        <v>340</v>
      </c>
      <c r="S11">
        <f>VLOOKUP(A:A,MASTER!A:G,7,0)</f>
        <v>381</v>
      </c>
      <c r="T11" s="12">
        <f t="shared" si="4"/>
        <v>0.12058823529411766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4262490.9429104608</v>
      </c>
      <c r="G12" s="1">
        <f>VLOOKUP(A:A,MASTER!A:K,11,0)</f>
        <v>6152814.3065978391</v>
      </c>
      <c r="H12" s="12">
        <f t="shared" si="0"/>
        <v>0.44347856429617449</v>
      </c>
      <c r="I12" s="2">
        <f>VLOOKUP(A:A,MASTER!A:E,5,0)</f>
        <v>242</v>
      </c>
      <c r="J12" s="2">
        <f>VLOOKUP(A:A,MASTER!A:J,10,0)</f>
        <v>263</v>
      </c>
      <c r="K12" s="12">
        <f t="shared" si="1"/>
        <v>8.6776859504132275E-2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212</v>
      </c>
      <c r="S12">
        <f>VLOOKUP(A:A,MASTER!A:G,7,0)</f>
        <v>223</v>
      </c>
      <c r="T12" s="12">
        <f t="shared" si="4"/>
        <v>5.1886792452830122E-2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5733341.8539821506</v>
      </c>
      <c r="G13" s="1">
        <f>VLOOKUP(A:A,MASTER!A:K,11,0)</f>
        <v>6544098.7908061044</v>
      </c>
      <c r="H13" s="12">
        <f t="shared" si="0"/>
        <v>0.14141088347293196</v>
      </c>
      <c r="I13" s="2">
        <f>VLOOKUP(A:A,MASTER!A:E,5,0)</f>
        <v>223</v>
      </c>
      <c r="J13" s="2">
        <f>VLOOKUP(A:A,MASTER!A:J,10,0)</f>
        <v>229</v>
      </c>
      <c r="K13" s="12">
        <f t="shared" si="1"/>
        <v>2.6905829596412634E-2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7</v>
      </c>
      <c r="P13" s="1">
        <f>VLOOKUP(A:A,MASTER!A:H,8,0)</f>
        <v>2</v>
      </c>
      <c r="Q13" s="12">
        <f t="shared" si="3"/>
        <v>-0.7142857142857143</v>
      </c>
      <c r="R13" s="1">
        <f>VLOOKUP(A:A,MASTER!A:B,2,0)</f>
        <v>250</v>
      </c>
      <c r="S13">
        <f>VLOOKUP(A:A,MASTER!A:G,7,0)</f>
        <v>240</v>
      </c>
      <c r="T13" s="12">
        <f t="shared" si="4"/>
        <v>-4.0000000000000036E-2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12150068.330912439</v>
      </c>
      <c r="G14" s="1">
        <f>VLOOKUP(A:A,MASTER!A:K,11,0)</f>
        <v>27129953.922294252</v>
      </c>
      <c r="H14" s="12">
        <f t="shared" si="0"/>
        <v>1.2329054605618719</v>
      </c>
      <c r="I14" s="2">
        <f>VLOOKUP(A:A,MASTER!A:E,5,0)</f>
        <v>1062</v>
      </c>
      <c r="J14" s="2">
        <f>VLOOKUP(A:A,MASTER!A:J,10,0)</f>
        <v>1064</v>
      </c>
      <c r="K14" s="12">
        <f t="shared" si="1"/>
        <v>1.8832391713747842E-3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1426</v>
      </c>
      <c r="S14">
        <f>VLOOKUP(A:A,MASTER!A:G,7,0)</f>
        <v>1403</v>
      </c>
      <c r="T14" s="12">
        <f t="shared" si="4"/>
        <v>-1.6129032258064502E-2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37115893.490185946</v>
      </c>
      <c r="G15" s="1">
        <f>VLOOKUP(A:A,MASTER!A:K,11,0)</f>
        <v>46248297.021251909</v>
      </c>
      <c r="H15" s="12">
        <f t="shared" si="0"/>
        <v>0.2460510221444816</v>
      </c>
      <c r="I15" s="2">
        <f>VLOOKUP(A:A,MASTER!A:E,5,0)</f>
        <v>1018</v>
      </c>
      <c r="J15" s="2">
        <f>VLOOKUP(A:A,MASTER!A:J,10,0)</f>
        <v>913</v>
      </c>
      <c r="K15" s="12">
        <f t="shared" si="1"/>
        <v>-0.10314341846758346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1</v>
      </c>
      <c r="P15" s="1">
        <f>VLOOKUP(A:A,MASTER!A:H,8,0)</f>
        <v>2</v>
      </c>
      <c r="Q15" s="12">
        <f t="shared" si="3"/>
        <v>1</v>
      </c>
      <c r="R15" s="1">
        <f>VLOOKUP(A:A,MASTER!A:B,2,0)</f>
        <v>1271</v>
      </c>
      <c r="S15">
        <f>VLOOKUP(A:A,MASTER!A:G,7,0)</f>
        <v>1229</v>
      </c>
      <c r="T15" s="12">
        <f t="shared" si="4"/>
        <v>-3.3044846577498066E-2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24557779.647644848</v>
      </c>
      <c r="G16" s="1">
        <f>VLOOKUP(A:A,MASTER!A:K,11,0)</f>
        <v>24780324.33078628</v>
      </c>
      <c r="H16" s="12">
        <f t="shared" si="0"/>
        <v>9.062084860052666E-3</v>
      </c>
      <c r="I16" s="2">
        <f>VLOOKUP(A:A,MASTER!A:E,5,0)</f>
        <v>894</v>
      </c>
      <c r="J16" s="2">
        <f>VLOOKUP(A:A,MASTER!A:J,10,0)</f>
        <v>945</v>
      </c>
      <c r="K16" s="12">
        <f t="shared" si="1"/>
        <v>5.7046979865771785E-2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3</v>
      </c>
      <c r="P16" s="1">
        <f>VLOOKUP(A:A,MASTER!A:H,8,0)</f>
        <v>4</v>
      </c>
      <c r="Q16" s="12">
        <f t="shared" si="3"/>
        <v>0.33333333333333326</v>
      </c>
      <c r="R16" s="1">
        <f>VLOOKUP(A:A,MASTER!A:B,2,0)</f>
        <v>1021</v>
      </c>
      <c r="S16">
        <f>VLOOKUP(A:A,MASTER!A:G,7,0)</f>
        <v>1025</v>
      </c>
      <c r="T16" s="12">
        <f t="shared" si="4"/>
        <v>3.9177277179236469E-3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24093521.100269504</v>
      </c>
      <c r="G17" s="1">
        <f>VLOOKUP(A:A,MASTER!A:K,11,0)</f>
        <v>20292128.333114807</v>
      </c>
      <c r="H17" s="12">
        <f t="shared" si="0"/>
        <v>-0.15777655542062619</v>
      </c>
      <c r="I17" s="2">
        <f>VLOOKUP(A:A,MASTER!A:E,5,0)</f>
        <v>651</v>
      </c>
      <c r="J17" s="2">
        <f>VLOOKUP(A:A,MASTER!A:J,10,0)</f>
        <v>699</v>
      </c>
      <c r="K17" s="12">
        <f t="shared" si="1"/>
        <v>7.3732718894009119E-2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960</v>
      </c>
      <c r="S17">
        <f>VLOOKUP(A:A,MASTER!A:G,7,0)</f>
        <v>920</v>
      </c>
      <c r="T17" s="12">
        <f t="shared" si="4"/>
        <v>-4.166666666666663E-2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84378043.245911941</v>
      </c>
      <c r="G18" s="1">
        <f>VLOOKUP(A:A,MASTER!A:K,11,0)</f>
        <v>91431790.086039543</v>
      </c>
      <c r="H18" s="12">
        <f t="shared" si="0"/>
        <v>8.3596947366628482E-2</v>
      </c>
      <c r="I18" s="2">
        <f>VLOOKUP(A:A,MASTER!A:E,5,0)</f>
        <v>2911</v>
      </c>
      <c r="J18" s="2">
        <f>VLOOKUP(A:A,MASTER!A:J,10,0)</f>
        <v>2167</v>
      </c>
      <c r="K18" s="12">
        <f t="shared" si="1"/>
        <v>-0.25558227413260048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624</v>
      </c>
      <c r="P18" s="1">
        <f>VLOOKUP(A:A,MASTER!A:H,8,0)</f>
        <v>184</v>
      </c>
      <c r="Q18" s="12">
        <f t="shared" si="3"/>
        <v>-0.70512820512820507</v>
      </c>
      <c r="R18" s="1">
        <f>VLOOKUP(A:A,MASTER!A:B,2,0)</f>
        <v>3219</v>
      </c>
      <c r="S18">
        <f>VLOOKUP(A:A,MASTER!A:G,7,0)</f>
        <v>2805</v>
      </c>
      <c r="T18" s="12">
        <f t="shared" si="4"/>
        <v>-0.12861136999068035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45853440.719571456</v>
      </c>
      <c r="G19" s="1">
        <f>VLOOKUP(A:A,MASTER!A:K,11,0)</f>
        <v>28580704.230768949</v>
      </c>
      <c r="H19" s="12">
        <f t="shared" si="0"/>
        <v>-0.3766944468668858</v>
      </c>
      <c r="I19" s="2">
        <f>VLOOKUP(A:A,MASTER!A:E,5,0)</f>
        <v>1155</v>
      </c>
      <c r="J19" s="2">
        <f>VLOOKUP(A:A,MASTER!A:J,10,0)</f>
        <v>1192</v>
      </c>
      <c r="K19" s="12">
        <f t="shared" si="1"/>
        <v>3.2034632034632082E-2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0</v>
      </c>
      <c r="P19" s="1">
        <f>VLOOKUP(A:A,MASTER!A:H,8,0)</f>
        <v>7</v>
      </c>
      <c r="Q19" s="12">
        <f t="shared" si="3"/>
        <v>0</v>
      </c>
      <c r="R19" s="1">
        <f>VLOOKUP(A:A,MASTER!A:B,2,0)</f>
        <v>1440</v>
      </c>
      <c r="S19">
        <f>VLOOKUP(A:A,MASTER!A:G,7,0)</f>
        <v>1381</v>
      </c>
      <c r="T19" s="12">
        <f t="shared" si="4"/>
        <v>-4.0972222222222188E-2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91985409.680114254</v>
      </c>
      <c r="G20" s="1">
        <f>VLOOKUP(A:A,MASTER!A:K,11,0)</f>
        <v>91798677.850888729</v>
      </c>
      <c r="H20" s="12">
        <f t="shared" si="0"/>
        <v>-2.0300157370054528E-3</v>
      </c>
      <c r="I20" s="2">
        <f>VLOOKUP(A:A,MASTER!A:E,5,0)</f>
        <v>2274</v>
      </c>
      <c r="J20" s="2">
        <f>VLOOKUP(A:A,MASTER!A:J,10,0)</f>
        <v>1971</v>
      </c>
      <c r="K20" s="12">
        <f t="shared" si="1"/>
        <v>-0.13324538258575203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15</v>
      </c>
      <c r="P20" s="1">
        <f>VLOOKUP(A:A,MASTER!A:H,8,0)</f>
        <v>20</v>
      </c>
      <c r="Q20" s="12">
        <f t="shared" si="3"/>
        <v>0.33333333333333326</v>
      </c>
      <c r="R20" s="1">
        <f>VLOOKUP(A:A,MASTER!A:B,2,0)</f>
        <v>3008</v>
      </c>
      <c r="S20">
        <f>VLOOKUP(A:A,MASTER!A:G,7,0)</f>
        <v>2933</v>
      </c>
      <c r="T20" s="12">
        <f t="shared" si="4"/>
        <v>-2.4933510638297851E-2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13083985.836379612</v>
      </c>
      <c r="G21" s="1">
        <f>VLOOKUP(A:A,MASTER!A:K,11,0)</f>
        <v>13952390.293539824</v>
      </c>
      <c r="H21" s="12">
        <f t="shared" si="0"/>
        <v>6.6371552829539215E-2</v>
      </c>
      <c r="I21" s="2">
        <f>VLOOKUP(A:A,MASTER!A:E,5,0)</f>
        <v>460</v>
      </c>
      <c r="J21" s="2">
        <f>VLOOKUP(A:A,MASTER!A:J,10,0)</f>
        <v>487</v>
      </c>
      <c r="K21" s="12">
        <f t="shared" si="1"/>
        <v>5.8695652173913038E-2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551</v>
      </c>
      <c r="S21">
        <f>VLOOKUP(A:A,MASTER!A:G,7,0)</f>
        <v>537</v>
      </c>
      <c r="T21" s="12">
        <f t="shared" si="4"/>
        <v>-2.5408348457350294E-2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36202793.63631741</v>
      </c>
      <c r="G22" s="1">
        <f>VLOOKUP(A:A,MASTER!A:K,11,0)</f>
        <v>38550165.164171152</v>
      </c>
      <c r="H22" s="12">
        <f t="shared" si="0"/>
        <v>6.4839513531324222E-2</v>
      </c>
      <c r="I22" s="2">
        <f>VLOOKUP(A:A,MASTER!A:E,5,0)</f>
        <v>1256</v>
      </c>
      <c r="J22" s="2">
        <f>VLOOKUP(A:A,MASTER!A:J,10,0)</f>
        <v>1368</v>
      </c>
      <c r="K22" s="12">
        <f t="shared" si="1"/>
        <v>8.9171974522292974E-2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13</v>
      </c>
      <c r="P22" s="1">
        <f>VLOOKUP(A:A,MASTER!A:H,8,0)</f>
        <v>17</v>
      </c>
      <c r="Q22" s="12">
        <f t="shared" si="3"/>
        <v>0.30769230769230771</v>
      </c>
      <c r="R22" s="1">
        <f>VLOOKUP(A:A,MASTER!A:B,2,0)</f>
        <v>1707</v>
      </c>
      <c r="S22">
        <f>VLOOKUP(A:A,MASTER!A:G,7,0)</f>
        <v>1679</v>
      </c>
      <c r="T22" s="12">
        <f t="shared" si="4"/>
        <v>-1.6403046280023426E-2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15994034.782365471</v>
      </c>
      <c r="G23" s="1">
        <f>VLOOKUP(A:A,MASTER!A:K,11,0)</f>
        <v>16023991.278544333</v>
      </c>
      <c r="H23" s="12">
        <f t="shared" si="0"/>
        <v>1.8729793067531197E-3</v>
      </c>
      <c r="I23" s="2">
        <f>VLOOKUP(A:A,MASTER!A:E,5,0)</f>
        <v>1010</v>
      </c>
      <c r="J23" s="2">
        <f>VLOOKUP(A:A,MASTER!A:J,10,0)</f>
        <v>820</v>
      </c>
      <c r="K23" s="12">
        <f t="shared" si="1"/>
        <v>-0.18811881188118806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10</v>
      </c>
      <c r="P23" s="1">
        <f>VLOOKUP(A:A,MASTER!A:H,8,0)</f>
        <v>10</v>
      </c>
      <c r="Q23" s="12">
        <f t="shared" si="3"/>
        <v>0</v>
      </c>
      <c r="R23" s="1">
        <f>VLOOKUP(A:A,MASTER!A:B,2,0)</f>
        <v>862</v>
      </c>
      <c r="S23">
        <f>VLOOKUP(A:A,MASTER!A:G,7,0)</f>
        <v>879</v>
      </c>
      <c r="T23" s="12">
        <f t="shared" si="4"/>
        <v>1.9721577726218076E-2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17730094.775826979</v>
      </c>
      <c r="G24" s="1">
        <f>VLOOKUP(A:A,MASTER!A:K,11,0)</f>
        <v>19429198.640231583</v>
      </c>
      <c r="H24" s="12">
        <f t="shared" si="0"/>
        <v>9.5831628983796824E-2</v>
      </c>
      <c r="I24" s="2">
        <f>VLOOKUP(A:A,MASTER!A:E,5,0)</f>
        <v>803</v>
      </c>
      <c r="J24" s="2">
        <f>VLOOKUP(A:A,MASTER!A:J,10,0)</f>
        <v>843</v>
      </c>
      <c r="K24" s="12">
        <f t="shared" si="1"/>
        <v>4.9813200498131982E-2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2</v>
      </c>
      <c r="P24" s="1">
        <f>VLOOKUP(A:A,MASTER!A:H,8,0)</f>
        <v>6</v>
      </c>
      <c r="Q24" s="12">
        <f t="shared" si="3"/>
        <v>2</v>
      </c>
      <c r="R24" s="1">
        <f>VLOOKUP(A:A,MASTER!A:B,2,0)</f>
        <v>886</v>
      </c>
      <c r="S24">
        <f>VLOOKUP(A:A,MASTER!A:G,7,0)</f>
        <v>874</v>
      </c>
      <c r="T24" s="12">
        <f t="shared" si="4"/>
        <v>-1.3544018058690765E-2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5277024.5563090751</v>
      </c>
      <c r="G25" s="1">
        <f>VLOOKUP(A:A,MASTER!A:K,11,0)</f>
        <v>4433708.8725122856</v>
      </c>
      <c r="H25" s="12">
        <f t="shared" si="0"/>
        <v>-0.15980893679726071</v>
      </c>
      <c r="I25" s="2">
        <f>VLOOKUP(A:A,MASTER!A:E,5,0)</f>
        <v>175</v>
      </c>
      <c r="J25" s="2">
        <f>VLOOKUP(A:A,MASTER!A:J,10,0)</f>
        <v>177</v>
      </c>
      <c r="K25" s="12">
        <f t="shared" si="1"/>
        <v>1.1428571428571344E-2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229</v>
      </c>
      <c r="S25">
        <f>VLOOKUP(A:A,MASTER!A:G,7,0)</f>
        <v>228</v>
      </c>
      <c r="T25" s="12">
        <f t="shared" si="4"/>
        <v>-4.366812227074246E-3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40235450.07087151</v>
      </c>
      <c r="G26" s="1">
        <f>VLOOKUP(A:A,MASTER!A:K,11,0)</f>
        <v>36803930.469524823</v>
      </c>
      <c r="H26" s="12">
        <f t="shared" si="0"/>
        <v>-8.5285975310387729E-2</v>
      </c>
      <c r="I26" s="2">
        <f>VLOOKUP(A:A,MASTER!A:E,5,0)</f>
        <v>1301</v>
      </c>
      <c r="J26" s="2">
        <f>VLOOKUP(A:A,MASTER!A:J,10,0)</f>
        <v>1383</v>
      </c>
      <c r="K26" s="12">
        <f t="shared" si="1"/>
        <v>6.3028439661798608E-2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2</v>
      </c>
      <c r="P26" s="1">
        <f>VLOOKUP(A:A,MASTER!A:H,8,0)</f>
        <v>10</v>
      </c>
      <c r="Q26" s="12">
        <f t="shared" si="3"/>
        <v>4</v>
      </c>
      <c r="R26" s="1">
        <f>VLOOKUP(A:A,MASTER!A:B,2,0)</f>
        <v>1658</v>
      </c>
      <c r="S26">
        <f>VLOOKUP(A:A,MASTER!A:G,7,0)</f>
        <v>1646</v>
      </c>
      <c r="T26" s="12">
        <f t="shared" si="4"/>
        <v>-7.2376357056694873E-3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28301686.739777543</v>
      </c>
      <c r="G27" s="1">
        <f>VLOOKUP(A:A,MASTER!A:K,11,0)</f>
        <v>30880741.730442863</v>
      </c>
      <c r="H27" s="12">
        <f t="shared" si="0"/>
        <v>9.1127253805707076E-2</v>
      </c>
      <c r="I27" s="2">
        <f>VLOOKUP(A:A,MASTER!A:E,5,0)</f>
        <v>622</v>
      </c>
      <c r="J27" s="2">
        <f>VLOOKUP(A:A,MASTER!A:J,10,0)</f>
        <v>617</v>
      </c>
      <c r="K27" s="12">
        <f t="shared" si="1"/>
        <v>-8.0385852090032461E-3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5</v>
      </c>
      <c r="P27" s="1">
        <f>VLOOKUP(A:A,MASTER!A:H,8,0)</f>
        <v>4</v>
      </c>
      <c r="Q27" s="12">
        <f t="shared" si="3"/>
        <v>-0.19999999999999996</v>
      </c>
      <c r="R27" s="1">
        <f>VLOOKUP(A:A,MASTER!A:B,2,0)</f>
        <v>859</v>
      </c>
      <c r="S27">
        <f>VLOOKUP(A:A,MASTER!A:G,7,0)</f>
        <v>884</v>
      </c>
      <c r="T27" s="12">
        <f t="shared" si="4"/>
        <v>2.9103608847497187E-2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30771914.979088616</v>
      </c>
      <c r="G28" s="1">
        <f>VLOOKUP(A:A,MASTER!A:K,11,0)</f>
        <v>29013524.004899658</v>
      </c>
      <c r="H28" s="12">
        <f t="shared" si="0"/>
        <v>-5.7142721711791133E-2</v>
      </c>
      <c r="I28" s="2">
        <f>VLOOKUP(A:A,MASTER!A:E,5,0)</f>
        <v>765</v>
      </c>
      <c r="J28" s="2">
        <f>VLOOKUP(A:A,MASTER!A:J,10,0)</f>
        <v>789</v>
      </c>
      <c r="K28" s="12">
        <f t="shared" si="1"/>
        <v>3.1372549019607954E-2</v>
      </c>
      <c r="L28" s="2">
        <f>VLOOKUP(A:A,MASTER!A:D,4,0)</f>
        <v>1</v>
      </c>
      <c r="M28" s="2">
        <f>VLOOKUP(A:A,MASTER!A:I,9,0)</f>
        <v>1</v>
      </c>
      <c r="N28" s="12">
        <f t="shared" si="2"/>
        <v>0</v>
      </c>
      <c r="O28" s="1">
        <f>VLOOKUP(A:A,MASTER!A:C,3,0)</f>
        <v>2</v>
      </c>
      <c r="P28" s="1">
        <f>VLOOKUP(A:A,MASTER!A:H,8,0)</f>
        <v>2</v>
      </c>
      <c r="Q28" s="12">
        <f t="shared" si="3"/>
        <v>0</v>
      </c>
      <c r="R28" s="1">
        <f>VLOOKUP(A:A,MASTER!A:B,2,0)</f>
        <v>1126</v>
      </c>
      <c r="S28">
        <f>VLOOKUP(A:A,MASTER!A:G,7,0)</f>
        <v>1042</v>
      </c>
      <c r="T28" s="12">
        <f t="shared" si="4"/>
        <v>-7.4600355239786809E-2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39627788.142400511</v>
      </c>
      <c r="G29" s="1">
        <f>VLOOKUP(A:A,MASTER!A:K,11,0)</f>
        <v>41174058.474659473</v>
      </c>
      <c r="H29" s="12">
        <f t="shared" si="0"/>
        <v>3.901984957380189E-2</v>
      </c>
      <c r="I29" s="2">
        <f>VLOOKUP(A:A,MASTER!A:E,5,0)</f>
        <v>889</v>
      </c>
      <c r="J29" s="2">
        <f>VLOOKUP(A:A,MASTER!A:J,10,0)</f>
        <v>874</v>
      </c>
      <c r="K29" s="12">
        <f t="shared" si="1"/>
        <v>-1.6872890888638969E-2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2</v>
      </c>
      <c r="P29" s="1">
        <f>VLOOKUP(A:A,MASTER!A:H,8,0)</f>
        <v>3</v>
      </c>
      <c r="Q29" s="12">
        <f t="shared" si="3"/>
        <v>0.5</v>
      </c>
      <c r="R29" s="1">
        <f>VLOOKUP(A:A,MASTER!A:B,2,0)</f>
        <v>1130</v>
      </c>
      <c r="S29">
        <f>VLOOKUP(A:A,MASTER!A:G,7,0)</f>
        <v>1125</v>
      </c>
      <c r="T29" s="12">
        <f t="shared" si="4"/>
        <v>-4.4247787610619538E-3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57867671.527397662</v>
      </c>
      <c r="G30" s="1">
        <f>VLOOKUP(A:A,MASTER!A:K,11,0)</f>
        <v>52940271.569831714</v>
      </c>
      <c r="H30" s="12">
        <f t="shared" si="0"/>
        <v>-8.5149442296689859E-2</v>
      </c>
      <c r="I30" s="2">
        <f>VLOOKUP(A:A,MASTER!A:E,5,0)</f>
        <v>1103</v>
      </c>
      <c r="J30" s="2">
        <f>VLOOKUP(A:A,MASTER!A:J,10,0)</f>
        <v>1132</v>
      </c>
      <c r="K30" s="12">
        <f t="shared" si="1"/>
        <v>2.6291931097008225E-2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3</v>
      </c>
      <c r="P30" s="1">
        <f>VLOOKUP(A:A,MASTER!A:H,8,0)</f>
        <v>4</v>
      </c>
      <c r="Q30" s="12">
        <f t="shared" si="3"/>
        <v>0.33333333333333326</v>
      </c>
      <c r="R30" s="1">
        <f>VLOOKUP(A:A,MASTER!A:B,2,0)</f>
        <v>1503</v>
      </c>
      <c r="S30">
        <f>VLOOKUP(A:A,MASTER!A:G,7,0)</f>
        <v>1443</v>
      </c>
      <c r="T30" s="12">
        <f t="shared" si="4"/>
        <v>-3.9920159680638667E-2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21899406.198145673</v>
      </c>
      <c r="G31" s="1">
        <f>VLOOKUP(A:A,MASTER!A:K,11,0)</f>
        <v>23896792.324472841</v>
      </c>
      <c r="H31" s="12">
        <f t="shared" si="0"/>
        <v>9.1207318968141493E-2</v>
      </c>
      <c r="I31" s="2">
        <f>VLOOKUP(A:A,MASTER!A:E,5,0)</f>
        <v>535</v>
      </c>
      <c r="J31" s="2">
        <f>VLOOKUP(A:A,MASTER!A:J,10,0)</f>
        <v>554</v>
      </c>
      <c r="K31" s="12">
        <f t="shared" si="1"/>
        <v>3.5514018691588767E-2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1</v>
      </c>
      <c r="Q31" s="12">
        <f t="shared" si="3"/>
        <v>-0.66666666666666674</v>
      </c>
      <c r="R31" s="1">
        <f>VLOOKUP(A:A,MASTER!A:B,2,0)</f>
        <v>691</v>
      </c>
      <c r="S31">
        <f>VLOOKUP(A:A,MASTER!A:G,7,0)</f>
        <v>701</v>
      </c>
      <c r="T31" s="12">
        <f t="shared" si="4"/>
        <v>1.4471780028943559E-2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68379291.574158043</v>
      </c>
      <c r="G32" s="1">
        <f>VLOOKUP(A:A,MASTER!A:K,11,0)</f>
        <v>58685299.940138116</v>
      </c>
      <c r="H32" s="12">
        <f t="shared" si="0"/>
        <v>-0.14176794480982147</v>
      </c>
      <c r="I32" s="2">
        <f>VLOOKUP(A:A,MASTER!A:E,5,0)</f>
        <v>1890</v>
      </c>
      <c r="J32" s="2">
        <f>VLOOKUP(A:A,MASTER!A:J,10,0)</f>
        <v>1575</v>
      </c>
      <c r="K32" s="12">
        <f t="shared" si="1"/>
        <v>-0.16666666666666663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16</v>
      </c>
      <c r="P32" s="1">
        <f>VLOOKUP(A:A,MASTER!A:H,8,0)</f>
        <v>10</v>
      </c>
      <c r="Q32" s="12">
        <f t="shared" si="3"/>
        <v>-0.375</v>
      </c>
      <c r="R32" s="1">
        <f>VLOOKUP(A:A,MASTER!A:B,2,0)</f>
        <v>1969</v>
      </c>
      <c r="S32">
        <f>VLOOKUP(A:A,MASTER!A:G,7,0)</f>
        <v>1926</v>
      </c>
      <c r="T32" s="12">
        <f t="shared" si="4"/>
        <v>-2.1838496698831866E-2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23416239.072707906</v>
      </c>
      <c r="G33" s="1">
        <f>VLOOKUP(A:A,MASTER!A:K,11,0)</f>
        <v>23846332.143704496</v>
      </c>
      <c r="H33" s="12">
        <f t="shared" si="0"/>
        <v>1.8367299277272542E-2</v>
      </c>
      <c r="I33" s="2">
        <f>VLOOKUP(A:A,MASTER!A:E,5,0)</f>
        <v>620</v>
      </c>
      <c r="J33" s="2">
        <f>VLOOKUP(A:A,MASTER!A:J,10,0)</f>
        <v>712</v>
      </c>
      <c r="K33" s="12">
        <f t="shared" si="1"/>
        <v>0.14838709677419359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2</v>
      </c>
      <c r="P33" s="1">
        <f>VLOOKUP(A:A,MASTER!A:H,8,0)</f>
        <v>3</v>
      </c>
      <c r="Q33" s="12">
        <f t="shared" si="3"/>
        <v>0.5</v>
      </c>
      <c r="R33" s="1">
        <f>VLOOKUP(A:A,MASTER!A:B,2,0)</f>
        <v>843</v>
      </c>
      <c r="S33">
        <f>VLOOKUP(A:A,MASTER!A:G,7,0)</f>
        <v>862</v>
      </c>
      <c r="T33" s="12">
        <f t="shared" si="4"/>
        <v>2.2538552787663146E-2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19580984.263010703</v>
      </c>
      <c r="G34" s="1">
        <f>VLOOKUP(A:A,MASTER!A:K,11,0)</f>
        <v>21933834.462986201</v>
      </c>
      <c r="H34" s="12">
        <f t="shared" si="0"/>
        <v>0.12015995561674253</v>
      </c>
      <c r="I34" s="2">
        <f>VLOOKUP(A:A,MASTER!A:E,5,0)</f>
        <v>534</v>
      </c>
      <c r="J34" s="2">
        <f>VLOOKUP(A:A,MASTER!A:J,10,0)</f>
        <v>644</v>
      </c>
      <c r="K34" s="12">
        <f t="shared" si="1"/>
        <v>0.20599250936329594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2</v>
      </c>
      <c r="P34" s="1">
        <f>VLOOKUP(A:A,MASTER!A:H,8,0)</f>
        <v>3</v>
      </c>
      <c r="Q34" s="12">
        <f t="shared" si="3"/>
        <v>0.5</v>
      </c>
      <c r="R34" s="1">
        <f>VLOOKUP(A:A,MASTER!A:B,2,0)</f>
        <v>696</v>
      </c>
      <c r="S34">
        <f>VLOOKUP(A:A,MASTER!A:G,7,0)</f>
        <v>752</v>
      </c>
      <c r="T34" s="12">
        <f t="shared" si="4"/>
        <v>8.0459770114942541E-2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34271546.343865938</v>
      </c>
      <c r="G35" s="1">
        <f>VLOOKUP(A:A,MASTER!A:K,11,0)</f>
        <v>33947334.926795498</v>
      </c>
      <c r="H35" s="12">
        <f t="shared" si="0"/>
        <v>-9.4600755337224118E-3</v>
      </c>
      <c r="I35" s="2">
        <f>VLOOKUP(A:A,MASTER!A:E,5,0)</f>
        <v>843</v>
      </c>
      <c r="J35" s="2">
        <f>VLOOKUP(A:A,MASTER!A:J,10,0)</f>
        <v>950</v>
      </c>
      <c r="K35" s="12">
        <f t="shared" si="1"/>
        <v>0.12692763938315532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14</v>
      </c>
      <c r="P35" s="1">
        <f>VLOOKUP(A:A,MASTER!A:H,8,0)</f>
        <v>17</v>
      </c>
      <c r="Q35" s="12">
        <f t="shared" si="3"/>
        <v>0.21428571428571419</v>
      </c>
      <c r="R35" s="1">
        <f>VLOOKUP(A:A,MASTER!A:B,2,0)</f>
        <v>1113</v>
      </c>
      <c r="S35">
        <f>VLOOKUP(A:A,MASTER!A:G,7,0)</f>
        <v>1148</v>
      </c>
      <c r="T35" s="12">
        <f t="shared" si="4"/>
        <v>3.1446540880503138E-2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33052464.113899976</v>
      </c>
      <c r="G36" s="1">
        <f>VLOOKUP(A:A,MASTER!A:K,11,0)</f>
        <v>32190582.015026674</v>
      </c>
      <c r="H36" s="12">
        <f t="shared" si="0"/>
        <v>-2.6076182880139465E-2</v>
      </c>
      <c r="I36" s="2">
        <f>VLOOKUP(A:A,MASTER!A:E,5,0)</f>
        <v>769</v>
      </c>
      <c r="J36" s="2">
        <f>VLOOKUP(A:A,MASTER!A:J,10,0)</f>
        <v>964</v>
      </c>
      <c r="K36" s="12">
        <f t="shared" si="1"/>
        <v>0.25357607282184658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41</v>
      </c>
      <c r="P36" s="1">
        <f>VLOOKUP(A:A,MASTER!A:H,8,0)</f>
        <v>121</v>
      </c>
      <c r="Q36" s="12">
        <f t="shared" si="3"/>
        <v>1.9512195121951219</v>
      </c>
      <c r="R36" s="1">
        <f>VLOOKUP(A:A,MASTER!A:B,2,0)</f>
        <v>1089</v>
      </c>
      <c r="S36">
        <f>VLOOKUP(A:A,MASTER!A:G,7,0)</f>
        <v>1252</v>
      </c>
      <c r="T36" s="12">
        <f t="shared" si="4"/>
        <v>0.14967860422405876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52158232.747112714</v>
      </c>
      <c r="G37" s="1">
        <f>VLOOKUP(A:A,MASTER!A:K,11,0)</f>
        <v>57989157.172912218</v>
      </c>
      <c r="H37" s="12">
        <f t="shared" si="0"/>
        <v>0.11179298298066431</v>
      </c>
      <c r="I37" s="2">
        <f>VLOOKUP(A:A,MASTER!A:E,5,0)</f>
        <v>1371</v>
      </c>
      <c r="J37" s="2">
        <f>VLOOKUP(A:A,MASTER!A:J,10,0)</f>
        <v>1578</v>
      </c>
      <c r="K37" s="12">
        <f t="shared" si="1"/>
        <v>0.15098468271334786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55</v>
      </c>
      <c r="P37" s="1">
        <f>VLOOKUP(A:A,MASTER!A:H,8,0)</f>
        <v>73</v>
      </c>
      <c r="Q37" s="12">
        <f t="shared" si="3"/>
        <v>0.32727272727272738</v>
      </c>
      <c r="R37" s="1">
        <f>VLOOKUP(A:A,MASTER!A:B,2,0)</f>
        <v>1784</v>
      </c>
      <c r="S37">
        <f>VLOOKUP(A:A,MASTER!A:G,7,0)</f>
        <v>2269</v>
      </c>
      <c r="T37" s="12">
        <f t="shared" si="4"/>
        <v>0.27186098654708513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17501175.59762124</v>
      </c>
      <c r="G38" s="1">
        <f>VLOOKUP(A:A,MASTER!A:K,11,0)</f>
        <v>20656820.414189544</v>
      </c>
      <c r="H38" s="12">
        <f t="shared" si="0"/>
        <v>0.18031044823053022</v>
      </c>
      <c r="I38" s="2">
        <f>VLOOKUP(A:A,MASTER!A:E,5,0)</f>
        <v>8</v>
      </c>
      <c r="J38" s="2">
        <f>VLOOKUP(A:A,MASTER!A:J,10,0)</f>
        <v>472</v>
      </c>
      <c r="K38" s="12">
        <f t="shared" si="1"/>
        <v>58</v>
      </c>
      <c r="L38" s="2">
        <f>VLOOKUP(A:A,MASTER!A:D,4,0)</f>
        <v>4</v>
      </c>
      <c r="M38" s="2">
        <f>VLOOKUP(A:A,MASTER!A:I,9,0)</f>
        <v>6</v>
      </c>
      <c r="N38" s="12">
        <f t="shared" si="2"/>
        <v>0.5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613</v>
      </c>
      <c r="S38">
        <f>VLOOKUP(A:A,MASTER!A:G,7,0)</f>
        <v>618</v>
      </c>
      <c r="T38" s="12">
        <f t="shared" si="4"/>
        <v>8.1566068515497303E-3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61288523.598765254</v>
      </c>
      <c r="G39" s="1">
        <f>VLOOKUP(A:A,MASTER!A:K,11,0)</f>
        <v>66763112.972614646</v>
      </c>
      <c r="H39" s="12">
        <f t="shared" si="0"/>
        <v>8.9324869525159833E-2</v>
      </c>
      <c r="I39" s="2">
        <f>VLOOKUP(A:A,MASTER!A:E,5,0)</f>
        <v>1869</v>
      </c>
      <c r="J39" s="2">
        <f>VLOOKUP(A:A,MASTER!A:J,10,0)</f>
        <v>1991</v>
      </c>
      <c r="K39" s="12">
        <f t="shared" si="1"/>
        <v>6.527554842161587E-2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6</v>
      </c>
      <c r="Q39" s="12">
        <f t="shared" si="3"/>
        <v>-0.5714285714285714</v>
      </c>
      <c r="R39" s="1">
        <f>VLOOKUP(A:A,MASTER!A:B,2,0)</f>
        <v>2036</v>
      </c>
      <c r="S39">
        <f>VLOOKUP(A:A,MASTER!A:G,7,0)</f>
        <v>2059</v>
      </c>
      <c r="T39" s="12">
        <f t="shared" si="4"/>
        <v>1.129666011787811E-2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42805016.573299475</v>
      </c>
      <c r="G40" s="1">
        <f>VLOOKUP(A:A,MASTER!A:K,11,0)</f>
        <v>46227650.783002853</v>
      </c>
      <c r="H40" s="12">
        <f t="shared" si="0"/>
        <v>7.9958717077995844E-2</v>
      </c>
      <c r="I40" s="2">
        <f>VLOOKUP(A:A,MASTER!A:E,5,0)</f>
        <v>760</v>
      </c>
      <c r="J40" s="2">
        <f>VLOOKUP(A:A,MASTER!A:J,10,0)</f>
        <v>797</v>
      </c>
      <c r="K40" s="12">
        <f t="shared" si="1"/>
        <v>4.8684210526315885E-2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6</v>
      </c>
      <c r="P40" s="1">
        <f>VLOOKUP(A:A,MASTER!A:H,8,0)</f>
        <v>5</v>
      </c>
      <c r="Q40" s="12">
        <f t="shared" si="3"/>
        <v>-0.16666666666666663</v>
      </c>
      <c r="R40" s="1">
        <f>VLOOKUP(A:A,MASTER!A:B,2,0)</f>
        <v>877</v>
      </c>
      <c r="S40">
        <f>VLOOKUP(A:A,MASTER!A:G,7,0)</f>
        <v>895</v>
      </c>
      <c r="T40" s="12">
        <f t="shared" si="4"/>
        <v>2.0524515393386622E-2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35305267.70624648</v>
      </c>
      <c r="G41" s="1">
        <f>VLOOKUP(A:A,MASTER!A:K,11,0)</f>
        <v>27034432.239690185</v>
      </c>
      <c r="H41" s="12">
        <f t="shared" si="0"/>
        <v>-0.23426632918840484</v>
      </c>
      <c r="I41" s="2">
        <f>VLOOKUP(A:A,MASTER!A:E,5,0)</f>
        <v>996</v>
      </c>
      <c r="J41" s="2">
        <f>VLOOKUP(A:A,MASTER!A:J,10,0)</f>
        <v>1158</v>
      </c>
      <c r="K41" s="12">
        <f t="shared" si="1"/>
        <v>0.16265060240963858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3</v>
      </c>
      <c r="P41" s="1">
        <f>VLOOKUP(A:A,MASTER!A:H,8,0)</f>
        <v>6</v>
      </c>
      <c r="Q41" s="12">
        <f t="shared" si="3"/>
        <v>1</v>
      </c>
      <c r="R41" s="1">
        <f>VLOOKUP(A:A,MASTER!A:B,2,0)</f>
        <v>1116</v>
      </c>
      <c r="S41">
        <f>VLOOKUP(A:A,MASTER!A:G,7,0)</f>
        <v>1097</v>
      </c>
      <c r="T41" s="12">
        <f t="shared" si="4"/>
        <v>-1.7025089605734789E-2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34656045.854344085</v>
      </c>
      <c r="G42" s="1">
        <f>VLOOKUP(A:A,MASTER!A:K,11,0)</f>
        <v>34623144.718677483</v>
      </c>
      <c r="H42" s="12">
        <f t="shared" si="0"/>
        <v>-9.4936207681861617E-4</v>
      </c>
      <c r="I42" s="2">
        <f>VLOOKUP(A:A,MASTER!A:E,5,0)</f>
        <v>636</v>
      </c>
      <c r="J42" s="2">
        <f>VLOOKUP(A:A,MASTER!A:J,10,0)</f>
        <v>612</v>
      </c>
      <c r="K42" s="12">
        <f t="shared" si="1"/>
        <v>-3.7735849056603765E-2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5</v>
      </c>
      <c r="Q42" s="12">
        <f t="shared" si="3"/>
        <v>0</v>
      </c>
      <c r="R42" s="1">
        <f>VLOOKUP(A:A,MASTER!A:B,2,0)</f>
        <v>857</v>
      </c>
      <c r="S42">
        <f>VLOOKUP(A:A,MASTER!A:G,7,0)</f>
        <v>835</v>
      </c>
      <c r="T42" s="12">
        <f t="shared" si="4"/>
        <v>-2.5670945157526215E-2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21610464.703248747</v>
      </c>
      <c r="G43" s="1">
        <f>VLOOKUP(A:A,MASTER!A:K,11,0)</f>
        <v>21742784.05233898</v>
      </c>
      <c r="H43" s="12">
        <f t="shared" si="0"/>
        <v>6.1229293727469436E-3</v>
      </c>
      <c r="I43" s="2">
        <f>VLOOKUP(A:A,MASTER!A:E,5,0)</f>
        <v>570</v>
      </c>
      <c r="J43" s="2">
        <f>VLOOKUP(A:A,MASTER!A:J,10,0)</f>
        <v>123</v>
      </c>
      <c r="K43" s="12">
        <f t="shared" si="1"/>
        <v>-0.78421052631578947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3</v>
      </c>
      <c r="P43" s="1">
        <f>VLOOKUP(A:A,MASTER!A:H,8,0)</f>
        <v>3</v>
      </c>
      <c r="Q43" s="12">
        <f t="shared" si="3"/>
        <v>0</v>
      </c>
      <c r="R43" s="1">
        <f>VLOOKUP(A:A,MASTER!A:B,2,0)</f>
        <v>663</v>
      </c>
      <c r="S43">
        <f>VLOOKUP(A:A,MASTER!A:G,7,0)</f>
        <v>697</v>
      </c>
      <c r="T43" s="12">
        <f t="shared" si="4"/>
        <v>5.1282051282051322E-2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20687868.148741201</v>
      </c>
      <c r="G44" s="1">
        <f>VLOOKUP(A:A,MASTER!A:K,11,0)</f>
        <v>18652888.434304617</v>
      </c>
      <c r="H44" s="12">
        <f t="shared" si="0"/>
        <v>-9.8365848999303784E-2</v>
      </c>
      <c r="I44" s="2">
        <f>VLOOKUP(A:A,MASTER!A:E,5,0)</f>
        <v>721</v>
      </c>
      <c r="J44" s="2">
        <f>VLOOKUP(A:A,MASTER!A:J,10,0)</f>
        <v>389</v>
      </c>
      <c r="K44" s="12">
        <f t="shared" si="1"/>
        <v>-0.46047156726768379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1</v>
      </c>
      <c r="P44" s="1">
        <f>VLOOKUP(A:A,MASTER!A:H,8,0)</f>
        <v>0</v>
      </c>
      <c r="Q44" s="12">
        <f t="shared" si="3"/>
        <v>-1</v>
      </c>
      <c r="R44" s="1">
        <f>VLOOKUP(A:A,MASTER!A:B,2,0)</f>
        <v>707</v>
      </c>
      <c r="S44">
        <f>VLOOKUP(A:A,MASTER!A:G,7,0)</f>
        <v>688</v>
      </c>
      <c r="T44" s="12">
        <f t="shared" si="4"/>
        <v>-2.6874115983026914E-2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65941089.434293799</v>
      </c>
      <c r="G45" s="1">
        <f>VLOOKUP(A:A,MASTER!A:K,11,0)</f>
        <v>62024410.34365315</v>
      </c>
      <c r="H45" s="12">
        <f t="shared" si="0"/>
        <v>-5.9396639094708603E-2</v>
      </c>
      <c r="I45" s="2">
        <f>VLOOKUP(A:A,MASTER!A:E,5,0)</f>
        <v>1085</v>
      </c>
      <c r="J45" s="2">
        <f>VLOOKUP(A:A,MASTER!A:J,10,0)</f>
        <v>1418</v>
      </c>
      <c r="K45" s="12">
        <f t="shared" si="1"/>
        <v>0.30691244239631343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11</v>
      </c>
      <c r="P45" s="1">
        <f>VLOOKUP(A:A,MASTER!A:H,8,0)</f>
        <v>3</v>
      </c>
      <c r="Q45" s="12">
        <f t="shared" si="3"/>
        <v>-0.72727272727272729</v>
      </c>
      <c r="R45" s="1">
        <f>VLOOKUP(A:A,MASTER!A:B,2,0)</f>
        <v>1279</v>
      </c>
      <c r="S45">
        <f>VLOOKUP(A:A,MASTER!A:G,7,0)</f>
        <v>1243</v>
      </c>
      <c r="T45" s="12">
        <f t="shared" si="4"/>
        <v>-2.8146989835809211E-2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29718671.064681828</v>
      </c>
      <c r="G46" s="1">
        <f>VLOOKUP(A:A,MASTER!A:K,11,0)</f>
        <v>29054377.526877664</v>
      </c>
      <c r="H46" s="12">
        <f t="shared" si="0"/>
        <v>-2.2352733618483445E-2</v>
      </c>
      <c r="I46" s="2">
        <f>VLOOKUP(A:A,MASTER!A:E,5,0)</f>
        <v>950</v>
      </c>
      <c r="J46" s="2">
        <f>VLOOKUP(A:A,MASTER!A:J,10,0)</f>
        <v>931</v>
      </c>
      <c r="K46" s="12">
        <f t="shared" si="1"/>
        <v>-2.0000000000000018E-2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2</v>
      </c>
      <c r="P46" s="1">
        <f>VLOOKUP(A:A,MASTER!A:H,8,0)</f>
        <v>3</v>
      </c>
      <c r="Q46" s="12">
        <f t="shared" si="3"/>
        <v>0.5</v>
      </c>
      <c r="R46" s="1">
        <f>VLOOKUP(A:A,MASTER!A:B,2,0)</f>
        <v>879</v>
      </c>
      <c r="S46">
        <f>VLOOKUP(A:A,MASTER!A:G,7,0)</f>
        <v>916</v>
      </c>
      <c r="T46" s="12">
        <f t="shared" si="4"/>
        <v>4.2093287827076331E-2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43797964.177689955</v>
      </c>
      <c r="G47" s="1">
        <f>VLOOKUP(A:A,MASTER!A:K,11,0)</f>
        <v>50825033.960358381</v>
      </c>
      <c r="H47" s="12">
        <f t="shared" si="0"/>
        <v>0.16044284054298386</v>
      </c>
      <c r="I47" s="2">
        <f>VLOOKUP(A:A,MASTER!A:E,5,0)</f>
        <v>979</v>
      </c>
      <c r="J47" s="2">
        <f>VLOOKUP(A:A,MASTER!A:J,10,0)</f>
        <v>1023</v>
      </c>
      <c r="K47" s="12">
        <f t="shared" si="1"/>
        <v>4.4943820224719211E-2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15</v>
      </c>
      <c r="P47" s="1">
        <f>VLOOKUP(A:A,MASTER!A:H,8,0)</f>
        <v>5</v>
      </c>
      <c r="Q47" s="12">
        <f t="shared" si="3"/>
        <v>-0.66666666666666674</v>
      </c>
      <c r="R47" s="1">
        <f>VLOOKUP(A:A,MASTER!A:B,2,0)</f>
        <v>1303</v>
      </c>
      <c r="S47">
        <f>VLOOKUP(A:A,MASTER!A:G,7,0)</f>
        <v>1344</v>
      </c>
      <c r="T47" s="12">
        <f t="shared" si="4"/>
        <v>3.1465848042977695E-2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22770248.911103602</v>
      </c>
      <c r="G48" s="1">
        <f>VLOOKUP(A:A,MASTER!A:K,11,0)</f>
        <v>26152148.725233007</v>
      </c>
      <c r="H48" s="12">
        <f t="shared" si="0"/>
        <v>0.14852274243169417</v>
      </c>
      <c r="I48" s="2">
        <f>VLOOKUP(A:A,MASTER!A:E,5,0)</f>
        <v>358</v>
      </c>
      <c r="J48" s="2">
        <f>VLOOKUP(A:A,MASTER!A:J,10,0)</f>
        <v>362</v>
      </c>
      <c r="K48" s="12">
        <f t="shared" si="1"/>
        <v>1.1173184357541999E-2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7</v>
      </c>
      <c r="P48" s="1">
        <f>VLOOKUP(A:A,MASTER!A:H,8,0)</f>
        <v>1</v>
      </c>
      <c r="Q48" s="12">
        <f t="shared" si="3"/>
        <v>-0.85714285714285721</v>
      </c>
      <c r="R48" s="1">
        <f>VLOOKUP(A:A,MASTER!A:B,2,0)</f>
        <v>482</v>
      </c>
      <c r="S48">
        <f>VLOOKUP(A:A,MASTER!A:G,7,0)</f>
        <v>483</v>
      </c>
      <c r="T48" s="12">
        <f t="shared" si="4"/>
        <v>2.0746887966804906E-3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22546305.818256099</v>
      </c>
      <c r="G49" s="1">
        <f>VLOOKUP(A:A,MASTER!A:K,11,0)</f>
        <v>19126089.304449983</v>
      </c>
      <c r="H49" s="12">
        <f t="shared" si="0"/>
        <v>-0.15169742402042252</v>
      </c>
      <c r="I49" s="2">
        <f>VLOOKUP(A:A,MASTER!A:E,5,0)</f>
        <v>298</v>
      </c>
      <c r="J49" s="2">
        <f>VLOOKUP(A:A,MASTER!A:J,10,0)</f>
        <v>322</v>
      </c>
      <c r="K49" s="12">
        <f t="shared" si="1"/>
        <v>8.0536912751677958E-2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0</v>
      </c>
      <c r="Q49" s="12">
        <f t="shared" si="3"/>
        <v>-1</v>
      </c>
      <c r="R49" s="1">
        <f>VLOOKUP(A:A,MASTER!A:B,2,0)</f>
        <v>444</v>
      </c>
      <c r="S49">
        <f>VLOOKUP(A:A,MASTER!A:G,7,0)</f>
        <v>460</v>
      </c>
      <c r="T49" s="12">
        <f t="shared" si="4"/>
        <v>3.6036036036036112E-2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18657852.426756896</v>
      </c>
      <c r="G50" s="1">
        <f>VLOOKUP(A:A,MASTER!A:K,11,0)</f>
        <v>16764643.498383747</v>
      </c>
      <c r="H50" s="12">
        <f t="shared" si="0"/>
        <v>-0.10146982005593164</v>
      </c>
      <c r="I50" s="2">
        <f>VLOOKUP(A:A,MASTER!A:E,5,0)</f>
        <v>378</v>
      </c>
      <c r="J50" s="2">
        <f>VLOOKUP(A:A,MASTER!A:J,10,0)</f>
        <v>367</v>
      </c>
      <c r="K50" s="12">
        <f t="shared" si="1"/>
        <v>-2.9100529100529071E-2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11</v>
      </c>
      <c r="P50" s="1">
        <f>VLOOKUP(A:A,MASTER!A:H,8,0)</f>
        <v>2</v>
      </c>
      <c r="Q50" s="12">
        <f t="shared" si="3"/>
        <v>-0.81818181818181812</v>
      </c>
      <c r="R50" s="1">
        <f>VLOOKUP(A:A,MASTER!A:B,2,0)</f>
        <v>429</v>
      </c>
      <c r="S50">
        <f>VLOOKUP(A:A,MASTER!A:G,7,0)</f>
        <v>423</v>
      </c>
      <c r="T50" s="12">
        <f t="shared" si="4"/>
        <v>-1.3986013986013957E-2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40544706.538535334</v>
      </c>
      <c r="G51" s="1">
        <f>VLOOKUP(A:A,MASTER!A:K,11,0)</f>
        <v>39213836.923041739</v>
      </c>
      <c r="H51" s="12">
        <f t="shared" si="0"/>
        <v>-3.2824744069332001E-2</v>
      </c>
      <c r="I51" s="2">
        <f>VLOOKUP(A:A,MASTER!A:E,5,0)</f>
        <v>927</v>
      </c>
      <c r="J51" s="2">
        <f>VLOOKUP(A:A,MASTER!A:J,10,0)</f>
        <v>939</v>
      </c>
      <c r="K51" s="12">
        <f t="shared" si="1"/>
        <v>1.2944983818770295E-2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4</v>
      </c>
      <c r="P51" s="1">
        <f>VLOOKUP(A:A,MASTER!A:H,8,0)</f>
        <v>5</v>
      </c>
      <c r="Q51" s="12">
        <f t="shared" si="3"/>
        <v>0.25</v>
      </c>
      <c r="R51" s="1">
        <f>VLOOKUP(A:A,MASTER!A:B,2,0)</f>
        <v>1126</v>
      </c>
      <c r="S51">
        <f>VLOOKUP(A:A,MASTER!A:G,7,0)</f>
        <v>1100</v>
      </c>
      <c r="T51" s="12">
        <f t="shared" si="4"/>
        <v>-2.3090586145648295E-2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42886891.103262864</v>
      </c>
      <c r="G52" s="1">
        <f>VLOOKUP(A:A,MASTER!A:K,11,0)</f>
        <v>40939585.895147137</v>
      </c>
      <c r="H52" s="12">
        <f t="shared" si="0"/>
        <v>-4.540560432387164E-2</v>
      </c>
      <c r="I52" s="2">
        <f>VLOOKUP(A:A,MASTER!A:E,5,0)</f>
        <v>841</v>
      </c>
      <c r="J52" s="2">
        <f>VLOOKUP(A:A,MASTER!A:J,10,0)</f>
        <v>862</v>
      </c>
      <c r="K52" s="12">
        <f t="shared" si="1"/>
        <v>2.4970273483947647E-2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10</v>
      </c>
      <c r="P52" s="1">
        <f>VLOOKUP(A:A,MASTER!A:H,8,0)</f>
        <v>7</v>
      </c>
      <c r="Q52" s="12">
        <f t="shared" si="3"/>
        <v>-0.30000000000000004</v>
      </c>
      <c r="R52" s="1">
        <f>VLOOKUP(A:A,MASTER!A:B,2,0)</f>
        <v>980</v>
      </c>
      <c r="S52">
        <f>VLOOKUP(A:A,MASTER!A:G,7,0)</f>
        <v>1014</v>
      </c>
      <c r="T52" s="12">
        <f t="shared" si="4"/>
        <v>3.469387755102038E-2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60223755.032434106</v>
      </c>
      <c r="G53" s="1">
        <f>VLOOKUP(A:A,MASTER!A:K,11,0)</f>
        <v>73666459.599487707</v>
      </c>
      <c r="H53" s="12">
        <f t="shared" si="0"/>
        <v>0.22321266018390751</v>
      </c>
      <c r="I53" s="2">
        <f>VLOOKUP(A:A,MASTER!A:E,5,0)</f>
        <v>1709</v>
      </c>
      <c r="J53" s="2">
        <f>VLOOKUP(A:A,MASTER!A:J,10,0)</f>
        <v>1735</v>
      </c>
      <c r="K53" s="12">
        <f t="shared" si="1"/>
        <v>1.5213575190169637E-2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36</v>
      </c>
      <c r="P53" s="1">
        <f>VLOOKUP(A:A,MASTER!A:H,8,0)</f>
        <v>10</v>
      </c>
      <c r="Q53" s="12">
        <f t="shared" si="3"/>
        <v>-0.72222222222222221</v>
      </c>
      <c r="R53" s="1">
        <f>VLOOKUP(A:A,MASTER!A:B,2,0)</f>
        <v>2163</v>
      </c>
      <c r="S53">
        <f>VLOOKUP(A:A,MASTER!A:G,7,0)</f>
        <v>2043</v>
      </c>
      <c r="T53" s="12">
        <f t="shared" si="4"/>
        <v>-5.5478502080443803E-2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19628260.883901495</v>
      </c>
      <c r="G54" s="1">
        <f>VLOOKUP(A:A,MASTER!A:K,11,0)</f>
        <v>18415275.797894016</v>
      </c>
      <c r="H54" s="12">
        <f t="shared" si="0"/>
        <v>-6.1797888930767875E-2</v>
      </c>
      <c r="I54" s="2">
        <f>VLOOKUP(A:A,MASTER!A:E,5,0)</f>
        <v>555</v>
      </c>
      <c r="J54" s="2">
        <f>VLOOKUP(A:A,MASTER!A:J,10,0)</f>
        <v>550</v>
      </c>
      <c r="K54" s="12">
        <f t="shared" si="1"/>
        <v>-9.009009009009028E-3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4</v>
      </c>
      <c r="Q54" s="12">
        <f t="shared" si="3"/>
        <v>0.33333333333333326</v>
      </c>
      <c r="R54" s="1">
        <f>VLOOKUP(A:A,MASTER!A:B,2,0)</f>
        <v>690</v>
      </c>
      <c r="S54">
        <f>VLOOKUP(A:A,MASTER!A:G,7,0)</f>
        <v>689</v>
      </c>
      <c r="T54" s="12">
        <f t="shared" si="4"/>
        <v>-1.4492753623188692E-3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30615413.367241357</v>
      </c>
      <c r="G55" s="1">
        <f>VLOOKUP(A:A,MASTER!A:K,11,0)</f>
        <v>32094490.60502778</v>
      </c>
      <c r="H55" s="12">
        <f t="shared" si="0"/>
        <v>4.8311522697552123E-2</v>
      </c>
      <c r="I55" s="2">
        <f>VLOOKUP(A:A,MASTER!A:E,5,0)</f>
        <v>830</v>
      </c>
      <c r="J55" s="2">
        <f>VLOOKUP(A:A,MASTER!A:J,10,0)</f>
        <v>740</v>
      </c>
      <c r="K55" s="12">
        <f t="shared" si="1"/>
        <v>-0.10843373493975905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6</v>
      </c>
      <c r="P55" s="1">
        <f>VLOOKUP(A:A,MASTER!A:H,8,0)</f>
        <v>7</v>
      </c>
      <c r="Q55" s="12">
        <f t="shared" si="3"/>
        <v>0.16666666666666674</v>
      </c>
      <c r="R55" s="1">
        <f>VLOOKUP(A:A,MASTER!A:B,2,0)</f>
        <v>883</v>
      </c>
      <c r="S55">
        <f>VLOOKUP(A:A,MASTER!A:G,7,0)</f>
        <v>864</v>
      </c>
      <c r="T55" s="12">
        <f t="shared" si="4"/>
        <v>-2.1517553793884536E-2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23662873.351727627</v>
      </c>
      <c r="G56" s="1">
        <f>VLOOKUP(A:A,MASTER!A:K,11,0)</f>
        <v>20317389.490997106</v>
      </c>
      <c r="H56" s="12">
        <f t="shared" si="0"/>
        <v>-0.14138113368578997</v>
      </c>
      <c r="I56" s="2">
        <f>VLOOKUP(A:A,MASTER!A:E,5,0)</f>
        <v>627</v>
      </c>
      <c r="J56" s="2">
        <f>VLOOKUP(A:A,MASTER!A:J,10,0)</f>
        <v>635</v>
      </c>
      <c r="K56" s="12">
        <f t="shared" si="1"/>
        <v>1.2759170653907415E-2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3</v>
      </c>
      <c r="P56" s="1">
        <f>VLOOKUP(A:A,MASTER!A:H,8,0)</f>
        <v>4</v>
      </c>
      <c r="Q56" s="12">
        <f t="shared" si="3"/>
        <v>0.33333333333333326</v>
      </c>
      <c r="R56" s="1">
        <f>VLOOKUP(A:A,MASTER!A:B,2,0)</f>
        <v>785</v>
      </c>
      <c r="S56">
        <f>VLOOKUP(A:A,MASTER!A:G,7,0)</f>
        <v>734</v>
      </c>
      <c r="T56" s="12">
        <f t="shared" si="4"/>
        <v>-6.4968152866242024E-2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40636216.140523255</v>
      </c>
      <c r="G57" s="1">
        <f>VLOOKUP(A:A,MASTER!A:K,11,0)</f>
        <v>40981093.886455111</v>
      </c>
      <c r="H57" s="12">
        <f t="shared" si="0"/>
        <v>8.486955201223445E-3</v>
      </c>
      <c r="I57" s="2">
        <f>VLOOKUP(A:A,MASTER!A:E,5,0)</f>
        <v>1070</v>
      </c>
      <c r="J57" s="2">
        <f>VLOOKUP(A:A,MASTER!A:J,10,0)</f>
        <v>977</v>
      </c>
      <c r="K57" s="12">
        <f t="shared" si="1"/>
        <v>-8.6915887850467333E-2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8</v>
      </c>
      <c r="P57" s="1">
        <f>VLOOKUP(A:A,MASTER!A:H,8,0)</f>
        <v>7</v>
      </c>
      <c r="Q57" s="12">
        <f t="shared" si="3"/>
        <v>-0.125</v>
      </c>
      <c r="R57" s="1">
        <f>VLOOKUP(A:A,MASTER!A:B,2,0)</f>
        <v>1095</v>
      </c>
      <c r="S57">
        <f>VLOOKUP(A:A,MASTER!A:G,7,0)</f>
        <v>1107</v>
      </c>
      <c r="T57" s="12">
        <f t="shared" si="4"/>
        <v>1.0958904109588996E-2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51975399.294892192</v>
      </c>
      <c r="G58" s="1">
        <f>VLOOKUP(A:A,MASTER!A:K,11,0)</f>
        <v>50074452.206668533</v>
      </c>
      <c r="H58" s="12">
        <f t="shared" si="0"/>
        <v>-3.6573977574241967E-2</v>
      </c>
      <c r="I58" s="2">
        <f>VLOOKUP(A:A,MASTER!A:E,5,0)</f>
        <v>1343</v>
      </c>
      <c r="J58" s="2">
        <f>VLOOKUP(A:A,MASTER!A:J,10,0)</f>
        <v>1408</v>
      </c>
      <c r="K58" s="12">
        <f t="shared" si="1"/>
        <v>4.8399106478034248E-2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11</v>
      </c>
      <c r="P58" s="1">
        <f>VLOOKUP(A:A,MASTER!A:H,8,0)</f>
        <v>10</v>
      </c>
      <c r="Q58" s="12">
        <f t="shared" si="3"/>
        <v>-9.0909090909090939E-2</v>
      </c>
      <c r="R58" s="1">
        <f>VLOOKUP(A:A,MASTER!A:B,2,0)</f>
        <v>1370</v>
      </c>
      <c r="S58">
        <f>VLOOKUP(A:A,MASTER!A:G,7,0)</f>
        <v>1503</v>
      </c>
      <c r="T58" s="12">
        <f t="shared" si="4"/>
        <v>9.7080291970802923E-2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26207240.497092113</v>
      </c>
      <c r="G59" s="1">
        <f>VLOOKUP(A:A,MASTER!A:K,11,0)</f>
        <v>27821994.716877595</v>
      </c>
      <c r="H59" s="12">
        <f t="shared" si="0"/>
        <v>6.1614812897399451E-2</v>
      </c>
      <c r="I59" s="2">
        <f>VLOOKUP(A:A,MASTER!A:E,5,0)</f>
        <v>751</v>
      </c>
      <c r="J59" s="2">
        <f>VLOOKUP(A:A,MASTER!A:J,10,0)</f>
        <v>682</v>
      </c>
      <c r="K59" s="12">
        <f t="shared" si="1"/>
        <v>-9.187749667110523E-2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5</v>
      </c>
      <c r="P59" s="1">
        <f>VLOOKUP(A:A,MASTER!A:H,8,0)</f>
        <v>2</v>
      </c>
      <c r="Q59" s="12">
        <f t="shared" si="3"/>
        <v>-0.6</v>
      </c>
      <c r="R59" s="1">
        <f>VLOOKUP(A:A,MASTER!A:B,2,0)</f>
        <v>770</v>
      </c>
      <c r="S59">
        <f>VLOOKUP(A:A,MASTER!A:G,7,0)</f>
        <v>771</v>
      </c>
      <c r="T59" s="12">
        <f t="shared" si="4"/>
        <v>1.2987012987013546E-3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30690396.011699993</v>
      </c>
      <c r="G60" s="1">
        <f>VLOOKUP(A:A,MASTER!A:K,11,0)</f>
        <v>31019483.13461696</v>
      </c>
      <c r="H60" s="12">
        <f t="shared" si="0"/>
        <v>1.0722804710356693E-2</v>
      </c>
      <c r="I60" s="2">
        <f>VLOOKUP(A:A,MASTER!A:E,5,0)</f>
        <v>483</v>
      </c>
      <c r="J60" s="2">
        <f>VLOOKUP(A:A,MASTER!A:J,10,0)</f>
        <v>453</v>
      </c>
      <c r="K60" s="12">
        <f t="shared" si="1"/>
        <v>-6.2111801242236031E-2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5</v>
      </c>
      <c r="P60" s="1">
        <f>VLOOKUP(A:A,MASTER!A:H,8,0)</f>
        <v>9</v>
      </c>
      <c r="Q60" s="12">
        <f t="shared" si="3"/>
        <v>0.8</v>
      </c>
      <c r="R60" s="1">
        <f>VLOOKUP(A:A,MASTER!A:B,2,0)</f>
        <v>688</v>
      </c>
      <c r="S60">
        <f>VLOOKUP(A:A,MASTER!A:G,7,0)</f>
        <v>628</v>
      </c>
      <c r="T60" s="12">
        <f t="shared" si="4"/>
        <v>-8.7209302325581439E-2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80494151.517660826</v>
      </c>
      <c r="G61" s="1">
        <f>VLOOKUP(A:A,MASTER!A:K,11,0)</f>
        <v>99819639.769979075</v>
      </c>
      <c r="H61" s="12">
        <f t="shared" si="0"/>
        <v>0.24008561973695852</v>
      </c>
      <c r="I61" s="2">
        <f>VLOOKUP(A:A,MASTER!A:E,5,0)</f>
        <v>1869</v>
      </c>
      <c r="J61" s="2">
        <f>VLOOKUP(A:A,MASTER!A:J,10,0)</f>
        <v>1607</v>
      </c>
      <c r="K61" s="12">
        <f t="shared" si="1"/>
        <v>-0.14018191546281433</v>
      </c>
      <c r="L61" s="2">
        <f>VLOOKUP(A:A,MASTER!A:D,4,0)</f>
        <v>9</v>
      </c>
      <c r="M61" s="2">
        <f>VLOOKUP(A:A,MASTER!A:I,9,0)</f>
        <v>11</v>
      </c>
      <c r="N61" s="12">
        <f t="shared" si="2"/>
        <v>0.22222222222222232</v>
      </c>
      <c r="O61" s="1">
        <f>VLOOKUP(A:A,MASTER!A:C,3,0)</f>
        <v>19</v>
      </c>
      <c r="P61" s="1">
        <f>VLOOKUP(A:A,MASTER!A:H,8,0)</f>
        <v>15</v>
      </c>
      <c r="Q61" s="12">
        <f t="shared" si="3"/>
        <v>-0.21052631578947367</v>
      </c>
      <c r="R61" s="1">
        <f>VLOOKUP(A:A,MASTER!A:B,2,0)</f>
        <v>2047</v>
      </c>
      <c r="S61">
        <f>VLOOKUP(A:A,MASTER!A:G,7,0)</f>
        <v>1999</v>
      </c>
      <c r="T61" s="12">
        <f t="shared" si="4"/>
        <v>-2.3448949682462139E-2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74403597.224619329</v>
      </c>
      <c r="G62" s="1">
        <f>VLOOKUP(A:A,MASTER!A:K,11,0)</f>
        <v>75202591.101204753</v>
      </c>
      <c r="H62" s="12">
        <f t="shared" si="0"/>
        <v>1.0738645796564361E-2</v>
      </c>
      <c r="I62" s="2">
        <f>VLOOKUP(A:A,MASTER!A:E,5,0)</f>
        <v>1177</v>
      </c>
      <c r="J62" s="2">
        <f>VLOOKUP(A:A,MASTER!A:J,10,0)</f>
        <v>1376</v>
      </c>
      <c r="K62" s="12">
        <f t="shared" si="1"/>
        <v>0.16907391673746819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19</v>
      </c>
      <c r="P62" s="1">
        <f>VLOOKUP(A:A,MASTER!A:H,8,0)</f>
        <v>16</v>
      </c>
      <c r="Q62" s="12">
        <f t="shared" si="3"/>
        <v>-0.15789473684210531</v>
      </c>
      <c r="R62" s="1">
        <f>VLOOKUP(A:A,MASTER!A:B,2,0)</f>
        <v>1597</v>
      </c>
      <c r="S62">
        <f>VLOOKUP(A:A,MASTER!A:G,7,0)</f>
        <v>1602</v>
      </c>
      <c r="T62" s="12">
        <f t="shared" si="4"/>
        <v>3.1308703819661332E-3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46188082.820514478</v>
      </c>
      <c r="G63" s="1">
        <f>VLOOKUP(A:A,MASTER!A:K,11,0)</f>
        <v>48323897.682485439</v>
      </c>
      <c r="H63" s="12">
        <f t="shared" si="0"/>
        <v>4.6241686849628927E-2</v>
      </c>
      <c r="I63" s="2">
        <f>VLOOKUP(A:A,MASTER!A:E,5,0)</f>
        <v>648</v>
      </c>
      <c r="J63" s="2">
        <f>VLOOKUP(A:A,MASTER!A:J,10,0)</f>
        <v>657</v>
      </c>
      <c r="K63" s="12">
        <f t="shared" si="1"/>
        <v>1.388888888888884E-2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7</v>
      </c>
      <c r="Q63" s="12">
        <f t="shared" si="3"/>
        <v>2.5</v>
      </c>
      <c r="R63" s="1">
        <f>VLOOKUP(A:A,MASTER!A:B,2,0)</f>
        <v>852</v>
      </c>
      <c r="S63">
        <f>VLOOKUP(A:A,MASTER!A:G,7,0)</f>
        <v>892</v>
      </c>
      <c r="T63" s="12">
        <f t="shared" si="4"/>
        <v>4.6948356807511749E-2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67882627.172021404</v>
      </c>
      <c r="G64" s="1">
        <f>VLOOKUP(A:A,MASTER!A:K,11,0)</f>
        <v>71504925.88939625</v>
      </c>
      <c r="H64" s="12">
        <f t="shared" si="0"/>
        <v>5.3361204011677099E-2</v>
      </c>
      <c r="I64" s="2">
        <f>VLOOKUP(A:A,MASTER!A:E,5,0)</f>
        <v>1445</v>
      </c>
      <c r="J64" s="2">
        <f>VLOOKUP(A:A,MASTER!A:J,10,0)</f>
        <v>1277</v>
      </c>
      <c r="K64" s="12">
        <f t="shared" si="1"/>
        <v>-0.11626297577854672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244</v>
      </c>
      <c r="P64" s="1">
        <f>VLOOKUP(A:A,MASTER!A:H,8,0)</f>
        <v>475</v>
      </c>
      <c r="Q64" s="12">
        <f t="shared" si="3"/>
        <v>0.94672131147540983</v>
      </c>
      <c r="R64" s="1">
        <f>VLOOKUP(A:A,MASTER!A:B,2,0)</f>
        <v>1999</v>
      </c>
      <c r="S64">
        <f>VLOOKUP(A:A,MASTER!A:G,7,0)</f>
        <v>2271</v>
      </c>
      <c r="T64" s="12">
        <f t="shared" si="4"/>
        <v>0.1360680340170084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5076964.1164683579</v>
      </c>
      <c r="G65" s="1">
        <f>VLOOKUP(A:A,MASTER!A:K,11,0)</f>
        <v>2920456.5121259899</v>
      </c>
      <c r="H65" s="12">
        <f t="shared" si="0"/>
        <v>-0.42476321574683096</v>
      </c>
      <c r="I65" s="2">
        <f>VLOOKUP(A:A,MASTER!A:E,5,0)</f>
        <v>236</v>
      </c>
      <c r="J65" s="2">
        <f>VLOOKUP(A:A,MASTER!A:J,10,0)</f>
        <v>236</v>
      </c>
      <c r="K65" s="12">
        <f t="shared" si="1"/>
        <v>0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0</v>
      </c>
      <c r="Q65" s="12">
        <f t="shared" si="3"/>
        <v>-1</v>
      </c>
      <c r="R65" s="1">
        <f>VLOOKUP(A:A,MASTER!A:B,2,0)</f>
        <v>265</v>
      </c>
      <c r="S65">
        <f>VLOOKUP(A:A,MASTER!A:G,7,0)</f>
        <v>252</v>
      </c>
      <c r="T65" s="12">
        <f t="shared" si="4"/>
        <v>-4.9056603773584895E-2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53626628.117396288</v>
      </c>
      <c r="G66" s="1">
        <f>VLOOKUP(A:A,MASTER!A:K,11,0)</f>
        <v>51942957.043750465</v>
      </c>
      <c r="H66" s="12">
        <f t="shared" si="0"/>
        <v>-3.1396176354031247E-2</v>
      </c>
      <c r="I66" s="2">
        <f>VLOOKUP(A:A,MASTER!A:E,5,0)</f>
        <v>1560</v>
      </c>
      <c r="J66" s="2">
        <f>VLOOKUP(A:A,MASTER!A:J,10,0)</f>
        <v>1921</v>
      </c>
      <c r="K66" s="12">
        <f t="shared" si="1"/>
        <v>0.23141025641025648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6</v>
      </c>
      <c r="P66" s="1">
        <f>VLOOKUP(A:A,MASTER!A:H,8,0)</f>
        <v>9</v>
      </c>
      <c r="Q66" s="12">
        <f t="shared" si="3"/>
        <v>0.5</v>
      </c>
      <c r="R66" s="1">
        <f>VLOOKUP(A:A,MASTER!A:B,2,0)</f>
        <v>1805</v>
      </c>
      <c r="S66">
        <f>VLOOKUP(A:A,MASTER!A:G,7,0)</f>
        <v>1667</v>
      </c>
      <c r="T66" s="12">
        <f t="shared" si="4"/>
        <v>-7.6454293628808845E-2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21968090.95705428</v>
      </c>
      <c r="G67" s="1">
        <f>VLOOKUP(A:A,MASTER!A:K,11,0)</f>
        <v>24581273.682099607</v>
      </c>
      <c r="H67" s="12">
        <f t="shared" ref="H67:H85" si="5">IFERROR(G67/F67-1,0)</f>
        <v>0.11895356452018846</v>
      </c>
      <c r="I67" s="2">
        <f>VLOOKUP(A:A,MASTER!A:E,5,0)</f>
        <v>610</v>
      </c>
      <c r="J67" s="2">
        <f>VLOOKUP(A:A,MASTER!A:J,10,0)</f>
        <v>763</v>
      </c>
      <c r="K67" s="12">
        <f t="shared" ref="K67:K85" si="6">IFERROR(J67/I67-1,0)</f>
        <v>0.25081967213114753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2</v>
      </c>
      <c r="P67" s="1">
        <f>VLOOKUP(A:A,MASTER!A:H,8,0)</f>
        <v>3</v>
      </c>
      <c r="Q67" s="12">
        <f t="shared" ref="Q67:Q85" si="8">IFERROR(P67/O67-1,0)</f>
        <v>0.5</v>
      </c>
      <c r="R67" s="1">
        <f>VLOOKUP(A:A,MASTER!A:B,2,0)</f>
        <v>667</v>
      </c>
      <c r="S67">
        <f>VLOOKUP(A:A,MASTER!A:G,7,0)</f>
        <v>736</v>
      </c>
      <c r="T67" s="12">
        <f t="shared" ref="T67:T85" si="9">IFERROR(S67/R67-1,0)</f>
        <v>0.10344827586206895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36202729.775051877</v>
      </c>
      <c r="G68" s="1">
        <f>VLOOKUP(A:A,MASTER!A:K,11,0)</f>
        <v>37415644.270037763</v>
      </c>
      <c r="H68" s="12">
        <f t="shared" si="5"/>
        <v>3.3503398846507215E-2</v>
      </c>
      <c r="I68" s="2">
        <f>VLOOKUP(A:A,MASTER!A:E,5,0)</f>
        <v>1260</v>
      </c>
      <c r="J68" s="2">
        <f>VLOOKUP(A:A,MASTER!A:J,10,0)</f>
        <v>1532</v>
      </c>
      <c r="K68" s="12">
        <f t="shared" si="6"/>
        <v>0.21587301587301577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45</v>
      </c>
      <c r="P68" s="1">
        <f>VLOOKUP(A:A,MASTER!A:H,8,0)</f>
        <v>23</v>
      </c>
      <c r="Q68" s="12">
        <f t="shared" si="8"/>
        <v>-0.48888888888888893</v>
      </c>
      <c r="R68" s="1">
        <f>VLOOKUP(A:A,MASTER!A:B,2,0)</f>
        <v>1326</v>
      </c>
      <c r="S68">
        <f>VLOOKUP(A:A,MASTER!A:G,7,0)</f>
        <v>1382</v>
      </c>
      <c r="T68" s="12">
        <f t="shared" si="9"/>
        <v>4.2232277526395245E-2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17783711.442227617</v>
      </c>
      <c r="G69" s="1">
        <f>VLOOKUP(A:A,MASTER!A:K,11,0)</f>
        <v>23929894.673063796</v>
      </c>
      <c r="H69" s="12">
        <f t="shared" si="5"/>
        <v>0.34560745380978242</v>
      </c>
      <c r="I69" s="2">
        <f>VLOOKUP(A:A,MASTER!A:E,5,0)</f>
        <v>1260</v>
      </c>
      <c r="J69" s="2">
        <f>VLOOKUP(A:A,MASTER!A:J,10,0)</f>
        <v>1215</v>
      </c>
      <c r="K69" s="12">
        <f t="shared" si="6"/>
        <v>-3.5714285714285698E-2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7</v>
      </c>
      <c r="P69" s="1">
        <f>VLOOKUP(A:A,MASTER!A:H,8,0)</f>
        <v>7</v>
      </c>
      <c r="Q69" s="12">
        <f t="shared" si="8"/>
        <v>0</v>
      </c>
      <c r="R69" s="1">
        <f>VLOOKUP(A:A,MASTER!A:B,2,0)</f>
        <v>1358</v>
      </c>
      <c r="S69">
        <f>VLOOKUP(A:A,MASTER!A:G,7,0)</f>
        <v>1256</v>
      </c>
      <c r="T69" s="12">
        <f t="shared" si="9"/>
        <v>-7.5110456553755478E-2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63481150.813349932</v>
      </c>
      <c r="G70" s="1">
        <f>VLOOKUP(A:A,MASTER!A:K,11,0)</f>
        <v>65060314.538961947</v>
      </c>
      <c r="H70" s="12">
        <f t="shared" si="5"/>
        <v>2.4876104251089215E-2</v>
      </c>
      <c r="I70" s="2">
        <f>VLOOKUP(A:A,MASTER!A:E,5,0)</f>
        <v>1180</v>
      </c>
      <c r="J70" s="2">
        <f>VLOOKUP(A:A,MASTER!A:J,10,0)</f>
        <v>1259</v>
      </c>
      <c r="K70" s="12">
        <f t="shared" si="6"/>
        <v>6.6949152542372881E-2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8</v>
      </c>
      <c r="P70" s="1">
        <f>VLOOKUP(A:A,MASTER!A:H,8,0)</f>
        <v>13</v>
      </c>
      <c r="Q70" s="12">
        <f t="shared" si="8"/>
        <v>0.625</v>
      </c>
      <c r="R70" s="1">
        <f>VLOOKUP(A:A,MASTER!A:B,2,0)</f>
        <v>1746</v>
      </c>
      <c r="S70">
        <f>VLOOKUP(A:A,MASTER!A:G,7,0)</f>
        <v>1732</v>
      </c>
      <c r="T70" s="12">
        <f t="shared" si="9"/>
        <v>-8.0183276059564434E-3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13786630.717428997</v>
      </c>
      <c r="G71" s="1">
        <f>VLOOKUP(A:A,MASTER!A:K,11,0)</f>
        <v>13044733.106628915</v>
      </c>
      <c r="H71" s="12">
        <f t="shared" si="5"/>
        <v>-5.3812829690301212E-2</v>
      </c>
      <c r="I71" s="2">
        <f>VLOOKUP(A:A,MASTER!A:E,5,0)</f>
        <v>424</v>
      </c>
      <c r="J71" s="2">
        <f>VLOOKUP(A:A,MASTER!A:J,10,0)</f>
        <v>444</v>
      </c>
      <c r="K71" s="12">
        <f t="shared" si="6"/>
        <v>4.7169811320754818E-2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3</v>
      </c>
      <c r="P71" s="1">
        <f>VLOOKUP(A:A,MASTER!A:H,8,0)</f>
        <v>2</v>
      </c>
      <c r="Q71" s="12">
        <f t="shared" si="8"/>
        <v>-0.33333333333333337</v>
      </c>
      <c r="R71" s="1">
        <f>VLOOKUP(A:A,MASTER!A:B,2,0)</f>
        <v>492</v>
      </c>
      <c r="S71">
        <f>VLOOKUP(A:A,MASTER!A:G,7,0)</f>
        <v>516</v>
      </c>
      <c r="T71" s="12">
        <f t="shared" si="9"/>
        <v>4.8780487804878092E-2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21117188.467634171</v>
      </c>
      <c r="G72" s="1">
        <f>VLOOKUP(A:A,MASTER!A:K,11,0)</f>
        <v>21197941.625014752</v>
      </c>
      <c r="H72" s="12">
        <f t="shared" si="5"/>
        <v>3.8240487129406198E-3</v>
      </c>
      <c r="I72" s="2">
        <f>VLOOKUP(A:A,MASTER!A:E,5,0)</f>
        <v>790</v>
      </c>
      <c r="J72" s="2">
        <f>VLOOKUP(A:A,MASTER!A:J,10,0)</f>
        <v>808</v>
      </c>
      <c r="K72" s="12">
        <f t="shared" si="6"/>
        <v>2.2784810126582178E-2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4</v>
      </c>
      <c r="P72" s="1">
        <f>VLOOKUP(A:A,MASTER!A:H,8,0)</f>
        <v>2</v>
      </c>
      <c r="Q72" s="12">
        <f t="shared" si="8"/>
        <v>-0.5</v>
      </c>
      <c r="R72" s="1">
        <f>VLOOKUP(A:A,MASTER!A:B,2,0)</f>
        <v>888</v>
      </c>
      <c r="S72">
        <f>VLOOKUP(A:A,MASTER!A:G,7,0)</f>
        <v>880</v>
      </c>
      <c r="T72" s="12">
        <f t="shared" si="9"/>
        <v>-9.009009009009028E-3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14736341.28762248</v>
      </c>
      <c r="G73" s="1">
        <f>VLOOKUP(A:A,MASTER!A:K,11,0)</f>
        <v>20935184.704319578</v>
      </c>
      <c r="H73" s="12">
        <f t="shared" si="5"/>
        <v>0.4206500986716224</v>
      </c>
      <c r="I73" s="2">
        <f>VLOOKUP(A:A,MASTER!A:E,5,0)</f>
        <v>416</v>
      </c>
      <c r="J73" s="2">
        <f>VLOOKUP(A:A,MASTER!A:J,10,0)</f>
        <v>493</v>
      </c>
      <c r="K73" s="12">
        <f t="shared" si="6"/>
        <v>0.18509615384615374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666</v>
      </c>
      <c r="S73">
        <f>VLOOKUP(A:A,MASTER!A:G,7,0)</f>
        <v>649</v>
      </c>
      <c r="T73" s="12">
        <f t="shared" si="9"/>
        <v>-2.5525525525525561E-2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13803241.814353952</v>
      </c>
      <c r="G74" s="1">
        <f>VLOOKUP(A:A,MASTER!A:K,11,0)</f>
        <v>15506233.992221871</v>
      </c>
      <c r="H74" s="12">
        <f t="shared" si="5"/>
        <v>0.12337624746217091</v>
      </c>
      <c r="I74" s="2">
        <f>VLOOKUP(A:A,MASTER!A:E,5,0)</f>
        <v>12</v>
      </c>
      <c r="J74" s="2">
        <f>VLOOKUP(A:A,MASTER!A:J,10,0)</f>
        <v>551</v>
      </c>
      <c r="K74" s="12">
        <f t="shared" si="6"/>
        <v>44.916666666666664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604</v>
      </c>
      <c r="S74">
        <f>VLOOKUP(A:A,MASTER!A:G,7,0)</f>
        <v>616</v>
      </c>
      <c r="T74" s="12">
        <f t="shared" si="9"/>
        <v>1.9867549668874274E-2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16238993.027723324</v>
      </c>
      <c r="G75" s="1">
        <f>VLOOKUP(A:A,MASTER!A:K,11,0)</f>
        <v>17523590.520165198</v>
      </c>
      <c r="H75" s="12">
        <f t="shared" si="5"/>
        <v>7.9105735820490741E-2</v>
      </c>
      <c r="I75" s="2">
        <f>VLOOKUP(A:A,MASTER!A:E,5,0)</f>
        <v>419</v>
      </c>
      <c r="J75" s="2">
        <f>VLOOKUP(A:A,MASTER!A:J,10,0)</f>
        <v>475</v>
      </c>
      <c r="K75" s="12">
        <f t="shared" si="6"/>
        <v>0.13365155131264927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434</v>
      </c>
      <c r="S75">
        <f>VLOOKUP(A:A,MASTER!A:G,7,0)</f>
        <v>445</v>
      </c>
      <c r="T75" s="12">
        <f t="shared" si="9"/>
        <v>2.5345622119815614E-2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46538332.60440968</v>
      </c>
      <c r="G76" s="1">
        <f>VLOOKUP(A:A,MASTER!A:K,11,0)</f>
        <v>46909192.026860319</v>
      </c>
      <c r="H76" s="12">
        <f t="shared" si="5"/>
        <v>7.9689022295461598E-3</v>
      </c>
      <c r="I76" s="2">
        <f>VLOOKUP(A:A,MASTER!A:E,5,0)</f>
        <v>550</v>
      </c>
      <c r="J76" s="2">
        <f>VLOOKUP(A:A,MASTER!A:J,10,0)</f>
        <v>757</v>
      </c>
      <c r="K76" s="12">
        <f t="shared" si="6"/>
        <v>0.37636363636363646</v>
      </c>
      <c r="L76" s="2">
        <f>VLOOKUP(A:A,MASTER!A:D,4,0)</f>
        <v>4</v>
      </c>
      <c r="M76" s="2">
        <f>VLOOKUP(A:A,MASTER!A:I,9,0)</f>
        <v>3</v>
      </c>
      <c r="N76" s="12">
        <f t="shared" si="7"/>
        <v>-0.25</v>
      </c>
      <c r="O76" s="1">
        <f>VLOOKUP(A:A,MASTER!A:C,3,0)</f>
        <v>9</v>
      </c>
      <c r="P76" s="1">
        <f>VLOOKUP(A:A,MASTER!A:H,8,0)</f>
        <v>7</v>
      </c>
      <c r="Q76" s="12">
        <f t="shared" si="8"/>
        <v>-0.22222222222222221</v>
      </c>
      <c r="R76" s="1">
        <f>VLOOKUP(A:A,MASTER!A:B,2,0)</f>
        <v>959</v>
      </c>
      <c r="S76">
        <f>VLOOKUP(A:A,MASTER!A:G,7,0)</f>
        <v>908</v>
      </c>
      <c r="T76" s="12">
        <f t="shared" si="9"/>
        <v>-5.3180396246089723E-2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27857525.216046929</v>
      </c>
      <c r="G77" s="1">
        <f>VLOOKUP(A:A,MASTER!A:K,11,0)</f>
        <v>27265674.916935232</v>
      </c>
      <c r="H77" s="12">
        <f t="shared" si="5"/>
        <v>-2.1245616562190928E-2</v>
      </c>
      <c r="I77" s="2">
        <f>VLOOKUP(A:A,MASTER!A:E,5,0)</f>
        <v>754</v>
      </c>
      <c r="J77" s="2">
        <f>VLOOKUP(A:A,MASTER!A:J,10,0)</f>
        <v>734</v>
      </c>
      <c r="K77" s="12">
        <f t="shared" si="6"/>
        <v>-2.6525198938992078E-2</v>
      </c>
      <c r="L77" s="2">
        <f>VLOOKUP(A:A,MASTER!A:D,4,0)</f>
        <v>9</v>
      </c>
      <c r="M77" s="2">
        <f>VLOOKUP(A:A,MASTER!A:I,9,0)</f>
        <v>10</v>
      </c>
      <c r="N77" s="12">
        <f t="shared" si="7"/>
        <v>0.11111111111111116</v>
      </c>
      <c r="O77" s="1">
        <f>VLOOKUP(A:A,MASTER!A:C,3,0)</f>
        <v>3</v>
      </c>
      <c r="P77" s="1">
        <f>VLOOKUP(A:A,MASTER!A:H,8,0)</f>
        <v>3</v>
      </c>
      <c r="Q77" s="12">
        <f t="shared" si="8"/>
        <v>0</v>
      </c>
      <c r="R77" s="1">
        <f>VLOOKUP(A:A,MASTER!A:B,2,0)</f>
        <v>783</v>
      </c>
      <c r="S77">
        <f>VLOOKUP(A:A,MASTER!A:G,7,0)</f>
        <v>770</v>
      </c>
      <c r="T77" s="12">
        <f t="shared" si="9"/>
        <v>-1.6602809706257937E-2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22505847.82083239</v>
      </c>
      <c r="G78" s="1">
        <f>VLOOKUP(A:A,MASTER!A:K,11,0)</f>
        <v>22856536.852877505</v>
      </c>
      <c r="H78" s="12">
        <f t="shared" si="5"/>
        <v>1.5582129357530894E-2</v>
      </c>
      <c r="I78" s="2">
        <f>VLOOKUP(A:A,MASTER!A:E,5,0)</f>
        <v>893</v>
      </c>
      <c r="J78" s="2">
        <f>VLOOKUP(A:A,MASTER!A:J,10,0)</f>
        <v>1081</v>
      </c>
      <c r="K78" s="12">
        <f t="shared" si="6"/>
        <v>0.21052631578947367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0</v>
      </c>
      <c r="P78" s="1">
        <f>VLOOKUP(A:A,MASTER!A:H,8,0)</f>
        <v>3</v>
      </c>
      <c r="Q78" s="12">
        <f t="shared" si="8"/>
        <v>0</v>
      </c>
      <c r="R78" s="1">
        <f>VLOOKUP(A:A,MASTER!A:B,2,0)</f>
        <v>943</v>
      </c>
      <c r="S78">
        <f>VLOOKUP(A:A,MASTER!A:G,7,0)</f>
        <v>959</v>
      </c>
      <c r="T78" s="12">
        <f t="shared" si="9"/>
        <v>1.6967126193001114E-2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25689391.598872714</v>
      </c>
      <c r="G79" s="1">
        <f>VLOOKUP(A:A,MASTER!A:K,11,0)</f>
        <v>23804512.005560592</v>
      </c>
      <c r="H79" s="12">
        <f t="shared" si="5"/>
        <v>-7.3371904743545269E-2</v>
      </c>
      <c r="I79" s="2">
        <f>VLOOKUP(A:A,MASTER!A:E,5,0)</f>
        <v>792</v>
      </c>
      <c r="J79" s="2">
        <f>VLOOKUP(A:A,MASTER!A:J,10,0)</f>
        <v>855</v>
      </c>
      <c r="K79" s="12">
        <f t="shared" si="6"/>
        <v>7.9545454545454586E-2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6</v>
      </c>
      <c r="P79" s="1">
        <f>VLOOKUP(A:A,MASTER!A:H,8,0)</f>
        <v>3</v>
      </c>
      <c r="Q79" s="12">
        <f t="shared" si="8"/>
        <v>-0.5</v>
      </c>
      <c r="R79" s="1">
        <f>VLOOKUP(A:A,MASTER!A:B,2,0)</f>
        <v>1015</v>
      </c>
      <c r="S79">
        <f>VLOOKUP(A:A,MASTER!A:G,7,0)</f>
        <v>993</v>
      </c>
      <c r="T79" s="12">
        <f t="shared" si="9"/>
        <v>-2.1674876847290636E-2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27707878.138874147</v>
      </c>
      <c r="G80" s="1">
        <f>VLOOKUP(A:A,MASTER!A:K,11,0)</f>
        <v>30321505.756113347</v>
      </c>
      <c r="H80" s="12">
        <f t="shared" si="5"/>
        <v>9.4327959872621214E-2</v>
      </c>
      <c r="I80" s="2">
        <f>VLOOKUP(A:A,MASTER!A:E,5,0)</f>
        <v>727</v>
      </c>
      <c r="J80" s="2">
        <f>VLOOKUP(A:A,MASTER!A:J,10,0)</f>
        <v>742</v>
      </c>
      <c r="K80" s="12">
        <f t="shared" si="6"/>
        <v>2.0632737276478741E-2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5</v>
      </c>
      <c r="P80" s="1">
        <f>VLOOKUP(A:A,MASTER!A:H,8,0)</f>
        <v>2</v>
      </c>
      <c r="Q80" s="12">
        <f t="shared" si="8"/>
        <v>-0.6</v>
      </c>
      <c r="R80" s="1">
        <f>VLOOKUP(A:A,MASTER!A:B,2,0)</f>
        <v>754</v>
      </c>
      <c r="S80">
        <f>VLOOKUP(A:A,MASTER!A:G,7,0)</f>
        <v>754</v>
      </c>
      <c r="T80" s="12">
        <f t="shared" si="9"/>
        <v>0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12297623.509624189</v>
      </c>
      <c r="G81" s="1">
        <f>VLOOKUP(A:A,MASTER!A:K,11,0)</f>
        <v>13851013.837541368</v>
      </c>
      <c r="H81" s="12">
        <f t="shared" si="5"/>
        <v>0.12631630222713253</v>
      </c>
      <c r="I81" s="2">
        <f>VLOOKUP(A:A,MASTER!A:E,5,0)</f>
        <v>632</v>
      </c>
      <c r="J81" s="2">
        <f>VLOOKUP(A:A,MASTER!A:J,10,0)</f>
        <v>544</v>
      </c>
      <c r="K81" s="12">
        <f t="shared" si="6"/>
        <v>-0.13924050632911389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2</v>
      </c>
      <c r="Q81" s="12">
        <f t="shared" si="8"/>
        <v>0</v>
      </c>
      <c r="R81" s="1">
        <f>VLOOKUP(A:A,MASTER!A:B,2,0)</f>
        <v>571</v>
      </c>
      <c r="S81">
        <f>VLOOKUP(A:A,MASTER!A:G,7,0)</f>
        <v>571</v>
      </c>
      <c r="T81" s="12">
        <f t="shared" si="9"/>
        <v>0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52982781.551008649</v>
      </c>
      <c r="G82" s="1">
        <f>VLOOKUP(A:A,MASTER!A:K,11,0)</f>
        <v>56341564.403701298</v>
      </c>
      <c r="H82" s="12">
        <f t="shared" si="5"/>
        <v>6.3393856539204485E-2</v>
      </c>
      <c r="I82" s="2">
        <f>VLOOKUP(A:A,MASTER!A:E,5,0)</f>
        <v>1317</v>
      </c>
      <c r="J82" s="2">
        <f>VLOOKUP(A:A,MASTER!A:J,10,0)</f>
        <v>824</v>
      </c>
      <c r="K82" s="12">
        <f t="shared" si="6"/>
        <v>-0.37433561123766135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9</v>
      </c>
      <c r="P82" s="1">
        <f>VLOOKUP(A:A,MASTER!A:H,8,0)</f>
        <v>6</v>
      </c>
      <c r="Q82" s="12">
        <f t="shared" si="8"/>
        <v>-0.33333333333333337</v>
      </c>
      <c r="R82" s="1">
        <f>VLOOKUP(A:A,MASTER!A:B,2,0)</f>
        <v>1700</v>
      </c>
      <c r="S82">
        <f>VLOOKUP(A:A,MASTER!A:G,7,0)</f>
        <v>1763</v>
      </c>
      <c r="T82" s="12">
        <f t="shared" si="9"/>
        <v>3.7058823529411811E-2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14099053.264334928</v>
      </c>
      <c r="G83" s="1">
        <f>VLOOKUP(A:A,MASTER!A:K,11,0)</f>
        <v>13251615.22394882</v>
      </c>
      <c r="H83" s="12">
        <f t="shared" si="5"/>
        <v>-6.010602446121649E-2</v>
      </c>
      <c r="I83" s="2">
        <f>VLOOKUP(A:A,MASTER!A:E,5,0)</f>
        <v>628</v>
      </c>
      <c r="J83" s="2">
        <f>VLOOKUP(A:A,MASTER!A:J,10,0)</f>
        <v>625</v>
      </c>
      <c r="K83" s="12">
        <f t="shared" si="6"/>
        <v>-4.777070063694322E-3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5</v>
      </c>
      <c r="P83" s="1">
        <f>VLOOKUP(A:A,MASTER!A:H,8,0)</f>
        <v>0</v>
      </c>
      <c r="Q83" s="12">
        <f t="shared" si="8"/>
        <v>-1</v>
      </c>
      <c r="R83" s="1">
        <f>VLOOKUP(A:A,MASTER!A:B,2,0)</f>
        <v>599</v>
      </c>
      <c r="S83">
        <f>VLOOKUP(A:A,MASTER!A:G,7,0)</f>
        <v>570</v>
      </c>
      <c r="T83" s="12">
        <f t="shared" si="9"/>
        <v>-4.8414023372287174E-2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24761684.048804503</v>
      </c>
      <c r="G84" s="1">
        <f>VLOOKUP(A:A,MASTER!A:K,11,0)</f>
        <v>25936117.318591543</v>
      </c>
      <c r="H84" s="12">
        <f t="shared" si="5"/>
        <v>4.7429458653630574E-2</v>
      </c>
      <c r="I84" s="2">
        <f>VLOOKUP(A:A,MASTER!A:E,5,0)</f>
        <v>574</v>
      </c>
      <c r="J84" s="2">
        <f>VLOOKUP(A:A,MASTER!A:J,10,0)</f>
        <v>526</v>
      </c>
      <c r="K84" s="12">
        <f t="shared" si="6"/>
        <v>-8.362369337979092E-2</v>
      </c>
      <c r="L84" s="2">
        <f>VLOOKUP(A:A,MASTER!A:D,4,0)</f>
        <v>6</v>
      </c>
      <c r="M84" s="2">
        <f>VLOOKUP(A:A,MASTER!A:I,9,0)</f>
        <v>7</v>
      </c>
      <c r="N84" s="12">
        <f t="shared" si="7"/>
        <v>0.16666666666666674</v>
      </c>
      <c r="O84" s="1">
        <f>VLOOKUP(A:A,MASTER!A:C,3,0)</f>
        <v>12</v>
      </c>
      <c r="P84" s="1">
        <f>VLOOKUP(A:A,MASTER!A:H,8,0)</f>
        <v>4</v>
      </c>
      <c r="Q84" s="12">
        <f t="shared" si="8"/>
        <v>-0.66666666666666674</v>
      </c>
      <c r="R84" s="1">
        <f>VLOOKUP(A:A,MASTER!A:B,2,0)</f>
        <v>604</v>
      </c>
      <c r="S84">
        <f>VLOOKUP(A:A,MASTER!A:G,7,0)</f>
        <v>631</v>
      </c>
      <c r="T84" s="12">
        <f t="shared" si="9"/>
        <v>4.4701986754966949E-2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6820595.096124053</v>
      </c>
      <c r="G85" s="1">
        <f>VLOOKUP(A:A,MASTER!A:K,11,0)</f>
        <v>6214020.6016599154</v>
      </c>
      <c r="H85" s="12">
        <f t="shared" si="5"/>
        <v>-8.8932781658426885E-2</v>
      </c>
      <c r="I85" s="2">
        <f>VLOOKUP(A:A,MASTER!A:E,5,0)</f>
        <v>322</v>
      </c>
      <c r="J85" s="2">
        <f>VLOOKUP(A:A,MASTER!A:J,10,0)</f>
        <v>363</v>
      </c>
      <c r="K85" s="12">
        <f t="shared" si="6"/>
        <v>0.12732919254658381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362</v>
      </c>
      <c r="S85">
        <f>VLOOKUP(A:A,MASTER!A:G,7,0)</f>
        <v>359</v>
      </c>
      <c r="T85" s="12">
        <f t="shared" si="9"/>
        <v>-8.2872928176795924E-3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84274</v>
      </c>
      <c r="C3" s="11">
        <f t="shared" si="0"/>
        <v>1453</v>
      </c>
      <c r="D3" s="11">
        <f t="shared" si="0"/>
        <v>307</v>
      </c>
      <c r="E3" s="11">
        <f t="shared" si="0"/>
        <v>70462</v>
      </c>
      <c r="F3" s="11">
        <f t="shared" si="0"/>
        <v>2624274086.5847387</v>
      </c>
      <c r="G3" s="11">
        <f t="shared" si="0"/>
        <v>84388</v>
      </c>
      <c r="H3" s="11">
        <f t="shared" si="0"/>
        <v>1269</v>
      </c>
      <c r="I3" s="11">
        <f t="shared" si="0"/>
        <v>313</v>
      </c>
      <c r="J3" s="11">
        <f t="shared" si="0"/>
        <v>70547</v>
      </c>
      <c r="K3" s="11">
        <f t="shared" si="0"/>
        <v>2696476987.8468094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417</v>
      </c>
      <c r="C6" s="10">
        <v>3</v>
      </c>
      <c r="D6" s="10">
        <v>2</v>
      </c>
      <c r="E6" s="10">
        <v>339</v>
      </c>
      <c r="F6" s="10">
        <v>12452036.798173808</v>
      </c>
      <c r="G6" s="10">
        <v>410</v>
      </c>
      <c r="H6" s="10">
        <v>0</v>
      </c>
      <c r="I6" s="10">
        <v>2</v>
      </c>
      <c r="J6" s="10">
        <v>364</v>
      </c>
      <c r="K6" s="10">
        <v>12287955.952436997</v>
      </c>
    </row>
    <row r="7" spans="1:11" x14ac:dyDescent="0.35">
      <c r="A7" s="9" t="s">
        <v>127</v>
      </c>
      <c r="B7" s="10">
        <v>681</v>
      </c>
      <c r="C7" s="10">
        <v>2</v>
      </c>
      <c r="D7" s="10">
        <v>1</v>
      </c>
      <c r="E7" s="10">
        <v>525</v>
      </c>
      <c r="F7" s="10">
        <v>15270377.5820772</v>
      </c>
      <c r="G7" s="10">
        <v>633</v>
      </c>
      <c r="H7" s="10">
        <v>6</v>
      </c>
      <c r="I7" s="10">
        <v>2</v>
      </c>
      <c r="J7" s="10">
        <v>487</v>
      </c>
      <c r="K7" s="10">
        <v>14339947.092993161</v>
      </c>
    </row>
    <row r="8" spans="1:11" x14ac:dyDescent="0.35">
      <c r="A8" s="9" t="s">
        <v>119</v>
      </c>
      <c r="B8" s="10">
        <v>687</v>
      </c>
      <c r="C8" s="10">
        <v>7</v>
      </c>
      <c r="D8" s="10">
        <v>2</v>
      </c>
      <c r="E8" s="10">
        <v>909</v>
      </c>
      <c r="F8" s="10">
        <v>17041117.995255239</v>
      </c>
      <c r="G8" s="10">
        <v>765</v>
      </c>
      <c r="H8" s="10">
        <v>8</v>
      </c>
      <c r="I8" s="10">
        <v>1</v>
      </c>
      <c r="J8" s="10">
        <v>806</v>
      </c>
      <c r="K8" s="10">
        <v>19961475.905457538</v>
      </c>
    </row>
    <row r="9" spans="1:11" x14ac:dyDescent="0.35">
      <c r="A9" s="9" t="s">
        <v>121</v>
      </c>
      <c r="B9" s="10">
        <v>1184</v>
      </c>
      <c r="C9" s="10">
        <v>7</v>
      </c>
      <c r="D9" s="10">
        <v>3</v>
      </c>
      <c r="E9" s="10">
        <v>1468</v>
      </c>
      <c r="F9" s="10">
        <v>30428581.790787671</v>
      </c>
      <c r="G9" s="10">
        <v>1213</v>
      </c>
      <c r="H9" s="10">
        <v>8</v>
      </c>
      <c r="I9" s="10">
        <v>3</v>
      </c>
      <c r="J9" s="10">
        <v>1088</v>
      </c>
      <c r="K9" s="10">
        <v>31260783.726436041</v>
      </c>
    </row>
    <row r="10" spans="1:11" x14ac:dyDescent="0.35">
      <c r="A10" s="9" t="s">
        <v>123</v>
      </c>
      <c r="B10" s="10">
        <v>417</v>
      </c>
      <c r="C10" s="10">
        <v>1</v>
      </c>
      <c r="D10" s="10">
        <v>1</v>
      </c>
      <c r="E10" s="10">
        <v>384</v>
      </c>
      <c r="F10" s="10">
        <v>12572009.692979235</v>
      </c>
      <c r="G10" s="10">
        <v>416</v>
      </c>
      <c r="H10" s="10">
        <v>1</v>
      </c>
      <c r="I10" s="10">
        <v>1</v>
      </c>
      <c r="J10" s="10">
        <v>383</v>
      </c>
      <c r="K10" s="10">
        <v>14087321.867469653</v>
      </c>
    </row>
    <row r="11" spans="1:11" x14ac:dyDescent="0.35">
      <c r="A11" s="9" t="s">
        <v>125</v>
      </c>
      <c r="B11" s="10">
        <v>379</v>
      </c>
      <c r="C11" s="10">
        <v>3</v>
      </c>
      <c r="D11" s="10">
        <v>2</v>
      </c>
      <c r="E11" s="10">
        <v>338</v>
      </c>
      <c r="F11" s="10">
        <v>10954941.459135331</v>
      </c>
      <c r="G11" s="10">
        <v>386</v>
      </c>
      <c r="H11" s="10">
        <v>3</v>
      </c>
      <c r="I11" s="10">
        <v>2</v>
      </c>
      <c r="J11" s="10">
        <v>280</v>
      </c>
      <c r="K11" s="10">
        <v>11489847.967613995</v>
      </c>
    </row>
    <row r="12" spans="1:11" x14ac:dyDescent="0.35">
      <c r="A12" s="9" t="s">
        <v>131</v>
      </c>
      <c r="B12" s="10">
        <v>592</v>
      </c>
      <c r="C12" s="10">
        <v>1</v>
      </c>
      <c r="D12" s="10">
        <v>1</v>
      </c>
      <c r="E12" s="10">
        <v>463</v>
      </c>
      <c r="F12" s="10">
        <v>12590405.038448486</v>
      </c>
      <c r="G12" s="10">
        <v>592</v>
      </c>
      <c r="H12" s="10">
        <v>3</v>
      </c>
      <c r="I12" s="10">
        <v>2</v>
      </c>
      <c r="J12" s="10">
        <v>488</v>
      </c>
      <c r="K12" s="10">
        <v>13775550.668594858</v>
      </c>
    </row>
    <row r="13" spans="1:11" x14ac:dyDescent="0.35">
      <c r="A13" s="9" t="s">
        <v>133</v>
      </c>
      <c r="B13" s="10">
        <v>171</v>
      </c>
      <c r="C13" s="10">
        <v>0</v>
      </c>
      <c r="D13" s="10">
        <v>1</v>
      </c>
      <c r="E13" s="10">
        <v>385</v>
      </c>
      <c r="F13" s="10">
        <v>5908394.1481695939</v>
      </c>
      <c r="G13" s="10">
        <v>175</v>
      </c>
      <c r="H13" s="10">
        <v>0</v>
      </c>
      <c r="I13" s="10">
        <v>1</v>
      </c>
      <c r="J13" s="10">
        <v>133</v>
      </c>
      <c r="K13" s="10">
        <v>6045648.5828848016</v>
      </c>
    </row>
    <row r="14" spans="1:11" x14ac:dyDescent="0.35">
      <c r="A14" s="9" t="s">
        <v>141</v>
      </c>
      <c r="B14" s="10">
        <v>195</v>
      </c>
      <c r="C14" s="10">
        <v>1</v>
      </c>
      <c r="D14" s="10">
        <v>0</v>
      </c>
      <c r="E14" s="10">
        <v>226</v>
      </c>
      <c r="F14" s="10">
        <v>5680298.6802293016</v>
      </c>
      <c r="G14" s="10">
        <v>187</v>
      </c>
      <c r="H14" s="10">
        <v>1</v>
      </c>
      <c r="I14" s="10">
        <v>1</v>
      </c>
      <c r="J14" s="10">
        <v>176</v>
      </c>
      <c r="K14" s="10">
        <v>2860659.9967147</v>
      </c>
    </row>
    <row r="15" spans="1:11" x14ac:dyDescent="0.35">
      <c r="A15" s="9" t="s">
        <v>135</v>
      </c>
      <c r="B15" s="10">
        <v>340</v>
      </c>
      <c r="C15" s="10">
        <v>0</v>
      </c>
      <c r="D15" s="10">
        <v>1</v>
      </c>
      <c r="E15" s="10">
        <v>376</v>
      </c>
      <c r="F15" s="10">
        <v>8944383.1211307161</v>
      </c>
      <c r="G15" s="10">
        <v>381</v>
      </c>
      <c r="H15" s="10">
        <v>2</v>
      </c>
      <c r="I15" s="10">
        <v>1</v>
      </c>
      <c r="J15" s="10">
        <v>347</v>
      </c>
      <c r="K15" s="10">
        <v>11890504.003905904</v>
      </c>
    </row>
    <row r="16" spans="1:11" x14ac:dyDescent="0.35">
      <c r="A16" s="9" t="s">
        <v>143</v>
      </c>
      <c r="B16" s="10">
        <v>212</v>
      </c>
      <c r="C16" s="10">
        <v>0</v>
      </c>
      <c r="D16" s="10">
        <v>1</v>
      </c>
      <c r="E16" s="10">
        <v>242</v>
      </c>
      <c r="F16" s="10">
        <v>4262490.9429104608</v>
      </c>
      <c r="G16" s="10">
        <v>223</v>
      </c>
      <c r="H16" s="10">
        <v>0</v>
      </c>
      <c r="I16" s="10">
        <v>2</v>
      </c>
      <c r="J16" s="10">
        <v>263</v>
      </c>
      <c r="K16" s="10">
        <v>6152814.3065978391</v>
      </c>
    </row>
    <row r="17" spans="1:11" x14ac:dyDescent="0.35">
      <c r="A17" s="9" t="s">
        <v>145</v>
      </c>
      <c r="B17" s="10">
        <v>250</v>
      </c>
      <c r="C17" s="10">
        <v>7</v>
      </c>
      <c r="D17" s="10">
        <v>1</v>
      </c>
      <c r="E17" s="10">
        <v>223</v>
      </c>
      <c r="F17" s="10">
        <v>5733341.8539821506</v>
      </c>
      <c r="G17" s="10">
        <v>240</v>
      </c>
      <c r="H17" s="10">
        <v>2</v>
      </c>
      <c r="I17" s="10">
        <v>1</v>
      </c>
      <c r="J17" s="10">
        <v>229</v>
      </c>
      <c r="K17" s="10">
        <v>6544098.7908061044</v>
      </c>
    </row>
    <row r="18" spans="1:11" x14ac:dyDescent="0.35">
      <c r="A18" s="9" t="s">
        <v>20</v>
      </c>
      <c r="B18" s="10">
        <v>1426</v>
      </c>
      <c r="C18" s="10">
        <v>0</v>
      </c>
      <c r="D18" s="10">
        <v>2</v>
      </c>
      <c r="E18" s="10">
        <v>1062</v>
      </c>
      <c r="F18" s="10">
        <v>12150068.330912439</v>
      </c>
      <c r="G18" s="10">
        <v>1403</v>
      </c>
      <c r="H18" s="10">
        <v>4</v>
      </c>
      <c r="I18" s="10">
        <v>3</v>
      </c>
      <c r="J18" s="10">
        <v>1064</v>
      </c>
      <c r="K18" s="10">
        <v>27129953.922294252</v>
      </c>
    </row>
    <row r="19" spans="1:11" x14ac:dyDescent="0.35">
      <c r="A19" s="9" t="s">
        <v>45</v>
      </c>
      <c r="B19" s="10">
        <v>1271</v>
      </c>
      <c r="C19" s="10">
        <v>1</v>
      </c>
      <c r="D19" s="10">
        <v>2</v>
      </c>
      <c r="E19" s="10">
        <v>1018</v>
      </c>
      <c r="F19" s="10">
        <v>37115893.490185946</v>
      </c>
      <c r="G19" s="10">
        <v>1229</v>
      </c>
      <c r="H19" s="10">
        <v>2</v>
      </c>
      <c r="I19" s="10">
        <v>3</v>
      </c>
      <c r="J19" s="10">
        <v>913</v>
      </c>
      <c r="K19" s="10">
        <v>46248297.021251909</v>
      </c>
    </row>
    <row r="20" spans="1:11" x14ac:dyDescent="0.35">
      <c r="A20" s="9" t="s">
        <v>47</v>
      </c>
      <c r="B20" s="10">
        <v>1021</v>
      </c>
      <c r="C20" s="10">
        <v>3</v>
      </c>
      <c r="D20" s="10">
        <v>4</v>
      </c>
      <c r="E20" s="10">
        <v>894</v>
      </c>
      <c r="F20" s="10">
        <v>24557779.647644848</v>
      </c>
      <c r="G20" s="10">
        <v>1025</v>
      </c>
      <c r="H20" s="10">
        <v>4</v>
      </c>
      <c r="I20" s="10">
        <v>5</v>
      </c>
      <c r="J20" s="10">
        <v>945</v>
      </c>
      <c r="K20" s="10">
        <v>24780324.33078628</v>
      </c>
    </row>
    <row r="21" spans="1:11" x14ac:dyDescent="0.35">
      <c r="A21" s="9" t="s">
        <v>49</v>
      </c>
      <c r="B21" s="10">
        <v>960</v>
      </c>
      <c r="C21" s="10">
        <v>1</v>
      </c>
      <c r="D21" s="10">
        <v>3</v>
      </c>
      <c r="E21" s="10">
        <v>651</v>
      </c>
      <c r="F21" s="10">
        <v>24093521.100269504</v>
      </c>
      <c r="G21" s="10">
        <v>920</v>
      </c>
      <c r="H21" s="10">
        <v>4</v>
      </c>
      <c r="I21" s="10">
        <v>3</v>
      </c>
      <c r="J21" s="10">
        <v>699</v>
      </c>
      <c r="K21" s="10">
        <v>20292128.333114807</v>
      </c>
    </row>
    <row r="22" spans="1:11" x14ac:dyDescent="0.35">
      <c r="A22" s="9" t="s">
        <v>51</v>
      </c>
      <c r="B22" s="10">
        <v>3219</v>
      </c>
      <c r="C22" s="10">
        <v>624</v>
      </c>
      <c r="D22" s="10">
        <v>10</v>
      </c>
      <c r="E22" s="10">
        <v>2911</v>
      </c>
      <c r="F22" s="10">
        <v>84378043.245911941</v>
      </c>
      <c r="G22" s="10">
        <v>2805</v>
      </c>
      <c r="H22" s="10">
        <v>184</v>
      </c>
      <c r="I22" s="10">
        <v>10</v>
      </c>
      <c r="J22" s="10">
        <v>2167</v>
      </c>
      <c r="K22" s="10">
        <v>91431790.086039543</v>
      </c>
    </row>
    <row r="23" spans="1:11" x14ac:dyDescent="0.35">
      <c r="A23" s="9" t="s">
        <v>53</v>
      </c>
      <c r="B23" s="10">
        <v>1440</v>
      </c>
      <c r="C23" s="10">
        <v>0</v>
      </c>
      <c r="D23" s="10">
        <v>2</v>
      </c>
      <c r="E23" s="10">
        <v>1155</v>
      </c>
      <c r="F23" s="10">
        <v>45853440.719571456</v>
      </c>
      <c r="G23" s="10">
        <v>1381</v>
      </c>
      <c r="H23" s="10">
        <v>7</v>
      </c>
      <c r="I23" s="10">
        <v>2</v>
      </c>
      <c r="J23" s="10">
        <v>1192</v>
      </c>
      <c r="K23" s="10">
        <v>28580704.230768949</v>
      </c>
    </row>
    <row r="24" spans="1:11" x14ac:dyDescent="0.35">
      <c r="A24" s="9" t="s">
        <v>55</v>
      </c>
      <c r="B24" s="10">
        <v>3008</v>
      </c>
      <c r="C24" s="10">
        <v>15</v>
      </c>
      <c r="D24" s="10">
        <v>11</v>
      </c>
      <c r="E24" s="10">
        <v>2274</v>
      </c>
      <c r="F24" s="10">
        <v>91985409.680114254</v>
      </c>
      <c r="G24" s="10">
        <v>2933</v>
      </c>
      <c r="H24" s="10">
        <v>20</v>
      </c>
      <c r="I24" s="10">
        <v>10</v>
      </c>
      <c r="J24" s="10">
        <v>1971</v>
      </c>
      <c r="K24" s="10">
        <v>91798677.850888729</v>
      </c>
    </row>
    <row r="25" spans="1:11" x14ac:dyDescent="0.35">
      <c r="A25" s="9" t="s">
        <v>67</v>
      </c>
      <c r="B25" s="10">
        <v>551</v>
      </c>
      <c r="C25" s="10">
        <v>6</v>
      </c>
      <c r="D25" s="10">
        <v>1</v>
      </c>
      <c r="E25" s="10">
        <v>460</v>
      </c>
      <c r="F25" s="10">
        <v>13083985.836379612</v>
      </c>
      <c r="G25" s="10">
        <v>537</v>
      </c>
      <c r="H25" s="10">
        <v>5</v>
      </c>
      <c r="I25" s="10">
        <v>1</v>
      </c>
      <c r="J25" s="10">
        <v>487</v>
      </c>
      <c r="K25" s="10">
        <v>13952390.293539824</v>
      </c>
    </row>
    <row r="26" spans="1:11" x14ac:dyDescent="0.35">
      <c r="A26" s="9" t="s">
        <v>74</v>
      </c>
      <c r="B26" s="10">
        <v>1707</v>
      </c>
      <c r="C26" s="10">
        <v>13</v>
      </c>
      <c r="D26" s="10">
        <v>2</v>
      </c>
      <c r="E26" s="10">
        <v>1256</v>
      </c>
      <c r="F26" s="10">
        <v>36202793.63631741</v>
      </c>
      <c r="G26" s="10">
        <v>1679</v>
      </c>
      <c r="H26" s="10">
        <v>17</v>
      </c>
      <c r="I26" s="10">
        <v>1</v>
      </c>
      <c r="J26" s="10">
        <v>1368</v>
      </c>
      <c r="K26" s="10">
        <v>38550165.164171152</v>
      </c>
    </row>
    <row r="27" spans="1:11" x14ac:dyDescent="0.35">
      <c r="A27" s="9" t="s">
        <v>70</v>
      </c>
      <c r="B27" s="10">
        <v>862</v>
      </c>
      <c r="C27" s="10">
        <v>10</v>
      </c>
      <c r="D27" s="10">
        <v>1</v>
      </c>
      <c r="E27" s="10">
        <v>1010</v>
      </c>
      <c r="F27" s="10">
        <v>15994034.782365471</v>
      </c>
      <c r="G27" s="10">
        <v>879</v>
      </c>
      <c r="H27" s="10">
        <v>10</v>
      </c>
      <c r="I27" s="10">
        <v>1</v>
      </c>
      <c r="J27" s="10">
        <v>820</v>
      </c>
      <c r="K27" s="10">
        <v>16023991.278544333</v>
      </c>
    </row>
    <row r="28" spans="1:11" x14ac:dyDescent="0.35">
      <c r="A28" s="9" t="s">
        <v>72</v>
      </c>
      <c r="B28" s="10">
        <v>886</v>
      </c>
      <c r="C28" s="10">
        <v>2</v>
      </c>
      <c r="D28" s="10">
        <v>1</v>
      </c>
      <c r="E28" s="10">
        <v>803</v>
      </c>
      <c r="F28" s="10">
        <v>17730094.775826979</v>
      </c>
      <c r="G28" s="10">
        <v>874</v>
      </c>
      <c r="H28" s="10">
        <v>6</v>
      </c>
      <c r="I28" s="10">
        <v>1</v>
      </c>
      <c r="J28" s="10">
        <v>843</v>
      </c>
      <c r="K28" s="10">
        <v>19429198.640231583</v>
      </c>
    </row>
    <row r="29" spans="1:11" x14ac:dyDescent="0.35">
      <c r="A29" s="9" t="s">
        <v>79</v>
      </c>
      <c r="B29" s="10">
        <v>229</v>
      </c>
      <c r="C29" s="10">
        <v>1</v>
      </c>
      <c r="D29" s="10">
        <v>0</v>
      </c>
      <c r="E29" s="10">
        <v>175</v>
      </c>
      <c r="F29" s="10">
        <v>5277024.5563090751</v>
      </c>
      <c r="G29" s="10">
        <v>228</v>
      </c>
      <c r="H29" s="10">
        <v>1</v>
      </c>
      <c r="I29" s="10">
        <v>1</v>
      </c>
      <c r="J29" s="10">
        <v>177</v>
      </c>
      <c r="K29" s="10">
        <v>4433708.8725122856</v>
      </c>
    </row>
    <row r="30" spans="1:11" x14ac:dyDescent="0.35">
      <c r="A30" s="9" t="s">
        <v>109</v>
      </c>
      <c r="B30" s="10">
        <v>1658</v>
      </c>
      <c r="C30" s="10">
        <v>2</v>
      </c>
      <c r="D30" s="10">
        <v>5</v>
      </c>
      <c r="E30" s="10">
        <v>1301</v>
      </c>
      <c r="F30" s="10">
        <v>40235450.07087151</v>
      </c>
      <c r="G30" s="10">
        <v>1646</v>
      </c>
      <c r="H30" s="10">
        <v>10</v>
      </c>
      <c r="I30" s="10">
        <v>5</v>
      </c>
      <c r="J30" s="10">
        <v>1383</v>
      </c>
      <c r="K30" s="10">
        <v>36803930.469524823</v>
      </c>
    </row>
    <row r="31" spans="1:11" x14ac:dyDescent="0.35">
      <c r="A31" s="9" t="s">
        <v>111</v>
      </c>
      <c r="B31" s="10">
        <v>859</v>
      </c>
      <c r="C31" s="10">
        <v>5</v>
      </c>
      <c r="D31" s="10">
        <v>1</v>
      </c>
      <c r="E31" s="10">
        <v>622</v>
      </c>
      <c r="F31" s="10">
        <v>28301686.739777543</v>
      </c>
      <c r="G31" s="10">
        <v>884</v>
      </c>
      <c r="H31" s="10">
        <v>4</v>
      </c>
      <c r="I31" s="10">
        <v>1</v>
      </c>
      <c r="J31" s="10">
        <v>617</v>
      </c>
      <c r="K31" s="10">
        <v>30880741.730442863</v>
      </c>
    </row>
    <row r="32" spans="1:11" x14ac:dyDescent="0.35">
      <c r="A32" s="9" t="s">
        <v>113</v>
      </c>
      <c r="B32" s="10">
        <v>1126</v>
      </c>
      <c r="C32" s="10">
        <v>2</v>
      </c>
      <c r="D32" s="10">
        <v>1</v>
      </c>
      <c r="E32" s="10">
        <v>765</v>
      </c>
      <c r="F32" s="10">
        <v>30771914.979088616</v>
      </c>
      <c r="G32" s="10">
        <v>1042</v>
      </c>
      <c r="H32" s="10">
        <v>2</v>
      </c>
      <c r="I32" s="10">
        <v>1</v>
      </c>
      <c r="J32" s="10">
        <v>789</v>
      </c>
      <c r="K32" s="10">
        <v>29013524.004899658</v>
      </c>
    </row>
    <row r="33" spans="1:11" x14ac:dyDescent="0.35">
      <c r="A33" s="9" t="s">
        <v>115</v>
      </c>
      <c r="B33" s="10">
        <v>1130</v>
      </c>
      <c r="C33" s="10">
        <v>2</v>
      </c>
      <c r="D33" s="10">
        <v>2</v>
      </c>
      <c r="E33" s="10">
        <v>889</v>
      </c>
      <c r="F33" s="10">
        <v>39627788.142400511</v>
      </c>
      <c r="G33" s="10">
        <v>1125</v>
      </c>
      <c r="H33" s="10">
        <v>3</v>
      </c>
      <c r="I33" s="10">
        <v>2</v>
      </c>
      <c r="J33" s="10">
        <v>874</v>
      </c>
      <c r="K33" s="10">
        <v>41174058.474659473</v>
      </c>
    </row>
    <row r="34" spans="1:11" x14ac:dyDescent="0.35">
      <c r="A34" s="9" t="s">
        <v>16</v>
      </c>
      <c r="B34" s="10">
        <v>1503</v>
      </c>
      <c r="C34" s="10">
        <v>3</v>
      </c>
      <c r="D34" s="10">
        <v>5</v>
      </c>
      <c r="E34" s="10">
        <v>1103</v>
      </c>
      <c r="F34" s="10">
        <v>57867671.527397662</v>
      </c>
      <c r="G34" s="10">
        <v>1443</v>
      </c>
      <c r="H34" s="10">
        <v>4</v>
      </c>
      <c r="I34" s="10">
        <v>4</v>
      </c>
      <c r="J34" s="10">
        <v>1132</v>
      </c>
      <c r="K34" s="10">
        <v>52940271.569831714</v>
      </c>
    </row>
    <row r="35" spans="1:11" x14ac:dyDescent="0.35">
      <c r="A35" s="9" t="s">
        <v>18</v>
      </c>
      <c r="B35" s="10">
        <v>691</v>
      </c>
      <c r="C35" s="10">
        <v>3</v>
      </c>
      <c r="D35" s="10">
        <v>3</v>
      </c>
      <c r="E35" s="10">
        <v>535</v>
      </c>
      <c r="F35" s="10">
        <v>21899406.198145673</v>
      </c>
      <c r="G35" s="10">
        <v>701</v>
      </c>
      <c r="H35" s="10">
        <v>1</v>
      </c>
      <c r="I35" s="10">
        <v>5</v>
      </c>
      <c r="J35" s="10">
        <v>554</v>
      </c>
      <c r="K35" s="10">
        <v>23896792.324472841</v>
      </c>
    </row>
    <row r="36" spans="1:11" x14ac:dyDescent="0.35">
      <c r="A36" s="9" t="s">
        <v>43</v>
      </c>
      <c r="B36" s="10">
        <v>1969</v>
      </c>
      <c r="C36" s="10">
        <v>16</v>
      </c>
      <c r="D36" s="10">
        <v>11</v>
      </c>
      <c r="E36" s="10">
        <v>1890</v>
      </c>
      <c r="F36" s="10">
        <v>68379291.574158043</v>
      </c>
      <c r="G36" s="10">
        <v>1926</v>
      </c>
      <c r="H36" s="10">
        <v>10</v>
      </c>
      <c r="I36" s="10">
        <v>9</v>
      </c>
      <c r="J36" s="10">
        <v>1575</v>
      </c>
      <c r="K36" s="10">
        <v>58685299.940138116</v>
      </c>
    </row>
    <row r="37" spans="1:11" x14ac:dyDescent="0.35">
      <c r="A37" s="9" t="s">
        <v>152</v>
      </c>
      <c r="B37" s="10">
        <v>843</v>
      </c>
      <c r="C37" s="10">
        <v>2</v>
      </c>
      <c r="D37" s="10">
        <v>2</v>
      </c>
      <c r="E37" s="10">
        <v>620</v>
      </c>
      <c r="F37" s="10">
        <v>23416239.072707906</v>
      </c>
      <c r="G37" s="10">
        <v>862</v>
      </c>
      <c r="H37" s="10">
        <v>3</v>
      </c>
      <c r="I37" s="10">
        <v>2</v>
      </c>
      <c r="J37" s="10">
        <v>712</v>
      </c>
      <c r="K37" s="10">
        <v>23846332.143704496</v>
      </c>
    </row>
    <row r="38" spans="1:11" x14ac:dyDescent="0.35">
      <c r="A38" s="9" t="s">
        <v>149</v>
      </c>
      <c r="B38" s="10">
        <v>696</v>
      </c>
      <c r="C38" s="10">
        <v>2</v>
      </c>
      <c r="D38" s="10">
        <v>1</v>
      </c>
      <c r="E38" s="10">
        <v>534</v>
      </c>
      <c r="F38" s="10">
        <v>19580984.263010703</v>
      </c>
      <c r="G38" s="10">
        <v>752</v>
      </c>
      <c r="H38" s="10">
        <v>3</v>
      </c>
      <c r="I38" s="10">
        <v>1</v>
      </c>
      <c r="J38" s="10">
        <v>644</v>
      </c>
      <c r="K38" s="10">
        <v>21933834.462986201</v>
      </c>
    </row>
    <row r="39" spans="1:11" x14ac:dyDescent="0.35">
      <c r="A39" s="9" t="s">
        <v>154</v>
      </c>
      <c r="B39" s="10">
        <v>1113</v>
      </c>
      <c r="C39" s="10">
        <v>14</v>
      </c>
      <c r="D39" s="10">
        <v>2</v>
      </c>
      <c r="E39" s="10">
        <v>843</v>
      </c>
      <c r="F39" s="10">
        <v>34271546.343865938</v>
      </c>
      <c r="G39" s="10">
        <v>1148</v>
      </c>
      <c r="H39" s="10">
        <v>17</v>
      </c>
      <c r="I39" s="10">
        <v>1</v>
      </c>
      <c r="J39" s="10">
        <v>950</v>
      </c>
      <c r="K39" s="10">
        <v>33947334.926795498</v>
      </c>
    </row>
    <row r="40" spans="1:11" x14ac:dyDescent="0.35">
      <c r="A40" s="9" t="s">
        <v>2</v>
      </c>
      <c r="B40" s="10">
        <v>1089</v>
      </c>
      <c r="C40" s="10">
        <v>41</v>
      </c>
      <c r="D40" s="10">
        <v>1</v>
      </c>
      <c r="E40" s="10">
        <v>769</v>
      </c>
      <c r="F40" s="10">
        <v>33052464.113899976</v>
      </c>
      <c r="G40" s="10">
        <v>1252</v>
      </c>
      <c r="H40" s="10">
        <v>121</v>
      </c>
      <c r="I40" s="10">
        <v>1</v>
      </c>
      <c r="J40" s="10">
        <v>964</v>
      </c>
      <c r="K40" s="10">
        <v>32190582.015026674</v>
      </c>
    </row>
    <row r="41" spans="1:11" x14ac:dyDescent="0.35">
      <c r="A41" s="9" t="s">
        <v>156</v>
      </c>
      <c r="B41" s="10">
        <v>1784</v>
      </c>
      <c r="C41" s="10">
        <v>55</v>
      </c>
      <c r="D41" s="10">
        <v>4</v>
      </c>
      <c r="E41" s="10">
        <v>1371</v>
      </c>
      <c r="F41" s="10">
        <v>52158232.747112714</v>
      </c>
      <c r="G41" s="10">
        <v>2269</v>
      </c>
      <c r="H41" s="10">
        <v>73</v>
      </c>
      <c r="I41" s="10">
        <v>5</v>
      </c>
      <c r="J41" s="10">
        <v>1578</v>
      </c>
      <c r="K41" s="10">
        <v>57989157.172912218</v>
      </c>
    </row>
    <row r="42" spans="1:11" x14ac:dyDescent="0.35">
      <c r="A42" s="9" t="s">
        <v>14</v>
      </c>
      <c r="B42" s="10">
        <v>613</v>
      </c>
      <c r="C42" s="10">
        <v>2</v>
      </c>
      <c r="D42" s="10">
        <v>4</v>
      </c>
      <c r="E42" s="10">
        <v>8</v>
      </c>
      <c r="F42" s="10">
        <v>17501175.59762124</v>
      </c>
      <c r="G42" s="10">
        <v>618</v>
      </c>
      <c r="H42" s="10">
        <v>1</v>
      </c>
      <c r="I42" s="10">
        <v>6</v>
      </c>
      <c r="J42" s="10">
        <v>472</v>
      </c>
      <c r="K42" s="10">
        <v>20656820.414189544</v>
      </c>
    </row>
    <row r="43" spans="1:11" x14ac:dyDescent="0.35">
      <c r="A43" s="9" t="s">
        <v>8</v>
      </c>
      <c r="B43" s="10">
        <v>2036</v>
      </c>
      <c r="C43" s="10">
        <v>14</v>
      </c>
      <c r="D43" s="10">
        <v>5</v>
      </c>
      <c r="E43" s="10">
        <v>1869</v>
      </c>
      <c r="F43" s="10">
        <v>61288523.598765254</v>
      </c>
      <c r="G43" s="10">
        <v>2059</v>
      </c>
      <c r="H43" s="10">
        <v>6</v>
      </c>
      <c r="I43" s="10">
        <v>6</v>
      </c>
      <c r="J43" s="10">
        <v>1991</v>
      </c>
      <c r="K43" s="10">
        <v>66763112.972614646</v>
      </c>
    </row>
    <row r="44" spans="1:11" x14ac:dyDescent="0.35">
      <c r="A44" s="9" t="s">
        <v>39</v>
      </c>
      <c r="B44" s="10">
        <v>877</v>
      </c>
      <c r="C44" s="10">
        <v>6</v>
      </c>
      <c r="D44" s="10">
        <v>4</v>
      </c>
      <c r="E44" s="10">
        <v>760</v>
      </c>
      <c r="F44" s="10">
        <v>42805016.573299475</v>
      </c>
      <c r="G44" s="10">
        <v>895</v>
      </c>
      <c r="H44" s="10">
        <v>5</v>
      </c>
      <c r="I44" s="10">
        <v>4</v>
      </c>
      <c r="J44" s="10">
        <v>797</v>
      </c>
      <c r="K44" s="10">
        <v>46227650.783002853</v>
      </c>
    </row>
    <row r="45" spans="1:11" x14ac:dyDescent="0.35">
      <c r="A45" s="9" t="s">
        <v>6</v>
      </c>
      <c r="B45" s="10">
        <v>1116</v>
      </c>
      <c r="C45" s="10">
        <v>3</v>
      </c>
      <c r="D45" s="10">
        <v>3</v>
      </c>
      <c r="E45" s="10">
        <v>996</v>
      </c>
      <c r="F45" s="10">
        <v>35305267.70624648</v>
      </c>
      <c r="G45" s="10">
        <v>1097</v>
      </c>
      <c r="H45" s="10">
        <v>6</v>
      </c>
      <c r="I45" s="10">
        <v>3</v>
      </c>
      <c r="J45" s="10">
        <v>1158</v>
      </c>
      <c r="K45" s="10">
        <v>27034432.239690185</v>
      </c>
    </row>
    <row r="46" spans="1:11" x14ac:dyDescent="0.35">
      <c r="A46" s="9" t="s">
        <v>41</v>
      </c>
      <c r="B46" s="10">
        <v>857</v>
      </c>
      <c r="C46" s="10">
        <v>0</v>
      </c>
      <c r="D46" s="10">
        <v>5</v>
      </c>
      <c r="E46" s="10">
        <v>636</v>
      </c>
      <c r="F46" s="10">
        <v>34656045.854344085</v>
      </c>
      <c r="G46" s="10">
        <v>835</v>
      </c>
      <c r="H46" s="10">
        <v>5</v>
      </c>
      <c r="I46" s="10">
        <v>4</v>
      </c>
      <c r="J46" s="10">
        <v>612</v>
      </c>
      <c r="K46" s="10">
        <v>34623144.718677483</v>
      </c>
    </row>
    <row r="47" spans="1:11" x14ac:dyDescent="0.35">
      <c r="A47" s="9" t="s">
        <v>158</v>
      </c>
      <c r="B47" s="10">
        <v>663</v>
      </c>
      <c r="C47" s="10">
        <v>3</v>
      </c>
      <c r="D47" s="10">
        <v>10</v>
      </c>
      <c r="E47" s="10">
        <v>570</v>
      </c>
      <c r="F47" s="10">
        <v>21610464.703248747</v>
      </c>
      <c r="G47" s="10">
        <v>697</v>
      </c>
      <c r="H47" s="10">
        <v>3</v>
      </c>
      <c r="I47" s="10">
        <v>10</v>
      </c>
      <c r="J47" s="10">
        <v>123</v>
      </c>
      <c r="K47" s="10">
        <v>21742784.05233898</v>
      </c>
    </row>
    <row r="48" spans="1:11" x14ac:dyDescent="0.35">
      <c r="A48" s="9" t="s">
        <v>160</v>
      </c>
      <c r="B48" s="10">
        <v>707</v>
      </c>
      <c r="C48" s="10">
        <v>1</v>
      </c>
      <c r="D48" s="10">
        <v>1</v>
      </c>
      <c r="E48" s="10">
        <v>721</v>
      </c>
      <c r="F48" s="10">
        <v>20687868.148741201</v>
      </c>
      <c r="G48" s="10">
        <v>688</v>
      </c>
      <c r="H48" s="10">
        <v>0</v>
      </c>
      <c r="I48" s="10">
        <v>1</v>
      </c>
      <c r="J48" s="10">
        <v>389</v>
      </c>
      <c r="K48" s="10">
        <v>18652888.434304617</v>
      </c>
    </row>
    <row r="49" spans="1:11" x14ac:dyDescent="0.35">
      <c r="A49" s="9" t="s">
        <v>83</v>
      </c>
      <c r="B49" s="10">
        <v>1279</v>
      </c>
      <c r="C49" s="10">
        <v>11</v>
      </c>
      <c r="D49" s="10">
        <v>5</v>
      </c>
      <c r="E49" s="10">
        <v>1085</v>
      </c>
      <c r="F49" s="10">
        <v>65941089.434293799</v>
      </c>
      <c r="G49" s="10">
        <v>1243</v>
      </c>
      <c r="H49" s="10">
        <v>3</v>
      </c>
      <c r="I49" s="10">
        <v>5</v>
      </c>
      <c r="J49" s="10">
        <v>1418</v>
      </c>
      <c r="K49" s="10">
        <v>62024410.34365315</v>
      </c>
    </row>
    <row r="50" spans="1:11" x14ac:dyDescent="0.35">
      <c r="A50" s="9" t="s">
        <v>202</v>
      </c>
      <c r="B50" s="10">
        <v>437</v>
      </c>
      <c r="C50" s="10">
        <v>3</v>
      </c>
      <c r="D50" s="10">
        <v>2</v>
      </c>
      <c r="E50" s="10">
        <v>434</v>
      </c>
      <c r="F50" s="10">
        <v>12042453.550795225</v>
      </c>
      <c r="G50" s="10">
        <v>440</v>
      </c>
      <c r="H50" s="10">
        <v>1</v>
      </c>
      <c r="I50" s="10">
        <v>1</v>
      </c>
      <c r="J50" s="10">
        <v>474</v>
      </c>
      <c r="K50" s="10">
        <v>9974558.4401260205</v>
      </c>
    </row>
    <row r="51" spans="1:11" x14ac:dyDescent="0.35">
      <c r="A51" s="9" t="s">
        <v>31</v>
      </c>
      <c r="B51" s="10">
        <v>879</v>
      </c>
      <c r="C51" s="10">
        <v>2</v>
      </c>
      <c r="D51" s="10">
        <v>5</v>
      </c>
      <c r="E51" s="10">
        <v>950</v>
      </c>
      <c r="F51" s="10">
        <v>29718671.064681828</v>
      </c>
      <c r="G51" s="10">
        <v>916</v>
      </c>
      <c r="H51" s="10">
        <v>3</v>
      </c>
      <c r="I51" s="10">
        <v>6</v>
      </c>
      <c r="J51" s="10">
        <v>931</v>
      </c>
      <c r="K51" s="10">
        <v>29054377.526877664</v>
      </c>
    </row>
    <row r="52" spans="1:11" x14ac:dyDescent="0.35">
      <c r="A52" s="9" t="s">
        <v>33</v>
      </c>
      <c r="B52" s="10">
        <v>1303</v>
      </c>
      <c r="C52" s="10">
        <v>15</v>
      </c>
      <c r="D52" s="10">
        <v>12</v>
      </c>
      <c r="E52" s="10">
        <v>979</v>
      </c>
      <c r="F52" s="10">
        <v>43797964.177689955</v>
      </c>
      <c r="G52" s="10">
        <v>1344</v>
      </c>
      <c r="H52" s="10">
        <v>5</v>
      </c>
      <c r="I52" s="10">
        <v>12</v>
      </c>
      <c r="J52" s="10">
        <v>1023</v>
      </c>
      <c r="K52" s="10">
        <v>50825033.960358381</v>
      </c>
    </row>
    <row r="53" spans="1:11" x14ac:dyDescent="0.35">
      <c r="A53" s="9" t="s">
        <v>85</v>
      </c>
      <c r="B53" s="10">
        <v>482</v>
      </c>
      <c r="C53" s="10">
        <v>7</v>
      </c>
      <c r="D53" s="10">
        <v>5</v>
      </c>
      <c r="E53" s="10">
        <v>358</v>
      </c>
      <c r="F53" s="10">
        <v>22770248.911103602</v>
      </c>
      <c r="G53" s="10">
        <v>483</v>
      </c>
      <c r="H53" s="10">
        <v>1</v>
      </c>
      <c r="I53" s="10">
        <v>6</v>
      </c>
      <c r="J53" s="10">
        <v>362</v>
      </c>
      <c r="K53" s="10">
        <v>26152148.725233007</v>
      </c>
    </row>
    <row r="54" spans="1:11" x14ac:dyDescent="0.35">
      <c r="A54" s="9" t="s">
        <v>81</v>
      </c>
      <c r="B54" s="10">
        <v>444</v>
      </c>
      <c r="C54" s="10">
        <v>2</v>
      </c>
      <c r="D54" s="10">
        <v>6</v>
      </c>
      <c r="E54" s="10">
        <v>298</v>
      </c>
      <c r="F54" s="10">
        <v>22546305.818256099</v>
      </c>
      <c r="G54" s="10">
        <v>460</v>
      </c>
      <c r="H54" s="10">
        <v>0</v>
      </c>
      <c r="I54" s="10">
        <v>4</v>
      </c>
      <c r="J54" s="10">
        <v>322</v>
      </c>
      <c r="K54" s="10">
        <v>19126089.304449983</v>
      </c>
    </row>
    <row r="55" spans="1:11" x14ac:dyDescent="0.35">
      <c r="A55" s="9" t="s">
        <v>87</v>
      </c>
      <c r="B55" s="10">
        <v>429</v>
      </c>
      <c r="C55" s="10">
        <v>11</v>
      </c>
      <c r="D55" s="10">
        <v>2</v>
      </c>
      <c r="E55" s="10">
        <v>378</v>
      </c>
      <c r="F55" s="10">
        <v>18657852.426756896</v>
      </c>
      <c r="G55" s="10">
        <v>423</v>
      </c>
      <c r="H55" s="10">
        <v>2</v>
      </c>
      <c r="I55" s="10">
        <v>3</v>
      </c>
      <c r="J55" s="10">
        <v>367</v>
      </c>
      <c r="K55" s="10">
        <v>16764643.498383747</v>
      </c>
    </row>
    <row r="56" spans="1:11" x14ac:dyDescent="0.35">
      <c r="A56" s="9" t="s">
        <v>166</v>
      </c>
      <c r="B56" s="10">
        <v>1126</v>
      </c>
      <c r="C56" s="10">
        <v>4</v>
      </c>
      <c r="D56" s="10">
        <v>1</v>
      </c>
      <c r="E56" s="10">
        <v>927</v>
      </c>
      <c r="F56" s="10">
        <v>40544706.538535334</v>
      </c>
      <c r="G56" s="10">
        <v>1100</v>
      </c>
      <c r="H56" s="10">
        <v>5</v>
      </c>
      <c r="I56" s="10">
        <v>1</v>
      </c>
      <c r="J56" s="10">
        <v>939</v>
      </c>
      <c r="K56" s="10">
        <v>39213836.923041739</v>
      </c>
    </row>
    <row r="57" spans="1:11" x14ac:dyDescent="0.35">
      <c r="A57" s="9" t="s">
        <v>93</v>
      </c>
      <c r="B57" s="10">
        <v>980</v>
      </c>
      <c r="C57" s="10">
        <v>10</v>
      </c>
      <c r="D57" s="10">
        <v>2</v>
      </c>
      <c r="E57" s="10">
        <v>841</v>
      </c>
      <c r="F57" s="10">
        <v>42886891.103262864</v>
      </c>
      <c r="G57" s="10">
        <v>1014</v>
      </c>
      <c r="H57" s="10">
        <v>7</v>
      </c>
      <c r="I57" s="10">
        <v>1</v>
      </c>
      <c r="J57" s="10">
        <v>862</v>
      </c>
      <c r="K57" s="10">
        <v>40939585.895147137</v>
      </c>
    </row>
    <row r="58" spans="1:11" x14ac:dyDescent="0.35">
      <c r="A58" s="9" t="s">
        <v>95</v>
      </c>
      <c r="B58" s="10">
        <v>2163</v>
      </c>
      <c r="C58" s="10">
        <v>36</v>
      </c>
      <c r="D58" s="10">
        <v>7</v>
      </c>
      <c r="E58" s="10">
        <v>1709</v>
      </c>
      <c r="F58" s="10">
        <v>60223755.032434106</v>
      </c>
      <c r="G58" s="10">
        <v>2043</v>
      </c>
      <c r="H58" s="10">
        <v>10</v>
      </c>
      <c r="I58" s="10">
        <v>8</v>
      </c>
      <c r="J58" s="10">
        <v>1735</v>
      </c>
      <c r="K58" s="10">
        <v>73666459.599487707</v>
      </c>
    </row>
    <row r="59" spans="1:11" x14ac:dyDescent="0.35">
      <c r="A59" s="9" t="s">
        <v>174</v>
      </c>
      <c r="B59" s="10">
        <v>690</v>
      </c>
      <c r="C59" s="10">
        <v>3</v>
      </c>
      <c r="D59" s="10">
        <v>0</v>
      </c>
      <c r="E59" s="10">
        <v>555</v>
      </c>
      <c r="F59" s="10">
        <v>19628260.883901495</v>
      </c>
      <c r="G59" s="10">
        <v>689</v>
      </c>
      <c r="H59" s="10">
        <v>4</v>
      </c>
      <c r="I59" s="10">
        <v>0</v>
      </c>
      <c r="J59" s="10">
        <v>550</v>
      </c>
      <c r="K59" s="10">
        <v>18415275.797894016</v>
      </c>
    </row>
    <row r="60" spans="1:11" x14ac:dyDescent="0.35">
      <c r="A60" s="9" t="s">
        <v>99</v>
      </c>
      <c r="B60" s="10">
        <v>883</v>
      </c>
      <c r="C60" s="10">
        <v>6</v>
      </c>
      <c r="D60" s="10">
        <v>5</v>
      </c>
      <c r="E60" s="10">
        <v>830</v>
      </c>
      <c r="F60" s="10">
        <v>30615413.367241357</v>
      </c>
      <c r="G60" s="10">
        <v>864</v>
      </c>
      <c r="H60" s="10">
        <v>7</v>
      </c>
      <c r="I60" s="10">
        <v>5</v>
      </c>
      <c r="J60" s="10">
        <v>740</v>
      </c>
      <c r="K60" s="10">
        <v>32094490.60502778</v>
      </c>
    </row>
    <row r="61" spans="1:11" x14ac:dyDescent="0.35">
      <c r="A61" s="9" t="s">
        <v>172</v>
      </c>
      <c r="B61" s="10">
        <v>785</v>
      </c>
      <c r="C61" s="10">
        <v>3</v>
      </c>
      <c r="D61" s="10">
        <v>1</v>
      </c>
      <c r="E61" s="10">
        <v>627</v>
      </c>
      <c r="F61" s="10">
        <v>23662873.351727627</v>
      </c>
      <c r="G61" s="10">
        <v>734</v>
      </c>
      <c r="H61" s="10">
        <v>4</v>
      </c>
      <c r="I61" s="10">
        <v>1</v>
      </c>
      <c r="J61" s="10">
        <v>635</v>
      </c>
      <c r="K61" s="10">
        <v>20317389.490997106</v>
      </c>
    </row>
    <row r="62" spans="1:11" x14ac:dyDescent="0.35">
      <c r="A62" s="9" t="s">
        <v>168</v>
      </c>
      <c r="B62" s="10">
        <v>1095</v>
      </c>
      <c r="C62" s="10">
        <v>8</v>
      </c>
      <c r="D62" s="10">
        <v>1</v>
      </c>
      <c r="E62" s="10">
        <v>1070</v>
      </c>
      <c r="F62" s="10">
        <v>40636216.140523255</v>
      </c>
      <c r="G62" s="10">
        <v>1107</v>
      </c>
      <c r="H62" s="10">
        <v>7</v>
      </c>
      <c r="I62" s="10">
        <v>0</v>
      </c>
      <c r="J62" s="10">
        <v>977</v>
      </c>
      <c r="K62" s="10">
        <v>40981093.886455111</v>
      </c>
    </row>
    <row r="63" spans="1:11" x14ac:dyDescent="0.35">
      <c r="A63" s="9" t="s">
        <v>101</v>
      </c>
      <c r="B63" s="10">
        <v>1370</v>
      </c>
      <c r="C63" s="10">
        <v>11</v>
      </c>
      <c r="D63" s="10">
        <v>4</v>
      </c>
      <c r="E63" s="10">
        <v>1343</v>
      </c>
      <c r="F63" s="10">
        <v>51975399.294892192</v>
      </c>
      <c r="G63" s="10">
        <v>1503</v>
      </c>
      <c r="H63" s="10">
        <v>10</v>
      </c>
      <c r="I63" s="10">
        <v>4</v>
      </c>
      <c r="J63" s="10">
        <v>1408</v>
      </c>
      <c r="K63" s="10">
        <v>50074452.206668533</v>
      </c>
    </row>
    <row r="64" spans="1:11" x14ac:dyDescent="0.35">
      <c r="A64" s="9" t="s">
        <v>103</v>
      </c>
      <c r="B64" s="10">
        <v>770</v>
      </c>
      <c r="C64" s="10">
        <v>5</v>
      </c>
      <c r="D64" s="10">
        <v>5</v>
      </c>
      <c r="E64" s="10">
        <v>751</v>
      </c>
      <c r="F64" s="10">
        <v>26207240.497092113</v>
      </c>
      <c r="G64" s="10">
        <v>771</v>
      </c>
      <c r="H64" s="10">
        <v>2</v>
      </c>
      <c r="I64" s="10">
        <v>4</v>
      </c>
      <c r="J64" s="10">
        <v>682</v>
      </c>
      <c r="K64" s="10">
        <v>27821994.716877595</v>
      </c>
    </row>
    <row r="65" spans="1:11" x14ac:dyDescent="0.35">
      <c r="A65" s="9" t="s">
        <v>105</v>
      </c>
      <c r="B65" s="10">
        <v>688</v>
      </c>
      <c r="C65" s="10">
        <v>5</v>
      </c>
      <c r="D65" s="10">
        <v>5</v>
      </c>
      <c r="E65" s="10">
        <v>483</v>
      </c>
      <c r="F65" s="10">
        <v>30690396.011699993</v>
      </c>
      <c r="G65" s="10">
        <v>628</v>
      </c>
      <c r="H65" s="10">
        <v>9</v>
      </c>
      <c r="I65" s="10">
        <v>5</v>
      </c>
      <c r="J65" s="10">
        <v>453</v>
      </c>
      <c r="K65" s="10">
        <v>31019483.13461696</v>
      </c>
    </row>
    <row r="66" spans="1:11" x14ac:dyDescent="0.35">
      <c r="A66" s="9" t="s">
        <v>24</v>
      </c>
      <c r="B66" s="10">
        <v>2047</v>
      </c>
      <c r="C66" s="10">
        <v>19</v>
      </c>
      <c r="D66" s="10">
        <v>9</v>
      </c>
      <c r="E66" s="10">
        <v>1869</v>
      </c>
      <c r="F66" s="10">
        <v>80494151.517660826</v>
      </c>
      <c r="G66" s="10">
        <v>1999</v>
      </c>
      <c r="H66" s="10">
        <v>15</v>
      </c>
      <c r="I66" s="10">
        <v>11</v>
      </c>
      <c r="J66" s="10">
        <v>1607</v>
      </c>
      <c r="K66" s="10">
        <v>99819639.769979075</v>
      </c>
    </row>
    <row r="67" spans="1:11" x14ac:dyDescent="0.35">
      <c r="A67" s="9" t="s">
        <v>27</v>
      </c>
      <c r="B67" s="10">
        <v>1597</v>
      </c>
      <c r="C67" s="10">
        <v>19</v>
      </c>
      <c r="D67" s="10">
        <v>7</v>
      </c>
      <c r="E67" s="10">
        <v>1177</v>
      </c>
      <c r="F67" s="10">
        <v>74403597.224619329</v>
      </c>
      <c r="G67" s="10">
        <v>1602</v>
      </c>
      <c r="H67" s="10">
        <v>16</v>
      </c>
      <c r="I67" s="10">
        <v>6</v>
      </c>
      <c r="J67" s="10">
        <v>1376</v>
      </c>
      <c r="K67" s="10">
        <v>75202591.101204753</v>
      </c>
    </row>
    <row r="68" spans="1:11" x14ac:dyDescent="0.35">
      <c r="A68" s="9" t="s">
        <v>29</v>
      </c>
      <c r="B68" s="10">
        <v>852</v>
      </c>
      <c r="C68" s="10">
        <v>2</v>
      </c>
      <c r="D68" s="10">
        <v>1</v>
      </c>
      <c r="E68" s="10">
        <v>648</v>
      </c>
      <c r="F68" s="10">
        <v>46188082.820514478</v>
      </c>
      <c r="G68" s="10">
        <v>892</v>
      </c>
      <c r="H68" s="10">
        <v>7</v>
      </c>
      <c r="I68" s="10">
        <v>1</v>
      </c>
      <c r="J68" s="10">
        <v>657</v>
      </c>
      <c r="K68" s="10">
        <v>48323897.682485439</v>
      </c>
    </row>
    <row r="69" spans="1:11" x14ac:dyDescent="0.35">
      <c r="A69" s="9" t="s">
        <v>57</v>
      </c>
      <c r="B69" s="10">
        <v>1999</v>
      </c>
      <c r="C69" s="10">
        <v>244</v>
      </c>
      <c r="D69" s="10">
        <v>13</v>
      </c>
      <c r="E69" s="10">
        <v>1445</v>
      </c>
      <c r="F69" s="10">
        <v>67882627.172021404</v>
      </c>
      <c r="G69" s="10">
        <v>2271</v>
      </c>
      <c r="H69" s="10">
        <v>475</v>
      </c>
      <c r="I69" s="10">
        <v>12</v>
      </c>
      <c r="J69" s="10">
        <v>1277</v>
      </c>
      <c r="K69" s="10">
        <v>71504925.88939625</v>
      </c>
    </row>
    <row r="70" spans="1:11" x14ac:dyDescent="0.35">
      <c r="A70" s="9" t="s">
        <v>137</v>
      </c>
      <c r="B70" s="10">
        <v>265</v>
      </c>
      <c r="C70" s="10">
        <v>2</v>
      </c>
      <c r="D70" s="10">
        <v>1</v>
      </c>
      <c r="E70" s="10">
        <v>236</v>
      </c>
      <c r="F70" s="10">
        <v>5076964.1164683579</v>
      </c>
      <c r="G70" s="10">
        <v>252</v>
      </c>
      <c r="H70" s="10">
        <v>0</v>
      </c>
      <c r="I70" s="10">
        <v>1</v>
      </c>
      <c r="J70" s="10">
        <v>236</v>
      </c>
      <c r="K70" s="10">
        <v>2920456.5121259899</v>
      </c>
    </row>
    <row r="71" spans="1:11" x14ac:dyDescent="0.35">
      <c r="A71" s="9" t="s">
        <v>10</v>
      </c>
      <c r="B71" s="10">
        <v>1805</v>
      </c>
      <c r="C71" s="10">
        <v>6</v>
      </c>
      <c r="D71" s="10">
        <v>7</v>
      </c>
      <c r="E71" s="10">
        <v>1560</v>
      </c>
      <c r="F71" s="10">
        <v>53626628.117396288</v>
      </c>
      <c r="G71" s="10">
        <v>1667</v>
      </c>
      <c r="H71" s="10">
        <v>9</v>
      </c>
      <c r="I71" s="10">
        <v>6</v>
      </c>
      <c r="J71" s="10">
        <v>1921</v>
      </c>
      <c r="K71" s="10">
        <v>51942957.043750465</v>
      </c>
    </row>
    <row r="72" spans="1:11" x14ac:dyDescent="0.35">
      <c r="A72" s="9" t="s">
        <v>12</v>
      </c>
      <c r="B72" s="10">
        <v>667</v>
      </c>
      <c r="C72" s="10">
        <v>2</v>
      </c>
      <c r="D72" s="10">
        <v>2</v>
      </c>
      <c r="E72" s="10">
        <v>610</v>
      </c>
      <c r="F72" s="10">
        <v>21968090.95705428</v>
      </c>
      <c r="G72" s="10">
        <v>736</v>
      </c>
      <c r="H72" s="10">
        <v>3</v>
      </c>
      <c r="I72" s="10">
        <v>3</v>
      </c>
      <c r="J72" s="10">
        <v>763</v>
      </c>
      <c r="K72" s="10">
        <v>24581273.682099607</v>
      </c>
    </row>
    <row r="73" spans="1:11" x14ac:dyDescent="0.35">
      <c r="A73" s="9" t="s">
        <v>162</v>
      </c>
      <c r="B73" s="10">
        <v>1326</v>
      </c>
      <c r="C73" s="10">
        <v>45</v>
      </c>
      <c r="D73" s="10">
        <v>5</v>
      </c>
      <c r="E73" s="10">
        <v>1260</v>
      </c>
      <c r="F73" s="10">
        <v>36202729.775051877</v>
      </c>
      <c r="G73" s="10">
        <v>1382</v>
      </c>
      <c r="H73" s="10">
        <v>23</v>
      </c>
      <c r="I73" s="10">
        <v>5</v>
      </c>
      <c r="J73" s="10">
        <v>1532</v>
      </c>
      <c r="K73" s="10">
        <v>37415644.270037763</v>
      </c>
    </row>
    <row r="74" spans="1:11" x14ac:dyDescent="0.35">
      <c r="A74" s="9" t="s">
        <v>63</v>
      </c>
      <c r="B74" s="10">
        <v>1358</v>
      </c>
      <c r="C74" s="10">
        <v>7</v>
      </c>
      <c r="D74" s="10">
        <v>5</v>
      </c>
      <c r="E74" s="10">
        <v>1260</v>
      </c>
      <c r="F74" s="10">
        <v>17783711.442227617</v>
      </c>
      <c r="G74" s="10">
        <v>1256</v>
      </c>
      <c r="H74" s="10">
        <v>7</v>
      </c>
      <c r="I74" s="10">
        <v>5</v>
      </c>
      <c r="J74" s="10">
        <v>1215</v>
      </c>
      <c r="K74" s="10">
        <v>23929894.673063796</v>
      </c>
    </row>
    <row r="75" spans="1:11" x14ac:dyDescent="0.35">
      <c r="A75" s="9" t="s">
        <v>59</v>
      </c>
      <c r="B75" s="10">
        <v>1746</v>
      </c>
      <c r="C75" s="10">
        <v>8</v>
      </c>
      <c r="D75" s="10">
        <v>5</v>
      </c>
      <c r="E75" s="10">
        <v>1180</v>
      </c>
      <c r="F75" s="10">
        <v>63481150.813349932</v>
      </c>
      <c r="G75" s="10">
        <v>1732</v>
      </c>
      <c r="H75" s="10">
        <v>13</v>
      </c>
      <c r="I75" s="10">
        <v>5</v>
      </c>
      <c r="J75" s="10">
        <v>1259</v>
      </c>
      <c r="K75" s="10">
        <v>65060314.538961947</v>
      </c>
    </row>
    <row r="76" spans="1:11" x14ac:dyDescent="0.35">
      <c r="A76" s="9" t="s">
        <v>139</v>
      </c>
      <c r="B76" s="10">
        <v>492</v>
      </c>
      <c r="C76" s="10">
        <v>3</v>
      </c>
      <c r="D76" s="10">
        <v>2</v>
      </c>
      <c r="E76" s="10">
        <v>424</v>
      </c>
      <c r="F76" s="10">
        <v>13786630.717428997</v>
      </c>
      <c r="G76" s="10">
        <v>516</v>
      </c>
      <c r="H76" s="10">
        <v>2</v>
      </c>
      <c r="I76" s="10">
        <v>1</v>
      </c>
      <c r="J76" s="10">
        <v>444</v>
      </c>
      <c r="K76" s="10">
        <v>13044733.106628915</v>
      </c>
    </row>
    <row r="77" spans="1:11" x14ac:dyDescent="0.35">
      <c r="A77" s="9" t="s">
        <v>170</v>
      </c>
      <c r="B77" s="10">
        <v>888</v>
      </c>
      <c r="C77" s="10">
        <v>4</v>
      </c>
      <c r="D77" s="10">
        <v>1</v>
      </c>
      <c r="E77" s="10">
        <v>790</v>
      </c>
      <c r="F77" s="10">
        <v>21117188.467634171</v>
      </c>
      <c r="G77" s="10">
        <v>880</v>
      </c>
      <c r="H77" s="10">
        <v>2</v>
      </c>
      <c r="I77" s="10">
        <v>1</v>
      </c>
      <c r="J77" s="10">
        <v>808</v>
      </c>
      <c r="K77" s="10">
        <v>21197941.625014752</v>
      </c>
    </row>
    <row r="78" spans="1:11" x14ac:dyDescent="0.35">
      <c r="A78" s="9" t="s">
        <v>61</v>
      </c>
      <c r="B78" s="10">
        <v>666</v>
      </c>
      <c r="C78" s="10">
        <v>2</v>
      </c>
      <c r="D78" s="10">
        <v>4</v>
      </c>
      <c r="E78" s="10">
        <v>416</v>
      </c>
      <c r="F78" s="10">
        <v>14736341.28762248</v>
      </c>
      <c r="G78" s="10">
        <v>649</v>
      </c>
      <c r="H78" s="10">
        <v>2</v>
      </c>
      <c r="I78" s="10">
        <v>3</v>
      </c>
      <c r="J78" s="10">
        <v>493</v>
      </c>
      <c r="K78" s="10">
        <v>20935184.704319578</v>
      </c>
    </row>
    <row r="79" spans="1:11" x14ac:dyDescent="0.35">
      <c r="A79" s="9" t="s">
        <v>129</v>
      </c>
      <c r="B79" s="10">
        <v>604</v>
      </c>
      <c r="C79" s="10">
        <v>5</v>
      </c>
      <c r="D79" s="10">
        <v>1</v>
      </c>
      <c r="E79" s="10">
        <v>12</v>
      </c>
      <c r="F79" s="10">
        <v>13803241.814353952</v>
      </c>
      <c r="G79" s="10">
        <v>616</v>
      </c>
      <c r="H79" s="10">
        <v>6</v>
      </c>
      <c r="I79" s="10">
        <v>1</v>
      </c>
      <c r="J79" s="10">
        <v>551</v>
      </c>
      <c r="K79" s="10">
        <v>15506233.992221871</v>
      </c>
    </row>
    <row r="80" spans="1:11" x14ac:dyDescent="0.35">
      <c r="A80" s="9" t="s">
        <v>35</v>
      </c>
      <c r="B80" s="10">
        <v>434</v>
      </c>
      <c r="C80" s="10">
        <v>6</v>
      </c>
      <c r="D80" s="10">
        <v>6</v>
      </c>
      <c r="E80" s="10">
        <v>419</v>
      </c>
      <c r="F80" s="10">
        <v>16238993.027723324</v>
      </c>
      <c r="G80" s="10">
        <v>445</v>
      </c>
      <c r="H80" s="10">
        <v>2</v>
      </c>
      <c r="I80" s="10">
        <v>7</v>
      </c>
      <c r="J80" s="10">
        <v>475</v>
      </c>
      <c r="K80" s="10">
        <v>17523590.520165198</v>
      </c>
    </row>
    <row r="81" spans="1:11" x14ac:dyDescent="0.35">
      <c r="A81" s="9" t="s">
        <v>107</v>
      </c>
      <c r="B81" s="10">
        <v>959</v>
      </c>
      <c r="C81" s="10">
        <v>9</v>
      </c>
      <c r="D81" s="10">
        <v>4</v>
      </c>
      <c r="E81" s="10">
        <v>550</v>
      </c>
      <c r="F81" s="10">
        <v>46538332.60440968</v>
      </c>
      <c r="G81" s="10">
        <v>908</v>
      </c>
      <c r="H81" s="10">
        <v>7</v>
      </c>
      <c r="I81" s="10">
        <v>3</v>
      </c>
      <c r="J81" s="10">
        <v>757</v>
      </c>
      <c r="K81" s="10">
        <v>46909192.026860319</v>
      </c>
    </row>
    <row r="82" spans="1:11" x14ac:dyDescent="0.35">
      <c r="A82" s="9" t="s">
        <v>37</v>
      </c>
      <c r="B82" s="10">
        <v>783</v>
      </c>
      <c r="C82" s="10">
        <v>3</v>
      </c>
      <c r="D82" s="10">
        <v>9</v>
      </c>
      <c r="E82" s="10">
        <v>754</v>
      </c>
      <c r="F82" s="10">
        <v>27857525.216046929</v>
      </c>
      <c r="G82" s="10">
        <v>770</v>
      </c>
      <c r="H82" s="10">
        <v>3</v>
      </c>
      <c r="I82" s="10">
        <v>10</v>
      </c>
      <c r="J82" s="10">
        <v>734</v>
      </c>
      <c r="K82" s="10">
        <v>27265674.916935232</v>
      </c>
    </row>
    <row r="83" spans="1:11" x14ac:dyDescent="0.35">
      <c r="A83" s="9" t="s">
        <v>76</v>
      </c>
      <c r="B83" s="10">
        <v>943</v>
      </c>
      <c r="C83" s="10">
        <v>0</v>
      </c>
      <c r="D83" s="10">
        <v>2</v>
      </c>
      <c r="E83" s="10">
        <v>893</v>
      </c>
      <c r="F83" s="10">
        <v>22505847.82083239</v>
      </c>
      <c r="G83" s="10">
        <v>959</v>
      </c>
      <c r="H83" s="10">
        <v>3</v>
      </c>
      <c r="I83" s="10">
        <v>2</v>
      </c>
      <c r="J83" s="10">
        <v>1081</v>
      </c>
      <c r="K83" s="10">
        <v>22856536.852877505</v>
      </c>
    </row>
    <row r="84" spans="1:11" x14ac:dyDescent="0.35">
      <c r="A84" s="9" t="s">
        <v>65</v>
      </c>
      <c r="B84" s="10">
        <v>1015</v>
      </c>
      <c r="C84" s="10">
        <v>6</v>
      </c>
      <c r="D84" s="10">
        <v>4</v>
      </c>
      <c r="E84" s="10">
        <v>792</v>
      </c>
      <c r="F84" s="10">
        <v>25689391.598872714</v>
      </c>
      <c r="G84" s="10">
        <v>993</v>
      </c>
      <c r="H84" s="10">
        <v>3</v>
      </c>
      <c r="I84" s="10">
        <v>5</v>
      </c>
      <c r="J84" s="10">
        <v>855</v>
      </c>
      <c r="K84" s="10">
        <v>23804512.005560592</v>
      </c>
    </row>
    <row r="85" spans="1:11" x14ac:dyDescent="0.35">
      <c r="A85" s="9" t="s">
        <v>89</v>
      </c>
      <c r="B85" s="10">
        <v>754</v>
      </c>
      <c r="C85" s="10">
        <v>5</v>
      </c>
      <c r="D85" s="10">
        <v>5</v>
      </c>
      <c r="E85" s="10">
        <v>727</v>
      </c>
      <c r="F85" s="10">
        <v>27707878.138874147</v>
      </c>
      <c r="G85" s="10">
        <v>754</v>
      </c>
      <c r="H85" s="10">
        <v>2</v>
      </c>
      <c r="I85" s="10">
        <v>6</v>
      </c>
      <c r="J85" s="10">
        <v>742</v>
      </c>
      <c r="K85" s="10">
        <v>30321505.756113347</v>
      </c>
    </row>
    <row r="86" spans="1:11" x14ac:dyDescent="0.35">
      <c r="A86" s="9" t="s">
        <v>147</v>
      </c>
      <c r="B86" s="10">
        <v>571</v>
      </c>
      <c r="C86" s="10">
        <v>2</v>
      </c>
      <c r="D86" s="10">
        <v>1</v>
      </c>
      <c r="E86" s="10">
        <v>632</v>
      </c>
      <c r="F86" s="10">
        <v>12297623.509624189</v>
      </c>
      <c r="G86" s="10">
        <v>571</v>
      </c>
      <c r="H86" s="10">
        <v>2</v>
      </c>
      <c r="I86" s="10">
        <v>1</v>
      </c>
      <c r="J86" s="10">
        <v>544</v>
      </c>
      <c r="K86" s="10">
        <v>13851013.837541368</v>
      </c>
    </row>
    <row r="87" spans="1:11" x14ac:dyDescent="0.35">
      <c r="A87" s="9" t="s">
        <v>164</v>
      </c>
      <c r="B87" s="10">
        <v>1700</v>
      </c>
      <c r="C87" s="10">
        <v>9</v>
      </c>
      <c r="D87" s="10">
        <v>10</v>
      </c>
      <c r="E87" s="10">
        <v>1317</v>
      </c>
      <c r="F87" s="10">
        <v>52982781.551008649</v>
      </c>
      <c r="G87" s="10">
        <v>1763</v>
      </c>
      <c r="H87" s="10">
        <v>6</v>
      </c>
      <c r="I87" s="10">
        <v>10</v>
      </c>
      <c r="J87" s="10">
        <v>824</v>
      </c>
      <c r="K87" s="10">
        <v>56341564.403701298</v>
      </c>
    </row>
    <row r="88" spans="1:11" x14ac:dyDescent="0.35">
      <c r="A88" s="9" t="s">
        <v>91</v>
      </c>
      <c r="B88" s="10">
        <v>599</v>
      </c>
      <c r="C88" s="10">
        <v>5</v>
      </c>
      <c r="D88" s="10">
        <v>3</v>
      </c>
      <c r="E88" s="10">
        <v>628</v>
      </c>
      <c r="F88" s="10">
        <v>14099053.264334928</v>
      </c>
      <c r="G88" s="10">
        <v>570</v>
      </c>
      <c r="H88" s="10">
        <v>0</v>
      </c>
      <c r="I88" s="10">
        <v>3</v>
      </c>
      <c r="J88" s="10">
        <v>625</v>
      </c>
      <c r="K88" s="10">
        <v>13251615.22394882</v>
      </c>
    </row>
    <row r="89" spans="1:11" x14ac:dyDescent="0.35">
      <c r="A89" s="9" t="s">
        <v>97</v>
      </c>
      <c r="B89" s="10">
        <v>604</v>
      </c>
      <c r="C89" s="10">
        <v>12</v>
      </c>
      <c r="D89" s="10">
        <v>6</v>
      </c>
      <c r="E89" s="10">
        <v>574</v>
      </c>
      <c r="F89" s="10">
        <v>24761684.048804503</v>
      </c>
      <c r="G89" s="10">
        <v>631</v>
      </c>
      <c r="H89" s="10">
        <v>4</v>
      </c>
      <c r="I89" s="10">
        <v>7</v>
      </c>
      <c r="J89" s="10">
        <v>526</v>
      </c>
      <c r="K89" s="10">
        <v>25936117.318591543</v>
      </c>
    </row>
    <row r="90" spans="1:11" x14ac:dyDescent="0.35">
      <c r="A90" s="9" t="s">
        <v>78</v>
      </c>
      <c r="B90" s="10">
        <v>362</v>
      </c>
      <c r="C90" s="10">
        <v>2</v>
      </c>
      <c r="D90" s="10">
        <v>1</v>
      </c>
      <c r="E90" s="10">
        <v>322</v>
      </c>
      <c r="F90" s="10">
        <v>6820595.096124053</v>
      </c>
      <c r="G90" s="10">
        <v>359</v>
      </c>
      <c r="H90" s="10">
        <v>2</v>
      </c>
      <c r="I90" s="10">
        <v>1</v>
      </c>
      <c r="J90" s="10">
        <v>363</v>
      </c>
      <c r="K90" s="10">
        <v>6214020.6016599154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2026-08-20T12:55:06Z</dcterms:modified>
</cp:coreProperties>
</file>