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<sst xmlns="http://schemas.openxmlformats.org/spreadsheetml/2006/main" count="540" uniqueCount="205">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</sst>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B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8665292.4728072863</v>
      </c>
      <c r="G2" s="1">
        <f>VLOOKUP(A:A,MASTER!A:K,11,0)</f>
        <v>9238403.0792054478</v>
      </c>
      <c r="H2" s="12">
        <f>IFERROR(G2/F2-1,0)</f>
        <v>6.6138633888775278E-2</v>
      </c>
      <c r="I2" s="2">
        <f>VLOOKUP(A:A,MASTER!A:E,5,0)</f>
        <v>372</v>
      </c>
      <c r="J2" s="2">
        <f>VLOOKUP(A:A,MASTER!A:J,10,0)</f>
        <v>338</v>
      </c>
      <c r="K2" s="12">
        <f>IFERROR(J2/I2-1,0)</f>
        <v>-9.1397849462365621E-2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0</v>
      </c>
      <c r="P2" s="1">
        <f>VLOOKUP(A:A,MASTER!A:H,8,0)</f>
        <v>1</v>
      </c>
      <c r="Q2" s="12">
        <f>IFERROR(P2/O2-1,0)</f>
        <v>0</v>
      </c>
      <c r="R2" s="1">
        <f>VLOOKUP(A:A,MASTER!A:B,2,0)</f>
        <v>421</v>
      </c>
      <c r="S2">
        <f>VLOOKUP(A:A,MASTER!A:G,7,0)</f>
        <v>428</v>
      </c>
      <c r="T2" s="12">
        <f>IFERROR(S2/R2-1,0)</f>
        <v>1.6627078384798155E-2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10292285.555236744</v>
      </c>
      <c r="G3" s="1">
        <f>VLOOKUP(A:A,MASTER!A:K,11,0)</f>
        <v>9762882.7996665835</v>
      </c>
      <c r="H3" s="12">
        <f t="shared" ref="H3:H66" si="0">IFERROR(G3/F3-1,0)</f>
        <v>-5.1436850710073645E-2</v>
      </c>
      <c r="I3" s="2">
        <f>VLOOKUP(A:A,MASTER!A:E,5,0)</f>
        <v>491</v>
      </c>
      <c r="J3" s="2">
        <f>VLOOKUP(A:A,MASTER!A:J,10,0)</f>
        <v>548</v>
      </c>
      <c r="K3" s="12">
        <f t="shared" ref="K3:K66" si="1">IFERROR(J3/I3-1,0)</f>
        <v>0.11608961303462317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4</v>
      </c>
      <c r="P3" s="1">
        <f>VLOOKUP(A:A,MASTER!A:H,8,0)</f>
        <v>6</v>
      </c>
      <c r="Q3" s="12">
        <f t="shared" ref="Q3:Q66" si="3">IFERROR(P3/O3-1,0)</f>
        <v>0.5</v>
      </c>
      <c r="R3" s="1">
        <f>VLOOKUP(A:A,MASTER!A:B,2,0)</f>
        <v>652</v>
      </c>
      <c r="S3">
        <f>VLOOKUP(A:A,MASTER!A:G,7,0)</f>
        <v>617</v>
      </c>
      <c r="T3" s="12">
        <f t="shared" ref="T3:T66" si="4">IFERROR(S3/R3-1,0)</f>
        <v>-5.3680981595092048E-2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12900162.010313369</v>
      </c>
      <c r="G4" s="1">
        <f>VLOOKUP(A:A,MASTER!A:K,11,0)</f>
        <v>12259231.902439144</v>
      </c>
      <c r="H4" s="12">
        <f t="shared" si="0"/>
        <v>-4.9683880509548417E-2</v>
      </c>
      <c r="I4" s="2">
        <f>VLOOKUP(A:A,MASTER!A:E,5,0)</f>
        <v>740</v>
      </c>
      <c r="J4" s="2">
        <f>VLOOKUP(A:A,MASTER!A:J,10,0)</f>
        <v>587</v>
      </c>
      <c r="K4" s="12">
        <f t="shared" si="1"/>
        <v>-0.20675675675675675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6</v>
      </c>
      <c r="P4" s="1">
        <f>VLOOKUP(A:A,MASTER!A:H,8,0)</f>
        <v>4</v>
      </c>
      <c r="Q4" s="12">
        <f t="shared" si="3"/>
        <v>-0.33333333333333337</v>
      </c>
      <c r="R4" s="1">
        <f>VLOOKUP(A:A,MASTER!A:B,2,0)</f>
        <v>735</v>
      </c>
      <c r="S4">
        <f>VLOOKUP(A:A,MASTER!A:G,7,0)</f>
        <v>584</v>
      </c>
      <c r="T4" s="12">
        <f t="shared" si="4"/>
        <v>-0.20544217687074828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22209543.394173563</v>
      </c>
      <c r="G5" s="1">
        <f>VLOOKUP(A:A,MASTER!A:K,11,0)</f>
        <v>23767288.77103918</v>
      </c>
      <c r="H5" s="12">
        <f t="shared" si="0"/>
        <v>7.0138559321947902E-2</v>
      </c>
      <c r="I5" s="2">
        <f>VLOOKUP(A:A,MASTER!A:E,5,0)</f>
        <v>1021</v>
      </c>
      <c r="J5" s="2">
        <f>VLOOKUP(A:A,MASTER!A:J,10,0)</f>
        <v>973</v>
      </c>
      <c r="K5" s="12">
        <f t="shared" si="1"/>
        <v>-4.7012732615083208E-2</v>
      </c>
      <c r="L5" s="2">
        <f>VLOOKUP(A:A,MASTER!A:D,4,0)</f>
        <v>4</v>
      </c>
      <c r="M5" s="2">
        <f>VLOOKUP(A:A,MASTER!A:I,9,0)</f>
        <v>2</v>
      </c>
      <c r="N5" s="12">
        <f t="shared" si="2"/>
        <v>-0.5</v>
      </c>
      <c r="O5" s="1">
        <f>VLOOKUP(A:A,MASTER!A:C,3,0)</f>
        <v>5</v>
      </c>
      <c r="P5" s="1">
        <f>VLOOKUP(A:A,MASTER!A:H,8,0)</f>
        <v>5</v>
      </c>
      <c r="Q5" s="12">
        <f t="shared" si="3"/>
        <v>0</v>
      </c>
      <c r="R5" s="1">
        <f>VLOOKUP(A:A,MASTER!A:B,2,0)</f>
        <v>1211</v>
      </c>
      <c r="S5">
        <f>VLOOKUP(A:A,MASTER!A:G,7,0)</f>
        <v>1125</v>
      </c>
      <c r="T5" s="12">
        <f t="shared" si="4"/>
        <v>-7.1015689512799351E-2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9957490.6809830684</v>
      </c>
      <c r="G6" s="1">
        <f>VLOOKUP(A:A,MASTER!A:K,11,0)</f>
        <v>10891954.273123616</v>
      </c>
      <c r="H6" s="12">
        <f t="shared" si="0"/>
        <v>9.3845289147515665E-2</v>
      </c>
      <c r="I6" s="2">
        <f>VLOOKUP(A:A,MASTER!A:E,5,0)</f>
        <v>383</v>
      </c>
      <c r="J6" s="2">
        <f>VLOOKUP(A:A,MASTER!A:J,10,0)</f>
        <v>398</v>
      </c>
      <c r="K6" s="12">
        <f t="shared" si="1"/>
        <v>3.9164490861618884E-2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3</v>
      </c>
      <c r="Q6" s="12">
        <f t="shared" si="3"/>
        <v>2</v>
      </c>
      <c r="R6" s="1">
        <f>VLOOKUP(A:A,MASTER!A:B,2,0)</f>
        <v>406</v>
      </c>
      <c r="S6">
        <f>VLOOKUP(A:A,MASTER!A:G,7,0)</f>
        <v>472</v>
      </c>
      <c r="T6" s="12">
        <f t="shared" si="4"/>
        <v>0.16256157635467972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8316802.9094818188</v>
      </c>
      <c r="G7" s="1">
        <f>VLOOKUP(A:A,MASTER!A:K,11,0)</f>
        <v>6679003.8727309201</v>
      </c>
      <c r="H7" s="12">
        <f t="shared" si="0"/>
        <v>-0.19692651786706128</v>
      </c>
      <c r="I7" s="2">
        <f>VLOOKUP(A:A,MASTER!A:E,5,0)</f>
        <v>273</v>
      </c>
      <c r="J7" s="2">
        <f>VLOOKUP(A:A,MASTER!A:J,10,0)</f>
        <v>274</v>
      </c>
      <c r="K7" s="12">
        <f t="shared" si="1"/>
        <v>3.66300366300365E-3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3</v>
      </c>
      <c r="P7" s="1">
        <f>VLOOKUP(A:A,MASTER!A:H,8,0)</f>
        <v>1</v>
      </c>
      <c r="Q7" s="12">
        <f t="shared" si="3"/>
        <v>-0.66666666666666674</v>
      </c>
      <c r="R7" s="1">
        <f>VLOOKUP(A:A,MASTER!A:B,2,0)</f>
        <v>384</v>
      </c>
      <c r="S7">
        <f>VLOOKUP(A:A,MASTER!A:G,7,0)</f>
        <v>312</v>
      </c>
      <c r="T7" s="12">
        <f t="shared" si="4"/>
        <v>-0.1875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9808730.1557455901</v>
      </c>
      <c r="G8" s="1">
        <f>VLOOKUP(A:A,MASTER!A:K,11,0)</f>
        <v>10260074.279205721</v>
      </c>
      <c r="H8" s="12">
        <f t="shared" si="0"/>
        <v>4.6014531574787965E-2</v>
      </c>
      <c r="I8" s="2">
        <f>VLOOKUP(A:A,MASTER!A:E,5,0)</f>
        <v>455</v>
      </c>
      <c r="J8" s="2">
        <f>VLOOKUP(A:A,MASTER!A:J,10,0)</f>
        <v>461</v>
      </c>
      <c r="K8" s="12">
        <f t="shared" si="1"/>
        <v>1.318681318681314E-2</v>
      </c>
      <c r="L8" s="2">
        <f>VLOOKUP(A:A,MASTER!A:D,4,0)</f>
        <v>3</v>
      </c>
      <c r="M8" s="2">
        <f>VLOOKUP(A:A,MASTER!A:I,9,0)</f>
        <v>0</v>
      </c>
      <c r="N8" s="12">
        <f t="shared" si="2"/>
        <v>-1</v>
      </c>
      <c r="O8" s="1">
        <f>VLOOKUP(A:A,MASTER!A:C,3,0)</f>
        <v>1</v>
      </c>
      <c r="P8" s="1">
        <f>VLOOKUP(A:A,MASTER!A:H,8,0)</f>
        <v>5</v>
      </c>
      <c r="Q8" s="12">
        <f t="shared" si="3"/>
        <v>4</v>
      </c>
      <c r="R8" s="1">
        <f>VLOOKUP(A:A,MASTER!A:B,2,0)</f>
        <v>598</v>
      </c>
      <c r="S8">
        <f>VLOOKUP(A:A,MASTER!A:G,7,0)</f>
        <v>608</v>
      </c>
      <c r="T8" s="12">
        <f t="shared" si="4"/>
        <v>1.6722408026755842E-2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4368337.5354776643</v>
      </c>
      <c r="G9" s="1">
        <f>VLOOKUP(A:A,MASTER!A:K,11,0)</f>
        <v>4562456.1766546061</v>
      </c>
      <c r="H9" s="12">
        <f t="shared" si="0"/>
        <v>4.4437646953880749E-2</v>
      </c>
      <c r="I9" s="2">
        <f>VLOOKUP(A:A,MASTER!A:E,5,0)</f>
        <v>125</v>
      </c>
      <c r="J9" s="2">
        <f>VLOOKUP(A:A,MASTER!A:J,10,0)</f>
        <v>124</v>
      </c>
      <c r="K9" s="12">
        <f t="shared" si="1"/>
        <v>-8.0000000000000071E-3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168</v>
      </c>
      <c r="S9">
        <f>VLOOKUP(A:A,MASTER!A:G,7,0)</f>
        <v>145</v>
      </c>
      <c r="T9" s="12">
        <f t="shared" si="4"/>
        <v>-0.13690476190476186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1042028.0883094301</v>
      </c>
      <c r="G10" s="1">
        <f>VLOOKUP(A:A,MASTER!A:K,11,0)</f>
        <v>4635399.7879167013</v>
      </c>
      <c r="H10" s="12">
        <f t="shared" si="0"/>
        <v>3.4484403442877447</v>
      </c>
      <c r="I10" s="2">
        <f>VLOOKUP(A:A,MASTER!A:E,5,0)</f>
        <v>179</v>
      </c>
      <c r="J10" s="2">
        <f>VLOOKUP(A:A,MASTER!A:J,10,0)</f>
        <v>192</v>
      </c>
      <c r="K10" s="12">
        <f t="shared" si="1"/>
        <v>7.2625698324022325E-2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0</v>
      </c>
      <c r="Q10" s="12">
        <f t="shared" si="3"/>
        <v>-1</v>
      </c>
      <c r="R10" s="1">
        <f>VLOOKUP(A:A,MASTER!A:B,2,0)</f>
        <v>190</v>
      </c>
      <c r="S10">
        <f>VLOOKUP(A:A,MASTER!A:G,7,0)</f>
        <v>242</v>
      </c>
      <c r="T10" s="12">
        <f t="shared" si="4"/>
        <v>0.27368421052631575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8948611.6469514072</v>
      </c>
      <c r="G11" s="1">
        <f>VLOOKUP(A:A,MASTER!A:K,11,0)</f>
        <v>8006300.9612096557</v>
      </c>
      <c r="H11" s="12">
        <f t="shared" si="0"/>
        <v>-0.10530244499578612</v>
      </c>
      <c r="I11" s="2">
        <f>VLOOKUP(A:A,MASTER!A:E,5,0)</f>
        <v>279</v>
      </c>
      <c r="J11" s="2">
        <f>VLOOKUP(A:A,MASTER!A:J,10,0)</f>
        <v>345</v>
      </c>
      <c r="K11" s="12">
        <f t="shared" si="1"/>
        <v>0.23655913978494625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1</v>
      </c>
      <c r="P11" s="1">
        <f>VLOOKUP(A:A,MASTER!A:H,8,0)</f>
        <v>4</v>
      </c>
      <c r="Q11" s="12">
        <f t="shared" si="3"/>
        <v>3</v>
      </c>
      <c r="R11" s="1">
        <f>VLOOKUP(A:A,MASTER!A:B,2,0)</f>
        <v>369</v>
      </c>
      <c r="S11">
        <f>VLOOKUP(A:A,MASTER!A:G,7,0)</f>
        <v>438</v>
      </c>
      <c r="T11" s="12">
        <f t="shared" si="4"/>
        <v>0.18699186991869921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4263391.5358173661</v>
      </c>
      <c r="G12" s="1">
        <f>VLOOKUP(A:A,MASTER!A:K,11,0)</f>
        <v>3915245.4085396952</v>
      </c>
      <c r="H12" s="12">
        <f t="shared" si="0"/>
        <v>-8.1659431078014988E-2</v>
      </c>
      <c r="I12" s="2">
        <f>VLOOKUP(A:A,MASTER!A:E,5,0)</f>
        <v>312</v>
      </c>
      <c r="J12" s="2">
        <f>VLOOKUP(A:A,MASTER!A:J,10,0)</f>
        <v>216</v>
      </c>
      <c r="K12" s="12">
        <f t="shared" si="1"/>
        <v>-0.30769230769230771</v>
      </c>
      <c r="L12" s="2">
        <f>VLOOKUP(A:A,MASTER!A:D,4,0)</f>
        <v>2</v>
      </c>
      <c r="M12" s="2">
        <f>VLOOKUP(A:A,MASTER!A:I,9,0)</f>
        <v>1</v>
      </c>
      <c r="N12" s="12">
        <f t="shared" si="2"/>
        <v>-0.5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211</v>
      </c>
      <c r="S12">
        <f>VLOOKUP(A:A,MASTER!A:G,7,0)</f>
        <v>225</v>
      </c>
      <c r="T12" s="12">
        <f t="shared" si="4"/>
        <v>6.6350710900473953E-2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4667851.798819243</v>
      </c>
      <c r="G13" s="1">
        <f>VLOOKUP(A:A,MASTER!A:K,11,0)</f>
        <v>4870420.3489419278</v>
      </c>
      <c r="H13" s="12">
        <f t="shared" si="0"/>
        <v>4.3396525608187853E-2</v>
      </c>
      <c r="I13" s="2">
        <f>VLOOKUP(A:A,MASTER!A:E,5,0)</f>
        <v>225</v>
      </c>
      <c r="J13" s="2">
        <f>VLOOKUP(A:A,MASTER!A:J,10,0)</f>
        <v>207</v>
      </c>
      <c r="K13" s="12">
        <f t="shared" si="1"/>
        <v>-7.999999999999996E-2</v>
      </c>
      <c r="L13" s="2">
        <f>VLOOKUP(A:A,MASTER!A:D,4,0)</f>
        <v>2</v>
      </c>
      <c r="M13" s="2">
        <f>VLOOKUP(A:A,MASTER!A:I,9,0)</f>
        <v>0</v>
      </c>
      <c r="N13" s="12">
        <f t="shared" si="2"/>
        <v>-1</v>
      </c>
      <c r="O13" s="1">
        <f>VLOOKUP(A:A,MASTER!A:C,3,0)</f>
        <v>1</v>
      </c>
      <c r="P13" s="1">
        <f>VLOOKUP(A:A,MASTER!A:H,8,0)</f>
        <v>0</v>
      </c>
      <c r="Q13" s="12">
        <f t="shared" si="3"/>
        <v>-1</v>
      </c>
      <c r="R13" s="1">
        <f>VLOOKUP(A:A,MASTER!A:B,2,0)</f>
        <v>244</v>
      </c>
      <c r="S13">
        <f>VLOOKUP(A:A,MASTER!A:G,7,0)</f>
        <v>261</v>
      </c>
      <c r="T13" s="12">
        <f t="shared" si="4"/>
        <v>6.9672131147541005E-2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17549914.722498216</v>
      </c>
      <c r="G14" s="1">
        <f>VLOOKUP(A:A,MASTER!A:K,11,0)</f>
        <v>26970696.540104352</v>
      </c>
      <c r="H14" s="12">
        <f t="shared" si="0"/>
        <v>0.53679929313440544</v>
      </c>
      <c r="I14" s="2">
        <f>VLOOKUP(A:A,MASTER!A:E,5,0)</f>
        <v>1196</v>
      </c>
      <c r="J14" s="2">
        <f>VLOOKUP(A:A,MASTER!A:J,10,0)</f>
        <v>1265</v>
      </c>
      <c r="K14" s="12">
        <f t="shared" si="1"/>
        <v>5.7692307692307709E-2</v>
      </c>
      <c r="L14" s="2">
        <f>VLOOKUP(A:A,MASTER!A:D,4,0)</f>
        <v>3</v>
      </c>
      <c r="M14" s="2">
        <f>VLOOKUP(A:A,MASTER!A:I,9,0)</f>
        <v>5</v>
      </c>
      <c r="N14" s="12">
        <f t="shared" si="2"/>
        <v>0.66666666666666674</v>
      </c>
      <c r="O14" s="1">
        <f>VLOOKUP(A:A,MASTER!A:C,3,0)</f>
        <v>3</v>
      </c>
      <c r="P14" s="1">
        <f>VLOOKUP(A:A,MASTER!A:H,8,0)</f>
        <v>6</v>
      </c>
      <c r="Q14" s="12">
        <f t="shared" si="3"/>
        <v>1</v>
      </c>
      <c r="R14" s="1">
        <f>VLOOKUP(A:A,MASTER!A:B,2,0)</f>
        <v>1425</v>
      </c>
      <c r="S14">
        <f>VLOOKUP(A:A,MASTER!A:G,7,0)</f>
        <v>1354</v>
      </c>
      <c r="T14" s="12">
        <f t="shared" si="4"/>
        <v>-4.9824561403508771E-2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31902479.662608825</v>
      </c>
      <c r="G15" s="1">
        <f>VLOOKUP(A:A,MASTER!A:K,11,0)</f>
        <v>38515117.497534238</v>
      </c>
      <c r="H15" s="12">
        <f t="shared" si="0"/>
        <v>0.207276609995797</v>
      </c>
      <c r="I15" s="2">
        <f>VLOOKUP(A:A,MASTER!A:E,5,0)</f>
        <v>912</v>
      </c>
      <c r="J15" s="2">
        <f>VLOOKUP(A:A,MASTER!A:J,10,0)</f>
        <v>903</v>
      </c>
      <c r="K15" s="12">
        <f t="shared" si="1"/>
        <v>-9.8684210526315264E-3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1</v>
      </c>
      <c r="P15" s="1">
        <f>VLOOKUP(A:A,MASTER!A:H,8,0)</f>
        <v>0</v>
      </c>
      <c r="Q15" s="12">
        <f t="shared" si="3"/>
        <v>-1</v>
      </c>
      <c r="R15" s="1">
        <f>VLOOKUP(A:A,MASTER!A:B,2,0)</f>
        <v>1229</v>
      </c>
      <c r="S15">
        <f>VLOOKUP(A:A,MASTER!A:G,7,0)</f>
        <v>1104</v>
      </c>
      <c r="T15" s="12">
        <f t="shared" si="4"/>
        <v>-0.1017087062652563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18358012.535915993</v>
      </c>
      <c r="G16" s="1">
        <f>VLOOKUP(A:A,MASTER!A:K,11,0)</f>
        <v>18617387.113703057</v>
      </c>
      <c r="H16" s="12">
        <f t="shared" si="0"/>
        <v>1.4128685078497405E-2</v>
      </c>
      <c r="I16" s="2">
        <f>VLOOKUP(A:A,MASTER!A:E,5,0)</f>
        <v>874</v>
      </c>
      <c r="J16" s="2">
        <f>VLOOKUP(A:A,MASTER!A:J,10,0)</f>
        <v>939</v>
      </c>
      <c r="K16" s="12">
        <f t="shared" si="1"/>
        <v>7.4370709382151068E-2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2</v>
      </c>
      <c r="P16" s="1">
        <f>VLOOKUP(A:A,MASTER!A:H,8,0)</f>
        <v>4</v>
      </c>
      <c r="Q16" s="12">
        <f t="shared" si="3"/>
        <v>1</v>
      </c>
      <c r="R16" s="1">
        <f>VLOOKUP(A:A,MASTER!A:B,2,0)</f>
        <v>1028</v>
      </c>
      <c r="S16">
        <f>VLOOKUP(A:A,MASTER!A:G,7,0)</f>
        <v>1056</v>
      </c>
      <c r="T16" s="12">
        <f t="shared" si="4"/>
        <v>2.7237354085603016E-2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13351489.596777396</v>
      </c>
      <c r="G17" s="1">
        <f>VLOOKUP(A:A,MASTER!A:K,11,0)</f>
        <v>17444471.917847052</v>
      </c>
      <c r="H17" s="12">
        <f t="shared" si="0"/>
        <v>0.30655623040425128</v>
      </c>
      <c r="I17" s="2">
        <f>VLOOKUP(A:A,MASTER!A:E,5,0)</f>
        <v>683</v>
      </c>
      <c r="J17" s="2">
        <f>VLOOKUP(A:A,MASTER!A:J,10,0)</f>
        <v>675</v>
      </c>
      <c r="K17" s="12">
        <f t="shared" si="1"/>
        <v>-1.171303074670571E-2</v>
      </c>
      <c r="L17" s="2">
        <f>VLOOKUP(A:A,MASTER!A:D,4,0)</f>
        <v>3</v>
      </c>
      <c r="M17" s="2">
        <f>VLOOKUP(A:A,MASTER!A:I,9,0)</f>
        <v>4</v>
      </c>
      <c r="N17" s="12">
        <f t="shared" si="2"/>
        <v>0.33333333333333326</v>
      </c>
      <c r="O17" s="1">
        <f>VLOOKUP(A:A,MASTER!A:C,3,0)</f>
        <v>3</v>
      </c>
      <c r="P17" s="1">
        <f>VLOOKUP(A:A,MASTER!A:H,8,0)</f>
        <v>1</v>
      </c>
      <c r="Q17" s="12">
        <f t="shared" si="3"/>
        <v>-0.66666666666666674</v>
      </c>
      <c r="R17" s="1">
        <f>VLOOKUP(A:A,MASTER!A:B,2,0)</f>
        <v>906</v>
      </c>
      <c r="S17">
        <f>VLOOKUP(A:A,MASTER!A:G,7,0)</f>
        <v>761</v>
      </c>
      <c r="T17" s="12">
        <f t="shared" si="4"/>
        <v>-0.16004415011037532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68183269.217183471</v>
      </c>
      <c r="G18" s="1">
        <f>VLOOKUP(A:A,MASTER!A:K,11,0)</f>
        <v>63285344.748622917</v>
      </c>
      <c r="H18" s="12">
        <f t="shared" si="0"/>
        <v>-7.1834696763501404E-2</v>
      </c>
      <c r="I18" s="2">
        <f>VLOOKUP(A:A,MASTER!A:E,5,0)</f>
        <v>2034</v>
      </c>
      <c r="J18" s="2">
        <f>VLOOKUP(A:A,MASTER!A:J,10,0)</f>
        <v>2171</v>
      </c>
      <c r="K18" s="12">
        <f t="shared" si="1"/>
        <v>6.735496558505405E-2</v>
      </c>
      <c r="L18" s="2">
        <f>VLOOKUP(A:A,MASTER!A:D,4,0)</f>
        <v>10</v>
      </c>
      <c r="M18" s="2">
        <f>VLOOKUP(A:A,MASTER!A:I,9,0)</f>
        <v>12</v>
      </c>
      <c r="N18" s="12">
        <f t="shared" si="2"/>
        <v>0.19999999999999996</v>
      </c>
      <c r="O18" s="1">
        <f>VLOOKUP(A:A,MASTER!A:C,3,0)</f>
        <v>173</v>
      </c>
      <c r="P18" s="1">
        <f>VLOOKUP(A:A,MASTER!A:H,8,0)</f>
        <v>105</v>
      </c>
      <c r="Q18" s="12">
        <f t="shared" si="3"/>
        <v>-0.39306358381502893</v>
      </c>
      <c r="R18" s="1">
        <f>VLOOKUP(A:A,MASTER!A:B,2,0)</f>
        <v>2849</v>
      </c>
      <c r="S18">
        <f>VLOOKUP(A:A,MASTER!A:G,7,0)</f>
        <v>2793</v>
      </c>
      <c r="T18" s="12">
        <f t="shared" si="4"/>
        <v>-1.9656019656019708E-2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15904666.583410226</v>
      </c>
      <c r="G19" s="1">
        <f>VLOOKUP(A:A,MASTER!A:K,11,0)</f>
        <v>33239044.280500673</v>
      </c>
      <c r="H19" s="12">
        <f t="shared" si="0"/>
        <v>1.0898925548789258</v>
      </c>
      <c r="I19" s="2">
        <f>VLOOKUP(A:A,MASTER!A:E,5,0)</f>
        <v>1139</v>
      </c>
      <c r="J19" s="2">
        <f>VLOOKUP(A:A,MASTER!A:J,10,0)</f>
        <v>1163</v>
      </c>
      <c r="K19" s="12">
        <f t="shared" si="1"/>
        <v>2.1071115013169495E-2</v>
      </c>
      <c r="L19" s="2">
        <f>VLOOKUP(A:A,MASTER!A:D,4,0)</f>
        <v>1</v>
      </c>
      <c r="M19" s="2">
        <f>VLOOKUP(A:A,MASTER!A:I,9,0)</f>
        <v>2</v>
      </c>
      <c r="N19" s="12">
        <f t="shared" si="2"/>
        <v>1</v>
      </c>
      <c r="O19" s="1">
        <f>VLOOKUP(A:A,MASTER!A:C,3,0)</f>
        <v>3</v>
      </c>
      <c r="P19" s="1">
        <f>VLOOKUP(A:A,MASTER!A:H,8,0)</f>
        <v>5</v>
      </c>
      <c r="Q19" s="12">
        <f t="shared" si="3"/>
        <v>0.66666666666666674</v>
      </c>
      <c r="R19" s="1">
        <f>VLOOKUP(A:A,MASTER!A:B,2,0)</f>
        <v>1374</v>
      </c>
      <c r="S19">
        <f>VLOOKUP(A:A,MASTER!A:G,7,0)</f>
        <v>1304</v>
      </c>
      <c r="T19" s="12">
        <f t="shared" si="4"/>
        <v>-5.0946142649199389E-2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67552670.420068413</v>
      </c>
      <c r="G20" s="1">
        <f>VLOOKUP(A:A,MASTER!A:K,11,0)</f>
        <v>58198730.291162997</v>
      </c>
      <c r="H20" s="12">
        <f t="shared" si="0"/>
        <v>-0.13846884321136421</v>
      </c>
      <c r="I20" s="2">
        <f>VLOOKUP(A:A,MASTER!A:E,5,0)</f>
        <v>2177</v>
      </c>
      <c r="J20" s="2">
        <f>VLOOKUP(A:A,MASTER!A:J,10,0)</f>
        <v>2146</v>
      </c>
      <c r="K20" s="12">
        <f t="shared" si="1"/>
        <v>-1.4239779513091411E-2</v>
      </c>
      <c r="L20" s="2">
        <f>VLOOKUP(A:A,MASTER!A:D,4,0)</f>
        <v>10</v>
      </c>
      <c r="M20" s="2">
        <f>VLOOKUP(A:A,MASTER!A:I,9,0)</f>
        <v>10</v>
      </c>
      <c r="N20" s="12">
        <f t="shared" si="2"/>
        <v>0</v>
      </c>
      <c r="O20" s="1">
        <f>VLOOKUP(A:A,MASTER!A:C,3,0)</f>
        <v>15</v>
      </c>
      <c r="P20" s="1">
        <f>VLOOKUP(A:A,MASTER!A:H,8,0)</f>
        <v>5</v>
      </c>
      <c r="Q20" s="12">
        <f t="shared" si="3"/>
        <v>-0.66666666666666674</v>
      </c>
      <c r="R20" s="1">
        <f>VLOOKUP(A:A,MASTER!A:B,2,0)</f>
        <v>2974</v>
      </c>
      <c r="S20">
        <f>VLOOKUP(A:A,MASTER!A:G,7,0)</f>
        <v>2498</v>
      </c>
      <c r="T20" s="12">
        <f t="shared" si="4"/>
        <v>-0.16005379959650301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10254185.087530892</v>
      </c>
      <c r="G21" s="1">
        <f>VLOOKUP(A:A,MASTER!A:K,11,0)</f>
        <v>9326802.7803758383</v>
      </c>
      <c r="H21" s="12">
        <f t="shared" si="0"/>
        <v>-9.0439396133267791E-2</v>
      </c>
      <c r="I21" s="2">
        <f>VLOOKUP(A:A,MASTER!A:E,5,0)</f>
        <v>464</v>
      </c>
      <c r="J21" s="2">
        <f>VLOOKUP(A:A,MASTER!A:J,10,0)</f>
        <v>483</v>
      </c>
      <c r="K21" s="12">
        <f t="shared" si="1"/>
        <v>4.094827586206895E-2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4</v>
      </c>
      <c r="P21" s="1">
        <f>VLOOKUP(A:A,MASTER!A:H,8,0)</f>
        <v>2</v>
      </c>
      <c r="Q21" s="12">
        <f t="shared" si="3"/>
        <v>-0.5</v>
      </c>
      <c r="R21" s="1">
        <f>VLOOKUP(A:A,MASTER!A:B,2,0)</f>
        <v>540</v>
      </c>
      <c r="S21">
        <f>VLOOKUP(A:A,MASTER!A:G,7,0)</f>
        <v>502</v>
      </c>
      <c r="T21" s="12">
        <f t="shared" si="4"/>
        <v>-7.0370370370370416E-2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27775459.775627609</v>
      </c>
      <c r="G22" s="1">
        <f>VLOOKUP(A:A,MASTER!A:K,11,0)</f>
        <v>25275052.162944004</v>
      </c>
      <c r="H22" s="12">
        <f t="shared" si="0"/>
        <v>-9.0022186234975043E-2</v>
      </c>
      <c r="I22" s="2">
        <f>VLOOKUP(A:A,MASTER!A:E,5,0)</f>
        <v>1306</v>
      </c>
      <c r="J22" s="2">
        <f>VLOOKUP(A:A,MASTER!A:J,10,0)</f>
        <v>1492</v>
      </c>
      <c r="K22" s="12">
        <f t="shared" si="1"/>
        <v>0.14241960183767222</v>
      </c>
      <c r="L22" s="2">
        <f>VLOOKUP(A:A,MASTER!A:D,4,0)</f>
        <v>1</v>
      </c>
      <c r="M22" s="2">
        <f>VLOOKUP(A:A,MASTER!A:I,9,0)</f>
        <v>1</v>
      </c>
      <c r="N22" s="12">
        <f t="shared" si="2"/>
        <v>0</v>
      </c>
      <c r="O22" s="1">
        <f>VLOOKUP(A:A,MASTER!A:C,3,0)</f>
        <v>15</v>
      </c>
      <c r="P22" s="1">
        <f>VLOOKUP(A:A,MASTER!A:H,8,0)</f>
        <v>14</v>
      </c>
      <c r="Q22" s="12">
        <f t="shared" si="3"/>
        <v>-6.6666666666666652E-2</v>
      </c>
      <c r="R22" s="1">
        <f>VLOOKUP(A:A,MASTER!A:B,2,0)</f>
        <v>1728</v>
      </c>
      <c r="S22">
        <f>VLOOKUP(A:A,MASTER!A:G,7,0)</f>
        <v>1859</v>
      </c>
      <c r="T22" s="12">
        <f t="shared" si="4"/>
        <v>7.5810185185185119E-2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11036402.959192213</v>
      </c>
      <c r="G23" s="1">
        <f>VLOOKUP(A:A,MASTER!A:K,11,0)</f>
        <v>10793154.824868249</v>
      </c>
      <c r="H23" s="12">
        <f t="shared" si="0"/>
        <v>-2.2040526720833675E-2</v>
      </c>
      <c r="I23" s="2">
        <f>VLOOKUP(A:A,MASTER!A:E,5,0)</f>
        <v>758</v>
      </c>
      <c r="J23" s="2">
        <f>VLOOKUP(A:A,MASTER!A:J,10,0)</f>
        <v>807</v>
      </c>
      <c r="K23" s="12">
        <f t="shared" si="1"/>
        <v>6.4643799472295482E-2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8</v>
      </c>
      <c r="P23" s="1">
        <f>VLOOKUP(A:A,MASTER!A:H,8,0)</f>
        <v>5</v>
      </c>
      <c r="Q23" s="12">
        <f t="shared" si="3"/>
        <v>-0.375</v>
      </c>
      <c r="R23" s="1">
        <f>VLOOKUP(A:A,MASTER!A:B,2,0)</f>
        <v>875</v>
      </c>
      <c r="S23">
        <f>VLOOKUP(A:A,MASTER!A:G,7,0)</f>
        <v>885</v>
      </c>
      <c r="T23" s="12">
        <f t="shared" si="4"/>
        <v>1.1428571428571344E-2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14021428.057064189</v>
      </c>
      <c r="G24" s="1">
        <f>VLOOKUP(A:A,MASTER!A:K,11,0)</f>
        <v>13439375.56318808</v>
      </c>
      <c r="H24" s="12">
        <f t="shared" si="0"/>
        <v>-4.1511641432476099E-2</v>
      </c>
      <c r="I24" s="2">
        <f>VLOOKUP(A:A,MASTER!A:E,5,0)</f>
        <v>872</v>
      </c>
      <c r="J24" s="2">
        <f>VLOOKUP(A:A,MASTER!A:J,10,0)</f>
        <v>763</v>
      </c>
      <c r="K24" s="12">
        <f t="shared" si="1"/>
        <v>-0.125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5</v>
      </c>
      <c r="P24" s="1">
        <f>VLOOKUP(A:A,MASTER!A:H,8,0)</f>
        <v>1</v>
      </c>
      <c r="Q24" s="12">
        <f t="shared" si="3"/>
        <v>-0.8</v>
      </c>
      <c r="R24" s="1">
        <f>VLOOKUP(A:A,MASTER!A:B,2,0)</f>
        <v>887</v>
      </c>
      <c r="S24">
        <f>VLOOKUP(A:A,MASTER!A:G,7,0)</f>
        <v>888</v>
      </c>
      <c r="T24" s="12">
        <f t="shared" si="4"/>
        <v>1.1273957158963732E-3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2987521.6738292631</v>
      </c>
      <c r="G25" s="1">
        <f>VLOOKUP(A:A,MASTER!A:K,11,0)</f>
        <v>3444507.7473005932</v>
      </c>
      <c r="H25" s="12">
        <f t="shared" si="0"/>
        <v>0.15296493996161953</v>
      </c>
      <c r="I25" s="2">
        <f>VLOOKUP(A:A,MASTER!A:E,5,0)</f>
        <v>180</v>
      </c>
      <c r="J25" s="2">
        <f>VLOOKUP(A:A,MASTER!A:J,10,0)</f>
        <v>224</v>
      </c>
      <c r="K25" s="12">
        <f t="shared" si="1"/>
        <v>0.24444444444444446</v>
      </c>
      <c r="L25" s="2">
        <f>VLOOKUP(A:A,MASTER!A:D,4,0)</f>
        <v>2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230</v>
      </c>
      <c r="S25">
        <f>VLOOKUP(A:A,MASTER!A:G,7,0)</f>
        <v>233</v>
      </c>
      <c r="T25" s="12">
        <f t="shared" si="4"/>
        <v>1.304347826086949E-2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26097918.150558844</v>
      </c>
      <c r="G26" s="1">
        <f>VLOOKUP(A:A,MASTER!A:K,11,0)</f>
        <v>26699945.286994319</v>
      </c>
      <c r="H26" s="12">
        <f t="shared" si="0"/>
        <v>2.3068013814833144E-2</v>
      </c>
      <c r="I26" s="2">
        <f>VLOOKUP(A:A,MASTER!A:E,5,0)</f>
        <v>1500</v>
      </c>
      <c r="J26" s="2">
        <f>VLOOKUP(A:A,MASTER!A:J,10,0)</f>
        <v>1624</v>
      </c>
      <c r="K26" s="12">
        <f t="shared" si="1"/>
        <v>8.2666666666666666E-2</v>
      </c>
      <c r="L26" s="2">
        <f>VLOOKUP(A:A,MASTER!A:D,4,0)</f>
        <v>5</v>
      </c>
      <c r="M26" s="2">
        <f>VLOOKUP(A:A,MASTER!A:I,9,0)</f>
        <v>5</v>
      </c>
      <c r="N26" s="12">
        <f t="shared" si="2"/>
        <v>0</v>
      </c>
      <c r="O26" s="1">
        <f>VLOOKUP(A:A,MASTER!A:C,3,0)</f>
        <v>9</v>
      </c>
      <c r="P26" s="1">
        <f>VLOOKUP(A:A,MASTER!A:H,8,0)</f>
        <v>3</v>
      </c>
      <c r="Q26" s="12">
        <f t="shared" si="3"/>
        <v>-0.66666666666666674</v>
      </c>
      <c r="R26" s="1">
        <f>VLOOKUP(A:A,MASTER!A:B,2,0)</f>
        <v>1660</v>
      </c>
      <c r="S26">
        <f>VLOOKUP(A:A,MASTER!A:G,7,0)</f>
        <v>1827</v>
      </c>
      <c r="T26" s="12">
        <f t="shared" si="4"/>
        <v>0.10060240963855427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21408157.92547648</v>
      </c>
      <c r="G27" s="1">
        <f>VLOOKUP(A:A,MASTER!A:K,11,0)</f>
        <v>23972515.811498009</v>
      </c>
      <c r="H27" s="12">
        <f t="shared" si="0"/>
        <v>0.11978414466804033</v>
      </c>
      <c r="I27" s="2">
        <f>VLOOKUP(A:A,MASTER!A:E,5,0)</f>
        <v>558</v>
      </c>
      <c r="J27" s="2">
        <f>VLOOKUP(A:A,MASTER!A:J,10,0)</f>
        <v>669</v>
      </c>
      <c r="K27" s="12">
        <f t="shared" si="1"/>
        <v>0.19892473118279574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1</v>
      </c>
      <c r="P27" s="1">
        <f>VLOOKUP(A:A,MASTER!A:H,8,0)</f>
        <v>3</v>
      </c>
      <c r="Q27" s="12">
        <f t="shared" si="3"/>
        <v>2</v>
      </c>
      <c r="R27" s="1">
        <f>VLOOKUP(A:A,MASTER!A:B,2,0)</f>
        <v>875</v>
      </c>
      <c r="S27">
        <f>VLOOKUP(A:A,MASTER!A:G,7,0)</f>
        <v>795</v>
      </c>
      <c r="T27" s="12">
        <f t="shared" si="4"/>
        <v>-9.1428571428571415E-2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20992871.884413186</v>
      </c>
      <c r="G28" s="1">
        <f>VLOOKUP(A:A,MASTER!A:K,11,0)</f>
        <v>23572892.259057939</v>
      </c>
      <c r="H28" s="12">
        <f t="shared" si="0"/>
        <v>0.1228998294683239</v>
      </c>
      <c r="I28" s="2">
        <f>VLOOKUP(A:A,MASTER!A:E,5,0)</f>
        <v>608</v>
      </c>
      <c r="J28" s="2">
        <f>VLOOKUP(A:A,MASTER!A:J,10,0)</f>
        <v>881</v>
      </c>
      <c r="K28" s="12">
        <f t="shared" si="1"/>
        <v>0.44901315789473695</v>
      </c>
      <c r="L28" s="2">
        <f>VLOOKUP(A:A,MASTER!A:D,4,0)</f>
        <v>2</v>
      </c>
      <c r="M28" s="2">
        <f>VLOOKUP(A:A,MASTER!A:I,9,0)</f>
        <v>2</v>
      </c>
      <c r="N28" s="12">
        <f t="shared" si="2"/>
        <v>0</v>
      </c>
      <c r="O28" s="1">
        <f>VLOOKUP(A:A,MASTER!A:C,3,0)</f>
        <v>2</v>
      </c>
      <c r="P28" s="1">
        <f>VLOOKUP(A:A,MASTER!A:H,8,0)</f>
        <v>1</v>
      </c>
      <c r="Q28" s="12">
        <f t="shared" si="3"/>
        <v>-0.5</v>
      </c>
      <c r="R28" s="1">
        <f>VLOOKUP(A:A,MASTER!A:B,2,0)</f>
        <v>1061</v>
      </c>
      <c r="S28">
        <f>VLOOKUP(A:A,MASTER!A:G,7,0)</f>
        <v>1052</v>
      </c>
      <c r="T28" s="12">
        <f t="shared" si="4"/>
        <v>-8.4825636192271681E-3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28355830.721760739</v>
      </c>
      <c r="G29" s="1">
        <f>VLOOKUP(A:A,MASTER!A:K,11,0)</f>
        <v>29858563.383784257</v>
      </c>
      <c r="H29" s="12">
        <f t="shared" si="0"/>
        <v>5.2995543553950419E-2</v>
      </c>
      <c r="I29" s="2">
        <f>VLOOKUP(A:A,MASTER!A:E,5,0)</f>
        <v>851</v>
      </c>
      <c r="J29" s="2">
        <f>VLOOKUP(A:A,MASTER!A:J,10,0)</f>
        <v>854</v>
      </c>
      <c r="K29" s="12">
        <f t="shared" si="1"/>
        <v>3.5252643948295859E-3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2</v>
      </c>
      <c r="P29" s="1">
        <f>VLOOKUP(A:A,MASTER!A:H,8,0)</f>
        <v>2</v>
      </c>
      <c r="Q29" s="12">
        <f t="shared" si="3"/>
        <v>0</v>
      </c>
      <c r="R29" s="1">
        <f>VLOOKUP(A:A,MASTER!A:B,2,0)</f>
        <v>1116</v>
      </c>
      <c r="S29">
        <f>VLOOKUP(A:A,MASTER!A:G,7,0)</f>
        <v>1010</v>
      </c>
      <c r="T29" s="12">
        <f t="shared" si="4"/>
        <v>-9.4982078853046548E-2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40601238.013903379</v>
      </c>
      <c r="G30" s="1">
        <f>VLOOKUP(A:A,MASTER!A:K,11,0)</f>
        <v>41739242.360557027</v>
      </c>
      <c r="H30" s="12">
        <f t="shared" si="0"/>
        <v>2.8028809029516655E-2</v>
      </c>
      <c r="I30" s="2">
        <f>VLOOKUP(A:A,MASTER!A:E,5,0)</f>
        <v>1178</v>
      </c>
      <c r="J30" s="2">
        <f>VLOOKUP(A:A,MASTER!A:J,10,0)</f>
        <v>1201</v>
      </c>
      <c r="K30" s="12">
        <f t="shared" si="1"/>
        <v>1.9524617996604432E-2</v>
      </c>
      <c r="L30" s="2">
        <f>VLOOKUP(A:A,MASTER!A:D,4,0)</f>
        <v>4</v>
      </c>
      <c r="M30" s="2">
        <f>VLOOKUP(A:A,MASTER!A:I,9,0)</f>
        <v>2</v>
      </c>
      <c r="N30" s="12">
        <f t="shared" si="2"/>
        <v>-0.5</v>
      </c>
      <c r="O30" s="1">
        <f>VLOOKUP(A:A,MASTER!A:C,3,0)</f>
        <v>4</v>
      </c>
      <c r="P30" s="1">
        <f>VLOOKUP(A:A,MASTER!A:H,8,0)</f>
        <v>3</v>
      </c>
      <c r="Q30" s="12">
        <f t="shared" si="3"/>
        <v>-0.25</v>
      </c>
      <c r="R30" s="1">
        <f>VLOOKUP(A:A,MASTER!A:B,2,0)</f>
        <v>1448</v>
      </c>
      <c r="S30">
        <f>VLOOKUP(A:A,MASTER!A:G,7,0)</f>
        <v>1321</v>
      </c>
      <c r="T30" s="12">
        <f t="shared" si="4"/>
        <v>-8.7707182320441945E-2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16636175.449088316</v>
      </c>
      <c r="G31" s="1">
        <f>VLOOKUP(A:A,MASTER!A:K,11,0)</f>
        <v>16939342.25355164</v>
      </c>
      <c r="H31" s="12">
        <f t="shared" si="0"/>
        <v>1.8223347390817324E-2</v>
      </c>
      <c r="I31" s="2">
        <f>VLOOKUP(A:A,MASTER!A:E,5,0)</f>
        <v>493</v>
      </c>
      <c r="J31" s="2">
        <f>VLOOKUP(A:A,MASTER!A:J,10,0)</f>
        <v>762</v>
      </c>
      <c r="K31" s="12">
        <f t="shared" si="1"/>
        <v>0.54563894523326573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0</v>
      </c>
      <c r="P31" s="1">
        <f>VLOOKUP(A:A,MASTER!A:H,8,0)</f>
        <v>3</v>
      </c>
      <c r="Q31" s="12">
        <f t="shared" si="3"/>
        <v>0</v>
      </c>
      <c r="R31" s="1">
        <f>VLOOKUP(A:A,MASTER!A:B,2,0)</f>
        <v>684</v>
      </c>
      <c r="S31">
        <f>VLOOKUP(A:A,MASTER!A:G,7,0)</f>
        <v>807</v>
      </c>
      <c r="T31" s="12">
        <f t="shared" si="4"/>
        <v>0.17982456140350878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46539327.260969058</v>
      </c>
      <c r="G32" s="1">
        <f>VLOOKUP(A:A,MASTER!A:K,11,0)</f>
        <v>32734730.545260098</v>
      </c>
      <c r="H32" s="12">
        <f t="shared" si="0"/>
        <v>-0.29662218016817798</v>
      </c>
      <c r="I32" s="2">
        <f>VLOOKUP(A:A,MASTER!A:E,5,0)</f>
        <v>70</v>
      </c>
      <c r="J32" s="2">
        <f>VLOOKUP(A:A,MASTER!A:J,10,0)</f>
        <v>1613</v>
      </c>
      <c r="K32" s="12">
        <f t="shared" si="1"/>
        <v>22.042857142857144</v>
      </c>
      <c r="L32" s="2">
        <f>VLOOKUP(A:A,MASTER!A:D,4,0)</f>
        <v>10</v>
      </c>
      <c r="M32" s="2">
        <f>VLOOKUP(A:A,MASTER!A:I,9,0)</f>
        <v>6</v>
      </c>
      <c r="N32" s="12">
        <f t="shared" si="2"/>
        <v>-0.4</v>
      </c>
      <c r="O32" s="1">
        <f>VLOOKUP(A:A,MASTER!A:C,3,0)</f>
        <v>6</v>
      </c>
      <c r="P32" s="1">
        <f>VLOOKUP(A:A,MASTER!A:H,8,0)</f>
        <v>3</v>
      </c>
      <c r="Q32" s="12">
        <f t="shared" si="3"/>
        <v>-0.5</v>
      </c>
      <c r="R32" s="1">
        <f>VLOOKUP(A:A,MASTER!A:B,2,0)</f>
        <v>1925</v>
      </c>
      <c r="S32">
        <f>VLOOKUP(A:A,MASTER!A:G,7,0)</f>
        <v>1785</v>
      </c>
      <c r="T32" s="12">
        <f t="shared" si="4"/>
        <v>-7.2727272727272751E-2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16874087.423591021</v>
      </c>
      <c r="G33" s="1">
        <f>VLOOKUP(A:A,MASTER!A:K,11,0)</f>
        <v>17298861.003520712</v>
      </c>
      <c r="H33" s="12">
        <f t="shared" si="0"/>
        <v>2.5173129027163288E-2</v>
      </c>
      <c r="I33" s="2">
        <f>VLOOKUP(A:A,MASTER!A:E,5,0)</f>
        <v>783</v>
      </c>
      <c r="J33" s="2">
        <f>VLOOKUP(A:A,MASTER!A:J,10,0)</f>
        <v>680</v>
      </c>
      <c r="K33" s="12">
        <f t="shared" si="1"/>
        <v>-0.1315453384418902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2</v>
      </c>
      <c r="P33" s="1">
        <f>VLOOKUP(A:A,MASTER!A:H,8,0)</f>
        <v>2</v>
      </c>
      <c r="Q33" s="12">
        <f t="shared" si="3"/>
        <v>0</v>
      </c>
      <c r="R33" s="1">
        <f>VLOOKUP(A:A,MASTER!A:B,2,0)</f>
        <v>844</v>
      </c>
      <c r="S33">
        <f>VLOOKUP(A:A,MASTER!A:G,7,0)</f>
        <v>799</v>
      </c>
      <c r="T33" s="12">
        <f t="shared" si="4"/>
        <v>-5.331753554502372E-2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16191205.913323352</v>
      </c>
      <c r="G34" s="1">
        <f>VLOOKUP(A:A,MASTER!A:K,11,0)</f>
        <v>15397482.675662059</v>
      </c>
      <c r="H34" s="12">
        <f t="shared" si="0"/>
        <v>-4.9021872855570137E-2</v>
      </c>
      <c r="I34" s="2">
        <f>VLOOKUP(A:A,MASTER!A:E,5,0)</f>
        <v>562</v>
      </c>
      <c r="J34" s="2">
        <f>VLOOKUP(A:A,MASTER!A:J,10,0)</f>
        <v>633</v>
      </c>
      <c r="K34" s="12">
        <f t="shared" si="1"/>
        <v>0.12633451957295372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1</v>
      </c>
      <c r="P34" s="1">
        <f>VLOOKUP(A:A,MASTER!A:H,8,0)</f>
        <v>1</v>
      </c>
      <c r="Q34" s="12">
        <f t="shared" si="3"/>
        <v>0</v>
      </c>
      <c r="R34" s="1">
        <f>VLOOKUP(A:A,MASTER!A:B,2,0)</f>
        <v>745</v>
      </c>
      <c r="S34">
        <f>VLOOKUP(A:A,MASTER!A:G,7,0)</f>
        <v>801</v>
      </c>
      <c r="T34" s="12">
        <f t="shared" si="4"/>
        <v>7.5167785234899309E-2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23979908.496460751</v>
      </c>
      <c r="G35" s="1">
        <f>VLOOKUP(A:A,MASTER!A:K,11,0)</f>
        <v>27238703.996070687</v>
      </c>
      <c r="H35" s="12">
        <f t="shared" si="0"/>
        <v>0.13589691137023774</v>
      </c>
      <c r="I35" s="2">
        <f>VLOOKUP(A:A,MASTER!A:E,5,0)</f>
        <v>868</v>
      </c>
      <c r="J35" s="2">
        <f>VLOOKUP(A:A,MASTER!A:J,10,0)</f>
        <v>910</v>
      </c>
      <c r="K35" s="12">
        <f t="shared" si="1"/>
        <v>4.8387096774193505E-2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12</v>
      </c>
      <c r="P35" s="1">
        <f>VLOOKUP(A:A,MASTER!A:H,8,0)</f>
        <v>5</v>
      </c>
      <c r="Q35" s="12">
        <f t="shared" si="3"/>
        <v>-0.58333333333333326</v>
      </c>
      <c r="R35" s="1">
        <f>VLOOKUP(A:A,MASTER!A:B,2,0)</f>
        <v>1160</v>
      </c>
      <c r="S35">
        <f>VLOOKUP(A:A,MASTER!A:G,7,0)</f>
        <v>1428</v>
      </c>
      <c r="T35" s="12">
        <f t="shared" si="4"/>
        <v>0.2310344827586206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22374902.800021451</v>
      </c>
      <c r="G36" s="1">
        <f>VLOOKUP(A:A,MASTER!A:K,11,0)</f>
        <v>24757046.481234096</v>
      </c>
      <c r="H36" s="12">
        <f t="shared" si="0"/>
        <v>0.10646498456343512</v>
      </c>
      <c r="I36" s="2">
        <f>VLOOKUP(A:A,MASTER!A:E,5,0)</f>
        <v>826</v>
      </c>
      <c r="J36" s="2">
        <f>VLOOKUP(A:A,MASTER!A:J,10,0)</f>
        <v>905</v>
      </c>
      <c r="K36" s="12">
        <f t="shared" si="1"/>
        <v>9.5641646489104115E-2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120</v>
      </c>
      <c r="P36" s="1">
        <f>VLOOKUP(A:A,MASTER!A:H,8,0)</f>
        <v>318</v>
      </c>
      <c r="Q36" s="12">
        <f t="shared" si="3"/>
        <v>1.65</v>
      </c>
      <c r="R36" s="1">
        <f>VLOOKUP(A:A,MASTER!A:B,2,0)</f>
        <v>1319</v>
      </c>
      <c r="S36">
        <f>VLOOKUP(A:A,MASTER!A:G,7,0)</f>
        <v>1395</v>
      </c>
      <c r="T36" s="12">
        <f t="shared" si="4"/>
        <v>5.7619408642911374E-2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41518349.605261825</v>
      </c>
      <c r="G37" s="1">
        <f>VLOOKUP(A:A,MASTER!A:K,11,0)</f>
        <v>41478113.936420672</v>
      </c>
      <c r="H37" s="12">
        <f t="shared" si="0"/>
        <v>-9.6910568998276325E-4</v>
      </c>
      <c r="I37" s="2">
        <f>VLOOKUP(A:A,MASTER!A:E,5,0)</f>
        <v>1405</v>
      </c>
      <c r="J37" s="2">
        <f>VLOOKUP(A:A,MASTER!A:J,10,0)</f>
        <v>1464</v>
      </c>
      <c r="K37" s="12">
        <f t="shared" si="1"/>
        <v>4.1992882562277511E-2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69</v>
      </c>
      <c r="P37" s="1">
        <f>VLOOKUP(A:A,MASTER!A:H,8,0)</f>
        <v>238</v>
      </c>
      <c r="Q37" s="12">
        <f t="shared" si="3"/>
        <v>2.4492753623188408</v>
      </c>
      <c r="R37" s="1">
        <f>VLOOKUP(A:A,MASTER!A:B,2,0)</f>
        <v>2372</v>
      </c>
      <c r="S37">
        <f>VLOOKUP(A:A,MASTER!A:G,7,0)</f>
        <v>2354</v>
      </c>
      <c r="T37" s="12">
        <f t="shared" si="4"/>
        <v>-7.5885328836424737E-3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14781644.391173327</v>
      </c>
      <c r="G38" s="1">
        <f>VLOOKUP(A:A,MASTER!A:K,11,0)</f>
        <v>15234974.245374314</v>
      </c>
      <c r="H38" s="12">
        <f t="shared" si="0"/>
        <v>3.0668431887840963E-2</v>
      </c>
      <c r="I38" s="2">
        <f>VLOOKUP(A:A,MASTER!A:E,5,0)</f>
        <v>668</v>
      </c>
      <c r="J38" s="2">
        <f>VLOOKUP(A:A,MASTER!A:J,10,0)</f>
        <v>442</v>
      </c>
      <c r="K38" s="12">
        <f t="shared" si="1"/>
        <v>-0.33832335329341312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1</v>
      </c>
      <c r="P38" s="1">
        <f>VLOOKUP(A:A,MASTER!A:H,8,0)</f>
        <v>4</v>
      </c>
      <c r="Q38" s="12">
        <f t="shared" si="3"/>
        <v>3</v>
      </c>
      <c r="R38" s="1">
        <f>VLOOKUP(A:A,MASTER!A:B,2,0)</f>
        <v>619</v>
      </c>
      <c r="S38">
        <f>VLOOKUP(A:A,MASTER!A:G,7,0)</f>
        <v>538</v>
      </c>
      <c r="T38" s="12">
        <f t="shared" si="4"/>
        <v>-0.13085621970920835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48800547.351421833</v>
      </c>
      <c r="G39" s="1">
        <f>VLOOKUP(A:A,MASTER!A:K,11,0)</f>
        <v>47432872.324979059</v>
      </c>
      <c r="H39" s="12">
        <f t="shared" si="0"/>
        <v>-2.8025813247418929E-2</v>
      </c>
      <c r="I39" s="2">
        <f>VLOOKUP(A:A,MASTER!A:E,5,0)</f>
        <v>1916</v>
      </c>
      <c r="J39" s="2">
        <f>VLOOKUP(A:A,MASTER!A:J,10,0)</f>
        <v>1857</v>
      </c>
      <c r="K39" s="12">
        <f t="shared" si="1"/>
        <v>-3.0793319415448828E-2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2</v>
      </c>
      <c r="P39" s="1">
        <f>VLOOKUP(A:A,MASTER!A:H,8,0)</f>
        <v>4</v>
      </c>
      <c r="Q39" s="12">
        <f t="shared" si="3"/>
        <v>1</v>
      </c>
      <c r="R39" s="1">
        <f>VLOOKUP(A:A,MASTER!A:B,2,0)</f>
        <v>2060</v>
      </c>
      <c r="S39">
        <f>VLOOKUP(A:A,MASTER!A:G,7,0)</f>
        <v>2027</v>
      </c>
      <c r="T39" s="12">
        <f t="shared" si="4"/>
        <v>-1.6019417475728104E-2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32614535.508652512</v>
      </c>
      <c r="G40" s="1">
        <f>VLOOKUP(A:A,MASTER!A:K,11,0)</f>
        <v>36694418.119907491</v>
      </c>
      <c r="H40" s="12">
        <f t="shared" si="0"/>
        <v>0.12509399712813951</v>
      </c>
      <c r="I40" s="2">
        <f>VLOOKUP(A:A,MASTER!A:E,5,0)</f>
        <v>2049</v>
      </c>
      <c r="J40" s="2">
        <f>VLOOKUP(A:A,MASTER!A:J,10,0)</f>
        <v>875</v>
      </c>
      <c r="K40" s="12">
        <f t="shared" si="1"/>
        <v>-0.57296242069302106</v>
      </c>
      <c r="L40" s="2">
        <f>VLOOKUP(A:A,MASTER!A:D,4,0)</f>
        <v>3</v>
      </c>
      <c r="M40" s="2">
        <f>VLOOKUP(A:A,MASTER!A:I,9,0)</f>
        <v>4</v>
      </c>
      <c r="N40" s="12">
        <f t="shared" si="2"/>
        <v>0.33333333333333326</v>
      </c>
      <c r="O40" s="1">
        <f>VLOOKUP(A:A,MASTER!A:C,3,0)</f>
        <v>3</v>
      </c>
      <c r="P40" s="1">
        <f>VLOOKUP(A:A,MASTER!A:H,8,0)</f>
        <v>5</v>
      </c>
      <c r="Q40" s="12">
        <f t="shared" si="3"/>
        <v>0.66666666666666674</v>
      </c>
      <c r="R40" s="1">
        <f>VLOOKUP(A:A,MASTER!A:B,2,0)</f>
        <v>906</v>
      </c>
      <c r="S40">
        <f>VLOOKUP(A:A,MASTER!A:G,7,0)</f>
        <v>989</v>
      </c>
      <c r="T40" s="12">
        <f t="shared" si="4"/>
        <v>9.1611479028697484E-2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17773873.790777944</v>
      </c>
      <c r="G41" s="1">
        <f>VLOOKUP(A:A,MASTER!A:K,11,0)</f>
        <v>26012267.611628871</v>
      </c>
      <c r="H41" s="12">
        <f t="shared" si="0"/>
        <v>0.46351143919596494</v>
      </c>
      <c r="I41" s="2">
        <f>VLOOKUP(A:A,MASTER!A:E,5,0)</f>
        <v>969</v>
      </c>
      <c r="J41" s="2">
        <f>VLOOKUP(A:A,MASTER!A:J,10,0)</f>
        <v>934</v>
      </c>
      <c r="K41" s="12">
        <f t="shared" si="1"/>
        <v>-3.6119711042311708E-2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1</v>
      </c>
      <c r="P41" s="1">
        <f>VLOOKUP(A:A,MASTER!A:H,8,0)</f>
        <v>6</v>
      </c>
      <c r="Q41" s="12">
        <f t="shared" si="3"/>
        <v>5</v>
      </c>
      <c r="R41" s="1">
        <f>VLOOKUP(A:A,MASTER!A:B,2,0)</f>
        <v>1088</v>
      </c>
      <c r="S41">
        <f>VLOOKUP(A:A,MASTER!A:G,7,0)</f>
        <v>1061</v>
      </c>
      <c r="T41" s="12">
        <f t="shared" si="4"/>
        <v>-2.4816176470588203E-2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25294917.477437437</v>
      </c>
      <c r="G42" s="1">
        <f>VLOOKUP(A:A,MASTER!A:K,11,0)</f>
        <v>26258702.513062768</v>
      </c>
      <c r="H42" s="12">
        <f t="shared" si="0"/>
        <v>3.8101924486806826E-2</v>
      </c>
      <c r="I42" s="2">
        <f>VLOOKUP(A:A,MASTER!A:E,5,0)</f>
        <v>590</v>
      </c>
      <c r="J42" s="2">
        <f>VLOOKUP(A:A,MASTER!A:J,10,0)</f>
        <v>636</v>
      </c>
      <c r="K42" s="12">
        <f t="shared" si="1"/>
        <v>7.7966101694915357E-2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3</v>
      </c>
      <c r="P42" s="1">
        <f>VLOOKUP(A:A,MASTER!A:H,8,0)</f>
        <v>2</v>
      </c>
      <c r="Q42" s="12">
        <f t="shared" si="3"/>
        <v>-0.33333333333333337</v>
      </c>
      <c r="R42" s="1">
        <f>VLOOKUP(A:A,MASTER!A:B,2,0)</f>
        <v>835</v>
      </c>
      <c r="S42">
        <f>VLOOKUP(A:A,MASTER!A:G,7,0)</f>
        <v>725</v>
      </c>
      <c r="T42" s="12">
        <f t="shared" si="4"/>
        <v>-0.13173652694610782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16227351.047975589</v>
      </c>
      <c r="G43" s="1">
        <f>VLOOKUP(A:A,MASTER!A:K,11,0)</f>
        <v>15777654.210746672</v>
      </c>
      <c r="H43" s="12">
        <f t="shared" si="0"/>
        <v>-2.7712276384445289E-2</v>
      </c>
      <c r="I43" s="2">
        <f>VLOOKUP(A:A,MASTER!A:E,5,0)</f>
        <v>587</v>
      </c>
      <c r="J43" s="2">
        <f>VLOOKUP(A:A,MASTER!A:J,10,0)</f>
        <v>561</v>
      </c>
      <c r="K43" s="12">
        <f t="shared" si="1"/>
        <v>-4.4293015332197649E-2</v>
      </c>
      <c r="L43" s="2">
        <f>VLOOKUP(A:A,MASTER!A:D,4,0)</f>
        <v>10</v>
      </c>
      <c r="M43" s="2">
        <f>VLOOKUP(A:A,MASTER!A:I,9,0)</f>
        <v>9</v>
      </c>
      <c r="N43" s="12">
        <f t="shared" si="2"/>
        <v>-9.9999999999999978E-2</v>
      </c>
      <c r="O43" s="1">
        <f>VLOOKUP(A:A,MASTER!A:C,3,0)</f>
        <v>2</v>
      </c>
      <c r="P43" s="1">
        <f>VLOOKUP(A:A,MASTER!A:H,8,0)</f>
        <v>0</v>
      </c>
      <c r="Q43" s="12">
        <f t="shared" si="3"/>
        <v>-1</v>
      </c>
      <c r="R43" s="1">
        <f>VLOOKUP(A:A,MASTER!A:B,2,0)</f>
        <v>701</v>
      </c>
      <c r="S43">
        <f>VLOOKUP(A:A,MASTER!A:G,7,0)</f>
        <v>700</v>
      </c>
      <c r="T43" s="12">
        <f t="shared" si="4"/>
        <v>-1.4265335235378318E-3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14358233.121239796</v>
      </c>
      <c r="G44" s="1">
        <f>VLOOKUP(A:A,MASTER!A:K,11,0)</f>
        <v>14765811.497357111</v>
      </c>
      <c r="H44" s="12">
        <f t="shared" si="0"/>
        <v>2.8386387982125338E-2</v>
      </c>
      <c r="I44" s="2">
        <f>VLOOKUP(A:A,MASTER!A:E,5,0)</f>
        <v>676</v>
      </c>
      <c r="J44" s="2">
        <f>VLOOKUP(A:A,MASTER!A:J,10,0)</f>
        <v>803</v>
      </c>
      <c r="K44" s="12">
        <f t="shared" si="1"/>
        <v>0.18786982248520712</v>
      </c>
      <c r="L44" s="2">
        <f>VLOOKUP(A:A,MASTER!A:D,4,0)</f>
        <v>2</v>
      </c>
      <c r="M44" s="2">
        <f>VLOOKUP(A:A,MASTER!A:I,9,0)</f>
        <v>1</v>
      </c>
      <c r="N44" s="12">
        <f t="shared" si="2"/>
        <v>-0.5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684</v>
      </c>
      <c r="S44">
        <f>VLOOKUP(A:A,MASTER!A:G,7,0)</f>
        <v>789</v>
      </c>
      <c r="T44" s="12">
        <f t="shared" si="4"/>
        <v>0.15350877192982448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43788229.833009563</v>
      </c>
      <c r="G45" s="1">
        <f>VLOOKUP(A:A,MASTER!A:K,11,0)</f>
        <v>49134791.486482561</v>
      </c>
      <c r="H45" s="12">
        <f t="shared" si="0"/>
        <v>0.12210042913044439</v>
      </c>
      <c r="I45" s="2">
        <f>VLOOKUP(A:A,MASTER!A:E,5,0)</f>
        <v>1098</v>
      </c>
      <c r="J45" s="2">
        <f>VLOOKUP(A:A,MASTER!A:J,10,0)</f>
        <v>1123</v>
      </c>
      <c r="K45" s="12">
        <f t="shared" si="1"/>
        <v>2.2768670309653904E-2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0</v>
      </c>
      <c r="P45" s="1">
        <f>VLOOKUP(A:A,MASTER!A:H,8,0)</f>
        <v>3</v>
      </c>
      <c r="Q45" s="12">
        <f t="shared" si="3"/>
        <v>0</v>
      </c>
      <c r="R45" s="1">
        <f>VLOOKUP(A:A,MASTER!A:B,2,0)</f>
        <v>1236</v>
      </c>
      <c r="S45">
        <f>VLOOKUP(A:A,MASTER!A:G,7,0)</f>
        <v>1159</v>
      </c>
      <c r="T45" s="12">
        <f t="shared" si="4"/>
        <v>-6.2297734627831725E-2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21077266.831570905</v>
      </c>
      <c r="G46" s="1">
        <f>VLOOKUP(A:A,MASTER!A:K,11,0)</f>
        <v>20804392.415884595</v>
      </c>
      <c r="H46" s="12">
        <f t="shared" si="0"/>
        <v>-1.2946385215258593E-2</v>
      </c>
      <c r="I46" s="2">
        <f>VLOOKUP(A:A,MASTER!A:E,5,0)</f>
        <v>910</v>
      </c>
      <c r="J46" s="2">
        <f>VLOOKUP(A:A,MASTER!A:J,10,0)</f>
        <v>886</v>
      </c>
      <c r="K46" s="12">
        <f t="shared" si="1"/>
        <v>-2.6373626373626391E-2</v>
      </c>
      <c r="L46" s="2">
        <f>VLOOKUP(A:A,MASTER!A:D,4,0)</f>
        <v>7</v>
      </c>
      <c r="M46" s="2">
        <f>VLOOKUP(A:A,MASTER!A:I,9,0)</f>
        <v>5</v>
      </c>
      <c r="N46" s="12">
        <f t="shared" si="2"/>
        <v>-0.2857142857142857</v>
      </c>
      <c r="O46" s="1">
        <f>VLOOKUP(A:A,MASTER!A:C,3,0)</f>
        <v>2</v>
      </c>
      <c r="P46" s="1">
        <f>VLOOKUP(A:A,MASTER!A:H,8,0)</f>
        <v>1</v>
      </c>
      <c r="Q46" s="12">
        <f t="shared" si="3"/>
        <v>-0.5</v>
      </c>
      <c r="R46" s="1">
        <f>VLOOKUP(A:A,MASTER!A:B,2,0)</f>
        <v>910</v>
      </c>
      <c r="S46">
        <f>VLOOKUP(A:A,MASTER!A:G,7,0)</f>
        <v>908</v>
      </c>
      <c r="T46" s="12">
        <f t="shared" si="4"/>
        <v>-2.19780219780219E-3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36799819.563541561</v>
      </c>
      <c r="G47" s="1">
        <f>VLOOKUP(A:A,MASTER!A:K,11,0)</f>
        <v>38255043.889359169</v>
      </c>
      <c r="H47" s="12">
        <f t="shared" si="0"/>
        <v>3.9544333180897784E-2</v>
      </c>
      <c r="I47" s="2">
        <f>VLOOKUP(A:A,MASTER!A:E,5,0)</f>
        <v>1025</v>
      </c>
      <c r="J47" s="2">
        <f>VLOOKUP(A:A,MASTER!A:J,10,0)</f>
        <v>1044</v>
      </c>
      <c r="K47" s="12">
        <f t="shared" si="1"/>
        <v>1.8536585365853675E-2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4</v>
      </c>
      <c r="P47" s="1">
        <f>VLOOKUP(A:A,MASTER!A:H,8,0)</f>
        <v>3</v>
      </c>
      <c r="Q47" s="12">
        <f t="shared" si="3"/>
        <v>-0.25</v>
      </c>
      <c r="R47" s="1">
        <f>VLOOKUP(A:A,MASTER!A:B,2,0)</f>
        <v>1347</v>
      </c>
      <c r="S47">
        <f>VLOOKUP(A:A,MASTER!A:G,7,0)</f>
        <v>1443</v>
      </c>
      <c r="T47" s="12">
        <f t="shared" si="4"/>
        <v>7.1269487750556859E-2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18998431.435199615</v>
      </c>
      <c r="G48" s="1">
        <f>VLOOKUP(A:A,MASTER!A:K,11,0)</f>
        <v>18181613.774843927</v>
      </c>
      <c r="H48" s="12">
        <f t="shared" si="0"/>
        <v>-4.2993952587176087E-2</v>
      </c>
      <c r="I48" s="2">
        <f>VLOOKUP(A:A,MASTER!A:E,5,0)</f>
        <v>365</v>
      </c>
      <c r="J48" s="2">
        <f>VLOOKUP(A:A,MASTER!A:J,10,0)</f>
        <v>400</v>
      </c>
      <c r="K48" s="12">
        <f t="shared" si="1"/>
        <v>9.5890410958904049E-2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1</v>
      </c>
      <c r="P48" s="1">
        <f>VLOOKUP(A:A,MASTER!A:H,8,0)</f>
        <v>3</v>
      </c>
      <c r="Q48" s="12">
        <f t="shared" si="3"/>
        <v>2</v>
      </c>
      <c r="R48" s="1">
        <f>VLOOKUP(A:A,MASTER!A:B,2,0)</f>
        <v>484</v>
      </c>
      <c r="S48">
        <f>VLOOKUP(A:A,MASTER!A:G,7,0)</f>
        <v>493</v>
      </c>
      <c r="T48" s="12">
        <f t="shared" si="4"/>
        <v>1.8595041322314154E-2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13867349.453376597</v>
      </c>
      <c r="G49" s="1">
        <f>VLOOKUP(A:A,MASTER!A:K,11,0)</f>
        <v>15464289.961397316</v>
      </c>
      <c r="H49" s="12">
        <f t="shared" si="0"/>
        <v>0.11515830861476384</v>
      </c>
      <c r="I49" s="2">
        <f>VLOOKUP(A:A,MASTER!A:E,5,0)</f>
        <v>315</v>
      </c>
      <c r="J49" s="2">
        <f>VLOOKUP(A:A,MASTER!A:J,10,0)</f>
        <v>373</v>
      </c>
      <c r="K49" s="12">
        <f t="shared" si="1"/>
        <v>0.18412698412698414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0</v>
      </c>
      <c r="P49" s="1">
        <f>VLOOKUP(A:A,MASTER!A:H,8,0)</f>
        <v>2</v>
      </c>
      <c r="Q49" s="12">
        <f t="shared" si="3"/>
        <v>0</v>
      </c>
      <c r="R49" s="1">
        <f>VLOOKUP(A:A,MASTER!A:B,2,0)</f>
        <v>459</v>
      </c>
      <c r="S49">
        <f>VLOOKUP(A:A,MASTER!A:G,7,0)</f>
        <v>506</v>
      </c>
      <c r="T49" s="12">
        <f t="shared" si="4"/>
        <v>0.10239651416121998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11991960.514846284</v>
      </c>
      <c r="G50" s="1">
        <f>VLOOKUP(A:A,MASTER!A:K,11,0)</f>
        <v>5719922.5869477298</v>
      </c>
      <c r="H50" s="12">
        <f t="shared" si="0"/>
        <v>-0.52302022843834806</v>
      </c>
      <c r="I50" s="2">
        <f>VLOOKUP(A:A,MASTER!A:E,5,0)</f>
        <v>327</v>
      </c>
      <c r="J50" s="2">
        <f>VLOOKUP(A:A,MASTER!A:J,10,0)</f>
        <v>278</v>
      </c>
      <c r="K50" s="12">
        <f t="shared" si="1"/>
        <v>-0.14984709480122327</v>
      </c>
      <c r="L50" s="2">
        <f>VLOOKUP(A:A,MASTER!A:D,4,0)</f>
        <v>4</v>
      </c>
      <c r="M50" s="2">
        <f>VLOOKUP(A:A,MASTER!A:I,9,0)</f>
        <v>2</v>
      </c>
      <c r="N50" s="12">
        <f t="shared" si="2"/>
        <v>-0.5</v>
      </c>
      <c r="O50" s="1">
        <f>VLOOKUP(A:A,MASTER!A:C,3,0)</f>
        <v>1</v>
      </c>
      <c r="P50" s="1">
        <f>VLOOKUP(A:A,MASTER!A:H,8,0)</f>
        <v>1</v>
      </c>
      <c r="Q50" s="12">
        <f t="shared" si="3"/>
        <v>0</v>
      </c>
      <c r="R50" s="1">
        <f>VLOOKUP(A:A,MASTER!A:B,2,0)</f>
        <v>425</v>
      </c>
      <c r="S50">
        <f>VLOOKUP(A:A,MASTER!A:G,7,0)</f>
        <v>116</v>
      </c>
      <c r="T50" s="12">
        <f t="shared" si="4"/>
        <v>-0.72705882352941176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28403417.987599976</v>
      </c>
      <c r="G51" s="1">
        <f>VLOOKUP(A:A,MASTER!A:K,11,0)</f>
        <v>30195865.25279944</v>
      </c>
      <c r="H51" s="12">
        <f t="shared" si="0"/>
        <v>6.3106745321354962E-2</v>
      </c>
      <c r="I51" s="2">
        <f>VLOOKUP(A:A,MASTER!A:E,5,0)</f>
        <v>974</v>
      </c>
      <c r="J51" s="2">
        <f>VLOOKUP(A:A,MASTER!A:J,10,0)</f>
        <v>905</v>
      </c>
      <c r="K51" s="12">
        <f t="shared" si="1"/>
        <v>-7.0841889117043144E-2</v>
      </c>
      <c r="L51" s="2">
        <f>VLOOKUP(A:A,MASTER!A:D,4,0)</f>
        <v>0</v>
      </c>
      <c r="M51" s="2">
        <f>VLOOKUP(A:A,MASTER!A:I,9,0)</f>
        <v>0</v>
      </c>
      <c r="N51" s="12">
        <f t="shared" si="2"/>
        <v>0</v>
      </c>
      <c r="O51" s="1">
        <f>VLOOKUP(A:A,MASTER!A:C,3,0)</f>
        <v>5</v>
      </c>
      <c r="P51" s="1">
        <f>VLOOKUP(A:A,MASTER!A:H,8,0)</f>
        <v>3</v>
      </c>
      <c r="Q51" s="12">
        <f t="shared" si="3"/>
        <v>-0.4</v>
      </c>
      <c r="R51" s="1">
        <f>VLOOKUP(A:A,MASTER!A:B,2,0)</f>
        <v>1106</v>
      </c>
      <c r="S51">
        <f>VLOOKUP(A:A,MASTER!A:G,7,0)</f>
        <v>941</v>
      </c>
      <c r="T51" s="12">
        <f t="shared" si="4"/>
        <v>-0.14918625678119346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27544676.485392641</v>
      </c>
      <c r="G52" s="1">
        <f>VLOOKUP(A:A,MASTER!A:K,11,0)</f>
        <v>30524186.608173389</v>
      </c>
      <c r="H52" s="12">
        <f t="shared" si="0"/>
        <v>0.10817008957650409</v>
      </c>
      <c r="I52" s="2">
        <f>VLOOKUP(A:A,MASTER!A:E,5,0)</f>
        <v>917</v>
      </c>
      <c r="J52" s="2">
        <f>VLOOKUP(A:A,MASTER!A:J,10,0)</f>
        <v>800</v>
      </c>
      <c r="K52" s="12">
        <f t="shared" si="1"/>
        <v>-0.1275899672846238</v>
      </c>
      <c r="L52" s="2">
        <f>VLOOKUP(A:A,MASTER!A:D,4,0)</f>
        <v>1</v>
      </c>
      <c r="M52" s="2">
        <f>VLOOKUP(A:A,MASTER!A:I,9,0)</f>
        <v>2</v>
      </c>
      <c r="N52" s="12">
        <f t="shared" si="2"/>
        <v>1</v>
      </c>
      <c r="O52" s="1">
        <f>VLOOKUP(A:A,MASTER!A:C,3,0)</f>
        <v>5</v>
      </c>
      <c r="P52" s="1">
        <f>VLOOKUP(A:A,MASTER!A:H,8,0)</f>
        <v>5</v>
      </c>
      <c r="Q52" s="12">
        <f t="shared" si="3"/>
        <v>0</v>
      </c>
      <c r="R52" s="1">
        <f>VLOOKUP(A:A,MASTER!A:B,2,0)</f>
        <v>998</v>
      </c>
      <c r="S52">
        <f>VLOOKUP(A:A,MASTER!A:G,7,0)</f>
        <v>947</v>
      </c>
      <c r="T52" s="12">
        <f t="shared" si="4"/>
        <v>-5.1102204408817631E-2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53312926.280314647</v>
      </c>
      <c r="G53" s="1">
        <f>VLOOKUP(A:A,MASTER!A:K,11,0)</f>
        <v>56661351.157900929</v>
      </c>
      <c r="H53" s="12">
        <f t="shared" si="0"/>
        <v>6.280699843750015E-2</v>
      </c>
      <c r="I53" s="2">
        <f>VLOOKUP(A:A,MASTER!A:E,5,0)</f>
        <v>1517</v>
      </c>
      <c r="J53" s="2">
        <f>VLOOKUP(A:A,MASTER!A:J,10,0)</f>
        <v>1850</v>
      </c>
      <c r="K53" s="12">
        <f t="shared" si="1"/>
        <v>0.21951219512195119</v>
      </c>
      <c r="L53" s="2">
        <f>VLOOKUP(A:A,MASTER!A:D,4,0)</f>
        <v>8</v>
      </c>
      <c r="M53" s="2">
        <f>VLOOKUP(A:A,MASTER!A:I,9,0)</f>
        <v>9</v>
      </c>
      <c r="N53" s="12">
        <f t="shared" si="2"/>
        <v>0.125</v>
      </c>
      <c r="O53" s="1">
        <f>VLOOKUP(A:A,MASTER!A:C,3,0)</f>
        <v>7</v>
      </c>
      <c r="P53" s="1">
        <f>VLOOKUP(A:A,MASTER!A:H,8,0)</f>
        <v>14</v>
      </c>
      <c r="Q53" s="12">
        <f t="shared" si="3"/>
        <v>1</v>
      </c>
      <c r="R53" s="1">
        <f>VLOOKUP(A:A,MASTER!A:B,2,0)</f>
        <v>2057</v>
      </c>
      <c r="S53">
        <f>VLOOKUP(A:A,MASTER!A:G,7,0)</f>
        <v>2123</v>
      </c>
      <c r="T53" s="12">
        <f t="shared" si="4"/>
        <v>3.2085561497326109E-2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13156051.392773269</v>
      </c>
      <c r="G54" s="1">
        <f>VLOOKUP(A:A,MASTER!A:K,11,0)</f>
        <v>14826348.495922143</v>
      </c>
      <c r="H54" s="12">
        <f t="shared" si="0"/>
        <v>0.12696036624380946</v>
      </c>
      <c r="I54" s="2">
        <f>VLOOKUP(A:A,MASTER!A:E,5,0)</f>
        <v>567</v>
      </c>
      <c r="J54" s="2">
        <f>VLOOKUP(A:A,MASTER!A:J,10,0)</f>
        <v>507</v>
      </c>
      <c r="K54" s="12">
        <f t="shared" si="1"/>
        <v>-0.10582010582010581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4</v>
      </c>
      <c r="P54" s="1">
        <f>VLOOKUP(A:A,MASTER!A:H,8,0)</f>
        <v>2</v>
      </c>
      <c r="Q54" s="12">
        <f t="shared" si="3"/>
        <v>-0.5</v>
      </c>
      <c r="R54" s="1">
        <f>VLOOKUP(A:A,MASTER!A:B,2,0)</f>
        <v>679</v>
      </c>
      <c r="S54">
        <f>VLOOKUP(A:A,MASTER!A:G,7,0)</f>
        <v>560</v>
      </c>
      <c r="T54" s="12">
        <f t="shared" si="4"/>
        <v>-0.17525773195876293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22949848.91231928</v>
      </c>
      <c r="G55" s="1">
        <f>VLOOKUP(A:A,MASTER!A:K,11,0)</f>
        <v>26561103.572443023</v>
      </c>
      <c r="H55" s="12">
        <f t="shared" si="0"/>
        <v>0.15735418014822988</v>
      </c>
      <c r="I55" s="2">
        <f>VLOOKUP(A:A,MASTER!A:E,5,0)</f>
        <v>738</v>
      </c>
      <c r="J55" s="2">
        <f>VLOOKUP(A:A,MASTER!A:J,10,0)</f>
        <v>865</v>
      </c>
      <c r="K55" s="12">
        <f t="shared" si="1"/>
        <v>0.17208672086720878</v>
      </c>
      <c r="L55" s="2">
        <f>VLOOKUP(A:A,MASTER!A:D,4,0)</f>
        <v>5</v>
      </c>
      <c r="M55" s="2">
        <f>VLOOKUP(A:A,MASTER!A:I,9,0)</f>
        <v>6</v>
      </c>
      <c r="N55" s="12">
        <f t="shared" si="2"/>
        <v>0.19999999999999996</v>
      </c>
      <c r="O55" s="1">
        <f>VLOOKUP(A:A,MASTER!A:C,3,0)</f>
        <v>6</v>
      </c>
      <c r="P55" s="1">
        <f>VLOOKUP(A:A,MASTER!A:H,8,0)</f>
        <v>6</v>
      </c>
      <c r="Q55" s="12">
        <f t="shared" si="3"/>
        <v>0</v>
      </c>
      <c r="R55" s="1">
        <f>VLOOKUP(A:A,MASTER!A:B,2,0)</f>
        <v>871</v>
      </c>
      <c r="S55">
        <f>VLOOKUP(A:A,MASTER!A:G,7,0)</f>
        <v>1050</v>
      </c>
      <c r="T55" s="12">
        <f t="shared" si="4"/>
        <v>0.20551090700344421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14245013.316192299</v>
      </c>
      <c r="G56" s="1">
        <f>VLOOKUP(A:A,MASTER!A:K,11,0)</f>
        <v>13109236.528265854</v>
      </c>
      <c r="H56" s="12">
        <f t="shared" si="0"/>
        <v>-7.9731535711195733E-2</v>
      </c>
      <c r="I56" s="2">
        <f>VLOOKUP(A:A,MASTER!A:E,5,0)</f>
        <v>625</v>
      </c>
      <c r="J56" s="2">
        <f>VLOOKUP(A:A,MASTER!A:J,10,0)</f>
        <v>526</v>
      </c>
      <c r="K56" s="12">
        <f t="shared" si="1"/>
        <v>-0.15839999999999999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3</v>
      </c>
      <c r="P56" s="1">
        <f>VLOOKUP(A:A,MASTER!A:H,8,0)</f>
        <v>0</v>
      </c>
      <c r="Q56" s="12">
        <f t="shared" si="3"/>
        <v>-1</v>
      </c>
      <c r="R56" s="1">
        <f>VLOOKUP(A:A,MASTER!A:B,2,0)</f>
        <v>745</v>
      </c>
      <c r="S56">
        <f>VLOOKUP(A:A,MASTER!A:G,7,0)</f>
        <v>411</v>
      </c>
      <c r="T56" s="12">
        <f t="shared" si="4"/>
        <v>-0.44832214765100675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29939617.972537749</v>
      </c>
      <c r="G57" s="1">
        <f>VLOOKUP(A:A,MASTER!A:K,11,0)</f>
        <v>32682821.514900204</v>
      </c>
      <c r="H57" s="12">
        <f t="shared" si="0"/>
        <v>9.1624533916186524E-2</v>
      </c>
      <c r="I57" s="2">
        <f>VLOOKUP(A:A,MASTER!A:E,5,0)</f>
        <v>963</v>
      </c>
      <c r="J57" s="2">
        <f>VLOOKUP(A:A,MASTER!A:J,10,0)</f>
        <v>1190</v>
      </c>
      <c r="K57" s="12">
        <f t="shared" si="1"/>
        <v>0.2357217030114227</v>
      </c>
      <c r="L57" s="2">
        <f>VLOOKUP(A:A,MASTER!A:D,4,0)</f>
        <v>0</v>
      </c>
      <c r="M57" s="2">
        <f>VLOOKUP(A:A,MASTER!A:I,9,0)</f>
        <v>1</v>
      </c>
      <c r="N57" s="12">
        <f t="shared" si="2"/>
        <v>0</v>
      </c>
      <c r="O57" s="1">
        <f>VLOOKUP(A:A,MASTER!A:C,3,0)</f>
        <v>5</v>
      </c>
      <c r="P57" s="1">
        <f>VLOOKUP(A:A,MASTER!A:H,8,0)</f>
        <v>6</v>
      </c>
      <c r="Q57" s="12">
        <f t="shared" si="3"/>
        <v>0.19999999999999996</v>
      </c>
      <c r="R57" s="1">
        <f>VLOOKUP(A:A,MASTER!A:B,2,0)</f>
        <v>1111</v>
      </c>
      <c r="S57">
        <f>VLOOKUP(A:A,MASTER!A:G,7,0)</f>
        <v>1292</v>
      </c>
      <c r="T57" s="12">
        <f t="shared" si="4"/>
        <v>0.16291629162916288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37000002.653800093</v>
      </c>
      <c r="G58" s="1">
        <f>VLOOKUP(A:A,MASTER!A:K,11,0)</f>
        <v>44797837.205057278</v>
      </c>
      <c r="H58" s="12">
        <f t="shared" si="0"/>
        <v>0.21075227005304842</v>
      </c>
      <c r="I58" s="2">
        <f>VLOOKUP(A:A,MASTER!A:E,5,0)</f>
        <v>1471</v>
      </c>
      <c r="J58" s="2">
        <f>VLOOKUP(A:A,MASTER!A:J,10,0)</f>
        <v>1513</v>
      </c>
      <c r="K58" s="12">
        <f t="shared" si="1"/>
        <v>2.8552005438477135E-2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4</v>
      </c>
      <c r="P58" s="1">
        <f>VLOOKUP(A:A,MASTER!A:H,8,0)</f>
        <v>7</v>
      </c>
      <c r="Q58" s="12">
        <f t="shared" si="3"/>
        <v>0.75</v>
      </c>
      <c r="R58" s="1">
        <f>VLOOKUP(A:A,MASTER!A:B,2,0)</f>
        <v>1441</v>
      </c>
      <c r="S58">
        <f>VLOOKUP(A:A,MASTER!A:G,7,0)</f>
        <v>1601</v>
      </c>
      <c r="T58" s="12">
        <f t="shared" si="4"/>
        <v>0.11103400416377518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19983891.374101069</v>
      </c>
      <c r="G59" s="1">
        <f>VLOOKUP(A:A,MASTER!A:K,11,0)</f>
        <v>18318451.973164391</v>
      </c>
      <c r="H59" s="12">
        <f t="shared" si="0"/>
        <v>-8.3339093961202759E-2</v>
      </c>
      <c r="I59" s="2">
        <f>VLOOKUP(A:A,MASTER!A:E,5,0)</f>
        <v>705</v>
      </c>
      <c r="J59" s="2">
        <f>VLOOKUP(A:A,MASTER!A:J,10,0)</f>
        <v>763</v>
      </c>
      <c r="K59" s="12">
        <f t="shared" si="1"/>
        <v>8.2269503546099187E-2</v>
      </c>
      <c r="L59" s="2">
        <f>VLOOKUP(A:A,MASTER!A:D,4,0)</f>
        <v>4</v>
      </c>
      <c r="M59" s="2">
        <f>VLOOKUP(A:A,MASTER!A:I,9,0)</f>
        <v>5</v>
      </c>
      <c r="N59" s="12">
        <f t="shared" si="2"/>
        <v>0.25</v>
      </c>
      <c r="O59" s="1">
        <f>VLOOKUP(A:A,MASTER!A:C,3,0)</f>
        <v>1</v>
      </c>
      <c r="P59" s="1">
        <f>VLOOKUP(A:A,MASTER!A:H,8,0)</f>
        <v>4</v>
      </c>
      <c r="Q59" s="12">
        <f t="shared" si="3"/>
        <v>3</v>
      </c>
      <c r="R59" s="1">
        <f>VLOOKUP(A:A,MASTER!A:B,2,0)</f>
        <v>772</v>
      </c>
      <c r="S59">
        <f>VLOOKUP(A:A,MASTER!A:G,7,0)</f>
        <v>873</v>
      </c>
      <c r="T59" s="12">
        <f t="shared" si="4"/>
        <v>0.13082901554404147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22367781.080104113</v>
      </c>
      <c r="G60" s="1">
        <f>VLOOKUP(A:A,MASTER!A:K,11,0)</f>
        <v>23871295.559602365</v>
      </c>
      <c r="H60" s="12">
        <f t="shared" si="0"/>
        <v>6.7217864575561892E-2</v>
      </c>
      <c r="I60" s="2">
        <f>VLOOKUP(A:A,MASTER!A:E,5,0)</f>
        <v>476</v>
      </c>
      <c r="J60" s="2">
        <f>VLOOKUP(A:A,MASTER!A:J,10,0)</f>
        <v>486</v>
      </c>
      <c r="K60" s="12">
        <f t="shared" si="1"/>
        <v>2.1008403361344463E-2</v>
      </c>
      <c r="L60" s="2">
        <f>VLOOKUP(A:A,MASTER!A:D,4,0)</f>
        <v>5</v>
      </c>
      <c r="M60" s="2">
        <f>VLOOKUP(A:A,MASTER!A:I,9,0)</f>
        <v>7</v>
      </c>
      <c r="N60" s="12">
        <f t="shared" si="2"/>
        <v>0.39999999999999991</v>
      </c>
      <c r="O60" s="1">
        <f>VLOOKUP(A:A,MASTER!A:C,3,0)</f>
        <v>7</v>
      </c>
      <c r="P60" s="1">
        <f>VLOOKUP(A:A,MASTER!A:H,8,0)</f>
        <v>3</v>
      </c>
      <c r="Q60" s="12">
        <f t="shared" si="3"/>
        <v>-0.5714285714285714</v>
      </c>
      <c r="R60" s="1">
        <f>VLOOKUP(A:A,MASTER!A:B,2,0)</f>
        <v>646</v>
      </c>
      <c r="S60">
        <f>VLOOKUP(A:A,MASTER!A:G,7,0)</f>
        <v>585</v>
      </c>
      <c r="T60" s="12">
        <f t="shared" si="4"/>
        <v>-9.4427244582043324E-2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72623824.220833898</v>
      </c>
      <c r="G61" s="1">
        <f>VLOOKUP(A:A,MASTER!A:K,11,0)</f>
        <v>76429257.720611393</v>
      </c>
      <c r="H61" s="12">
        <f t="shared" si="0"/>
        <v>5.239924419576103E-2</v>
      </c>
      <c r="I61" s="2">
        <f>VLOOKUP(A:A,MASTER!A:E,5,0)</f>
        <v>1619</v>
      </c>
      <c r="J61" s="2">
        <f>VLOOKUP(A:A,MASTER!A:J,10,0)</f>
        <v>1674</v>
      </c>
      <c r="K61" s="12">
        <f t="shared" si="1"/>
        <v>3.3971587399629355E-2</v>
      </c>
      <c r="L61" s="2">
        <f>VLOOKUP(A:A,MASTER!A:D,4,0)</f>
        <v>10</v>
      </c>
      <c r="M61" s="2">
        <f>VLOOKUP(A:A,MASTER!A:I,9,0)</f>
        <v>12</v>
      </c>
      <c r="N61" s="12">
        <f t="shared" si="2"/>
        <v>0.19999999999999996</v>
      </c>
      <c r="O61" s="1">
        <f>VLOOKUP(A:A,MASTER!A:C,3,0)</f>
        <v>11</v>
      </c>
      <c r="P61" s="1">
        <f>VLOOKUP(A:A,MASTER!A:H,8,0)</f>
        <v>13</v>
      </c>
      <c r="Q61" s="12">
        <f t="shared" si="3"/>
        <v>0.18181818181818188</v>
      </c>
      <c r="R61" s="1">
        <f>VLOOKUP(A:A,MASTER!A:B,2,0)</f>
        <v>1996</v>
      </c>
      <c r="S61">
        <f>VLOOKUP(A:A,MASTER!A:G,7,0)</f>
        <v>2063</v>
      </c>
      <c r="T61" s="12">
        <f t="shared" si="4"/>
        <v>3.356713426853708E-2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53751877.713151284</v>
      </c>
      <c r="G62" s="1">
        <f>VLOOKUP(A:A,MASTER!A:K,11,0)</f>
        <v>54327698.607676938</v>
      </c>
      <c r="H62" s="12">
        <f t="shared" si="0"/>
        <v>1.0712572639760554E-2</v>
      </c>
      <c r="I62" s="2">
        <f>VLOOKUP(A:A,MASTER!A:E,5,0)</f>
        <v>1229</v>
      </c>
      <c r="J62" s="2">
        <f>VLOOKUP(A:A,MASTER!A:J,10,0)</f>
        <v>1243</v>
      </c>
      <c r="K62" s="12">
        <f t="shared" si="1"/>
        <v>1.1391375101708734E-2</v>
      </c>
      <c r="L62" s="2">
        <f>VLOOKUP(A:A,MASTER!A:D,4,0)</f>
        <v>6</v>
      </c>
      <c r="M62" s="2">
        <f>VLOOKUP(A:A,MASTER!A:I,9,0)</f>
        <v>6</v>
      </c>
      <c r="N62" s="12">
        <f t="shared" si="2"/>
        <v>0</v>
      </c>
      <c r="O62" s="1">
        <f>VLOOKUP(A:A,MASTER!A:C,3,0)</f>
        <v>14</v>
      </c>
      <c r="P62" s="1">
        <f>VLOOKUP(A:A,MASTER!A:H,8,0)</f>
        <v>12</v>
      </c>
      <c r="Q62" s="12">
        <f t="shared" si="3"/>
        <v>-0.1428571428571429</v>
      </c>
      <c r="R62" s="1">
        <f>VLOOKUP(A:A,MASTER!A:B,2,0)</f>
        <v>1582</v>
      </c>
      <c r="S62">
        <f>VLOOKUP(A:A,MASTER!A:G,7,0)</f>
        <v>1594</v>
      </c>
      <c r="T62" s="12">
        <f t="shared" si="4"/>
        <v>7.5853350189634128E-3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35023411.856107965</v>
      </c>
      <c r="G63" s="1">
        <f>VLOOKUP(A:A,MASTER!A:K,11,0)</f>
        <v>36681052.563683063</v>
      </c>
      <c r="H63" s="12">
        <f t="shared" si="0"/>
        <v>4.7329503886869517E-2</v>
      </c>
      <c r="I63" s="2">
        <f>VLOOKUP(A:A,MASTER!A:E,5,0)</f>
        <v>764</v>
      </c>
      <c r="J63" s="2">
        <f>VLOOKUP(A:A,MASTER!A:J,10,0)</f>
        <v>734</v>
      </c>
      <c r="K63" s="12">
        <f t="shared" si="1"/>
        <v>-3.9267015706806241E-2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5</v>
      </c>
      <c r="P63" s="1">
        <f>VLOOKUP(A:A,MASTER!A:H,8,0)</f>
        <v>2</v>
      </c>
      <c r="Q63" s="12">
        <f t="shared" si="3"/>
        <v>-0.6</v>
      </c>
      <c r="R63" s="1">
        <f>VLOOKUP(A:A,MASTER!A:B,2,0)</f>
        <v>885</v>
      </c>
      <c r="S63">
        <f>VLOOKUP(A:A,MASTER!A:G,7,0)</f>
        <v>913</v>
      </c>
      <c r="T63" s="12">
        <f t="shared" si="4"/>
        <v>3.1638418079096065E-2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52986952.666871026</v>
      </c>
      <c r="G64" s="1">
        <f>VLOOKUP(A:A,MASTER!A:K,11,0)</f>
        <v>49029776.551765636</v>
      </c>
      <c r="H64" s="12">
        <f t="shared" si="0"/>
        <v>-7.4682085229248019E-2</v>
      </c>
      <c r="I64" s="2">
        <f>VLOOKUP(A:A,MASTER!A:E,5,0)</f>
        <v>1327</v>
      </c>
      <c r="J64" s="2">
        <f>VLOOKUP(A:A,MASTER!A:J,10,0)</f>
        <v>1272</v>
      </c>
      <c r="K64" s="12">
        <f t="shared" si="1"/>
        <v>-4.1446872645064081E-2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371</v>
      </c>
      <c r="P64" s="1">
        <f>VLOOKUP(A:A,MASTER!A:H,8,0)</f>
        <v>372</v>
      </c>
      <c r="Q64" s="12">
        <f t="shared" si="3"/>
        <v>2.6954177897573484E-3</v>
      </c>
      <c r="R64" s="1">
        <f>VLOOKUP(A:A,MASTER!A:B,2,0)</f>
        <v>2297</v>
      </c>
      <c r="S64">
        <f>VLOOKUP(A:A,MASTER!A:G,7,0)</f>
        <v>2015</v>
      </c>
      <c r="T64" s="12">
        <f t="shared" si="4"/>
        <v>-0.12276882890727037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1604743.4340360931</v>
      </c>
      <c r="G65" s="1">
        <f>VLOOKUP(A:A,MASTER!A:K,11,0)</f>
        <v>4030673.95379342</v>
      </c>
      <c r="H65" s="12">
        <f t="shared" si="0"/>
        <v>1.5117248454202206</v>
      </c>
      <c r="I65" s="2">
        <f>VLOOKUP(A:A,MASTER!A:E,5,0)</f>
        <v>286</v>
      </c>
      <c r="J65" s="2">
        <f>VLOOKUP(A:A,MASTER!A:J,10,0)</f>
        <v>275</v>
      </c>
      <c r="K65" s="12">
        <f t="shared" si="1"/>
        <v>-3.8461538461538436E-2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0</v>
      </c>
      <c r="P65" s="1">
        <f>VLOOKUP(A:A,MASTER!A:H,8,0)</f>
        <v>2</v>
      </c>
      <c r="Q65" s="12">
        <f t="shared" si="3"/>
        <v>0</v>
      </c>
      <c r="R65" s="1">
        <f>VLOOKUP(A:A,MASTER!A:B,2,0)</f>
        <v>244</v>
      </c>
      <c r="S65">
        <f>VLOOKUP(A:A,MASTER!A:G,7,0)</f>
        <v>284</v>
      </c>
      <c r="T65" s="12">
        <f t="shared" si="4"/>
        <v>0.16393442622950816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37741415.05560144</v>
      </c>
      <c r="G66" s="1">
        <f>VLOOKUP(A:A,MASTER!A:K,11,0)</f>
        <v>37080322.484695628</v>
      </c>
      <c r="H66" s="12">
        <f t="shared" si="0"/>
        <v>-1.7516369482487026E-2</v>
      </c>
      <c r="I66" s="2">
        <f>VLOOKUP(A:A,MASTER!A:E,5,0)</f>
        <v>1518</v>
      </c>
      <c r="J66" s="2">
        <f>VLOOKUP(A:A,MASTER!A:J,10,0)</f>
        <v>1479</v>
      </c>
      <c r="K66" s="12">
        <f t="shared" si="1"/>
        <v>-2.5691699604743046E-2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7</v>
      </c>
      <c r="P66" s="1">
        <f>VLOOKUP(A:A,MASTER!A:H,8,0)</f>
        <v>15</v>
      </c>
      <c r="Q66" s="12">
        <f t="shared" si="3"/>
        <v>1.1428571428571428</v>
      </c>
      <c r="R66" s="1">
        <f>VLOOKUP(A:A,MASTER!A:B,2,0)</f>
        <v>1667</v>
      </c>
      <c r="S66">
        <f>VLOOKUP(A:A,MASTER!A:G,7,0)</f>
        <v>1690</v>
      </c>
      <c r="T66" s="12">
        <f t="shared" si="4"/>
        <v>1.3797240551889578E-2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18215056.68860703</v>
      </c>
      <c r="G67" s="1">
        <f>VLOOKUP(A:A,MASTER!A:K,11,0)</f>
        <v>16713241.139799256</v>
      </c>
      <c r="H67" s="12">
        <f t="shared" ref="H67:H85" si="5">IFERROR(G67/F67-1,0)</f>
        <v>-8.2449128459046395E-2</v>
      </c>
      <c r="I67" s="2">
        <f>VLOOKUP(A:A,MASTER!A:E,5,0)</f>
        <v>611</v>
      </c>
      <c r="J67" s="2">
        <f>VLOOKUP(A:A,MASTER!A:J,10,0)</f>
        <v>598</v>
      </c>
      <c r="K67" s="12">
        <f t="shared" ref="K67:K85" si="6">IFERROR(J67/I67-1,0)</f>
        <v>-2.1276595744680882E-2</v>
      </c>
      <c r="L67" s="2">
        <f>VLOOKUP(A:A,MASTER!A:D,4,0)</f>
        <v>3</v>
      </c>
      <c r="M67" s="2">
        <f>VLOOKUP(A:A,MASTER!A:I,9,0)</f>
        <v>4</v>
      </c>
      <c r="N67" s="12">
        <f t="shared" ref="N67:N85" si="7">IFERROR(M67/L67-1,0)</f>
        <v>0.33333333333333326</v>
      </c>
      <c r="O67" s="1">
        <f>VLOOKUP(A:A,MASTER!A:C,3,0)</f>
        <v>1</v>
      </c>
      <c r="P67" s="1">
        <f>VLOOKUP(A:A,MASTER!A:H,8,0)</f>
        <v>2</v>
      </c>
      <c r="Q67" s="12">
        <f t="shared" ref="Q67:Q85" si="8">IFERROR(P67/O67-1,0)</f>
        <v>1</v>
      </c>
      <c r="R67" s="1">
        <f>VLOOKUP(A:A,MASTER!A:B,2,0)</f>
        <v>736</v>
      </c>
      <c r="S67">
        <f>VLOOKUP(A:A,MASTER!A:G,7,0)</f>
        <v>652</v>
      </c>
      <c r="T67" s="12">
        <f t="shared" ref="T67:T85" si="9">IFERROR(S67/R67-1,0)</f>
        <v>-0.11413043478260865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25802788.754436146</v>
      </c>
      <c r="G68" s="1">
        <f>VLOOKUP(A:A,MASTER!A:K,11,0)</f>
        <v>27816969.776097447</v>
      </c>
      <c r="H68" s="12">
        <f t="shared" si="5"/>
        <v>7.8060594179573339E-2</v>
      </c>
      <c r="I68" s="2">
        <f>VLOOKUP(A:A,MASTER!A:E,5,0)</f>
        <v>869</v>
      </c>
      <c r="J68" s="2">
        <f>VLOOKUP(A:A,MASTER!A:J,10,0)</f>
        <v>924</v>
      </c>
      <c r="K68" s="12">
        <f t="shared" si="6"/>
        <v>6.3291139240506222E-2</v>
      </c>
      <c r="L68" s="2">
        <f>VLOOKUP(A:A,MASTER!A:D,4,0)</f>
        <v>4</v>
      </c>
      <c r="M68" s="2">
        <f>VLOOKUP(A:A,MASTER!A:I,9,0)</f>
        <v>5</v>
      </c>
      <c r="N68" s="12">
        <f t="shared" si="7"/>
        <v>0.25</v>
      </c>
      <c r="O68" s="1">
        <f>VLOOKUP(A:A,MASTER!A:C,3,0)</f>
        <v>20</v>
      </c>
      <c r="P68" s="1">
        <f>VLOOKUP(A:A,MASTER!A:H,8,0)</f>
        <v>1</v>
      </c>
      <c r="Q68" s="12">
        <f t="shared" si="8"/>
        <v>-0.95</v>
      </c>
      <c r="R68" s="1">
        <f>VLOOKUP(A:A,MASTER!A:B,2,0)</f>
        <v>1373</v>
      </c>
      <c r="S68">
        <f>VLOOKUP(A:A,MASTER!A:G,7,0)</f>
        <v>1399</v>
      </c>
      <c r="T68" s="12">
        <f t="shared" si="9"/>
        <v>1.8936635105608168E-2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15960149.230632352</v>
      </c>
      <c r="G69" s="1">
        <f>VLOOKUP(A:A,MASTER!A:K,11,0)</f>
        <v>21612087.804990321</v>
      </c>
      <c r="H69" s="12">
        <f t="shared" si="5"/>
        <v>0.35412817842017352</v>
      </c>
      <c r="I69" s="2">
        <f>VLOOKUP(A:A,MASTER!A:E,5,0)</f>
        <v>1214</v>
      </c>
      <c r="J69" s="2">
        <f>VLOOKUP(A:A,MASTER!A:J,10,0)</f>
        <v>1312</v>
      </c>
      <c r="K69" s="12">
        <f t="shared" si="6"/>
        <v>8.0724876441515603E-2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2</v>
      </c>
      <c r="P69" s="1">
        <f>VLOOKUP(A:A,MASTER!A:H,8,0)</f>
        <v>3</v>
      </c>
      <c r="Q69" s="12">
        <f t="shared" si="8"/>
        <v>0.5</v>
      </c>
      <c r="R69" s="1">
        <f>VLOOKUP(A:A,MASTER!A:B,2,0)</f>
        <v>1278</v>
      </c>
      <c r="S69">
        <f>VLOOKUP(A:A,MASTER!A:G,7,0)</f>
        <v>1396</v>
      </c>
      <c r="T69" s="12">
        <f t="shared" si="9"/>
        <v>9.2331768388106417E-2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46580676.905710757</v>
      </c>
      <c r="G70" s="1">
        <f>VLOOKUP(A:A,MASTER!A:K,11,0)</f>
        <v>49256726.466358557</v>
      </c>
      <c r="H70" s="12">
        <f t="shared" si="5"/>
        <v>5.7449778286062569E-2</v>
      </c>
      <c r="I70" s="2">
        <f>VLOOKUP(A:A,MASTER!A:E,5,0)</f>
        <v>1228</v>
      </c>
      <c r="J70" s="2">
        <f>VLOOKUP(A:A,MASTER!A:J,10,0)</f>
        <v>1317</v>
      </c>
      <c r="K70" s="12">
        <f t="shared" si="6"/>
        <v>7.2475570032573211E-2</v>
      </c>
      <c r="L70" s="2">
        <f>VLOOKUP(A:A,MASTER!A:D,4,0)</f>
        <v>4</v>
      </c>
      <c r="M70" s="2">
        <f>VLOOKUP(A:A,MASTER!A:I,9,0)</f>
        <v>7</v>
      </c>
      <c r="N70" s="12">
        <f t="shared" si="7"/>
        <v>0.75</v>
      </c>
      <c r="O70" s="1">
        <f>VLOOKUP(A:A,MASTER!A:C,3,0)</f>
        <v>10</v>
      </c>
      <c r="P70" s="1">
        <f>VLOOKUP(A:A,MASTER!A:H,8,0)</f>
        <v>9</v>
      </c>
      <c r="Q70" s="12">
        <f t="shared" si="8"/>
        <v>-9.9999999999999978E-2</v>
      </c>
      <c r="R70" s="1">
        <f>VLOOKUP(A:A,MASTER!A:B,2,0)</f>
        <v>1750</v>
      </c>
      <c r="S70">
        <f>VLOOKUP(A:A,MASTER!A:G,7,0)</f>
        <v>1605</v>
      </c>
      <c r="T70" s="12">
        <f t="shared" si="9"/>
        <v>-8.2857142857142851E-2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9383646.5454543922</v>
      </c>
      <c r="G71" s="1">
        <f>VLOOKUP(A:A,MASTER!A:K,11,0)</f>
        <v>8960062.0347378012</v>
      </c>
      <c r="H71" s="12">
        <f t="shared" si="5"/>
        <v>-4.514071461075897E-2</v>
      </c>
      <c r="I71" s="2">
        <f>VLOOKUP(A:A,MASTER!A:E,5,0)</f>
        <v>440</v>
      </c>
      <c r="J71" s="2">
        <f>VLOOKUP(A:A,MASTER!A:J,10,0)</f>
        <v>433</v>
      </c>
      <c r="K71" s="12">
        <f t="shared" si="6"/>
        <v>-1.5909090909090873E-2</v>
      </c>
      <c r="L71" s="2">
        <f>VLOOKUP(A:A,MASTER!A:D,4,0)</f>
        <v>1</v>
      </c>
      <c r="M71" s="2">
        <f>VLOOKUP(A:A,MASTER!A:I,9,0)</f>
        <v>2</v>
      </c>
      <c r="N71" s="12">
        <f t="shared" si="7"/>
        <v>1</v>
      </c>
      <c r="O71" s="1">
        <f>VLOOKUP(A:A,MASTER!A:C,3,0)</f>
        <v>2</v>
      </c>
      <c r="P71" s="1">
        <f>VLOOKUP(A:A,MASTER!A:H,8,0)</f>
        <v>4</v>
      </c>
      <c r="Q71" s="12">
        <f t="shared" si="8"/>
        <v>1</v>
      </c>
      <c r="R71" s="1">
        <f>VLOOKUP(A:A,MASTER!A:B,2,0)</f>
        <v>517</v>
      </c>
      <c r="S71">
        <f>VLOOKUP(A:A,MASTER!A:G,7,0)</f>
        <v>460</v>
      </c>
      <c r="T71" s="12">
        <f t="shared" si="9"/>
        <v>-0.11025145067698261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14552442.544222549</v>
      </c>
      <c r="G72" s="1">
        <f>VLOOKUP(A:A,MASTER!A:K,11,0)</f>
        <v>17409108.331550773</v>
      </c>
      <c r="H72" s="12">
        <f t="shared" si="5"/>
        <v>0.19630146476423271</v>
      </c>
      <c r="I72" s="2">
        <f>VLOOKUP(A:A,MASTER!A:E,5,0)</f>
        <v>774</v>
      </c>
      <c r="J72" s="2">
        <f>VLOOKUP(A:A,MASTER!A:J,10,0)</f>
        <v>747</v>
      </c>
      <c r="K72" s="12">
        <f t="shared" si="6"/>
        <v>-3.4883720930232509E-2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3</v>
      </c>
      <c r="P72" s="1">
        <f>VLOOKUP(A:A,MASTER!A:H,8,0)</f>
        <v>1</v>
      </c>
      <c r="Q72" s="12">
        <f t="shared" si="8"/>
        <v>-0.66666666666666674</v>
      </c>
      <c r="R72" s="1">
        <f>VLOOKUP(A:A,MASTER!A:B,2,0)</f>
        <v>886</v>
      </c>
      <c r="S72">
        <f>VLOOKUP(A:A,MASTER!A:G,7,0)</f>
        <v>782</v>
      </c>
      <c r="T72" s="12">
        <f t="shared" si="9"/>
        <v>-0.11738148984198649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14615906.519403487</v>
      </c>
      <c r="G73" s="1">
        <f>VLOOKUP(A:A,MASTER!A:K,11,0)</f>
        <v>16261279.578989357</v>
      </c>
      <c r="H73" s="12">
        <f t="shared" si="5"/>
        <v>0.1125741367736266</v>
      </c>
      <c r="I73" s="2">
        <f>VLOOKUP(A:A,MASTER!A:E,5,0)</f>
        <v>482</v>
      </c>
      <c r="J73" s="2">
        <f>VLOOKUP(A:A,MASTER!A:J,10,0)</f>
        <v>478</v>
      </c>
      <c r="K73" s="12">
        <f t="shared" si="6"/>
        <v>-8.2987551867219622E-3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0</v>
      </c>
      <c r="P73" s="1">
        <f>VLOOKUP(A:A,MASTER!A:H,8,0)</f>
        <v>2</v>
      </c>
      <c r="Q73" s="12">
        <f t="shared" si="8"/>
        <v>0</v>
      </c>
      <c r="R73" s="1">
        <f>VLOOKUP(A:A,MASTER!A:B,2,0)</f>
        <v>651</v>
      </c>
      <c r="S73">
        <f>VLOOKUP(A:A,MASTER!A:G,7,0)</f>
        <v>589</v>
      </c>
      <c r="T73" s="12">
        <f t="shared" si="9"/>
        <v>-9.5238095238095233E-2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11825950.763445076</v>
      </c>
      <c r="G74" s="1">
        <f>VLOOKUP(A:A,MASTER!A:K,11,0)</f>
        <v>10410105.269862575</v>
      </c>
      <c r="H74" s="12">
        <f t="shared" si="5"/>
        <v>-0.1197236080128955</v>
      </c>
      <c r="I74" s="2">
        <f>VLOOKUP(A:A,MASTER!A:E,5,0)</f>
        <v>725</v>
      </c>
      <c r="J74" s="2">
        <f>VLOOKUP(A:A,MASTER!A:J,10,0)</f>
        <v>790</v>
      </c>
      <c r="K74" s="12">
        <f t="shared" si="6"/>
        <v>8.9655172413793061E-2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5</v>
      </c>
      <c r="P74" s="1">
        <f>VLOOKUP(A:A,MASTER!A:H,8,0)</f>
        <v>6</v>
      </c>
      <c r="Q74" s="12">
        <f t="shared" si="8"/>
        <v>0.19999999999999996</v>
      </c>
      <c r="R74" s="1">
        <f>VLOOKUP(A:A,MASTER!A:B,2,0)</f>
        <v>612</v>
      </c>
      <c r="S74">
        <f>VLOOKUP(A:A,MASTER!A:G,7,0)</f>
        <v>800</v>
      </c>
      <c r="T74" s="12">
        <f t="shared" si="9"/>
        <v>0.30718954248366015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12707889.856647348</v>
      </c>
      <c r="G75" s="1">
        <f>VLOOKUP(A:A,MASTER!A:K,11,0)</f>
        <v>11224853.807416515</v>
      </c>
      <c r="H75" s="12">
        <f t="shared" si="5"/>
        <v>-0.11670199112208024</v>
      </c>
      <c r="I75" s="2">
        <f>VLOOKUP(A:A,MASTER!A:E,5,0)</f>
        <v>459</v>
      </c>
      <c r="J75" s="2">
        <f>VLOOKUP(A:A,MASTER!A:J,10,0)</f>
        <v>466</v>
      </c>
      <c r="K75" s="12">
        <f t="shared" si="6"/>
        <v>1.5250544662309462E-2</v>
      </c>
      <c r="L75" s="2">
        <f>VLOOKUP(A:A,MASTER!A:D,4,0)</f>
        <v>7</v>
      </c>
      <c r="M75" s="2">
        <f>VLOOKUP(A:A,MASTER!A:I,9,0)</f>
        <v>7</v>
      </c>
      <c r="N75" s="12">
        <f t="shared" si="7"/>
        <v>0</v>
      </c>
      <c r="O75" s="1">
        <f>VLOOKUP(A:A,MASTER!A:C,3,0)</f>
        <v>0</v>
      </c>
      <c r="P75" s="1">
        <f>VLOOKUP(A:A,MASTER!A:H,8,0)</f>
        <v>3</v>
      </c>
      <c r="Q75" s="12">
        <f t="shared" si="8"/>
        <v>0</v>
      </c>
      <c r="R75" s="1">
        <f>VLOOKUP(A:A,MASTER!A:B,2,0)</f>
        <v>444</v>
      </c>
      <c r="S75">
        <f>VLOOKUP(A:A,MASTER!A:G,7,0)</f>
        <v>498</v>
      </c>
      <c r="T75" s="12">
        <f t="shared" si="9"/>
        <v>0.12162162162162171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33856213.568945937</v>
      </c>
      <c r="G76" s="1">
        <f>VLOOKUP(A:A,MASTER!A:K,11,0)</f>
        <v>25767122.084004831</v>
      </c>
      <c r="H76" s="12">
        <f t="shared" si="5"/>
        <v>-0.23892487175118404</v>
      </c>
      <c r="I76" s="2">
        <f>VLOOKUP(A:A,MASTER!A:E,5,0)</f>
        <v>756</v>
      </c>
      <c r="J76" s="2">
        <f>VLOOKUP(A:A,MASTER!A:J,10,0)</f>
        <v>749</v>
      </c>
      <c r="K76" s="12">
        <f t="shared" si="6"/>
        <v>-9.2592592592593004E-3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5</v>
      </c>
      <c r="P76" s="1">
        <f>VLOOKUP(A:A,MASTER!A:H,8,0)</f>
        <v>5</v>
      </c>
      <c r="Q76" s="12">
        <f t="shared" si="8"/>
        <v>0</v>
      </c>
      <c r="R76" s="1">
        <f>VLOOKUP(A:A,MASTER!A:B,2,0)</f>
        <v>940</v>
      </c>
      <c r="S76">
        <f>VLOOKUP(A:A,MASTER!A:G,7,0)</f>
        <v>750</v>
      </c>
      <c r="T76" s="12">
        <f t="shared" si="9"/>
        <v>-0.2021276595744681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20147404.699376933</v>
      </c>
      <c r="G77" s="1">
        <f>VLOOKUP(A:A,MASTER!A:K,11,0)</f>
        <v>20795729.777784407</v>
      </c>
      <c r="H77" s="12">
        <f t="shared" si="5"/>
        <v>3.2179086491845865E-2</v>
      </c>
      <c r="I77" s="2">
        <f>VLOOKUP(A:A,MASTER!A:E,5,0)</f>
        <v>709</v>
      </c>
      <c r="J77" s="2">
        <f>VLOOKUP(A:A,MASTER!A:J,10,0)</f>
        <v>741</v>
      </c>
      <c r="K77" s="12">
        <f t="shared" si="6"/>
        <v>4.5133991537376517E-2</v>
      </c>
      <c r="L77" s="2">
        <f>VLOOKUP(A:A,MASTER!A:D,4,0)</f>
        <v>10</v>
      </c>
      <c r="M77" s="2">
        <f>VLOOKUP(A:A,MASTER!A:I,9,0)</f>
        <v>9</v>
      </c>
      <c r="N77" s="12">
        <f t="shared" si="7"/>
        <v>-9.9999999999999978E-2</v>
      </c>
      <c r="O77" s="1">
        <f>VLOOKUP(A:A,MASTER!A:C,3,0)</f>
        <v>2</v>
      </c>
      <c r="P77" s="1">
        <f>VLOOKUP(A:A,MASTER!A:H,8,0)</f>
        <v>3</v>
      </c>
      <c r="Q77" s="12">
        <f t="shared" si="8"/>
        <v>0.5</v>
      </c>
      <c r="R77" s="1">
        <f>VLOOKUP(A:A,MASTER!A:B,2,0)</f>
        <v>771</v>
      </c>
      <c r="S77">
        <f>VLOOKUP(A:A,MASTER!A:G,7,0)</f>
        <v>789</v>
      </c>
      <c r="T77" s="12">
        <f t="shared" si="9"/>
        <v>2.3346303501945442E-2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16295988.162141008</v>
      </c>
      <c r="G78" s="1">
        <f>VLOOKUP(A:A,MASTER!A:K,11,0)</f>
        <v>17212098.434398443</v>
      </c>
      <c r="H78" s="12">
        <f t="shared" si="5"/>
        <v>5.621692057838823E-2</v>
      </c>
      <c r="I78" s="2">
        <f>VLOOKUP(A:A,MASTER!A:E,5,0)</f>
        <v>873</v>
      </c>
      <c r="J78" s="2">
        <f>VLOOKUP(A:A,MASTER!A:J,10,0)</f>
        <v>974</v>
      </c>
      <c r="K78" s="12">
        <f t="shared" si="6"/>
        <v>0.11569301260022913</v>
      </c>
      <c r="L78" s="2">
        <f>VLOOKUP(A:A,MASTER!A:D,4,0)</f>
        <v>2</v>
      </c>
      <c r="M78" s="2">
        <f>VLOOKUP(A:A,MASTER!A:I,9,0)</f>
        <v>2</v>
      </c>
      <c r="N78" s="12">
        <f t="shared" si="7"/>
        <v>0</v>
      </c>
      <c r="O78" s="1">
        <f>VLOOKUP(A:A,MASTER!A:C,3,0)</f>
        <v>2</v>
      </c>
      <c r="P78" s="1">
        <f>VLOOKUP(A:A,MASTER!A:H,8,0)</f>
        <v>2</v>
      </c>
      <c r="Q78" s="12">
        <f t="shared" si="8"/>
        <v>0</v>
      </c>
      <c r="R78" s="1">
        <f>VLOOKUP(A:A,MASTER!A:B,2,0)</f>
        <v>959</v>
      </c>
      <c r="S78">
        <f>VLOOKUP(A:A,MASTER!A:G,7,0)</f>
        <v>1100</v>
      </c>
      <c r="T78" s="12">
        <f t="shared" si="9"/>
        <v>0.14702815432742433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16008993.220043994</v>
      </c>
      <c r="G79" s="1">
        <f>VLOOKUP(A:A,MASTER!A:K,11,0)</f>
        <v>20575678.3225642</v>
      </c>
      <c r="H79" s="12">
        <f t="shared" si="5"/>
        <v>0.28525748245070814</v>
      </c>
      <c r="I79" s="2">
        <f>VLOOKUP(A:A,MASTER!A:E,5,0)</f>
        <v>839</v>
      </c>
      <c r="J79" s="2">
        <f>VLOOKUP(A:A,MASTER!A:J,10,0)</f>
        <v>860</v>
      </c>
      <c r="K79" s="12">
        <f t="shared" si="6"/>
        <v>2.5029797377830842E-2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2</v>
      </c>
      <c r="P79" s="1">
        <f>VLOOKUP(A:A,MASTER!A:H,8,0)</f>
        <v>2</v>
      </c>
      <c r="Q79" s="12">
        <f t="shared" si="8"/>
        <v>0</v>
      </c>
      <c r="R79" s="1">
        <f>VLOOKUP(A:A,MASTER!A:B,2,0)</f>
        <v>992</v>
      </c>
      <c r="S79">
        <f>VLOOKUP(A:A,MASTER!A:G,7,0)</f>
        <v>941</v>
      </c>
      <c r="T79" s="12">
        <f t="shared" si="9"/>
        <v>-5.1411290322580627E-2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21222145.549389083</v>
      </c>
      <c r="G80" s="1">
        <f>VLOOKUP(A:A,MASTER!A:K,11,0)</f>
        <v>24021340.943134073</v>
      </c>
      <c r="H80" s="12">
        <f t="shared" si="5"/>
        <v>0.13189973592587911</v>
      </c>
      <c r="I80" s="2">
        <f>VLOOKUP(A:A,MASTER!A:E,5,0)</f>
        <v>733</v>
      </c>
      <c r="J80" s="2">
        <f>VLOOKUP(A:A,MASTER!A:J,10,0)</f>
        <v>784</v>
      </c>
      <c r="K80" s="12">
        <f t="shared" si="6"/>
        <v>6.9577080491132426E-2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2</v>
      </c>
      <c r="P80" s="1">
        <f>VLOOKUP(A:A,MASTER!A:H,8,0)</f>
        <v>2</v>
      </c>
      <c r="Q80" s="12">
        <f t="shared" si="8"/>
        <v>0</v>
      </c>
      <c r="R80" s="1">
        <f>VLOOKUP(A:A,MASTER!A:B,2,0)</f>
        <v>757</v>
      </c>
      <c r="S80">
        <f>VLOOKUP(A:A,MASTER!A:G,7,0)</f>
        <v>844</v>
      </c>
      <c r="T80" s="12">
        <f t="shared" si="9"/>
        <v>0.11492734478203426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10050763.988478778</v>
      </c>
      <c r="G81" s="1">
        <f>VLOOKUP(A:A,MASTER!A:K,11,0)</f>
        <v>9531836.5712453369</v>
      </c>
      <c r="H81" s="12">
        <f t="shared" si="5"/>
        <v>-5.1630643981720126E-2</v>
      </c>
      <c r="I81" s="2">
        <f>VLOOKUP(A:A,MASTER!A:E,5,0)</f>
        <v>493</v>
      </c>
      <c r="J81" s="2">
        <f>VLOOKUP(A:A,MASTER!A:J,10,0)</f>
        <v>502</v>
      </c>
      <c r="K81" s="12">
        <f t="shared" si="6"/>
        <v>1.8255578093306246E-2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1</v>
      </c>
      <c r="P81" s="1">
        <f>VLOOKUP(A:A,MASTER!A:H,8,0)</f>
        <v>4</v>
      </c>
      <c r="Q81" s="12">
        <f t="shared" si="8"/>
        <v>3</v>
      </c>
      <c r="R81" s="1">
        <f>VLOOKUP(A:A,MASTER!A:B,2,0)</f>
        <v>561</v>
      </c>
      <c r="S81">
        <f>VLOOKUP(A:A,MASTER!A:G,7,0)</f>
        <v>593</v>
      </c>
      <c r="T81" s="12">
        <f t="shared" si="9"/>
        <v>5.7040998217468886E-2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42084775.50188525</v>
      </c>
      <c r="G82" s="1">
        <f>VLOOKUP(A:A,MASTER!A:K,11,0)</f>
        <v>51153393.19780989</v>
      </c>
      <c r="H82" s="12">
        <f t="shared" si="5"/>
        <v>0.21548452113088734</v>
      </c>
      <c r="I82" s="2">
        <f>VLOOKUP(A:A,MASTER!A:E,5,0)</f>
        <v>1348</v>
      </c>
      <c r="J82" s="2">
        <f>VLOOKUP(A:A,MASTER!A:J,10,0)</f>
        <v>1448</v>
      </c>
      <c r="K82" s="12">
        <f t="shared" si="6"/>
        <v>7.4183976261127604E-2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0</v>
      </c>
      <c r="P82" s="1">
        <f>VLOOKUP(A:A,MASTER!A:H,8,0)</f>
        <v>2</v>
      </c>
      <c r="Q82" s="12">
        <f t="shared" si="8"/>
        <v>0</v>
      </c>
      <c r="R82" s="1">
        <f>VLOOKUP(A:A,MASTER!A:B,2,0)</f>
        <v>1767</v>
      </c>
      <c r="S82">
        <f>VLOOKUP(A:A,MASTER!A:G,7,0)</f>
        <v>1661</v>
      </c>
      <c r="T82" s="12">
        <f t="shared" si="9"/>
        <v>-5.9988681380871545E-2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9931053.6177717447</v>
      </c>
      <c r="G83" s="1">
        <f>VLOOKUP(A:A,MASTER!A:K,11,0)</f>
        <v>11320774.287268532</v>
      </c>
      <c r="H83" s="12">
        <f t="shared" si="5"/>
        <v>0.13993688111902491</v>
      </c>
      <c r="I83" s="2">
        <f>VLOOKUP(A:A,MASTER!A:E,5,0)</f>
        <v>900</v>
      </c>
      <c r="J83" s="2">
        <f>VLOOKUP(A:A,MASTER!A:J,10,0)</f>
        <v>763</v>
      </c>
      <c r="K83" s="12">
        <f t="shared" si="6"/>
        <v>-0.15222222222222226</v>
      </c>
      <c r="L83" s="2">
        <f>VLOOKUP(A:A,MASTER!A:D,4,0)</f>
        <v>3</v>
      </c>
      <c r="M83" s="2">
        <f>VLOOKUP(A:A,MASTER!A:I,9,0)</f>
        <v>3</v>
      </c>
      <c r="N83" s="12">
        <f t="shared" si="7"/>
        <v>0</v>
      </c>
      <c r="O83" s="1">
        <f>VLOOKUP(A:A,MASTER!A:C,3,0)</f>
        <v>0</v>
      </c>
      <c r="P83" s="1">
        <f>VLOOKUP(A:A,MASTER!A:H,8,0)</f>
        <v>2</v>
      </c>
      <c r="Q83" s="12">
        <f t="shared" si="8"/>
        <v>0</v>
      </c>
      <c r="R83" s="1">
        <f>VLOOKUP(A:A,MASTER!A:B,2,0)</f>
        <v>562</v>
      </c>
      <c r="S83">
        <f>VLOOKUP(A:A,MASTER!A:G,7,0)</f>
        <v>925</v>
      </c>
      <c r="T83" s="12">
        <f t="shared" si="9"/>
        <v>0.64590747330960863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18693370.236158248</v>
      </c>
      <c r="G84" s="1">
        <f>VLOOKUP(A:A,MASTER!A:K,11,0)</f>
        <v>20146519.231406134</v>
      </c>
      <c r="H84" s="12">
        <f t="shared" si="5"/>
        <v>7.7736062405541206E-2</v>
      </c>
      <c r="I84" s="2">
        <f>VLOOKUP(A:A,MASTER!A:E,5,0)</f>
        <v>543</v>
      </c>
      <c r="J84" s="2">
        <f>VLOOKUP(A:A,MASTER!A:J,10,0)</f>
        <v>522</v>
      </c>
      <c r="K84" s="12">
        <f t="shared" si="6"/>
        <v>-3.8674033149171283E-2</v>
      </c>
      <c r="L84" s="2">
        <f>VLOOKUP(A:A,MASTER!A:D,4,0)</f>
        <v>7</v>
      </c>
      <c r="M84" s="2">
        <f>VLOOKUP(A:A,MASTER!A:I,9,0)</f>
        <v>8</v>
      </c>
      <c r="N84" s="12">
        <f t="shared" si="7"/>
        <v>0.14285714285714279</v>
      </c>
      <c r="O84" s="1">
        <f>VLOOKUP(A:A,MASTER!A:C,3,0)</f>
        <v>4</v>
      </c>
      <c r="P84" s="1">
        <f>VLOOKUP(A:A,MASTER!A:H,8,0)</f>
        <v>5</v>
      </c>
      <c r="Q84" s="12">
        <f t="shared" si="8"/>
        <v>0.25</v>
      </c>
      <c r="R84" s="1">
        <f>VLOOKUP(A:A,MASTER!A:B,2,0)</f>
        <v>647</v>
      </c>
      <c r="S84">
        <f>VLOOKUP(A:A,MASTER!A:G,7,0)</f>
        <v>766</v>
      </c>
      <c r="T84" s="12">
        <f t="shared" si="9"/>
        <v>0.18392581143740339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4601412.716901565</v>
      </c>
      <c r="G85" s="1">
        <f>VLOOKUP(A:A,MASTER!A:K,11,0)</f>
        <v>4177363.4227665081</v>
      </c>
      <c r="H85" s="12">
        <f t="shared" si="5"/>
        <v>-9.2156326811866029E-2</v>
      </c>
      <c r="I85" s="2">
        <f>VLOOKUP(A:A,MASTER!A:E,5,0)</f>
        <v>362</v>
      </c>
      <c r="J85" s="2">
        <f>VLOOKUP(A:A,MASTER!A:J,10,0)</f>
        <v>14</v>
      </c>
      <c r="K85" s="12">
        <f t="shared" si="6"/>
        <v>-0.96132596685082872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362</v>
      </c>
      <c r="S85">
        <f>VLOOKUP(A:A,MASTER!A:G,7,0)</f>
        <v>100</v>
      </c>
      <c r="T85" s="12">
        <f t="shared" si="9"/>
        <v>-0.72375690607734811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84698</v>
      </c>
      <c r="C3" s="11">
        <f t="shared" si="0"/>
        <v>1022</v>
      </c>
      <c r="D3" s="11">
        <f t="shared" si="0"/>
        <v>316</v>
      </c>
      <c r="E3" s="11">
        <f t="shared" si="0"/>
        <v>69168</v>
      </c>
      <c r="F3" s="11">
        <f t="shared" si="0"/>
        <v>1934635103.3523769</v>
      </c>
      <c r="G3" s="11">
        <f t="shared" si="0"/>
        <v>83602</v>
      </c>
      <c r="H3" s="11">
        <f t="shared" si="0"/>
        <v>1321</v>
      </c>
      <c r="I3" s="11">
        <f t="shared" si="0"/>
        <v>315</v>
      </c>
      <c r="J3" s="11">
        <f t="shared" si="0"/>
        <v>71073</v>
      </c>
      <c r="K3" s="11">
        <f t="shared" si="0"/>
        <v>2019834901.3869331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421</v>
      </c>
      <c r="C6" s="10">
        <v>0</v>
      </c>
      <c r="D6" s="10">
        <v>2</v>
      </c>
      <c r="E6" s="10">
        <v>372</v>
      </c>
      <c r="F6" s="10">
        <v>8665292.4728072863</v>
      </c>
      <c r="G6" s="10">
        <v>428</v>
      </c>
      <c r="H6" s="10">
        <v>1</v>
      </c>
      <c r="I6" s="10">
        <v>2</v>
      </c>
      <c r="J6" s="10">
        <v>338</v>
      </c>
      <c r="K6" s="10">
        <v>9238403.0792054478</v>
      </c>
    </row>
    <row r="7" spans="1:11" x14ac:dyDescent="0.35">
      <c r="A7" s="9" t="s">
        <v>127</v>
      </c>
      <c r="B7" s="10">
        <v>652</v>
      </c>
      <c r="C7" s="10">
        <v>4</v>
      </c>
      <c r="D7" s="10">
        <v>2</v>
      </c>
      <c r="E7" s="10">
        <v>491</v>
      </c>
      <c r="F7" s="10">
        <v>10292285.555236744</v>
      </c>
      <c r="G7" s="10">
        <v>617</v>
      </c>
      <c r="H7" s="10">
        <v>6</v>
      </c>
      <c r="I7" s="10">
        <v>3</v>
      </c>
      <c r="J7" s="10">
        <v>548</v>
      </c>
      <c r="K7" s="10">
        <v>9762882.7996665835</v>
      </c>
    </row>
    <row r="8" spans="1:11" x14ac:dyDescent="0.35">
      <c r="A8" s="9" t="s">
        <v>119</v>
      </c>
      <c r="B8" s="10">
        <v>735</v>
      </c>
      <c r="C8" s="10">
        <v>6</v>
      </c>
      <c r="D8" s="10">
        <v>1</v>
      </c>
      <c r="E8" s="10">
        <v>740</v>
      </c>
      <c r="F8" s="10">
        <v>12900162.010313369</v>
      </c>
      <c r="G8" s="10">
        <v>584</v>
      </c>
      <c r="H8" s="10">
        <v>4</v>
      </c>
      <c r="I8" s="10">
        <v>1</v>
      </c>
      <c r="J8" s="10">
        <v>587</v>
      </c>
      <c r="K8" s="10">
        <v>12259231.902439144</v>
      </c>
    </row>
    <row r="9" spans="1:11" x14ac:dyDescent="0.35">
      <c r="A9" s="9" t="s">
        <v>121</v>
      </c>
      <c r="B9" s="10">
        <v>1211</v>
      </c>
      <c r="C9" s="10">
        <v>5</v>
      </c>
      <c r="D9" s="10">
        <v>4</v>
      </c>
      <c r="E9" s="10">
        <v>1021</v>
      </c>
      <c r="F9" s="10">
        <v>22209543.394173563</v>
      </c>
      <c r="G9" s="10">
        <v>1125</v>
      </c>
      <c r="H9" s="10">
        <v>5</v>
      </c>
      <c r="I9" s="10">
        <v>2</v>
      </c>
      <c r="J9" s="10">
        <v>973</v>
      </c>
      <c r="K9" s="10">
        <v>23767288.77103918</v>
      </c>
    </row>
    <row r="10" spans="1:11" x14ac:dyDescent="0.35">
      <c r="A10" s="9" t="s">
        <v>123</v>
      </c>
      <c r="B10" s="10">
        <v>406</v>
      </c>
      <c r="C10" s="10">
        <v>1</v>
      </c>
      <c r="D10" s="10">
        <v>1</v>
      </c>
      <c r="E10" s="10">
        <v>383</v>
      </c>
      <c r="F10" s="10">
        <v>9957490.6809830684</v>
      </c>
      <c r="G10" s="10">
        <v>472</v>
      </c>
      <c r="H10" s="10">
        <v>3</v>
      </c>
      <c r="I10" s="10">
        <v>1</v>
      </c>
      <c r="J10" s="10">
        <v>398</v>
      </c>
      <c r="K10" s="10">
        <v>10891954.273123616</v>
      </c>
    </row>
    <row r="11" spans="1:11" x14ac:dyDescent="0.35">
      <c r="A11" s="9" t="s">
        <v>125</v>
      </c>
      <c r="B11" s="10">
        <v>384</v>
      </c>
      <c r="C11" s="10">
        <v>3</v>
      </c>
      <c r="D11" s="10">
        <v>2</v>
      </c>
      <c r="E11" s="10">
        <v>273</v>
      </c>
      <c r="F11" s="10">
        <v>8316802.9094818188</v>
      </c>
      <c r="G11" s="10">
        <v>312</v>
      </c>
      <c r="H11" s="10">
        <v>1</v>
      </c>
      <c r="I11" s="10">
        <v>2</v>
      </c>
      <c r="J11" s="10">
        <v>274</v>
      </c>
      <c r="K11" s="10">
        <v>6679003.8727309201</v>
      </c>
    </row>
    <row r="12" spans="1:11" x14ac:dyDescent="0.35">
      <c r="A12" s="9" t="s">
        <v>131</v>
      </c>
      <c r="B12" s="10">
        <v>598</v>
      </c>
      <c r="C12" s="10">
        <v>1</v>
      </c>
      <c r="D12" s="10">
        <v>3</v>
      </c>
      <c r="E12" s="10">
        <v>455</v>
      </c>
      <c r="F12" s="10">
        <v>9808730.1557455901</v>
      </c>
      <c r="G12" s="10">
        <v>608</v>
      </c>
      <c r="H12" s="10">
        <v>5</v>
      </c>
      <c r="I12" s="10">
        <v>0</v>
      </c>
      <c r="J12" s="10">
        <v>461</v>
      </c>
      <c r="K12" s="10">
        <v>10260074.279205721</v>
      </c>
    </row>
    <row r="13" spans="1:11" x14ac:dyDescent="0.35">
      <c r="A13" s="9" t="s">
        <v>133</v>
      </c>
      <c r="B13" s="10">
        <v>168</v>
      </c>
      <c r="C13" s="10">
        <v>0</v>
      </c>
      <c r="D13" s="10">
        <v>1</v>
      </c>
      <c r="E13" s="10">
        <v>125</v>
      </c>
      <c r="F13" s="10">
        <v>4368337.5354776643</v>
      </c>
      <c r="G13" s="10">
        <v>145</v>
      </c>
      <c r="H13" s="10">
        <v>0</v>
      </c>
      <c r="I13" s="10">
        <v>1</v>
      </c>
      <c r="J13" s="10">
        <v>124</v>
      </c>
      <c r="K13" s="10">
        <v>4562456.1766546061</v>
      </c>
    </row>
    <row r="14" spans="1:11" x14ac:dyDescent="0.35">
      <c r="A14" s="9" t="s">
        <v>141</v>
      </c>
      <c r="B14" s="10">
        <v>190</v>
      </c>
      <c r="C14" s="10">
        <v>1</v>
      </c>
      <c r="D14" s="10">
        <v>1</v>
      </c>
      <c r="E14" s="10">
        <v>179</v>
      </c>
      <c r="F14" s="10">
        <v>1042028.0883094301</v>
      </c>
      <c r="G14" s="10">
        <v>242</v>
      </c>
      <c r="H14" s="10">
        <v>0</v>
      </c>
      <c r="I14" s="10">
        <v>1</v>
      </c>
      <c r="J14" s="10">
        <v>192</v>
      </c>
      <c r="K14" s="10">
        <v>4635399.7879167013</v>
      </c>
    </row>
    <row r="15" spans="1:11" x14ac:dyDescent="0.35">
      <c r="A15" s="9" t="s">
        <v>135</v>
      </c>
      <c r="B15" s="10">
        <v>369</v>
      </c>
      <c r="C15" s="10">
        <v>1</v>
      </c>
      <c r="D15" s="10">
        <v>1</v>
      </c>
      <c r="E15" s="10">
        <v>279</v>
      </c>
      <c r="F15" s="10">
        <v>8948611.6469514072</v>
      </c>
      <c r="G15" s="10">
        <v>438</v>
      </c>
      <c r="H15" s="10">
        <v>4</v>
      </c>
      <c r="I15" s="10">
        <v>1</v>
      </c>
      <c r="J15" s="10">
        <v>345</v>
      </c>
      <c r="K15" s="10">
        <v>8006300.9612096557</v>
      </c>
    </row>
    <row r="16" spans="1:11" x14ac:dyDescent="0.35">
      <c r="A16" s="9" t="s">
        <v>143</v>
      </c>
      <c r="B16" s="10">
        <v>211</v>
      </c>
      <c r="C16" s="10">
        <v>0</v>
      </c>
      <c r="D16" s="10">
        <v>2</v>
      </c>
      <c r="E16" s="10">
        <v>312</v>
      </c>
      <c r="F16" s="10">
        <v>4263391.5358173661</v>
      </c>
      <c r="G16" s="10">
        <v>225</v>
      </c>
      <c r="H16" s="10">
        <v>0</v>
      </c>
      <c r="I16" s="10">
        <v>1</v>
      </c>
      <c r="J16" s="10">
        <v>216</v>
      </c>
      <c r="K16" s="10">
        <v>3915245.4085396952</v>
      </c>
    </row>
    <row r="17" spans="1:11" x14ac:dyDescent="0.35">
      <c r="A17" s="9" t="s">
        <v>145</v>
      </c>
      <c r="B17" s="10">
        <v>244</v>
      </c>
      <c r="C17" s="10">
        <v>1</v>
      </c>
      <c r="D17" s="10">
        <v>2</v>
      </c>
      <c r="E17" s="10">
        <v>225</v>
      </c>
      <c r="F17" s="10">
        <v>4667851.798819243</v>
      </c>
      <c r="G17" s="10">
        <v>261</v>
      </c>
      <c r="H17" s="10">
        <v>0</v>
      </c>
      <c r="I17" s="10">
        <v>0</v>
      </c>
      <c r="J17" s="10">
        <v>207</v>
      </c>
      <c r="K17" s="10">
        <v>4870420.3489419278</v>
      </c>
    </row>
    <row r="18" spans="1:11" x14ac:dyDescent="0.35">
      <c r="A18" s="9" t="s">
        <v>20</v>
      </c>
      <c r="B18" s="10">
        <v>1425</v>
      </c>
      <c r="C18" s="10">
        <v>3</v>
      </c>
      <c r="D18" s="10">
        <v>3</v>
      </c>
      <c r="E18" s="10">
        <v>1196</v>
      </c>
      <c r="F18" s="10">
        <v>17549914.722498216</v>
      </c>
      <c r="G18" s="10">
        <v>1354</v>
      </c>
      <c r="H18" s="10">
        <v>6</v>
      </c>
      <c r="I18" s="10">
        <v>5</v>
      </c>
      <c r="J18" s="10">
        <v>1265</v>
      </c>
      <c r="K18" s="10">
        <v>26970696.540104352</v>
      </c>
    </row>
    <row r="19" spans="1:11" x14ac:dyDescent="0.35">
      <c r="A19" s="9" t="s">
        <v>45</v>
      </c>
      <c r="B19" s="10">
        <v>1229</v>
      </c>
      <c r="C19" s="10">
        <v>1</v>
      </c>
      <c r="D19" s="10">
        <v>3</v>
      </c>
      <c r="E19" s="10">
        <v>912</v>
      </c>
      <c r="F19" s="10">
        <v>31902479.662608825</v>
      </c>
      <c r="G19" s="10">
        <v>1104</v>
      </c>
      <c r="H19" s="10">
        <v>0</v>
      </c>
      <c r="I19" s="10">
        <v>2</v>
      </c>
      <c r="J19" s="10">
        <v>903</v>
      </c>
      <c r="K19" s="10">
        <v>38515117.497534238</v>
      </c>
    </row>
    <row r="20" spans="1:11" x14ac:dyDescent="0.35">
      <c r="A20" s="9" t="s">
        <v>47</v>
      </c>
      <c r="B20" s="10">
        <v>1028</v>
      </c>
      <c r="C20" s="10">
        <v>2</v>
      </c>
      <c r="D20" s="10">
        <v>5</v>
      </c>
      <c r="E20" s="10">
        <v>874</v>
      </c>
      <c r="F20" s="10">
        <v>18358012.535915993</v>
      </c>
      <c r="G20" s="10">
        <v>1056</v>
      </c>
      <c r="H20" s="10">
        <v>4</v>
      </c>
      <c r="I20" s="10">
        <v>5</v>
      </c>
      <c r="J20" s="10">
        <v>939</v>
      </c>
      <c r="K20" s="10">
        <v>18617387.113703057</v>
      </c>
    </row>
    <row r="21" spans="1:11" x14ac:dyDescent="0.35">
      <c r="A21" s="9" t="s">
        <v>49</v>
      </c>
      <c r="B21" s="10">
        <v>906</v>
      </c>
      <c r="C21" s="10">
        <v>3</v>
      </c>
      <c r="D21" s="10">
        <v>3</v>
      </c>
      <c r="E21" s="10">
        <v>683</v>
      </c>
      <c r="F21" s="10">
        <v>13351489.596777396</v>
      </c>
      <c r="G21" s="10">
        <v>761</v>
      </c>
      <c r="H21" s="10">
        <v>1</v>
      </c>
      <c r="I21" s="10">
        <v>4</v>
      </c>
      <c r="J21" s="10">
        <v>675</v>
      </c>
      <c r="K21" s="10">
        <v>17444471.917847052</v>
      </c>
    </row>
    <row r="22" spans="1:11" x14ac:dyDescent="0.35">
      <c r="A22" s="9" t="s">
        <v>51</v>
      </c>
      <c r="B22" s="10">
        <v>2849</v>
      </c>
      <c r="C22" s="10">
        <v>173</v>
      </c>
      <c r="D22" s="10">
        <v>10</v>
      </c>
      <c r="E22" s="10">
        <v>2034</v>
      </c>
      <c r="F22" s="10">
        <v>68183269.217183471</v>
      </c>
      <c r="G22" s="10">
        <v>2793</v>
      </c>
      <c r="H22" s="10">
        <v>105</v>
      </c>
      <c r="I22" s="10">
        <v>12</v>
      </c>
      <c r="J22" s="10">
        <v>2171</v>
      </c>
      <c r="K22" s="10">
        <v>63285344.748622917</v>
      </c>
    </row>
    <row r="23" spans="1:11" x14ac:dyDescent="0.35">
      <c r="A23" s="9" t="s">
        <v>53</v>
      </c>
      <c r="B23" s="10">
        <v>1374</v>
      </c>
      <c r="C23" s="10">
        <v>3</v>
      </c>
      <c r="D23" s="10">
        <v>1</v>
      </c>
      <c r="E23" s="10">
        <v>1139</v>
      </c>
      <c r="F23" s="10">
        <v>15904666.583410226</v>
      </c>
      <c r="G23" s="10">
        <v>1304</v>
      </c>
      <c r="H23" s="10">
        <v>5</v>
      </c>
      <c r="I23" s="10">
        <v>2</v>
      </c>
      <c r="J23" s="10">
        <v>1163</v>
      </c>
      <c r="K23" s="10">
        <v>33239044.280500673</v>
      </c>
    </row>
    <row r="24" spans="1:11" x14ac:dyDescent="0.35">
      <c r="A24" s="9" t="s">
        <v>55</v>
      </c>
      <c r="B24" s="10">
        <v>2974</v>
      </c>
      <c r="C24" s="10">
        <v>15</v>
      </c>
      <c r="D24" s="10">
        <v>10</v>
      </c>
      <c r="E24" s="10">
        <v>2177</v>
      </c>
      <c r="F24" s="10">
        <v>67552670.420068413</v>
      </c>
      <c r="G24" s="10">
        <v>2498</v>
      </c>
      <c r="H24" s="10">
        <v>5</v>
      </c>
      <c r="I24" s="10">
        <v>10</v>
      </c>
      <c r="J24" s="10">
        <v>2146</v>
      </c>
      <c r="K24" s="10">
        <v>58198730.291162997</v>
      </c>
    </row>
    <row r="25" spans="1:11" x14ac:dyDescent="0.35">
      <c r="A25" s="9" t="s">
        <v>67</v>
      </c>
      <c r="B25" s="10">
        <v>540</v>
      </c>
      <c r="C25" s="10">
        <v>4</v>
      </c>
      <c r="D25" s="10">
        <v>1</v>
      </c>
      <c r="E25" s="10">
        <v>464</v>
      </c>
      <c r="F25" s="10">
        <v>10254185.087530892</v>
      </c>
      <c r="G25" s="10">
        <v>502</v>
      </c>
      <c r="H25" s="10">
        <v>2</v>
      </c>
      <c r="I25" s="10">
        <v>1</v>
      </c>
      <c r="J25" s="10">
        <v>483</v>
      </c>
      <c r="K25" s="10">
        <v>9326802.7803758383</v>
      </c>
    </row>
    <row r="26" spans="1:11" x14ac:dyDescent="0.35">
      <c r="A26" s="9" t="s">
        <v>74</v>
      </c>
      <c r="B26" s="10">
        <v>1728</v>
      </c>
      <c r="C26" s="10">
        <v>15</v>
      </c>
      <c r="D26" s="10">
        <v>1</v>
      </c>
      <c r="E26" s="10">
        <v>1306</v>
      </c>
      <c r="F26" s="10">
        <v>27775459.775627609</v>
      </c>
      <c r="G26" s="10">
        <v>1859</v>
      </c>
      <c r="H26" s="10">
        <v>14</v>
      </c>
      <c r="I26" s="10">
        <v>1</v>
      </c>
      <c r="J26" s="10">
        <v>1492</v>
      </c>
      <c r="K26" s="10">
        <v>25275052.162944004</v>
      </c>
    </row>
    <row r="27" spans="1:11" x14ac:dyDescent="0.35">
      <c r="A27" s="9" t="s">
        <v>70</v>
      </c>
      <c r="B27" s="10">
        <v>875</v>
      </c>
      <c r="C27" s="10">
        <v>8</v>
      </c>
      <c r="D27" s="10">
        <v>1</v>
      </c>
      <c r="E27" s="10">
        <v>758</v>
      </c>
      <c r="F27" s="10">
        <v>11036402.959192213</v>
      </c>
      <c r="G27" s="10">
        <v>885</v>
      </c>
      <c r="H27" s="10">
        <v>5</v>
      </c>
      <c r="I27" s="10">
        <v>0</v>
      </c>
      <c r="J27" s="10">
        <v>807</v>
      </c>
      <c r="K27" s="10">
        <v>10793154.824868249</v>
      </c>
    </row>
    <row r="28" spans="1:11" x14ac:dyDescent="0.35">
      <c r="A28" s="9" t="s">
        <v>72</v>
      </c>
      <c r="B28" s="10">
        <v>887</v>
      </c>
      <c r="C28" s="10">
        <v>5</v>
      </c>
      <c r="D28" s="10">
        <v>1</v>
      </c>
      <c r="E28" s="10">
        <v>872</v>
      </c>
      <c r="F28" s="10">
        <v>14021428.057064189</v>
      </c>
      <c r="G28" s="10">
        <v>888</v>
      </c>
      <c r="H28" s="10">
        <v>1</v>
      </c>
      <c r="I28" s="10">
        <v>0</v>
      </c>
      <c r="J28" s="10">
        <v>763</v>
      </c>
      <c r="K28" s="10">
        <v>13439375.56318808</v>
      </c>
    </row>
    <row r="29" spans="1:11" x14ac:dyDescent="0.35">
      <c r="A29" s="9" t="s">
        <v>79</v>
      </c>
      <c r="B29" s="10">
        <v>230</v>
      </c>
      <c r="C29" s="10">
        <v>1</v>
      </c>
      <c r="D29" s="10">
        <v>2</v>
      </c>
      <c r="E29" s="10">
        <v>180</v>
      </c>
      <c r="F29" s="10">
        <v>2987521.6738292631</v>
      </c>
      <c r="G29" s="10">
        <v>233</v>
      </c>
      <c r="H29" s="10">
        <v>1</v>
      </c>
      <c r="I29" s="10">
        <v>0</v>
      </c>
      <c r="J29" s="10">
        <v>224</v>
      </c>
      <c r="K29" s="10">
        <v>3444507.7473005932</v>
      </c>
    </row>
    <row r="30" spans="1:11" x14ac:dyDescent="0.35">
      <c r="A30" s="9" t="s">
        <v>109</v>
      </c>
      <c r="B30" s="10">
        <v>1660</v>
      </c>
      <c r="C30" s="10">
        <v>9</v>
      </c>
      <c r="D30" s="10">
        <v>5</v>
      </c>
      <c r="E30" s="10">
        <v>1500</v>
      </c>
      <c r="F30" s="10">
        <v>26097918.150558844</v>
      </c>
      <c r="G30" s="10">
        <v>1827</v>
      </c>
      <c r="H30" s="10">
        <v>3</v>
      </c>
      <c r="I30" s="10">
        <v>5</v>
      </c>
      <c r="J30" s="10">
        <v>1624</v>
      </c>
      <c r="K30" s="10">
        <v>26699945.286994319</v>
      </c>
    </row>
    <row r="31" spans="1:11" x14ac:dyDescent="0.35">
      <c r="A31" s="9" t="s">
        <v>111</v>
      </c>
      <c r="B31" s="10">
        <v>875</v>
      </c>
      <c r="C31" s="10">
        <v>1</v>
      </c>
      <c r="D31" s="10">
        <v>1</v>
      </c>
      <c r="E31" s="10">
        <v>558</v>
      </c>
      <c r="F31" s="10">
        <v>21408157.92547648</v>
      </c>
      <c r="G31" s="10">
        <v>795</v>
      </c>
      <c r="H31" s="10">
        <v>3</v>
      </c>
      <c r="I31" s="10">
        <v>1</v>
      </c>
      <c r="J31" s="10">
        <v>669</v>
      </c>
      <c r="K31" s="10">
        <v>23972515.811498009</v>
      </c>
    </row>
    <row r="32" spans="1:11" x14ac:dyDescent="0.35">
      <c r="A32" s="9" t="s">
        <v>113</v>
      </c>
      <c r="B32" s="10">
        <v>1061</v>
      </c>
      <c r="C32" s="10">
        <v>2</v>
      </c>
      <c r="D32" s="10">
        <v>2</v>
      </c>
      <c r="E32" s="10">
        <v>608</v>
      </c>
      <c r="F32" s="10">
        <v>20992871.884413186</v>
      </c>
      <c r="G32" s="10">
        <v>1052</v>
      </c>
      <c r="H32" s="10">
        <v>1</v>
      </c>
      <c r="I32" s="10">
        <v>2</v>
      </c>
      <c r="J32" s="10">
        <v>881</v>
      </c>
      <c r="K32" s="10">
        <v>23572892.259057939</v>
      </c>
    </row>
    <row r="33" spans="1:11" x14ac:dyDescent="0.35">
      <c r="A33" s="9" t="s">
        <v>115</v>
      </c>
      <c r="B33" s="10">
        <v>1116</v>
      </c>
      <c r="C33" s="10">
        <v>2</v>
      </c>
      <c r="D33" s="10">
        <v>2</v>
      </c>
      <c r="E33" s="10">
        <v>851</v>
      </c>
      <c r="F33" s="10">
        <v>28355830.721760739</v>
      </c>
      <c r="G33" s="10">
        <v>1010</v>
      </c>
      <c r="H33" s="10">
        <v>2</v>
      </c>
      <c r="I33" s="10">
        <v>3</v>
      </c>
      <c r="J33" s="10">
        <v>854</v>
      </c>
      <c r="K33" s="10">
        <v>29858563.383784257</v>
      </c>
    </row>
    <row r="34" spans="1:11" x14ac:dyDescent="0.35">
      <c r="A34" s="9" t="s">
        <v>16</v>
      </c>
      <c r="B34" s="10">
        <v>1448</v>
      </c>
      <c r="C34" s="10">
        <v>4</v>
      </c>
      <c r="D34" s="10">
        <v>4</v>
      </c>
      <c r="E34" s="10">
        <v>1178</v>
      </c>
      <c r="F34" s="10">
        <v>40601238.013903379</v>
      </c>
      <c r="G34" s="10">
        <v>1321</v>
      </c>
      <c r="H34" s="10">
        <v>3</v>
      </c>
      <c r="I34" s="10">
        <v>2</v>
      </c>
      <c r="J34" s="10">
        <v>1201</v>
      </c>
      <c r="K34" s="10">
        <v>41739242.360557027</v>
      </c>
    </row>
    <row r="35" spans="1:11" x14ac:dyDescent="0.35">
      <c r="A35" s="9" t="s">
        <v>18</v>
      </c>
      <c r="B35" s="10">
        <v>684</v>
      </c>
      <c r="C35" s="10">
        <v>0</v>
      </c>
      <c r="D35" s="10">
        <v>5</v>
      </c>
      <c r="E35" s="10">
        <v>493</v>
      </c>
      <c r="F35" s="10">
        <v>16636175.449088316</v>
      </c>
      <c r="G35" s="10">
        <v>807</v>
      </c>
      <c r="H35" s="10">
        <v>3</v>
      </c>
      <c r="I35" s="10">
        <v>5</v>
      </c>
      <c r="J35" s="10">
        <v>762</v>
      </c>
      <c r="K35" s="10">
        <v>16939342.25355164</v>
      </c>
    </row>
    <row r="36" spans="1:11" x14ac:dyDescent="0.35">
      <c r="A36" s="9" t="s">
        <v>43</v>
      </c>
      <c r="B36" s="10">
        <v>1925</v>
      </c>
      <c r="C36" s="10">
        <v>6</v>
      </c>
      <c r="D36" s="10">
        <v>10</v>
      </c>
      <c r="E36" s="10">
        <v>70</v>
      </c>
      <c r="F36" s="10">
        <v>46539327.260969058</v>
      </c>
      <c r="G36" s="10">
        <v>1785</v>
      </c>
      <c r="H36" s="10">
        <v>3</v>
      </c>
      <c r="I36" s="10">
        <v>6</v>
      </c>
      <c r="J36" s="10">
        <v>1613</v>
      </c>
      <c r="K36" s="10">
        <v>32734730.545260098</v>
      </c>
    </row>
    <row r="37" spans="1:11" x14ac:dyDescent="0.35">
      <c r="A37" s="9" t="s">
        <v>152</v>
      </c>
      <c r="B37" s="10">
        <v>844</v>
      </c>
      <c r="C37" s="10">
        <v>2</v>
      </c>
      <c r="D37" s="10">
        <v>2</v>
      </c>
      <c r="E37" s="10">
        <v>783</v>
      </c>
      <c r="F37" s="10">
        <v>16874087.423591021</v>
      </c>
      <c r="G37" s="10">
        <v>799</v>
      </c>
      <c r="H37" s="10">
        <v>2</v>
      </c>
      <c r="I37" s="10">
        <v>3</v>
      </c>
      <c r="J37" s="10">
        <v>680</v>
      </c>
      <c r="K37" s="10">
        <v>17298861.003520712</v>
      </c>
    </row>
    <row r="38" spans="1:11" x14ac:dyDescent="0.35">
      <c r="A38" s="9" t="s">
        <v>149</v>
      </c>
      <c r="B38" s="10">
        <v>745</v>
      </c>
      <c r="C38" s="10">
        <v>1</v>
      </c>
      <c r="D38" s="10">
        <v>1</v>
      </c>
      <c r="E38" s="10">
        <v>562</v>
      </c>
      <c r="F38" s="10">
        <v>16191205.913323352</v>
      </c>
      <c r="G38" s="10">
        <v>801</v>
      </c>
      <c r="H38" s="10">
        <v>1</v>
      </c>
      <c r="I38" s="10">
        <v>1</v>
      </c>
      <c r="J38" s="10">
        <v>633</v>
      </c>
      <c r="K38" s="10">
        <v>15397482.675662059</v>
      </c>
    </row>
    <row r="39" spans="1:11" x14ac:dyDescent="0.35">
      <c r="A39" s="9" t="s">
        <v>154</v>
      </c>
      <c r="B39" s="10">
        <v>1160</v>
      </c>
      <c r="C39" s="10">
        <v>12</v>
      </c>
      <c r="D39" s="10">
        <v>1</v>
      </c>
      <c r="E39" s="10">
        <v>868</v>
      </c>
      <c r="F39" s="10">
        <v>23979908.496460751</v>
      </c>
      <c r="G39" s="10">
        <v>1428</v>
      </c>
      <c r="H39" s="10">
        <v>5</v>
      </c>
      <c r="I39" s="10">
        <v>2</v>
      </c>
      <c r="J39" s="10">
        <v>910</v>
      </c>
      <c r="K39" s="10">
        <v>27238703.996070687</v>
      </c>
    </row>
    <row r="40" spans="1:11" x14ac:dyDescent="0.35">
      <c r="A40" s="9" t="s">
        <v>2</v>
      </c>
      <c r="B40" s="10">
        <v>1319</v>
      </c>
      <c r="C40" s="10">
        <v>120</v>
      </c>
      <c r="D40" s="10">
        <v>1</v>
      </c>
      <c r="E40" s="10">
        <v>826</v>
      </c>
      <c r="F40" s="10">
        <v>22374902.800021451</v>
      </c>
      <c r="G40" s="10">
        <v>1395</v>
      </c>
      <c r="H40" s="10">
        <v>318</v>
      </c>
      <c r="I40" s="10">
        <v>1</v>
      </c>
      <c r="J40" s="10">
        <v>905</v>
      </c>
      <c r="K40" s="10">
        <v>24757046.481234096</v>
      </c>
    </row>
    <row r="41" spans="1:11" x14ac:dyDescent="0.35">
      <c r="A41" s="9" t="s">
        <v>156</v>
      </c>
      <c r="B41" s="10">
        <v>2372</v>
      </c>
      <c r="C41" s="10">
        <v>69</v>
      </c>
      <c r="D41" s="10">
        <v>5</v>
      </c>
      <c r="E41" s="10">
        <v>1405</v>
      </c>
      <c r="F41" s="10">
        <v>41518349.605261825</v>
      </c>
      <c r="G41" s="10">
        <v>2354</v>
      </c>
      <c r="H41" s="10">
        <v>238</v>
      </c>
      <c r="I41" s="10">
        <v>5</v>
      </c>
      <c r="J41" s="10">
        <v>1464</v>
      </c>
      <c r="K41" s="10">
        <v>41478113.936420672</v>
      </c>
    </row>
    <row r="42" spans="1:11" x14ac:dyDescent="0.35">
      <c r="A42" s="9" t="s">
        <v>14</v>
      </c>
      <c r="B42" s="10">
        <v>619</v>
      </c>
      <c r="C42" s="10">
        <v>1</v>
      </c>
      <c r="D42" s="10">
        <v>6</v>
      </c>
      <c r="E42" s="10">
        <v>668</v>
      </c>
      <c r="F42" s="10">
        <v>14781644.391173327</v>
      </c>
      <c r="G42" s="10">
        <v>538</v>
      </c>
      <c r="H42" s="10">
        <v>4</v>
      </c>
      <c r="I42" s="10">
        <v>7</v>
      </c>
      <c r="J42" s="10">
        <v>442</v>
      </c>
      <c r="K42" s="10">
        <v>15234974.245374314</v>
      </c>
    </row>
    <row r="43" spans="1:11" x14ac:dyDescent="0.35">
      <c r="A43" s="9" t="s">
        <v>8</v>
      </c>
      <c r="B43" s="10">
        <v>2060</v>
      </c>
      <c r="C43" s="10">
        <v>2</v>
      </c>
      <c r="D43" s="10">
        <v>6</v>
      </c>
      <c r="E43" s="10">
        <v>1916</v>
      </c>
      <c r="F43" s="10">
        <v>48800547.351421833</v>
      </c>
      <c r="G43" s="10">
        <v>2027</v>
      </c>
      <c r="H43" s="10">
        <v>4</v>
      </c>
      <c r="I43" s="10">
        <v>5</v>
      </c>
      <c r="J43" s="10">
        <v>1857</v>
      </c>
      <c r="K43" s="10">
        <v>47432872.324979059</v>
      </c>
    </row>
    <row r="44" spans="1:11" x14ac:dyDescent="0.35">
      <c r="A44" s="9" t="s">
        <v>39</v>
      </c>
      <c r="B44" s="10">
        <v>906</v>
      </c>
      <c r="C44" s="10">
        <v>3</v>
      </c>
      <c r="D44" s="10">
        <v>3</v>
      </c>
      <c r="E44" s="10">
        <v>2049</v>
      </c>
      <c r="F44" s="10">
        <v>32614535.508652512</v>
      </c>
      <c r="G44" s="10">
        <v>989</v>
      </c>
      <c r="H44" s="10">
        <v>5</v>
      </c>
      <c r="I44" s="10">
        <v>4</v>
      </c>
      <c r="J44" s="10">
        <v>875</v>
      </c>
      <c r="K44" s="10">
        <v>36694418.119907491</v>
      </c>
    </row>
    <row r="45" spans="1:11" x14ac:dyDescent="0.35">
      <c r="A45" s="9" t="s">
        <v>6</v>
      </c>
      <c r="B45" s="10">
        <v>1088</v>
      </c>
      <c r="C45" s="10">
        <v>1</v>
      </c>
      <c r="D45" s="10">
        <v>3</v>
      </c>
      <c r="E45" s="10">
        <v>969</v>
      </c>
      <c r="F45" s="10">
        <v>17773873.790777944</v>
      </c>
      <c r="G45" s="10">
        <v>1061</v>
      </c>
      <c r="H45" s="10">
        <v>6</v>
      </c>
      <c r="I45" s="10">
        <v>3</v>
      </c>
      <c r="J45" s="10">
        <v>934</v>
      </c>
      <c r="K45" s="10">
        <v>26012267.611628871</v>
      </c>
    </row>
    <row r="46" spans="1:11" x14ac:dyDescent="0.35">
      <c r="A46" s="9" t="s">
        <v>41</v>
      </c>
      <c r="B46" s="10">
        <v>835</v>
      </c>
      <c r="C46" s="10">
        <v>3</v>
      </c>
      <c r="D46" s="10">
        <v>4</v>
      </c>
      <c r="E46" s="10">
        <v>590</v>
      </c>
      <c r="F46" s="10">
        <v>25294917.477437437</v>
      </c>
      <c r="G46" s="10">
        <v>725</v>
      </c>
      <c r="H46" s="10">
        <v>2</v>
      </c>
      <c r="I46" s="10">
        <v>4</v>
      </c>
      <c r="J46" s="10">
        <v>636</v>
      </c>
      <c r="K46" s="10">
        <v>26258702.513062768</v>
      </c>
    </row>
    <row r="47" spans="1:11" x14ac:dyDescent="0.35">
      <c r="A47" s="9" t="s">
        <v>158</v>
      </c>
      <c r="B47" s="10">
        <v>701</v>
      </c>
      <c r="C47" s="10">
        <v>2</v>
      </c>
      <c r="D47" s="10">
        <v>10</v>
      </c>
      <c r="E47" s="10">
        <v>587</v>
      </c>
      <c r="F47" s="10">
        <v>16227351.047975589</v>
      </c>
      <c r="G47" s="10">
        <v>700</v>
      </c>
      <c r="H47" s="10">
        <v>0</v>
      </c>
      <c r="I47" s="10">
        <v>9</v>
      </c>
      <c r="J47" s="10">
        <v>561</v>
      </c>
      <c r="K47" s="10">
        <v>15777654.210746672</v>
      </c>
    </row>
    <row r="48" spans="1:11" x14ac:dyDescent="0.35">
      <c r="A48" s="9" t="s">
        <v>160</v>
      </c>
      <c r="B48" s="10">
        <v>684</v>
      </c>
      <c r="C48" s="10">
        <v>0</v>
      </c>
      <c r="D48" s="10">
        <v>2</v>
      </c>
      <c r="E48" s="10">
        <v>676</v>
      </c>
      <c r="F48" s="10">
        <v>14358233.121239796</v>
      </c>
      <c r="G48" s="10">
        <v>789</v>
      </c>
      <c r="H48" s="10">
        <v>0</v>
      </c>
      <c r="I48" s="10">
        <v>1</v>
      </c>
      <c r="J48" s="10">
        <v>803</v>
      </c>
      <c r="K48" s="10">
        <v>14765811.497357111</v>
      </c>
    </row>
    <row r="49" spans="1:11" x14ac:dyDescent="0.35">
      <c r="A49" s="9" t="s">
        <v>83</v>
      </c>
      <c r="B49" s="10">
        <v>1236</v>
      </c>
      <c r="C49" s="10">
        <v>0</v>
      </c>
      <c r="D49" s="10">
        <v>5</v>
      </c>
      <c r="E49" s="10">
        <v>1098</v>
      </c>
      <c r="F49" s="10">
        <v>43788229.833009563</v>
      </c>
      <c r="G49" s="10">
        <v>1159</v>
      </c>
      <c r="H49" s="10">
        <v>3</v>
      </c>
      <c r="I49" s="10">
        <v>6</v>
      </c>
      <c r="J49" s="10">
        <v>1123</v>
      </c>
      <c r="K49" s="10">
        <v>49134791.486482561</v>
      </c>
    </row>
    <row r="50" spans="1:11" x14ac:dyDescent="0.35">
      <c r="A50" s="9" t="s">
        <v>201</v>
      </c>
      <c r="B50" s="10">
        <v>439</v>
      </c>
      <c r="C50" s="10">
        <v>0</v>
      </c>
      <c r="D50" s="10">
        <v>1</v>
      </c>
      <c r="E50" s="10">
        <v>467</v>
      </c>
      <c r="F50" s="10">
        <v>7200859.8401143793</v>
      </c>
      <c r="G50" s="10">
        <v>488</v>
      </c>
      <c r="H50" s="10">
        <v>1</v>
      </c>
      <c r="I50" s="10">
        <v>1</v>
      </c>
      <c r="J50" s="10">
        <v>467</v>
      </c>
      <c r="K50" s="10">
        <v>7518789.3938841689</v>
      </c>
    </row>
    <row r="51" spans="1:11" x14ac:dyDescent="0.35">
      <c r="A51" s="9" t="s">
        <v>31</v>
      </c>
      <c r="B51" s="10">
        <v>910</v>
      </c>
      <c r="C51" s="10">
        <v>2</v>
      </c>
      <c r="D51" s="10">
        <v>7</v>
      </c>
      <c r="E51" s="10">
        <v>910</v>
      </c>
      <c r="F51" s="10">
        <v>21077266.831570905</v>
      </c>
      <c r="G51" s="10">
        <v>908</v>
      </c>
      <c r="H51" s="10">
        <v>1</v>
      </c>
      <c r="I51" s="10">
        <v>5</v>
      </c>
      <c r="J51" s="10">
        <v>886</v>
      </c>
      <c r="K51" s="10">
        <v>20804392.415884595</v>
      </c>
    </row>
    <row r="52" spans="1:11" x14ac:dyDescent="0.35">
      <c r="A52" s="9" t="s">
        <v>33</v>
      </c>
      <c r="B52" s="10">
        <v>1347</v>
      </c>
      <c r="C52" s="10">
        <v>4</v>
      </c>
      <c r="D52" s="10">
        <v>12</v>
      </c>
      <c r="E52" s="10">
        <v>1025</v>
      </c>
      <c r="F52" s="10">
        <v>36799819.563541561</v>
      </c>
      <c r="G52" s="10">
        <v>1443</v>
      </c>
      <c r="H52" s="10">
        <v>3</v>
      </c>
      <c r="I52" s="10">
        <v>11</v>
      </c>
      <c r="J52" s="10">
        <v>1044</v>
      </c>
      <c r="K52" s="10">
        <v>38255043.889359169</v>
      </c>
    </row>
    <row r="53" spans="1:11" x14ac:dyDescent="0.35">
      <c r="A53" s="9" t="s">
        <v>85</v>
      </c>
      <c r="B53" s="10">
        <v>484</v>
      </c>
      <c r="C53" s="10">
        <v>1</v>
      </c>
      <c r="D53" s="10">
        <v>6</v>
      </c>
      <c r="E53" s="10">
        <v>365</v>
      </c>
      <c r="F53" s="10">
        <v>18998431.435199615</v>
      </c>
      <c r="G53" s="10">
        <v>493</v>
      </c>
      <c r="H53" s="10">
        <v>3</v>
      </c>
      <c r="I53" s="10">
        <v>6</v>
      </c>
      <c r="J53" s="10">
        <v>400</v>
      </c>
      <c r="K53" s="10">
        <v>18181613.774843927</v>
      </c>
    </row>
    <row r="54" spans="1:11" x14ac:dyDescent="0.35">
      <c r="A54" s="9" t="s">
        <v>81</v>
      </c>
      <c r="B54" s="10">
        <v>459</v>
      </c>
      <c r="C54" s="10">
        <v>0</v>
      </c>
      <c r="D54" s="10">
        <v>4</v>
      </c>
      <c r="E54" s="10">
        <v>315</v>
      </c>
      <c r="F54" s="10">
        <v>13867349.453376597</v>
      </c>
      <c r="G54" s="10">
        <v>506</v>
      </c>
      <c r="H54" s="10">
        <v>2</v>
      </c>
      <c r="I54" s="10">
        <v>3</v>
      </c>
      <c r="J54" s="10">
        <v>373</v>
      </c>
      <c r="K54" s="10">
        <v>15464289.961397316</v>
      </c>
    </row>
    <row r="55" spans="1:11" x14ac:dyDescent="0.35">
      <c r="A55" s="9" t="s">
        <v>87</v>
      </c>
      <c r="B55" s="10">
        <v>425</v>
      </c>
      <c r="C55" s="10">
        <v>1</v>
      </c>
      <c r="D55" s="10">
        <v>4</v>
      </c>
      <c r="E55" s="10">
        <v>327</v>
      </c>
      <c r="F55" s="10">
        <v>11991960.514846284</v>
      </c>
      <c r="G55" s="10">
        <v>116</v>
      </c>
      <c r="H55" s="10">
        <v>1</v>
      </c>
      <c r="I55" s="10">
        <v>2</v>
      </c>
      <c r="J55" s="10">
        <v>278</v>
      </c>
      <c r="K55" s="10">
        <v>5719922.5869477298</v>
      </c>
    </row>
    <row r="56" spans="1:11" x14ac:dyDescent="0.35">
      <c r="A56" s="9" t="s">
        <v>166</v>
      </c>
      <c r="B56" s="10">
        <v>1106</v>
      </c>
      <c r="C56" s="10">
        <v>5</v>
      </c>
      <c r="D56" s="10">
        <v>0</v>
      </c>
      <c r="E56" s="10">
        <v>974</v>
      </c>
      <c r="F56" s="10">
        <v>28403417.987599976</v>
      </c>
      <c r="G56" s="10">
        <v>941</v>
      </c>
      <c r="H56" s="10">
        <v>3</v>
      </c>
      <c r="I56" s="10">
        <v>0</v>
      </c>
      <c r="J56" s="10">
        <v>905</v>
      </c>
      <c r="K56" s="10">
        <v>30195865.25279944</v>
      </c>
    </row>
    <row r="57" spans="1:11" x14ac:dyDescent="0.35">
      <c r="A57" s="9" t="s">
        <v>93</v>
      </c>
      <c r="B57" s="10">
        <v>998</v>
      </c>
      <c r="C57" s="10">
        <v>5</v>
      </c>
      <c r="D57" s="10">
        <v>1</v>
      </c>
      <c r="E57" s="10">
        <v>917</v>
      </c>
      <c r="F57" s="10">
        <v>27544676.485392641</v>
      </c>
      <c r="G57" s="10">
        <v>947</v>
      </c>
      <c r="H57" s="10">
        <v>5</v>
      </c>
      <c r="I57" s="10">
        <v>2</v>
      </c>
      <c r="J57" s="10">
        <v>800</v>
      </c>
      <c r="K57" s="10">
        <v>30524186.608173389</v>
      </c>
    </row>
    <row r="58" spans="1:11" x14ac:dyDescent="0.35">
      <c r="A58" s="9" t="s">
        <v>95</v>
      </c>
      <c r="B58" s="10">
        <v>2057</v>
      </c>
      <c r="C58" s="10">
        <v>7</v>
      </c>
      <c r="D58" s="10">
        <v>8</v>
      </c>
      <c r="E58" s="10">
        <v>1517</v>
      </c>
      <c r="F58" s="10">
        <v>53312926.280314647</v>
      </c>
      <c r="G58" s="10">
        <v>2123</v>
      </c>
      <c r="H58" s="10">
        <v>14</v>
      </c>
      <c r="I58" s="10">
        <v>9</v>
      </c>
      <c r="J58" s="10">
        <v>1850</v>
      </c>
      <c r="K58" s="10">
        <v>56661351.157900929</v>
      </c>
    </row>
    <row r="59" spans="1:11" x14ac:dyDescent="0.35">
      <c r="A59" s="9" t="s">
        <v>174</v>
      </c>
      <c r="B59" s="10">
        <v>679</v>
      </c>
      <c r="C59" s="10">
        <v>4</v>
      </c>
      <c r="D59" s="10">
        <v>0</v>
      </c>
      <c r="E59" s="10">
        <v>567</v>
      </c>
      <c r="F59" s="10">
        <v>13156051.392773269</v>
      </c>
      <c r="G59" s="10">
        <v>560</v>
      </c>
      <c r="H59" s="10">
        <v>2</v>
      </c>
      <c r="I59" s="10">
        <v>0</v>
      </c>
      <c r="J59" s="10">
        <v>507</v>
      </c>
      <c r="K59" s="10">
        <v>14826348.495922143</v>
      </c>
    </row>
    <row r="60" spans="1:11" x14ac:dyDescent="0.35">
      <c r="A60" s="9" t="s">
        <v>99</v>
      </c>
      <c r="B60" s="10">
        <v>871</v>
      </c>
      <c r="C60" s="10">
        <v>6</v>
      </c>
      <c r="D60" s="10">
        <v>5</v>
      </c>
      <c r="E60" s="10">
        <v>738</v>
      </c>
      <c r="F60" s="10">
        <v>22949848.91231928</v>
      </c>
      <c r="G60" s="10">
        <v>1050</v>
      </c>
      <c r="H60" s="10">
        <v>6</v>
      </c>
      <c r="I60" s="10">
        <v>6</v>
      </c>
      <c r="J60" s="10">
        <v>865</v>
      </c>
      <c r="K60" s="10">
        <v>26561103.572443023</v>
      </c>
    </row>
    <row r="61" spans="1:11" x14ac:dyDescent="0.35">
      <c r="A61" s="9" t="s">
        <v>172</v>
      </c>
      <c r="B61" s="10">
        <v>745</v>
      </c>
      <c r="C61" s="10">
        <v>3</v>
      </c>
      <c r="D61" s="10">
        <v>1</v>
      </c>
      <c r="E61" s="10">
        <v>625</v>
      </c>
      <c r="F61" s="10">
        <v>14245013.316192299</v>
      </c>
      <c r="G61" s="10">
        <v>411</v>
      </c>
      <c r="H61" s="10">
        <v>0</v>
      </c>
      <c r="I61" s="10">
        <v>0</v>
      </c>
      <c r="J61" s="10">
        <v>526</v>
      </c>
      <c r="K61" s="10">
        <v>13109236.528265854</v>
      </c>
    </row>
    <row r="62" spans="1:11" x14ac:dyDescent="0.35">
      <c r="A62" s="9" t="s">
        <v>168</v>
      </c>
      <c r="B62" s="10">
        <v>1111</v>
      </c>
      <c r="C62" s="10">
        <v>5</v>
      </c>
      <c r="D62" s="10">
        <v>0</v>
      </c>
      <c r="E62" s="10">
        <v>963</v>
      </c>
      <c r="F62" s="10">
        <v>29939617.972537749</v>
      </c>
      <c r="G62" s="10">
        <v>1292</v>
      </c>
      <c r="H62" s="10">
        <v>6</v>
      </c>
      <c r="I62" s="10">
        <v>1</v>
      </c>
      <c r="J62" s="10">
        <v>1190</v>
      </c>
      <c r="K62" s="10">
        <v>32682821.514900204</v>
      </c>
    </row>
    <row r="63" spans="1:11" x14ac:dyDescent="0.35">
      <c r="A63" s="9" t="s">
        <v>101</v>
      </c>
      <c r="B63" s="10">
        <v>1441</v>
      </c>
      <c r="C63" s="10">
        <v>4</v>
      </c>
      <c r="D63" s="10">
        <v>4</v>
      </c>
      <c r="E63" s="10">
        <v>1471</v>
      </c>
      <c r="F63" s="10">
        <v>37000002.653800093</v>
      </c>
      <c r="G63" s="10">
        <v>1601</v>
      </c>
      <c r="H63" s="10">
        <v>7</v>
      </c>
      <c r="I63" s="10">
        <v>5</v>
      </c>
      <c r="J63" s="10">
        <v>1513</v>
      </c>
      <c r="K63" s="10">
        <v>44797837.205057278</v>
      </c>
    </row>
    <row r="64" spans="1:11" x14ac:dyDescent="0.35">
      <c r="A64" s="9" t="s">
        <v>103</v>
      </c>
      <c r="B64" s="10">
        <v>772</v>
      </c>
      <c r="C64" s="10">
        <v>1</v>
      </c>
      <c r="D64" s="10">
        <v>4</v>
      </c>
      <c r="E64" s="10">
        <v>705</v>
      </c>
      <c r="F64" s="10">
        <v>19983891.374101069</v>
      </c>
      <c r="G64" s="10">
        <v>873</v>
      </c>
      <c r="H64" s="10">
        <v>4</v>
      </c>
      <c r="I64" s="10">
        <v>5</v>
      </c>
      <c r="J64" s="10">
        <v>763</v>
      </c>
      <c r="K64" s="10">
        <v>18318451.973164391</v>
      </c>
    </row>
    <row r="65" spans="1:11" x14ac:dyDescent="0.35">
      <c r="A65" s="9" t="s">
        <v>105</v>
      </c>
      <c r="B65" s="10">
        <v>646</v>
      </c>
      <c r="C65" s="10">
        <v>7</v>
      </c>
      <c r="D65" s="10">
        <v>5</v>
      </c>
      <c r="E65" s="10">
        <v>476</v>
      </c>
      <c r="F65" s="10">
        <v>22367781.080104113</v>
      </c>
      <c r="G65" s="10">
        <v>585</v>
      </c>
      <c r="H65" s="10">
        <v>3</v>
      </c>
      <c r="I65" s="10">
        <v>7</v>
      </c>
      <c r="J65" s="10">
        <v>486</v>
      </c>
      <c r="K65" s="10">
        <v>23871295.559602365</v>
      </c>
    </row>
    <row r="66" spans="1:11" x14ac:dyDescent="0.35">
      <c r="A66" s="9" t="s">
        <v>24</v>
      </c>
      <c r="B66" s="10">
        <v>1996</v>
      </c>
      <c r="C66" s="10">
        <v>11</v>
      </c>
      <c r="D66" s="10">
        <v>10</v>
      </c>
      <c r="E66" s="10">
        <v>1619</v>
      </c>
      <c r="F66" s="10">
        <v>72623824.220833898</v>
      </c>
      <c r="G66" s="10">
        <v>2063</v>
      </c>
      <c r="H66" s="10">
        <v>13</v>
      </c>
      <c r="I66" s="10">
        <v>12</v>
      </c>
      <c r="J66" s="10">
        <v>1674</v>
      </c>
      <c r="K66" s="10">
        <v>76429257.720611393</v>
      </c>
    </row>
    <row r="67" spans="1:11" x14ac:dyDescent="0.35">
      <c r="A67" s="9" t="s">
        <v>27</v>
      </c>
      <c r="B67" s="10">
        <v>1582</v>
      </c>
      <c r="C67" s="10">
        <v>14</v>
      </c>
      <c r="D67" s="10">
        <v>6</v>
      </c>
      <c r="E67" s="10">
        <v>1229</v>
      </c>
      <c r="F67" s="10">
        <v>53751877.713151284</v>
      </c>
      <c r="G67" s="10">
        <v>1594</v>
      </c>
      <c r="H67" s="10">
        <v>12</v>
      </c>
      <c r="I67" s="10">
        <v>6</v>
      </c>
      <c r="J67" s="10">
        <v>1243</v>
      </c>
      <c r="K67" s="10">
        <v>54327698.607676938</v>
      </c>
    </row>
    <row r="68" spans="1:11" x14ac:dyDescent="0.35">
      <c r="A68" s="9" t="s">
        <v>29</v>
      </c>
      <c r="B68" s="10">
        <v>885</v>
      </c>
      <c r="C68" s="10">
        <v>5</v>
      </c>
      <c r="D68" s="10">
        <v>1</v>
      </c>
      <c r="E68" s="10">
        <v>764</v>
      </c>
      <c r="F68" s="10">
        <v>35023411.856107965</v>
      </c>
      <c r="G68" s="10">
        <v>913</v>
      </c>
      <c r="H68" s="10">
        <v>2</v>
      </c>
      <c r="I68" s="10">
        <v>1</v>
      </c>
      <c r="J68" s="10">
        <v>734</v>
      </c>
      <c r="K68" s="10">
        <v>36681052.563683063</v>
      </c>
    </row>
    <row r="69" spans="1:11" x14ac:dyDescent="0.35">
      <c r="A69" s="9" t="s">
        <v>57</v>
      </c>
      <c r="B69" s="10">
        <v>2297</v>
      </c>
      <c r="C69" s="10">
        <v>371</v>
      </c>
      <c r="D69" s="10">
        <v>12</v>
      </c>
      <c r="E69" s="10">
        <v>1327</v>
      </c>
      <c r="F69" s="10">
        <v>52986952.666871026</v>
      </c>
      <c r="G69" s="10">
        <v>2015</v>
      </c>
      <c r="H69" s="10">
        <v>372</v>
      </c>
      <c r="I69" s="10">
        <v>13</v>
      </c>
      <c r="J69" s="10">
        <v>1272</v>
      </c>
      <c r="K69" s="10">
        <v>49029776.551765636</v>
      </c>
    </row>
    <row r="70" spans="1:11" x14ac:dyDescent="0.35">
      <c r="A70" s="9" t="s">
        <v>137</v>
      </c>
      <c r="B70" s="10">
        <v>244</v>
      </c>
      <c r="C70" s="10">
        <v>0</v>
      </c>
      <c r="D70" s="10">
        <v>1</v>
      </c>
      <c r="E70" s="10">
        <v>286</v>
      </c>
      <c r="F70" s="10">
        <v>1604743.4340360931</v>
      </c>
      <c r="G70" s="10">
        <v>284</v>
      </c>
      <c r="H70" s="10">
        <v>2</v>
      </c>
      <c r="I70" s="10">
        <v>0</v>
      </c>
      <c r="J70" s="10">
        <v>275</v>
      </c>
      <c r="K70" s="10">
        <v>4030673.95379342</v>
      </c>
    </row>
    <row r="71" spans="1:11" x14ac:dyDescent="0.35">
      <c r="A71" s="9" t="s">
        <v>10</v>
      </c>
      <c r="B71" s="10">
        <v>1667</v>
      </c>
      <c r="C71" s="10">
        <v>7</v>
      </c>
      <c r="D71" s="10">
        <v>6</v>
      </c>
      <c r="E71" s="10">
        <v>1518</v>
      </c>
      <c r="F71" s="10">
        <v>37741415.05560144</v>
      </c>
      <c r="G71" s="10">
        <v>1690</v>
      </c>
      <c r="H71" s="10">
        <v>15</v>
      </c>
      <c r="I71" s="10">
        <v>8</v>
      </c>
      <c r="J71" s="10">
        <v>1479</v>
      </c>
      <c r="K71" s="10">
        <v>37080322.484695628</v>
      </c>
    </row>
    <row r="72" spans="1:11" x14ac:dyDescent="0.35">
      <c r="A72" s="9" t="s">
        <v>12</v>
      </c>
      <c r="B72" s="10">
        <v>736</v>
      </c>
      <c r="C72" s="10">
        <v>1</v>
      </c>
      <c r="D72" s="10">
        <v>3</v>
      </c>
      <c r="E72" s="10">
        <v>611</v>
      </c>
      <c r="F72" s="10">
        <v>18215056.68860703</v>
      </c>
      <c r="G72" s="10">
        <v>652</v>
      </c>
      <c r="H72" s="10">
        <v>2</v>
      </c>
      <c r="I72" s="10">
        <v>4</v>
      </c>
      <c r="J72" s="10">
        <v>598</v>
      </c>
      <c r="K72" s="10">
        <v>16713241.139799256</v>
      </c>
    </row>
    <row r="73" spans="1:11" x14ac:dyDescent="0.35">
      <c r="A73" s="9" t="s">
        <v>162</v>
      </c>
      <c r="B73" s="10">
        <v>1373</v>
      </c>
      <c r="C73" s="10">
        <v>20</v>
      </c>
      <c r="D73" s="10">
        <v>4</v>
      </c>
      <c r="E73" s="10">
        <v>869</v>
      </c>
      <c r="F73" s="10">
        <v>25802788.754436146</v>
      </c>
      <c r="G73" s="10">
        <v>1399</v>
      </c>
      <c r="H73" s="10">
        <v>1</v>
      </c>
      <c r="I73" s="10">
        <v>5</v>
      </c>
      <c r="J73" s="10">
        <v>924</v>
      </c>
      <c r="K73" s="10">
        <v>27816969.776097447</v>
      </c>
    </row>
    <row r="74" spans="1:11" x14ac:dyDescent="0.35">
      <c r="A74" s="9" t="s">
        <v>63</v>
      </c>
      <c r="B74" s="10">
        <v>1278</v>
      </c>
      <c r="C74" s="10">
        <v>2</v>
      </c>
      <c r="D74" s="10">
        <v>5</v>
      </c>
      <c r="E74" s="10">
        <v>1214</v>
      </c>
      <c r="F74" s="10">
        <v>15960149.230632352</v>
      </c>
      <c r="G74" s="10">
        <v>1396</v>
      </c>
      <c r="H74" s="10">
        <v>3</v>
      </c>
      <c r="I74" s="10">
        <v>4</v>
      </c>
      <c r="J74" s="10">
        <v>1312</v>
      </c>
      <c r="K74" s="10">
        <v>21612087.804990321</v>
      </c>
    </row>
    <row r="75" spans="1:11" x14ac:dyDescent="0.35">
      <c r="A75" s="9" t="s">
        <v>59</v>
      </c>
      <c r="B75" s="10">
        <v>1750</v>
      </c>
      <c r="C75" s="10">
        <v>10</v>
      </c>
      <c r="D75" s="10">
        <v>4</v>
      </c>
      <c r="E75" s="10">
        <v>1228</v>
      </c>
      <c r="F75" s="10">
        <v>46580676.905710757</v>
      </c>
      <c r="G75" s="10">
        <v>1605</v>
      </c>
      <c r="H75" s="10">
        <v>9</v>
      </c>
      <c r="I75" s="10">
        <v>7</v>
      </c>
      <c r="J75" s="10">
        <v>1317</v>
      </c>
      <c r="K75" s="10">
        <v>49256726.466358557</v>
      </c>
    </row>
    <row r="76" spans="1:11" x14ac:dyDescent="0.35">
      <c r="A76" s="9" t="s">
        <v>139</v>
      </c>
      <c r="B76" s="10">
        <v>517</v>
      </c>
      <c r="C76" s="10">
        <v>2</v>
      </c>
      <c r="D76" s="10">
        <v>1</v>
      </c>
      <c r="E76" s="10">
        <v>440</v>
      </c>
      <c r="F76" s="10">
        <v>9383646.5454543922</v>
      </c>
      <c r="G76" s="10">
        <v>460</v>
      </c>
      <c r="H76" s="10">
        <v>4</v>
      </c>
      <c r="I76" s="10">
        <v>2</v>
      </c>
      <c r="J76" s="10">
        <v>433</v>
      </c>
      <c r="K76" s="10">
        <v>8960062.0347378012</v>
      </c>
    </row>
    <row r="77" spans="1:11" x14ac:dyDescent="0.35">
      <c r="A77" s="9" t="s">
        <v>170</v>
      </c>
      <c r="B77" s="10">
        <v>886</v>
      </c>
      <c r="C77" s="10">
        <v>3</v>
      </c>
      <c r="D77" s="10">
        <v>1</v>
      </c>
      <c r="E77" s="10">
        <v>774</v>
      </c>
      <c r="F77" s="10">
        <v>14552442.544222549</v>
      </c>
      <c r="G77" s="10">
        <v>782</v>
      </c>
      <c r="H77" s="10">
        <v>1</v>
      </c>
      <c r="I77" s="10">
        <v>0</v>
      </c>
      <c r="J77" s="10">
        <v>747</v>
      </c>
      <c r="K77" s="10">
        <v>17409108.331550773</v>
      </c>
    </row>
    <row r="78" spans="1:11" x14ac:dyDescent="0.35">
      <c r="A78" s="9" t="s">
        <v>61</v>
      </c>
      <c r="B78" s="10">
        <v>651</v>
      </c>
      <c r="C78" s="10">
        <v>0</v>
      </c>
      <c r="D78" s="10">
        <v>3</v>
      </c>
      <c r="E78" s="10">
        <v>482</v>
      </c>
      <c r="F78" s="10">
        <v>14615906.519403487</v>
      </c>
      <c r="G78" s="10">
        <v>589</v>
      </c>
      <c r="H78" s="10">
        <v>2</v>
      </c>
      <c r="I78" s="10">
        <v>3</v>
      </c>
      <c r="J78" s="10">
        <v>478</v>
      </c>
      <c r="K78" s="10">
        <v>16261279.578989357</v>
      </c>
    </row>
    <row r="79" spans="1:11" x14ac:dyDescent="0.35">
      <c r="A79" s="9" t="s">
        <v>129</v>
      </c>
      <c r="B79" s="10">
        <v>612</v>
      </c>
      <c r="C79" s="10">
        <v>5</v>
      </c>
      <c r="D79" s="10">
        <v>1</v>
      </c>
      <c r="E79" s="10">
        <v>725</v>
      </c>
      <c r="F79" s="10">
        <v>11825950.763445076</v>
      </c>
      <c r="G79" s="10">
        <v>800</v>
      </c>
      <c r="H79" s="10">
        <v>6</v>
      </c>
      <c r="I79" s="10">
        <v>1</v>
      </c>
      <c r="J79" s="10">
        <v>790</v>
      </c>
      <c r="K79" s="10">
        <v>10410105.269862575</v>
      </c>
    </row>
    <row r="80" spans="1:11" x14ac:dyDescent="0.35">
      <c r="A80" s="9" t="s">
        <v>35</v>
      </c>
      <c r="B80" s="10">
        <v>444</v>
      </c>
      <c r="C80" s="10">
        <v>0</v>
      </c>
      <c r="D80" s="10">
        <v>7</v>
      </c>
      <c r="E80" s="10">
        <v>459</v>
      </c>
      <c r="F80" s="10">
        <v>12707889.856647348</v>
      </c>
      <c r="G80" s="10">
        <v>498</v>
      </c>
      <c r="H80" s="10">
        <v>3</v>
      </c>
      <c r="I80" s="10">
        <v>7</v>
      </c>
      <c r="J80" s="10">
        <v>466</v>
      </c>
      <c r="K80" s="10">
        <v>11224853.807416515</v>
      </c>
    </row>
    <row r="81" spans="1:11" x14ac:dyDescent="0.35">
      <c r="A81" s="9" t="s">
        <v>107</v>
      </c>
      <c r="B81" s="10">
        <v>940</v>
      </c>
      <c r="C81" s="10">
        <v>5</v>
      </c>
      <c r="D81" s="10">
        <v>3</v>
      </c>
      <c r="E81" s="10">
        <v>756</v>
      </c>
      <c r="F81" s="10">
        <v>33856213.568945937</v>
      </c>
      <c r="G81" s="10">
        <v>750</v>
      </c>
      <c r="H81" s="10">
        <v>5</v>
      </c>
      <c r="I81" s="10">
        <v>3</v>
      </c>
      <c r="J81" s="10">
        <v>749</v>
      </c>
      <c r="K81" s="10">
        <v>25767122.084004831</v>
      </c>
    </row>
    <row r="82" spans="1:11" x14ac:dyDescent="0.35">
      <c r="A82" s="9" t="s">
        <v>37</v>
      </c>
      <c r="B82" s="10">
        <v>771</v>
      </c>
      <c r="C82" s="10">
        <v>2</v>
      </c>
      <c r="D82" s="10">
        <v>10</v>
      </c>
      <c r="E82" s="10">
        <v>709</v>
      </c>
      <c r="F82" s="10">
        <v>20147404.699376933</v>
      </c>
      <c r="G82" s="10">
        <v>789</v>
      </c>
      <c r="H82" s="10">
        <v>3</v>
      </c>
      <c r="I82" s="10">
        <v>9</v>
      </c>
      <c r="J82" s="10">
        <v>741</v>
      </c>
      <c r="K82" s="10">
        <v>20795729.777784407</v>
      </c>
    </row>
    <row r="83" spans="1:11" x14ac:dyDescent="0.35">
      <c r="A83" s="9" t="s">
        <v>76</v>
      </c>
      <c r="B83" s="10">
        <v>959</v>
      </c>
      <c r="C83" s="10">
        <v>2</v>
      </c>
      <c r="D83" s="10">
        <v>2</v>
      </c>
      <c r="E83" s="10">
        <v>873</v>
      </c>
      <c r="F83" s="10">
        <v>16295988.162141008</v>
      </c>
      <c r="G83" s="10">
        <v>1100</v>
      </c>
      <c r="H83" s="10">
        <v>2</v>
      </c>
      <c r="I83" s="10">
        <v>2</v>
      </c>
      <c r="J83" s="10">
        <v>974</v>
      </c>
      <c r="K83" s="10">
        <v>17212098.434398443</v>
      </c>
    </row>
    <row r="84" spans="1:11" x14ac:dyDescent="0.35">
      <c r="A84" s="9" t="s">
        <v>65</v>
      </c>
      <c r="B84" s="10">
        <v>992</v>
      </c>
      <c r="C84" s="10">
        <v>2</v>
      </c>
      <c r="D84" s="10">
        <v>5</v>
      </c>
      <c r="E84" s="10">
        <v>839</v>
      </c>
      <c r="F84" s="10">
        <v>16008993.220043994</v>
      </c>
      <c r="G84" s="10">
        <v>941</v>
      </c>
      <c r="H84" s="10">
        <v>2</v>
      </c>
      <c r="I84" s="10">
        <v>4</v>
      </c>
      <c r="J84" s="10">
        <v>860</v>
      </c>
      <c r="K84" s="10">
        <v>20575678.3225642</v>
      </c>
    </row>
    <row r="85" spans="1:11" x14ac:dyDescent="0.35">
      <c r="A85" s="9" t="s">
        <v>89</v>
      </c>
      <c r="B85" s="10">
        <v>757</v>
      </c>
      <c r="C85" s="10">
        <v>2</v>
      </c>
      <c r="D85" s="10">
        <v>6</v>
      </c>
      <c r="E85" s="10">
        <v>733</v>
      </c>
      <c r="F85" s="10">
        <v>21222145.549389083</v>
      </c>
      <c r="G85" s="10">
        <v>844</v>
      </c>
      <c r="H85" s="10">
        <v>2</v>
      </c>
      <c r="I85" s="10">
        <v>7</v>
      </c>
      <c r="J85" s="10">
        <v>784</v>
      </c>
      <c r="K85" s="10">
        <v>24021340.943134073</v>
      </c>
    </row>
    <row r="86" spans="1:11" x14ac:dyDescent="0.35">
      <c r="A86" s="9" t="s">
        <v>147</v>
      </c>
      <c r="B86" s="10">
        <v>561</v>
      </c>
      <c r="C86" s="10">
        <v>1</v>
      </c>
      <c r="D86" s="10">
        <v>1</v>
      </c>
      <c r="E86" s="10">
        <v>493</v>
      </c>
      <c r="F86" s="10">
        <v>10050763.988478778</v>
      </c>
      <c r="G86" s="10">
        <v>593</v>
      </c>
      <c r="H86" s="10">
        <v>4</v>
      </c>
      <c r="I86" s="10">
        <v>1</v>
      </c>
      <c r="J86" s="10">
        <v>502</v>
      </c>
      <c r="K86" s="10">
        <v>9531836.5712453369</v>
      </c>
    </row>
    <row r="87" spans="1:11" x14ac:dyDescent="0.35">
      <c r="A87" s="9" t="s">
        <v>164</v>
      </c>
      <c r="B87" s="10">
        <v>1767</v>
      </c>
      <c r="C87" s="10">
        <v>0</v>
      </c>
      <c r="D87" s="10">
        <v>10</v>
      </c>
      <c r="E87" s="10">
        <v>1348</v>
      </c>
      <c r="F87" s="10">
        <v>42084775.50188525</v>
      </c>
      <c r="G87" s="10">
        <v>1661</v>
      </c>
      <c r="H87" s="10">
        <v>2</v>
      </c>
      <c r="I87" s="10">
        <v>9</v>
      </c>
      <c r="J87" s="10">
        <v>1448</v>
      </c>
      <c r="K87" s="10">
        <v>51153393.19780989</v>
      </c>
    </row>
    <row r="88" spans="1:11" x14ac:dyDescent="0.35">
      <c r="A88" s="9" t="s">
        <v>91</v>
      </c>
      <c r="B88" s="10">
        <v>562</v>
      </c>
      <c r="C88" s="10">
        <v>0</v>
      </c>
      <c r="D88" s="10">
        <v>3</v>
      </c>
      <c r="E88" s="10">
        <v>900</v>
      </c>
      <c r="F88" s="10">
        <v>9931053.6177717447</v>
      </c>
      <c r="G88" s="10">
        <v>925</v>
      </c>
      <c r="H88" s="10">
        <v>2</v>
      </c>
      <c r="I88" s="10">
        <v>3</v>
      </c>
      <c r="J88" s="10">
        <v>763</v>
      </c>
      <c r="K88" s="10">
        <v>11320774.287268532</v>
      </c>
    </row>
    <row r="89" spans="1:11" x14ac:dyDescent="0.35">
      <c r="A89" s="9" t="s">
        <v>97</v>
      </c>
      <c r="B89" s="10">
        <v>647</v>
      </c>
      <c r="C89" s="10">
        <v>4</v>
      </c>
      <c r="D89" s="10">
        <v>7</v>
      </c>
      <c r="E89" s="10">
        <v>543</v>
      </c>
      <c r="F89" s="10">
        <v>18693370.236158248</v>
      </c>
      <c r="G89" s="10">
        <v>766</v>
      </c>
      <c r="H89" s="10">
        <v>5</v>
      </c>
      <c r="I89" s="10">
        <v>8</v>
      </c>
      <c r="J89" s="10">
        <v>522</v>
      </c>
      <c r="K89" s="10">
        <v>20146519.231406134</v>
      </c>
    </row>
    <row r="90" spans="1:11" x14ac:dyDescent="0.35">
      <c r="A90" s="9" t="s">
        <v>78</v>
      </c>
      <c r="B90" s="10">
        <v>362</v>
      </c>
      <c r="C90" s="10">
        <v>2</v>
      </c>
      <c r="D90" s="10">
        <v>1</v>
      </c>
      <c r="E90" s="10">
        <v>362</v>
      </c>
      <c r="F90" s="10">
        <v>4601412.716901565</v>
      </c>
      <c r="G90" s="10">
        <v>100</v>
      </c>
      <c r="H90" s="10">
        <v>2</v>
      </c>
      <c r="I90" s="10">
        <v>1</v>
      </c>
      <c r="J90" s="10">
        <v>14</v>
      </c>
      <c r="K90" s="10">
        <v>4177363.4227665081</v>
      </c>
    </row>
    <row r="91" spans="1:11" x14ac:dyDescent="0.35">
      <c r="A91" s="14" t="s">
        <v>203</v>
      </c>
      <c r="B91" s="13">
        <v>84698</v>
      </c>
      <c r="C91" s="13">
        <v>1022</v>
      </c>
      <c r="D91" s="13">
        <v>316</v>
      </c>
      <c r="E91" s="13">
        <v>69168</v>
      </c>
      <c r="F91" s="13">
        <v>1934635103.3523769</v>
      </c>
      <c r="G91" s="13">
        <v>83602</v>
      </c>
      <c r="H91" s="13">
        <v>1321</v>
      </c>
      <c r="I91" s="13">
        <v>315</v>
      </c>
      <c r="J91" s="13">
        <v>71073</v>
      </c>
      <c r="K91" s="13">
        <v>2019834901.3869331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2026-09-15T07:25:24Z</dcterms:modified>
</cp:coreProperties>
</file>