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Sheet1!$A$1:$U$85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3" i="3" l="1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2" i="3"/>
  <c r="F3" i="3" l="1"/>
  <c r="G3" i="3"/>
  <c r="I3" i="3"/>
  <c r="J3" i="3"/>
  <c r="L3" i="3"/>
  <c r="M3" i="3"/>
  <c r="O3" i="3"/>
  <c r="P3" i="3"/>
  <c r="S3" i="3"/>
  <c r="T3" i="3" s="1"/>
  <c r="F4" i="3"/>
  <c r="G4" i="3"/>
  <c r="H4" i="3" s="1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Q6" i="3" s="1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H8" i="3" s="1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Q10" i="3" s="1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H12" i="3" s="1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Q14" i="3" s="1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H16" i="3" s="1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Q18" i="3" s="1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H20" i="3" s="1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Q22" i="3" s="1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H24" i="3" s="1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Q26" i="3" s="1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Q30" i="3" s="1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H32" i="3" s="1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Q34" i="3" s="1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H36" i="3" s="1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Q38" i="3" s="1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H40" i="3" s="1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Q42" i="3" s="1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H44" i="3" s="1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Q46" i="3" s="1"/>
  <c r="S46" i="3"/>
  <c r="T46" i="3" s="1"/>
  <c r="F47" i="3"/>
  <c r="G47" i="3"/>
  <c r="I47" i="3"/>
  <c r="J47" i="3"/>
  <c r="L47" i="3"/>
  <c r="M47" i="3"/>
  <c r="O47" i="3"/>
  <c r="P47" i="3"/>
  <c r="S47" i="3"/>
  <c r="T47" i="3" s="1"/>
  <c r="F48" i="3"/>
  <c r="G48" i="3"/>
  <c r="H48" i="3" s="1"/>
  <c r="I48" i="3"/>
  <c r="J48" i="3"/>
  <c r="L48" i="3"/>
  <c r="M48" i="3"/>
  <c r="O48" i="3"/>
  <c r="P48" i="3"/>
  <c r="S48" i="3"/>
  <c r="T48" i="3" s="1"/>
  <c r="F49" i="3"/>
  <c r="G49" i="3"/>
  <c r="I49" i="3"/>
  <c r="J49" i="3"/>
  <c r="L49" i="3"/>
  <c r="M49" i="3"/>
  <c r="O49" i="3"/>
  <c r="P49" i="3"/>
  <c r="S49" i="3"/>
  <c r="T49" i="3" s="1"/>
  <c r="F50" i="3"/>
  <c r="G50" i="3"/>
  <c r="I50" i="3"/>
  <c r="J50" i="3"/>
  <c r="L50" i="3"/>
  <c r="M50" i="3"/>
  <c r="O50" i="3"/>
  <c r="P50" i="3"/>
  <c r="Q50" i="3" s="1"/>
  <c r="S50" i="3"/>
  <c r="T50" i="3" s="1"/>
  <c r="F51" i="3"/>
  <c r="G51" i="3"/>
  <c r="I51" i="3"/>
  <c r="J51" i="3"/>
  <c r="L51" i="3"/>
  <c r="M51" i="3"/>
  <c r="O51" i="3"/>
  <c r="P51" i="3"/>
  <c r="S51" i="3"/>
  <c r="T51" i="3" s="1"/>
  <c r="F52" i="3"/>
  <c r="G52" i="3"/>
  <c r="I52" i="3"/>
  <c r="J52" i="3"/>
  <c r="L52" i="3"/>
  <c r="M52" i="3"/>
  <c r="O52" i="3"/>
  <c r="P52" i="3"/>
  <c r="S52" i="3"/>
  <c r="T52" i="3" s="1"/>
  <c r="F53" i="3"/>
  <c r="G53" i="3"/>
  <c r="I53" i="3"/>
  <c r="J53" i="3"/>
  <c r="L53" i="3"/>
  <c r="M53" i="3"/>
  <c r="O53" i="3"/>
  <c r="P53" i="3"/>
  <c r="S53" i="3"/>
  <c r="T53" i="3" s="1"/>
  <c r="F54" i="3"/>
  <c r="G54" i="3"/>
  <c r="I54" i="3"/>
  <c r="J54" i="3"/>
  <c r="L54" i="3"/>
  <c r="M54" i="3"/>
  <c r="O54" i="3"/>
  <c r="P54" i="3"/>
  <c r="Q54" i="3" s="1"/>
  <c r="S54" i="3"/>
  <c r="T54" i="3" s="1"/>
  <c r="F55" i="3"/>
  <c r="G55" i="3"/>
  <c r="I55" i="3"/>
  <c r="J55" i="3"/>
  <c r="L55" i="3"/>
  <c r="M55" i="3"/>
  <c r="O55" i="3"/>
  <c r="P55" i="3"/>
  <c r="S55" i="3"/>
  <c r="T55" i="3" s="1"/>
  <c r="F56" i="3"/>
  <c r="G56" i="3"/>
  <c r="H56" i="3" s="1"/>
  <c r="I56" i="3"/>
  <c r="J56" i="3"/>
  <c r="L56" i="3"/>
  <c r="M56" i="3"/>
  <c r="O56" i="3"/>
  <c r="P56" i="3"/>
  <c r="S56" i="3"/>
  <c r="T56" i="3" s="1"/>
  <c r="F57" i="3"/>
  <c r="G57" i="3"/>
  <c r="I57" i="3"/>
  <c r="J57" i="3"/>
  <c r="L57" i="3"/>
  <c r="M57" i="3"/>
  <c r="O57" i="3"/>
  <c r="P57" i="3"/>
  <c r="S57" i="3"/>
  <c r="T57" i="3" s="1"/>
  <c r="F58" i="3"/>
  <c r="G58" i="3"/>
  <c r="I58" i="3"/>
  <c r="J58" i="3"/>
  <c r="L58" i="3"/>
  <c r="M58" i="3"/>
  <c r="O58" i="3"/>
  <c r="P58" i="3"/>
  <c r="Q58" i="3" s="1"/>
  <c r="S58" i="3"/>
  <c r="T58" i="3" s="1"/>
  <c r="F59" i="3"/>
  <c r="G59" i="3"/>
  <c r="I59" i="3"/>
  <c r="J59" i="3"/>
  <c r="L59" i="3"/>
  <c r="M59" i="3"/>
  <c r="O59" i="3"/>
  <c r="P59" i="3"/>
  <c r="S59" i="3"/>
  <c r="T59" i="3" s="1"/>
  <c r="F60" i="3"/>
  <c r="G60" i="3"/>
  <c r="H60" i="3" s="1"/>
  <c r="I60" i="3"/>
  <c r="J60" i="3"/>
  <c r="L60" i="3"/>
  <c r="M60" i="3"/>
  <c r="O60" i="3"/>
  <c r="P60" i="3"/>
  <c r="S60" i="3"/>
  <c r="T60" i="3" s="1"/>
  <c r="F61" i="3"/>
  <c r="G61" i="3"/>
  <c r="I61" i="3"/>
  <c r="J61" i="3"/>
  <c r="L61" i="3"/>
  <c r="M61" i="3"/>
  <c r="O61" i="3"/>
  <c r="P61" i="3"/>
  <c r="S61" i="3"/>
  <c r="T61" i="3" s="1"/>
  <c r="F62" i="3"/>
  <c r="G62" i="3"/>
  <c r="I62" i="3"/>
  <c r="J62" i="3"/>
  <c r="L62" i="3"/>
  <c r="M62" i="3"/>
  <c r="O62" i="3"/>
  <c r="P62" i="3"/>
  <c r="Q62" i="3" s="1"/>
  <c r="S62" i="3"/>
  <c r="T62" i="3" s="1"/>
  <c r="F63" i="3"/>
  <c r="G63" i="3"/>
  <c r="I63" i="3"/>
  <c r="J63" i="3"/>
  <c r="L63" i="3"/>
  <c r="M63" i="3"/>
  <c r="O63" i="3"/>
  <c r="P63" i="3"/>
  <c r="S63" i="3"/>
  <c r="T63" i="3" s="1"/>
  <c r="F64" i="3"/>
  <c r="G64" i="3"/>
  <c r="I64" i="3"/>
  <c r="J64" i="3"/>
  <c r="L64" i="3"/>
  <c r="M64" i="3"/>
  <c r="O64" i="3"/>
  <c r="P64" i="3"/>
  <c r="S64" i="3"/>
  <c r="T64" i="3" s="1"/>
  <c r="F65" i="3"/>
  <c r="G65" i="3"/>
  <c r="I65" i="3"/>
  <c r="J65" i="3"/>
  <c r="L65" i="3"/>
  <c r="M65" i="3"/>
  <c r="O65" i="3"/>
  <c r="P65" i="3"/>
  <c r="S65" i="3"/>
  <c r="T65" i="3" s="1"/>
  <c r="F66" i="3"/>
  <c r="G66" i="3"/>
  <c r="I66" i="3"/>
  <c r="J66" i="3"/>
  <c r="L66" i="3"/>
  <c r="M66" i="3"/>
  <c r="O66" i="3"/>
  <c r="P66" i="3"/>
  <c r="Q66" i="3" s="1"/>
  <c r="S66" i="3"/>
  <c r="T66" i="3" s="1"/>
  <c r="F67" i="3"/>
  <c r="G67" i="3"/>
  <c r="I67" i="3"/>
  <c r="J67" i="3"/>
  <c r="L67" i="3"/>
  <c r="M67" i="3"/>
  <c r="O67" i="3"/>
  <c r="P67" i="3"/>
  <c r="S67" i="3"/>
  <c r="T67" i="3" s="1"/>
  <c r="F68" i="3"/>
  <c r="G68" i="3"/>
  <c r="H68" i="3" s="1"/>
  <c r="I68" i="3"/>
  <c r="J68" i="3"/>
  <c r="L68" i="3"/>
  <c r="M68" i="3"/>
  <c r="O68" i="3"/>
  <c r="P68" i="3"/>
  <c r="S68" i="3"/>
  <c r="T68" i="3" s="1"/>
  <c r="F69" i="3"/>
  <c r="G69" i="3"/>
  <c r="I69" i="3"/>
  <c r="J69" i="3"/>
  <c r="L69" i="3"/>
  <c r="M69" i="3"/>
  <c r="O69" i="3"/>
  <c r="P69" i="3"/>
  <c r="S69" i="3"/>
  <c r="T69" i="3" s="1"/>
  <c r="F70" i="3"/>
  <c r="G70" i="3"/>
  <c r="I70" i="3"/>
  <c r="J70" i="3"/>
  <c r="L70" i="3"/>
  <c r="M70" i="3"/>
  <c r="O70" i="3"/>
  <c r="P70" i="3"/>
  <c r="Q70" i="3" s="1"/>
  <c r="S70" i="3"/>
  <c r="T70" i="3" s="1"/>
  <c r="F71" i="3"/>
  <c r="G71" i="3"/>
  <c r="I71" i="3"/>
  <c r="J71" i="3"/>
  <c r="L71" i="3"/>
  <c r="M71" i="3"/>
  <c r="O71" i="3"/>
  <c r="P71" i="3"/>
  <c r="S71" i="3"/>
  <c r="T71" i="3" s="1"/>
  <c r="F72" i="3"/>
  <c r="G72" i="3"/>
  <c r="H72" i="3" s="1"/>
  <c r="I72" i="3"/>
  <c r="J72" i="3"/>
  <c r="L72" i="3"/>
  <c r="M72" i="3"/>
  <c r="O72" i="3"/>
  <c r="P72" i="3"/>
  <c r="S72" i="3"/>
  <c r="T72" i="3" s="1"/>
  <c r="F73" i="3"/>
  <c r="G73" i="3"/>
  <c r="I73" i="3"/>
  <c r="J73" i="3"/>
  <c r="L73" i="3"/>
  <c r="M73" i="3"/>
  <c r="O73" i="3"/>
  <c r="P73" i="3"/>
  <c r="S73" i="3"/>
  <c r="T73" i="3" s="1"/>
  <c r="F74" i="3"/>
  <c r="G74" i="3"/>
  <c r="I74" i="3"/>
  <c r="J74" i="3"/>
  <c r="L74" i="3"/>
  <c r="M74" i="3"/>
  <c r="O74" i="3"/>
  <c r="P74" i="3"/>
  <c r="Q74" i="3" s="1"/>
  <c r="S74" i="3"/>
  <c r="T74" i="3" s="1"/>
  <c r="F75" i="3"/>
  <c r="G75" i="3"/>
  <c r="I75" i="3"/>
  <c r="J75" i="3"/>
  <c r="L75" i="3"/>
  <c r="M75" i="3"/>
  <c r="O75" i="3"/>
  <c r="P75" i="3"/>
  <c r="S75" i="3"/>
  <c r="T75" i="3" s="1"/>
  <c r="F76" i="3"/>
  <c r="G76" i="3"/>
  <c r="H76" i="3" s="1"/>
  <c r="I76" i="3"/>
  <c r="J76" i="3"/>
  <c r="L76" i="3"/>
  <c r="M76" i="3"/>
  <c r="O76" i="3"/>
  <c r="P76" i="3"/>
  <c r="S76" i="3"/>
  <c r="T76" i="3" s="1"/>
  <c r="F77" i="3"/>
  <c r="G77" i="3"/>
  <c r="I77" i="3"/>
  <c r="J77" i="3"/>
  <c r="L77" i="3"/>
  <c r="M77" i="3"/>
  <c r="O77" i="3"/>
  <c r="P77" i="3"/>
  <c r="S77" i="3"/>
  <c r="T77" i="3" s="1"/>
  <c r="F78" i="3"/>
  <c r="G78" i="3"/>
  <c r="I78" i="3"/>
  <c r="J78" i="3"/>
  <c r="L78" i="3"/>
  <c r="M78" i="3"/>
  <c r="O78" i="3"/>
  <c r="P78" i="3"/>
  <c r="Q78" i="3" s="1"/>
  <c r="S78" i="3"/>
  <c r="T78" i="3" s="1"/>
  <c r="F79" i="3"/>
  <c r="G79" i="3"/>
  <c r="I79" i="3"/>
  <c r="J79" i="3"/>
  <c r="L79" i="3"/>
  <c r="M79" i="3"/>
  <c r="O79" i="3"/>
  <c r="P79" i="3"/>
  <c r="S79" i="3"/>
  <c r="T79" i="3" s="1"/>
  <c r="F80" i="3"/>
  <c r="G80" i="3"/>
  <c r="H80" i="3" s="1"/>
  <c r="I80" i="3"/>
  <c r="J80" i="3"/>
  <c r="L80" i="3"/>
  <c r="M80" i="3"/>
  <c r="O80" i="3"/>
  <c r="P80" i="3"/>
  <c r="S80" i="3"/>
  <c r="T80" i="3" s="1"/>
  <c r="F81" i="3"/>
  <c r="G81" i="3"/>
  <c r="I81" i="3"/>
  <c r="J81" i="3"/>
  <c r="L81" i="3"/>
  <c r="M81" i="3"/>
  <c r="O81" i="3"/>
  <c r="P81" i="3"/>
  <c r="S81" i="3"/>
  <c r="T81" i="3" s="1"/>
  <c r="F82" i="3"/>
  <c r="G82" i="3"/>
  <c r="I82" i="3"/>
  <c r="J82" i="3"/>
  <c r="L82" i="3"/>
  <c r="M82" i="3"/>
  <c r="O82" i="3"/>
  <c r="P82" i="3"/>
  <c r="Q82" i="3" s="1"/>
  <c r="S82" i="3"/>
  <c r="T82" i="3" s="1"/>
  <c r="F83" i="3"/>
  <c r="G83" i="3"/>
  <c r="I83" i="3"/>
  <c r="J83" i="3"/>
  <c r="L83" i="3"/>
  <c r="M83" i="3"/>
  <c r="O83" i="3"/>
  <c r="P83" i="3"/>
  <c r="S83" i="3"/>
  <c r="T83" i="3" s="1"/>
  <c r="F84" i="3"/>
  <c r="G84" i="3"/>
  <c r="H84" i="3" s="1"/>
  <c r="I84" i="3"/>
  <c r="J84" i="3"/>
  <c r="L84" i="3"/>
  <c r="M84" i="3"/>
  <c r="O84" i="3"/>
  <c r="P84" i="3"/>
  <c r="S84" i="3"/>
  <c r="T84" i="3" s="1"/>
  <c r="F85" i="3"/>
  <c r="G85" i="3"/>
  <c r="I85" i="3"/>
  <c r="J85" i="3"/>
  <c r="L85" i="3"/>
  <c r="M85" i="3"/>
  <c r="O85" i="3"/>
  <c r="P85" i="3"/>
  <c r="S85" i="3"/>
  <c r="T85" i="3" s="1"/>
  <c r="S2" i="3"/>
  <c r="T2" i="3" s="1"/>
  <c r="P2" i="3"/>
  <c r="O2" i="3"/>
  <c r="M2" i="3"/>
  <c r="L2" i="3"/>
  <c r="J2" i="3"/>
  <c r="I2" i="3"/>
  <c r="G2" i="3"/>
  <c r="F2" i="3"/>
  <c r="N85" i="3" l="1"/>
  <c r="N81" i="3"/>
  <c r="H28" i="3"/>
  <c r="N77" i="3"/>
  <c r="N73" i="3"/>
  <c r="N69" i="3"/>
  <c r="N65" i="3"/>
  <c r="N61" i="3"/>
  <c r="N57" i="3"/>
  <c r="N53" i="3"/>
  <c r="N49" i="3"/>
  <c r="N45" i="3"/>
  <c r="N41" i="3"/>
  <c r="N37" i="3"/>
  <c r="N33" i="3"/>
  <c r="N29" i="3"/>
  <c r="N25" i="3"/>
  <c r="N21" i="3"/>
  <c r="N17" i="3"/>
  <c r="N70" i="3"/>
  <c r="N66" i="3"/>
  <c r="N62" i="3"/>
  <c r="N58" i="3"/>
  <c r="N54" i="3"/>
  <c r="N50" i="3"/>
  <c r="N46" i="3"/>
  <c r="N42" i="3"/>
  <c r="N38" i="3"/>
  <c r="N34" i="3"/>
  <c r="N30" i="3"/>
  <c r="N26" i="3"/>
  <c r="N22" i="3"/>
  <c r="N18" i="3"/>
  <c r="N14" i="3"/>
  <c r="N10" i="3"/>
  <c r="N6" i="3"/>
  <c r="N13" i="3"/>
  <c r="N9" i="3"/>
  <c r="N5" i="3"/>
  <c r="K82" i="3"/>
  <c r="K78" i="3"/>
  <c r="K74" i="3"/>
  <c r="K70" i="3"/>
  <c r="K66" i="3"/>
  <c r="K62" i="3"/>
  <c r="K58" i="3"/>
  <c r="K54" i="3"/>
  <c r="K50" i="3"/>
  <c r="K46" i="3"/>
  <c r="K42" i="3"/>
  <c r="K38" i="3"/>
  <c r="K34" i="3"/>
  <c r="K30" i="3"/>
  <c r="K26" i="3"/>
  <c r="K22" i="3"/>
  <c r="K18" i="3"/>
  <c r="K14" i="3"/>
  <c r="K10" i="3"/>
  <c r="K6" i="3"/>
  <c r="Q77" i="3"/>
  <c r="Q73" i="3"/>
  <c r="Q69" i="3"/>
  <c r="Q65" i="3"/>
  <c r="Q61" i="3"/>
  <c r="Q57" i="3"/>
  <c r="H64" i="3"/>
  <c r="H52" i="3"/>
  <c r="K85" i="3"/>
  <c r="Q85" i="3"/>
  <c r="Q81" i="3"/>
  <c r="N31" i="3"/>
  <c r="N27" i="3"/>
  <c r="N23" i="3"/>
  <c r="N19" i="3"/>
  <c r="N15" i="3"/>
  <c r="N11" i="3"/>
  <c r="N7" i="3"/>
  <c r="N3" i="3"/>
  <c r="K7" i="3"/>
  <c r="K3" i="3"/>
  <c r="K81" i="3"/>
  <c r="K77" i="3"/>
  <c r="K73" i="3"/>
  <c r="K69" i="3"/>
  <c r="K65" i="3"/>
  <c r="K61" i="3"/>
  <c r="K57" i="3"/>
  <c r="K53" i="3"/>
  <c r="K49" i="3"/>
  <c r="K45" i="3"/>
  <c r="K41" i="3"/>
  <c r="K37" i="3"/>
  <c r="N83" i="3"/>
  <c r="N79" i="3"/>
  <c r="N75" i="3"/>
  <c r="N71" i="3"/>
  <c r="N67" i="3"/>
  <c r="N63" i="3"/>
  <c r="N59" i="3"/>
  <c r="N55" i="3"/>
  <c r="N51" i="3"/>
  <c r="N47" i="3"/>
  <c r="N43" i="3"/>
  <c r="N39" i="3"/>
  <c r="Q84" i="3"/>
  <c r="H82" i="3"/>
  <c r="Q80" i="3"/>
  <c r="Q76" i="3"/>
  <c r="Q72" i="3"/>
  <c r="Q68" i="3"/>
  <c r="Q64" i="3"/>
  <c r="Q60" i="3"/>
  <c r="Q56" i="3"/>
  <c r="Q52" i="3"/>
  <c r="Q48" i="3"/>
  <c r="Q44" i="3"/>
  <c r="Q40" i="3"/>
  <c r="Q36" i="3"/>
  <c r="Q32" i="3"/>
  <c r="Q28" i="3"/>
  <c r="Q24" i="3"/>
  <c r="Q20" i="3"/>
  <c r="Q16" i="3"/>
  <c r="Q12" i="3"/>
  <c r="Q8" i="3"/>
  <c r="Q4" i="3"/>
  <c r="Q53" i="3"/>
  <c r="Q49" i="3"/>
  <c r="Q45" i="3"/>
  <c r="Q41" i="3"/>
  <c r="Q37" i="3"/>
  <c r="Q33" i="3"/>
  <c r="Q29" i="3"/>
  <c r="Q25" i="3"/>
  <c r="Q21" i="3"/>
  <c r="Q17" i="3"/>
  <c r="Q13" i="3"/>
  <c r="H11" i="3"/>
  <c r="Q9" i="3"/>
  <c r="H7" i="3"/>
  <c r="Q5" i="3"/>
  <c r="H3" i="3"/>
  <c r="K33" i="3"/>
  <c r="K29" i="3"/>
  <c r="K25" i="3"/>
  <c r="K21" i="3"/>
  <c r="K17" i="3"/>
  <c r="K13" i="3"/>
  <c r="K9" i="3"/>
  <c r="K5" i="3"/>
  <c r="N82" i="3"/>
  <c r="N78" i="3"/>
  <c r="N74" i="3"/>
  <c r="Q83" i="3"/>
  <c r="Q79" i="3"/>
  <c r="Q75" i="3"/>
  <c r="Q71" i="3"/>
  <c r="Q67" i="3"/>
  <c r="Q63" i="3"/>
  <c r="Q59" i="3"/>
  <c r="Q55" i="3"/>
  <c r="Q51" i="3"/>
  <c r="Q47" i="3"/>
  <c r="Q43" i="3"/>
  <c r="Q39" i="3"/>
  <c r="Q35" i="3"/>
  <c r="Q31" i="3"/>
  <c r="Q27" i="3"/>
  <c r="Q23" i="3"/>
  <c r="Q19" i="3"/>
  <c r="Q15" i="3"/>
  <c r="Q11" i="3"/>
  <c r="Q7" i="3"/>
  <c r="Q3" i="3"/>
  <c r="K27" i="3"/>
  <c r="K23" i="3"/>
  <c r="K19" i="3"/>
  <c r="K15" i="3"/>
  <c r="K11" i="3"/>
  <c r="N84" i="3"/>
  <c r="N80" i="3"/>
  <c r="N76" i="3"/>
  <c r="N72" i="3"/>
  <c r="N68" i="3"/>
  <c r="N64" i="3"/>
  <c r="N60" i="3"/>
  <c r="N56" i="3"/>
  <c r="N52" i="3"/>
  <c r="N48" i="3"/>
  <c r="N44" i="3"/>
  <c r="N40" i="3"/>
  <c r="N36" i="3"/>
  <c r="N32" i="3"/>
  <c r="N28" i="3"/>
  <c r="N24" i="3"/>
  <c r="N20" i="3"/>
  <c r="N16" i="3"/>
  <c r="N12" i="3"/>
  <c r="N8" i="3"/>
  <c r="N4" i="3"/>
  <c r="N35" i="3"/>
  <c r="Q2" i="3"/>
  <c r="H78" i="3"/>
  <c r="H74" i="3"/>
  <c r="H70" i="3"/>
  <c r="H66" i="3"/>
  <c r="H62" i="3"/>
  <c r="H58" i="3"/>
  <c r="H54" i="3"/>
  <c r="H50" i="3"/>
  <c r="H46" i="3"/>
  <c r="H42" i="3"/>
  <c r="H38" i="3"/>
  <c r="H34" i="3"/>
  <c r="H30" i="3"/>
  <c r="H26" i="3"/>
  <c r="H22" i="3"/>
  <c r="H18" i="3"/>
  <c r="H14" i="3"/>
  <c r="H10" i="3"/>
  <c r="H6" i="3"/>
  <c r="N2" i="3"/>
  <c r="H85" i="3"/>
  <c r="H81" i="3"/>
  <c r="H77" i="3"/>
  <c r="H73" i="3"/>
  <c r="H69" i="3"/>
  <c r="H65" i="3"/>
  <c r="H61" i="3"/>
  <c r="H57" i="3"/>
  <c r="H53" i="3"/>
  <c r="H49" i="3"/>
  <c r="H45" i="3"/>
  <c r="H41" i="3"/>
  <c r="H37" i="3"/>
  <c r="H33" i="3"/>
  <c r="H29" i="3"/>
  <c r="H25" i="3"/>
  <c r="H21" i="3"/>
  <c r="H17" i="3"/>
  <c r="H13" i="3"/>
  <c r="H9" i="3"/>
  <c r="H5" i="3"/>
  <c r="K2" i="3"/>
  <c r="K83" i="3"/>
  <c r="K79" i="3"/>
  <c r="K75" i="3"/>
  <c r="K71" i="3"/>
  <c r="K67" i="3"/>
  <c r="K63" i="3"/>
  <c r="K59" i="3"/>
  <c r="K55" i="3"/>
  <c r="K51" i="3"/>
  <c r="K47" i="3"/>
  <c r="K43" i="3"/>
  <c r="K39" i="3"/>
  <c r="K35" i="3"/>
  <c r="K31" i="3"/>
  <c r="H2" i="3"/>
  <c r="H83" i="3"/>
  <c r="H79" i="3"/>
  <c r="H75" i="3"/>
  <c r="H71" i="3"/>
  <c r="H67" i="3"/>
  <c r="H63" i="3"/>
  <c r="H59" i="3"/>
  <c r="H55" i="3"/>
  <c r="H51" i="3"/>
  <c r="H47" i="3"/>
  <c r="H43" i="3"/>
  <c r="H39" i="3"/>
  <c r="H35" i="3"/>
  <c r="H31" i="3"/>
  <c r="H27" i="3"/>
  <c r="H23" i="3"/>
  <c r="H19" i="3"/>
  <c r="H15" i="3"/>
  <c r="K84" i="3"/>
  <c r="K80" i="3"/>
  <c r="K76" i="3"/>
  <c r="K72" i="3"/>
  <c r="K68" i="3"/>
  <c r="K64" i="3"/>
  <c r="K60" i="3"/>
  <c r="K56" i="3"/>
  <c r="K52" i="3"/>
  <c r="K48" i="3"/>
  <c r="K44" i="3"/>
  <c r="K40" i="3"/>
  <c r="K36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<sst xmlns="http://schemas.openxmlformats.org/spreadsheetml/2006/main" count="878" uniqueCount="543">
  <si>
    <t>SITE ID</t>
  </si>
  <si>
    <t>SITE NAME</t>
  </si>
  <si>
    <t>20BEK0038</t>
  </si>
  <si>
    <t>BUMI_EMAS_MT</t>
  </si>
  <si>
    <t>PT-JAGOI BABANG</t>
  </si>
  <si>
    <t>DSE-JAGOIBABNG02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</si>
  <si>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</si>
  <si>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</si>
  <si>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</si>
  <si>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</si>
  <si>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</si>
  <si>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</si>
  <si>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</si>
  <si>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</si>
  <si>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</si>
  <si>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</si>
  <si>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</si>
  <si>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</si>
  <si>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</si>
  <si>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</si>
  <si>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</si>
  <si>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CAPKALA_MT</t>
  </si>
  <si>
    <t>PT-MONTERADO</t>
  </si>
  <si>
    <t>DSE1082</t>
  </si>
  <si>
    <t>20BEK0066</t>
  </si>
  <si>
    <t>SELUAS_BEK1_MT</t>
  </si>
  <si>
    <t>DSE1147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</si>
  <si>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</si>
  <si>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</si>
  <si>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</si>
  <si>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</si>
  <si>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</si>
  <si>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</si>
  <si>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</si>
  <si>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</si>
  <si>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</si>
  <si>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</si>
  <si>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</si>
  <si>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</si>
  <si>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</si>
  <si>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</si>
  <si>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</si>
  <si>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</si>
  <si>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</si>
  <si>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</si>
  <si>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</si>
  <si>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JAHANDUNG1_MT</t>
  </si>
  <si>
    <t>20BEK0015</t>
  </si>
  <si>
    <t>RANTAU_BEK_PL</t>
  </si>
  <si>
    <t>20BEK0016</t>
  </si>
  <si>
    <t>SIMPANG_MONTERADO_MT</t>
  </si>
  <si>
    <t>20BEK0017</t>
  </si>
  <si>
    <t>MONTERADO_MT</t>
  </si>
  <si>
    <t>20BEK0018</t>
  </si>
  <si>
    <t>NEK_GINAP_PL</t>
  </si>
  <si>
    <t>20BEK0020</t>
  </si>
  <si>
    <t>GINAP_MONTERADO_PL</t>
  </si>
  <si>
    <t>20BEK0069</t>
  </si>
  <si>
    <t>MONTERADO_CAPKALA_ST</t>
  </si>
  <si>
    <t>20BEK0077</t>
  </si>
  <si>
    <t>SIPKANYIN_JAHANDUNG_PL</t>
  </si>
  <si>
    <t>20BEK0082</t>
  </si>
  <si>
    <t>BOMA_MONTERADO_PL</t>
  </si>
  <si>
    <t>20BEK0076</t>
  </si>
  <si>
    <t>JAHANDUNG_BENGKAYANG_PL</t>
  </si>
  <si>
    <t>20BEK0088</t>
  </si>
  <si>
    <t>MONTERADO_BENGKAYANG_PL</t>
  </si>
  <si>
    <t>20BEK0022</t>
  </si>
  <si>
    <t>MARUNSU_PL</t>
  </si>
  <si>
    <t>DSE-BENGKAYANG01</t>
  </si>
  <si>
    <t>20BEK0025</t>
  </si>
  <si>
    <t>BUKIT_SERAYAN_PL</t>
  </si>
  <si>
    <t>20BEK0026</t>
  </si>
  <si>
    <t>BABANE_MT</t>
  </si>
  <si>
    <t>20BEK0023</t>
  </si>
  <si>
    <t>SAMALANTAN_MT</t>
  </si>
  <si>
    <t>20BEK0087</t>
  </si>
  <si>
    <t>DUSUN_JIRAK_PL</t>
  </si>
  <si>
    <t>20BEK0094</t>
  </si>
  <si>
    <t>20BEK0027</t>
  </si>
  <si>
    <t>PASTIJAYA_PL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</si>
  <si>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</si>
  <si>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</si>
  <si>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</si>
  <si>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</si>
  <si>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</si>
  <si>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</si>
  <si>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</si>
  <si>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</si>
  <si>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</si>
  <si>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</si>
  <si>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</si>
  <si>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</si>
  <si>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</si>
  <si>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</si>
  <si>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</si>
  <si>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</si>
  <si>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</si>
  <si>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</si>
  <si>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</si>
  <si>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</si>
  <si>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</si>
  <si>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</si>
  <si>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</si>
  <si>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</si>
  <si>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</si>
  <si>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</si>
  <si>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</si>
  <si>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</si>
  <si>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</si>
  <si>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GUNUNG_MANDERING_EP</t>
  </si>
  <si>
    <t>20BEK0029</t>
  </si>
  <si>
    <t>SUKA_MAJUG_PL</t>
  </si>
  <si>
    <t>20BEK0030</t>
  </si>
  <si>
    <t>SEMALAT_MT</t>
  </si>
  <si>
    <t>20BEK0031</t>
  </si>
  <si>
    <t>CIPTA_KARYA_BEK_PL</t>
  </si>
  <si>
    <t>20BEK0001</t>
  </si>
  <si>
    <t>KARIMUNTING_BEK2_PL</t>
  </si>
  <si>
    <t>20BEK0003</t>
  </si>
  <si>
    <t>RAYA_KEPULAUAN_ST</t>
  </si>
  <si>
    <t>20BEK0004</t>
  </si>
  <si>
    <t>SEI_RAYA_EP</t>
  </si>
  <si>
    <t>20BEK0005</t>
  </si>
  <si>
    <t>SEI_KERANG_PL</t>
  </si>
  <si>
    <t>20BEK0006</t>
  </si>
  <si>
    <t>RUKMA_JAYA_PL</t>
  </si>
  <si>
    <t>20BEK0002</t>
  </si>
  <si>
    <t>KARIMUNTING_BEK1_EP</t>
  </si>
  <si>
    <t>20BEK0083</t>
  </si>
  <si>
    <t>PANTAI_SOGA_PL</t>
  </si>
  <si>
    <t>20BEK0007</t>
  </si>
  <si>
    <t>SEI_DURI_PL</t>
  </si>
  <si>
    <t>20BEK0008</t>
  </si>
  <si>
    <t>RUKMA_JAYA1_PL</t>
  </si>
  <si>
    <t>20BEK0010</t>
  </si>
  <si>
    <t>SUNGAI_DURI1_MT</t>
  </si>
  <si>
    <t>20BEK0070</t>
  </si>
  <si>
    <t>SUNGAI_JAGA_MT</t>
  </si>
  <si>
    <t>20BEK0079</t>
  </si>
  <si>
    <t>SELUAS_SUNGAIRAYA_PL</t>
  </si>
  <si>
    <t>20BEK0009</t>
  </si>
  <si>
    <t>SUNGAI_DURI2_PL</t>
  </si>
  <si>
    <t>20BEK0011</t>
  </si>
  <si>
    <t>SUNGAI_JAGA_A_BEK_PL</t>
  </si>
  <si>
    <t>20BEK0012</t>
  </si>
  <si>
    <t>SEIPANGKALAN_EP</t>
  </si>
  <si>
    <t>20BEK0090</t>
  </si>
  <si>
    <t>SUNGAIDURI_BENGKAYANG_PL</t>
  </si>
  <si>
    <t>20BEK0036</t>
  </si>
  <si>
    <t>BUMI_MAS_PL</t>
  </si>
  <si>
    <t>DSE-JAGOIBABNG01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</si>
  <si>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</si>
  <si>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</si>
  <si>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</si>
  <si>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</si>
  <si>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</si>
  <si>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</si>
  <si>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</si>
  <si>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</si>
  <si>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</si>
  <si>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</si>
  <si>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</si>
  <si>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</si>
  <si>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</si>
  <si>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</si>
  <si>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</si>
  <si>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</si>
  <si>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</si>
  <si>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</si>
  <si>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</si>
  <si>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</si>
  <si>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</si>
  <si>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</si>
  <si>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</si>
  <si>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</si>
  <si>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</si>
  <si>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BANDARA_SERUKAM_CM</t>
  </si>
  <si>
    <t>PARTNER</t>
  </si>
  <si>
    <t>DSE CODE</t>
  </si>
  <si>
    <t>LRS</t>
  </si>
  <si>
    <t>AT RISK</t>
  </si>
  <si>
    <t>PROFIT</t>
  </si>
  <si>
    <t>REVENUE MTD</t>
  </si>
  <si>
    <t>FWA VLR MTD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</si>
  <si>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</si>
  <si>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</si>
  <si>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</si>
  <si>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</si>
  <si>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</si>
  <si>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</si>
  <si>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</si>
  <si>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</si>
  <si>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</si>
  <si>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</si>
  <si>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</si>
  <si>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</si>
  <si>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</si>
  <si>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</si>
  <si>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</si>
  <si>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</si>
  <si>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</si>
  <si>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</si>
  <si>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</si>
  <si>
    <t>20MPW0001</t>
  </si>
  <si>
    <t>20MPW0002</t>
  </si>
  <si>
    <t>20MPW0003</t>
  </si>
  <si>
    <t>20MPW0004</t>
  </si>
  <si>
    <t>20MPW0005</t>
  </si>
  <si>
    <t>20MPW0006</t>
  </si>
  <si>
    <t>20MPW0007</t>
  </si>
  <si>
    <t>20MPW0008</t>
  </si>
  <si>
    <t>20MPW0009</t>
  </si>
  <si>
    <t>20MPW0010</t>
  </si>
  <si>
    <t>20MPW0011</t>
  </si>
  <si>
    <t>20MPW0012</t>
  </si>
  <si>
    <t>20MPW0013</t>
  </si>
  <si>
    <t>20MPW0014</t>
  </si>
  <si>
    <t>20MPW0015</t>
  </si>
  <si>
    <t>20MPW0016</t>
  </si>
  <si>
    <t>20MPW0017</t>
  </si>
  <si>
    <t>20MPW0018</t>
  </si>
  <si>
    <t>20MPW0019</t>
  </si>
  <si>
    <t>20MPW0020</t>
  </si>
  <si>
    <t>20MPW0021</t>
  </si>
  <si>
    <t>20MPW0022</t>
  </si>
  <si>
    <t>20MPW0023</t>
  </si>
  <si>
    <t>20MPW0024</t>
  </si>
  <si>
    <t>20MPW0025</t>
  </si>
  <si>
    <t>20MPW0026</t>
  </si>
  <si>
    <t>20MPW0027</t>
  </si>
  <si>
    <t>20MPW0028</t>
  </si>
  <si>
    <t>20MPW0029</t>
  </si>
  <si>
    <t>20MPW0030</t>
  </si>
  <si>
    <t>20MPW0031</t>
  </si>
  <si>
    <t>20MPW0032</t>
  </si>
  <si>
    <t>20MPW0033</t>
  </si>
  <si>
    <t>20MPW0034</t>
  </si>
  <si>
    <t>20MPW0035</t>
  </si>
  <si>
    <t>20MPW0036</t>
  </si>
  <si>
    <t>20MPW0037</t>
  </si>
  <si>
    <t>20MPW0038</t>
  </si>
  <si>
    <t>20MPW0039</t>
  </si>
  <si>
    <t>20MPW0041</t>
  </si>
  <si>
    <t>20MPW0042</t>
  </si>
  <si>
    <t>20MPW0043</t>
  </si>
  <si>
    <t>20MPW0044</t>
  </si>
  <si>
    <t>20MPW0045</t>
  </si>
  <si>
    <t>20MPW0047</t>
  </si>
  <si>
    <t>20MPW0048</t>
  </si>
  <si>
    <t>20MPW0049</t>
  </si>
  <si>
    <t>20MPW0050</t>
  </si>
  <si>
    <t>20MPW0051</t>
  </si>
  <si>
    <t>20MPW0052</t>
  </si>
  <si>
    <t>20MPW0053</t>
  </si>
  <si>
    <t>20MPW0055</t>
  </si>
  <si>
    <t>20MPW0056</t>
  </si>
  <si>
    <t>20MPW0057</t>
  </si>
  <si>
    <t>20MPW0058</t>
  </si>
  <si>
    <t>20MPW0059</t>
  </si>
  <si>
    <t>20MPW0060</t>
  </si>
  <si>
    <t>20MPW0061</t>
  </si>
  <si>
    <t>20MPW0063</t>
  </si>
  <si>
    <t>20MPW0064</t>
  </si>
  <si>
    <t>20MPW0065</t>
  </si>
  <si>
    <t>20MPW0066</t>
  </si>
  <si>
    <t>20MPW0067</t>
  </si>
  <si>
    <t>20MPW0068</t>
  </si>
  <si>
    <t>20MPW0069</t>
  </si>
  <si>
    <t>20MPW0071</t>
  </si>
  <si>
    <t>20MPW0073</t>
  </si>
  <si>
    <t>20MPW0075</t>
  </si>
  <si>
    <t>20MPW0076</t>
  </si>
  <si>
    <t>20MPW0077</t>
  </si>
  <si>
    <t>20MPW0078</t>
  </si>
  <si>
    <t>20MPW0079</t>
  </si>
  <si>
    <t>20MPW0080</t>
  </si>
  <si>
    <t>20MPW0081</t>
  </si>
  <si>
    <t>20MPW0082</t>
  </si>
  <si>
    <t>20MPW0083</t>
  </si>
  <si>
    <t>20MPW0084</t>
  </si>
  <si>
    <t>20MPW0085</t>
  </si>
  <si>
    <t>20MPW0086</t>
  </si>
  <si>
    <t>20MPW0087</t>
  </si>
  <si>
    <t>20MPW0089</t>
  </si>
  <si>
    <t>20SBS0001</t>
  </si>
  <si>
    <t>20SBS0002</t>
  </si>
  <si>
    <t>20SBS0003</t>
  </si>
  <si>
    <t>20SBS0004</t>
  </si>
  <si>
    <t>20SBS0005</t>
  </si>
  <si>
    <t>20SBS0006</t>
  </si>
  <si>
    <t>20SBS0007</t>
  </si>
  <si>
    <t>20SBS0008</t>
  </si>
  <si>
    <t>20SBS0009</t>
  </si>
  <si>
    <t>20SBS0010</t>
  </si>
  <si>
    <t>20SBS0011</t>
  </si>
  <si>
    <t>20SBS0012</t>
  </si>
  <si>
    <t>20SBS0013</t>
  </si>
  <si>
    <t>20SBS0014</t>
  </si>
  <si>
    <t>20SBS0015</t>
  </si>
  <si>
    <t>20SBS0017</t>
  </si>
  <si>
    <t>20SBS0018</t>
  </si>
  <si>
    <t>20SBS0019</t>
  </si>
  <si>
    <t>20SBS0020</t>
  </si>
  <si>
    <t>20SBS0021</t>
  </si>
  <si>
    <t>20SBS0023</t>
  </si>
  <si>
    <t>20SBS0024</t>
  </si>
  <si>
    <t>20SBS0025</t>
  </si>
  <si>
    <t>20SBS0026</t>
  </si>
  <si>
    <t>20SBS0027</t>
  </si>
  <si>
    <t>20SBS0028</t>
  </si>
  <si>
    <t>20SBS0029</t>
  </si>
  <si>
    <t>20SBS0031</t>
  </si>
  <si>
    <t>20SBS0032</t>
  </si>
  <si>
    <t>20SBS0033</t>
  </si>
  <si>
    <t>20SBS0034</t>
  </si>
  <si>
    <t>20SBS0035</t>
  </si>
  <si>
    <t>20SBS0036</t>
  </si>
  <si>
    <t>20SBS0037</t>
  </si>
  <si>
    <t>20SBS0038</t>
  </si>
  <si>
    <t>20SBS0039</t>
  </si>
  <si>
    <t>20SBS0040</t>
  </si>
  <si>
    <t>20SBS0041</t>
  </si>
  <si>
    <t>20SBS0042</t>
  </si>
  <si>
    <t>20SBS0043</t>
  </si>
  <si>
    <t>20SBS0044</t>
  </si>
  <si>
    <t>20SBS0045</t>
  </si>
  <si>
    <t>20SBS0047</t>
  </si>
  <si>
    <t>20SBS0048</t>
  </si>
  <si>
    <t>20SBS0049</t>
  </si>
  <si>
    <t>20SBS0050</t>
  </si>
  <si>
    <t>20SBS0051</t>
  </si>
  <si>
    <t>20SBS0052</t>
  </si>
  <si>
    <t>20SBS0054</t>
  </si>
  <si>
    <t>20SBS0055</t>
  </si>
  <si>
    <t>20SBS0056</t>
  </si>
  <si>
    <t>20SBS0057</t>
  </si>
  <si>
    <t>20SBS0058</t>
  </si>
  <si>
    <t>20SBS0059</t>
  </si>
  <si>
    <t>20SBS0060</t>
  </si>
  <si>
    <t>20SBS0061</t>
  </si>
  <si>
    <t>20SBS0062</t>
  </si>
  <si>
    <t>20SBS0064</t>
  </si>
  <si>
    <t>20SBS0065</t>
  </si>
  <si>
    <t>20SBS0066</t>
  </si>
  <si>
    <t>20SBS0067</t>
  </si>
  <si>
    <t>20SBS0068</t>
  </si>
  <si>
    <t>20SBS0069</t>
  </si>
  <si>
    <t>20SBS0070</t>
  </si>
  <si>
    <t>20SBS0071</t>
  </si>
  <si>
    <t>20SBS0072</t>
  </si>
  <si>
    <t>20SBS0073</t>
  </si>
  <si>
    <t>20SBS0074</t>
  </si>
  <si>
    <t>20SBS0075</t>
  </si>
  <si>
    <t>20SBS0076</t>
  </si>
  <si>
    <t>20SBS0077</t>
  </si>
  <si>
    <t>20SBS0078</t>
  </si>
  <si>
    <t>20SBS0079</t>
  </si>
  <si>
    <t>20SBS0080</t>
  </si>
  <si>
    <t>20SBS0081</t>
  </si>
  <si>
    <t>20SBS0082</t>
  </si>
  <si>
    <t>20SBS0083</t>
  </si>
  <si>
    <t>20SBS0084</t>
  </si>
  <si>
    <t>20SBS0085</t>
  </si>
  <si>
    <t>20SBS0086</t>
  </si>
  <si>
    <t>20SBS0087</t>
  </si>
  <si>
    <t>20SBS0088</t>
  </si>
  <si>
    <t>20SBS0089</t>
  </si>
  <si>
    <t>20SBS0090</t>
  </si>
  <si>
    <t>20SBS0091</t>
  </si>
  <si>
    <t>20SBS0092</t>
  </si>
  <si>
    <t>20SBS0093</t>
  </si>
  <si>
    <t>20SBS0094</t>
  </si>
  <si>
    <t>20SBS0095</t>
  </si>
  <si>
    <t>20SBS0096</t>
  </si>
  <si>
    <t>20SBS0097</t>
  </si>
  <si>
    <t>20SBS0098</t>
  </si>
  <si>
    <t>20SBS0099</t>
  </si>
  <si>
    <t>20SBS0100</t>
  </si>
  <si>
    <t>20SBS0101</t>
  </si>
  <si>
    <t>20SBS0102</t>
  </si>
  <si>
    <t>20SBS0103</t>
  </si>
  <si>
    <t>20SBS0104</t>
  </si>
  <si>
    <t>20SBS0105</t>
  </si>
  <si>
    <t>20SBS0106</t>
  </si>
  <si>
    <t>20SBS0107</t>
  </si>
  <si>
    <t>20SBS0108</t>
  </si>
  <si>
    <t>20SBS0109</t>
  </si>
  <si>
    <t>20SBS0110</t>
  </si>
  <si>
    <t>20SBS0111</t>
  </si>
  <si>
    <t>20SBS0112</t>
  </si>
  <si>
    <t>20SBS0113</t>
  </si>
  <si>
    <t>20SBS0114</t>
  </si>
  <si>
    <t>20SBS0115</t>
  </si>
  <si>
    <t>20SBS0116</t>
  </si>
  <si>
    <t>20SBS0117</t>
  </si>
  <si>
    <t>20SBS0118</t>
  </si>
  <si>
    <t>20SBS0119</t>
  </si>
  <si>
    <t>20SBS0120</t>
  </si>
  <si>
    <t>20SBS0121</t>
  </si>
  <si>
    <t>20SBS0122</t>
  </si>
  <si>
    <t>20SBS0123</t>
  </si>
  <si>
    <t>20SBS0124</t>
  </si>
  <si>
    <t>20SBS0125</t>
  </si>
  <si>
    <t>20SBS0126</t>
  </si>
  <si>
    <t>20SBS0127</t>
  </si>
  <si>
    <t>20SBS0128</t>
  </si>
  <si>
    <t>20SBS0129</t>
  </si>
  <si>
    <t>20SBS0130</t>
  </si>
  <si>
    <t>20SBS0131</t>
  </si>
  <si>
    <t>20SBS0132</t>
  </si>
  <si>
    <t>20SBS0134</t>
  </si>
  <si>
    <t>20SBS0135</t>
  </si>
  <si>
    <t>20SBS0136</t>
  </si>
  <si>
    <t>20SBS0137</t>
  </si>
  <si>
    <t>20SBS0138</t>
  </si>
  <si>
    <t>20SBS0139</t>
  </si>
  <si>
    <t>20SBS0140</t>
  </si>
  <si>
    <t>20SBS0141</t>
  </si>
  <si>
    <t>20SBS0143</t>
  </si>
  <si>
    <t>20SBS0144</t>
  </si>
  <si>
    <t>20SBS0145</t>
  </si>
  <si>
    <t>20SBS0146</t>
  </si>
  <si>
    <t>20SBS0147</t>
  </si>
  <si>
    <t>20SBS0148</t>
  </si>
  <si>
    <t>20SBS0149</t>
  </si>
  <si>
    <t>20SBS0150</t>
  </si>
  <si>
    <t>20SBS0151</t>
  </si>
  <si>
    <t>20SBS0152</t>
  </si>
  <si>
    <t>20SBS0153</t>
  </si>
  <si>
    <t>20SBS0154</t>
  </si>
  <si>
    <t>20SBS0155</t>
  </si>
  <si>
    <t>20SBS0156</t>
  </si>
  <si>
    <t>20SBS0157</t>
  </si>
  <si>
    <t>20SBS0158</t>
  </si>
  <si>
    <t>20SBS0159</t>
  </si>
  <si>
    <t>20SBS0160</t>
  </si>
  <si>
    <t>20SBS0161</t>
  </si>
  <si>
    <t>20SBS0162</t>
  </si>
  <si>
    <t>20SBS0163</t>
  </si>
  <si>
    <t>20SBS0164</t>
  </si>
  <si>
    <t>20SBS0165</t>
  </si>
  <si>
    <t>20SBS0166</t>
  </si>
  <si>
    <t>20SBS0167</t>
  </si>
  <si>
    <t>20SBS0168</t>
  </si>
  <si>
    <t>20SBS0169</t>
  </si>
  <si>
    <t>20SBS0170</t>
  </si>
  <si>
    <t>20SBS0171</t>
  </si>
  <si>
    <t>20SBS0172</t>
  </si>
  <si>
    <t>20SBS0173</t>
  </si>
  <si>
    <t>20SBS0174</t>
  </si>
  <si>
    <t>20SBS0175</t>
  </si>
  <si>
    <t>20SBS0176</t>
  </si>
  <si>
    <t>20SBS0177</t>
  </si>
  <si>
    <t>20SBS0178</t>
  </si>
  <si>
    <t>20SBS0179</t>
  </si>
  <si>
    <t>20SBS0181</t>
  </si>
  <si>
    <t>20SBS0182</t>
  </si>
  <si>
    <t>20SBS0183</t>
  </si>
  <si>
    <t>20SBS0184</t>
  </si>
  <si>
    <t>20SBS0185</t>
  </si>
  <si>
    <t>20SBS0186</t>
  </si>
  <si>
    <t>20SBS0188</t>
  </si>
  <si>
    <t>20SBS0189</t>
  </si>
  <si>
    <t>20SBS0190</t>
  </si>
  <si>
    <t>20SBS0191</t>
  </si>
  <si>
    <t>20SBS0192</t>
  </si>
  <si>
    <t>20SBS0193</t>
  </si>
  <si>
    <t>20SBS0194</t>
  </si>
  <si>
    <t>20SKW0001</t>
  </si>
  <si>
    <t>20SKW0002</t>
  </si>
  <si>
    <t>20SKW0003</t>
  </si>
  <si>
    <t>20SKW0004</t>
  </si>
  <si>
    <t>20SKW0005</t>
  </si>
  <si>
    <t>20SKW0006</t>
  </si>
  <si>
    <t>20SKW0007</t>
  </si>
  <si>
    <t>20SKW0008</t>
  </si>
  <si>
    <t>20SKW0009</t>
  </si>
  <si>
    <t>20SKW0010</t>
  </si>
  <si>
    <t>20SKW0011</t>
  </si>
  <si>
    <t>20SKW0012</t>
  </si>
  <si>
    <t>20SKW0013</t>
  </si>
  <si>
    <t>20SKW0014</t>
  </si>
  <si>
    <t>20SKW0015</t>
  </si>
  <si>
    <t>20SKW0016</t>
  </si>
  <si>
    <t>20SKW0017</t>
  </si>
  <si>
    <t>20SKW0018</t>
  </si>
  <si>
    <t>20SKW0019</t>
  </si>
  <si>
    <t>20SKW0020</t>
  </si>
  <si>
    <t>20SKW0021</t>
  </si>
  <si>
    <t>20SKW0022</t>
  </si>
  <si>
    <t>20SKW0023</t>
  </si>
  <si>
    <t>20SKW0024</t>
  </si>
  <si>
    <t>20SKW0025</t>
  </si>
  <si>
    <t>20SKW0026</t>
  </si>
  <si>
    <t>20SKW0027</t>
  </si>
  <si>
    <t>20SKW0028</t>
  </si>
  <si>
    <t>20SKW0029</t>
  </si>
  <si>
    <t>20SKW0030</t>
  </si>
  <si>
    <t>20SKW0031</t>
  </si>
  <si>
    <t>20SKW0032</t>
  </si>
  <si>
    <t>20SKW0033</t>
  </si>
  <si>
    <t>20SKW0034</t>
  </si>
  <si>
    <t>20SKW0035</t>
  </si>
  <si>
    <t>20SKW0036</t>
  </si>
  <si>
    <t>20SKW0038</t>
  </si>
  <si>
    <t>20SKW0039</t>
  </si>
  <si>
    <t>20SKW0040</t>
  </si>
  <si>
    <t>20SKW0041</t>
  </si>
  <si>
    <t>20SKW0042</t>
  </si>
  <si>
    <t>20SKW0043</t>
  </si>
  <si>
    <t>20SKW0044</t>
  </si>
  <si>
    <t>20SKW0045</t>
  </si>
  <si>
    <t>20SKW0046</t>
  </si>
  <si>
    <t>20SKW0047</t>
  </si>
  <si>
    <t>20SKW0048</t>
  </si>
  <si>
    <t>20SKW0049</t>
  </si>
  <si>
    <t>20SKW0050</t>
  </si>
  <si>
    <t>20SKW0051</t>
  </si>
  <si>
    <t>20SKW0052</t>
  </si>
  <si>
    <t>20SKW0053</t>
  </si>
  <si>
    <t>20SKW0054</t>
  </si>
  <si>
    <t>20SKW0055</t>
  </si>
  <si>
    <t>20SKW0056</t>
  </si>
  <si>
    <t>20SKW0057</t>
  </si>
  <si>
    <t>20SKW0058</t>
  </si>
  <si>
    <t>20SKW0059</t>
  </si>
  <si>
    <t>20SKW0060</t>
  </si>
  <si>
    <t>20SKW0061</t>
  </si>
  <si>
    <t>20SKW0062</t>
  </si>
  <si>
    <t>20SKW0063</t>
  </si>
  <si>
    <t>20SKW0064</t>
  </si>
  <si>
    <t>20SKW0065</t>
  </si>
  <si>
    <t>20SKW0066</t>
  </si>
  <si>
    <t>20SKW0067</t>
  </si>
  <si>
    <t>20SKW0068</t>
  </si>
  <si>
    <t>20SKW0069</t>
  </si>
  <si>
    <t>20SKW0070</t>
  </si>
  <si>
    <t>20SKW0071</t>
  </si>
  <si>
    <t>22TNR0069</t>
  </si>
  <si>
    <t>22TNR0070</t>
  </si>
  <si>
    <t>(blank)</t>
  </si>
  <si>
    <t>OUTLET SEPTEMBER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</si>
</sst>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85"/>
  <sheetViews>
    <sheetView tabSelected="1" workbookViewId="0">
      <pane xSplit="1" ySplit="1" topLeftCell="L66" activePane="bottomRight" state="frozen"/>
      <selection pane="topRight" activeCell="C1" sqref="C1"/>
      <selection pane="bottomLeft" activeCell="A2" sqref="A2"/>
      <selection pane="bottomRight" activeCell="F2" sqref="F2:U85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21.36328125" bestFit="1" customWidth="1"/>
  </cols>
  <sheetData>
    <row r="1" spans="1:21" x14ac:dyDescent="0.35">
      <c r="A1" s="3" t="s">
        <v>0</v>
      </c>
      <c r="B1" s="3" t="s">
        <v>1</v>
      </c>
      <c r="C1" s="4" t="s">
        <v>178</v>
      </c>
      <c r="D1" s="4" t="s">
        <v>179</v>
      </c>
      <c r="E1" s="3" t="s">
        <v>176</v>
      </c>
      <c r="F1" s="5" t="s">
        <v>185</v>
      </c>
      <c r="G1" s="5" t="s">
        <v>183</v>
      </c>
      <c r="H1" s="5" t="s">
        <v>201</v>
      </c>
      <c r="I1" s="3" t="s">
        <v>187</v>
      </c>
      <c r="J1" s="3" t="s">
        <v>186</v>
      </c>
      <c r="K1" s="5" t="s">
        <v>201</v>
      </c>
      <c r="L1" s="3" t="s">
        <v>188</v>
      </c>
      <c r="M1" s="3" t="s">
        <v>184</v>
      </c>
      <c r="N1" s="5" t="s">
        <v>201</v>
      </c>
      <c r="O1" s="5" t="s">
        <v>189</v>
      </c>
      <c r="P1" s="5" t="s">
        <v>190</v>
      </c>
      <c r="Q1" s="5" t="s">
        <v>201</v>
      </c>
      <c r="R1" s="5" t="s">
        <v>192</v>
      </c>
      <c r="S1" s="5" t="s">
        <v>191</v>
      </c>
      <c r="T1" s="5" t="s">
        <v>201</v>
      </c>
      <c r="U1" s="6" t="s">
        <v>542</v>
      </c>
    </row>
    <row r="2" spans="1:21" x14ac:dyDescent="0.35">
      <c r="A2" t="s">
        <v>117</v>
      </c>
      <c r="B2" t="s">
        <v>118</v>
      </c>
      <c r="C2" t="s">
        <v>22</v>
      </c>
      <c r="D2" t="s">
        <v>69</v>
      </c>
      <c r="E2" t="s">
        <v>180</v>
      </c>
      <c r="F2" s="1">
        <f>VLOOKUP(A:A,MASTER!A:F,6,0)</f>
        <v>19114840.554642353</v>
      </c>
      <c r="G2" s="1">
        <f>VLOOKUP(A:A,MASTER!A:K,11,0)</f>
        <v>18366598.161035072</v>
      </c>
      <c r="H2" s="12">
        <f>IFERROR(G2/F2-1,0)</f>
        <v>-3.9144579389418843E-2</v>
      </c>
      <c r="I2" s="2">
        <f>VLOOKUP(A:A,MASTER!A:E,5,0)</f>
        <v>361</v>
      </c>
      <c r="J2" s="2">
        <f>VLOOKUP(A:A,MASTER!A:J,10,0)</f>
        <v>327</v>
      </c>
      <c r="K2" s="12">
        <f>IFERROR(J2/I2-1,0)</f>
        <v>-9.4182825484764532E-2</v>
      </c>
      <c r="L2" s="2">
        <f>VLOOKUP(A:A,MASTER!A:D,4,0)</f>
        <v>2</v>
      </c>
      <c r="M2" s="2">
        <f>VLOOKUP(A:A,MASTER!A:I,9,0)</f>
        <v>2</v>
      </c>
      <c r="N2" s="12">
        <f>IFERROR(M2/L2-1,0)</f>
        <v>0</v>
      </c>
      <c r="O2" s="1">
        <f>VLOOKUP(A:A,MASTER!A:C,3,0)</f>
        <v>4</v>
      </c>
      <c r="P2" s="1">
        <f>VLOOKUP(A:A,MASTER!A:H,8,0)</f>
        <v>2</v>
      </c>
      <c r="Q2" s="12">
        <f>IFERROR(P2/O2-1,0)</f>
        <v>-0.5</v>
      </c>
      <c r="R2" s="1">
        <f>VLOOKUP(A:A,MASTER!A:B,2,0)</f>
        <v>428</v>
      </c>
      <c r="S2">
        <f>VLOOKUP(A:A,MASTER!A:G,7,0)</f>
        <v>378</v>
      </c>
      <c r="T2" s="12">
        <f>IFERROR(S2/R2-1,0)</f>
        <v>-0.11682242990654201</v>
      </c>
      <c r="U2">
        <v>3</v>
      </c>
    </row>
    <row r="3" spans="1:21" x14ac:dyDescent="0.35">
      <c r="A3" t="s">
        <v>127</v>
      </c>
      <c r="B3" t="s">
        <v>128</v>
      </c>
      <c r="C3" t="s">
        <v>22</v>
      </c>
      <c r="D3" t="s">
        <v>69</v>
      </c>
      <c r="E3" t="s">
        <v>181</v>
      </c>
      <c r="F3" s="1">
        <f>VLOOKUP(A:A,MASTER!A:F,6,0)</f>
        <v>22039655.351129446</v>
      </c>
      <c r="G3" s="1">
        <f>VLOOKUP(A:A,MASTER!A:K,11,0)</f>
        <v>19994677.62088339</v>
      </c>
      <c r="H3" s="12">
        <f t="shared" ref="H3:H66" si="0">IFERROR(G3/F3-1,0)</f>
        <v>-9.2786284434400623E-2</v>
      </c>
      <c r="I3" s="2">
        <f>VLOOKUP(A:A,MASTER!A:E,5,0)</f>
        <v>464</v>
      </c>
      <c r="J3" s="2">
        <f>VLOOKUP(A:A,MASTER!A:J,10,0)</f>
        <v>455</v>
      </c>
      <c r="K3" s="12">
        <f t="shared" ref="K3:K66" si="1">IFERROR(J3/I3-1,0)</f>
        <v>-1.93965517241379E-2</v>
      </c>
      <c r="L3" s="2">
        <f>VLOOKUP(A:A,MASTER!A:D,4,0)</f>
        <v>2</v>
      </c>
      <c r="M3" s="2">
        <f>VLOOKUP(A:A,MASTER!A:I,9,0)</f>
        <v>3</v>
      </c>
      <c r="N3" s="12">
        <f t="shared" ref="N3:N66" si="2">IFERROR(M3/L3-1,0)</f>
        <v>0.5</v>
      </c>
      <c r="O3" s="1">
        <f>VLOOKUP(A:A,MASTER!A:C,3,0)</f>
        <v>6</v>
      </c>
      <c r="P3" s="1">
        <f>VLOOKUP(A:A,MASTER!A:H,8,0)</f>
        <v>8</v>
      </c>
      <c r="Q3" s="12">
        <f t="shared" ref="Q3:Q66" si="3">IFERROR(P3/O3-1,0)</f>
        <v>0.33333333333333326</v>
      </c>
      <c r="R3" s="1">
        <f>VLOOKUP(A:A,MASTER!A:B,2,0)</f>
        <v>590</v>
      </c>
      <c r="S3">
        <f>VLOOKUP(A:A,MASTER!A:G,7,0)</f>
        <v>514</v>
      </c>
      <c r="T3" s="12">
        <f t="shared" ref="T3:T66" si="4">IFERROR(S3/R3-1,0)</f>
        <v>-0.12881355932203387</v>
      </c>
      <c r="U3">
        <v>2</v>
      </c>
    </row>
    <row r="4" spans="1:21" x14ac:dyDescent="0.35">
      <c r="A4" t="s">
        <v>119</v>
      </c>
      <c r="B4" t="s">
        <v>120</v>
      </c>
      <c r="C4" t="s">
        <v>22</v>
      </c>
      <c r="D4" t="s">
        <v>69</v>
      </c>
      <c r="E4" t="s">
        <v>182</v>
      </c>
      <c r="F4" s="1">
        <f>VLOOKUP(A:A,MASTER!A:F,6,0)</f>
        <v>33227115.186426222</v>
      </c>
      <c r="G4" s="1">
        <f>VLOOKUP(A:A,MASTER!A:K,11,0)</f>
        <v>22665389.350984376</v>
      </c>
      <c r="H4" s="12">
        <f t="shared" si="0"/>
        <v>-0.31786466493355015</v>
      </c>
      <c r="I4" s="2">
        <f>VLOOKUP(A:A,MASTER!A:E,5,0)</f>
        <v>784</v>
      </c>
      <c r="J4" s="2">
        <f>VLOOKUP(A:A,MASTER!A:J,10,0)</f>
        <v>679</v>
      </c>
      <c r="K4" s="12">
        <f t="shared" si="1"/>
        <v>-0.1339285714285714</v>
      </c>
      <c r="L4" s="2">
        <f>VLOOKUP(A:A,MASTER!A:D,4,0)</f>
        <v>1</v>
      </c>
      <c r="M4" s="2">
        <f>VLOOKUP(A:A,MASTER!A:I,9,0)</f>
        <v>1</v>
      </c>
      <c r="N4" s="12">
        <f t="shared" si="2"/>
        <v>0</v>
      </c>
      <c r="O4" s="1">
        <f>VLOOKUP(A:A,MASTER!A:C,3,0)</f>
        <v>13</v>
      </c>
      <c r="P4" s="1">
        <f>VLOOKUP(A:A,MASTER!A:H,8,0)</f>
        <v>10</v>
      </c>
      <c r="Q4" s="12">
        <f t="shared" si="3"/>
        <v>-0.23076923076923073</v>
      </c>
      <c r="R4" s="1">
        <f>VLOOKUP(A:A,MASTER!A:B,2,0)</f>
        <v>782</v>
      </c>
      <c r="S4">
        <f>VLOOKUP(A:A,MASTER!A:G,7,0)</f>
        <v>544</v>
      </c>
      <c r="T4" s="12">
        <f t="shared" si="4"/>
        <v>-0.30434782608695654</v>
      </c>
      <c r="U4">
        <v>4</v>
      </c>
    </row>
    <row r="5" spans="1:21" x14ac:dyDescent="0.35">
      <c r="A5" t="s">
        <v>121</v>
      </c>
      <c r="B5" t="s">
        <v>122</v>
      </c>
      <c r="C5" t="s">
        <v>22</v>
      </c>
      <c r="D5" t="s">
        <v>69</v>
      </c>
      <c r="E5" t="s">
        <v>182</v>
      </c>
      <c r="F5" s="1">
        <f>VLOOKUP(A:A,MASTER!A:F,6,0)</f>
        <v>50829682.066279009</v>
      </c>
      <c r="G5" s="1">
        <f>VLOOKUP(A:A,MASTER!A:K,11,0)</f>
        <v>50895275.837553114</v>
      </c>
      <c r="H5" s="12">
        <f t="shared" si="0"/>
        <v>1.290461962531575E-3</v>
      </c>
      <c r="I5" s="2">
        <f>VLOOKUP(A:A,MASTER!A:E,5,0)</f>
        <v>1192</v>
      </c>
      <c r="J5" s="2">
        <f>VLOOKUP(A:A,MASTER!A:J,10,0)</f>
        <v>972</v>
      </c>
      <c r="K5" s="12">
        <f t="shared" si="1"/>
        <v>-0.18456375838926176</v>
      </c>
      <c r="L5" s="2">
        <f>VLOOKUP(A:A,MASTER!A:D,4,0)</f>
        <v>3</v>
      </c>
      <c r="M5" s="2">
        <f>VLOOKUP(A:A,MASTER!A:I,9,0)</f>
        <v>2</v>
      </c>
      <c r="N5" s="12">
        <f t="shared" si="2"/>
        <v>-0.33333333333333337</v>
      </c>
      <c r="O5" s="1">
        <f>VLOOKUP(A:A,MASTER!A:C,3,0)</f>
        <v>13</v>
      </c>
      <c r="P5" s="1">
        <f>VLOOKUP(A:A,MASTER!A:H,8,0)</f>
        <v>15</v>
      </c>
      <c r="Q5" s="12">
        <f t="shared" si="3"/>
        <v>0.15384615384615374</v>
      </c>
      <c r="R5" s="1">
        <f>VLOOKUP(A:A,MASTER!A:B,2,0)</f>
        <v>1263</v>
      </c>
      <c r="S5">
        <f>VLOOKUP(A:A,MASTER!A:G,7,0)</f>
        <v>1051</v>
      </c>
      <c r="T5" s="12">
        <f t="shared" si="4"/>
        <v>-0.16785431512272364</v>
      </c>
      <c r="U5">
        <v>1</v>
      </c>
    </row>
    <row r="6" spans="1:21" x14ac:dyDescent="0.35">
      <c r="A6" t="s">
        <v>123</v>
      </c>
      <c r="B6" t="s">
        <v>124</v>
      </c>
      <c r="C6" t="s">
        <v>22</v>
      </c>
      <c r="D6" t="s">
        <v>69</v>
      </c>
      <c r="E6" t="s">
        <v>182</v>
      </c>
      <c r="F6" s="1">
        <f>VLOOKUP(A:A,MASTER!A:F,6,0)</f>
        <v>21679829.02124764</v>
      </c>
      <c r="G6" s="1">
        <f>VLOOKUP(A:A,MASTER!A:K,11,0)</f>
        <v>22772569.89061274</v>
      </c>
      <c r="H6" s="12">
        <f t="shared" si="0"/>
        <v>5.0403574137699358E-2</v>
      </c>
      <c r="I6" s="2">
        <f>VLOOKUP(A:A,MASTER!A:E,5,0)</f>
        <v>375</v>
      </c>
      <c r="J6" s="2">
        <f>VLOOKUP(A:A,MASTER!A:J,10,0)</f>
        <v>363</v>
      </c>
      <c r="K6" s="12">
        <f t="shared" si="1"/>
        <v>-3.2000000000000028E-2</v>
      </c>
      <c r="L6" s="2">
        <f>VLOOKUP(A:A,MASTER!A:D,4,0)</f>
        <v>1</v>
      </c>
      <c r="M6" s="2">
        <f>VLOOKUP(A:A,MASTER!A:I,9,0)</f>
        <v>1</v>
      </c>
      <c r="N6" s="12">
        <f t="shared" si="2"/>
        <v>0</v>
      </c>
      <c r="O6" s="1">
        <f>VLOOKUP(A:A,MASTER!A:C,3,0)</f>
        <v>1</v>
      </c>
      <c r="P6" s="1">
        <f>VLOOKUP(A:A,MASTER!A:H,8,0)</f>
        <v>5</v>
      </c>
      <c r="Q6" s="12">
        <f t="shared" si="3"/>
        <v>4</v>
      </c>
      <c r="R6" s="1">
        <f>VLOOKUP(A:A,MASTER!A:B,2,0)</f>
        <v>388</v>
      </c>
      <c r="S6">
        <f>VLOOKUP(A:A,MASTER!A:G,7,0)</f>
        <v>409</v>
      </c>
      <c r="T6" s="12">
        <f t="shared" si="4"/>
        <v>5.4123711340206215E-2</v>
      </c>
      <c r="U6">
        <v>3</v>
      </c>
    </row>
    <row r="7" spans="1:21" x14ac:dyDescent="0.35">
      <c r="A7" t="s">
        <v>125</v>
      </c>
      <c r="B7" t="s">
        <v>126</v>
      </c>
      <c r="C7" t="s">
        <v>22</v>
      </c>
      <c r="D7" t="s">
        <v>69</v>
      </c>
      <c r="E7" t="s">
        <v>182</v>
      </c>
      <c r="F7" s="1">
        <f>VLOOKUP(A:A,MASTER!A:F,6,0)</f>
        <v>18108413.384746555</v>
      </c>
      <c r="G7" s="1">
        <f>VLOOKUP(A:A,MASTER!A:K,11,0)</f>
        <v>15312089.025388112</v>
      </c>
      <c r="H7" s="12">
        <f t="shared" si="0"/>
        <v>-0.15442127921123672</v>
      </c>
      <c r="I7" s="2">
        <f>VLOOKUP(A:A,MASTER!A:E,5,0)</f>
        <v>272</v>
      </c>
      <c r="J7" s="2">
        <f>VLOOKUP(A:A,MASTER!A:J,10,0)</f>
        <v>242</v>
      </c>
      <c r="K7" s="12">
        <f t="shared" si="1"/>
        <v>-0.11029411764705888</v>
      </c>
      <c r="L7" s="2">
        <f>VLOOKUP(A:A,MASTER!A:D,4,0)</f>
        <v>2</v>
      </c>
      <c r="M7" s="2">
        <f>VLOOKUP(A:A,MASTER!A:I,9,0)</f>
        <v>2</v>
      </c>
      <c r="N7" s="12">
        <f t="shared" si="2"/>
        <v>0</v>
      </c>
      <c r="O7" s="1">
        <f>VLOOKUP(A:A,MASTER!A:C,3,0)</f>
        <v>5</v>
      </c>
      <c r="P7" s="1">
        <f>VLOOKUP(A:A,MASTER!A:H,8,0)</f>
        <v>4</v>
      </c>
      <c r="Q7" s="12">
        <f t="shared" si="3"/>
        <v>-0.19999999999999996</v>
      </c>
      <c r="R7" s="1">
        <f>VLOOKUP(A:A,MASTER!A:B,2,0)</f>
        <v>391</v>
      </c>
      <c r="S7">
        <f>VLOOKUP(A:A,MASTER!A:G,7,0)</f>
        <v>259</v>
      </c>
      <c r="T7" s="12">
        <f t="shared" si="4"/>
        <v>-0.33759590792838878</v>
      </c>
      <c r="U7">
        <v>1</v>
      </c>
    </row>
    <row r="8" spans="1:21" x14ac:dyDescent="0.35">
      <c r="A8" t="s">
        <v>131</v>
      </c>
      <c r="B8" t="s">
        <v>132</v>
      </c>
      <c r="C8" t="s">
        <v>22</v>
      </c>
      <c r="D8" t="s">
        <v>69</v>
      </c>
      <c r="E8" t="s">
        <v>182</v>
      </c>
      <c r="F8" s="1">
        <f>VLOOKUP(A:A,MASTER!A:F,6,0)</f>
        <v>23583081.062867168</v>
      </c>
      <c r="G8" s="1">
        <f>VLOOKUP(A:A,MASTER!A:K,11,0)</f>
        <v>20921576.968727317</v>
      </c>
      <c r="H8" s="12">
        <f t="shared" si="0"/>
        <v>-0.11285650450188767</v>
      </c>
      <c r="I8" s="2">
        <f>VLOOKUP(A:A,MASTER!A:E,5,0)</f>
        <v>450</v>
      </c>
      <c r="J8" s="2">
        <f>VLOOKUP(A:A,MASTER!A:J,10,0)</f>
        <v>447</v>
      </c>
      <c r="K8" s="12">
        <f t="shared" si="1"/>
        <v>-6.6666666666667096E-3</v>
      </c>
      <c r="L8" s="2">
        <f>VLOOKUP(A:A,MASTER!A:D,4,0)</f>
        <v>2</v>
      </c>
      <c r="M8" s="2">
        <f>VLOOKUP(A:A,MASTER!A:I,9,0)</f>
        <v>1</v>
      </c>
      <c r="N8" s="12">
        <f t="shared" si="2"/>
        <v>-0.5</v>
      </c>
      <c r="O8" s="1">
        <f>VLOOKUP(A:A,MASTER!A:C,3,0)</f>
        <v>3</v>
      </c>
      <c r="P8" s="1">
        <f>VLOOKUP(A:A,MASTER!A:H,8,0)</f>
        <v>15</v>
      </c>
      <c r="Q8" s="12">
        <f t="shared" si="3"/>
        <v>4</v>
      </c>
      <c r="R8" s="1">
        <f>VLOOKUP(A:A,MASTER!A:B,2,0)</f>
        <v>629</v>
      </c>
      <c r="S8">
        <f>VLOOKUP(A:A,MASTER!A:G,7,0)</f>
        <v>544</v>
      </c>
      <c r="T8" s="12">
        <f t="shared" si="4"/>
        <v>-0.13513513513513509</v>
      </c>
      <c r="U8">
        <v>9</v>
      </c>
    </row>
    <row r="9" spans="1:21" x14ac:dyDescent="0.35">
      <c r="A9" t="s">
        <v>133</v>
      </c>
      <c r="B9" t="s">
        <v>134</v>
      </c>
      <c r="C9" t="s">
        <v>22</v>
      </c>
      <c r="D9" t="s">
        <v>69</v>
      </c>
      <c r="E9" t="s">
        <v>182</v>
      </c>
      <c r="F9" s="1">
        <f>VLOOKUP(A:A,MASTER!A:F,6,0)</f>
        <v>9284591.6869236995</v>
      </c>
      <c r="G9" s="1">
        <f>VLOOKUP(A:A,MASTER!A:K,11,0)</f>
        <v>9376829.6869328842</v>
      </c>
      <c r="H9" s="12">
        <f t="shared" si="0"/>
        <v>9.9345241147321683E-3</v>
      </c>
      <c r="I9" s="2">
        <f>VLOOKUP(A:A,MASTER!A:E,5,0)</f>
        <v>132</v>
      </c>
      <c r="J9" s="2">
        <f>VLOOKUP(A:A,MASTER!A:J,10,0)</f>
        <v>146</v>
      </c>
      <c r="K9" s="12">
        <f t="shared" si="1"/>
        <v>0.10606060606060597</v>
      </c>
      <c r="L9" s="2">
        <f>VLOOKUP(A:A,MASTER!A:D,4,0)</f>
        <v>1</v>
      </c>
      <c r="M9" s="2">
        <f>VLOOKUP(A:A,MASTER!A:I,9,0)</f>
        <v>1</v>
      </c>
      <c r="N9" s="12">
        <f t="shared" si="2"/>
        <v>0</v>
      </c>
      <c r="O9" s="1">
        <f>VLOOKUP(A:A,MASTER!A:C,3,0)</f>
        <v>0</v>
      </c>
      <c r="P9" s="1">
        <f>VLOOKUP(A:A,MASTER!A:H,8,0)</f>
        <v>1</v>
      </c>
      <c r="Q9" s="12">
        <f t="shared" si="3"/>
        <v>0</v>
      </c>
      <c r="R9" s="1">
        <f>VLOOKUP(A:A,MASTER!A:B,2,0)</f>
        <v>188</v>
      </c>
      <c r="S9">
        <f>VLOOKUP(A:A,MASTER!A:G,7,0)</f>
        <v>150</v>
      </c>
      <c r="T9" s="12">
        <f t="shared" si="4"/>
        <v>-0.2021276595744681</v>
      </c>
      <c r="U9">
        <v>1</v>
      </c>
    </row>
    <row r="10" spans="1:21" x14ac:dyDescent="0.35">
      <c r="A10" t="s">
        <v>141</v>
      </c>
      <c r="B10" t="s">
        <v>142</v>
      </c>
      <c r="C10" t="s">
        <v>22</v>
      </c>
      <c r="D10" t="s">
        <v>69</v>
      </c>
      <c r="E10" t="s">
        <v>180</v>
      </c>
      <c r="F10" s="1">
        <f>VLOOKUP(A:A,MASTER!A:F,6,0)</f>
        <v>6574711.9860659074</v>
      </c>
      <c r="G10" s="1">
        <f>VLOOKUP(A:A,MASTER!A:K,11,0)</f>
        <v>9695636.34665538</v>
      </c>
      <c r="H10" s="12">
        <f t="shared" si="0"/>
        <v>0.47468609533068418</v>
      </c>
      <c r="I10" s="2">
        <f>VLOOKUP(A:A,MASTER!A:E,5,0)</f>
        <v>184</v>
      </c>
      <c r="J10" s="2">
        <f>VLOOKUP(A:A,MASTER!A:J,10,0)</f>
        <v>164</v>
      </c>
      <c r="K10" s="12">
        <f t="shared" si="1"/>
        <v>-0.10869565217391308</v>
      </c>
      <c r="L10" s="2">
        <f>VLOOKUP(A:A,MASTER!A:D,4,0)</f>
        <v>1</v>
      </c>
      <c r="M10" s="2">
        <f>VLOOKUP(A:A,MASTER!A:I,9,0)</f>
        <v>1</v>
      </c>
      <c r="N10" s="12">
        <f t="shared" si="2"/>
        <v>0</v>
      </c>
      <c r="O10" s="1">
        <f>VLOOKUP(A:A,MASTER!A:C,3,0)</f>
        <v>1</v>
      </c>
      <c r="P10" s="1">
        <f>VLOOKUP(A:A,MASTER!A:H,8,0)</f>
        <v>6</v>
      </c>
      <c r="Q10" s="12">
        <f t="shared" si="3"/>
        <v>5</v>
      </c>
      <c r="R10" s="1">
        <f>VLOOKUP(A:A,MASTER!A:B,2,0)</f>
        <v>189</v>
      </c>
      <c r="S10">
        <f>VLOOKUP(A:A,MASTER!A:G,7,0)</f>
        <v>225</v>
      </c>
      <c r="T10" s="12">
        <f t="shared" si="4"/>
        <v>0.19047619047619047</v>
      </c>
      <c r="U10">
        <v>0</v>
      </c>
    </row>
    <row r="11" spans="1:21" x14ac:dyDescent="0.35">
      <c r="A11" t="s">
        <v>135</v>
      </c>
      <c r="B11" t="s">
        <v>136</v>
      </c>
      <c r="C11" t="s">
        <v>22</v>
      </c>
      <c r="D11" t="s">
        <v>69</v>
      </c>
      <c r="E11" t="s">
        <v>182</v>
      </c>
      <c r="F11" s="1">
        <f>VLOOKUP(A:A,MASTER!A:F,6,0)</f>
        <v>18685863.95276016</v>
      </c>
      <c r="G11" s="1">
        <f>VLOOKUP(A:A,MASTER!A:K,11,0)</f>
        <v>17131087.092062686</v>
      </c>
      <c r="H11" s="12">
        <f t="shared" si="0"/>
        <v>-8.3206046272632284E-2</v>
      </c>
      <c r="I11" s="2">
        <f>VLOOKUP(A:A,MASTER!A:E,5,0)</f>
        <v>364</v>
      </c>
      <c r="J11" s="2">
        <f>VLOOKUP(A:A,MASTER!A:J,10,0)</f>
        <v>380</v>
      </c>
      <c r="K11" s="12">
        <f t="shared" si="1"/>
        <v>4.3956043956044022E-2</v>
      </c>
      <c r="L11" s="2">
        <f>VLOOKUP(A:A,MASTER!A:D,4,0)</f>
        <v>1</v>
      </c>
      <c r="M11" s="2">
        <f>VLOOKUP(A:A,MASTER!A:I,9,0)</f>
        <v>1</v>
      </c>
      <c r="N11" s="12">
        <f t="shared" si="2"/>
        <v>0</v>
      </c>
      <c r="O11" s="1">
        <f>VLOOKUP(A:A,MASTER!A:C,3,0)</f>
        <v>5</v>
      </c>
      <c r="P11" s="1">
        <f>VLOOKUP(A:A,MASTER!A:H,8,0)</f>
        <v>11</v>
      </c>
      <c r="Q11" s="12">
        <f t="shared" si="3"/>
        <v>1.2000000000000002</v>
      </c>
      <c r="R11" s="1">
        <f>VLOOKUP(A:A,MASTER!A:B,2,0)</f>
        <v>380</v>
      </c>
      <c r="S11">
        <f>VLOOKUP(A:A,MASTER!A:G,7,0)</f>
        <v>476</v>
      </c>
      <c r="T11" s="12">
        <f t="shared" si="4"/>
        <v>0.25263157894736832</v>
      </c>
      <c r="U11">
        <v>4</v>
      </c>
    </row>
    <row r="12" spans="1:21" x14ac:dyDescent="0.35">
      <c r="A12" t="s">
        <v>143</v>
      </c>
      <c r="B12" t="s">
        <v>144</v>
      </c>
      <c r="C12" t="s">
        <v>22</v>
      </c>
      <c r="D12" t="s">
        <v>69</v>
      </c>
      <c r="E12" t="s">
        <v>180</v>
      </c>
      <c r="F12" s="1">
        <f>VLOOKUP(A:A,MASTER!A:F,6,0)</f>
        <v>9968476.8299418055</v>
      </c>
      <c r="G12" s="1">
        <f>VLOOKUP(A:A,MASTER!A:K,11,0)</f>
        <v>8693612.8618377987</v>
      </c>
      <c r="H12" s="12">
        <f t="shared" si="0"/>
        <v>-0.12788954519859674</v>
      </c>
      <c r="I12" s="2">
        <f>VLOOKUP(A:A,MASTER!A:E,5,0)</f>
        <v>260</v>
      </c>
      <c r="J12" s="2">
        <f>VLOOKUP(A:A,MASTER!A:J,10,0)</f>
        <v>215</v>
      </c>
      <c r="K12" s="12">
        <f t="shared" si="1"/>
        <v>-0.17307692307692313</v>
      </c>
      <c r="L12" s="2">
        <f>VLOOKUP(A:A,MASTER!A:D,4,0)</f>
        <v>2</v>
      </c>
      <c r="M12" s="2">
        <f>VLOOKUP(A:A,MASTER!A:I,9,0)</f>
        <v>2</v>
      </c>
      <c r="N12" s="12">
        <f t="shared" si="2"/>
        <v>0</v>
      </c>
      <c r="O12" s="1">
        <f>VLOOKUP(A:A,MASTER!A:C,3,0)</f>
        <v>0</v>
      </c>
      <c r="P12" s="1">
        <f>VLOOKUP(A:A,MASTER!A:H,8,0)</f>
        <v>1</v>
      </c>
      <c r="Q12" s="12">
        <f t="shared" si="3"/>
        <v>0</v>
      </c>
      <c r="R12" s="1">
        <f>VLOOKUP(A:A,MASTER!A:B,2,0)</f>
        <v>245</v>
      </c>
      <c r="S12">
        <f>VLOOKUP(A:A,MASTER!A:G,7,0)</f>
        <v>230</v>
      </c>
      <c r="T12" s="12">
        <f t="shared" si="4"/>
        <v>-6.1224489795918324E-2</v>
      </c>
      <c r="U12">
        <v>2</v>
      </c>
    </row>
    <row r="13" spans="1:21" x14ac:dyDescent="0.35">
      <c r="A13" t="s">
        <v>145</v>
      </c>
      <c r="B13" t="s">
        <v>146</v>
      </c>
      <c r="C13" t="s">
        <v>22</v>
      </c>
      <c r="D13" t="s">
        <v>69</v>
      </c>
      <c r="E13" t="s">
        <v>180</v>
      </c>
      <c r="F13" s="1">
        <f>VLOOKUP(A:A,MASTER!A:F,6,0)</f>
        <v>10419909.194346825</v>
      </c>
      <c r="G13" s="1">
        <f>VLOOKUP(A:A,MASTER!A:K,11,0)</f>
        <v>11464983.106837235</v>
      </c>
      <c r="H13" s="12">
        <f t="shared" si="0"/>
        <v>0.10029587523252137</v>
      </c>
      <c r="I13" s="2">
        <f>VLOOKUP(A:A,MASTER!A:E,5,0)</f>
        <v>223</v>
      </c>
      <c r="J13" s="2">
        <f>VLOOKUP(A:A,MASTER!A:J,10,0)</f>
        <v>228</v>
      </c>
      <c r="K13" s="12">
        <f t="shared" si="1"/>
        <v>2.2421524663677195E-2</v>
      </c>
      <c r="L13" s="2">
        <f>VLOOKUP(A:A,MASTER!A:D,4,0)</f>
        <v>1</v>
      </c>
      <c r="M13" s="2">
        <f>VLOOKUP(A:A,MASTER!A:I,9,0)</f>
        <v>0</v>
      </c>
      <c r="N13" s="12">
        <f t="shared" si="2"/>
        <v>-1</v>
      </c>
      <c r="O13" s="1">
        <f>VLOOKUP(A:A,MASTER!A:C,3,0)</f>
        <v>3</v>
      </c>
      <c r="P13" s="1">
        <f>VLOOKUP(A:A,MASTER!A:H,8,0)</f>
        <v>4</v>
      </c>
      <c r="Q13" s="12">
        <f t="shared" si="3"/>
        <v>0.33333333333333326</v>
      </c>
      <c r="R13" s="1">
        <f>VLOOKUP(A:A,MASTER!A:B,2,0)</f>
        <v>251</v>
      </c>
      <c r="S13">
        <f>VLOOKUP(A:A,MASTER!A:G,7,0)</f>
        <v>303</v>
      </c>
      <c r="T13" s="12">
        <f t="shared" si="4"/>
        <v>0.20717131474103589</v>
      </c>
      <c r="U13">
        <v>5</v>
      </c>
    </row>
    <row r="14" spans="1:21" x14ac:dyDescent="0.35">
      <c r="A14" t="s">
        <v>20</v>
      </c>
      <c r="B14" t="s">
        <v>21</v>
      </c>
      <c r="C14" t="s">
        <v>22</v>
      </c>
      <c r="D14" t="s">
        <v>69</v>
      </c>
      <c r="E14" t="s">
        <v>182</v>
      </c>
      <c r="F14" s="1">
        <f>VLOOKUP(A:A,MASTER!A:F,6,0)</f>
        <v>46787545.530312181</v>
      </c>
      <c r="G14" s="1">
        <f>VLOOKUP(A:A,MASTER!A:K,11,0)</f>
        <v>54253797.555169307</v>
      </c>
      <c r="H14" s="12">
        <f t="shared" si="0"/>
        <v>0.15957776669477086</v>
      </c>
      <c r="I14" s="2">
        <f>VLOOKUP(A:A,MASTER!A:E,5,0)</f>
        <v>1207</v>
      </c>
      <c r="J14" s="2">
        <f>VLOOKUP(A:A,MASTER!A:J,10,0)</f>
        <v>1334</v>
      </c>
      <c r="K14" s="12">
        <f t="shared" si="1"/>
        <v>0.10521955260977633</v>
      </c>
      <c r="L14" s="2">
        <f>VLOOKUP(A:A,MASTER!A:D,4,0)</f>
        <v>4</v>
      </c>
      <c r="M14" s="2">
        <f>VLOOKUP(A:A,MASTER!A:I,9,0)</f>
        <v>5</v>
      </c>
      <c r="N14" s="12">
        <f t="shared" si="2"/>
        <v>0.25</v>
      </c>
      <c r="O14" s="1">
        <f>VLOOKUP(A:A,MASTER!A:C,3,0)</f>
        <v>7</v>
      </c>
      <c r="P14" s="1">
        <f>VLOOKUP(A:A,MASTER!A:H,8,0)</f>
        <v>15</v>
      </c>
      <c r="Q14" s="12">
        <f t="shared" si="3"/>
        <v>1.1428571428571428</v>
      </c>
      <c r="R14" s="1">
        <f>VLOOKUP(A:A,MASTER!A:B,2,0)</f>
        <v>1308</v>
      </c>
      <c r="S14">
        <f>VLOOKUP(A:A,MASTER!A:G,7,0)</f>
        <v>1440</v>
      </c>
      <c r="T14" s="12">
        <f t="shared" si="4"/>
        <v>0.10091743119266061</v>
      </c>
      <c r="U14">
        <v>3</v>
      </c>
    </row>
    <row r="15" spans="1:21" x14ac:dyDescent="0.35">
      <c r="A15" t="s">
        <v>45</v>
      </c>
      <c r="B15" t="s">
        <v>46</v>
      </c>
      <c r="C15" t="s">
        <v>22</v>
      </c>
      <c r="D15" t="s">
        <v>23</v>
      </c>
      <c r="E15" t="s">
        <v>182</v>
      </c>
      <c r="F15" s="1">
        <f>VLOOKUP(A:A,MASTER!A:F,6,0)</f>
        <v>73651750.146338537</v>
      </c>
      <c r="G15" s="1">
        <f>VLOOKUP(A:A,MASTER!A:K,11,0)</f>
        <v>66720839.953496024</v>
      </c>
      <c r="H15" s="12">
        <f t="shared" si="0"/>
        <v>-9.410380851875888E-2</v>
      </c>
      <c r="I15" s="2">
        <f>VLOOKUP(A:A,MASTER!A:E,5,0)</f>
        <v>943</v>
      </c>
      <c r="J15" s="2">
        <f>VLOOKUP(A:A,MASTER!A:J,10,0)</f>
        <v>819</v>
      </c>
      <c r="K15" s="12">
        <f t="shared" si="1"/>
        <v>-0.13149522799575819</v>
      </c>
      <c r="L15" s="2">
        <f>VLOOKUP(A:A,MASTER!A:D,4,0)</f>
        <v>3</v>
      </c>
      <c r="M15" s="2">
        <f>VLOOKUP(A:A,MASTER!A:I,9,0)</f>
        <v>3</v>
      </c>
      <c r="N15" s="12">
        <f t="shared" si="2"/>
        <v>0</v>
      </c>
      <c r="O15" s="1">
        <f>VLOOKUP(A:A,MASTER!A:C,3,0)</f>
        <v>5</v>
      </c>
      <c r="P15" s="1">
        <f>VLOOKUP(A:A,MASTER!A:H,8,0)</f>
        <v>1</v>
      </c>
      <c r="Q15" s="12">
        <f t="shared" si="3"/>
        <v>-0.8</v>
      </c>
      <c r="R15" s="1">
        <f>VLOOKUP(A:A,MASTER!A:B,2,0)</f>
        <v>1214</v>
      </c>
      <c r="S15">
        <f>VLOOKUP(A:A,MASTER!A:G,7,0)</f>
        <v>1030</v>
      </c>
      <c r="T15" s="12">
        <f t="shared" si="4"/>
        <v>-0.15156507413509057</v>
      </c>
      <c r="U15">
        <v>3</v>
      </c>
    </row>
    <row r="16" spans="1:21" x14ac:dyDescent="0.35">
      <c r="A16" t="s">
        <v>47</v>
      </c>
      <c r="B16" t="s">
        <v>48</v>
      </c>
      <c r="C16" t="s">
        <v>22</v>
      </c>
      <c r="D16" t="s">
        <v>23</v>
      </c>
      <c r="E16" t="s">
        <v>182</v>
      </c>
      <c r="F16" s="1">
        <f>VLOOKUP(A:A,MASTER!A:F,6,0)</f>
        <v>38772927.545329474</v>
      </c>
      <c r="G16" s="1">
        <f>VLOOKUP(A:A,MASTER!A:K,11,0)</f>
        <v>38614902.191219553</v>
      </c>
      <c r="H16" s="12">
        <f t="shared" si="0"/>
        <v>-4.0756621724055142E-3</v>
      </c>
      <c r="I16" s="2">
        <f>VLOOKUP(A:A,MASTER!A:E,5,0)</f>
        <v>968</v>
      </c>
      <c r="J16" s="2">
        <f>VLOOKUP(A:A,MASTER!A:J,10,0)</f>
        <v>945</v>
      </c>
      <c r="K16" s="12">
        <f t="shared" si="1"/>
        <v>-2.3760330578512345E-2</v>
      </c>
      <c r="L16" s="2">
        <f>VLOOKUP(A:A,MASTER!A:D,4,0)</f>
        <v>5</v>
      </c>
      <c r="M16" s="2">
        <f>VLOOKUP(A:A,MASTER!A:I,9,0)</f>
        <v>5</v>
      </c>
      <c r="N16" s="12">
        <f t="shared" si="2"/>
        <v>0</v>
      </c>
      <c r="O16" s="1">
        <f>VLOOKUP(A:A,MASTER!A:C,3,0)</f>
        <v>6</v>
      </c>
      <c r="P16" s="1">
        <f>VLOOKUP(A:A,MASTER!A:H,8,0)</f>
        <v>14</v>
      </c>
      <c r="Q16" s="12">
        <f t="shared" si="3"/>
        <v>1.3333333333333335</v>
      </c>
      <c r="R16" s="1">
        <f>VLOOKUP(A:A,MASTER!A:B,2,0)</f>
        <v>1004</v>
      </c>
      <c r="S16">
        <f>VLOOKUP(A:A,MASTER!A:G,7,0)</f>
        <v>1115</v>
      </c>
      <c r="T16" s="12">
        <f t="shared" si="4"/>
        <v>0.11055776892430269</v>
      </c>
      <c r="U16">
        <v>3</v>
      </c>
    </row>
    <row r="17" spans="1:21" x14ac:dyDescent="0.35">
      <c r="A17" t="s">
        <v>49</v>
      </c>
      <c r="B17" t="s">
        <v>50</v>
      </c>
      <c r="C17" t="s">
        <v>22</v>
      </c>
      <c r="D17" t="s">
        <v>23</v>
      </c>
      <c r="E17" t="s">
        <v>182</v>
      </c>
      <c r="F17" s="1">
        <f>VLOOKUP(A:A,MASTER!A:F,6,0)</f>
        <v>32627690.863221407</v>
      </c>
      <c r="G17" s="1">
        <f>VLOOKUP(A:A,MASTER!A:K,11,0)</f>
        <v>36994868.720748655</v>
      </c>
      <c r="H17" s="12">
        <f t="shared" si="0"/>
        <v>0.13384881804338833</v>
      </c>
      <c r="I17" s="2">
        <f>VLOOKUP(A:A,MASTER!A:E,5,0)</f>
        <v>641</v>
      </c>
      <c r="J17" s="2">
        <f>VLOOKUP(A:A,MASTER!A:J,10,0)</f>
        <v>703</v>
      </c>
      <c r="K17" s="12">
        <f t="shared" si="1"/>
        <v>9.6723868954758263E-2</v>
      </c>
      <c r="L17" s="2">
        <f>VLOOKUP(A:A,MASTER!A:D,4,0)</f>
        <v>3</v>
      </c>
      <c r="M17" s="2">
        <f>VLOOKUP(A:A,MASTER!A:I,9,0)</f>
        <v>3</v>
      </c>
      <c r="N17" s="12">
        <f t="shared" si="2"/>
        <v>0</v>
      </c>
      <c r="O17" s="1">
        <f>VLOOKUP(A:A,MASTER!A:C,3,0)</f>
        <v>5</v>
      </c>
      <c r="P17" s="1">
        <f>VLOOKUP(A:A,MASTER!A:H,8,0)</f>
        <v>7</v>
      </c>
      <c r="Q17" s="12">
        <f t="shared" si="3"/>
        <v>0.39999999999999991</v>
      </c>
      <c r="R17" s="1">
        <f>VLOOKUP(A:A,MASTER!A:B,2,0)</f>
        <v>927</v>
      </c>
      <c r="S17">
        <f>VLOOKUP(A:A,MASTER!A:G,7,0)</f>
        <v>838</v>
      </c>
      <c r="T17" s="12">
        <f t="shared" si="4"/>
        <v>-9.6008629989212557E-2</v>
      </c>
      <c r="U17">
        <v>4</v>
      </c>
    </row>
    <row r="18" spans="1:21" x14ac:dyDescent="0.35">
      <c r="A18" t="s">
        <v>51</v>
      </c>
      <c r="B18" t="s">
        <v>52</v>
      </c>
      <c r="C18" t="s">
        <v>22</v>
      </c>
      <c r="D18" t="s">
        <v>23</v>
      </c>
      <c r="E18" t="s">
        <v>182</v>
      </c>
      <c r="F18" s="1">
        <f>VLOOKUP(A:A,MASTER!A:F,6,0)</f>
        <v>137352788.5107795</v>
      </c>
      <c r="G18" s="1">
        <f>VLOOKUP(A:A,MASTER!A:K,11,0)</f>
        <v>134212892.98970801</v>
      </c>
      <c r="H18" s="12">
        <f t="shared" si="0"/>
        <v>-2.2860078452830779E-2</v>
      </c>
      <c r="I18" s="2">
        <f>VLOOKUP(A:A,MASTER!A:E,5,0)</f>
        <v>2107</v>
      </c>
      <c r="J18" s="2">
        <f>VLOOKUP(A:A,MASTER!A:J,10,0)</f>
        <v>2154</v>
      </c>
      <c r="K18" s="12">
        <f t="shared" si="1"/>
        <v>2.2306597057427657E-2</v>
      </c>
      <c r="L18" s="2">
        <f>VLOOKUP(A:A,MASTER!A:D,4,0)</f>
        <v>10</v>
      </c>
      <c r="M18" s="2">
        <f>VLOOKUP(A:A,MASTER!A:I,9,0)</f>
        <v>11</v>
      </c>
      <c r="N18" s="12">
        <f t="shared" si="2"/>
        <v>0.10000000000000009</v>
      </c>
      <c r="O18" s="1">
        <f>VLOOKUP(A:A,MASTER!A:C,3,0)</f>
        <v>193</v>
      </c>
      <c r="P18" s="1">
        <f>VLOOKUP(A:A,MASTER!A:H,8,0)</f>
        <v>311</v>
      </c>
      <c r="Q18" s="12">
        <f t="shared" si="3"/>
        <v>0.6113989637305699</v>
      </c>
      <c r="R18" s="1">
        <f>VLOOKUP(A:A,MASTER!A:B,2,0)</f>
        <v>2719</v>
      </c>
      <c r="S18">
        <f>VLOOKUP(A:A,MASTER!A:G,7,0)</f>
        <v>2587</v>
      </c>
      <c r="T18" s="12">
        <f t="shared" si="4"/>
        <v>-4.8547260022066885E-2</v>
      </c>
      <c r="U18">
        <v>5</v>
      </c>
    </row>
    <row r="19" spans="1:21" x14ac:dyDescent="0.35">
      <c r="A19" t="s">
        <v>53</v>
      </c>
      <c r="B19" t="s">
        <v>54</v>
      </c>
      <c r="C19" t="s">
        <v>22</v>
      </c>
      <c r="D19" t="s">
        <v>23</v>
      </c>
      <c r="E19" t="s">
        <v>182</v>
      </c>
      <c r="F19" s="1">
        <f>VLOOKUP(A:A,MASTER!A:F,6,0)</f>
        <v>53076954.03886164</v>
      </c>
      <c r="G19" s="1">
        <f>VLOOKUP(A:A,MASTER!A:K,11,0)</f>
        <v>71233219.517037705</v>
      </c>
      <c r="H19" s="12">
        <f t="shared" si="0"/>
        <v>0.34207436743416908</v>
      </c>
      <c r="I19" s="2">
        <f>VLOOKUP(A:A,MASTER!A:E,5,0)</f>
        <v>1380</v>
      </c>
      <c r="J19" s="2">
        <f>VLOOKUP(A:A,MASTER!A:J,10,0)</f>
        <v>1216</v>
      </c>
      <c r="K19" s="12">
        <f t="shared" si="1"/>
        <v>-0.11884057971014494</v>
      </c>
      <c r="L19" s="2">
        <f>VLOOKUP(A:A,MASTER!A:D,4,0)</f>
        <v>2</v>
      </c>
      <c r="M19" s="2">
        <f>VLOOKUP(A:A,MASTER!A:I,9,0)</f>
        <v>2</v>
      </c>
      <c r="N19" s="12">
        <f t="shared" si="2"/>
        <v>0</v>
      </c>
      <c r="O19" s="1">
        <f>VLOOKUP(A:A,MASTER!A:C,3,0)</f>
        <v>10</v>
      </c>
      <c r="P19" s="1">
        <f>VLOOKUP(A:A,MASTER!A:H,8,0)</f>
        <v>7</v>
      </c>
      <c r="Q19" s="12">
        <f t="shared" si="3"/>
        <v>-0.30000000000000004</v>
      </c>
      <c r="R19" s="1">
        <f>VLOOKUP(A:A,MASTER!A:B,2,0)</f>
        <v>1290</v>
      </c>
      <c r="S19">
        <f>VLOOKUP(A:A,MASTER!A:G,7,0)</f>
        <v>1264</v>
      </c>
      <c r="T19" s="12">
        <f t="shared" si="4"/>
        <v>-2.0155038759689936E-2</v>
      </c>
      <c r="U19">
        <v>1</v>
      </c>
    </row>
    <row r="20" spans="1:21" x14ac:dyDescent="0.35">
      <c r="A20" t="s">
        <v>55</v>
      </c>
      <c r="B20" t="s">
        <v>56</v>
      </c>
      <c r="C20" t="s">
        <v>22</v>
      </c>
      <c r="D20" t="s">
        <v>23</v>
      </c>
      <c r="E20" t="s">
        <v>182</v>
      </c>
      <c r="F20" s="1">
        <f>VLOOKUP(A:A,MASTER!A:F,6,0)</f>
        <v>144785433.85681951</v>
      </c>
      <c r="G20" s="1">
        <f>VLOOKUP(A:A,MASTER!A:K,11,0)</f>
        <v>129813150.04964511</v>
      </c>
      <c r="H20" s="12">
        <f t="shared" si="0"/>
        <v>-0.10341015258469111</v>
      </c>
      <c r="I20" s="2">
        <f>VLOOKUP(A:A,MASTER!A:E,5,0)</f>
        <v>2221</v>
      </c>
      <c r="J20" s="2">
        <f>VLOOKUP(A:A,MASTER!A:J,10,0)</f>
        <v>2034</v>
      </c>
      <c r="K20" s="12">
        <f t="shared" si="1"/>
        <v>-8.4196307969383155E-2</v>
      </c>
      <c r="L20" s="2">
        <f>VLOOKUP(A:A,MASTER!A:D,4,0)</f>
        <v>10</v>
      </c>
      <c r="M20" s="2">
        <f>VLOOKUP(A:A,MASTER!A:I,9,0)</f>
        <v>11</v>
      </c>
      <c r="N20" s="12">
        <f t="shared" si="2"/>
        <v>0.10000000000000009</v>
      </c>
      <c r="O20" s="1">
        <f>VLOOKUP(A:A,MASTER!A:C,3,0)</f>
        <v>26</v>
      </c>
      <c r="P20" s="1">
        <f>VLOOKUP(A:A,MASTER!A:H,8,0)</f>
        <v>10</v>
      </c>
      <c r="Q20" s="12">
        <f t="shared" si="3"/>
        <v>-0.61538461538461542</v>
      </c>
      <c r="R20" s="1">
        <f>VLOOKUP(A:A,MASTER!A:B,2,0)</f>
        <v>2791</v>
      </c>
      <c r="S20">
        <f>VLOOKUP(A:A,MASTER!A:G,7,0)</f>
        <v>2382</v>
      </c>
      <c r="T20" s="12">
        <f t="shared" si="4"/>
        <v>-0.14654245790039411</v>
      </c>
      <c r="U20">
        <v>8</v>
      </c>
    </row>
    <row r="21" spans="1:21" x14ac:dyDescent="0.35">
      <c r="A21" t="s">
        <v>67</v>
      </c>
      <c r="B21" t="s">
        <v>68</v>
      </c>
      <c r="C21" t="s">
        <v>22</v>
      </c>
      <c r="D21" t="s">
        <v>23</v>
      </c>
      <c r="E21" t="s">
        <v>180</v>
      </c>
      <c r="F21" s="1">
        <f>VLOOKUP(A:A,MASTER!A:F,6,0)</f>
        <v>20775015.408983596</v>
      </c>
      <c r="G21" s="1">
        <f>VLOOKUP(A:A,MASTER!A:K,11,0)</f>
        <v>20028688.787425052</v>
      </c>
      <c r="H21" s="12">
        <f t="shared" si="0"/>
        <v>-3.5924239133695912E-2</v>
      </c>
      <c r="I21" s="2">
        <f>VLOOKUP(A:A,MASTER!A:E,5,0)</f>
        <v>481</v>
      </c>
      <c r="J21" s="2">
        <f>VLOOKUP(A:A,MASTER!A:J,10,0)</f>
        <v>508</v>
      </c>
      <c r="K21" s="12">
        <f t="shared" si="1"/>
        <v>5.6133056133056192E-2</v>
      </c>
      <c r="L21" s="2">
        <f>VLOOKUP(A:A,MASTER!A:D,4,0)</f>
        <v>1</v>
      </c>
      <c r="M21" s="2">
        <f>VLOOKUP(A:A,MASTER!A:I,9,0)</f>
        <v>1</v>
      </c>
      <c r="N21" s="12">
        <f t="shared" si="2"/>
        <v>0</v>
      </c>
      <c r="O21" s="1">
        <f>VLOOKUP(A:A,MASTER!A:C,3,0)</f>
        <v>7</v>
      </c>
      <c r="P21" s="1">
        <f>VLOOKUP(A:A,MASTER!A:H,8,0)</f>
        <v>2</v>
      </c>
      <c r="Q21" s="12">
        <f t="shared" si="3"/>
        <v>-0.7142857142857143</v>
      </c>
      <c r="R21" s="1">
        <f>VLOOKUP(A:A,MASTER!A:B,2,0)</f>
        <v>505</v>
      </c>
      <c r="S21">
        <f>VLOOKUP(A:A,MASTER!A:G,7,0)</f>
        <v>531</v>
      </c>
      <c r="T21" s="12">
        <f t="shared" si="4"/>
        <v>5.1485148514851531E-2</v>
      </c>
      <c r="U21">
        <v>1</v>
      </c>
    </row>
    <row r="22" spans="1:21" x14ac:dyDescent="0.35">
      <c r="A22" t="s">
        <v>74</v>
      </c>
      <c r="B22" t="s">
        <v>75</v>
      </c>
      <c r="C22" t="s">
        <v>22</v>
      </c>
      <c r="D22" t="s">
        <v>23</v>
      </c>
      <c r="E22" t="s">
        <v>182</v>
      </c>
      <c r="F22" s="1">
        <f>VLOOKUP(A:A,MASTER!A:F,6,0)</f>
        <v>58779845.815106727</v>
      </c>
      <c r="G22" s="1">
        <f>VLOOKUP(A:A,MASTER!A:K,11,0)</f>
        <v>57050346.058480881</v>
      </c>
      <c r="H22" s="12">
        <f t="shared" si="0"/>
        <v>-2.9423346261676531E-2</v>
      </c>
      <c r="I22" s="2">
        <f>VLOOKUP(A:A,MASTER!A:E,5,0)</f>
        <v>1384</v>
      </c>
      <c r="J22" s="2">
        <f>VLOOKUP(A:A,MASTER!A:J,10,0)</f>
        <v>1445</v>
      </c>
      <c r="K22" s="12">
        <f t="shared" si="1"/>
        <v>4.407514450867045E-2</v>
      </c>
      <c r="L22" s="2">
        <f>VLOOKUP(A:A,MASTER!A:D,4,0)</f>
        <v>2</v>
      </c>
      <c r="M22" s="2">
        <f>VLOOKUP(A:A,MASTER!A:I,9,0)</f>
        <v>1</v>
      </c>
      <c r="N22" s="12">
        <f t="shared" si="2"/>
        <v>-0.5</v>
      </c>
      <c r="O22" s="1">
        <f>VLOOKUP(A:A,MASTER!A:C,3,0)</f>
        <v>27</v>
      </c>
      <c r="P22" s="1">
        <f>VLOOKUP(A:A,MASTER!A:H,8,0)</f>
        <v>26</v>
      </c>
      <c r="Q22" s="12">
        <f t="shared" si="3"/>
        <v>-3.703703703703709E-2</v>
      </c>
      <c r="R22" s="1">
        <f>VLOOKUP(A:A,MASTER!A:B,2,0)</f>
        <v>1769</v>
      </c>
      <c r="S22">
        <f>VLOOKUP(A:A,MASTER!A:G,7,0)</f>
        <v>1941</v>
      </c>
      <c r="T22" s="12">
        <f t="shared" si="4"/>
        <v>9.723007348784618E-2</v>
      </c>
      <c r="U22">
        <v>7</v>
      </c>
    </row>
    <row r="23" spans="1:21" x14ac:dyDescent="0.35">
      <c r="A23" t="s">
        <v>70</v>
      </c>
      <c r="B23" t="s">
        <v>71</v>
      </c>
      <c r="C23" t="s">
        <v>22</v>
      </c>
      <c r="D23" t="s">
        <v>23</v>
      </c>
      <c r="E23" t="s">
        <v>180</v>
      </c>
      <c r="F23" s="1">
        <f>VLOOKUP(A:A,MASTER!A:F,6,0)</f>
        <v>24982234.166713193</v>
      </c>
      <c r="G23" s="1">
        <f>VLOOKUP(A:A,MASTER!A:K,11,0)</f>
        <v>23890194.141556468</v>
      </c>
      <c r="H23" s="12">
        <f t="shared" si="0"/>
        <v>-4.3712664682800106E-2</v>
      </c>
      <c r="I23" s="2">
        <f>VLOOKUP(A:A,MASTER!A:E,5,0)</f>
        <v>771</v>
      </c>
      <c r="J23" s="2">
        <f>VLOOKUP(A:A,MASTER!A:J,10,0)</f>
        <v>847</v>
      </c>
      <c r="K23" s="12">
        <f t="shared" si="1"/>
        <v>9.8573281452658978E-2</v>
      </c>
      <c r="L23" s="2">
        <f>VLOOKUP(A:A,MASTER!A:D,4,0)</f>
        <v>1</v>
      </c>
      <c r="M23" s="2">
        <f>VLOOKUP(A:A,MASTER!A:I,9,0)</f>
        <v>0</v>
      </c>
      <c r="N23" s="12">
        <f t="shared" si="2"/>
        <v>-1</v>
      </c>
      <c r="O23" s="1">
        <f>VLOOKUP(A:A,MASTER!A:C,3,0)</f>
        <v>21</v>
      </c>
      <c r="P23" s="1">
        <f>VLOOKUP(A:A,MASTER!A:H,8,0)</f>
        <v>15</v>
      </c>
      <c r="Q23" s="12">
        <f t="shared" si="3"/>
        <v>-0.2857142857142857</v>
      </c>
      <c r="R23" s="1">
        <f>VLOOKUP(A:A,MASTER!A:B,2,0)</f>
        <v>874</v>
      </c>
      <c r="S23">
        <f>VLOOKUP(A:A,MASTER!A:G,7,0)</f>
        <v>918</v>
      </c>
      <c r="T23" s="12">
        <f t="shared" si="4"/>
        <v>5.034324942791768E-2</v>
      </c>
      <c r="U23">
        <v>0</v>
      </c>
    </row>
    <row r="24" spans="1:21" x14ac:dyDescent="0.35">
      <c r="A24" t="s">
        <v>72</v>
      </c>
      <c r="B24" t="s">
        <v>73</v>
      </c>
      <c r="C24" t="s">
        <v>22</v>
      </c>
      <c r="D24" t="s">
        <v>23</v>
      </c>
      <c r="E24" t="s">
        <v>180</v>
      </c>
      <c r="F24" s="1">
        <f>VLOOKUP(A:A,MASTER!A:F,6,0)</f>
        <v>29627547.660279997</v>
      </c>
      <c r="G24" s="1">
        <f>VLOOKUP(A:A,MASTER!A:K,11,0)</f>
        <v>30000982.200878315</v>
      </c>
      <c r="H24" s="12">
        <f t="shared" si="0"/>
        <v>1.2604301404903762E-2</v>
      </c>
      <c r="I24" s="2">
        <f>VLOOKUP(A:A,MASTER!A:E,5,0)</f>
        <v>734</v>
      </c>
      <c r="J24" s="2">
        <f>VLOOKUP(A:A,MASTER!A:J,10,0)</f>
        <v>740</v>
      </c>
      <c r="K24" s="12">
        <f t="shared" si="1"/>
        <v>8.1743869209809361E-3</v>
      </c>
      <c r="L24" s="2">
        <f>VLOOKUP(A:A,MASTER!A:D,4,0)</f>
        <v>1</v>
      </c>
      <c r="M24" s="2">
        <f>VLOOKUP(A:A,MASTER!A:I,9,0)</f>
        <v>0</v>
      </c>
      <c r="N24" s="12">
        <f t="shared" si="2"/>
        <v>-1</v>
      </c>
      <c r="O24" s="1">
        <f>VLOOKUP(A:A,MASTER!A:C,3,0)</f>
        <v>9</v>
      </c>
      <c r="P24" s="1">
        <f>VLOOKUP(A:A,MASTER!A:H,8,0)</f>
        <v>5</v>
      </c>
      <c r="Q24" s="12">
        <f t="shared" si="3"/>
        <v>-0.44444444444444442</v>
      </c>
      <c r="R24" s="1">
        <f>VLOOKUP(A:A,MASTER!A:B,2,0)</f>
        <v>876</v>
      </c>
      <c r="S24">
        <f>VLOOKUP(A:A,MASTER!A:G,7,0)</f>
        <v>820</v>
      </c>
      <c r="T24" s="12">
        <f t="shared" si="4"/>
        <v>-6.3926940639269403E-2</v>
      </c>
      <c r="U24">
        <v>3</v>
      </c>
    </row>
    <row r="25" spans="1:21" x14ac:dyDescent="0.35">
      <c r="A25" t="s">
        <v>79</v>
      </c>
      <c r="B25" t="s">
        <v>80</v>
      </c>
      <c r="C25" t="s">
        <v>22</v>
      </c>
      <c r="D25" t="s">
        <v>23</v>
      </c>
      <c r="E25" t="s">
        <v>180</v>
      </c>
      <c r="F25" s="1">
        <f>VLOOKUP(A:A,MASTER!A:F,6,0)</f>
        <v>7385181.5441001644</v>
      </c>
      <c r="G25" s="1">
        <f>VLOOKUP(A:A,MASTER!A:K,11,0)</f>
        <v>7453919.5601734258</v>
      </c>
      <c r="H25" s="12">
        <f t="shared" si="0"/>
        <v>9.307559423258116E-3</v>
      </c>
      <c r="I25" s="2">
        <f>VLOOKUP(A:A,MASTER!A:E,5,0)</f>
        <v>180</v>
      </c>
      <c r="J25" s="2">
        <f>VLOOKUP(A:A,MASTER!A:J,10,0)</f>
        <v>175</v>
      </c>
      <c r="K25" s="12">
        <f t="shared" si="1"/>
        <v>-2.777777777777779E-2</v>
      </c>
      <c r="L25" s="2">
        <f>VLOOKUP(A:A,MASTER!A:D,4,0)</f>
        <v>1</v>
      </c>
      <c r="M25" s="2">
        <f>VLOOKUP(A:A,MASTER!A:I,9,0)</f>
        <v>0</v>
      </c>
      <c r="N25" s="12">
        <f t="shared" si="2"/>
        <v>-1</v>
      </c>
      <c r="O25" s="1">
        <f>VLOOKUP(A:A,MASTER!A:C,3,0)</f>
        <v>1</v>
      </c>
      <c r="P25" s="1">
        <f>VLOOKUP(A:A,MASTER!A:H,8,0)</f>
        <v>1</v>
      </c>
      <c r="Q25" s="12">
        <f t="shared" si="3"/>
        <v>0</v>
      </c>
      <c r="R25" s="1">
        <f>VLOOKUP(A:A,MASTER!A:B,2,0)</f>
        <v>210</v>
      </c>
      <c r="S25">
        <f>VLOOKUP(A:A,MASTER!A:G,7,0)</f>
        <v>214</v>
      </c>
      <c r="T25" s="12">
        <f t="shared" si="4"/>
        <v>1.904761904761898E-2</v>
      </c>
      <c r="U25">
        <v>0</v>
      </c>
    </row>
    <row r="26" spans="1:21" x14ac:dyDescent="0.35">
      <c r="A26" t="s">
        <v>109</v>
      </c>
      <c r="B26" t="s">
        <v>110</v>
      </c>
      <c r="C26" t="s">
        <v>22</v>
      </c>
      <c r="D26" t="s">
        <v>23</v>
      </c>
      <c r="E26" t="s">
        <v>182</v>
      </c>
      <c r="F26" s="1">
        <f>VLOOKUP(A:A,MASTER!A:F,6,0)</f>
        <v>56331975.013513997</v>
      </c>
      <c r="G26" s="1">
        <f>VLOOKUP(A:A,MASTER!A:K,11,0)</f>
        <v>58012158.071365856</v>
      </c>
      <c r="H26" s="12">
        <f t="shared" si="0"/>
        <v>2.9826453935775987E-2</v>
      </c>
      <c r="I26" s="2">
        <f>VLOOKUP(A:A,MASTER!A:E,5,0)</f>
        <v>1439</v>
      </c>
      <c r="J26" s="2">
        <f>VLOOKUP(A:A,MASTER!A:J,10,0)</f>
        <v>1489</v>
      </c>
      <c r="K26" s="12">
        <f t="shared" si="1"/>
        <v>3.4746351633078598E-2</v>
      </c>
      <c r="L26" s="2">
        <f>VLOOKUP(A:A,MASTER!A:D,4,0)</f>
        <v>5</v>
      </c>
      <c r="M26" s="2">
        <f>VLOOKUP(A:A,MASTER!A:I,9,0)</f>
        <v>6</v>
      </c>
      <c r="N26" s="12">
        <f t="shared" si="2"/>
        <v>0.19999999999999996</v>
      </c>
      <c r="O26" s="1">
        <f>VLOOKUP(A:A,MASTER!A:C,3,0)</f>
        <v>15</v>
      </c>
      <c r="P26" s="1">
        <f>VLOOKUP(A:A,MASTER!A:H,8,0)</f>
        <v>11</v>
      </c>
      <c r="Q26" s="12">
        <f t="shared" si="3"/>
        <v>-0.26666666666666672</v>
      </c>
      <c r="R26" s="1">
        <f>VLOOKUP(A:A,MASTER!A:B,2,0)</f>
        <v>1612</v>
      </c>
      <c r="S26">
        <f>VLOOKUP(A:A,MASTER!A:G,7,0)</f>
        <v>1721</v>
      </c>
      <c r="T26" s="12">
        <f t="shared" si="4"/>
        <v>6.761786600496289E-2</v>
      </c>
      <c r="U26">
        <v>0</v>
      </c>
    </row>
    <row r="27" spans="1:21" x14ac:dyDescent="0.35">
      <c r="A27" t="s">
        <v>111</v>
      </c>
      <c r="B27" t="s">
        <v>112</v>
      </c>
      <c r="C27" t="s">
        <v>22</v>
      </c>
      <c r="D27" t="s">
        <v>23</v>
      </c>
      <c r="E27" t="s">
        <v>182</v>
      </c>
      <c r="F27" s="1">
        <f>VLOOKUP(A:A,MASTER!A:F,6,0)</f>
        <v>48345432.429830581</v>
      </c>
      <c r="G27" s="1">
        <f>VLOOKUP(A:A,MASTER!A:K,11,0)</f>
        <v>52095439.717940979</v>
      </c>
      <c r="H27" s="12">
        <f t="shared" si="0"/>
        <v>7.7566940652629812E-2</v>
      </c>
      <c r="I27" s="2">
        <f>VLOOKUP(A:A,MASTER!A:E,5,0)</f>
        <v>667</v>
      </c>
      <c r="J27" s="2">
        <f>VLOOKUP(A:A,MASTER!A:J,10,0)</f>
        <v>633</v>
      </c>
      <c r="K27" s="12">
        <f t="shared" si="1"/>
        <v>-5.0974512743628186E-2</v>
      </c>
      <c r="L27" s="2">
        <f>VLOOKUP(A:A,MASTER!A:D,4,0)</f>
        <v>1</v>
      </c>
      <c r="M27" s="2">
        <f>VLOOKUP(A:A,MASTER!A:I,9,0)</f>
        <v>1</v>
      </c>
      <c r="N27" s="12">
        <f t="shared" si="2"/>
        <v>0</v>
      </c>
      <c r="O27" s="1">
        <f>VLOOKUP(A:A,MASTER!A:C,3,0)</f>
        <v>10</v>
      </c>
      <c r="P27" s="1">
        <f>VLOOKUP(A:A,MASTER!A:H,8,0)</f>
        <v>4</v>
      </c>
      <c r="Q27" s="12">
        <f t="shared" si="3"/>
        <v>-0.6</v>
      </c>
      <c r="R27" s="1">
        <f>VLOOKUP(A:A,MASTER!A:B,2,0)</f>
        <v>896</v>
      </c>
      <c r="S27">
        <f>VLOOKUP(A:A,MASTER!A:G,7,0)</f>
        <v>831</v>
      </c>
      <c r="T27" s="12">
        <f t="shared" si="4"/>
        <v>-7.2544642857142905E-2</v>
      </c>
      <c r="U27">
        <v>0</v>
      </c>
    </row>
    <row r="28" spans="1:21" x14ac:dyDescent="0.35">
      <c r="A28" t="s">
        <v>113</v>
      </c>
      <c r="B28" t="s">
        <v>114</v>
      </c>
      <c r="C28" t="s">
        <v>22</v>
      </c>
      <c r="D28" t="s">
        <v>23</v>
      </c>
      <c r="E28" t="s">
        <v>182</v>
      </c>
      <c r="F28" s="1">
        <f>VLOOKUP(A:A,MASTER!A:F,6,0)</f>
        <v>45524987.130328558</v>
      </c>
      <c r="G28" s="1">
        <f>VLOOKUP(A:A,MASTER!A:K,11,0)</f>
        <v>54794864.555711046</v>
      </c>
      <c r="H28" s="12">
        <f t="shared" si="0"/>
        <v>0.20362174730208626</v>
      </c>
      <c r="I28" s="2">
        <f>VLOOKUP(A:A,MASTER!A:E,5,0)</f>
        <v>784</v>
      </c>
      <c r="J28" s="2">
        <f>VLOOKUP(A:A,MASTER!A:J,10,0)</f>
        <v>909</v>
      </c>
      <c r="K28" s="12">
        <f t="shared" si="1"/>
        <v>0.15943877551020402</v>
      </c>
      <c r="L28" s="2">
        <f>VLOOKUP(A:A,MASTER!A:D,4,0)</f>
        <v>2</v>
      </c>
      <c r="M28" s="2">
        <f>VLOOKUP(A:A,MASTER!A:I,9,0)</f>
        <v>3</v>
      </c>
      <c r="N28" s="12">
        <f t="shared" si="2"/>
        <v>0.5</v>
      </c>
      <c r="O28" s="1">
        <f>VLOOKUP(A:A,MASTER!A:C,3,0)</f>
        <v>4</v>
      </c>
      <c r="P28" s="1">
        <f>VLOOKUP(A:A,MASTER!A:H,8,0)</f>
        <v>4</v>
      </c>
      <c r="Q28" s="12">
        <f t="shared" si="3"/>
        <v>0</v>
      </c>
      <c r="R28" s="1">
        <f>VLOOKUP(A:A,MASTER!A:B,2,0)</f>
        <v>999</v>
      </c>
      <c r="S28">
        <f>VLOOKUP(A:A,MASTER!A:G,7,0)</f>
        <v>1012</v>
      </c>
      <c r="T28" s="12">
        <f t="shared" si="4"/>
        <v>1.3013013013013053E-2</v>
      </c>
      <c r="U28">
        <v>0</v>
      </c>
    </row>
    <row r="29" spans="1:21" x14ac:dyDescent="0.35">
      <c r="A29" t="s">
        <v>115</v>
      </c>
      <c r="B29" t="s">
        <v>116</v>
      </c>
      <c r="C29" t="s">
        <v>22</v>
      </c>
      <c r="D29" t="s">
        <v>23</v>
      </c>
      <c r="E29" t="s">
        <v>182</v>
      </c>
      <c r="F29" s="1">
        <f>VLOOKUP(A:A,MASTER!A:F,6,0)</f>
        <v>62700810.625711203</v>
      </c>
      <c r="G29" s="1">
        <f>VLOOKUP(A:A,MASTER!A:K,11,0)</f>
        <v>62351102.348241359</v>
      </c>
      <c r="H29" s="12">
        <f t="shared" si="0"/>
        <v>-5.5774123807968978E-3</v>
      </c>
      <c r="I29" s="2">
        <f>VLOOKUP(A:A,MASTER!A:E,5,0)</f>
        <v>865</v>
      </c>
      <c r="J29" s="2">
        <f>VLOOKUP(A:A,MASTER!A:J,10,0)</f>
        <v>825</v>
      </c>
      <c r="K29" s="12">
        <f t="shared" si="1"/>
        <v>-4.6242774566473965E-2</v>
      </c>
      <c r="L29" s="2">
        <f>VLOOKUP(A:A,MASTER!A:D,4,0)</f>
        <v>2</v>
      </c>
      <c r="M29" s="2">
        <f>VLOOKUP(A:A,MASTER!A:I,9,0)</f>
        <v>3</v>
      </c>
      <c r="N29" s="12">
        <f t="shared" si="2"/>
        <v>0.5</v>
      </c>
      <c r="O29" s="1">
        <f>VLOOKUP(A:A,MASTER!A:C,3,0)</f>
        <v>4</v>
      </c>
      <c r="P29" s="1">
        <f>VLOOKUP(A:A,MASTER!A:H,8,0)</f>
        <v>2</v>
      </c>
      <c r="Q29" s="12">
        <f t="shared" si="3"/>
        <v>-0.5</v>
      </c>
      <c r="R29" s="1">
        <f>VLOOKUP(A:A,MASTER!A:B,2,0)</f>
        <v>1122</v>
      </c>
      <c r="S29">
        <f>VLOOKUP(A:A,MASTER!A:G,7,0)</f>
        <v>981</v>
      </c>
      <c r="T29" s="12">
        <f t="shared" si="4"/>
        <v>-0.12566844919786091</v>
      </c>
      <c r="U29">
        <v>0</v>
      </c>
    </row>
    <row r="30" spans="1:21" x14ac:dyDescent="0.35">
      <c r="A30" t="s">
        <v>16</v>
      </c>
      <c r="B30" t="s">
        <v>17</v>
      </c>
      <c r="C30" t="s">
        <v>4</v>
      </c>
      <c r="D30" t="s">
        <v>151</v>
      </c>
      <c r="E30" t="s">
        <v>182</v>
      </c>
      <c r="F30" s="1">
        <f>VLOOKUP(A:A,MASTER!A:F,6,0)</f>
        <v>83620250.968161911</v>
      </c>
      <c r="G30" s="1">
        <f>VLOOKUP(A:A,MASTER!A:K,11,0)</f>
        <v>76143766.256277099</v>
      </c>
      <c r="H30" s="12">
        <f t="shared" si="0"/>
        <v>-8.9409976953207848E-2</v>
      </c>
      <c r="I30" s="2">
        <f>VLOOKUP(A:A,MASTER!A:E,5,0)</f>
        <v>1153</v>
      </c>
      <c r="J30" s="2">
        <f>VLOOKUP(A:A,MASTER!A:J,10,0)</f>
        <v>1183</v>
      </c>
      <c r="K30" s="12">
        <f t="shared" si="1"/>
        <v>2.601908065915004E-2</v>
      </c>
      <c r="L30" s="2">
        <f>VLOOKUP(A:A,MASTER!A:D,4,0)</f>
        <v>4</v>
      </c>
      <c r="M30" s="2">
        <f>VLOOKUP(A:A,MASTER!A:I,9,0)</f>
        <v>2</v>
      </c>
      <c r="N30" s="12">
        <f t="shared" si="2"/>
        <v>-0.5</v>
      </c>
      <c r="O30" s="1">
        <f>VLOOKUP(A:A,MASTER!A:C,3,0)</f>
        <v>6</v>
      </c>
      <c r="P30" s="1">
        <f>VLOOKUP(A:A,MASTER!A:H,8,0)</f>
        <v>7</v>
      </c>
      <c r="Q30" s="12">
        <f t="shared" si="3"/>
        <v>0.16666666666666674</v>
      </c>
      <c r="R30" s="1">
        <f>VLOOKUP(A:A,MASTER!A:B,2,0)</f>
        <v>1395</v>
      </c>
      <c r="S30">
        <f>VLOOKUP(A:A,MASTER!A:G,7,0)</f>
        <v>1297</v>
      </c>
      <c r="T30" s="12">
        <f t="shared" si="4"/>
        <v>-7.0250896057347689E-2</v>
      </c>
      <c r="U30">
        <v>4</v>
      </c>
    </row>
    <row r="31" spans="1:21" x14ac:dyDescent="0.35">
      <c r="A31" t="s">
        <v>18</v>
      </c>
      <c r="B31" t="s">
        <v>19</v>
      </c>
      <c r="C31" t="s">
        <v>4</v>
      </c>
      <c r="D31" t="s">
        <v>151</v>
      </c>
      <c r="E31" t="s">
        <v>182</v>
      </c>
      <c r="F31" s="1">
        <f>VLOOKUP(A:A,MASTER!A:F,6,0)</f>
        <v>37167717.604925878</v>
      </c>
      <c r="G31" s="1">
        <f>VLOOKUP(A:A,MASTER!A:K,11,0)</f>
        <v>34785039.401393615</v>
      </c>
      <c r="H31" s="12">
        <f t="shared" si="0"/>
        <v>-6.4106121039202213E-2</v>
      </c>
      <c r="I31" s="2">
        <f>VLOOKUP(A:A,MASTER!A:E,5,0)</f>
        <v>579</v>
      </c>
      <c r="J31" s="2">
        <f>VLOOKUP(A:A,MASTER!A:J,10,0)</f>
        <v>795</v>
      </c>
      <c r="K31" s="12">
        <f t="shared" si="1"/>
        <v>0.37305699481865284</v>
      </c>
      <c r="L31" s="2">
        <f>VLOOKUP(A:A,MASTER!A:D,4,0)</f>
        <v>5</v>
      </c>
      <c r="M31" s="2">
        <f>VLOOKUP(A:A,MASTER!A:I,9,0)</f>
        <v>4</v>
      </c>
      <c r="N31" s="12">
        <f t="shared" si="2"/>
        <v>-0.19999999999999996</v>
      </c>
      <c r="O31" s="1">
        <f>VLOOKUP(A:A,MASTER!A:C,3,0)</f>
        <v>3</v>
      </c>
      <c r="P31" s="1">
        <f>VLOOKUP(A:A,MASTER!A:H,8,0)</f>
        <v>5</v>
      </c>
      <c r="Q31" s="12">
        <f t="shared" si="3"/>
        <v>0.66666666666666674</v>
      </c>
      <c r="R31" s="1">
        <f>VLOOKUP(A:A,MASTER!A:B,2,0)</f>
        <v>661</v>
      </c>
      <c r="S31">
        <f>VLOOKUP(A:A,MASTER!A:G,7,0)</f>
        <v>878</v>
      </c>
      <c r="T31" s="12">
        <f t="shared" si="4"/>
        <v>0.32829046898638437</v>
      </c>
      <c r="U31">
        <v>3</v>
      </c>
    </row>
    <row r="32" spans="1:21" x14ac:dyDescent="0.35">
      <c r="A32" t="s">
        <v>43</v>
      </c>
      <c r="B32" t="s">
        <v>44</v>
      </c>
      <c r="C32" t="s">
        <v>4</v>
      </c>
      <c r="D32" t="s">
        <v>5</v>
      </c>
      <c r="E32" t="s">
        <v>182</v>
      </c>
      <c r="F32" s="1">
        <f>VLOOKUP(A:A,MASTER!A:F,6,0)</f>
        <v>94510850.732537612</v>
      </c>
      <c r="G32" s="1">
        <f>VLOOKUP(A:A,MASTER!A:K,11,0)</f>
        <v>85500589.813580096</v>
      </c>
      <c r="H32" s="12">
        <f t="shared" si="0"/>
        <v>-9.533572969791837E-2</v>
      </c>
      <c r="I32" s="2">
        <f>VLOOKUP(A:A,MASTER!A:E,5,0)</f>
        <v>1559</v>
      </c>
      <c r="J32" s="2">
        <f>VLOOKUP(A:A,MASTER!A:J,10,0)</f>
        <v>1593</v>
      </c>
      <c r="K32" s="12">
        <f t="shared" si="1"/>
        <v>2.1808851828094999E-2</v>
      </c>
      <c r="L32" s="2">
        <f>VLOOKUP(A:A,MASTER!A:D,4,0)</f>
        <v>9</v>
      </c>
      <c r="M32" s="2">
        <f>VLOOKUP(A:A,MASTER!A:I,9,0)</f>
        <v>7</v>
      </c>
      <c r="N32" s="12">
        <f t="shared" si="2"/>
        <v>-0.22222222222222221</v>
      </c>
      <c r="O32" s="1">
        <f>VLOOKUP(A:A,MASTER!A:C,3,0)</f>
        <v>14</v>
      </c>
      <c r="P32" s="1">
        <f>VLOOKUP(A:A,MASTER!A:H,8,0)</f>
        <v>6</v>
      </c>
      <c r="Q32" s="12">
        <f t="shared" si="3"/>
        <v>-0.5714285714285714</v>
      </c>
      <c r="R32" s="1">
        <f>VLOOKUP(A:A,MASTER!A:B,2,0)</f>
        <v>1832</v>
      </c>
      <c r="S32">
        <f>VLOOKUP(A:A,MASTER!A:G,7,0)</f>
        <v>1791</v>
      </c>
      <c r="T32" s="12">
        <f t="shared" si="4"/>
        <v>-2.2379912663755497E-2</v>
      </c>
      <c r="U32">
        <v>5</v>
      </c>
    </row>
    <row r="33" spans="1:21" x14ac:dyDescent="0.35">
      <c r="A33" t="s">
        <v>152</v>
      </c>
      <c r="B33" t="s">
        <v>153</v>
      </c>
      <c r="C33" t="s">
        <v>4</v>
      </c>
      <c r="D33" t="s">
        <v>151</v>
      </c>
      <c r="E33" t="s">
        <v>182</v>
      </c>
      <c r="F33" s="1">
        <f>VLOOKUP(A:A,MASTER!A:F,6,0)</f>
        <v>36504030.517233036</v>
      </c>
      <c r="G33" s="1">
        <f>VLOOKUP(A:A,MASTER!A:K,11,0)</f>
        <v>37431270.236476474</v>
      </c>
      <c r="H33" s="12">
        <f t="shared" si="0"/>
        <v>2.5401023013217783E-2</v>
      </c>
      <c r="I33" s="2">
        <f>VLOOKUP(A:A,MASTER!A:E,5,0)</f>
        <v>761</v>
      </c>
      <c r="J33" s="2">
        <f>VLOOKUP(A:A,MASTER!A:J,10,0)</f>
        <v>696</v>
      </c>
      <c r="K33" s="12">
        <f t="shared" si="1"/>
        <v>-8.5413929040735859E-2</v>
      </c>
      <c r="L33" s="2">
        <f>VLOOKUP(A:A,MASTER!A:D,4,0)</f>
        <v>2</v>
      </c>
      <c r="M33" s="2">
        <f>VLOOKUP(A:A,MASTER!A:I,9,0)</f>
        <v>3</v>
      </c>
      <c r="N33" s="12">
        <f t="shared" si="2"/>
        <v>0.5</v>
      </c>
      <c r="O33" s="1">
        <f>VLOOKUP(A:A,MASTER!A:C,3,0)</f>
        <v>5</v>
      </c>
      <c r="P33" s="1">
        <f>VLOOKUP(A:A,MASTER!A:H,8,0)</f>
        <v>8</v>
      </c>
      <c r="Q33" s="12">
        <f t="shared" si="3"/>
        <v>0.60000000000000009</v>
      </c>
      <c r="R33" s="1">
        <f>VLOOKUP(A:A,MASTER!A:B,2,0)</f>
        <v>854</v>
      </c>
      <c r="S33">
        <f>VLOOKUP(A:A,MASTER!A:G,7,0)</f>
        <v>838</v>
      </c>
      <c r="T33" s="12">
        <f t="shared" si="4"/>
        <v>-1.87353629976581E-2</v>
      </c>
      <c r="U33">
        <v>3</v>
      </c>
    </row>
    <row r="34" spans="1:21" x14ac:dyDescent="0.35">
      <c r="A34" t="s">
        <v>149</v>
      </c>
      <c r="B34" t="s">
        <v>150</v>
      </c>
      <c r="C34" t="s">
        <v>4</v>
      </c>
      <c r="D34" t="s">
        <v>151</v>
      </c>
      <c r="E34" t="s">
        <v>182</v>
      </c>
      <c r="F34" s="1">
        <f>VLOOKUP(A:A,MASTER!A:F,6,0)</f>
        <v>33518644.063383229</v>
      </c>
      <c r="G34" s="1">
        <f>VLOOKUP(A:A,MASTER!A:K,11,0)</f>
        <v>29186853.446137249</v>
      </c>
      <c r="H34" s="12">
        <f t="shared" si="0"/>
        <v>-0.12923525811648684</v>
      </c>
      <c r="I34" s="2">
        <f>VLOOKUP(A:A,MASTER!A:E,5,0)</f>
        <v>493</v>
      </c>
      <c r="J34" s="2">
        <f>VLOOKUP(A:A,MASTER!A:J,10,0)</f>
        <v>1</v>
      </c>
      <c r="K34" s="12">
        <f t="shared" si="1"/>
        <v>-0.99797160243407712</v>
      </c>
      <c r="L34" s="2">
        <f>VLOOKUP(A:A,MASTER!A:D,4,0)</f>
        <v>1</v>
      </c>
      <c r="M34" s="2">
        <f>VLOOKUP(A:A,MASTER!A:I,9,0)</f>
        <v>1</v>
      </c>
      <c r="N34" s="12">
        <f t="shared" si="2"/>
        <v>0</v>
      </c>
      <c r="O34" s="1">
        <f>VLOOKUP(A:A,MASTER!A:C,3,0)</f>
        <v>5</v>
      </c>
      <c r="P34" s="1">
        <f>VLOOKUP(A:A,MASTER!A:H,8,0)</f>
        <v>4</v>
      </c>
      <c r="Q34" s="12">
        <f t="shared" si="3"/>
        <v>-0.19999999999999996</v>
      </c>
      <c r="R34" s="1">
        <f>VLOOKUP(A:A,MASTER!A:B,2,0)</f>
        <v>683</v>
      </c>
      <c r="S34">
        <f>VLOOKUP(A:A,MASTER!A:G,7,0)</f>
        <v>174</v>
      </c>
      <c r="T34" s="12">
        <f t="shared" si="4"/>
        <v>-0.74524158125915085</v>
      </c>
      <c r="U34">
        <v>4</v>
      </c>
    </row>
    <row r="35" spans="1:21" x14ac:dyDescent="0.35">
      <c r="A35" t="s">
        <v>154</v>
      </c>
      <c r="B35" t="s">
        <v>155</v>
      </c>
      <c r="C35" t="s">
        <v>4</v>
      </c>
      <c r="D35" t="s">
        <v>151</v>
      </c>
      <c r="E35" t="s">
        <v>182</v>
      </c>
      <c r="F35" s="1">
        <f>VLOOKUP(A:A,MASTER!A:F,6,0)</f>
        <v>53244034.207328603</v>
      </c>
      <c r="G35" s="1">
        <f>VLOOKUP(A:A,MASTER!A:K,11,0)</f>
        <v>59912872.571475856</v>
      </c>
      <c r="H35" s="12">
        <f t="shared" si="0"/>
        <v>0.12525043346977149</v>
      </c>
      <c r="I35" s="2">
        <f>VLOOKUP(A:A,MASTER!A:E,5,0)</f>
        <v>940</v>
      </c>
      <c r="J35" s="2">
        <f>VLOOKUP(A:A,MASTER!A:J,10,0)</f>
        <v>1050</v>
      </c>
      <c r="K35" s="12">
        <f t="shared" si="1"/>
        <v>0.11702127659574457</v>
      </c>
      <c r="L35" s="2">
        <f>VLOOKUP(A:A,MASTER!A:D,4,0)</f>
        <v>1</v>
      </c>
      <c r="M35" s="2">
        <f>VLOOKUP(A:A,MASTER!A:I,9,0)</f>
        <v>2</v>
      </c>
      <c r="N35" s="12">
        <f t="shared" si="2"/>
        <v>1</v>
      </c>
      <c r="O35" s="1">
        <f>VLOOKUP(A:A,MASTER!A:C,3,0)</f>
        <v>26</v>
      </c>
      <c r="P35" s="1">
        <f>VLOOKUP(A:A,MASTER!A:H,8,0)</f>
        <v>15</v>
      </c>
      <c r="Q35" s="12">
        <f t="shared" si="3"/>
        <v>-0.42307692307692313</v>
      </c>
      <c r="R35" s="1">
        <f>VLOOKUP(A:A,MASTER!A:B,2,0)</f>
        <v>1198</v>
      </c>
      <c r="S35">
        <f>VLOOKUP(A:A,MASTER!A:G,7,0)</f>
        <v>1548</v>
      </c>
      <c r="T35" s="12">
        <f t="shared" si="4"/>
        <v>0.29215358931552582</v>
      </c>
      <c r="U35">
        <v>13</v>
      </c>
    </row>
    <row r="36" spans="1:21" x14ac:dyDescent="0.35">
      <c r="A36" t="s">
        <v>2</v>
      </c>
      <c r="B36" t="s">
        <v>3</v>
      </c>
      <c r="C36" t="s">
        <v>4</v>
      </c>
      <c r="D36" t="s">
        <v>151</v>
      </c>
      <c r="E36" t="s">
        <v>182</v>
      </c>
      <c r="F36" s="1">
        <f>VLOOKUP(A:A,MASTER!A:F,6,0)</f>
        <v>49950062.584800266</v>
      </c>
      <c r="G36" s="1">
        <f>VLOOKUP(A:A,MASTER!A:K,11,0)</f>
        <v>52176031.998493142</v>
      </c>
      <c r="H36" s="12">
        <f t="shared" si="0"/>
        <v>4.4563896389796298E-2</v>
      </c>
      <c r="I36" s="2">
        <f>VLOOKUP(A:A,MASTER!A:E,5,0)</f>
        <v>855</v>
      </c>
      <c r="J36" s="2">
        <f>VLOOKUP(A:A,MASTER!A:J,10,0)</f>
        <v>919</v>
      </c>
      <c r="K36" s="12">
        <f t="shared" si="1"/>
        <v>7.4853801169590728E-2</v>
      </c>
      <c r="L36" s="2">
        <f>VLOOKUP(A:A,MASTER!A:D,4,0)</f>
        <v>1</v>
      </c>
      <c r="M36" s="2">
        <f>VLOOKUP(A:A,MASTER!A:I,9,0)</f>
        <v>1</v>
      </c>
      <c r="N36" s="12">
        <f t="shared" si="2"/>
        <v>0</v>
      </c>
      <c r="O36" s="1">
        <f>VLOOKUP(A:A,MASTER!A:C,3,0)</f>
        <v>468</v>
      </c>
      <c r="P36" s="1">
        <f>VLOOKUP(A:A,MASTER!A:H,8,0)</f>
        <v>735</v>
      </c>
      <c r="Q36" s="12">
        <f t="shared" si="3"/>
        <v>0.57051282051282048</v>
      </c>
      <c r="R36" s="1">
        <f>VLOOKUP(A:A,MASTER!A:B,2,0)</f>
        <v>1330</v>
      </c>
      <c r="S36">
        <f>VLOOKUP(A:A,MASTER!A:G,7,0)</f>
        <v>1501</v>
      </c>
      <c r="T36" s="12">
        <f t="shared" si="4"/>
        <v>0.12857142857142856</v>
      </c>
      <c r="U36">
        <v>4</v>
      </c>
    </row>
    <row r="37" spans="1:21" x14ac:dyDescent="0.35">
      <c r="A37" t="s">
        <v>156</v>
      </c>
      <c r="B37" t="s">
        <v>157</v>
      </c>
      <c r="C37" t="s">
        <v>4</v>
      </c>
      <c r="D37" t="s">
        <v>151</v>
      </c>
      <c r="E37" t="s">
        <v>182</v>
      </c>
      <c r="F37" s="1">
        <f>VLOOKUP(A:A,MASTER!A:F,6,0)</f>
        <v>87523456.367233798</v>
      </c>
      <c r="G37" s="1">
        <f>VLOOKUP(A:A,MASTER!A:K,11,0)</f>
        <v>87845098.778165326</v>
      </c>
      <c r="H37" s="12">
        <f t="shared" si="0"/>
        <v>3.6749281196342132E-3</v>
      </c>
      <c r="I37" s="2">
        <f>VLOOKUP(A:A,MASTER!A:E,5,0)</f>
        <v>1366</v>
      </c>
      <c r="J37" s="2">
        <f>VLOOKUP(A:A,MASTER!A:J,10,0)</f>
        <v>1711</v>
      </c>
      <c r="K37" s="12">
        <f t="shared" si="1"/>
        <v>0.25256222547584195</v>
      </c>
      <c r="L37" s="2">
        <f>VLOOKUP(A:A,MASTER!A:D,4,0)</f>
        <v>5</v>
      </c>
      <c r="M37" s="2">
        <f>VLOOKUP(A:A,MASTER!A:I,9,0)</f>
        <v>5</v>
      </c>
      <c r="N37" s="12">
        <f t="shared" si="2"/>
        <v>0</v>
      </c>
      <c r="O37" s="1">
        <f>VLOOKUP(A:A,MASTER!A:C,3,0)</f>
        <v>200</v>
      </c>
      <c r="P37" s="1">
        <f>VLOOKUP(A:A,MASTER!A:H,8,0)</f>
        <v>582</v>
      </c>
      <c r="Q37" s="12">
        <f t="shared" si="3"/>
        <v>1.9100000000000001</v>
      </c>
      <c r="R37" s="1">
        <f>VLOOKUP(A:A,MASTER!A:B,2,0)</f>
        <v>2249</v>
      </c>
      <c r="S37">
        <f>VLOOKUP(A:A,MASTER!A:G,7,0)</f>
        <v>2553</v>
      </c>
      <c r="T37" s="12">
        <f t="shared" si="4"/>
        <v>0.13517118719430865</v>
      </c>
      <c r="U37">
        <v>16</v>
      </c>
    </row>
    <row r="38" spans="1:21" x14ac:dyDescent="0.35">
      <c r="A38" t="s">
        <v>14</v>
      </c>
      <c r="B38" t="s">
        <v>15</v>
      </c>
      <c r="C38" t="s">
        <v>4</v>
      </c>
      <c r="D38" t="s">
        <v>151</v>
      </c>
      <c r="E38" t="s">
        <v>182</v>
      </c>
      <c r="F38" s="1">
        <f>VLOOKUP(A:A,MASTER!A:F,6,0)</f>
        <v>31925776.433940351</v>
      </c>
      <c r="G38" s="1">
        <f>VLOOKUP(A:A,MASTER!A:K,11,0)</f>
        <v>32911548.581369933</v>
      </c>
      <c r="H38" s="12">
        <f t="shared" si="0"/>
        <v>3.0876998386219601E-2</v>
      </c>
      <c r="I38" s="2">
        <f>VLOOKUP(A:A,MASTER!A:E,5,0)</f>
        <v>445</v>
      </c>
      <c r="J38" s="2">
        <f>VLOOKUP(A:A,MASTER!A:J,10,0)</f>
        <v>459</v>
      </c>
      <c r="K38" s="12">
        <f t="shared" si="1"/>
        <v>3.1460674157303359E-2</v>
      </c>
      <c r="L38" s="2">
        <f>VLOOKUP(A:A,MASTER!A:D,4,0)</f>
        <v>6</v>
      </c>
      <c r="M38" s="2">
        <f>VLOOKUP(A:A,MASTER!A:I,9,0)</f>
        <v>7</v>
      </c>
      <c r="N38" s="12">
        <f t="shared" si="2"/>
        <v>0.16666666666666674</v>
      </c>
      <c r="O38" s="1">
        <f>VLOOKUP(A:A,MASTER!A:C,3,0)</f>
        <v>2</v>
      </c>
      <c r="P38" s="1">
        <f>VLOOKUP(A:A,MASTER!A:H,8,0)</f>
        <v>3</v>
      </c>
      <c r="Q38" s="12">
        <f t="shared" si="3"/>
        <v>0.5</v>
      </c>
      <c r="R38" s="1">
        <f>VLOOKUP(A:A,MASTER!A:B,2,0)</f>
        <v>589</v>
      </c>
      <c r="S38">
        <f>VLOOKUP(A:A,MASTER!A:G,7,0)</f>
        <v>521</v>
      </c>
      <c r="T38" s="12">
        <f t="shared" si="4"/>
        <v>-0.11544991511035652</v>
      </c>
      <c r="U38">
        <v>3</v>
      </c>
    </row>
    <row r="39" spans="1:21" x14ac:dyDescent="0.35">
      <c r="A39" t="s">
        <v>8</v>
      </c>
      <c r="B39" t="s">
        <v>9</v>
      </c>
      <c r="C39" t="s">
        <v>4</v>
      </c>
      <c r="D39" t="s">
        <v>151</v>
      </c>
      <c r="E39" t="s">
        <v>182</v>
      </c>
      <c r="F39" s="1">
        <f>VLOOKUP(A:A,MASTER!A:F,6,0)</f>
        <v>102456182.22374795</v>
      </c>
      <c r="G39" s="1">
        <f>VLOOKUP(A:A,MASTER!A:K,11,0)</f>
        <v>103588584.61291304</v>
      </c>
      <c r="H39" s="12">
        <f t="shared" si="0"/>
        <v>1.1052553048405578E-2</v>
      </c>
      <c r="I39" s="2">
        <f>VLOOKUP(A:A,MASTER!A:E,5,0)</f>
        <v>1814</v>
      </c>
      <c r="J39" s="2">
        <f>VLOOKUP(A:A,MASTER!A:J,10,0)</f>
        <v>2216</v>
      </c>
      <c r="K39" s="12">
        <f t="shared" si="1"/>
        <v>0.22160970231532517</v>
      </c>
      <c r="L39" s="2">
        <f>VLOOKUP(A:A,MASTER!A:D,4,0)</f>
        <v>6</v>
      </c>
      <c r="M39" s="2">
        <f>VLOOKUP(A:A,MASTER!A:I,9,0)</f>
        <v>5</v>
      </c>
      <c r="N39" s="12">
        <f t="shared" si="2"/>
        <v>-0.16666666666666663</v>
      </c>
      <c r="O39" s="1">
        <f>VLOOKUP(A:A,MASTER!A:C,3,0)</f>
        <v>13</v>
      </c>
      <c r="P39" s="1">
        <f>VLOOKUP(A:A,MASTER!A:H,8,0)</f>
        <v>7</v>
      </c>
      <c r="Q39" s="12">
        <f t="shared" si="3"/>
        <v>-0.46153846153846156</v>
      </c>
      <c r="R39" s="1">
        <f>VLOOKUP(A:A,MASTER!A:B,2,0)</f>
        <v>2086</v>
      </c>
      <c r="S39">
        <f>VLOOKUP(A:A,MASTER!A:G,7,0)</f>
        <v>2358</v>
      </c>
      <c r="T39" s="12">
        <f t="shared" si="4"/>
        <v>0.13039309683604983</v>
      </c>
      <c r="U39">
        <v>4</v>
      </c>
    </row>
    <row r="40" spans="1:21" x14ac:dyDescent="0.35">
      <c r="A40" t="s">
        <v>39</v>
      </c>
      <c r="B40" t="s">
        <v>40</v>
      </c>
      <c r="C40" t="s">
        <v>4</v>
      </c>
      <c r="D40" t="s">
        <v>5</v>
      </c>
      <c r="E40" t="s">
        <v>182</v>
      </c>
      <c r="F40" s="1">
        <f>VLOOKUP(A:A,MASTER!A:F,6,0)</f>
        <v>71335645.935478941</v>
      </c>
      <c r="G40" s="1">
        <f>VLOOKUP(A:A,MASTER!A:K,11,0)</f>
        <v>76944999.972273335</v>
      </c>
      <c r="H40" s="12">
        <f t="shared" si="0"/>
        <v>7.8633254991030688E-2</v>
      </c>
      <c r="I40" s="2">
        <f>VLOOKUP(A:A,MASTER!A:E,5,0)</f>
        <v>1003</v>
      </c>
      <c r="J40" s="2">
        <f>VLOOKUP(A:A,MASTER!A:J,10,0)</f>
        <v>867</v>
      </c>
      <c r="K40" s="12">
        <f t="shared" si="1"/>
        <v>-0.13559322033898302</v>
      </c>
      <c r="L40" s="2">
        <f>VLOOKUP(A:A,MASTER!A:D,4,0)</f>
        <v>4</v>
      </c>
      <c r="M40" s="2">
        <f>VLOOKUP(A:A,MASTER!A:I,9,0)</f>
        <v>4</v>
      </c>
      <c r="N40" s="12">
        <f t="shared" si="2"/>
        <v>0</v>
      </c>
      <c r="O40" s="1">
        <f>VLOOKUP(A:A,MASTER!A:C,3,0)</f>
        <v>15</v>
      </c>
      <c r="P40" s="1">
        <f>VLOOKUP(A:A,MASTER!A:H,8,0)</f>
        <v>7</v>
      </c>
      <c r="Q40" s="12">
        <f t="shared" si="3"/>
        <v>-0.53333333333333333</v>
      </c>
      <c r="R40" s="1">
        <f>VLOOKUP(A:A,MASTER!A:B,2,0)</f>
        <v>930</v>
      </c>
      <c r="S40">
        <f>VLOOKUP(A:A,MASTER!A:G,7,0)</f>
        <v>1012</v>
      </c>
      <c r="T40" s="12">
        <f t="shared" si="4"/>
        <v>8.8172043010752654E-2</v>
      </c>
      <c r="U40">
        <v>3</v>
      </c>
    </row>
    <row r="41" spans="1:21" x14ac:dyDescent="0.35">
      <c r="A41" t="s">
        <v>6</v>
      </c>
      <c r="B41" t="s">
        <v>7</v>
      </c>
      <c r="C41" t="s">
        <v>4</v>
      </c>
      <c r="D41" t="s">
        <v>151</v>
      </c>
      <c r="E41" t="s">
        <v>182</v>
      </c>
      <c r="F41" s="1">
        <f>VLOOKUP(A:A,MASTER!A:F,6,0)</f>
        <v>45114253.325404614</v>
      </c>
      <c r="G41" s="1">
        <f>VLOOKUP(A:A,MASTER!A:K,11,0)</f>
        <v>55903246.383351222</v>
      </c>
      <c r="H41" s="12">
        <f t="shared" si="0"/>
        <v>0.23914821287469112</v>
      </c>
      <c r="I41" s="2">
        <f>VLOOKUP(A:A,MASTER!A:E,5,0)</f>
        <v>925</v>
      </c>
      <c r="J41" s="2">
        <f>VLOOKUP(A:A,MASTER!A:J,10,0)</f>
        <v>1203</v>
      </c>
      <c r="K41" s="12">
        <f t="shared" si="1"/>
        <v>0.30054054054054058</v>
      </c>
      <c r="L41" s="2">
        <f>VLOOKUP(A:A,MASTER!A:D,4,0)</f>
        <v>4</v>
      </c>
      <c r="M41" s="2">
        <f>VLOOKUP(A:A,MASTER!A:I,9,0)</f>
        <v>3</v>
      </c>
      <c r="N41" s="12">
        <f t="shared" si="2"/>
        <v>-0.25</v>
      </c>
      <c r="O41" s="1">
        <f>VLOOKUP(A:A,MASTER!A:C,3,0)</f>
        <v>10</v>
      </c>
      <c r="P41" s="1">
        <f>VLOOKUP(A:A,MASTER!A:H,8,0)</f>
        <v>6</v>
      </c>
      <c r="Q41" s="12">
        <f t="shared" si="3"/>
        <v>-0.4</v>
      </c>
      <c r="R41" s="1">
        <f>VLOOKUP(A:A,MASTER!A:B,2,0)</f>
        <v>1067</v>
      </c>
      <c r="S41">
        <f>VLOOKUP(A:A,MASTER!A:G,7,0)</f>
        <v>1234</v>
      </c>
      <c r="T41" s="12">
        <f t="shared" si="4"/>
        <v>0.15651358950328031</v>
      </c>
      <c r="U41">
        <v>4</v>
      </c>
    </row>
    <row r="42" spans="1:21" x14ac:dyDescent="0.35">
      <c r="A42" t="s">
        <v>41</v>
      </c>
      <c r="B42" t="s">
        <v>42</v>
      </c>
      <c r="C42" t="s">
        <v>4</v>
      </c>
      <c r="D42" t="s">
        <v>5</v>
      </c>
      <c r="E42" t="s">
        <v>182</v>
      </c>
      <c r="F42" s="1">
        <f>VLOOKUP(A:A,MASTER!A:F,6,0)</f>
        <v>53069812.49421078</v>
      </c>
      <c r="G42" s="1">
        <f>VLOOKUP(A:A,MASTER!A:K,11,0)</f>
        <v>57009992.786893077</v>
      </c>
      <c r="H42" s="12">
        <f t="shared" si="0"/>
        <v>7.4245227324142515E-2</v>
      </c>
      <c r="I42" s="2">
        <f>VLOOKUP(A:A,MASTER!A:E,5,0)</f>
        <v>680</v>
      </c>
      <c r="J42" s="2">
        <f>VLOOKUP(A:A,MASTER!A:J,10,0)</f>
        <v>671</v>
      </c>
      <c r="K42" s="12">
        <f t="shared" si="1"/>
        <v>-1.3235294117647012E-2</v>
      </c>
      <c r="L42" s="2">
        <f>VLOOKUP(A:A,MASTER!A:D,4,0)</f>
        <v>4</v>
      </c>
      <c r="M42" s="2">
        <f>VLOOKUP(A:A,MASTER!A:I,9,0)</f>
        <v>5</v>
      </c>
      <c r="N42" s="12">
        <f t="shared" si="2"/>
        <v>0.25</v>
      </c>
      <c r="O42" s="1">
        <f>VLOOKUP(A:A,MASTER!A:C,3,0)</f>
        <v>11</v>
      </c>
      <c r="P42" s="1">
        <f>VLOOKUP(A:A,MASTER!A:H,8,0)</f>
        <v>4</v>
      </c>
      <c r="Q42" s="12">
        <f t="shared" si="3"/>
        <v>-0.63636363636363635</v>
      </c>
      <c r="R42" s="1">
        <f>VLOOKUP(A:A,MASTER!A:B,2,0)</f>
        <v>805</v>
      </c>
      <c r="S42">
        <f>VLOOKUP(A:A,MASTER!A:G,7,0)</f>
        <v>722</v>
      </c>
      <c r="T42" s="12">
        <f t="shared" si="4"/>
        <v>-0.10310559006211184</v>
      </c>
      <c r="U42">
        <v>1</v>
      </c>
    </row>
    <row r="43" spans="1:21" x14ac:dyDescent="0.35">
      <c r="A43" t="s">
        <v>158</v>
      </c>
      <c r="B43" t="s">
        <v>159</v>
      </c>
      <c r="C43" t="s">
        <v>4</v>
      </c>
      <c r="D43" t="s">
        <v>151</v>
      </c>
      <c r="E43" t="s">
        <v>182</v>
      </c>
      <c r="F43" s="1">
        <f>VLOOKUP(A:A,MASTER!A:F,6,0)</f>
        <v>33689461.200653359</v>
      </c>
      <c r="G43" s="1">
        <f>VLOOKUP(A:A,MASTER!A:K,11,0)</f>
        <v>33926152.186693102</v>
      </c>
      <c r="H43" s="12">
        <f t="shared" si="0"/>
        <v>7.025668491105197E-3</v>
      </c>
      <c r="I43" s="2">
        <f>VLOOKUP(A:A,MASTER!A:E,5,0)</f>
        <v>581</v>
      </c>
      <c r="J43" s="2">
        <f>VLOOKUP(A:A,MASTER!A:J,10,0)</f>
        <v>1073</v>
      </c>
      <c r="K43" s="12">
        <f t="shared" si="1"/>
        <v>0.846815834767642</v>
      </c>
      <c r="L43" s="2">
        <f>VLOOKUP(A:A,MASTER!A:D,4,0)</f>
        <v>10</v>
      </c>
      <c r="M43" s="2">
        <f>VLOOKUP(A:A,MASTER!A:I,9,0)</f>
        <v>9</v>
      </c>
      <c r="N43" s="12">
        <f t="shared" si="2"/>
        <v>-9.9999999999999978E-2</v>
      </c>
      <c r="O43" s="1">
        <f>VLOOKUP(A:A,MASTER!A:C,3,0)</f>
        <v>5</v>
      </c>
      <c r="P43" s="1">
        <f>VLOOKUP(A:A,MASTER!A:H,8,0)</f>
        <v>2</v>
      </c>
      <c r="Q43" s="12">
        <f t="shared" si="3"/>
        <v>-0.6</v>
      </c>
      <c r="R43" s="1">
        <f>VLOOKUP(A:A,MASTER!A:B,2,0)</f>
        <v>732</v>
      </c>
      <c r="S43">
        <f>VLOOKUP(A:A,MASTER!A:G,7,0)</f>
        <v>990</v>
      </c>
      <c r="T43" s="12">
        <f t="shared" si="4"/>
        <v>0.35245901639344268</v>
      </c>
      <c r="U43">
        <v>2</v>
      </c>
    </row>
    <row r="44" spans="1:21" x14ac:dyDescent="0.35">
      <c r="A44" t="s">
        <v>160</v>
      </c>
      <c r="B44" t="s">
        <v>161</v>
      </c>
      <c r="C44" t="s">
        <v>4</v>
      </c>
      <c r="D44" t="s">
        <v>151</v>
      </c>
      <c r="E44" t="s">
        <v>182</v>
      </c>
      <c r="F44" s="1">
        <f>VLOOKUP(A:A,MASTER!A:F,6,0)</f>
        <v>29481621.492385443</v>
      </c>
      <c r="G44" s="1">
        <f>VLOOKUP(A:A,MASTER!A:K,11,0)</f>
        <v>32061226.94770484</v>
      </c>
      <c r="H44" s="12">
        <f t="shared" si="0"/>
        <v>8.7498764475544943E-2</v>
      </c>
      <c r="I44" s="2">
        <f>VLOOKUP(A:A,MASTER!A:E,5,0)</f>
        <v>756</v>
      </c>
      <c r="J44" s="2">
        <f>VLOOKUP(A:A,MASTER!A:J,10,0)</f>
        <v>918</v>
      </c>
      <c r="K44" s="12">
        <f t="shared" si="1"/>
        <v>0.21428571428571419</v>
      </c>
      <c r="L44" s="2">
        <f>VLOOKUP(A:A,MASTER!A:D,4,0)</f>
        <v>1</v>
      </c>
      <c r="M44" s="2">
        <f>VLOOKUP(A:A,MASTER!A:I,9,0)</f>
        <v>2</v>
      </c>
      <c r="N44" s="12">
        <f t="shared" si="2"/>
        <v>1</v>
      </c>
      <c r="O44" s="1">
        <f>VLOOKUP(A:A,MASTER!A:C,3,0)</f>
        <v>3</v>
      </c>
      <c r="P44" s="1">
        <f>VLOOKUP(A:A,MASTER!A:H,8,0)</f>
        <v>2</v>
      </c>
      <c r="Q44" s="12">
        <f t="shared" si="3"/>
        <v>-0.33333333333333337</v>
      </c>
      <c r="R44" s="1">
        <f>VLOOKUP(A:A,MASTER!A:B,2,0)</f>
        <v>708</v>
      </c>
      <c r="S44">
        <f>VLOOKUP(A:A,MASTER!A:G,7,0)</f>
        <v>897</v>
      </c>
      <c r="T44" s="12">
        <f t="shared" si="4"/>
        <v>0.26694915254237284</v>
      </c>
      <c r="U44">
        <v>2</v>
      </c>
    </row>
    <row r="45" spans="1:21" x14ac:dyDescent="0.35">
      <c r="A45" t="s">
        <v>83</v>
      </c>
      <c r="B45" t="s">
        <v>84</v>
      </c>
      <c r="C45" t="s">
        <v>4</v>
      </c>
      <c r="D45" t="s">
        <v>26</v>
      </c>
      <c r="E45" t="s">
        <v>182</v>
      </c>
      <c r="F45" s="1">
        <f>VLOOKUP(A:A,MASTER!A:F,6,0)</f>
        <v>96289043.133155465</v>
      </c>
      <c r="G45" s="1">
        <f>VLOOKUP(A:A,MASTER!A:K,11,0)</f>
        <v>100589170.09739694</v>
      </c>
      <c r="H45" s="12">
        <f t="shared" si="0"/>
        <v>4.4658528367500283E-2</v>
      </c>
      <c r="I45" s="2">
        <f>VLOOKUP(A:A,MASTER!A:E,5,0)</f>
        <v>1107</v>
      </c>
      <c r="J45" s="2">
        <f>VLOOKUP(A:A,MASTER!A:J,10,0)</f>
        <v>1096</v>
      </c>
      <c r="K45" s="12">
        <f t="shared" si="1"/>
        <v>-9.936766034327027E-3</v>
      </c>
      <c r="L45" s="2">
        <f>VLOOKUP(A:A,MASTER!A:D,4,0)</f>
        <v>5</v>
      </c>
      <c r="M45" s="2">
        <f>VLOOKUP(A:A,MASTER!A:I,9,0)</f>
        <v>6</v>
      </c>
      <c r="N45" s="12">
        <f t="shared" si="2"/>
        <v>0.19999999999999996</v>
      </c>
      <c r="O45" s="1">
        <f>VLOOKUP(A:A,MASTER!A:C,3,0)</f>
        <v>11</v>
      </c>
      <c r="P45" s="1">
        <f>VLOOKUP(A:A,MASTER!A:H,8,0)</f>
        <v>13</v>
      </c>
      <c r="Q45" s="12">
        <f t="shared" si="3"/>
        <v>0.18181818181818188</v>
      </c>
      <c r="R45" s="1">
        <f>VLOOKUP(A:A,MASTER!A:B,2,0)</f>
        <v>1263</v>
      </c>
      <c r="S45">
        <f>VLOOKUP(A:A,MASTER!A:G,7,0)</f>
        <v>1152</v>
      </c>
      <c r="T45" s="12">
        <f t="shared" si="4"/>
        <v>-8.7885985748218487E-2</v>
      </c>
      <c r="U45">
        <v>5</v>
      </c>
    </row>
    <row r="46" spans="1:21" x14ac:dyDescent="0.35">
      <c r="A46" t="s">
        <v>31</v>
      </c>
      <c r="B46" t="s">
        <v>32</v>
      </c>
      <c r="C46" t="s">
        <v>4</v>
      </c>
      <c r="D46" t="s">
        <v>5</v>
      </c>
      <c r="E46" t="s">
        <v>182</v>
      </c>
      <c r="F46" s="1">
        <f>VLOOKUP(A:A,MASTER!A:F,6,0)</f>
        <v>44223882.093620092</v>
      </c>
      <c r="G46" s="1">
        <f>VLOOKUP(A:A,MASTER!A:K,11,0)</f>
        <v>37172165.041675769</v>
      </c>
      <c r="H46" s="12">
        <f t="shared" si="0"/>
        <v>-0.15945495325390335</v>
      </c>
      <c r="I46" s="2">
        <f>VLOOKUP(A:A,MASTER!A:E,5,0)</f>
        <v>961</v>
      </c>
      <c r="J46" s="2">
        <f>VLOOKUP(A:A,MASTER!A:J,10,0)</f>
        <v>561</v>
      </c>
      <c r="K46" s="12">
        <f t="shared" si="1"/>
        <v>-0.41623309053069724</v>
      </c>
      <c r="L46" s="2">
        <f>VLOOKUP(A:A,MASTER!A:D,4,0)</f>
        <v>5</v>
      </c>
      <c r="M46" s="2">
        <f>VLOOKUP(A:A,MASTER!A:I,9,0)</f>
        <v>4</v>
      </c>
      <c r="N46" s="12">
        <f t="shared" si="2"/>
        <v>-0.19999999999999996</v>
      </c>
      <c r="O46" s="1">
        <f>VLOOKUP(A:A,MASTER!A:C,3,0)</f>
        <v>5</v>
      </c>
      <c r="P46" s="1">
        <f>VLOOKUP(A:A,MASTER!A:H,8,0)</f>
        <v>3</v>
      </c>
      <c r="Q46" s="12">
        <f t="shared" si="3"/>
        <v>-0.4</v>
      </c>
      <c r="R46" s="1">
        <f>VLOOKUP(A:A,MASTER!A:B,2,0)</f>
        <v>920</v>
      </c>
      <c r="S46">
        <f>VLOOKUP(A:A,MASTER!A:G,7,0)</f>
        <v>683</v>
      </c>
      <c r="T46" s="12">
        <f t="shared" si="4"/>
        <v>-0.25760869565217392</v>
      </c>
      <c r="U46">
        <v>4</v>
      </c>
    </row>
    <row r="47" spans="1:21" x14ac:dyDescent="0.35">
      <c r="A47" t="s">
        <v>33</v>
      </c>
      <c r="B47" t="s">
        <v>34</v>
      </c>
      <c r="C47" t="s">
        <v>4</v>
      </c>
      <c r="D47" t="s">
        <v>5</v>
      </c>
      <c r="E47" t="s">
        <v>182</v>
      </c>
      <c r="F47" s="1">
        <f>VLOOKUP(A:A,MASTER!A:F,6,0)</f>
        <v>78997214.611454338</v>
      </c>
      <c r="G47" s="1">
        <f>VLOOKUP(A:A,MASTER!A:K,11,0)</f>
        <v>83027702.727696314</v>
      </c>
      <c r="H47" s="12">
        <f t="shared" si="0"/>
        <v>5.1020635804259973E-2</v>
      </c>
      <c r="I47" s="2">
        <f>VLOOKUP(A:A,MASTER!A:E,5,0)</f>
        <v>986</v>
      </c>
      <c r="J47" s="2">
        <f>VLOOKUP(A:A,MASTER!A:J,10,0)</f>
        <v>1179</v>
      </c>
      <c r="K47" s="12">
        <f t="shared" si="1"/>
        <v>0.1957403651115619</v>
      </c>
      <c r="L47" s="2">
        <f>VLOOKUP(A:A,MASTER!A:D,4,0)</f>
        <v>12</v>
      </c>
      <c r="M47" s="2">
        <f>VLOOKUP(A:A,MASTER!A:I,9,0)</f>
        <v>11</v>
      </c>
      <c r="N47" s="12">
        <f t="shared" si="2"/>
        <v>-8.333333333333337E-2</v>
      </c>
      <c r="O47" s="1">
        <f>VLOOKUP(A:A,MASTER!A:C,3,0)</f>
        <v>8</v>
      </c>
      <c r="P47" s="1">
        <f>VLOOKUP(A:A,MASTER!A:H,8,0)</f>
        <v>7</v>
      </c>
      <c r="Q47" s="12">
        <f t="shared" si="3"/>
        <v>-0.125</v>
      </c>
      <c r="R47" s="1">
        <f>VLOOKUP(A:A,MASTER!A:B,2,0)</f>
        <v>1418</v>
      </c>
      <c r="S47">
        <f>VLOOKUP(A:A,MASTER!A:G,7,0)</f>
        <v>1587</v>
      </c>
      <c r="T47" s="12">
        <f t="shared" si="4"/>
        <v>0.11918194640338498</v>
      </c>
      <c r="U47">
        <v>5</v>
      </c>
    </row>
    <row r="48" spans="1:21" x14ac:dyDescent="0.35">
      <c r="A48" t="s">
        <v>85</v>
      </c>
      <c r="B48" t="s">
        <v>86</v>
      </c>
      <c r="C48" t="s">
        <v>4</v>
      </c>
      <c r="D48" t="s">
        <v>26</v>
      </c>
      <c r="E48" t="s">
        <v>182</v>
      </c>
      <c r="F48" s="1">
        <f>VLOOKUP(A:A,MASTER!A:F,6,0)</f>
        <v>39810572.439056799</v>
      </c>
      <c r="G48" s="1">
        <f>VLOOKUP(A:A,MASTER!A:K,11,0)</f>
        <v>40037112.895442806</v>
      </c>
      <c r="H48" s="12">
        <f t="shared" si="0"/>
        <v>5.6904596569868904E-3</v>
      </c>
      <c r="I48" s="2">
        <f>VLOOKUP(A:A,MASTER!A:E,5,0)</f>
        <v>367</v>
      </c>
      <c r="J48" s="2">
        <f>VLOOKUP(A:A,MASTER!A:J,10,0)</f>
        <v>406</v>
      </c>
      <c r="K48" s="12">
        <f t="shared" si="1"/>
        <v>0.10626702997275195</v>
      </c>
      <c r="L48" s="2">
        <f>VLOOKUP(A:A,MASTER!A:D,4,0)</f>
        <v>5</v>
      </c>
      <c r="M48" s="2">
        <f>VLOOKUP(A:A,MASTER!A:I,9,0)</f>
        <v>6</v>
      </c>
      <c r="N48" s="12">
        <f t="shared" si="2"/>
        <v>0.19999999999999996</v>
      </c>
      <c r="O48" s="1">
        <f>VLOOKUP(A:A,MASTER!A:C,3,0)</f>
        <v>4</v>
      </c>
      <c r="P48" s="1">
        <f>VLOOKUP(A:A,MASTER!A:H,8,0)</f>
        <v>5</v>
      </c>
      <c r="Q48" s="12">
        <f t="shared" si="3"/>
        <v>0.25</v>
      </c>
      <c r="R48" s="1">
        <f>VLOOKUP(A:A,MASTER!A:B,2,0)</f>
        <v>470</v>
      </c>
      <c r="S48">
        <f>VLOOKUP(A:A,MASTER!A:G,7,0)</f>
        <v>477</v>
      </c>
      <c r="T48" s="12">
        <f t="shared" si="4"/>
        <v>1.4893617021276562E-2</v>
      </c>
      <c r="U48">
        <v>1</v>
      </c>
    </row>
    <row r="49" spans="1:21" x14ac:dyDescent="0.35">
      <c r="A49" t="s">
        <v>81</v>
      </c>
      <c r="B49" t="s">
        <v>82</v>
      </c>
      <c r="C49" t="s">
        <v>4</v>
      </c>
      <c r="D49" t="s">
        <v>26</v>
      </c>
      <c r="E49" t="s">
        <v>182</v>
      </c>
      <c r="F49" s="1">
        <f>VLOOKUP(A:A,MASTER!A:F,6,0)</f>
        <v>30203581.541344211</v>
      </c>
      <c r="G49" s="1">
        <f>VLOOKUP(A:A,MASTER!A:K,11,0)</f>
        <v>31105029.433054335</v>
      </c>
      <c r="H49" s="12">
        <f t="shared" si="0"/>
        <v>2.9845728410591965E-2</v>
      </c>
      <c r="I49" s="2">
        <f>VLOOKUP(A:A,MASTER!A:E,5,0)</f>
        <v>364</v>
      </c>
      <c r="J49" s="2">
        <f>VLOOKUP(A:A,MASTER!A:J,10,0)</f>
        <v>327</v>
      </c>
      <c r="K49" s="12">
        <f t="shared" si="1"/>
        <v>-0.10164835164835162</v>
      </c>
      <c r="L49" s="2">
        <f>VLOOKUP(A:A,MASTER!A:D,4,0)</f>
        <v>4</v>
      </c>
      <c r="M49" s="2">
        <f>VLOOKUP(A:A,MASTER!A:I,9,0)</f>
        <v>3</v>
      </c>
      <c r="N49" s="12">
        <f t="shared" si="2"/>
        <v>-0.25</v>
      </c>
      <c r="O49" s="1">
        <f>VLOOKUP(A:A,MASTER!A:C,3,0)</f>
        <v>4</v>
      </c>
      <c r="P49" s="1">
        <f>VLOOKUP(A:A,MASTER!A:H,8,0)</f>
        <v>3</v>
      </c>
      <c r="Q49" s="12">
        <f t="shared" si="3"/>
        <v>-0.25</v>
      </c>
      <c r="R49" s="1">
        <f>VLOOKUP(A:A,MASTER!A:B,2,0)</f>
        <v>459</v>
      </c>
      <c r="S49">
        <f>VLOOKUP(A:A,MASTER!A:G,7,0)</f>
        <v>387</v>
      </c>
      <c r="T49" s="12">
        <f t="shared" si="4"/>
        <v>-0.15686274509803921</v>
      </c>
      <c r="U49">
        <v>5</v>
      </c>
    </row>
    <row r="50" spans="1:21" x14ac:dyDescent="0.35">
      <c r="A50" t="s">
        <v>87</v>
      </c>
      <c r="B50" t="s">
        <v>88</v>
      </c>
      <c r="C50" t="s">
        <v>4</v>
      </c>
      <c r="D50" t="s">
        <v>26</v>
      </c>
      <c r="E50" t="s">
        <v>182</v>
      </c>
      <c r="F50" s="1">
        <f>VLOOKUP(A:A,MASTER!A:F,6,0)</f>
        <v>26532288.246609233</v>
      </c>
      <c r="G50" s="1">
        <f>VLOOKUP(A:A,MASTER!A:K,11,0)</f>
        <v>16649783.456736151</v>
      </c>
      <c r="H50" s="12">
        <f t="shared" si="0"/>
        <v>-0.37247088144144691</v>
      </c>
      <c r="I50" s="2">
        <f>VLOOKUP(A:A,MASTER!A:E,5,0)</f>
        <v>354</v>
      </c>
      <c r="J50" s="2">
        <f>VLOOKUP(A:A,MASTER!A:J,10,0)</f>
        <v>307</v>
      </c>
      <c r="K50" s="12">
        <f t="shared" si="1"/>
        <v>-0.13276836158192096</v>
      </c>
      <c r="L50" s="2">
        <f>VLOOKUP(A:A,MASTER!A:D,4,0)</f>
        <v>3</v>
      </c>
      <c r="M50" s="2">
        <f>VLOOKUP(A:A,MASTER!A:I,9,0)</f>
        <v>2</v>
      </c>
      <c r="N50" s="12">
        <f t="shared" si="2"/>
        <v>-0.33333333333333337</v>
      </c>
      <c r="O50" s="1">
        <f>VLOOKUP(A:A,MASTER!A:C,3,0)</f>
        <v>5</v>
      </c>
      <c r="P50" s="1">
        <f>VLOOKUP(A:A,MASTER!A:H,8,0)</f>
        <v>1</v>
      </c>
      <c r="Q50" s="12">
        <f t="shared" si="3"/>
        <v>-0.8</v>
      </c>
      <c r="R50" s="1">
        <f>VLOOKUP(A:A,MASTER!A:B,2,0)</f>
        <v>399</v>
      </c>
      <c r="S50">
        <f>VLOOKUP(A:A,MASTER!A:G,7,0)</f>
        <v>373</v>
      </c>
      <c r="T50" s="12">
        <f t="shared" si="4"/>
        <v>-6.5162907268170422E-2</v>
      </c>
      <c r="U50">
        <v>4</v>
      </c>
    </row>
    <row r="51" spans="1:21" x14ac:dyDescent="0.35">
      <c r="A51" t="s">
        <v>166</v>
      </c>
      <c r="B51" t="s">
        <v>167</v>
      </c>
      <c r="C51" t="s">
        <v>4</v>
      </c>
      <c r="D51" t="s">
        <v>5</v>
      </c>
      <c r="E51" t="s">
        <v>182</v>
      </c>
      <c r="F51" s="1">
        <f>VLOOKUP(A:A,MASTER!A:F,6,0)</f>
        <v>60136427.295044206</v>
      </c>
      <c r="G51" s="1">
        <f>VLOOKUP(A:A,MASTER!A:K,11,0)</f>
        <v>65823424.297400936</v>
      </c>
      <c r="H51" s="12">
        <f t="shared" si="0"/>
        <v>9.4568255185079719E-2</v>
      </c>
      <c r="I51" s="2">
        <f>VLOOKUP(A:A,MASTER!A:E,5,0)</f>
        <v>913</v>
      </c>
      <c r="J51" s="2">
        <f>VLOOKUP(A:A,MASTER!A:J,10,0)</f>
        <v>960</v>
      </c>
      <c r="K51" s="12">
        <f t="shared" si="1"/>
        <v>5.1478641840087658E-2</v>
      </c>
      <c r="L51" s="2">
        <f>VLOOKUP(A:A,MASTER!A:D,4,0)</f>
        <v>1</v>
      </c>
      <c r="M51" s="2">
        <f>VLOOKUP(A:A,MASTER!A:I,9,0)</f>
        <v>0</v>
      </c>
      <c r="N51" s="12">
        <f t="shared" si="2"/>
        <v>-1</v>
      </c>
      <c r="O51" s="1">
        <f>VLOOKUP(A:A,MASTER!A:C,3,0)</f>
        <v>10</v>
      </c>
      <c r="P51" s="1">
        <f>VLOOKUP(A:A,MASTER!A:H,8,0)</f>
        <v>9</v>
      </c>
      <c r="Q51" s="12">
        <f t="shared" si="3"/>
        <v>-9.9999999999999978E-2</v>
      </c>
      <c r="R51" s="1">
        <f>VLOOKUP(A:A,MASTER!A:B,2,0)</f>
        <v>1085</v>
      </c>
      <c r="S51">
        <f>VLOOKUP(A:A,MASTER!A:G,7,0)</f>
        <v>972</v>
      </c>
      <c r="T51" s="12">
        <f t="shared" si="4"/>
        <v>-0.10414746543778797</v>
      </c>
      <c r="U51">
        <v>5</v>
      </c>
    </row>
    <row r="52" spans="1:21" x14ac:dyDescent="0.35">
      <c r="A52" t="s">
        <v>93</v>
      </c>
      <c r="B52" t="s">
        <v>94</v>
      </c>
      <c r="C52" t="s">
        <v>4</v>
      </c>
      <c r="D52" t="s">
        <v>26</v>
      </c>
      <c r="E52" t="s">
        <v>182</v>
      </c>
      <c r="F52" s="1">
        <f>VLOOKUP(A:A,MASTER!A:F,6,0)</f>
        <v>53675737.929776609</v>
      </c>
      <c r="G52" s="1">
        <f>VLOOKUP(A:A,MASTER!A:K,11,0)</f>
        <v>73433088.348710611</v>
      </c>
      <c r="H52" s="12">
        <f t="shared" si="0"/>
        <v>0.36808716900701643</v>
      </c>
      <c r="I52" s="2">
        <f>VLOOKUP(A:A,MASTER!A:E,5,0)</f>
        <v>964</v>
      </c>
      <c r="J52" s="2">
        <f>VLOOKUP(A:A,MASTER!A:J,10,0)</f>
        <v>868</v>
      </c>
      <c r="K52" s="12">
        <f t="shared" si="1"/>
        <v>-9.958506224066388E-2</v>
      </c>
      <c r="L52" s="2">
        <f>VLOOKUP(A:A,MASTER!A:D,4,0)</f>
        <v>1</v>
      </c>
      <c r="M52" s="2">
        <f>VLOOKUP(A:A,MASTER!A:I,9,0)</f>
        <v>3</v>
      </c>
      <c r="N52" s="12">
        <f t="shared" si="2"/>
        <v>2</v>
      </c>
      <c r="O52" s="1">
        <f>VLOOKUP(A:A,MASTER!A:C,3,0)</f>
        <v>7</v>
      </c>
      <c r="P52" s="1">
        <f>VLOOKUP(A:A,MASTER!A:H,8,0)</f>
        <v>21</v>
      </c>
      <c r="Q52" s="12">
        <f t="shared" si="3"/>
        <v>2</v>
      </c>
      <c r="R52" s="1">
        <f>VLOOKUP(A:A,MASTER!A:B,2,0)</f>
        <v>955</v>
      </c>
      <c r="S52">
        <f>VLOOKUP(A:A,MASTER!A:G,7,0)</f>
        <v>953</v>
      </c>
      <c r="T52" s="12">
        <f t="shared" si="4"/>
        <v>-2.0942408376963817E-3</v>
      </c>
      <c r="U52">
        <v>4</v>
      </c>
    </row>
    <row r="53" spans="1:21" x14ac:dyDescent="0.35">
      <c r="A53" t="s">
        <v>95</v>
      </c>
      <c r="B53" t="s">
        <v>96</v>
      </c>
      <c r="C53" t="s">
        <v>4</v>
      </c>
      <c r="D53" t="s">
        <v>26</v>
      </c>
      <c r="E53" t="s">
        <v>182</v>
      </c>
      <c r="F53" s="1">
        <f>VLOOKUP(A:A,MASTER!A:F,6,0)</f>
        <v>119410945.26705596</v>
      </c>
      <c r="G53" s="1">
        <f>VLOOKUP(A:A,MASTER!A:K,11,0)</f>
        <v>105407524.37725174</v>
      </c>
      <c r="H53" s="12">
        <f t="shared" si="0"/>
        <v>-0.1172708319031085</v>
      </c>
      <c r="I53" s="2">
        <f>VLOOKUP(A:A,MASTER!A:E,5,0)</f>
        <v>1471</v>
      </c>
      <c r="J53" s="2">
        <f>VLOOKUP(A:A,MASTER!A:J,10,0)</f>
        <v>1553</v>
      </c>
      <c r="K53" s="12">
        <f t="shared" si="1"/>
        <v>5.5744391570360374E-2</v>
      </c>
      <c r="L53" s="2">
        <f>VLOOKUP(A:A,MASTER!A:D,4,0)</f>
        <v>8</v>
      </c>
      <c r="M53" s="2">
        <f>VLOOKUP(A:A,MASTER!A:I,9,0)</f>
        <v>8</v>
      </c>
      <c r="N53" s="12">
        <f t="shared" si="2"/>
        <v>0</v>
      </c>
      <c r="O53" s="1">
        <f>VLOOKUP(A:A,MASTER!A:C,3,0)</f>
        <v>17</v>
      </c>
      <c r="P53" s="1">
        <f>VLOOKUP(A:A,MASTER!A:H,8,0)</f>
        <v>25</v>
      </c>
      <c r="Q53" s="12">
        <f t="shared" si="3"/>
        <v>0.47058823529411775</v>
      </c>
      <c r="R53" s="1">
        <f>VLOOKUP(A:A,MASTER!A:B,2,0)</f>
        <v>2039</v>
      </c>
      <c r="S53">
        <f>VLOOKUP(A:A,MASTER!A:G,7,0)</f>
        <v>1890</v>
      </c>
      <c r="T53" s="12">
        <f t="shared" si="4"/>
        <v>-7.3075036782736635E-2</v>
      </c>
      <c r="U53">
        <v>8</v>
      </c>
    </row>
    <row r="54" spans="1:21" x14ac:dyDescent="0.35">
      <c r="A54" t="s">
        <v>174</v>
      </c>
      <c r="B54" t="s">
        <v>175</v>
      </c>
      <c r="C54" t="s">
        <v>4</v>
      </c>
      <c r="D54" t="s">
        <v>5</v>
      </c>
      <c r="E54" t="s">
        <v>182</v>
      </c>
      <c r="F54" s="1">
        <f>VLOOKUP(A:A,MASTER!A:F,6,0)</f>
        <v>28746150.643022817</v>
      </c>
      <c r="G54" s="1">
        <f>VLOOKUP(A:A,MASTER!A:K,11,0)</f>
        <v>30840442.403914332</v>
      </c>
      <c r="H54" s="12">
        <f t="shared" si="0"/>
        <v>7.2854685376799733E-2</v>
      </c>
      <c r="I54" s="2">
        <f>VLOOKUP(A:A,MASTER!A:E,5,0)</f>
        <v>630</v>
      </c>
      <c r="J54" s="2">
        <f>VLOOKUP(A:A,MASTER!A:J,10,0)</f>
        <v>544</v>
      </c>
      <c r="K54" s="12">
        <f t="shared" si="1"/>
        <v>-0.13650793650793647</v>
      </c>
      <c r="L54" s="2">
        <f>VLOOKUP(A:A,MASTER!A:D,4,0)</f>
        <v>1</v>
      </c>
      <c r="M54" s="2">
        <f>VLOOKUP(A:A,MASTER!A:I,9,0)</f>
        <v>0</v>
      </c>
      <c r="N54" s="12">
        <f t="shared" si="2"/>
        <v>-1</v>
      </c>
      <c r="O54" s="1">
        <f>VLOOKUP(A:A,MASTER!A:C,3,0)</f>
        <v>5</v>
      </c>
      <c r="P54" s="1">
        <f>VLOOKUP(A:A,MASTER!A:H,8,0)</f>
        <v>3</v>
      </c>
      <c r="Q54" s="12">
        <f t="shared" si="3"/>
        <v>-0.4</v>
      </c>
      <c r="R54" s="1">
        <f>VLOOKUP(A:A,MASTER!A:B,2,0)</f>
        <v>641</v>
      </c>
      <c r="S54">
        <f>VLOOKUP(A:A,MASTER!A:G,7,0)</f>
        <v>558</v>
      </c>
      <c r="T54" s="12">
        <f t="shared" si="4"/>
        <v>-0.1294851794071763</v>
      </c>
      <c r="U54">
        <v>2</v>
      </c>
    </row>
    <row r="55" spans="1:21" x14ac:dyDescent="0.35">
      <c r="A55" t="s">
        <v>99</v>
      </c>
      <c r="B55" t="s">
        <v>100</v>
      </c>
      <c r="C55" t="s">
        <v>4</v>
      </c>
      <c r="D55" t="s">
        <v>26</v>
      </c>
      <c r="E55" t="s">
        <v>182</v>
      </c>
      <c r="F55" s="1">
        <f>VLOOKUP(A:A,MASTER!A:F,6,0)</f>
        <v>50534026.154194728</v>
      </c>
      <c r="G55" s="1">
        <f>VLOOKUP(A:A,MASTER!A:K,11,0)</f>
        <v>58022852.943238959</v>
      </c>
      <c r="H55" s="12">
        <f t="shared" si="0"/>
        <v>0.14819374902354965</v>
      </c>
      <c r="I55" s="2">
        <f>VLOOKUP(A:A,MASTER!A:E,5,0)</f>
        <v>791</v>
      </c>
      <c r="J55" s="2">
        <f>VLOOKUP(A:A,MASTER!A:J,10,0)</f>
        <v>862</v>
      </c>
      <c r="K55" s="12">
        <f t="shared" si="1"/>
        <v>8.975979772439957E-2</v>
      </c>
      <c r="L55" s="2">
        <f>VLOOKUP(A:A,MASTER!A:D,4,0)</f>
        <v>5</v>
      </c>
      <c r="M55" s="2">
        <f>VLOOKUP(A:A,MASTER!A:I,9,0)</f>
        <v>7</v>
      </c>
      <c r="N55" s="12">
        <f t="shared" si="2"/>
        <v>0.39999999999999991</v>
      </c>
      <c r="O55" s="1">
        <f>VLOOKUP(A:A,MASTER!A:C,3,0)</f>
        <v>9</v>
      </c>
      <c r="P55" s="1">
        <f>VLOOKUP(A:A,MASTER!A:H,8,0)</f>
        <v>18</v>
      </c>
      <c r="Q55" s="12">
        <f t="shared" si="3"/>
        <v>1</v>
      </c>
      <c r="R55" s="1">
        <f>VLOOKUP(A:A,MASTER!A:B,2,0)</f>
        <v>890</v>
      </c>
      <c r="S55">
        <f>VLOOKUP(A:A,MASTER!A:G,7,0)</f>
        <v>920</v>
      </c>
      <c r="T55" s="12">
        <f t="shared" si="4"/>
        <v>3.3707865168539408E-2</v>
      </c>
      <c r="U55">
        <v>7</v>
      </c>
    </row>
    <row r="56" spans="1:21" x14ac:dyDescent="0.35">
      <c r="A56" t="s">
        <v>172</v>
      </c>
      <c r="B56" t="s">
        <v>173</v>
      </c>
      <c r="C56" t="s">
        <v>4</v>
      </c>
      <c r="D56" t="s">
        <v>5</v>
      </c>
      <c r="E56" t="s">
        <v>182</v>
      </c>
      <c r="F56" s="1">
        <f>VLOOKUP(A:A,MASTER!A:F,6,0)</f>
        <v>29973241.917417463</v>
      </c>
      <c r="G56" s="1">
        <f>VLOOKUP(A:A,MASTER!A:K,11,0)</f>
        <v>30077132.13410788</v>
      </c>
      <c r="H56" s="12">
        <f t="shared" si="0"/>
        <v>3.4660987615773298E-3</v>
      </c>
      <c r="I56" s="2">
        <f>VLOOKUP(A:A,MASTER!A:E,5,0)</f>
        <v>681</v>
      </c>
      <c r="J56" s="2">
        <f>VLOOKUP(A:A,MASTER!A:J,10,0)</f>
        <v>586</v>
      </c>
      <c r="K56" s="12">
        <f t="shared" si="1"/>
        <v>-0.13950073421439058</v>
      </c>
      <c r="L56" s="2">
        <f>VLOOKUP(A:A,MASTER!A:D,4,0)</f>
        <v>1</v>
      </c>
      <c r="M56" s="2">
        <f>VLOOKUP(A:A,MASTER!A:I,9,0)</f>
        <v>0</v>
      </c>
      <c r="N56" s="12">
        <f t="shared" si="2"/>
        <v>-1</v>
      </c>
      <c r="O56" s="1">
        <f>VLOOKUP(A:A,MASTER!A:C,3,0)</f>
        <v>4</v>
      </c>
      <c r="P56" s="1">
        <f>VLOOKUP(A:A,MASTER!A:H,8,0)</f>
        <v>2</v>
      </c>
      <c r="Q56" s="12">
        <f t="shared" si="3"/>
        <v>-0.5</v>
      </c>
      <c r="R56" s="1">
        <f>VLOOKUP(A:A,MASTER!A:B,2,0)</f>
        <v>682</v>
      </c>
      <c r="S56">
        <f>VLOOKUP(A:A,MASTER!A:G,7,0)</f>
        <v>672</v>
      </c>
      <c r="T56" s="12">
        <f t="shared" si="4"/>
        <v>-1.4662756598240456E-2</v>
      </c>
      <c r="U56">
        <v>2</v>
      </c>
    </row>
    <row r="57" spans="1:21" x14ac:dyDescent="0.35">
      <c r="A57" t="s">
        <v>168</v>
      </c>
      <c r="B57" t="s">
        <v>169</v>
      </c>
      <c r="C57" t="s">
        <v>4</v>
      </c>
      <c r="D57" t="s">
        <v>5</v>
      </c>
      <c r="E57" t="s">
        <v>182</v>
      </c>
      <c r="F57" s="1">
        <f>VLOOKUP(A:A,MASTER!A:F,6,0)</f>
        <v>64089646.808809586</v>
      </c>
      <c r="G57" s="1">
        <f>VLOOKUP(A:A,MASTER!A:K,11,0)</f>
        <v>72167847.206823215</v>
      </c>
      <c r="H57" s="12">
        <f t="shared" si="0"/>
        <v>0.12604532557516324</v>
      </c>
      <c r="I57" s="2">
        <f>VLOOKUP(A:A,MASTER!A:E,5,0)</f>
        <v>974</v>
      </c>
      <c r="J57" s="2">
        <f>VLOOKUP(A:A,MASTER!A:J,10,0)</f>
        <v>1180</v>
      </c>
      <c r="K57" s="12">
        <f t="shared" si="1"/>
        <v>0.21149897330595491</v>
      </c>
      <c r="L57" s="2">
        <f>VLOOKUP(A:A,MASTER!A:D,4,0)</f>
        <v>1</v>
      </c>
      <c r="M57" s="2">
        <f>VLOOKUP(A:A,MASTER!A:I,9,0)</f>
        <v>1</v>
      </c>
      <c r="N57" s="12">
        <f t="shared" si="2"/>
        <v>0</v>
      </c>
      <c r="O57" s="1">
        <f>VLOOKUP(A:A,MASTER!A:C,3,0)</f>
        <v>8</v>
      </c>
      <c r="P57" s="1">
        <f>VLOOKUP(A:A,MASTER!A:H,8,0)</f>
        <v>9</v>
      </c>
      <c r="Q57" s="12">
        <f t="shared" si="3"/>
        <v>0.125</v>
      </c>
      <c r="R57" s="1">
        <f>VLOOKUP(A:A,MASTER!A:B,2,0)</f>
        <v>1084</v>
      </c>
      <c r="S57">
        <f>VLOOKUP(A:A,MASTER!A:G,7,0)</f>
        <v>1228</v>
      </c>
      <c r="T57" s="12">
        <f t="shared" si="4"/>
        <v>0.13284132841328411</v>
      </c>
      <c r="U57">
        <v>2</v>
      </c>
    </row>
    <row r="58" spans="1:21" x14ac:dyDescent="0.35">
      <c r="A58" t="s">
        <v>101</v>
      </c>
      <c r="B58" t="s">
        <v>102</v>
      </c>
      <c r="C58" t="s">
        <v>4</v>
      </c>
      <c r="D58" t="s">
        <v>26</v>
      </c>
      <c r="E58" t="s">
        <v>182</v>
      </c>
      <c r="F58" s="1">
        <f>VLOOKUP(A:A,MASTER!A:F,6,0)</f>
        <v>82060801.254646644</v>
      </c>
      <c r="G58" s="1">
        <f>VLOOKUP(A:A,MASTER!A:K,11,0)</f>
        <v>98955882.959735617</v>
      </c>
      <c r="H58" s="12">
        <f t="shared" si="0"/>
        <v>0.20588492248157642</v>
      </c>
      <c r="I58" s="2">
        <f>VLOOKUP(A:A,MASTER!A:E,5,0)</f>
        <v>1525</v>
      </c>
      <c r="J58" s="2">
        <f>VLOOKUP(A:A,MASTER!A:J,10,0)</f>
        <v>1632</v>
      </c>
      <c r="K58" s="12">
        <f t="shared" si="1"/>
        <v>7.016393442622948E-2</v>
      </c>
      <c r="L58" s="2">
        <f>VLOOKUP(A:A,MASTER!A:D,4,0)</f>
        <v>5</v>
      </c>
      <c r="M58" s="2">
        <f>VLOOKUP(A:A,MASTER!A:I,9,0)</f>
        <v>6</v>
      </c>
      <c r="N58" s="12">
        <f t="shared" si="2"/>
        <v>0.19999999999999996</v>
      </c>
      <c r="O58" s="1">
        <f>VLOOKUP(A:A,MASTER!A:C,3,0)</f>
        <v>17</v>
      </c>
      <c r="P58" s="1">
        <f>VLOOKUP(A:A,MASTER!A:H,8,0)</f>
        <v>24</v>
      </c>
      <c r="Q58" s="12">
        <f t="shared" si="3"/>
        <v>0.41176470588235303</v>
      </c>
      <c r="R58" s="1">
        <f>VLOOKUP(A:A,MASTER!A:B,2,0)</f>
        <v>1566</v>
      </c>
      <c r="S58">
        <f>VLOOKUP(A:A,MASTER!A:G,7,0)</f>
        <v>1751</v>
      </c>
      <c r="T58" s="12">
        <f t="shared" si="4"/>
        <v>0.11813537675606645</v>
      </c>
      <c r="U58">
        <v>4</v>
      </c>
    </row>
    <row r="59" spans="1:21" x14ac:dyDescent="0.35">
      <c r="A59" t="s">
        <v>103</v>
      </c>
      <c r="B59" t="s">
        <v>104</v>
      </c>
      <c r="C59" t="s">
        <v>4</v>
      </c>
      <c r="D59" t="s">
        <v>26</v>
      </c>
      <c r="E59" t="s">
        <v>182</v>
      </c>
      <c r="F59" s="1">
        <f>VLOOKUP(A:A,MASTER!A:F,6,0)</f>
        <v>43617498.74617999</v>
      </c>
      <c r="G59" s="1">
        <f>VLOOKUP(A:A,MASTER!A:K,11,0)</f>
        <v>37659452.117500708</v>
      </c>
      <c r="H59" s="12">
        <f t="shared" si="0"/>
        <v>-0.13659762251270968</v>
      </c>
      <c r="I59" s="2">
        <f>VLOOKUP(A:A,MASTER!A:E,5,0)</f>
        <v>759</v>
      </c>
      <c r="J59" s="2">
        <f>VLOOKUP(A:A,MASTER!A:J,10,0)</f>
        <v>572</v>
      </c>
      <c r="K59" s="12">
        <f t="shared" si="1"/>
        <v>-0.24637681159420288</v>
      </c>
      <c r="L59" s="2">
        <f>VLOOKUP(A:A,MASTER!A:D,4,0)</f>
        <v>4</v>
      </c>
      <c r="M59" s="2">
        <f>VLOOKUP(A:A,MASTER!A:I,9,0)</f>
        <v>4</v>
      </c>
      <c r="N59" s="12">
        <f t="shared" si="2"/>
        <v>0</v>
      </c>
      <c r="O59" s="1">
        <f>VLOOKUP(A:A,MASTER!A:C,3,0)</f>
        <v>6</v>
      </c>
      <c r="P59" s="1">
        <f>VLOOKUP(A:A,MASTER!A:H,8,0)</f>
        <v>6</v>
      </c>
      <c r="Q59" s="12">
        <f t="shared" si="3"/>
        <v>0</v>
      </c>
      <c r="R59" s="1">
        <f>VLOOKUP(A:A,MASTER!A:B,2,0)</f>
        <v>773</v>
      </c>
      <c r="S59">
        <f>VLOOKUP(A:A,MASTER!A:G,7,0)</f>
        <v>746</v>
      </c>
      <c r="T59" s="12">
        <f t="shared" si="4"/>
        <v>-3.4928848641655907E-2</v>
      </c>
      <c r="U59">
        <v>3</v>
      </c>
    </row>
    <row r="60" spans="1:21" x14ac:dyDescent="0.35">
      <c r="A60" t="s">
        <v>105</v>
      </c>
      <c r="B60" t="s">
        <v>106</v>
      </c>
      <c r="C60" t="s">
        <v>4</v>
      </c>
      <c r="D60" t="s">
        <v>26</v>
      </c>
      <c r="E60" t="s">
        <v>182</v>
      </c>
      <c r="F60" s="1">
        <f>VLOOKUP(A:A,MASTER!A:F,6,0)</f>
        <v>46851602.044060081</v>
      </c>
      <c r="G60" s="1">
        <f>VLOOKUP(A:A,MASTER!A:K,11,0)</f>
        <v>51392439.971463479</v>
      </c>
      <c r="H60" s="12">
        <f t="shared" si="0"/>
        <v>9.691958714950899E-2</v>
      </c>
      <c r="I60" s="2">
        <f>VLOOKUP(A:A,MASTER!A:E,5,0)</f>
        <v>474</v>
      </c>
      <c r="J60" s="2">
        <f>VLOOKUP(A:A,MASTER!A:J,10,0)</f>
        <v>516</v>
      </c>
      <c r="K60" s="12">
        <f t="shared" si="1"/>
        <v>8.8607594936708889E-2</v>
      </c>
      <c r="L60" s="2">
        <f>VLOOKUP(A:A,MASTER!A:D,4,0)</f>
        <v>6</v>
      </c>
      <c r="M60" s="2">
        <f>VLOOKUP(A:A,MASTER!A:I,9,0)</f>
        <v>7</v>
      </c>
      <c r="N60" s="12">
        <f t="shared" si="2"/>
        <v>0.16666666666666674</v>
      </c>
      <c r="O60" s="1">
        <f>VLOOKUP(A:A,MASTER!A:C,3,0)</f>
        <v>14</v>
      </c>
      <c r="P60" s="1">
        <f>VLOOKUP(A:A,MASTER!A:H,8,0)</f>
        <v>9</v>
      </c>
      <c r="Q60" s="12">
        <f t="shared" si="3"/>
        <v>-0.3571428571428571</v>
      </c>
      <c r="R60" s="1">
        <f>VLOOKUP(A:A,MASTER!A:B,2,0)</f>
        <v>633</v>
      </c>
      <c r="S60">
        <f>VLOOKUP(A:A,MASTER!A:G,7,0)</f>
        <v>609</v>
      </c>
      <c r="T60" s="12">
        <f t="shared" si="4"/>
        <v>-3.7914691943127909E-2</v>
      </c>
      <c r="U60">
        <v>10</v>
      </c>
    </row>
    <row r="61" spans="1:21" x14ac:dyDescent="0.35">
      <c r="A61" t="s">
        <v>24</v>
      </c>
      <c r="B61" t="s">
        <v>25</v>
      </c>
      <c r="C61" t="s">
        <v>4</v>
      </c>
      <c r="D61" t="s">
        <v>26</v>
      </c>
      <c r="E61" t="s">
        <v>182</v>
      </c>
      <c r="F61" s="1">
        <f>VLOOKUP(A:A,MASTER!A:F,6,0)</f>
        <v>155019433.83705688</v>
      </c>
      <c r="G61" s="1">
        <f>VLOOKUP(A:A,MASTER!A:K,11,0)</f>
        <v>158680245.89554912</v>
      </c>
      <c r="H61" s="12">
        <f t="shared" si="0"/>
        <v>2.3615181450992617E-2</v>
      </c>
      <c r="I61" s="2">
        <f>VLOOKUP(A:A,MASTER!A:E,5,0)</f>
        <v>1778</v>
      </c>
      <c r="J61" s="2">
        <f>VLOOKUP(A:A,MASTER!A:J,10,0)</f>
        <v>1690</v>
      </c>
      <c r="K61" s="12">
        <f t="shared" si="1"/>
        <v>-4.9493813273340792E-2</v>
      </c>
      <c r="L61" s="2">
        <f>VLOOKUP(A:A,MASTER!A:D,4,0)</f>
        <v>11</v>
      </c>
      <c r="M61" s="2">
        <f>VLOOKUP(A:A,MASTER!A:I,9,0)</f>
        <v>11</v>
      </c>
      <c r="N61" s="12">
        <f t="shared" si="2"/>
        <v>0</v>
      </c>
      <c r="O61" s="1">
        <f>VLOOKUP(A:A,MASTER!A:C,3,0)</f>
        <v>19</v>
      </c>
      <c r="P61" s="1">
        <f>VLOOKUP(A:A,MASTER!A:H,8,0)</f>
        <v>28</v>
      </c>
      <c r="Q61" s="12">
        <f t="shared" si="3"/>
        <v>0.47368421052631571</v>
      </c>
      <c r="R61" s="1">
        <f>VLOOKUP(A:A,MASTER!A:B,2,0)</f>
        <v>1983</v>
      </c>
      <c r="S61">
        <f>VLOOKUP(A:A,MASTER!A:G,7,0)</f>
        <v>1941</v>
      </c>
      <c r="T61" s="12">
        <f t="shared" si="4"/>
        <v>-2.1180030257186067E-2</v>
      </c>
      <c r="U61">
        <v>10</v>
      </c>
    </row>
    <row r="62" spans="1:21" x14ac:dyDescent="0.35">
      <c r="A62" t="s">
        <v>27</v>
      </c>
      <c r="B62" t="s">
        <v>28</v>
      </c>
      <c r="C62" t="s">
        <v>4</v>
      </c>
      <c r="D62" t="s">
        <v>26</v>
      </c>
      <c r="E62" t="s">
        <v>182</v>
      </c>
      <c r="F62" s="1">
        <f>VLOOKUP(A:A,MASTER!A:F,6,0)</f>
        <v>117888567.25637533</v>
      </c>
      <c r="G62" s="1">
        <f>VLOOKUP(A:A,MASTER!A:K,11,0)</f>
        <v>116671580.48246722</v>
      </c>
      <c r="H62" s="12">
        <f t="shared" si="0"/>
        <v>-1.0323195897881221E-2</v>
      </c>
      <c r="I62" s="2">
        <f>VLOOKUP(A:A,MASTER!A:E,5,0)</f>
        <v>1239</v>
      </c>
      <c r="J62" s="2">
        <f>VLOOKUP(A:A,MASTER!A:J,10,0)</f>
        <v>1327</v>
      </c>
      <c r="K62" s="12">
        <f t="shared" si="1"/>
        <v>7.1025020177562626E-2</v>
      </c>
      <c r="L62" s="2">
        <f>VLOOKUP(A:A,MASTER!A:D,4,0)</f>
        <v>6</v>
      </c>
      <c r="M62" s="2">
        <f>VLOOKUP(A:A,MASTER!A:I,9,0)</f>
        <v>7</v>
      </c>
      <c r="N62" s="12">
        <f t="shared" si="2"/>
        <v>0.16666666666666674</v>
      </c>
      <c r="O62" s="1">
        <f>VLOOKUP(A:A,MASTER!A:C,3,0)</f>
        <v>29</v>
      </c>
      <c r="P62" s="1">
        <f>VLOOKUP(A:A,MASTER!A:H,8,0)</f>
        <v>27</v>
      </c>
      <c r="Q62" s="12">
        <f t="shared" si="3"/>
        <v>-6.8965517241379337E-2</v>
      </c>
      <c r="R62" s="1">
        <f>VLOOKUP(A:A,MASTER!A:B,2,0)</f>
        <v>1584</v>
      </c>
      <c r="S62">
        <f>VLOOKUP(A:A,MASTER!A:G,7,0)</f>
        <v>1737</v>
      </c>
      <c r="T62" s="12">
        <f t="shared" si="4"/>
        <v>9.6590909090909172E-2</v>
      </c>
      <c r="U62">
        <v>9</v>
      </c>
    </row>
    <row r="63" spans="1:21" x14ac:dyDescent="0.35">
      <c r="A63" t="s">
        <v>29</v>
      </c>
      <c r="B63" t="s">
        <v>30</v>
      </c>
      <c r="C63" t="s">
        <v>4</v>
      </c>
      <c r="D63" t="s">
        <v>26</v>
      </c>
      <c r="E63" t="s">
        <v>182</v>
      </c>
      <c r="F63" s="1">
        <f>VLOOKUP(A:A,MASTER!A:F,6,0)</f>
        <v>76275135.635837644</v>
      </c>
      <c r="G63" s="1">
        <f>VLOOKUP(A:A,MASTER!A:K,11,0)</f>
        <v>77127570.043900684</v>
      </c>
      <c r="H63" s="12">
        <f t="shared" si="0"/>
        <v>1.1175783575565701E-2</v>
      </c>
      <c r="I63" s="2">
        <f>VLOOKUP(A:A,MASTER!A:E,5,0)</f>
        <v>726</v>
      </c>
      <c r="J63" s="2">
        <f>VLOOKUP(A:A,MASTER!A:J,10,0)</f>
        <v>785</v>
      </c>
      <c r="K63" s="12">
        <f t="shared" si="1"/>
        <v>8.1267217630853983E-2</v>
      </c>
      <c r="L63" s="2">
        <f>VLOOKUP(A:A,MASTER!A:D,4,0)</f>
        <v>1</v>
      </c>
      <c r="M63" s="2">
        <f>VLOOKUP(A:A,MASTER!A:I,9,0)</f>
        <v>1</v>
      </c>
      <c r="N63" s="12">
        <f t="shared" si="2"/>
        <v>0</v>
      </c>
      <c r="O63" s="1">
        <f>VLOOKUP(A:A,MASTER!A:C,3,0)</f>
        <v>13</v>
      </c>
      <c r="P63" s="1">
        <f>VLOOKUP(A:A,MASTER!A:H,8,0)</f>
        <v>8</v>
      </c>
      <c r="Q63" s="12">
        <f t="shared" si="3"/>
        <v>-0.38461538461538458</v>
      </c>
      <c r="R63" s="1">
        <f>VLOOKUP(A:A,MASTER!A:B,2,0)</f>
        <v>907</v>
      </c>
      <c r="S63">
        <f>VLOOKUP(A:A,MASTER!A:G,7,0)</f>
        <v>946</v>
      </c>
      <c r="T63" s="12">
        <f t="shared" si="4"/>
        <v>4.2998897464167518E-2</v>
      </c>
      <c r="U63">
        <v>4</v>
      </c>
    </row>
    <row r="64" spans="1:21" x14ac:dyDescent="0.35">
      <c r="A64" t="s">
        <v>57</v>
      </c>
      <c r="B64" t="s">
        <v>58</v>
      </c>
      <c r="C64" t="s">
        <v>22</v>
      </c>
      <c r="D64" t="s">
        <v>23</v>
      </c>
      <c r="E64" t="s">
        <v>182</v>
      </c>
      <c r="F64" s="1">
        <f>VLOOKUP(A:A,MASTER!A:F,6,0)</f>
        <v>108380243.46347478</v>
      </c>
      <c r="G64" s="1">
        <f>VLOOKUP(A:A,MASTER!A:K,11,0)</f>
        <v>106910083.29765685</v>
      </c>
      <c r="H64" s="12">
        <f t="shared" si="0"/>
        <v>-1.356483542421083E-2</v>
      </c>
      <c r="I64" s="2">
        <f>VLOOKUP(A:A,MASTER!A:E,5,0)</f>
        <v>1347</v>
      </c>
      <c r="J64" s="2">
        <f>VLOOKUP(A:A,MASTER!A:J,10,0)</f>
        <v>1305</v>
      </c>
      <c r="K64" s="12">
        <f t="shared" si="1"/>
        <v>-3.1180400890868598E-2</v>
      </c>
      <c r="L64" s="2">
        <f>VLOOKUP(A:A,MASTER!A:D,4,0)</f>
        <v>12</v>
      </c>
      <c r="M64" s="2">
        <f>VLOOKUP(A:A,MASTER!A:I,9,0)</f>
        <v>13</v>
      </c>
      <c r="N64" s="12">
        <f t="shared" si="2"/>
        <v>8.3333333333333259E-2</v>
      </c>
      <c r="O64" s="1">
        <f>VLOOKUP(A:A,MASTER!A:C,3,0)</f>
        <v>691</v>
      </c>
      <c r="P64" s="1">
        <f>VLOOKUP(A:A,MASTER!A:H,8,0)</f>
        <v>866</v>
      </c>
      <c r="Q64" s="12">
        <f t="shared" si="3"/>
        <v>0.25325615050651229</v>
      </c>
      <c r="R64" s="1">
        <f>VLOOKUP(A:A,MASTER!A:B,2,0)</f>
        <v>2301</v>
      </c>
      <c r="S64">
        <f>VLOOKUP(A:A,MASTER!A:G,7,0)</f>
        <v>2301</v>
      </c>
      <c r="T64" s="12">
        <f t="shared" si="4"/>
        <v>0</v>
      </c>
      <c r="U64">
        <v>9</v>
      </c>
    </row>
    <row r="65" spans="1:21" x14ac:dyDescent="0.35">
      <c r="A65" t="s">
        <v>137</v>
      </c>
      <c r="B65" t="s">
        <v>138</v>
      </c>
      <c r="C65" t="s">
        <v>22</v>
      </c>
      <c r="D65" t="s">
        <v>69</v>
      </c>
      <c r="E65" t="s">
        <v>180</v>
      </c>
      <c r="F65" s="1">
        <f>VLOOKUP(A:A,MASTER!A:F,6,0)</f>
        <v>5691249.6139963828</v>
      </c>
      <c r="G65" s="1">
        <f>VLOOKUP(A:A,MASTER!A:K,11,0)</f>
        <v>7987769.2646215167</v>
      </c>
      <c r="H65" s="12">
        <f t="shared" si="0"/>
        <v>0.40351764663024903</v>
      </c>
      <c r="I65" s="2">
        <f>VLOOKUP(A:A,MASTER!A:E,5,0)</f>
        <v>246</v>
      </c>
      <c r="J65" s="2">
        <f>VLOOKUP(A:A,MASTER!A:J,10,0)</f>
        <v>253</v>
      </c>
      <c r="K65" s="12">
        <f t="shared" si="1"/>
        <v>2.8455284552845628E-2</v>
      </c>
      <c r="L65" s="2">
        <f>VLOOKUP(A:A,MASTER!A:D,4,0)</f>
        <v>1</v>
      </c>
      <c r="M65" s="2">
        <f>VLOOKUP(A:A,MASTER!A:I,9,0)</f>
        <v>0</v>
      </c>
      <c r="N65" s="12">
        <f t="shared" si="2"/>
        <v>-1</v>
      </c>
      <c r="O65" s="1">
        <f>VLOOKUP(A:A,MASTER!A:C,3,0)</f>
        <v>1</v>
      </c>
      <c r="P65" s="1">
        <f>VLOOKUP(A:A,MASTER!A:H,8,0)</f>
        <v>5</v>
      </c>
      <c r="Q65" s="12">
        <f t="shared" si="3"/>
        <v>4</v>
      </c>
      <c r="R65" s="1">
        <f>VLOOKUP(A:A,MASTER!A:B,2,0)</f>
        <v>231</v>
      </c>
      <c r="S65">
        <f>VLOOKUP(A:A,MASTER!A:G,7,0)</f>
        <v>255</v>
      </c>
      <c r="T65" s="12">
        <f t="shared" si="4"/>
        <v>0.10389610389610393</v>
      </c>
      <c r="U65">
        <v>2</v>
      </c>
    </row>
    <row r="66" spans="1:21" x14ac:dyDescent="0.35">
      <c r="A66" t="s">
        <v>10</v>
      </c>
      <c r="B66" t="s">
        <v>11</v>
      </c>
      <c r="C66" t="s">
        <v>4</v>
      </c>
      <c r="D66" t="s">
        <v>151</v>
      </c>
      <c r="E66" t="s">
        <v>182</v>
      </c>
      <c r="F66" s="1">
        <f>VLOOKUP(A:A,MASTER!A:F,6,0)</f>
        <v>79071108.529363111</v>
      </c>
      <c r="G66" s="1">
        <f>VLOOKUP(A:A,MASTER!A:K,11,0)</f>
        <v>78424125.99261938</v>
      </c>
      <c r="H66" s="12">
        <f t="shared" si="0"/>
        <v>-8.1822874217511998E-3</v>
      </c>
      <c r="I66" s="2">
        <f>VLOOKUP(A:A,MASTER!A:E,5,0)</f>
        <v>1425</v>
      </c>
      <c r="J66" s="2">
        <f>VLOOKUP(A:A,MASTER!A:J,10,0)</f>
        <v>1561</v>
      </c>
      <c r="K66" s="12">
        <f t="shared" si="1"/>
        <v>9.54385964912281E-2</v>
      </c>
      <c r="L66" s="2">
        <f>VLOOKUP(A:A,MASTER!A:D,4,0)</f>
        <v>6</v>
      </c>
      <c r="M66" s="2">
        <f>VLOOKUP(A:A,MASTER!A:I,9,0)</f>
        <v>8</v>
      </c>
      <c r="N66" s="12">
        <f t="shared" si="2"/>
        <v>0.33333333333333326</v>
      </c>
      <c r="O66" s="1">
        <f>VLOOKUP(A:A,MASTER!A:C,3,0)</f>
        <v>18</v>
      </c>
      <c r="P66" s="1">
        <f>VLOOKUP(A:A,MASTER!A:H,8,0)</f>
        <v>12</v>
      </c>
      <c r="Q66" s="12">
        <f t="shared" si="3"/>
        <v>-0.33333333333333337</v>
      </c>
      <c r="R66" s="1">
        <f>VLOOKUP(A:A,MASTER!A:B,2,0)</f>
        <v>1604</v>
      </c>
      <c r="S66">
        <f>VLOOKUP(A:A,MASTER!A:G,7,0)</f>
        <v>1869</v>
      </c>
      <c r="T66" s="12">
        <f t="shared" si="4"/>
        <v>0.16521197007481292</v>
      </c>
      <c r="U66">
        <v>6</v>
      </c>
    </row>
    <row r="67" spans="1:21" x14ac:dyDescent="0.35">
      <c r="A67" t="s">
        <v>12</v>
      </c>
      <c r="B67" t="s">
        <v>13</v>
      </c>
      <c r="C67" t="s">
        <v>4</v>
      </c>
      <c r="D67" t="s">
        <v>151</v>
      </c>
      <c r="E67" t="s">
        <v>182</v>
      </c>
      <c r="F67" s="1">
        <f>VLOOKUP(A:A,MASTER!A:F,6,0)</f>
        <v>36801846.024474993</v>
      </c>
      <c r="G67" s="1">
        <f>VLOOKUP(A:A,MASTER!A:K,11,0)</f>
        <v>33128284.034253567</v>
      </c>
      <c r="H67" s="12">
        <f t="shared" ref="H67:H85" si="5">IFERROR(G67/F67-1,0)</f>
        <v>-9.9820046738370971E-2</v>
      </c>
      <c r="I67" s="2">
        <f>VLOOKUP(A:A,MASTER!A:E,5,0)</f>
        <v>582</v>
      </c>
      <c r="J67" s="2">
        <f>VLOOKUP(A:A,MASTER!A:J,10,0)</f>
        <v>503</v>
      </c>
      <c r="K67" s="12">
        <f t="shared" ref="K67:K85" si="6">IFERROR(J67/I67-1,0)</f>
        <v>-0.13573883161512024</v>
      </c>
      <c r="L67" s="2">
        <f>VLOOKUP(A:A,MASTER!A:D,4,0)</f>
        <v>3</v>
      </c>
      <c r="M67" s="2">
        <f>VLOOKUP(A:A,MASTER!A:I,9,0)</f>
        <v>4</v>
      </c>
      <c r="N67" s="12">
        <f t="shared" ref="N67:N85" si="7">IFERROR(M67/L67-1,0)</f>
        <v>0.33333333333333326</v>
      </c>
      <c r="O67" s="1">
        <f>VLOOKUP(A:A,MASTER!A:C,3,0)</f>
        <v>6</v>
      </c>
      <c r="P67" s="1">
        <f>VLOOKUP(A:A,MASTER!A:H,8,0)</f>
        <v>3</v>
      </c>
      <c r="Q67" s="12">
        <f t="shared" ref="Q67:Q85" si="8">IFERROR(P67/O67-1,0)</f>
        <v>-0.5</v>
      </c>
      <c r="R67" s="1">
        <f>VLOOKUP(A:A,MASTER!A:B,2,0)</f>
        <v>792</v>
      </c>
      <c r="S67">
        <f>VLOOKUP(A:A,MASTER!A:G,7,0)</f>
        <v>733</v>
      </c>
      <c r="T67" s="12">
        <f t="shared" ref="T67:T85" si="9">IFERROR(S67/R67-1,0)</f>
        <v>-7.4494949494949503E-2</v>
      </c>
      <c r="U67">
        <v>3</v>
      </c>
    </row>
    <row r="68" spans="1:21" x14ac:dyDescent="0.35">
      <c r="A68" t="s">
        <v>162</v>
      </c>
      <c r="B68" t="s">
        <v>163</v>
      </c>
      <c r="C68" t="s">
        <v>4</v>
      </c>
      <c r="D68" t="s">
        <v>151</v>
      </c>
      <c r="E68" t="s">
        <v>182</v>
      </c>
      <c r="F68" s="1">
        <f>VLOOKUP(A:A,MASTER!A:F,6,0)</f>
        <v>57932326.489845715</v>
      </c>
      <c r="G68" s="1">
        <f>VLOOKUP(A:A,MASTER!A:K,11,0)</f>
        <v>62036195.214907609</v>
      </c>
      <c r="H68" s="12">
        <f t="shared" si="5"/>
        <v>7.0839011200097612E-2</v>
      </c>
      <c r="I68" s="2">
        <f>VLOOKUP(A:A,MASTER!A:E,5,0)</f>
        <v>966</v>
      </c>
      <c r="J68" s="2">
        <f>VLOOKUP(A:A,MASTER!A:J,10,0)</f>
        <v>931</v>
      </c>
      <c r="K68" s="12">
        <f t="shared" si="6"/>
        <v>-3.6231884057971064E-2</v>
      </c>
      <c r="L68" s="2">
        <f>VLOOKUP(A:A,MASTER!A:D,4,0)</f>
        <v>5</v>
      </c>
      <c r="M68" s="2">
        <f>VLOOKUP(A:A,MASTER!A:I,9,0)</f>
        <v>5</v>
      </c>
      <c r="N68" s="12">
        <f t="shared" si="7"/>
        <v>0</v>
      </c>
      <c r="O68" s="1">
        <f>VLOOKUP(A:A,MASTER!A:C,3,0)</f>
        <v>345</v>
      </c>
      <c r="P68" s="1">
        <f>VLOOKUP(A:A,MASTER!A:H,8,0)</f>
        <v>67</v>
      </c>
      <c r="Q68" s="12">
        <f t="shared" si="8"/>
        <v>-0.8057971014492753</v>
      </c>
      <c r="R68" s="1">
        <f>VLOOKUP(A:A,MASTER!A:B,2,0)</f>
        <v>1313</v>
      </c>
      <c r="S68">
        <f>VLOOKUP(A:A,MASTER!A:G,7,0)</f>
        <v>1328</v>
      </c>
      <c r="T68" s="12">
        <f t="shared" si="9"/>
        <v>1.1424219345011366E-2</v>
      </c>
      <c r="U68">
        <v>4</v>
      </c>
    </row>
    <row r="69" spans="1:21" x14ac:dyDescent="0.35">
      <c r="A69" t="s">
        <v>63</v>
      </c>
      <c r="B69" t="s">
        <v>64</v>
      </c>
      <c r="C69" t="s">
        <v>22</v>
      </c>
      <c r="D69" t="s">
        <v>23</v>
      </c>
      <c r="E69" t="s">
        <v>182</v>
      </c>
      <c r="F69" s="1">
        <f>VLOOKUP(A:A,MASTER!A:F,6,0)</f>
        <v>40871980.050328873</v>
      </c>
      <c r="G69" s="1">
        <f>VLOOKUP(A:A,MASTER!A:K,11,0)</f>
        <v>43984493.180225126</v>
      </c>
      <c r="H69" s="12">
        <f t="shared" si="5"/>
        <v>7.6152736570715973E-2</v>
      </c>
      <c r="I69" s="2">
        <f>VLOOKUP(A:A,MASTER!A:E,5,0)</f>
        <v>1359</v>
      </c>
      <c r="J69" s="2">
        <f>VLOOKUP(A:A,MASTER!A:J,10,0)</f>
        <v>1289</v>
      </c>
      <c r="K69" s="12">
        <f t="shared" si="6"/>
        <v>-5.1508462104488562E-2</v>
      </c>
      <c r="L69" s="2">
        <f>VLOOKUP(A:A,MASTER!A:D,4,0)</f>
        <v>5</v>
      </c>
      <c r="M69" s="2">
        <f>VLOOKUP(A:A,MASTER!A:I,9,0)</f>
        <v>4</v>
      </c>
      <c r="N69" s="12">
        <f t="shared" si="7"/>
        <v>-0.19999999999999996</v>
      </c>
      <c r="O69" s="1">
        <f>VLOOKUP(A:A,MASTER!A:C,3,0)</f>
        <v>14</v>
      </c>
      <c r="P69" s="1">
        <f>VLOOKUP(A:A,MASTER!A:H,8,0)</f>
        <v>12</v>
      </c>
      <c r="Q69" s="12">
        <f t="shared" si="8"/>
        <v>-0.1428571428571429</v>
      </c>
      <c r="R69" s="1">
        <f>VLOOKUP(A:A,MASTER!A:B,2,0)</f>
        <v>1266</v>
      </c>
      <c r="S69">
        <f>VLOOKUP(A:A,MASTER!A:G,7,0)</f>
        <v>1410</v>
      </c>
      <c r="T69" s="12">
        <f t="shared" si="9"/>
        <v>0.11374407582938395</v>
      </c>
      <c r="U69">
        <v>4</v>
      </c>
    </row>
    <row r="70" spans="1:21" x14ac:dyDescent="0.35">
      <c r="A70" t="s">
        <v>59</v>
      </c>
      <c r="B70" t="s">
        <v>60</v>
      </c>
      <c r="C70" t="s">
        <v>22</v>
      </c>
      <c r="D70" t="s">
        <v>23</v>
      </c>
      <c r="E70" t="s">
        <v>182</v>
      </c>
      <c r="F70" s="1">
        <f>VLOOKUP(A:A,MASTER!A:F,6,0)</f>
        <v>100862763.25341393</v>
      </c>
      <c r="G70" s="1">
        <f>VLOOKUP(A:A,MASTER!A:K,11,0)</f>
        <v>102759765.91798091</v>
      </c>
      <c r="H70" s="12">
        <f t="shared" si="5"/>
        <v>1.8807760201857926E-2</v>
      </c>
      <c r="I70" s="2">
        <f>VLOOKUP(A:A,MASTER!A:E,5,0)</f>
        <v>1198</v>
      </c>
      <c r="J70" s="2">
        <f>VLOOKUP(A:A,MASTER!A:J,10,0)</f>
        <v>1328</v>
      </c>
      <c r="K70" s="12">
        <f t="shared" si="6"/>
        <v>0.10851419031719534</v>
      </c>
      <c r="L70" s="2">
        <f>VLOOKUP(A:A,MASTER!A:D,4,0)</f>
        <v>5</v>
      </c>
      <c r="M70" s="2">
        <f>VLOOKUP(A:A,MASTER!A:I,9,0)</f>
        <v>8</v>
      </c>
      <c r="N70" s="12">
        <f t="shared" si="7"/>
        <v>0.60000000000000009</v>
      </c>
      <c r="O70" s="1">
        <f>VLOOKUP(A:A,MASTER!A:C,3,0)</f>
        <v>19</v>
      </c>
      <c r="P70" s="1">
        <f>VLOOKUP(A:A,MASTER!A:H,8,0)</f>
        <v>19</v>
      </c>
      <c r="Q70" s="12">
        <f t="shared" si="8"/>
        <v>0</v>
      </c>
      <c r="R70" s="1">
        <f>VLOOKUP(A:A,MASTER!A:B,2,0)</f>
        <v>1719</v>
      </c>
      <c r="S70">
        <f>VLOOKUP(A:A,MASTER!A:G,7,0)</f>
        <v>1599</v>
      </c>
      <c r="T70" s="12">
        <f t="shared" si="9"/>
        <v>-6.9808027923211169E-2</v>
      </c>
      <c r="U70">
        <v>4</v>
      </c>
    </row>
    <row r="71" spans="1:21" x14ac:dyDescent="0.35">
      <c r="A71" t="s">
        <v>139</v>
      </c>
      <c r="B71" t="s">
        <v>140</v>
      </c>
      <c r="C71" t="s">
        <v>22</v>
      </c>
      <c r="D71" t="s">
        <v>69</v>
      </c>
      <c r="E71" t="s">
        <v>180</v>
      </c>
      <c r="F71" s="1">
        <f>VLOOKUP(A:A,MASTER!A:F,6,0)</f>
        <v>20695446.437189449</v>
      </c>
      <c r="G71" s="1">
        <f>VLOOKUP(A:A,MASTER!A:K,11,0)</f>
        <v>19247729.504521087</v>
      </c>
      <c r="H71" s="12">
        <f t="shared" si="5"/>
        <v>-6.9953404342456338E-2</v>
      </c>
      <c r="I71" s="2">
        <f>VLOOKUP(A:A,MASTER!A:E,5,0)</f>
        <v>452</v>
      </c>
      <c r="J71" s="2">
        <f>VLOOKUP(A:A,MASTER!A:J,10,0)</f>
        <v>443</v>
      </c>
      <c r="K71" s="12">
        <f t="shared" si="6"/>
        <v>-1.9911504424778736E-2</v>
      </c>
      <c r="L71" s="2">
        <f>VLOOKUP(A:A,MASTER!A:D,4,0)</f>
        <v>1</v>
      </c>
      <c r="M71" s="2">
        <f>VLOOKUP(A:A,MASTER!A:I,9,0)</f>
        <v>2</v>
      </c>
      <c r="N71" s="12">
        <f t="shared" si="7"/>
        <v>1</v>
      </c>
      <c r="O71" s="1">
        <f>VLOOKUP(A:A,MASTER!A:C,3,0)</f>
        <v>4</v>
      </c>
      <c r="P71" s="1">
        <f>VLOOKUP(A:A,MASTER!A:H,8,0)</f>
        <v>7</v>
      </c>
      <c r="Q71" s="12">
        <f t="shared" si="8"/>
        <v>0.75</v>
      </c>
      <c r="R71" s="1">
        <f>VLOOKUP(A:A,MASTER!A:B,2,0)</f>
        <v>511</v>
      </c>
      <c r="S71">
        <f>VLOOKUP(A:A,MASTER!A:G,7,0)</f>
        <v>496</v>
      </c>
      <c r="T71" s="12">
        <f t="shared" si="9"/>
        <v>-2.9354207436399271E-2</v>
      </c>
      <c r="U71">
        <v>1</v>
      </c>
    </row>
    <row r="72" spans="1:21" x14ac:dyDescent="0.35">
      <c r="A72" t="s">
        <v>170</v>
      </c>
      <c r="B72" t="s">
        <v>171</v>
      </c>
      <c r="C72" t="s">
        <v>4</v>
      </c>
      <c r="D72" t="s">
        <v>5</v>
      </c>
      <c r="E72" t="s">
        <v>182</v>
      </c>
      <c r="F72" s="1">
        <f>VLOOKUP(A:A,MASTER!A:F,6,0)</f>
        <v>33010652.688568719</v>
      </c>
      <c r="G72" s="1">
        <f>VLOOKUP(A:A,MASTER!A:K,11,0)</f>
        <v>37532897.608066767</v>
      </c>
      <c r="H72" s="12">
        <f t="shared" si="5"/>
        <v>0.13699350213284522</v>
      </c>
      <c r="I72" s="2">
        <f>VLOOKUP(A:A,MASTER!A:E,5,0)</f>
        <v>771</v>
      </c>
      <c r="J72" s="2">
        <f>VLOOKUP(A:A,MASTER!A:J,10,0)</f>
        <v>778</v>
      </c>
      <c r="K72" s="12">
        <f t="shared" si="6"/>
        <v>9.0791180285343387E-3</v>
      </c>
      <c r="L72" s="2">
        <f>VLOOKUP(A:A,MASTER!A:D,4,0)</f>
        <v>1</v>
      </c>
      <c r="M72" s="2">
        <f>VLOOKUP(A:A,MASTER!A:I,9,0)</f>
        <v>0</v>
      </c>
      <c r="N72" s="12">
        <f t="shared" si="7"/>
        <v>-1</v>
      </c>
      <c r="O72" s="1">
        <f>VLOOKUP(A:A,MASTER!A:C,3,0)</f>
        <v>7</v>
      </c>
      <c r="P72" s="1">
        <f>VLOOKUP(A:A,MASTER!A:H,8,0)</f>
        <v>4</v>
      </c>
      <c r="Q72" s="12">
        <f t="shared" si="8"/>
        <v>-0.4285714285714286</v>
      </c>
      <c r="R72" s="1">
        <f>VLOOKUP(A:A,MASTER!A:B,2,0)</f>
        <v>885</v>
      </c>
      <c r="S72">
        <f>VLOOKUP(A:A,MASTER!A:G,7,0)</f>
        <v>785</v>
      </c>
      <c r="T72" s="12">
        <f t="shared" si="9"/>
        <v>-0.11299435028248583</v>
      </c>
      <c r="U72">
        <v>3</v>
      </c>
    </row>
    <row r="73" spans="1:21" x14ac:dyDescent="0.35">
      <c r="A73" t="s">
        <v>61</v>
      </c>
      <c r="B73" t="s">
        <v>62</v>
      </c>
      <c r="C73" t="s">
        <v>22</v>
      </c>
      <c r="D73" t="s">
        <v>23</v>
      </c>
      <c r="E73" t="s">
        <v>182</v>
      </c>
      <c r="F73" s="1">
        <f>VLOOKUP(A:A,MASTER!A:F,6,0)</f>
        <v>32789175.193645351</v>
      </c>
      <c r="G73" s="1">
        <f>VLOOKUP(A:A,MASTER!A:K,11,0)</f>
        <v>35889752.840269901</v>
      </c>
      <c r="H73" s="12">
        <f t="shared" si="5"/>
        <v>9.4561013758755808E-2</v>
      </c>
      <c r="I73" s="2">
        <f>VLOOKUP(A:A,MASTER!A:E,5,0)</f>
        <v>479</v>
      </c>
      <c r="J73" s="2">
        <f>VLOOKUP(A:A,MASTER!A:J,10,0)</f>
        <v>508</v>
      </c>
      <c r="K73" s="12">
        <f t="shared" si="6"/>
        <v>6.0542797494780753E-2</v>
      </c>
      <c r="L73" s="2">
        <f>VLOOKUP(A:A,MASTER!A:D,4,0)</f>
        <v>3</v>
      </c>
      <c r="M73" s="2">
        <f>VLOOKUP(A:A,MASTER!A:I,9,0)</f>
        <v>3</v>
      </c>
      <c r="N73" s="12">
        <f t="shared" si="7"/>
        <v>0</v>
      </c>
      <c r="O73" s="1">
        <f>VLOOKUP(A:A,MASTER!A:C,3,0)</f>
        <v>2</v>
      </c>
      <c r="P73" s="1">
        <f>VLOOKUP(A:A,MASTER!A:H,8,0)</f>
        <v>2</v>
      </c>
      <c r="Q73" s="12">
        <f t="shared" si="8"/>
        <v>0</v>
      </c>
      <c r="R73" s="1">
        <f>VLOOKUP(A:A,MASTER!A:B,2,0)</f>
        <v>627</v>
      </c>
      <c r="S73">
        <f>VLOOKUP(A:A,MASTER!A:G,7,0)</f>
        <v>621</v>
      </c>
      <c r="T73" s="12">
        <f t="shared" si="9"/>
        <v>-9.5693779904306719E-3</v>
      </c>
      <c r="U73">
        <v>7</v>
      </c>
    </row>
    <row r="74" spans="1:21" x14ac:dyDescent="0.35">
      <c r="A74" t="s">
        <v>129</v>
      </c>
      <c r="B74" t="s">
        <v>130</v>
      </c>
      <c r="C74" t="s">
        <v>22</v>
      </c>
      <c r="D74" t="s">
        <v>69</v>
      </c>
      <c r="E74" t="s">
        <v>180</v>
      </c>
      <c r="F74" s="1">
        <f>VLOOKUP(A:A,MASTER!A:F,6,0)</f>
        <v>21154031.756618261</v>
      </c>
      <c r="G74" s="1">
        <f>VLOOKUP(A:A,MASTER!A:K,11,0)</f>
        <v>24876527.88431656</v>
      </c>
      <c r="H74" s="12">
        <f t="shared" si="5"/>
        <v>0.1759710002578434</v>
      </c>
      <c r="I74" s="2">
        <f>VLOOKUP(A:A,MASTER!A:E,5,0)</f>
        <v>530</v>
      </c>
      <c r="J74" s="2">
        <f>VLOOKUP(A:A,MASTER!A:J,10,0)</f>
        <v>747</v>
      </c>
      <c r="K74" s="12">
        <f t="shared" si="6"/>
        <v>0.40943396226415096</v>
      </c>
      <c r="L74" s="2">
        <f>VLOOKUP(A:A,MASTER!A:D,4,0)</f>
        <v>1</v>
      </c>
      <c r="M74" s="2">
        <f>VLOOKUP(A:A,MASTER!A:I,9,0)</f>
        <v>1</v>
      </c>
      <c r="N74" s="12">
        <f t="shared" si="7"/>
        <v>0</v>
      </c>
      <c r="O74" s="1">
        <f>VLOOKUP(A:A,MASTER!A:C,3,0)</f>
        <v>7</v>
      </c>
      <c r="P74" s="1">
        <f>VLOOKUP(A:A,MASTER!A:H,8,0)</f>
        <v>18</v>
      </c>
      <c r="Q74" s="12">
        <f t="shared" si="8"/>
        <v>1.5714285714285716</v>
      </c>
      <c r="R74" s="1">
        <f>VLOOKUP(A:A,MASTER!A:B,2,0)</f>
        <v>580</v>
      </c>
      <c r="S74">
        <f>VLOOKUP(A:A,MASTER!A:G,7,0)</f>
        <v>953</v>
      </c>
      <c r="T74" s="12">
        <f t="shared" si="9"/>
        <v>0.64310344827586197</v>
      </c>
      <c r="U74">
        <v>1</v>
      </c>
    </row>
    <row r="75" spans="1:21" x14ac:dyDescent="0.35">
      <c r="A75" t="s">
        <v>35</v>
      </c>
      <c r="B75" t="s">
        <v>36</v>
      </c>
      <c r="C75" t="s">
        <v>4</v>
      </c>
      <c r="D75" t="s">
        <v>5</v>
      </c>
      <c r="E75" t="s">
        <v>180</v>
      </c>
      <c r="F75" s="1">
        <f>VLOOKUP(A:A,MASTER!A:F,6,0)</f>
        <v>26488091.599129289</v>
      </c>
      <c r="G75" s="1">
        <f>VLOOKUP(A:A,MASTER!A:K,11,0)</f>
        <v>25173541.203958023</v>
      </c>
      <c r="H75" s="12">
        <f t="shared" si="5"/>
        <v>-4.9627976792955386E-2</v>
      </c>
      <c r="I75" s="2">
        <f>VLOOKUP(A:A,MASTER!A:E,5,0)</f>
        <v>490</v>
      </c>
      <c r="J75" s="2">
        <f>VLOOKUP(A:A,MASTER!A:J,10,0)</f>
        <v>457</v>
      </c>
      <c r="K75" s="12">
        <f t="shared" si="6"/>
        <v>-6.7346938775510234E-2</v>
      </c>
      <c r="L75" s="2">
        <f>VLOOKUP(A:A,MASTER!A:D,4,0)</f>
        <v>7</v>
      </c>
      <c r="M75" s="2">
        <f>VLOOKUP(A:A,MASTER!A:I,9,0)</f>
        <v>8</v>
      </c>
      <c r="N75" s="12">
        <f t="shared" si="7"/>
        <v>0.14285714285714279</v>
      </c>
      <c r="O75" s="1">
        <f>VLOOKUP(A:A,MASTER!A:C,3,0)</f>
        <v>2</v>
      </c>
      <c r="P75" s="1">
        <f>VLOOKUP(A:A,MASTER!A:H,8,0)</f>
        <v>5</v>
      </c>
      <c r="Q75" s="12">
        <f t="shared" si="8"/>
        <v>1.5</v>
      </c>
      <c r="R75" s="1">
        <f>VLOOKUP(A:A,MASTER!A:B,2,0)</f>
        <v>450</v>
      </c>
      <c r="S75">
        <f>VLOOKUP(A:A,MASTER!A:G,7,0)</f>
        <v>474</v>
      </c>
      <c r="T75" s="12">
        <f t="shared" si="9"/>
        <v>5.3333333333333233E-2</v>
      </c>
      <c r="U75">
        <v>0</v>
      </c>
    </row>
    <row r="76" spans="1:21" x14ac:dyDescent="0.35">
      <c r="A76" t="s">
        <v>107</v>
      </c>
      <c r="B76" t="s">
        <v>108</v>
      </c>
      <c r="C76" t="s">
        <v>4</v>
      </c>
      <c r="D76" t="s">
        <v>26</v>
      </c>
      <c r="E76" t="s">
        <v>182</v>
      </c>
      <c r="F76" s="1">
        <f>VLOOKUP(A:A,MASTER!A:F,6,0)</f>
        <v>69260605.159922615</v>
      </c>
      <c r="G76" s="1">
        <f>VLOOKUP(A:A,MASTER!A:K,11,0)</f>
        <v>50764783.128290728</v>
      </c>
      <c r="H76" s="12">
        <f t="shared" si="5"/>
        <v>-0.26704678639357926</v>
      </c>
      <c r="I76" s="2">
        <f>VLOOKUP(A:A,MASTER!A:E,5,0)</f>
        <v>675</v>
      </c>
      <c r="J76" s="2">
        <f>VLOOKUP(A:A,MASTER!A:J,10,0)</f>
        <v>731</v>
      </c>
      <c r="K76" s="12">
        <f t="shared" si="6"/>
        <v>8.2962962962962905E-2</v>
      </c>
      <c r="L76" s="2">
        <f>VLOOKUP(A:A,MASTER!A:D,4,0)</f>
        <v>3</v>
      </c>
      <c r="M76" s="2">
        <f>VLOOKUP(A:A,MASTER!A:I,9,0)</f>
        <v>2</v>
      </c>
      <c r="N76" s="12">
        <f t="shared" si="7"/>
        <v>-0.33333333333333337</v>
      </c>
      <c r="O76" s="1">
        <f>VLOOKUP(A:A,MASTER!A:C,3,0)</f>
        <v>11</v>
      </c>
      <c r="P76" s="1">
        <f>VLOOKUP(A:A,MASTER!A:H,8,0)</f>
        <v>13</v>
      </c>
      <c r="Q76" s="12">
        <f t="shared" si="8"/>
        <v>0.18181818181818188</v>
      </c>
      <c r="R76" s="1">
        <f>VLOOKUP(A:A,MASTER!A:B,2,0)</f>
        <v>905</v>
      </c>
      <c r="S76">
        <f>VLOOKUP(A:A,MASTER!A:G,7,0)</f>
        <v>822</v>
      </c>
      <c r="T76" s="12">
        <f t="shared" si="9"/>
        <v>-9.1712707182320496E-2</v>
      </c>
      <c r="U76">
        <v>4</v>
      </c>
    </row>
    <row r="77" spans="1:21" x14ac:dyDescent="0.35">
      <c r="A77" t="s">
        <v>37</v>
      </c>
      <c r="B77" t="s">
        <v>38</v>
      </c>
      <c r="C77" t="s">
        <v>4</v>
      </c>
      <c r="D77" t="s">
        <v>5</v>
      </c>
      <c r="E77" t="s">
        <v>182</v>
      </c>
      <c r="F77" s="1">
        <f>VLOOKUP(A:A,MASTER!A:F,6,0)</f>
        <v>41499892.308203906</v>
      </c>
      <c r="G77" s="1">
        <f>VLOOKUP(A:A,MASTER!A:K,11,0)</f>
        <v>41879500.001234882</v>
      </c>
      <c r="H77" s="12">
        <f t="shared" si="5"/>
        <v>9.1471970628689281E-3</v>
      </c>
      <c r="I77" s="2">
        <f>VLOOKUP(A:A,MASTER!A:E,5,0)</f>
        <v>726</v>
      </c>
      <c r="J77" s="2">
        <f>VLOOKUP(A:A,MASTER!A:J,10,0)</f>
        <v>770</v>
      </c>
      <c r="K77" s="12">
        <f t="shared" si="6"/>
        <v>6.0606060606060552E-2</v>
      </c>
      <c r="L77" s="2">
        <f>VLOOKUP(A:A,MASTER!A:D,4,0)</f>
        <v>9</v>
      </c>
      <c r="M77" s="2">
        <f>VLOOKUP(A:A,MASTER!A:I,9,0)</f>
        <v>9</v>
      </c>
      <c r="N77" s="12">
        <f t="shared" si="7"/>
        <v>0</v>
      </c>
      <c r="O77" s="1">
        <f>VLOOKUP(A:A,MASTER!A:C,3,0)</f>
        <v>6</v>
      </c>
      <c r="P77" s="1">
        <f>VLOOKUP(A:A,MASTER!A:H,8,0)</f>
        <v>2</v>
      </c>
      <c r="Q77" s="12">
        <f t="shared" si="8"/>
        <v>-0.66666666666666674</v>
      </c>
      <c r="R77" s="1">
        <f>VLOOKUP(A:A,MASTER!A:B,2,0)</f>
        <v>782</v>
      </c>
      <c r="S77">
        <f>VLOOKUP(A:A,MASTER!A:G,7,0)</f>
        <v>812</v>
      </c>
      <c r="T77" s="12">
        <f t="shared" si="9"/>
        <v>3.8363171355498826E-2</v>
      </c>
      <c r="U77">
        <v>2</v>
      </c>
    </row>
    <row r="78" spans="1:21" x14ac:dyDescent="0.35">
      <c r="A78" t="s">
        <v>76</v>
      </c>
      <c r="B78" t="s">
        <v>77</v>
      </c>
      <c r="C78" t="s">
        <v>22</v>
      </c>
      <c r="D78" t="s">
        <v>23</v>
      </c>
      <c r="E78" t="s">
        <v>182</v>
      </c>
      <c r="F78" s="1">
        <f>VLOOKUP(A:A,MASTER!A:F,6,0)</f>
        <v>36225015.98674053</v>
      </c>
      <c r="G78" s="1">
        <f>VLOOKUP(A:A,MASTER!A:K,11,0)</f>
        <v>35115497.444445305</v>
      </c>
      <c r="H78" s="12">
        <f t="shared" si="5"/>
        <v>-3.0628517671361211E-2</v>
      </c>
      <c r="I78" s="2">
        <f>VLOOKUP(A:A,MASTER!A:E,5,0)</f>
        <v>901</v>
      </c>
      <c r="J78" s="2">
        <f>VLOOKUP(A:A,MASTER!A:J,10,0)</f>
        <v>875</v>
      </c>
      <c r="K78" s="12">
        <f t="shared" si="6"/>
        <v>-2.8856825749167592E-2</v>
      </c>
      <c r="L78" s="2">
        <f>VLOOKUP(A:A,MASTER!A:D,4,0)</f>
        <v>2</v>
      </c>
      <c r="M78" s="2">
        <f>VLOOKUP(A:A,MASTER!A:I,9,0)</f>
        <v>1</v>
      </c>
      <c r="N78" s="12">
        <f t="shared" si="7"/>
        <v>-0.5</v>
      </c>
      <c r="O78" s="1">
        <f>VLOOKUP(A:A,MASTER!A:C,3,0)</f>
        <v>8</v>
      </c>
      <c r="P78" s="1">
        <f>VLOOKUP(A:A,MASTER!A:H,8,0)</f>
        <v>7</v>
      </c>
      <c r="Q78" s="12">
        <f t="shared" si="8"/>
        <v>-0.125</v>
      </c>
      <c r="R78" s="1">
        <f>VLOOKUP(A:A,MASTER!A:B,2,0)</f>
        <v>944</v>
      </c>
      <c r="S78">
        <f>VLOOKUP(A:A,MASTER!A:G,7,0)</f>
        <v>993</v>
      </c>
      <c r="T78" s="12">
        <f t="shared" si="9"/>
        <v>5.1906779661016866E-2</v>
      </c>
      <c r="U78">
        <v>3</v>
      </c>
    </row>
    <row r="79" spans="1:21" x14ac:dyDescent="0.35">
      <c r="A79" t="s">
        <v>65</v>
      </c>
      <c r="B79" t="s">
        <v>66</v>
      </c>
      <c r="C79" t="s">
        <v>22</v>
      </c>
      <c r="D79" t="s">
        <v>23</v>
      </c>
      <c r="E79" t="s">
        <v>182</v>
      </c>
      <c r="F79" s="1">
        <f>VLOOKUP(A:A,MASTER!A:F,6,0)</f>
        <v>39268165.814225808</v>
      </c>
      <c r="G79" s="1">
        <f>VLOOKUP(A:A,MASTER!A:K,11,0)</f>
        <v>41622351.905185059</v>
      </c>
      <c r="H79" s="12">
        <f t="shared" si="5"/>
        <v>5.9951516505677871E-2</v>
      </c>
      <c r="I79" s="2">
        <f>VLOOKUP(A:A,MASTER!A:E,5,0)</f>
        <v>865</v>
      </c>
      <c r="J79" s="2">
        <f>VLOOKUP(A:A,MASTER!A:J,10,0)</f>
        <v>847</v>
      </c>
      <c r="K79" s="12">
        <f t="shared" si="6"/>
        <v>-2.0809248554913284E-2</v>
      </c>
      <c r="L79" s="2">
        <f>VLOOKUP(A:A,MASTER!A:D,4,0)</f>
        <v>5</v>
      </c>
      <c r="M79" s="2">
        <f>VLOOKUP(A:A,MASTER!A:I,9,0)</f>
        <v>4</v>
      </c>
      <c r="N79" s="12">
        <f t="shared" si="7"/>
        <v>-0.19999999999999996</v>
      </c>
      <c r="O79" s="1">
        <f>VLOOKUP(A:A,MASTER!A:C,3,0)</f>
        <v>5</v>
      </c>
      <c r="P79" s="1">
        <f>VLOOKUP(A:A,MASTER!A:H,8,0)</f>
        <v>7</v>
      </c>
      <c r="Q79" s="12">
        <f t="shared" si="8"/>
        <v>0.39999999999999991</v>
      </c>
      <c r="R79" s="1">
        <f>VLOOKUP(A:A,MASTER!A:B,2,0)</f>
        <v>949</v>
      </c>
      <c r="S79">
        <f>VLOOKUP(A:A,MASTER!A:G,7,0)</f>
        <v>884</v>
      </c>
      <c r="T79" s="12">
        <f t="shared" si="9"/>
        <v>-6.8493150684931559E-2</v>
      </c>
      <c r="U79">
        <v>3</v>
      </c>
    </row>
    <row r="80" spans="1:21" x14ac:dyDescent="0.35">
      <c r="A80" t="s">
        <v>89</v>
      </c>
      <c r="B80" t="s">
        <v>90</v>
      </c>
      <c r="C80" t="s">
        <v>4</v>
      </c>
      <c r="D80" t="s">
        <v>26</v>
      </c>
      <c r="E80" t="s">
        <v>182</v>
      </c>
      <c r="F80" s="1">
        <f>VLOOKUP(A:A,MASTER!A:F,6,0)</f>
        <v>48255276.318417251</v>
      </c>
      <c r="G80" s="1">
        <f>VLOOKUP(A:A,MASTER!A:K,11,0)</f>
        <v>51808391.262209855</v>
      </c>
      <c r="H80" s="12">
        <f t="shared" si="5"/>
        <v>7.3631636058760108E-2</v>
      </c>
      <c r="I80" s="2">
        <f>VLOOKUP(A:A,MASTER!A:E,5,0)</f>
        <v>770</v>
      </c>
      <c r="J80" s="2">
        <f>VLOOKUP(A:A,MASTER!A:J,10,0)</f>
        <v>773</v>
      </c>
      <c r="K80" s="12">
        <f t="shared" si="6"/>
        <v>3.8961038961038419E-3</v>
      </c>
      <c r="L80" s="2">
        <f>VLOOKUP(A:A,MASTER!A:D,4,0)</f>
        <v>6</v>
      </c>
      <c r="M80" s="2">
        <f>VLOOKUP(A:A,MASTER!A:I,9,0)</f>
        <v>7</v>
      </c>
      <c r="N80" s="12">
        <f t="shared" si="7"/>
        <v>0.16666666666666674</v>
      </c>
      <c r="O80" s="1">
        <f>VLOOKUP(A:A,MASTER!A:C,3,0)</f>
        <v>3</v>
      </c>
      <c r="P80" s="1">
        <f>VLOOKUP(A:A,MASTER!A:H,8,0)</f>
        <v>5</v>
      </c>
      <c r="Q80" s="12">
        <f t="shared" si="8"/>
        <v>0.66666666666666674</v>
      </c>
      <c r="R80" s="1">
        <f>VLOOKUP(A:A,MASTER!A:B,2,0)</f>
        <v>749</v>
      </c>
      <c r="S80">
        <f>VLOOKUP(A:A,MASTER!A:G,7,0)</f>
        <v>780</v>
      </c>
      <c r="T80" s="12">
        <f t="shared" si="9"/>
        <v>4.1388518024032095E-2</v>
      </c>
      <c r="U80">
        <v>3</v>
      </c>
    </row>
    <row r="81" spans="1:21" x14ac:dyDescent="0.35">
      <c r="A81" t="s">
        <v>147</v>
      </c>
      <c r="B81" t="s">
        <v>148</v>
      </c>
      <c r="C81" t="s">
        <v>22</v>
      </c>
      <c r="D81" t="s">
        <v>69</v>
      </c>
      <c r="E81" t="s">
        <v>180</v>
      </c>
      <c r="F81" s="1">
        <f>VLOOKUP(A:A,MASTER!A:F,6,0)</f>
        <v>21699847.925213944</v>
      </c>
      <c r="G81" s="1">
        <f>VLOOKUP(A:A,MASTER!A:K,11,0)</f>
        <v>20128390.87811416</v>
      </c>
      <c r="H81" s="12">
        <f t="shared" si="5"/>
        <v>-7.2417882950868262E-2</v>
      </c>
      <c r="I81" s="2">
        <f>VLOOKUP(A:A,MASTER!A:E,5,0)</f>
        <v>567</v>
      </c>
      <c r="J81" s="2">
        <f>VLOOKUP(A:A,MASTER!A:J,10,0)</f>
        <v>525</v>
      </c>
      <c r="K81" s="12">
        <f t="shared" si="6"/>
        <v>-7.407407407407407E-2</v>
      </c>
      <c r="L81" s="2">
        <f>VLOOKUP(A:A,MASTER!A:D,4,0)</f>
        <v>1</v>
      </c>
      <c r="M81" s="2">
        <f>VLOOKUP(A:A,MASTER!A:I,9,0)</f>
        <v>1</v>
      </c>
      <c r="N81" s="12">
        <f t="shared" si="7"/>
        <v>0</v>
      </c>
      <c r="O81" s="1">
        <f>VLOOKUP(A:A,MASTER!A:C,3,0)</f>
        <v>5</v>
      </c>
      <c r="P81" s="1">
        <f>VLOOKUP(A:A,MASTER!A:H,8,0)</f>
        <v>6</v>
      </c>
      <c r="Q81" s="12">
        <f t="shared" si="8"/>
        <v>0.19999999999999996</v>
      </c>
      <c r="R81" s="1">
        <f>VLOOKUP(A:A,MASTER!A:B,2,0)</f>
        <v>590</v>
      </c>
      <c r="S81">
        <f>VLOOKUP(A:A,MASTER!A:G,7,0)</f>
        <v>572</v>
      </c>
      <c r="T81" s="12">
        <f t="shared" si="9"/>
        <v>-3.050847457627115E-2</v>
      </c>
      <c r="U81">
        <v>0</v>
      </c>
    </row>
    <row r="82" spans="1:21" x14ac:dyDescent="0.35">
      <c r="A82" t="s">
        <v>164</v>
      </c>
      <c r="B82" t="s">
        <v>165</v>
      </c>
      <c r="C82" t="s">
        <v>4</v>
      </c>
      <c r="D82" t="s">
        <v>151</v>
      </c>
      <c r="E82" t="s">
        <v>182</v>
      </c>
      <c r="F82" s="1">
        <f>VLOOKUP(A:A,MASTER!A:F,6,0)</f>
        <v>94285433.379639998</v>
      </c>
      <c r="G82" s="1">
        <f>VLOOKUP(A:A,MASTER!A:K,11,0)</f>
        <v>92709599.986535594</v>
      </c>
      <c r="H82" s="12">
        <f t="shared" si="5"/>
        <v>-1.6713434266768634E-2</v>
      </c>
      <c r="I82" s="2">
        <f>VLOOKUP(A:A,MASTER!A:E,5,0)</f>
        <v>1337</v>
      </c>
      <c r="J82" s="2">
        <f>VLOOKUP(A:A,MASTER!A:J,10,0)</f>
        <v>465</v>
      </c>
      <c r="K82" s="12">
        <f t="shared" si="6"/>
        <v>-0.65220643231114428</v>
      </c>
      <c r="L82" s="2">
        <f>VLOOKUP(A:A,MASTER!A:D,4,0)</f>
        <v>10</v>
      </c>
      <c r="M82" s="2">
        <f>VLOOKUP(A:A,MASTER!A:I,9,0)</f>
        <v>8</v>
      </c>
      <c r="N82" s="12">
        <f t="shared" si="7"/>
        <v>-0.19999999999999996</v>
      </c>
      <c r="O82" s="1">
        <f>VLOOKUP(A:A,MASTER!A:C,3,0)</f>
        <v>14</v>
      </c>
      <c r="P82" s="1">
        <f>VLOOKUP(A:A,MASTER!A:H,8,0)</f>
        <v>2</v>
      </c>
      <c r="Q82" s="12">
        <f t="shared" si="8"/>
        <v>-0.85714285714285721</v>
      </c>
      <c r="R82" s="1">
        <f>VLOOKUP(A:A,MASTER!A:B,2,0)</f>
        <v>1753</v>
      </c>
      <c r="S82">
        <f>VLOOKUP(A:A,MASTER!A:G,7,0)</f>
        <v>833</v>
      </c>
      <c r="T82" s="12">
        <f t="shared" si="9"/>
        <v>-0.52481460353679399</v>
      </c>
      <c r="U82">
        <v>2</v>
      </c>
    </row>
    <row r="83" spans="1:21" x14ac:dyDescent="0.35">
      <c r="A83" t="s">
        <v>91</v>
      </c>
      <c r="B83" t="s">
        <v>92</v>
      </c>
      <c r="C83" t="s">
        <v>4</v>
      </c>
      <c r="D83" t="s">
        <v>26</v>
      </c>
      <c r="E83" t="s">
        <v>180</v>
      </c>
      <c r="F83" s="1">
        <f>VLOOKUP(A:A,MASTER!A:F,6,0)</f>
        <v>21626471.808382519</v>
      </c>
      <c r="G83" s="1">
        <f>VLOOKUP(A:A,MASTER!A:K,11,0)</f>
        <v>29833593.767973769</v>
      </c>
      <c r="H83" s="12">
        <f t="shared" si="5"/>
        <v>0.37949426204648562</v>
      </c>
      <c r="I83" s="2">
        <f>VLOOKUP(A:A,MASTER!A:E,5,0)</f>
        <v>919</v>
      </c>
      <c r="J83" s="2">
        <f>VLOOKUP(A:A,MASTER!A:J,10,0)</f>
        <v>990</v>
      </c>
      <c r="K83" s="12">
        <f t="shared" si="6"/>
        <v>7.7257889009793246E-2</v>
      </c>
      <c r="L83" s="2">
        <f>VLOOKUP(A:A,MASTER!A:D,4,0)</f>
        <v>3</v>
      </c>
      <c r="M83" s="2">
        <f>VLOOKUP(A:A,MASTER!A:I,9,0)</f>
        <v>4</v>
      </c>
      <c r="N83" s="12">
        <f t="shared" si="7"/>
        <v>0.33333333333333326</v>
      </c>
      <c r="O83" s="1">
        <f>VLOOKUP(A:A,MASTER!A:C,3,0)</f>
        <v>2</v>
      </c>
      <c r="P83" s="1">
        <f>VLOOKUP(A:A,MASTER!A:H,8,0)</f>
        <v>3</v>
      </c>
      <c r="Q83" s="12">
        <f t="shared" si="8"/>
        <v>0.5</v>
      </c>
      <c r="R83" s="1">
        <f>VLOOKUP(A:A,MASTER!A:B,2,0)</f>
        <v>630</v>
      </c>
      <c r="S83">
        <f>VLOOKUP(A:A,MASTER!A:G,7,0)</f>
        <v>1036</v>
      </c>
      <c r="T83" s="12">
        <f t="shared" si="9"/>
        <v>0.64444444444444438</v>
      </c>
      <c r="U83">
        <v>2</v>
      </c>
    </row>
    <row r="84" spans="1:21" x14ac:dyDescent="0.35">
      <c r="A84" t="s">
        <v>97</v>
      </c>
      <c r="B84" t="s">
        <v>98</v>
      </c>
      <c r="C84" t="s">
        <v>4</v>
      </c>
      <c r="D84" t="s">
        <v>26</v>
      </c>
      <c r="E84" t="s">
        <v>182</v>
      </c>
      <c r="F84" s="1">
        <f>VLOOKUP(A:A,MASTER!A:F,6,0)</f>
        <v>40725693.892028272</v>
      </c>
      <c r="G84" s="1">
        <f>VLOOKUP(A:A,MASTER!A:K,11,0)</f>
        <v>45845604.486250482</v>
      </c>
      <c r="H84" s="12">
        <f t="shared" si="5"/>
        <v>0.12571696403248733</v>
      </c>
      <c r="I84" s="2">
        <f>VLOOKUP(A:A,MASTER!A:E,5,0)</f>
        <v>504</v>
      </c>
      <c r="J84" s="2">
        <f>VLOOKUP(A:A,MASTER!A:J,10,0)</f>
        <v>638</v>
      </c>
      <c r="K84" s="12">
        <f t="shared" si="6"/>
        <v>0.26587301587301582</v>
      </c>
      <c r="L84" s="2">
        <f>VLOOKUP(A:A,MASTER!A:D,4,0)</f>
        <v>8</v>
      </c>
      <c r="M84" s="2">
        <f>VLOOKUP(A:A,MASTER!A:I,9,0)</f>
        <v>8</v>
      </c>
      <c r="N84" s="12">
        <f t="shared" si="7"/>
        <v>0</v>
      </c>
      <c r="O84" s="1">
        <f>VLOOKUP(A:A,MASTER!A:C,3,0)</f>
        <v>8</v>
      </c>
      <c r="P84" s="1">
        <f>VLOOKUP(A:A,MASTER!A:H,8,0)</f>
        <v>17</v>
      </c>
      <c r="Q84" s="12">
        <f t="shared" si="8"/>
        <v>1.125</v>
      </c>
      <c r="R84" s="1">
        <f>VLOOKUP(A:A,MASTER!A:B,2,0)</f>
        <v>671</v>
      </c>
      <c r="S84">
        <f>VLOOKUP(A:A,MASTER!A:G,7,0)</f>
        <v>793</v>
      </c>
      <c r="T84" s="12">
        <f t="shared" si="9"/>
        <v>0.18181818181818188</v>
      </c>
      <c r="U84">
        <v>7</v>
      </c>
    </row>
    <row r="85" spans="1:21" x14ac:dyDescent="0.35">
      <c r="A85" t="s">
        <v>78</v>
      </c>
      <c r="B85" t="s">
        <v>177</v>
      </c>
      <c r="C85" t="s">
        <v>22</v>
      </c>
      <c r="D85" t="s">
        <v>23</v>
      </c>
      <c r="E85" t="s">
        <v>180</v>
      </c>
      <c r="F85" s="1">
        <f>VLOOKUP(A:A,MASTER!A:F,6,0)</f>
        <v>9293814.4031105582</v>
      </c>
      <c r="G85" s="1">
        <f>VLOOKUP(A:A,MASTER!A:K,11,0)</f>
        <v>5478055.2367899921</v>
      </c>
      <c r="H85" s="12">
        <f t="shared" si="5"/>
        <v>-0.41056976186693217</v>
      </c>
      <c r="I85" s="2">
        <f>VLOOKUP(A:A,MASTER!A:E,5,0)</f>
        <v>312</v>
      </c>
      <c r="J85" s="2">
        <f>VLOOKUP(A:A,MASTER!A:J,10,0)</f>
        <v>190</v>
      </c>
      <c r="K85" s="12">
        <f t="shared" si="6"/>
        <v>-0.39102564102564108</v>
      </c>
      <c r="L85" s="2">
        <f>VLOOKUP(A:A,MASTER!A:D,4,0)</f>
        <v>1</v>
      </c>
      <c r="M85" s="2">
        <f>VLOOKUP(A:A,MASTER!A:I,9,0)</f>
        <v>1</v>
      </c>
      <c r="N85" s="12">
        <f t="shared" si="7"/>
        <v>0</v>
      </c>
      <c r="O85" s="1">
        <f>VLOOKUP(A:A,MASTER!A:C,3,0)</f>
        <v>2</v>
      </c>
      <c r="P85" s="1">
        <f>VLOOKUP(A:A,MASTER!A:H,8,0)</f>
        <v>2</v>
      </c>
      <c r="Q85" s="12">
        <f t="shared" si="8"/>
        <v>0</v>
      </c>
      <c r="R85" s="1">
        <f>VLOOKUP(A:A,MASTER!A:B,2,0)</f>
        <v>362</v>
      </c>
      <c r="S85">
        <f>VLOOKUP(A:A,MASTER!A:G,7,0)</f>
        <v>188</v>
      </c>
      <c r="T85" s="12">
        <f t="shared" si="9"/>
        <v>-0.48066298342541436</v>
      </c>
      <c r="U85">
        <v>2</v>
      </c>
    </row>
  </sheetData>
  <conditionalFormatting sqref="U2:U85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29"/>
  <sheetViews>
    <sheetView workbookViewId="0">
      <pane xSplit="1" ySplit="5" topLeftCell="B46" activePane="bottomRight" state="frozen"/>
      <selection pane="topRight" activeCell="B1" sqref="B1"/>
      <selection pane="bottomLeft" activeCell="A6" sqref="A6"/>
      <selection pane="bottomRight" activeCell="A5" sqref="A5:K429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83766</v>
      </c>
      <c r="C3" s="11">
        <f t="shared" si="0"/>
        <v>2566</v>
      </c>
      <c r="D3" s="11">
        <f t="shared" si="0"/>
        <v>319</v>
      </c>
      <c r="E3" s="11">
        <f t="shared" si="0"/>
        <v>70719</v>
      </c>
      <c r="F3" s="11">
        <f t="shared" si="0"/>
        <v>4214059501.0982862</v>
      </c>
      <c r="G3" s="11">
        <f t="shared" si="0"/>
        <v>83596</v>
      </c>
      <c r="H3" s="11">
        <f t="shared" si="0"/>
        <v>3216</v>
      </c>
      <c r="I3" s="11">
        <f t="shared" si="0"/>
        <v>321</v>
      </c>
      <c r="J3" s="11">
        <f t="shared" si="0"/>
        <v>71057</v>
      </c>
      <c r="K3" s="11">
        <f t="shared" si="0"/>
        <v>4273838850.1252999</v>
      </c>
    </row>
    <row r="4" spans="1:11" x14ac:dyDescent="0.35">
      <c r="A4" s="7"/>
      <c r="B4" s="7" t="s">
        <v>193</v>
      </c>
      <c r="C4" s="7"/>
      <c r="D4" s="7"/>
      <c r="E4" s="7"/>
      <c r="F4" s="7"/>
      <c r="G4" s="7" t="s">
        <v>194</v>
      </c>
      <c r="H4" s="7"/>
      <c r="I4" s="7"/>
      <c r="J4" s="7"/>
      <c r="K4" s="7"/>
    </row>
    <row r="5" spans="1:11" x14ac:dyDescent="0.35">
      <c r="A5" s="8" t="s">
        <v>195</v>
      </c>
      <c r="B5" s="8" t="s">
        <v>196</v>
      </c>
      <c r="C5" s="8" t="s">
        <v>203</v>
      </c>
      <c r="D5" s="8" t="s">
        <v>197</v>
      </c>
      <c r="E5" s="8" t="s">
        <v>198</v>
      </c>
      <c r="F5" s="8" t="s">
        <v>199</v>
      </c>
      <c r="G5" s="8" t="s">
        <v>196</v>
      </c>
      <c r="H5" s="8" t="s">
        <v>203</v>
      </c>
      <c r="I5" s="8" t="s">
        <v>197</v>
      </c>
      <c r="J5" s="8" t="s">
        <v>198</v>
      </c>
      <c r="K5" s="8" t="s">
        <v>199</v>
      </c>
    </row>
    <row r="6" spans="1:11" x14ac:dyDescent="0.35">
      <c r="A6" s="9" t="s">
        <v>117</v>
      </c>
      <c r="B6" s="10">
        <v>428</v>
      </c>
      <c r="C6" s="10">
        <v>4</v>
      </c>
      <c r="D6" s="10">
        <v>2</v>
      </c>
      <c r="E6" s="10">
        <v>361</v>
      </c>
      <c r="F6" s="10">
        <v>19114840.554642353</v>
      </c>
      <c r="G6" s="10">
        <v>378</v>
      </c>
      <c r="H6" s="10">
        <v>2</v>
      </c>
      <c r="I6" s="10">
        <v>2</v>
      </c>
      <c r="J6" s="10">
        <v>327</v>
      </c>
      <c r="K6" s="10">
        <v>18366598.161035072</v>
      </c>
    </row>
    <row r="7" spans="1:11" x14ac:dyDescent="0.35">
      <c r="A7" s="9" t="s">
        <v>127</v>
      </c>
      <c r="B7" s="10">
        <v>590</v>
      </c>
      <c r="C7" s="10">
        <v>6</v>
      </c>
      <c r="D7" s="10">
        <v>2</v>
      </c>
      <c r="E7" s="10">
        <v>464</v>
      </c>
      <c r="F7" s="10">
        <v>22039655.351129446</v>
      </c>
      <c r="G7" s="10">
        <v>514</v>
      </c>
      <c r="H7" s="10">
        <v>8</v>
      </c>
      <c r="I7" s="10">
        <v>3</v>
      </c>
      <c r="J7" s="10">
        <v>455</v>
      </c>
      <c r="K7" s="10">
        <v>19994677.62088339</v>
      </c>
    </row>
    <row r="8" spans="1:11" x14ac:dyDescent="0.35">
      <c r="A8" s="9" t="s">
        <v>119</v>
      </c>
      <c r="B8" s="10">
        <v>782</v>
      </c>
      <c r="C8" s="10">
        <v>13</v>
      </c>
      <c r="D8" s="10">
        <v>1</v>
      </c>
      <c r="E8" s="10">
        <v>784</v>
      </c>
      <c r="F8" s="10">
        <v>33227115.186426222</v>
      </c>
      <c r="G8" s="10">
        <v>544</v>
      </c>
      <c r="H8" s="10">
        <v>10</v>
      </c>
      <c r="I8" s="10">
        <v>1</v>
      </c>
      <c r="J8" s="10">
        <v>679</v>
      </c>
      <c r="K8" s="10">
        <v>22665389.350984376</v>
      </c>
    </row>
    <row r="9" spans="1:11" x14ac:dyDescent="0.35">
      <c r="A9" s="9" t="s">
        <v>121</v>
      </c>
      <c r="B9" s="10">
        <v>1263</v>
      </c>
      <c r="C9" s="10">
        <v>13</v>
      </c>
      <c r="D9" s="10">
        <v>3</v>
      </c>
      <c r="E9" s="10">
        <v>1192</v>
      </c>
      <c r="F9" s="10">
        <v>50829682.066279009</v>
      </c>
      <c r="G9" s="10">
        <v>1051</v>
      </c>
      <c r="H9" s="10">
        <v>15</v>
      </c>
      <c r="I9" s="10">
        <v>2</v>
      </c>
      <c r="J9" s="10">
        <v>972</v>
      </c>
      <c r="K9" s="10">
        <v>50895275.837553114</v>
      </c>
    </row>
    <row r="10" spans="1:11" x14ac:dyDescent="0.35">
      <c r="A10" s="9" t="s">
        <v>123</v>
      </c>
      <c r="B10" s="10">
        <v>388</v>
      </c>
      <c r="C10" s="10">
        <v>1</v>
      </c>
      <c r="D10" s="10">
        <v>1</v>
      </c>
      <c r="E10" s="10">
        <v>375</v>
      </c>
      <c r="F10" s="10">
        <v>21679829.02124764</v>
      </c>
      <c r="G10" s="10">
        <v>409</v>
      </c>
      <c r="H10" s="10">
        <v>5</v>
      </c>
      <c r="I10" s="10">
        <v>1</v>
      </c>
      <c r="J10" s="10">
        <v>363</v>
      </c>
      <c r="K10" s="10">
        <v>22772569.89061274</v>
      </c>
    </row>
    <row r="11" spans="1:11" x14ac:dyDescent="0.35">
      <c r="A11" s="9" t="s">
        <v>125</v>
      </c>
      <c r="B11" s="10">
        <v>391</v>
      </c>
      <c r="C11" s="10">
        <v>5</v>
      </c>
      <c r="D11" s="10">
        <v>2</v>
      </c>
      <c r="E11" s="10">
        <v>272</v>
      </c>
      <c r="F11" s="10">
        <v>18108413.384746555</v>
      </c>
      <c r="G11" s="10">
        <v>259</v>
      </c>
      <c r="H11" s="10">
        <v>4</v>
      </c>
      <c r="I11" s="10">
        <v>2</v>
      </c>
      <c r="J11" s="10">
        <v>242</v>
      </c>
      <c r="K11" s="10">
        <v>15312089.025388112</v>
      </c>
    </row>
    <row r="12" spans="1:11" x14ac:dyDescent="0.35">
      <c r="A12" s="9" t="s">
        <v>131</v>
      </c>
      <c r="B12" s="10">
        <v>629</v>
      </c>
      <c r="C12" s="10">
        <v>3</v>
      </c>
      <c r="D12" s="10">
        <v>2</v>
      </c>
      <c r="E12" s="10">
        <v>450</v>
      </c>
      <c r="F12" s="10">
        <v>23583081.062867168</v>
      </c>
      <c r="G12" s="10">
        <v>544</v>
      </c>
      <c r="H12" s="10">
        <v>15</v>
      </c>
      <c r="I12" s="10">
        <v>1</v>
      </c>
      <c r="J12" s="10">
        <v>447</v>
      </c>
      <c r="K12" s="10">
        <v>20921576.968727317</v>
      </c>
    </row>
    <row r="13" spans="1:11" x14ac:dyDescent="0.35">
      <c r="A13" s="9" t="s">
        <v>133</v>
      </c>
      <c r="B13" s="10">
        <v>188</v>
      </c>
      <c r="C13" s="10">
        <v>0</v>
      </c>
      <c r="D13" s="10">
        <v>1</v>
      </c>
      <c r="E13" s="10">
        <v>132</v>
      </c>
      <c r="F13" s="10">
        <v>9284591.6869236995</v>
      </c>
      <c r="G13" s="10">
        <v>150</v>
      </c>
      <c r="H13" s="10">
        <v>1</v>
      </c>
      <c r="I13" s="10">
        <v>1</v>
      </c>
      <c r="J13" s="10">
        <v>146</v>
      </c>
      <c r="K13" s="10">
        <v>9376829.6869328842</v>
      </c>
    </row>
    <row r="14" spans="1:11" x14ac:dyDescent="0.35">
      <c r="A14" s="9" t="s">
        <v>141</v>
      </c>
      <c r="B14" s="10">
        <v>189</v>
      </c>
      <c r="C14" s="10">
        <v>1</v>
      </c>
      <c r="D14" s="10">
        <v>1</v>
      </c>
      <c r="E14" s="10">
        <v>184</v>
      </c>
      <c r="F14" s="10">
        <v>6574711.9860659074</v>
      </c>
      <c r="G14" s="10">
        <v>225</v>
      </c>
      <c r="H14" s="10">
        <v>6</v>
      </c>
      <c r="I14" s="10">
        <v>1</v>
      </c>
      <c r="J14" s="10">
        <v>164</v>
      </c>
      <c r="K14" s="10">
        <v>9695636.34665538</v>
      </c>
    </row>
    <row r="15" spans="1:11" x14ac:dyDescent="0.35">
      <c r="A15" s="9" t="s">
        <v>135</v>
      </c>
      <c r="B15" s="10">
        <v>380</v>
      </c>
      <c r="C15" s="10">
        <v>5</v>
      </c>
      <c r="D15" s="10">
        <v>1</v>
      </c>
      <c r="E15" s="10">
        <v>364</v>
      </c>
      <c r="F15" s="10">
        <v>18685863.95276016</v>
      </c>
      <c r="G15" s="10">
        <v>476</v>
      </c>
      <c r="H15" s="10">
        <v>11</v>
      </c>
      <c r="I15" s="10">
        <v>1</v>
      </c>
      <c r="J15" s="10">
        <v>380</v>
      </c>
      <c r="K15" s="10">
        <v>17131087.092062686</v>
      </c>
    </row>
    <row r="16" spans="1:11" x14ac:dyDescent="0.35">
      <c r="A16" s="9" t="s">
        <v>143</v>
      </c>
      <c r="B16" s="10">
        <v>245</v>
      </c>
      <c r="C16" s="10">
        <v>0</v>
      </c>
      <c r="D16" s="10">
        <v>2</v>
      </c>
      <c r="E16" s="10">
        <v>260</v>
      </c>
      <c r="F16" s="10">
        <v>9968476.8299418055</v>
      </c>
      <c r="G16" s="10">
        <v>230</v>
      </c>
      <c r="H16" s="10">
        <v>1</v>
      </c>
      <c r="I16" s="10">
        <v>2</v>
      </c>
      <c r="J16" s="10">
        <v>215</v>
      </c>
      <c r="K16" s="10">
        <v>8693612.8618377987</v>
      </c>
    </row>
    <row r="17" spans="1:11" x14ac:dyDescent="0.35">
      <c r="A17" s="9" t="s">
        <v>145</v>
      </c>
      <c r="B17" s="10">
        <v>251</v>
      </c>
      <c r="C17" s="10">
        <v>3</v>
      </c>
      <c r="D17" s="10">
        <v>1</v>
      </c>
      <c r="E17" s="10">
        <v>223</v>
      </c>
      <c r="F17" s="10">
        <v>10419909.194346825</v>
      </c>
      <c r="G17" s="10">
        <v>303</v>
      </c>
      <c r="H17" s="10">
        <v>4</v>
      </c>
      <c r="I17" s="10">
        <v>0</v>
      </c>
      <c r="J17" s="10">
        <v>228</v>
      </c>
      <c r="K17" s="10">
        <v>11464983.106837235</v>
      </c>
    </row>
    <row r="18" spans="1:11" x14ac:dyDescent="0.35">
      <c r="A18" s="9" t="s">
        <v>20</v>
      </c>
      <c r="B18" s="10">
        <v>1308</v>
      </c>
      <c r="C18" s="10">
        <v>7</v>
      </c>
      <c r="D18" s="10">
        <v>4</v>
      </c>
      <c r="E18" s="10">
        <v>1207</v>
      </c>
      <c r="F18" s="10">
        <v>46787545.530312181</v>
      </c>
      <c r="G18" s="10">
        <v>1440</v>
      </c>
      <c r="H18" s="10">
        <v>15</v>
      </c>
      <c r="I18" s="10">
        <v>5</v>
      </c>
      <c r="J18" s="10">
        <v>1334</v>
      </c>
      <c r="K18" s="10">
        <v>54253797.555169307</v>
      </c>
    </row>
    <row r="19" spans="1:11" x14ac:dyDescent="0.35">
      <c r="A19" s="9" t="s">
        <v>45</v>
      </c>
      <c r="B19" s="10">
        <v>1214</v>
      </c>
      <c r="C19" s="10">
        <v>5</v>
      </c>
      <c r="D19" s="10">
        <v>3</v>
      </c>
      <c r="E19" s="10">
        <v>943</v>
      </c>
      <c r="F19" s="10">
        <v>73651750.146338537</v>
      </c>
      <c r="G19" s="10">
        <v>1030</v>
      </c>
      <c r="H19" s="10">
        <v>1</v>
      </c>
      <c r="I19" s="10">
        <v>3</v>
      </c>
      <c r="J19" s="10">
        <v>819</v>
      </c>
      <c r="K19" s="10">
        <v>66720839.953496024</v>
      </c>
    </row>
    <row r="20" spans="1:11" x14ac:dyDescent="0.35">
      <c r="A20" s="9" t="s">
        <v>47</v>
      </c>
      <c r="B20" s="10">
        <v>1004</v>
      </c>
      <c r="C20" s="10">
        <v>6</v>
      </c>
      <c r="D20" s="10">
        <v>5</v>
      </c>
      <c r="E20" s="10">
        <v>968</v>
      </c>
      <c r="F20" s="10">
        <v>38772927.545329474</v>
      </c>
      <c r="G20" s="10">
        <v>1115</v>
      </c>
      <c r="H20" s="10">
        <v>14</v>
      </c>
      <c r="I20" s="10">
        <v>5</v>
      </c>
      <c r="J20" s="10">
        <v>945</v>
      </c>
      <c r="K20" s="10">
        <v>38614902.191219553</v>
      </c>
    </row>
    <row r="21" spans="1:11" x14ac:dyDescent="0.35">
      <c r="A21" s="9" t="s">
        <v>49</v>
      </c>
      <c r="B21" s="10">
        <v>927</v>
      </c>
      <c r="C21" s="10">
        <v>5</v>
      </c>
      <c r="D21" s="10">
        <v>3</v>
      </c>
      <c r="E21" s="10">
        <v>641</v>
      </c>
      <c r="F21" s="10">
        <v>32627690.863221407</v>
      </c>
      <c r="G21" s="10">
        <v>838</v>
      </c>
      <c r="H21" s="10">
        <v>7</v>
      </c>
      <c r="I21" s="10">
        <v>3</v>
      </c>
      <c r="J21" s="10">
        <v>703</v>
      </c>
      <c r="K21" s="10">
        <v>36994868.720748655</v>
      </c>
    </row>
    <row r="22" spans="1:11" x14ac:dyDescent="0.35">
      <c r="A22" s="9" t="s">
        <v>51</v>
      </c>
      <c r="B22" s="10">
        <v>2719</v>
      </c>
      <c r="C22" s="10">
        <v>193</v>
      </c>
      <c r="D22" s="10">
        <v>10</v>
      </c>
      <c r="E22" s="10">
        <v>2107</v>
      </c>
      <c r="F22" s="10">
        <v>137352788.5107795</v>
      </c>
      <c r="G22" s="10">
        <v>2587</v>
      </c>
      <c r="H22" s="10">
        <v>311</v>
      </c>
      <c r="I22" s="10">
        <v>11</v>
      </c>
      <c r="J22" s="10">
        <v>2154</v>
      </c>
      <c r="K22" s="10">
        <v>134212892.98970801</v>
      </c>
    </row>
    <row r="23" spans="1:11" x14ac:dyDescent="0.35">
      <c r="A23" s="9" t="s">
        <v>53</v>
      </c>
      <c r="B23" s="10">
        <v>1290</v>
      </c>
      <c r="C23" s="10">
        <v>10</v>
      </c>
      <c r="D23" s="10">
        <v>2</v>
      </c>
      <c r="E23" s="10">
        <v>1380</v>
      </c>
      <c r="F23" s="10">
        <v>53076954.03886164</v>
      </c>
      <c r="G23" s="10">
        <v>1264</v>
      </c>
      <c r="H23" s="10">
        <v>7</v>
      </c>
      <c r="I23" s="10">
        <v>2</v>
      </c>
      <c r="J23" s="10">
        <v>1216</v>
      </c>
      <c r="K23" s="10">
        <v>71233219.517037705</v>
      </c>
    </row>
    <row r="24" spans="1:11" x14ac:dyDescent="0.35">
      <c r="A24" s="9" t="s">
        <v>55</v>
      </c>
      <c r="B24" s="10">
        <v>2791</v>
      </c>
      <c r="C24" s="10">
        <v>26</v>
      </c>
      <c r="D24" s="10">
        <v>10</v>
      </c>
      <c r="E24" s="10">
        <v>2221</v>
      </c>
      <c r="F24" s="10">
        <v>144785433.85681951</v>
      </c>
      <c r="G24" s="10">
        <v>2382</v>
      </c>
      <c r="H24" s="10">
        <v>10</v>
      </c>
      <c r="I24" s="10">
        <v>11</v>
      </c>
      <c r="J24" s="10">
        <v>2034</v>
      </c>
      <c r="K24" s="10">
        <v>129813150.04964511</v>
      </c>
    </row>
    <row r="25" spans="1:11" x14ac:dyDescent="0.35">
      <c r="A25" s="9" t="s">
        <v>67</v>
      </c>
      <c r="B25" s="10">
        <v>505</v>
      </c>
      <c r="C25" s="10">
        <v>7</v>
      </c>
      <c r="D25" s="10">
        <v>1</v>
      </c>
      <c r="E25" s="10">
        <v>481</v>
      </c>
      <c r="F25" s="10">
        <v>20775015.408983596</v>
      </c>
      <c r="G25" s="10">
        <v>531</v>
      </c>
      <c r="H25" s="10">
        <v>2</v>
      </c>
      <c r="I25" s="10">
        <v>1</v>
      </c>
      <c r="J25" s="10">
        <v>508</v>
      </c>
      <c r="K25" s="10">
        <v>20028688.787425052</v>
      </c>
    </row>
    <row r="26" spans="1:11" x14ac:dyDescent="0.35">
      <c r="A26" s="9" t="s">
        <v>74</v>
      </c>
      <c r="B26" s="10">
        <v>1769</v>
      </c>
      <c r="C26" s="10">
        <v>27</v>
      </c>
      <c r="D26" s="10">
        <v>2</v>
      </c>
      <c r="E26" s="10">
        <v>1384</v>
      </c>
      <c r="F26" s="10">
        <v>58779845.815106727</v>
      </c>
      <c r="G26" s="10">
        <v>1941</v>
      </c>
      <c r="H26" s="10">
        <v>26</v>
      </c>
      <c r="I26" s="10">
        <v>1</v>
      </c>
      <c r="J26" s="10">
        <v>1445</v>
      </c>
      <c r="K26" s="10">
        <v>57050346.058480881</v>
      </c>
    </row>
    <row r="27" spans="1:11" x14ac:dyDescent="0.35">
      <c r="A27" s="9" t="s">
        <v>70</v>
      </c>
      <c r="B27" s="10">
        <v>874</v>
      </c>
      <c r="C27" s="10">
        <v>21</v>
      </c>
      <c r="D27" s="10">
        <v>1</v>
      </c>
      <c r="E27" s="10">
        <v>771</v>
      </c>
      <c r="F27" s="10">
        <v>24982234.166713193</v>
      </c>
      <c r="G27" s="10">
        <v>918</v>
      </c>
      <c r="H27" s="10">
        <v>15</v>
      </c>
      <c r="I27" s="10">
        <v>0</v>
      </c>
      <c r="J27" s="10">
        <v>847</v>
      </c>
      <c r="K27" s="10">
        <v>23890194.141556468</v>
      </c>
    </row>
    <row r="28" spans="1:11" x14ac:dyDescent="0.35">
      <c r="A28" s="9" t="s">
        <v>72</v>
      </c>
      <c r="B28" s="10">
        <v>876</v>
      </c>
      <c r="C28" s="10">
        <v>9</v>
      </c>
      <c r="D28" s="10">
        <v>1</v>
      </c>
      <c r="E28" s="10">
        <v>734</v>
      </c>
      <c r="F28" s="10">
        <v>29627547.660279997</v>
      </c>
      <c r="G28" s="10">
        <v>820</v>
      </c>
      <c r="H28" s="10">
        <v>5</v>
      </c>
      <c r="I28" s="10">
        <v>0</v>
      </c>
      <c r="J28" s="10">
        <v>740</v>
      </c>
      <c r="K28" s="10">
        <v>30000982.200878315</v>
      </c>
    </row>
    <row r="29" spans="1:11" x14ac:dyDescent="0.35">
      <c r="A29" s="9" t="s">
        <v>79</v>
      </c>
      <c r="B29" s="10">
        <v>210</v>
      </c>
      <c r="C29" s="10">
        <v>1</v>
      </c>
      <c r="D29" s="10">
        <v>1</v>
      </c>
      <c r="E29" s="10">
        <v>180</v>
      </c>
      <c r="F29" s="10">
        <v>7385181.5441001644</v>
      </c>
      <c r="G29" s="10">
        <v>214</v>
      </c>
      <c r="H29" s="10">
        <v>1</v>
      </c>
      <c r="I29" s="10">
        <v>0</v>
      </c>
      <c r="J29" s="10">
        <v>175</v>
      </c>
      <c r="K29" s="10">
        <v>7453919.5601734258</v>
      </c>
    </row>
    <row r="30" spans="1:11" x14ac:dyDescent="0.35">
      <c r="A30" s="9" t="s">
        <v>109</v>
      </c>
      <c r="B30" s="10">
        <v>1612</v>
      </c>
      <c r="C30" s="10">
        <v>15</v>
      </c>
      <c r="D30" s="10">
        <v>5</v>
      </c>
      <c r="E30" s="10">
        <v>1439</v>
      </c>
      <c r="F30" s="10">
        <v>56331975.013513997</v>
      </c>
      <c r="G30" s="10">
        <v>1721</v>
      </c>
      <c r="H30" s="10">
        <v>11</v>
      </c>
      <c r="I30" s="10">
        <v>6</v>
      </c>
      <c r="J30" s="10">
        <v>1489</v>
      </c>
      <c r="K30" s="10">
        <v>58012158.071365856</v>
      </c>
    </row>
    <row r="31" spans="1:11" x14ac:dyDescent="0.35">
      <c r="A31" s="9" t="s">
        <v>111</v>
      </c>
      <c r="B31" s="10">
        <v>896</v>
      </c>
      <c r="C31" s="10">
        <v>10</v>
      </c>
      <c r="D31" s="10">
        <v>1</v>
      </c>
      <c r="E31" s="10">
        <v>667</v>
      </c>
      <c r="F31" s="10">
        <v>48345432.429830581</v>
      </c>
      <c r="G31" s="10">
        <v>831</v>
      </c>
      <c r="H31" s="10">
        <v>4</v>
      </c>
      <c r="I31" s="10">
        <v>1</v>
      </c>
      <c r="J31" s="10">
        <v>633</v>
      </c>
      <c r="K31" s="10">
        <v>52095439.717940979</v>
      </c>
    </row>
    <row r="32" spans="1:11" x14ac:dyDescent="0.35">
      <c r="A32" s="9" t="s">
        <v>113</v>
      </c>
      <c r="B32" s="10">
        <v>999</v>
      </c>
      <c r="C32" s="10">
        <v>4</v>
      </c>
      <c r="D32" s="10">
        <v>2</v>
      </c>
      <c r="E32" s="10">
        <v>784</v>
      </c>
      <c r="F32" s="10">
        <v>45524987.130328558</v>
      </c>
      <c r="G32" s="10">
        <v>1012</v>
      </c>
      <c r="H32" s="10">
        <v>4</v>
      </c>
      <c r="I32" s="10">
        <v>3</v>
      </c>
      <c r="J32" s="10">
        <v>909</v>
      </c>
      <c r="K32" s="10">
        <v>54794864.555711046</v>
      </c>
    </row>
    <row r="33" spans="1:11" x14ac:dyDescent="0.35">
      <c r="A33" s="9" t="s">
        <v>115</v>
      </c>
      <c r="B33" s="10">
        <v>1122</v>
      </c>
      <c r="C33" s="10">
        <v>4</v>
      </c>
      <c r="D33" s="10">
        <v>2</v>
      </c>
      <c r="E33" s="10">
        <v>865</v>
      </c>
      <c r="F33" s="10">
        <v>62700810.625711203</v>
      </c>
      <c r="G33" s="10">
        <v>981</v>
      </c>
      <c r="H33" s="10">
        <v>2</v>
      </c>
      <c r="I33" s="10">
        <v>3</v>
      </c>
      <c r="J33" s="10">
        <v>825</v>
      </c>
      <c r="K33" s="10">
        <v>62351102.348241359</v>
      </c>
    </row>
    <row r="34" spans="1:11" x14ac:dyDescent="0.35">
      <c r="A34" s="9" t="s">
        <v>16</v>
      </c>
      <c r="B34" s="10">
        <v>1395</v>
      </c>
      <c r="C34" s="10">
        <v>6</v>
      </c>
      <c r="D34" s="10">
        <v>4</v>
      </c>
      <c r="E34" s="10">
        <v>1153</v>
      </c>
      <c r="F34" s="10">
        <v>83620250.968161911</v>
      </c>
      <c r="G34" s="10">
        <v>1297</v>
      </c>
      <c r="H34" s="10">
        <v>7</v>
      </c>
      <c r="I34" s="10">
        <v>2</v>
      </c>
      <c r="J34" s="10">
        <v>1183</v>
      </c>
      <c r="K34" s="10">
        <v>76143766.256277099</v>
      </c>
    </row>
    <row r="35" spans="1:11" x14ac:dyDescent="0.35">
      <c r="A35" s="9" t="s">
        <v>18</v>
      </c>
      <c r="B35" s="10">
        <v>661</v>
      </c>
      <c r="C35" s="10">
        <v>3</v>
      </c>
      <c r="D35" s="10">
        <v>5</v>
      </c>
      <c r="E35" s="10">
        <v>579</v>
      </c>
      <c r="F35" s="10">
        <v>37167717.604925878</v>
      </c>
      <c r="G35" s="10">
        <v>878</v>
      </c>
      <c r="H35" s="10">
        <v>5</v>
      </c>
      <c r="I35" s="10">
        <v>4</v>
      </c>
      <c r="J35" s="10">
        <v>795</v>
      </c>
      <c r="K35" s="10">
        <v>34785039.401393615</v>
      </c>
    </row>
    <row r="36" spans="1:11" x14ac:dyDescent="0.35">
      <c r="A36" s="9" t="s">
        <v>43</v>
      </c>
      <c r="B36" s="10">
        <v>1832</v>
      </c>
      <c r="C36" s="10">
        <v>14</v>
      </c>
      <c r="D36" s="10">
        <v>9</v>
      </c>
      <c r="E36" s="10">
        <v>1559</v>
      </c>
      <c r="F36" s="10">
        <v>94510850.732537612</v>
      </c>
      <c r="G36" s="10">
        <v>1791</v>
      </c>
      <c r="H36" s="10">
        <v>6</v>
      </c>
      <c r="I36" s="10">
        <v>7</v>
      </c>
      <c r="J36" s="10">
        <v>1593</v>
      </c>
      <c r="K36" s="10">
        <v>85500589.813580096</v>
      </c>
    </row>
    <row r="37" spans="1:11" x14ac:dyDescent="0.35">
      <c r="A37" s="9" t="s">
        <v>152</v>
      </c>
      <c r="B37" s="10">
        <v>854</v>
      </c>
      <c r="C37" s="10">
        <v>5</v>
      </c>
      <c r="D37" s="10">
        <v>2</v>
      </c>
      <c r="E37" s="10">
        <v>761</v>
      </c>
      <c r="F37" s="10">
        <v>36504030.517233036</v>
      </c>
      <c r="G37" s="10">
        <v>838</v>
      </c>
      <c r="H37" s="10">
        <v>8</v>
      </c>
      <c r="I37" s="10">
        <v>3</v>
      </c>
      <c r="J37" s="10">
        <v>696</v>
      </c>
      <c r="K37" s="10">
        <v>37431270.236476474</v>
      </c>
    </row>
    <row r="38" spans="1:11" x14ac:dyDescent="0.35">
      <c r="A38" s="9" t="s">
        <v>149</v>
      </c>
      <c r="B38" s="10">
        <v>683</v>
      </c>
      <c r="C38" s="10">
        <v>5</v>
      </c>
      <c r="D38" s="10">
        <v>1</v>
      </c>
      <c r="E38" s="10">
        <v>493</v>
      </c>
      <c r="F38" s="10">
        <v>33518644.063383229</v>
      </c>
      <c r="G38" s="10">
        <v>174</v>
      </c>
      <c r="H38" s="10">
        <v>4</v>
      </c>
      <c r="I38" s="10">
        <v>1</v>
      </c>
      <c r="J38" s="10">
        <v>1</v>
      </c>
      <c r="K38" s="10">
        <v>29186853.446137249</v>
      </c>
    </row>
    <row r="39" spans="1:11" x14ac:dyDescent="0.35">
      <c r="A39" s="9" t="s">
        <v>154</v>
      </c>
      <c r="B39" s="10">
        <v>1198</v>
      </c>
      <c r="C39" s="10">
        <v>26</v>
      </c>
      <c r="D39" s="10">
        <v>1</v>
      </c>
      <c r="E39" s="10">
        <v>940</v>
      </c>
      <c r="F39" s="10">
        <v>53244034.207328603</v>
      </c>
      <c r="G39" s="10">
        <v>1548</v>
      </c>
      <c r="H39" s="10">
        <v>15</v>
      </c>
      <c r="I39" s="10">
        <v>2</v>
      </c>
      <c r="J39" s="10">
        <v>1050</v>
      </c>
      <c r="K39" s="10">
        <v>59912872.571475856</v>
      </c>
    </row>
    <row r="40" spans="1:11" x14ac:dyDescent="0.35">
      <c r="A40" s="9" t="s">
        <v>2</v>
      </c>
      <c r="B40" s="10">
        <v>1330</v>
      </c>
      <c r="C40" s="10">
        <v>468</v>
      </c>
      <c r="D40" s="10">
        <v>1</v>
      </c>
      <c r="E40" s="10">
        <v>855</v>
      </c>
      <c r="F40" s="10">
        <v>49950062.584800266</v>
      </c>
      <c r="G40" s="10">
        <v>1501</v>
      </c>
      <c r="H40" s="10">
        <v>735</v>
      </c>
      <c r="I40" s="10">
        <v>1</v>
      </c>
      <c r="J40" s="10">
        <v>919</v>
      </c>
      <c r="K40" s="10">
        <v>52176031.998493142</v>
      </c>
    </row>
    <row r="41" spans="1:11" x14ac:dyDescent="0.35">
      <c r="A41" s="9" t="s">
        <v>156</v>
      </c>
      <c r="B41" s="10">
        <v>2249</v>
      </c>
      <c r="C41" s="10">
        <v>200</v>
      </c>
      <c r="D41" s="10">
        <v>5</v>
      </c>
      <c r="E41" s="10">
        <v>1366</v>
      </c>
      <c r="F41" s="10">
        <v>87523456.367233798</v>
      </c>
      <c r="G41" s="10">
        <v>2553</v>
      </c>
      <c r="H41" s="10">
        <v>582</v>
      </c>
      <c r="I41" s="10">
        <v>5</v>
      </c>
      <c r="J41" s="10">
        <v>1711</v>
      </c>
      <c r="K41" s="10">
        <v>87845098.778165326</v>
      </c>
    </row>
    <row r="42" spans="1:11" x14ac:dyDescent="0.35">
      <c r="A42" s="9" t="s">
        <v>14</v>
      </c>
      <c r="B42" s="10">
        <v>589</v>
      </c>
      <c r="C42" s="10">
        <v>2</v>
      </c>
      <c r="D42" s="10">
        <v>6</v>
      </c>
      <c r="E42" s="10">
        <v>445</v>
      </c>
      <c r="F42" s="10">
        <v>31925776.433940351</v>
      </c>
      <c r="G42" s="10">
        <v>521</v>
      </c>
      <c r="H42" s="10">
        <v>3</v>
      </c>
      <c r="I42" s="10">
        <v>7</v>
      </c>
      <c r="J42" s="10">
        <v>459</v>
      </c>
      <c r="K42" s="10">
        <v>32911548.581369933</v>
      </c>
    </row>
    <row r="43" spans="1:11" x14ac:dyDescent="0.35">
      <c r="A43" s="9" t="s">
        <v>8</v>
      </c>
      <c r="B43" s="10">
        <v>2086</v>
      </c>
      <c r="C43" s="10">
        <v>13</v>
      </c>
      <c r="D43" s="10">
        <v>6</v>
      </c>
      <c r="E43" s="10">
        <v>1814</v>
      </c>
      <c r="F43" s="10">
        <v>102456182.22374795</v>
      </c>
      <c r="G43" s="10">
        <v>2358</v>
      </c>
      <c r="H43" s="10">
        <v>7</v>
      </c>
      <c r="I43" s="10">
        <v>5</v>
      </c>
      <c r="J43" s="10">
        <v>2216</v>
      </c>
      <c r="K43" s="10">
        <v>103588584.61291304</v>
      </c>
    </row>
    <row r="44" spans="1:11" x14ac:dyDescent="0.35">
      <c r="A44" s="9" t="s">
        <v>39</v>
      </c>
      <c r="B44" s="10">
        <v>930</v>
      </c>
      <c r="C44" s="10">
        <v>15</v>
      </c>
      <c r="D44" s="10">
        <v>4</v>
      </c>
      <c r="E44" s="10">
        <v>1003</v>
      </c>
      <c r="F44" s="10">
        <v>71335645.935478941</v>
      </c>
      <c r="G44" s="10">
        <v>1012</v>
      </c>
      <c r="H44" s="10">
        <v>7</v>
      </c>
      <c r="I44" s="10">
        <v>4</v>
      </c>
      <c r="J44" s="10">
        <v>867</v>
      </c>
      <c r="K44" s="10">
        <v>76944999.972273335</v>
      </c>
    </row>
    <row r="45" spans="1:11" x14ac:dyDescent="0.35">
      <c r="A45" s="9" t="s">
        <v>6</v>
      </c>
      <c r="B45" s="10">
        <v>1067</v>
      </c>
      <c r="C45" s="10">
        <v>10</v>
      </c>
      <c r="D45" s="10">
        <v>4</v>
      </c>
      <c r="E45" s="10">
        <v>925</v>
      </c>
      <c r="F45" s="10">
        <v>45114253.325404614</v>
      </c>
      <c r="G45" s="10">
        <v>1234</v>
      </c>
      <c r="H45" s="10">
        <v>6</v>
      </c>
      <c r="I45" s="10">
        <v>3</v>
      </c>
      <c r="J45" s="10">
        <v>1203</v>
      </c>
      <c r="K45" s="10">
        <v>55903246.383351222</v>
      </c>
    </row>
    <row r="46" spans="1:11" x14ac:dyDescent="0.35">
      <c r="A46" s="9" t="s">
        <v>41</v>
      </c>
      <c r="B46" s="10">
        <v>805</v>
      </c>
      <c r="C46" s="10">
        <v>11</v>
      </c>
      <c r="D46" s="10">
        <v>4</v>
      </c>
      <c r="E46" s="10">
        <v>680</v>
      </c>
      <c r="F46" s="10">
        <v>53069812.49421078</v>
      </c>
      <c r="G46" s="10">
        <v>722</v>
      </c>
      <c r="H46" s="10">
        <v>4</v>
      </c>
      <c r="I46" s="10">
        <v>5</v>
      </c>
      <c r="J46" s="10">
        <v>671</v>
      </c>
      <c r="K46" s="10">
        <v>57009992.786893077</v>
      </c>
    </row>
    <row r="47" spans="1:11" x14ac:dyDescent="0.35">
      <c r="A47" s="9" t="s">
        <v>158</v>
      </c>
      <c r="B47" s="10">
        <v>732</v>
      </c>
      <c r="C47" s="10">
        <v>5</v>
      </c>
      <c r="D47" s="10">
        <v>10</v>
      </c>
      <c r="E47" s="10">
        <v>581</v>
      </c>
      <c r="F47" s="10">
        <v>33689461.200653359</v>
      </c>
      <c r="G47" s="10">
        <v>990</v>
      </c>
      <c r="H47" s="10">
        <v>2</v>
      </c>
      <c r="I47" s="10">
        <v>9</v>
      </c>
      <c r="J47" s="10">
        <v>1073</v>
      </c>
      <c r="K47" s="10">
        <v>33926152.186693102</v>
      </c>
    </row>
    <row r="48" spans="1:11" x14ac:dyDescent="0.35">
      <c r="A48" s="9" t="s">
        <v>160</v>
      </c>
      <c r="B48" s="10">
        <v>708</v>
      </c>
      <c r="C48" s="10">
        <v>3</v>
      </c>
      <c r="D48" s="10">
        <v>1</v>
      </c>
      <c r="E48" s="10">
        <v>756</v>
      </c>
      <c r="F48" s="10">
        <v>29481621.492385443</v>
      </c>
      <c r="G48" s="10">
        <v>897</v>
      </c>
      <c r="H48" s="10">
        <v>2</v>
      </c>
      <c r="I48" s="10">
        <v>2</v>
      </c>
      <c r="J48" s="10">
        <v>918</v>
      </c>
      <c r="K48" s="10">
        <v>32061226.94770484</v>
      </c>
    </row>
    <row r="49" spans="1:11" x14ac:dyDescent="0.35">
      <c r="A49" s="9" t="s">
        <v>83</v>
      </c>
      <c r="B49" s="10">
        <v>1263</v>
      </c>
      <c r="C49" s="10">
        <v>11</v>
      </c>
      <c r="D49" s="10">
        <v>5</v>
      </c>
      <c r="E49" s="10">
        <v>1107</v>
      </c>
      <c r="F49" s="10">
        <v>96289043.133155465</v>
      </c>
      <c r="G49" s="10">
        <v>1152</v>
      </c>
      <c r="H49" s="10">
        <v>13</v>
      </c>
      <c r="I49" s="10">
        <v>6</v>
      </c>
      <c r="J49" s="10">
        <v>1096</v>
      </c>
      <c r="K49" s="10">
        <v>100589170.09739694</v>
      </c>
    </row>
    <row r="50" spans="1:11" x14ac:dyDescent="0.35">
      <c r="A50" s="9" t="s">
        <v>200</v>
      </c>
      <c r="B50" s="10">
        <v>442</v>
      </c>
      <c r="C50" s="10">
        <v>1</v>
      </c>
      <c r="D50" s="10">
        <v>1</v>
      </c>
      <c r="E50" s="10">
        <v>491</v>
      </c>
      <c r="F50" s="10">
        <v>15698481.432599757</v>
      </c>
      <c r="G50" s="10">
        <v>455</v>
      </c>
      <c r="H50" s="10">
        <v>1</v>
      </c>
      <c r="I50" s="10">
        <v>1</v>
      </c>
      <c r="J50" s="10">
        <v>450</v>
      </c>
      <c r="K50" s="10">
        <v>15722502.90930018</v>
      </c>
    </row>
    <row r="51" spans="1:11" x14ac:dyDescent="0.35">
      <c r="A51" s="9" t="s">
        <v>31</v>
      </c>
      <c r="B51" s="10">
        <v>920</v>
      </c>
      <c r="C51" s="10">
        <v>5</v>
      </c>
      <c r="D51" s="10">
        <v>5</v>
      </c>
      <c r="E51" s="10">
        <v>961</v>
      </c>
      <c r="F51" s="10">
        <v>44223882.093620092</v>
      </c>
      <c r="G51" s="10">
        <v>683</v>
      </c>
      <c r="H51" s="10">
        <v>3</v>
      </c>
      <c r="I51" s="10">
        <v>4</v>
      </c>
      <c r="J51" s="10">
        <v>561</v>
      </c>
      <c r="K51" s="10">
        <v>37172165.041675769</v>
      </c>
    </row>
    <row r="52" spans="1:11" x14ac:dyDescent="0.35">
      <c r="A52" s="9" t="s">
        <v>33</v>
      </c>
      <c r="B52" s="10">
        <v>1418</v>
      </c>
      <c r="C52" s="10">
        <v>8</v>
      </c>
      <c r="D52" s="10">
        <v>12</v>
      </c>
      <c r="E52" s="10">
        <v>986</v>
      </c>
      <c r="F52" s="10">
        <v>78997214.611454338</v>
      </c>
      <c r="G52" s="10">
        <v>1587</v>
      </c>
      <c r="H52" s="10">
        <v>7</v>
      </c>
      <c r="I52" s="10">
        <v>11</v>
      </c>
      <c r="J52" s="10">
        <v>1179</v>
      </c>
      <c r="K52" s="10">
        <v>83027702.727696314</v>
      </c>
    </row>
    <row r="53" spans="1:11" x14ac:dyDescent="0.35">
      <c r="A53" s="9" t="s">
        <v>85</v>
      </c>
      <c r="B53" s="10">
        <v>470</v>
      </c>
      <c r="C53" s="10">
        <v>4</v>
      </c>
      <c r="D53" s="10">
        <v>5</v>
      </c>
      <c r="E53" s="10">
        <v>367</v>
      </c>
      <c r="F53" s="10">
        <v>39810572.439056799</v>
      </c>
      <c r="G53" s="10">
        <v>477</v>
      </c>
      <c r="H53" s="10">
        <v>5</v>
      </c>
      <c r="I53" s="10">
        <v>6</v>
      </c>
      <c r="J53" s="10">
        <v>406</v>
      </c>
      <c r="K53" s="10">
        <v>40037112.895442806</v>
      </c>
    </row>
    <row r="54" spans="1:11" x14ac:dyDescent="0.35">
      <c r="A54" s="9" t="s">
        <v>81</v>
      </c>
      <c r="B54" s="10">
        <v>459</v>
      </c>
      <c r="C54" s="10">
        <v>4</v>
      </c>
      <c r="D54" s="10">
        <v>4</v>
      </c>
      <c r="E54" s="10">
        <v>364</v>
      </c>
      <c r="F54" s="10">
        <v>30203581.541344211</v>
      </c>
      <c r="G54" s="10">
        <v>387</v>
      </c>
      <c r="H54" s="10">
        <v>3</v>
      </c>
      <c r="I54" s="10">
        <v>3</v>
      </c>
      <c r="J54" s="10">
        <v>327</v>
      </c>
      <c r="K54" s="10">
        <v>31105029.433054335</v>
      </c>
    </row>
    <row r="55" spans="1:11" x14ac:dyDescent="0.35">
      <c r="A55" s="9" t="s">
        <v>87</v>
      </c>
      <c r="B55" s="10">
        <v>399</v>
      </c>
      <c r="C55" s="10">
        <v>5</v>
      </c>
      <c r="D55" s="10">
        <v>3</v>
      </c>
      <c r="E55" s="10">
        <v>354</v>
      </c>
      <c r="F55" s="10">
        <v>26532288.246609233</v>
      </c>
      <c r="G55" s="10">
        <v>373</v>
      </c>
      <c r="H55" s="10">
        <v>1</v>
      </c>
      <c r="I55" s="10">
        <v>2</v>
      </c>
      <c r="J55" s="10">
        <v>307</v>
      </c>
      <c r="K55" s="10">
        <v>16649783.456736151</v>
      </c>
    </row>
    <row r="56" spans="1:11" x14ac:dyDescent="0.35">
      <c r="A56" s="9" t="s">
        <v>166</v>
      </c>
      <c r="B56" s="10">
        <v>1085</v>
      </c>
      <c r="C56" s="10">
        <v>10</v>
      </c>
      <c r="D56" s="10">
        <v>1</v>
      </c>
      <c r="E56" s="10">
        <v>913</v>
      </c>
      <c r="F56" s="10">
        <v>60136427.295044206</v>
      </c>
      <c r="G56" s="10">
        <v>972</v>
      </c>
      <c r="H56" s="10">
        <v>9</v>
      </c>
      <c r="I56" s="10">
        <v>0</v>
      </c>
      <c r="J56" s="10">
        <v>960</v>
      </c>
      <c r="K56" s="10">
        <v>65823424.297400936</v>
      </c>
    </row>
    <row r="57" spans="1:11" x14ac:dyDescent="0.35">
      <c r="A57" s="9" t="s">
        <v>93</v>
      </c>
      <c r="B57" s="10">
        <v>955</v>
      </c>
      <c r="C57" s="10">
        <v>7</v>
      </c>
      <c r="D57" s="10">
        <v>1</v>
      </c>
      <c r="E57" s="10">
        <v>964</v>
      </c>
      <c r="F57" s="10">
        <v>53675737.929776609</v>
      </c>
      <c r="G57" s="10">
        <v>953</v>
      </c>
      <c r="H57" s="10">
        <v>21</v>
      </c>
      <c r="I57" s="10">
        <v>3</v>
      </c>
      <c r="J57" s="10">
        <v>868</v>
      </c>
      <c r="K57" s="10">
        <v>73433088.348710611</v>
      </c>
    </row>
    <row r="58" spans="1:11" x14ac:dyDescent="0.35">
      <c r="A58" s="9" t="s">
        <v>95</v>
      </c>
      <c r="B58" s="10">
        <v>2039</v>
      </c>
      <c r="C58" s="10">
        <v>17</v>
      </c>
      <c r="D58" s="10">
        <v>8</v>
      </c>
      <c r="E58" s="10">
        <v>1471</v>
      </c>
      <c r="F58" s="10">
        <v>119410945.26705596</v>
      </c>
      <c r="G58" s="10">
        <v>1890</v>
      </c>
      <c r="H58" s="10">
        <v>25</v>
      </c>
      <c r="I58" s="10">
        <v>8</v>
      </c>
      <c r="J58" s="10">
        <v>1553</v>
      </c>
      <c r="K58" s="10">
        <v>105407524.37725174</v>
      </c>
    </row>
    <row r="59" spans="1:11" x14ac:dyDescent="0.35">
      <c r="A59" s="9" t="s">
        <v>174</v>
      </c>
      <c r="B59" s="10">
        <v>641</v>
      </c>
      <c r="C59" s="10">
        <v>5</v>
      </c>
      <c r="D59" s="10">
        <v>1</v>
      </c>
      <c r="E59" s="10">
        <v>630</v>
      </c>
      <c r="F59" s="10">
        <v>28746150.643022817</v>
      </c>
      <c r="G59" s="10">
        <v>558</v>
      </c>
      <c r="H59" s="10">
        <v>3</v>
      </c>
      <c r="I59" s="10">
        <v>0</v>
      </c>
      <c r="J59" s="10">
        <v>544</v>
      </c>
      <c r="K59" s="10">
        <v>30840442.403914332</v>
      </c>
    </row>
    <row r="60" spans="1:11" x14ac:dyDescent="0.35">
      <c r="A60" s="9" t="s">
        <v>99</v>
      </c>
      <c r="B60" s="10">
        <v>890</v>
      </c>
      <c r="C60" s="10">
        <v>9</v>
      </c>
      <c r="D60" s="10">
        <v>5</v>
      </c>
      <c r="E60" s="10">
        <v>791</v>
      </c>
      <c r="F60" s="10">
        <v>50534026.154194728</v>
      </c>
      <c r="G60" s="10">
        <v>920</v>
      </c>
      <c r="H60" s="10">
        <v>18</v>
      </c>
      <c r="I60" s="10">
        <v>7</v>
      </c>
      <c r="J60" s="10">
        <v>862</v>
      </c>
      <c r="K60" s="10">
        <v>58022852.943238959</v>
      </c>
    </row>
    <row r="61" spans="1:11" x14ac:dyDescent="0.35">
      <c r="A61" s="9" t="s">
        <v>172</v>
      </c>
      <c r="B61" s="10">
        <v>682</v>
      </c>
      <c r="C61" s="10">
        <v>4</v>
      </c>
      <c r="D61" s="10">
        <v>1</v>
      </c>
      <c r="E61" s="10">
        <v>681</v>
      </c>
      <c r="F61" s="10">
        <v>29973241.917417463</v>
      </c>
      <c r="G61" s="10">
        <v>672</v>
      </c>
      <c r="H61" s="10">
        <v>2</v>
      </c>
      <c r="I61" s="10">
        <v>0</v>
      </c>
      <c r="J61" s="10">
        <v>586</v>
      </c>
      <c r="K61" s="10">
        <v>30077132.13410788</v>
      </c>
    </row>
    <row r="62" spans="1:11" x14ac:dyDescent="0.35">
      <c r="A62" s="9" t="s">
        <v>168</v>
      </c>
      <c r="B62" s="10">
        <v>1084</v>
      </c>
      <c r="C62" s="10">
        <v>8</v>
      </c>
      <c r="D62" s="10">
        <v>1</v>
      </c>
      <c r="E62" s="10">
        <v>974</v>
      </c>
      <c r="F62" s="10">
        <v>64089646.808809586</v>
      </c>
      <c r="G62" s="10">
        <v>1228</v>
      </c>
      <c r="H62" s="10">
        <v>9</v>
      </c>
      <c r="I62" s="10">
        <v>1</v>
      </c>
      <c r="J62" s="10">
        <v>1180</v>
      </c>
      <c r="K62" s="10">
        <v>72167847.206823215</v>
      </c>
    </row>
    <row r="63" spans="1:11" x14ac:dyDescent="0.35">
      <c r="A63" s="9" t="s">
        <v>101</v>
      </c>
      <c r="B63" s="10">
        <v>1566</v>
      </c>
      <c r="C63" s="10">
        <v>17</v>
      </c>
      <c r="D63" s="10">
        <v>5</v>
      </c>
      <c r="E63" s="10">
        <v>1525</v>
      </c>
      <c r="F63" s="10">
        <v>82060801.254646644</v>
      </c>
      <c r="G63" s="10">
        <v>1751</v>
      </c>
      <c r="H63" s="10">
        <v>24</v>
      </c>
      <c r="I63" s="10">
        <v>6</v>
      </c>
      <c r="J63" s="10">
        <v>1632</v>
      </c>
      <c r="K63" s="10">
        <v>98955882.959735617</v>
      </c>
    </row>
    <row r="64" spans="1:11" x14ac:dyDescent="0.35">
      <c r="A64" s="9" t="s">
        <v>103</v>
      </c>
      <c r="B64" s="10">
        <v>773</v>
      </c>
      <c r="C64" s="10">
        <v>6</v>
      </c>
      <c r="D64" s="10">
        <v>4</v>
      </c>
      <c r="E64" s="10">
        <v>759</v>
      </c>
      <c r="F64" s="10">
        <v>43617498.74617999</v>
      </c>
      <c r="G64" s="10">
        <v>746</v>
      </c>
      <c r="H64" s="10">
        <v>6</v>
      </c>
      <c r="I64" s="10">
        <v>4</v>
      </c>
      <c r="J64" s="10">
        <v>572</v>
      </c>
      <c r="K64" s="10">
        <v>37659452.117500708</v>
      </c>
    </row>
    <row r="65" spans="1:11" x14ac:dyDescent="0.35">
      <c r="A65" s="9" t="s">
        <v>105</v>
      </c>
      <c r="B65" s="10">
        <v>633</v>
      </c>
      <c r="C65" s="10">
        <v>14</v>
      </c>
      <c r="D65" s="10">
        <v>6</v>
      </c>
      <c r="E65" s="10">
        <v>474</v>
      </c>
      <c r="F65" s="10">
        <v>46851602.044060081</v>
      </c>
      <c r="G65" s="10">
        <v>609</v>
      </c>
      <c r="H65" s="10">
        <v>9</v>
      </c>
      <c r="I65" s="10">
        <v>7</v>
      </c>
      <c r="J65" s="10">
        <v>516</v>
      </c>
      <c r="K65" s="10">
        <v>51392439.971463479</v>
      </c>
    </row>
    <row r="66" spans="1:11" x14ac:dyDescent="0.35">
      <c r="A66" s="9" t="s">
        <v>24</v>
      </c>
      <c r="B66" s="10">
        <v>1983</v>
      </c>
      <c r="C66" s="10">
        <v>19</v>
      </c>
      <c r="D66" s="10">
        <v>11</v>
      </c>
      <c r="E66" s="10">
        <v>1778</v>
      </c>
      <c r="F66" s="10">
        <v>155019433.83705688</v>
      </c>
      <c r="G66" s="10">
        <v>1941</v>
      </c>
      <c r="H66" s="10">
        <v>28</v>
      </c>
      <c r="I66" s="10">
        <v>11</v>
      </c>
      <c r="J66" s="10">
        <v>1690</v>
      </c>
      <c r="K66" s="10">
        <v>158680245.89554912</v>
      </c>
    </row>
    <row r="67" spans="1:11" x14ac:dyDescent="0.35">
      <c r="A67" s="9" t="s">
        <v>27</v>
      </c>
      <c r="B67" s="10">
        <v>1584</v>
      </c>
      <c r="C67" s="10">
        <v>29</v>
      </c>
      <c r="D67" s="10">
        <v>6</v>
      </c>
      <c r="E67" s="10">
        <v>1239</v>
      </c>
      <c r="F67" s="10">
        <v>117888567.25637533</v>
      </c>
      <c r="G67" s="10">
        <v>1737</v>
      </c>
      <c r="H67" s="10">
        <v>27</v>
      </c>
      <c r="I67" s="10">
        <v>7</v>
      </c>
      <c r="J67" s="10">
        <v>1327</v>
      </c>
      <c r="K67" s="10">
        <v>116671580.48246722</v>
      </c>
    </row>
    <row r="68" spans="1:11" x14ac:dyDescent="0.35">
      <c r="A68" s="9" t="s">
        <v>29</v>
      </c>
      <c r="B68" s="10">
        <v>907</v>
      </c>
      <c r="C68" s="10">
        <v>13</v>
      </c>
      <c r="D68" s="10">
        <v>1</v>
      </c>
      <c r="E68" s="10">
        <v>726</v>
      </c>
      <c r="F68" s="10">
        <v>76275135.635837644</v>
      </c>
      <c r="G68" s="10">
        <v>946</v>
      </c>
      <c r="H68" s="10">
        <v>8</v>
      </c>
      <c r="I68" s="10">
        <v>1</v>
      </c>
      <c r="J68" s="10">
        <v>785</v>
      </c>
      <c r="K68" s="10">
        <v>77127570.043900684</v>
      </c>
    </row>
    <row r="69" spans="1:11" x14ac:dyDescent="0.35">
      <c r="A69" s="9" t="s">
        <v>57</v>
      </c>
      <c r="B69" s="10">
        <v>2301</v>
      </c>
      <c r="C69" s="10">
        <v>691</v>
      </c>
      <c r="D69" s="10">
        <v>12</v>
      </c>
      <c r="E69" s="10">
        <v>1347</v>
      </c>
      <c r="F69" s="10">
        <v>108380243.46347478</v>
      </c>
      <c r="G69" s="10">
        <v>2301</v>
      </c>
      <c r="H69" s="10">
        <v>866</v>
      </c>
      <c r="I69" s="10">
        <v>13</v>
      </c>
      <c r="J69" s="10">
        <v>1305</v>
      </c>
      <c r="K69" s="10">
        <v>106910083.29765685</v>
      </c>
    </row>
    <row r="70" spans="1:11" x14ac:dyDescent="0.35">
      <c r="A70" s="9" t="s">
        <v>137</v>
      </c>
      <c r="B70" s="10">
        <v>231</v>
      </c>
      <c r="C70" s="10">
        <v>1</v>
      </c>
      <c r="D70" s="10">
        <v>1</v>
      </c>
      <c r="E70" s="10">
        <v>246</v>
      </c>
      <c r="F70" s="10">
        <v>5691249.6139963828</v>
      </c>
      <c r="G70" s="10">
        <v>255</v>
      </c>
      <c r="H70" s="10">
        <v>5</v>
      </c>
      <c r="I70" s="10">
        <v>0</v>
      </c>
      <c r="J70" s="10">
        <v>253</v>
      </c>
      <c r="K70" s="10">
        <v>7987769.2646215167</v>
      </c>
    </row>
    <row r="71" spans="1:11" x14ac:dyDescent="0.35">
      <c r="A71" s="9" t="s">
        <v>10</v>
      </c>
      <c r="B71" s="10">
        <v>1604</v>
      </c>
      <c r="C71" s="10">
        <v>18</v>
      </c>
      <c r="D71" s="10">
        <v>6</v>
      </c>
      <c r="E71" s="10">
        <v>1425</v>
      </c>
      <c r="F71" s="10">
        <v>79071108.529363111</v>
      </c>
      <c r="G71" s="10">
        <v>1869</v>
      </c>
      <c r="H71" s="10">
        <v>12</v>
      </c>
      <c r="I71" s="10">
        <v>8</v>
      </c>
      <c r="J71" s="10">
        <v>1561</v>
      </c>
      <c r="K71" s="10">
        <v>78424125.99261938</v>
      </c>
    </row>
    <row r="72" spans="1:11" x14ac:dyDescent="0.35">
      <c r="A72" s="9" t="s">
        <v>12</v>
      </c>
      <c r="B72" s="10">
        <v>792</v>
      </c>
      <c r="C72" s="10">
        <v>6</v>
      </c>
      <c r="D72" s="10">
        <v>3</v>
      </c>
      <c r="E72" s="10">
        <v>582</v>
      </c>
      <c r="F72" s="10">
        <v>36801846.024474993</v>
      </c>
      <c r="G72" s="10">
        <v>733</v>
      </c>
      <c r="H72" s="10">
        <v>3</v>
      </c>
      <c r="I72" s="10">
        <v>4</v>
      </c>
      <c r="J72" s="10">
        <v>503</v>
      </c>
      <c r="K72" s="10">
        <v>33128284.034253567</v>
      </c>
    </row>
    <row r="73" spans="1:11" x14ac:dyDescent="0.35">
      <c r="A73" s="9" t="s">
        <v>162</v>
      </c>
      <c r="B73" s="10">
        <v>1313</v>
      </c>
      <c r="C73" s="10">
        <v>345</v>
      </c>
      <c r="D73" s="10">
        <v>5</v>
      </c>
      <c r="E73" s="10">
        <v>966</v>
      </c>
      <c r="F73" s="10">
        <v>57932326.489845715</v>
      </c>
      <c r="G73" s="10">
        <v>1328</v>
      </c>
      <c r="H73" s="10">
        <v>67</v>
      </c>
      <c r="I73" s="10">
        <v>5</v>
      </c>
      <c r="J73" s="10">
        <v>931</v>
      </c>
      <c r="K73" s="10">
        <v>62036195.214907609</v>
      </c>
    </row>
    <row r="74" spans="1:11" x14ac:dyDescent="0.35">
      <c r="A74" s="9" t="s">
        <v>63</v>
      </c>
      <c r="B74" s="10">
        <v>1266</v>
      </c>
      <c r="C74" s="10">
        <v>14</v>
      </c>
      <c r="D74" s="10">
        <v>5</v>
      </c>
      <c r="E74" s="10">
        <v>1359</v>
      </c>
      <c r="F74" s="10">
        <v>40871980.050328873</v>
      </c>
      <c r="G74" s="10">
        <v>1410</v>
      </c>
      <c r="H74" s="10">
        <v>12</v>
      </c>
      <c r="I74" s="10">
        <v>4</v>
      </c>
      <c r="J74" s="10">
        <v>1289</v>
      </c>
      <c r="K74" s="10">
        <v>43984493.180225126</v>
      </c>
    </row>
    <row r="75" spans="1:11" x14ac:dyDescent="0.35">
      <c r="A75" s="9" t="s">
        <v>59</v>
      </c>
      <c r="B75" s="10">
        <v>1719</v>
      </c>
      <c r="C75" s="10">
        <v>19</v>
      </c>
      <c r="D75" s="10">
        <v>5</v>
      </c>
      <c r="E75" s="10">
        <v>1198</v>
      </c>
      <c r="F75" s="10">
        <v>100862763.25341393</v>
      </c>
      <c r="G75" s="10">
        <v>1599</v>
      </c>
      <c r="H75" s="10">
        <v>19</v>
      </c>
      <c r="I75" s="10">
        <v>8</v>
      </c>
      <c r="J75" s="10">
        <v>1328</v>
      </c>
      <c r="K75" s="10">
        <v>102759765.91798091</v>
      </c>
    </row>
    <row r="76" spans="1:11" x14ac:dyDescent="0.35">
      <c r="A76" s="9" t="s">
        <v>139</v>
      </c>
      <c r="B76" s="10">
        <v>511</v>
      </c>
      <c r="C76" s="10">
        <v>4</v>
      </c>
      <c r="D76" s="10">
        <v>1</v>
      </c>
      <c r="E76" s="10">
        <v>452</v>
      </c>
      <c r="F76" s="10">
        <v>20695446.437189449</v>
      </c>
      <c r="G76" s="10">
        <v>496</v>
      </c>
      <c r="H76" s="10">
        <v>7</v>
      </c>
      <c r="I76" s="10">
        <v>2</v>
      </c>
      <c r="J76" s="10">
        <v>443</v>
      </c>
      <c r="K76" s="10">
        <v>19247729.504521087</v>
      </c>
    </row>
    <row r="77" spans="1:11" x14ac:dyDescent="0.35">
      <c r="A77" s="9" t="s">
        <v>170</v>
      </c>
      <c r="B77" s="10">
        <v>885</v>
      </c>
      <c r="C77" s="10">
        <v>7</v>
      </c>
      <c r="D77" s="10">
        <v>1</v>
      </c>
      <c r="E77" s="10">
        <v>771</v>
      </c>
      <c r="F77" s="10">
        <v>33010652.688568719</v>
      </c>
      <c r="G77" s="10">
        <v>785</v>
      </c>
      <c r="H77" s="10">
        <v>4</v>
      </c>
      <c r="I77" s="10">
        <v>0</v>
      </c>
      <c r="J77" s="10">
        <v>778</v>
      </c>
      <c r="K77" s="10">
        <v>37532897.608066767</v>
      </c>
    </row>
    <row r="78" spans="1:11" x14ac:dyDescent="0.35">
      <c r="A78" s="9" t="s">
        <v>61</v>
      </c>
      <c r="B78" s="10">
        <v>627</v>
      </c>
      <c r="C78" s="10">
        <v>2</v>
      </c>
      <c r="D78" s="10">
        <v>3</v>
      </c>
      <c r="E78" s="10">
        <v>479</v>
      </c>
      <c r="F78" s="10">
        <v>32789175.193645351</v>
      </c>
      <c r="G78" s="10">
        <v>621</v>
      </c>
      <c r="H78" s="10">
        <v>2</v>
      </c>
      <c r="I78" s="10">
        <v>3</v>
      </c>
      <c r="J78" s="10">
        <v>508</v>
      </c>
      <c r="K78" s="10">
        <v>35889752.840269901</v>
      </c>
    </row>
    <row r="79" spans="1:11" x14ac:dyDescent="0.35">
      <c r="A79" s="9" t="s">
        <v>129</v>
      </c>
      <c r="B79" s="10">
        <v>580</v>
      </c>
      <c r="C79" s="10">
        <v>7</v>
      </c>
      <c r="D79" s="10">
        <v>1</v>
      </c>
      <c r="E79" s="10">
        <v>530</v>
      </c>
      <c r="F79" s="10">
        <v>21154031.756618261</v>
      </c>
      <c r="G79" s="10">
        <v>953</v>
      </c>
      <c r="H79" s="10">
        <v>18</v>
      </c>
      <c r="I79" s="10">
        <v>1</v>
      </c>
      <c r="J79" s="10">
        <v>747</v>
      </c>
      <c r="K79" s="10">
        <v>24876527.88431656</v>
      </c>
    </row>
    <row r="80" spans="1:11" x14ac:dyDescent="0.35">
      <c r="A80" s="9" t="s">
        <v>35</v>
      </c>
      <c r="B80" s="10">
        <v>450</v>
      </c>
      <c r="C80" s="10">
        <v>2</v>
      </c>
      <c r="D80" s="10">
        <v>7</v>
      </c>
      <c r="E80" s="10">
        <v>490</v>
      </c>
      <c r="F80" s="10">
        <v>26488091.599129289</v>
      </c>
      <c r="G80" s="10">
        <v>474</v>
      </c>
      <c r="H80" s="10">
        <v>5</v>
      </c>
      <c r="I80" s="10">
        <v>8</v>
      </c>
      <c r="J80" s="10">
        <v>457</v>
      </c>
      <c r="K80" s="10">
        <v>25173541.203958023</v>
      </c>
    </row>
    <row r="81" spans="1:11" x14ac:dyDescent="0.35">
      <c r="A81" s="9" t="s">
        <v>107</v>
      </c>
      <c r="B81" s="10">
        <v>905</v>
      </c>
      <c r="C81" s="10">
        <v>11</v>
      </c>
      <c r="D81" s="10">
        <v>3</v>
      </c>
      <c r="E81" s="10">
        <v>675</v>
      </c>
      <c r="F81" s="10">
        <v>69260605.159922615</v>
      </c>
      <c r="G81" s="10">
        <v>822</v>
      </c>
      <c r="H81" s="10">
        <v>13</v>
      </c>
      <c r="I81" s="10">
        <v>2</v>
      </c>
      <c r="J81" s="10">
        <v>731</v>
      </c>
      <c r="K81" s="10">
        <v>50764783.128290728</v>
      </c>
    </row>
    <row r="82" spans="1:11" x14ac:dyDescent="0.35">
      <c r="A82" s="9" t="s">
        <v>37</v>
      </c>
      <c r="B82" s="10">
        <v>782</v>
      </c>
      <c r="C82" s="10">
        <v>6</v>
      </c>
      <c r="D82" s="10">
        <v>9</v>
      </c>
      <c r="E82" s="10">
        <v>726</v>
      </c>
      <c r="F82" s="10">
        <v>41499892.308203906</v>
      </c>
      <c r="G82" s="10">
        <v>812</v>
      </c>
      <c r="H82" s="10">
        <v>2</v>
      </c>
      <c r="I82" s="10">
        <v>9</v>
      </c>
      <c r="J82" s="10">
        <v>770</v>
      </c>
      <c r="K82" s="10">
        <v>41879500.001234882</v>
      </c>
    </row>
    <row r="83" spans="1:11" x14ac:dyDescent="0.35">
      <c r="A83" s="9" t="s">
        <v>76</v>
      </c>
      <c r="B83" s="10">
        <v>944</v>
      </c>
      <c r="C83" s="10">
        <v>8</v>
      </c>
      <c r="D83" s="10">
        <v>2</v>
      </c>
      <c r="E83" s="10">
        <v>901</v>
      </c>
      <c r="F83" s="10">
        <v>36225015.98674053</v>
      </c>
      <c r="G83" s="10">
        <v>993</v>
      </c>
      <c r="H83" s="10">
        <v>7</v>
      </c>
      <c r="I83" s="10">
        <v>1</v>
      </c>
      <c r="J83" s="10">
        <v>875</v>
      </c>
      <c r="K83" s="10">
        <v>35115497.444445305</v>
      </c>
    </row>
    <row r="84" spans="1:11" x14ac:dyDescent="0.35">
      <c r="A84" s="9" t="s">
        <v>65</v>
      </c>
      <c r="B84" s="10">
        <v>949</v>
      </c>
      <c r="C84" s="10">
        <v>5</v>
      </c>
      <c r="D84" s="10">
        <v>5</v>
      </c>
      <c r="E84" s="10">
        <v>865</v>
      </c>
      <c r="F84" s="10">
        <v>39268165.814225808</v>
      </c>
      <c r="G84" s="10">
        <v>884</v>
      </c>
      <c r="H84" s="10">
        <v>7</v>
      </c>
      <c r="I84" s="10">
        <v>4</v>
      </c>
      <c r="J84" s="10">
        <v>847</v>
      </c>
      <c r="K84" s="10">
        <v>41622351.905185059</v>
      </c>
    </row>
    <row r="85" spans="1:11" x14ac:dyDescent="0.35">
      <c r="A85" s="9" t="s">
        <v>89</v>
      </c>
      <c r="B85" s="10">
        <v>749</v>
      </c>
      <c r="C85" s="10">
        <v>3</v>
      </c>
      <c r="D85" s="10">
        <v>6</v>
      </c>
      <c r="E85" s="10">
        <v>770</v>
      </c>
      <c r="F85" s="10">
        <v>48255276.318417251</v>
      </c>
      <c r="G85" s="10">
        <v>780</v>
      </c>
      <c r="H85" s="10">
        <v>5</v>
      </c>
      <c r="I85" s="10">
        <v>7</v>
      </c>
      <c r="J85" s="10">
        <v>773</v>
      </c>
      <c r="K85" s="10">
        <v>51808391.262209855</v>
      </c>
    </row>
    <row r="86" spans="1:11" x14ac:dyDescent="0.35">
      <c r="A86" s="9" t="s">
        <v>147</v>
      </c>
      <c r="B86" s="10">
        <v>590</v>
      </c>
      <c r="C86" s="10">
        <v>5</v>
      </c>
      <c r="D86" s="10">
        <v>1</v>
      </c>
      <c r="E86" s="10">
        <v>567</v>
      </c>
      <c r="F86" s="10">
        <v>21699847.925213944</v>
      </c>
      <c r="G86" s="10">
        <v>572</v>
      </c>
      <c r="H86" s="10">
        <v>6</v>
      </c>
      <c r="I86" s="10">
        <v>1</v>
      </c>
      <c r="J86" s="10">
        <v>525</v>
      </c>
      <c r="K86" s="10">
        <v>20128390.87811416</v>
      </c>
    </row>
    <row r="87" spans="1:11" x14ac:dyDescent="0.35">
      <c r="A87" s="9" t="s">
        <v>164</v>
      </c>
      <c r="B87" s="10">
        <v>1753</v>
      </c>
      <c r="C87" s="10">
        <v>14</v>
      </c>
      <c r="D87" s="10">
        <v>10</v>
      </c>
      <c r="E87" s="10">
        <v>1337</v>
      </c>
      <c r="F87" s="10">
        <v>94285433.379639998</v>
      </c>
      <c r="G87" s="10">
        <v>833</v>
      </c>
      <c r="H87" s="10">
        <v>2</v>
      </c>
      <c r="I87" s="10">
        <v>8</v>
      </c>
      <c r="J87" s="10">
        <v>465</v>
      </c>
      <c r="K87" s="10">
        <v>92709599.986535594</v>
      </c>
    </row>
    <row r="88" spans="1:11" x14ac:dyDescent="0.35">
      <c r="A88" s="9" t="s">
        <v>91</v>
      </c>
      <c r="B88" s="10">
        <v>630</v>
      </c>
      <c r="C88" s="10">
        <v>2</v>
      </c>
      <c r="D88" s="10">
        <v>3</v>
      </c>
      <c r="E88" s="10">
        <v>919</v>
      </c>
      <c r="F88" s="10">
        <v>21626471.808382519</v>
      </c>
      <c r="G88" s="10">
        <v>1036</v>
      </c>
      <c r="H88" s="10">
        <v>3</v>
      </c>
      <c r="I88" s="10">
        <v>4</v>
      </c>
      <c r="J88" s="10">
        <v>990</v>
      </c>
      <c r="K88" s="10">
        <v>29833593.767973769</v>
      </c>
    </row>
    <row r="89" spans="1:11" x14ac:dyDescent="0.35">
      <c r="A89" s="9" t="s">
        <v>97</v>
      </c>
      <c r="B89" s="10">
        <v>671</v>
      </c>
      <c r="C89" s="10">
        <v>8</v>
      </c>
      <c r="D89" s="10">
        <v>8</v>
      </c>
      <c r="E89" s="10">
        <v>504</v>
      </c>
      <c r="F89" s="10">
        <v>40725693.892028272</v>
      </c>
      <c r="G89" s="10">
        <v>793</v>
      </c>
      <c r="H89" s="10">
        <v>17</v>
      </c>
      <c r="I89" s="10">
        <v>8</v>
      </c>
      <c r="J89" s="10">
        <v>638</v>
      </c>
      <c r="K89" s="10">
        <v>45845604.486250482</v>
      </c>
    </row>
    <row r="90" spans="1:11" x14ac:dyDescent="0.35">
      <c r="A90" s="9" t="s">
        <v>78</v>
      </c>
      <c r="B90" s="10">
        <v>362</v>
      </c>
      <c r="C90" s="10">
        <v>2</v>
      </c>
      <c r="D90" s="10">
        <v>1</v>
      </c>
      <c r="E90" s="10">
        <v>312</v>
      </c>
      <c r="F90" s="10">
        <v>9293814.4031105582</v>
      </c>
      <c r="G90" s="10">
        <v>188</v>
      </c>
      <c r="H90" s="10">
        <v>2</v>
      </c>
      <c r="I90" s="10">
        <v>1</v>
      </c>
      <c r="J90" s="10">
        <v>190</v>
      </c>
      <c r="K90" s="10">
        <v>5478055.2367899921</v>
      </c>
    </row>
    <row r="91" spans="1:11" x14ac:dyDescent="0.35">
      <c r="A91" s="9" t="s">
        <v>204</v>
      </c>
      <c r="B91" s="10">
        <v>811</v>
      </c>
      <c r="C91" s="10">
        <v>2</v>
      </c>
      <c r="D91" s="10">
        <v>2</v>
      </c>
      <c r="E91" s="10">
        <v>606</v>
      </c>
      <c r="F91" s="10">
        <v>44401231.742090471</v>
      </c>
      <c r="G91" s="10">
        <v>843</v>
      </c>
      <c r="H91" s="10">
        <v>5</v>
      </c>
      <c r="I91" s="10">
        <v>2</v>
      </c>
      <c r="J91" s="10">
        <v>590</v>
      </c>
      <c r="K91" s="10">
        <v>46924563.168532267</v>
      </c>
    </row>
    <row r="92" spans="1:11" x14ac:dyDescent="0.35">
      <c r="A92" s="9" t="s">
        <v>205</v>
      </c>
      <c r="B92" s="10">
        <v>270</v>
      </c>
      <c r="C92" s="10">
        <v>2</v>
      </c>
      <c r="D92" s="10">
        <v>1</v>
      </c>
      <c r="E92" s="10">
        <v>227</v>
      </c>
      <c r="F92" s="10">
        <v>14123844.891100939</v>
      </c>
      <c r="G92" s="10">
        <v>248</v>
      </c>
      <c r="H92" s="10">
        <v>3</v>
      </c>
      <c r="I92" s="10">
        <v>0</v>
      </c>
      <c r="J92" s="10">
        <v>195</v>
      </c>
      <c r="K92" s="10">
        <v>12876144.878486739</v>
      </c>
    </row>
    <row r="93" spans="1:11" x14ac:dyDescent="0.35">
      <c r="A93" s="9" t="s">
        <v>206</v>
      </c>
      <c r="B93" s="10">
        <v>624</v>
      </c>
      <c r="C93" s="10">
        <v>5</v>
      </c>
      <c r="D93" s="10">
        <v>1</v>
      </c>
      <c r="E93" s="10">
        <v>503</v>
      </c>
      <c r="F93" s="10">
        <v>29356244.493539855</v>
      </c>
      <c r="G93" s="10">
        <v>620</v>
      </c>
      <c r="H93" s="10">
        <v>7</v>
      </c>
      <c r="I93" s="10">
        <v>1</v>
      </c>
      <c r="J93" s="10">
        <v>533</v>
      </c>
      <c r="K93" s="10">
        <v>32109728.603632472</v>
      </c>
    </row>
    <row r="94" spans="1:11" x14ac:dyDescent="0.35">
      <c r="A94" s="9" t="s">
        <v>207</v>
      </c>
      <c r="B94" s="10">
        <v>304</v>
      </c>
      <c r="C94" s="10">
        <v>1</v>
      </c>
      <c r="D94" s="10">
        <v>0</v>
      </c>
      <c r="E94" s="10">
        <v>255</v>
      </c>
      <c r="F94" s="10">
        <v>8359781.2682784107</v>
      </c>
      <c r="G94" s="10">
        <v>278</v>
      </c>
      <c r="H94" s="10">
        <v>1</v>
      </c>
      <c r="I94" s="10">
        <v>1</v>
      </c>
      <c r="J94" s="10">
        <v>262</v>
      </c>
      <c r="K94" s="10">
        <v>10591465.038199849</v>
      </c>
    </row>
    <row r="95" spans="1:11" x14ac:dyDescent="0.35">
      <c r="A95" s="9" t="s">
        <v>208</v>
      </c>
      <c r="B95" s="10">
        <v>220</v>
      </c>
      <c r="C95" s="10">
        <v>4</v>
      </c>
      <c r="D95" s="10">
        <v>1</v>
      </c>
      <c r="E95" s="10">
        <v>218</v>
      </c>
      <c r="F95" s="10">
        <v>10738537.826735888</v>
      </c>
      <c r="G95" s="10">
        <v>237</v>
      </c>
      <c r="H95" s="10">
        <v>5</v>
      </c>
      <c r="I95" s="10">
        <v>1</v>
      </c>
      <c r="J95" s="10">
        <v>202</v>
      </c>
      <c r="K95" s="10">
        <v>11066228.10485306</v>
      </c>
    </row>
    <row r="96" spans="1:11" x14ac:dyDescent="0.35">
      <c r="A96" s="9" t="s">
        <v>209</v>
      </c>
      <c r="B96" s="10">
        <v>381</v>
      </c>
      <c r="C96" s="10">
        <v>1</v>
      </c>
      <c r="D96" s="10">
        <v>1</v>
      </c>
      <c r="E96" s="10">
        <v>374</v>
      </c>
      <c r="F96" s="10">
        <v>14049546.258161357</v>
      </c>
      <c r="G96" s="10">
        <v>333</v>
      </c>
      <c r="H96" s="10">
        <v>4</v>
      </c>
      <c r="I96" s="10">
        <v>1</v>
      </c>
      <c r="J96" s="10">
        <v>370</v>
      </c>
      <c r="K96" s="10">
        <v>12166678.018075639</v>
      </c>
    </row>
    <row r="97" spans="1:11" x14ac:dyDescent="0.35">
      <c r="A97" s="9" t="s">
        <v>210</v>
      </c>
      <c r="B97" s="10">
        <v>758</v>
      </c>
      <c r="C97" s="10">
        <v>15</v>
      </c>
      <c r="D97" s="10">
        <v>4</v>
      </c>
      <c r="E97" s="10">
        <v>628</v>
      </c>
      <c r="F97" s="10">
        <v>26312516.273819838</v>
      </c>
      <c r="G97" s="10">
        <v>636</v>
      </c>
      <c r="H97" s="10">
        <v>20</v>
      </c>
      <c r="I97" s="10">
        <v>3</v>
      </c>
      <c r="J97" s="10">
        <v>582</v>
      </c>
      <c r="K97" s="10">
        <v>24590654.181468233</v>
      </c>
    </row>
    <row r="98" spans="1:11" x14ac:dyDescent="0.35">
      <c r="A98" s="9" t="s">
        <v>211</v>
      </c>
      <c r="B98" s="10">
        <v>255</v>
      </c>
      <c r="C98" s="10">
        <v>2</v>
      </c>
      <c r="D98" s="10">
        <v>1</v>
      </c>
      <c r="E98" s="10">
        <v>205</v>
      </c>
      <c r="F98" s="10">
        <v>10171467.501594292</v>
      </c>
      <c r="G98" s="10">
        <v>249</v>
      </c>
      <c r="H98" s="10">
        <v>4</v>
      </c>
      <c r="I98" s="10">
        <v>2</v>
      </c>
      <c r="J98" s="10">
        <v>200</v>
      </c>
      <c r="K98" s="10">
        <v>10715921.662290445</v>
      </c>
    </row>
    <row r="99" spans="1:11" x14ac:dyDescent="0.35">
      <c r="A99" s="9" t="s">
        <v>212</v>
      </c>
      <c r="B99" s="10">
        <v>407</v>
      </c>
      <c r="C99" s="10">
        <v>8</v>
      </c>
      <c r="D99" s="10">
        <v>1</v>
      </c>
      <c r="E99" s="10">
        <v>403</v>
      </c>
      <c r="F99" s="10">
        <v>13805791.899272505</v>
      </c>
      <c r="G99" s="10">
        <v>407</v>
      </c>
      <c r="H99" s="10">
        <v>4</v>
      </c>
      <c r="I99" s="10">
        <v>1</v>
      </c>
      <c r="J99" s="10">
        <v>374</v>
      </c>
      <c r="K99" s="10">
        <v>13647743.071507083</v>
      </c>
    </row>
    <row r="100" spans="1:11" x14ac:dyDescent="0.35">
      <c r="A100" s="9" t="s">
        <v>213</v>
      </c>
      <c r="B100" s="10">
        <v>168</v>
      </c>
      <c r="C100" s="10">
        <v>10</v>
      </c>
      <c r="D100" s="10">
        <v>1</v>
      </c>
      <c r="E100" s="10">
        <v>191</v>
      </c>
      <c r="F100" s="10">
        <v>4384692.2707527932</v>
      </c>
      <c r="G100" s="10">
        <v>152</v>
      </c>
      <c r="H100" s="10">
        <v>3</v>
      </c>
      <c r="I100" s="10">
        <v>1</v>
      </c>
      <c r="J100" s="10">
        <v>135</v>
      </c>
      <c r="K100" s="10">
        <v>5986052.6413245471</v>
      </c>
    </row>
    <row r="101" spans="1:11" x14ac:dyDescent="0.35">
      <c r="A101" s="9" t="s">
        <v>214</v>
      </c>
      <c r="B101" s="10">
        <v>434</v>
      </c>
      <c r="C101" s="10">
        <v>4</v>
      </c>
      <c r="D101" s="10">
        <v>1</v>
      </c>
      <c r="E101" s="10">
        <v>413</v>
      </c>
      <c r="F101" s="10">
        <v>11901701.485458037</v>
      </c>
      <c r="G101" s="10">
        <v>425</v>
      </c>
      <c r="H101" s="10">
        <v>4</v>
      </c>
      <c r="I101" s="10">
        <v>1</v>
      </c>
      <c r="J101" s="10">
        <v>412</v>
      </c>
      <c r="K101" s="10">
        <v>10655710.224062577</v>
      </c>
    </row>
    <row r="102" spans="1:11" x14ac:dyDescent="0.35">
      <c r="A102" s="9" t="s">
        <v>215</v>
      </c>
      <c r="B102" s="10">
        <v>409</v>
      </c>
      <c r="C102" s="10">
        <v>7</v>
      </c>
      <c r="D102" s="10">
        <v>3</v>
      </c>
      <c r="E102" s="10">
        <v>370</v>
      </c>
      <c r="F102" s="10">
        <v>15311587.069446795</v>
      </c>
      <c r="G102" s="10">
        <v>406</v>
      </c>
      <c r="H102" s="10">
        <v>11</v>
      </c>
      <c r="I102" s="10">
        <v>3</v>
      </c>
      <c r="J102" s="10">
        <v>368</v>
      </c>
      <c r="K102" s="10">
        <v>15516400.676709574</v>
      </c>
    </row>
    <row r="103" spans="1:11" x14ac:dyDescent="0.35">
      <c r="A103" s="9" t="s">
        <v>216</v>
      </c>
      <c r="B103" s="10">
        <v>660</v>
      </c>
      <c r="C103" s="10">
        <v>9</v>
      </c>
      <c r="D103" s="10">
        <v>1</v>
      </c>
      <c r="E103" s="10">
        <v>476</v>
      </c>
      <c r="F103" s="10">
        <v>19284266.28705762</v>
      </c>
      <c r="G103" s="10">
        <v>502</v>
      </c>
      <c r="H103" s="10">
        <v>4</v>
      </c>
      <c r="I103" s="10">
        <v>1</v>
      </c>
      <c r="J103" s="10">
        <v>449</v>
      </c>
      <c r="K103" s="10">
        <v>16464135.870786091</v>
      </c>
    </row>
    <row r="104" spans="1:11" x14ac:dyDescent="0.35">
      <c r="A104" s="9" t="s">
        <v>217</v>
      </c>
      <c r="B104" s="10">
        <v>585</v>
      </c>
      <c r="C104" s="10">
        <v>6</v>
      </c>
      <c r="D104" s="10">
        <v>1</v>
      </c>
      <c r="E104" s="10">
        <v>516</v>
      </c>
      <c r="F104" s="10">
        <v>16055404.511634884</v>
      </c>
      <c r="G104" s="10">
        <v>666</v>
      </c>
      <c r="H104" s="10">
        <v>4</v>
      </c>
      <c r="I104" s="10">
        <v>1</v>
      </c>
      <c r="J104" s="10">
        <v>543</v>
      </c>
      <c r="K104" s="10">
        <v>18233667.119452421</v>
      </c>
    </row>
    <row r="105" spans="1:11" x14ac:dyDescent="0.35">
      <c r="A105" s="9" t="s">
        <v>218</v>
      </c>
      <c r="B105" s="10">
        <v>785</v>
      </c>
      <c r="C105" s="10">
        <v>7</v>
      </c>
      <c r="D105" s="10">
        <v>1</v>
      </c>
      <c r="E105" s="10">
        <v>773</v>
      </c>
      <c r="F105" s="10">
        <v>28503896.69157872</v>
      </c>
      <c r="G105" s="10">
        <v>734</v>
      </c>
      <c r="H105" s="10">
        <v>10</v>
      </c>
      <c r="I105" s="10">
        <v>0</v>
      </c>
      <c r="J105" s="10">
        <v>731</v>
      </c>
      <c r="K105" s="10">
        <v>26400880.269421495</v>
      </c>
    </row>
    <row r="106" spans="1:11" x14ac:dyDescent="0.35">
      <c r="A106" s="9" t="s">
        <v>219</v>
      </c>
      <c r="B106" s="10">
        <v>782</v>
      </c>
      <c r="C106" s="10">
        <v>19</v>
      </c>
      <c r="D106" s="10">
        <v>3</v>
      </c>
      <c r="E106" s="10">
        <v>839</v>
      </c>
      <c r="F106" s="10">
        <v>26887955.052681096</v>
      </c>
      <c r="G106" s="10">
        <v>1093</v>
      </c>
      <c r="H106" s="10">
        <v>18</v>
      </c>
      <c r="I106" s="10">
        <v>2</v>
      </c>
      <c r="J106" s="10">
        <v>840</v>
      </c>
      <c r="K106" s="10">
        <v>30239379.599158578</v>
      </c>
    </row>
    <row r="107" spans="1:11" x14ac:dyDescent="0.35">
      <c r="A107" s="9" t="s">
        <v>220</v>
      </c>
      <c r="B107" s="10">
        <v>1034</v>
      </c>
      <c r="C107" s="10">
        <v>16</v>
      </c>
      <c r="D107" s="10">
        <v>2</v>
      </c>
      <c r="E107" s="10">
        <v>723</v>
      </c>
      <c r="F107" s="10">
        <v>36540985.082549848</v>
      </c>
      <c r="G107" s="10">
        <v>866</v>
      </c>
      <c r="H107" s="10">
        <v>14</v>
      </c>
      <c r="I107" s="10">
        <v>2</v>
      </c>
      <c r="J107" s="10">
        <v>699</v>
      </c>
      <c r="K107" s="10">
        <v>36267558.901059739</v>
      </c>
    </row>
    <row r="108" spans="1:11" x14ac:dyDescent="0.35">
      <c r="A108" s="9" t="s">
        <v>221</v>
      </c>
      <c r="B108" s="10">
        <v>534</v>
      </c>
      <c r="C108" s="10">
        <v>10</v>
      </c>
      <c r="D108" s="10">
        <v>1</v>
      </c>
      <c r="E108" s="10">
        <v>518</v>
      </c>
      <c r="F108" s="10">
        <v>31103022.078567032</v>
      </c>
      <c r="G108" s="10">
        <v>631</v>
      </c>
      <c r="H108" s="10">
        <v>34</v>
      </c>
      <c r="I108" s="10">
        <v>0</v>
      </c>
      <c r="J108" s="10">
        <v>537</v>
      </c>
      <c r="K108" s="10">
        <v>29741723.975958608</v>
      </c>
    </row>
    <row r="109" spans="1:11" x14ac:dyDescent="0.35">
      <c r="A109" s="9" t="s">
        <v>222</v>
      </c>
      <c r="B109" s="10">
        <v>377</v>
      </c>
      <c r="C109" s="10">
        <v>6</v>
      </c>
      <c r="D109" s="10">
        <v>1</v>
      </c>
      <c r="E109" s="10">
        <v>396</v>
      </c>
      <c r="F109" s="10">
        <v>12426218.851294892</v>
      </c>
      <c r="G109" s="10">
        <v>391</v>
      </c>
      <c r="H109" s="10">
        <v>7</v>
      </c>
      <c r="I109" s="10">
        <v>2</v>
      </c>
      <c r="J109" s="10">
        <v>387</v>
      </c>
      <c r="K109" s="10">
        <v>11661208.134125279</v>
      </c>
    </row>
    <row r="110" spans="1:11" x14ac:dyDescent="0.35">
      <c r="A110" s="9" t="s">
        <v>223</v>
      </c>
      <c r="B110" s="10">
        <v>598</v>
      </c>
      <c r="C110" s="10">
        <v>9</v>
      </c>
      <c r="D110" s="10">
        <v>1</v>
      </c>
      <c r="E110" s="10">
        <v>541</v>
      </c>
      <c r="F110" s="10">
        <v>16082517.854714783</v>
      </c>
      <c r="G110" s="10">
        <v>570</v>
      </c>
      <c r="H110" s="10">
        <v>27</v>
      </c>
      <c r="I110" s="10">
        <v>1</v>
      </c>
      <c r="J110" s="10">
        <v>518</v>
      </c>
      <c r="K110" s="10">
        <v>16998011.643332645</v>
      </c>
    </row>
    <row r="111" spans="1:11" x14ac:dyDescent="0.35">
      <c r="A111" s="9" t="s">
        <v>224</v>
      </c>
      <c r="B111" s="10">
        <v>883</v>
      </c>
      <c r="C111" s="10">
        <v>12</v>
      </c>
      <c r="D111" s="10">
        <v>6</v>
      </c>
      <c r="E111" s="10">
        <v>824</v>
      </c>
      <c r="F111" s="10">
        <v>28057108.895408291</v>
      </c>
      <c r="G111" s="10">
        <v>784</v>
      </c>
      <c r="H111" s="10">
        <v>12</v>
      </c>
      <c r="I111" s="10">
        <v>4</v>
      </c>
      <c r="J111" s="10">
        <v>725</v>
      </c>
      <c r="K111" s="10">
        <v>21976556.02256953</v>
      </c>
    </row>
    <row r="112" spans="1:11" x14ac:dyDescent="0.35">
      <c r="A112" s="9" t="s">
        <v>225</v>
      </c>
      <c r="B112" s="10">
        <v>521</v>
      </c>
      <c r="C112" s="10">
        <v>9</v>
      </c>
      <c r="D112" s="10">
        <v>2</v>
      </c>
      <c r="E112" s="10">
        <v>459</v>
      </c>
      <c r="F112" s="10">
        <v>15411111.062966043</v>
      </c>
      <c r="G112" s="10">
        <v>429</v>
      </c>
      <c r="H112" s="10">
        <v>9</v>
      </c>
      <c r="I112" s="10">
        <v>2</v>
      </c>
      <c r="J112" s="10">
        <v>438</v>
      </c>
      <c r="K112" s="10">
        <v>13455639.906635867</v>
      </c>
    </row>
    <row r="113" spans="1:11" x14ac:dyDescent="0.35">
      <c r="A113" s="9" t="s">
        <v>226</v>
      </c>
      <c r="B113" s="10">
        <v>287</v>
      </c>
      <c r="C113" s="10">
        <v>1</v>
      </c>
      <c r="D113" s="10">
        <v>1</v>
      </c>
      <c r="E113" s="10">
        <v>315</v>
      </c>
      <c r="F113" s="10">
        <v>7785345.9370086323</v>
      </c>
      <c r="G113" s="10">
        <v>261</v>
      </c>
      <c r="H113" s="10">
        <v>2</v>
      </c>
      <c r="I113" s="10">
        <v>1</v>
      </c>
      <c r="J113" s="10">
        <v>271</v>
      </c>
      <c r="K113" s="10">
        <v>7070487.4325983226</v>
      </c>
    </row>
    <row r="114" spans="1:11" x14ac:dyDescent="0.35">
      <c r="A114" s="9" t="s">
        <v>227</v>
      </c>
      <c r="B114" s="10">
        <v>881</v>
      </c>
      <c r="C114" s="10">
        <v>5</v>
      </c>
      <c r="D114" s="10">
        <v>4</v>
      </c>
      <c r="E114" s="10">
        <v>750</v>
      </c>
      <c r="F114" s="10">
        <v>27276728.502232656</v>
      </c>
      <c r="G114" s="10">
        <v>867</v>
      </c>
      <c r="H114" s="10">
        <v>12</v>
      </c>
      <c r="I114" s="10">
        <v>4</v>
      </c>
      <c r="J114" s="10">
        <v>797</v>
      </c>
      <c r="K114" s="10">
        <v>29289786.553049546</v>
      </c>
    </row>
    <row r="115" spans="1:11" x14ac:dyDescent="0.35">
      <c r="A115" s="9" t="s">
        <v>228</v>
      </c>
      <c r="B115" s="10">
        <v>220</v>
      </c>
      <c r="C115" s="10">
        <v>4</v>
      </c>
      <c r="D115" s="10">
        <v>1</v>
      </c>
      <c r="E115" s="10">
        <v>207</v>
      </c>
      <c r="F115" s="10">
        <v>7880148.0032501742</v>
      </c>
      <c r="G115" s="10">
        <v>230</v>
      </c>
      <c r="H115" s="10">
        <v>2</v>
      </c>
      <c r="I115" s="10">
        <v>1</v>
      </c>
      <c r="J115" s="10">
        <v>211</v>
      </c>
      <c r="K115" s="10">
        <v>8783369.1212291755</v>
      </c>
    </row>
    <row r="116" spans="1:11" x14ac:dyDescent="0.35">
      <c r="A116" s="9" t="s">
        <v>229</v>
      </c>
      <c r="B116" s="10">
        <v>692</v>
      </c>
      <c r="C116" s="10">
        <v>1</v>
      </c>
      <c r="D116" s="10">
        <v>2</v>
      </c>
      <c r="E116" s="10">
        <v>616</v>
      </c>
      <c r="F116" s="10">
        <v>17427783.043647788</v>
      </c>
      <c r="G116" s="10">
        <v>635</v>
      </c>
      <c r="H116" s="10">
        <v>5</v>
      </c>
      <c r="I116" s="10">
        <v>2</v>
      </c>
      <c r="J116" s="10">
        <v>640</v>
      </c>
      <c r="K116" s="10">
        <v>13971847.435010543</v>
      </c>
    </row>
    <row r="117" spans="1:11" x14ac:dyDescent="0.35">
      <c r="A117" s="9" t="s">
        <v>230</v>
      </c>
      <c r="B117" s="10">
        <v>876</v>
      </c>
      <c r="C117" s="10">
        <v>15</v>
      </c>
      <c r="D117" s="10">
        <v>5</v>
      </c>
      <c r="E117" s="10">
        <v>809</v>
      </c>
      <c r="F117" s="10">
        <v>27714252.860373031</v>
      </c>
      <c r="G117" s="10">
        <v>809</v>
      </c>
      <c r="H117" s="10">
        <v>14</v>
      </c>
      <c r="I117" s="10">
        <v>6</v>
      </c>
      <c r="J117" s="10">
        <v>752</v>
      </c>
      <c r="K117" s="10">
        <v>26115597.58374887</v>
      </c>
    </row>
    <row r="118" spans="1:11" x14ac:dyDescent="0.35">
      <c r="A118" s="9" t="s">
        <v>231</v>
      </c>
      <c r="B118" s="10">
        <v>444</v>
      </c>
      <c r="C118" s="10">
        <v>19</v>
      </c>
      <c r="D118" s="10">
        <v>2</v>
      </c>
      <c r="E118" s="10">
        <v>416</v>
      </c>
      <c r="F118" s="10">
        <v>13748237.213654196</v>
      </c>
      <c r="G118" s="10">
        <v>391</v>
      </c>
      <c r="H118" s="10">
        <v>10</v>
      </c>
      <c r="I118" s="10">
        <v>2</v>
      </c>
      <c r="J118" s="10">
        <v>372</v>
      </c>
      <c r="K118" s="10">
        <v>9502837.2225044593</v>
      </c>
    </row>
    <row r="119" spans="1:11" x14ac:dyDescent="0.35">
      <c r="A119" s="9" t="s">
        <v>232</v>
      </c>
      <c r="B119" s="10">
        <v>263</v>
      </c>
      <c r="C119" s="10">
        <v>1</v>
      </c>
      <c r="D119" s="10">
        <v>1</v>
      </c>
      <c r="E119" s="10">
        <v>424</v>
      </c>
      <c r="F119" s="10">
        <v>15999505.91926874</v>
      </c>
      <c r="G119" s="10">
        <v>349</v>
      </c>
      <c r="H119" s="10">
        <v>5</v>
      </c>
      <c r="I119" s="10">
        <v>1</v>
      </c>
      <c r="J119" s="10">
        <v>421</v>
      </c>
      <c r="K119" s="10">
        <v>15370381.060076457</v>
      </c>
    </row>
    <row r="120" spans="1:11" x14ac:dyDescent="0.35">
      <c r="A120" s="9" t="s">
        <v>233</v>
      </c>
      <c r="B120" s="10">
        <v>1088</v>
      </c>
      <c r="C120" s="10">
        <v>53</v>
      </c>
      <c r="D120" s="10">
        <v>1</v>
      </c>
      <c r="E120" s="10">
        <v>996</v>
      </c>
      <c r="F120" s="10">
        <v>36078567.064575352</v>
      </c>
      <c r="G120" s="10">
        <v>1086</v>
      </c>
      <c r="H120" s="10">
        <v>21</v>
      </c>
      <c r="I120" s="10">
        <v>2</v>
      </c>
      <c r="J120" s="10">
        <v>970</v>
      </c>
      <c r="K120" s="10">
        <v>34498869.060326368</v>
      </c>
    </row>
    <row r="121" spans="1:11" x14ac:dyDescent="0.35">
      <c r="A121" s="9" t="s">
        <v>234</v>
      </c>
      <c r="B121" s="10">
        <v>1161</v>
      </c>
      <c r="C121" s="10">
        <v>42</v>
      </c>
      <c r="D121" s="10">
        <v>2</v>
      </c>
      <c r="E121" s="10">
        <v>982</v>
      </c>
      <c r="F121" s="10">
        <v>37094905.547014944</v>
      </c>
      <c r="G121" s="10">
        <v>1123</v>
      </c>
      <c r="H121" s="10">
        <v>49</v>
      </c>
      <c r="I121" s="10">
        <v>2</v>
      </c>
      <c r="J121" s="10">
        <v>954</v>
      </c>
      <c r="K121" s="10">
        <v>35089509.032971457</v>
      </c>
    </row>
    <row r="122" spans="1:11" x14ac:dyDescent="0.35">
      <c r="A122" s="9" t="s">
        <v>235</v>
      </c>
      <c r="B122" s="10">
        <v>731</v>
      </c>
      <c r="C122" s="10">
        <v>196</v>
      </c>
      <c r="D122" s="10">
        <v>1</v>
      </c>
      <c r="E122" s="10">
        <v>648</v>
      </c>
      <c r="F122" s="10">
        <v>30760962.034340028</v>
      </c>
      <c r="G122" s="10">
        <v>1100</v>
      </c>
      <c r="H122" s="10">
        <v>217</v>
      </c>
      <c r="I122" s="10">
        <v>1</v>
      </c>
      <c r="J122" s="10">
        <v>721</v>
      </c>
      <c r="K122" s="10">
        <v>29710083.227756117</v>
      </c>
    </row>
    <row r="123" spans="1:11" x14ac:dyDescent="0.35">
      <c r="A123" s="9" t="s">
        <v>236</v>
      </c>
      <c r="B123" s="10">
        <v>870</v>
      </c>
      <c r="C123" s="10">
        <v>191</v>
      </c>
      <c r="D123" s="10">
        <v>5</v>
      </c>
      <c r="E123" s="10">
        <v>559</v>
      </c>
      <c r="F123" s="10">
        <v>29296359.104273621</v>
      </c>
      <c r="G123" s="10">
        <v>803</v>
      </c>
      <c r="H123" s="10">
        <v>210</v>
      </c>
      <c r="I123" s="10">
        <v>5</v>
      </c>
      <c r="J123" s="10">
        <v>540</v>
      </c>
      <c r="K123" s="10">
        <v>24591523.584384996</v>
      </c>
    </row>
    <row r="124" spans="1:11" x14ac:dyDescent="0.35">
      <c r="A124" s="9" t="s">
        <v>237</v>
      </c>
      <c r="B124" s="10">
        <v>579</v>
      </c>
      <c r="C124" s="10">
        <v>19</v>
      </c>
      <c r="D124" s="10">
        <v>1</v>
      </c>
      <c r="E124" s="10">
        <v>520</v>
      </c>
      <c r="F124" s="10">
        <v>25925950.536672197</v>
      </c>
      <c r="G124" s="10">
        <v>691</v>
      </c>
      <c r="H124" s="10">
        <v>33</v>
      </c>
      <c r="I124" s="10">
        <v>0</v>
      </c>
      <c r="J124" s="10">
        <v>490</v>
      </c>
      <c r="K124" s="10">
        <v>22451239.328067567</v>
      </c>
    </row>
    <row r="125" spans="1:11" x14ac:dyDescent="0.35">
      <c r="A125" s="9" t="s">
        <v>238</v>
      </c>
      <c r="B125" s="10">
        <v>375</v>
      </c>
      <c r="C125" s="10">
        <v>6</v>
      </c>
      <c r="D125" s="10">
        <v>1</v>
      </c>
      <c r="E125" s="10">
        <v>383</v>
      </c>
      <c r="F125" s="10">
        <v>17015130.147762638</v>
      </c>
      <c r="G125" s="10">
        <v>467</v>
      </c>
      <c r="H125" s="10">
        <v>3</v>
      </c>
      <c r="I125" s="10">
        <v>1</v>
      </c>
      <c r="J125" s="10">
        <v>372</v>
      </c>
      <c r="K125" s="10">
        <v>15117419.638327723</v>
      </c>
    </row>
    <row r="126" spans="1:11" x14ac:dyDescent="0.35">
      <c r="A126" s="9" t="s">
        <v>239</v>
      </c>
      <c r="B126" s="10">
        <v>432</v>
      </c>
      <c r="C126" s="10">
        <v>12</v>
      </c>
      <c r="D126" s="10">
        <v>1</v>
      </c>
      <c r="E126" s="10">
        <v>367</v>
      </c>
      <c r="F126" s="10">
        <v>17276394.269276753</v>
      </c>
      <c r="G126" s="10">
        <v>396</v>
      </c>
      <c r="H126" s="10">
        <v>10</v>
      </c>
      <c r="I126" s="10">
        <v>1</v>
      </c>
      <c r="J126" s="10">
        <v>396</v>
      </c>
      <c r="K126" s="10">
        <v>13808564.524602424</v>
      </c>
    </row>
    <row r="127" spans="1:11" x14ac:dyDescent="0.35">
      <c r="A127" s="9" t="s">
        <v>240</v>
      </c>
      <c r="B127" s="10">
        <v>653</v>
      </c>
      <c r="C127" s="10">
        <v>4</v>
      </c>
      <c r="D127" s="10">
        <v>1</v>
      </c>
      <c r="E127" s="10">
        <v>775</v>
      </c>
      <c r="F127" s="10">
        <v>20209725.154406853</v>
      </c>
      <c r="G127" s="10">
        <v>794</v>
      </c>
      <c r="H127" s="10">
        <v>6</v>
      </c>
      <c r="I127" s="10">
        <v>1</v>
      </c>
      <c r="J127" s="10">
        <v>840</v>
      </c>
      <c r="K127" s="10">
        <v>21071894.316819843</v>
      </c>
    </row>
    <row r="128" spans="1:11" x14ac:dyDescent="0.35">
      <c r="A128" s="9" t="s">
        <v>241</v>
      </c>
      <c r="B128" s="10">
        <v>1696</v>
      </c>
      <c r="C128" s="10">
        <v>19</v>
      </c>
      <c r="D128" s="10">
        <v>1</v>
      </c>
      <c r="E128" s="10">
        <v>1542</v>
      </c>
      <c r="F128" s="10">
        <v>47919776.85759449</v>
      </c>
      <c r="G128" s="10">
        <v>1513</v>
      </c>
      <c r="H128" s="10">
        <v>24</v>
      </c>
      <c r="I128" s="10">
        <v>0</v>
      </c>
      <c r="J128" s="10">
        <v>1562</v>
      </c>
      <c r="K128" s="10">
        <v>47587948.891718797</v>
      </c>
    </row>
    <row r="129" spans="1:11" x14ac:dyDescent="0.35">
      <c r="A129" s="9" t="s">
        <v>242</v>
      </c>
      <c r="B129" s="10">
        <v>154</v>
      </c>
      <c r="C129" s="10">
        <v>0</v>
      </c>
      <c r="D129" s="10">
        <v>0</v>
      </c>
      <c r="E129" s="10">
        <v>140</v>
      </c>
      <c r="F129" s="10">
        <v>4613273.1281407829</v>
      </c>
      <c r="G129" s="10">
        <v>26</v>
      </c>
      <c r="H129" s="10">
        <v>0</v>
      </c>
      <c r="I129" s="10">
        <v>0</v>
      </c>
      <c r="J129" s="10">
        <v>1</v>
      </c>
      <c r="K129" s="10">
        <v>4098172.4327227222</v>
      </c>
    </row>
    <row r="130" spans="1:11" x14ac:dyDescent="0.35">
      <c r="A130" s="9" t="s">
        <v>243</v>
      </c>
      <c r="B130" s="10">
        <v>388</v>
      </c>
      <c r="C130" s="10">
        <v>2</v>
      </c>
      <c r="D130" s="10">
        <v>1</v>
      </c>
      <c r="E130" s="10">
        <v>286</v>
      </c>
      <c r="F130" s="10">
        <v>20475470.000095293</v>
      </c>
      <c r="G130" s="10">
        <v>246</v>
      </c>
      <c r="H130" s="10">
        <v>3</v>
      </c>
      <c r="I130" s="10">
        <v>1</v>
      </c>
      <c r="J130" s="10">
        <v>41</v>
      </c>
      <c r="K130" s="10">
        <v>20048988.134763837</v>
      </c>
    </row>
    <row r="131" spans="1:11" x14ac:dyDescent="0.35">
      <c r="A131" s="9" t="s">
        <v>244</v>
      </c>
      <c r="B131" s="10">
        <v>359</v>
      </c>
      <c r="C131" s="10">
        <v>4</v>
      </c>
      <c r="D131" s="10">
        <v>1</v>
      </c>
      <c r="E131" s="10">
        <v>300</v>
      </c>
      <c r="F131" s="10">
        <v>12296367.269877519</v>
      </c>
      <c r="G131" s="10">
        <v>376</v>
      </c>
      <c r="H131" s="10">
        <v>8</v>
      </c>
      <c r="I131" s="10">
        <v>1</v>
      </c>
      <c r="J131" s="10">
        <v>442</v>
      </c>
      <c r="K131" s="10">
        <v>13844122.993385969</v>
      </c>
    </row>
    <row r="132" spans="1:11" x14ac:dyDescent="0.35">
      <c r="A132" s="9" t="s">
        <v>245</v>
      </c>
      <c r="B132" s="10">
        <v>709</v>
      </c>
      <c r="C132" s="10">
        <v>15</v>
      </c>
      <c r="D132" s="10">
        <v>3</v>
      </c>
      <c r="E132" s="10">
        <v>690</v>
      </c>
      <c r="F132" s="10">
        <v>35915510.324374579</v>
      </c>
      <c r="G132" s="10">
        <v>804</v>
      </c>
      <c r="H132" s="10">
        <v>18</v>
      </c>
      <c r="I132" s="10">
        <v>3</v>
      </c>
      <c r="J132" s="10">
        <v>834</v>
      </c>
      <c r="K132" s="10">
        <v>34975603.674000897</v>
      </c>
    </row>
    <row r="133" spans="1:11" x14ac:dyDescent="0.35">
      <c r="A133" s="9" t="s">
        <v>246</v>
      </c>
      <c r="B133" s="10">
        <v>318</v>
      </c>
      <c r="C133" s="10">
        <v>3</v>
      </c>
      <c r="D133" s="10">
        <v>1</v>
      </c>
      <c r="E133" s="10">
        <v>247</v>
      </c>
      <c r="F133" s="10">
        <v>14121531.234876836</v>
      </c>
      <c r="G133" s="10">
        <v>341</v>
      </c>
      <c r="H133" s="10">
        <v>4</v>
      </c>
      <c r="I133" s="10">
        <v>2</v>
      </c>
      <c r="J133" s="10">
        <v>285</v>
      </c>
      <c r="K133" s="10">
        <v>14050031.4965323</v>
      </c>
    </row>
    <row r="134" spans="1:11" x14ac:dyDescent="0.35">
      <c r="A134" s="9" t="s">
        <v>247</v>
      </c>
      <c r="B134" s="10">
        <v>345</v>
      </c>
      <c r="C134" s="10">
        <v>2</v>
      </c>
      <c r="D134" s="10">
        <v>2</v>
      </c>
      <c r="E134" s="10">
        <v>202</v>
      </c>
      <c r="F134" s="10">
        <v>12710299.493610889</v>
      </c>
      <c r="G134" s="10">
        <v>348</v>
      </c>
      <c r="H134" s="10">
        <v>3</v>
      </c>
      <c r="I134" s="10">
        <v>0</v>
      </c>
      <c r="J134" s="10">
        <v>220</v>
      </c>
      <c r="K134" s="10">
        <v>12418666.715619033</v>
      </c>
    </row>
    <row r="135" spans="1:11" x14ac:dyDescent="0.35">
      <c r="A135" s="9" t="s">
        <v>248</v>
      </c>
      <c r="B135" s="10">
        <v>209</v>
      </c>
      <c r="C135" s="10">
        <v>2</v>
      </c>
      <c r="D135" s="10">
        <v>1</v>
      </c>
      <c r="E135" s="10">
        <v>175</v>
      </c>
      <c r="F135" s="10">
        <v>11381326.663953936</v>
      </c>
      <c r="G135" s="10">
        <v>206</v>
      </c>
      <c r="H135" s="10">
        <v>2</v>
      </c>
      <c r="I135" s="10">
        <v>0</v>
      </c>
      <c r="J135" s="10">
        <v>175</v>
      </c>
      <c r="K135" s="10">
        <v>11551950.545843644</v>
      </c>
    </row>
    <row r="136" spans="1:11" x14ac:dyDescent="0.35">
      <c r="A136" s="9" t="s">
        <v>249</v>
      </c>
      <c r="B136" s="10">
        <v>439</v>
      </c>
      <c r="C136" s="10">
        <v>8</v>
      </c>
      <c r="D136" s="10">
        <v>0</v>
      </c>
      <c r="E136" s="10">
        <v>332</v>
      </c>
      <c r="F136" s="10">
        <v>20701954.574015968</v>
      </c>
      <c r="G136" s="10">
        <v>474</v>
      </c>
      <c r="H136" s="10">
        <v>15</v>
      </c>
      <c r="I136" s="10">
        <v>0</v>
      </c>
      <c r="J136" s="10">
        <v>366</v>
      </c>
      <c r="K136" s="10">
        <v>22593620.168833647</v>
      </c>
    </row>
    <row r="137" spans="1:11" x14ac:dyDescent="0.35">
      <c r="A137" s="9" t="s">
        <v>250</v>
      </c>
      <c r="B137" s="10">
        <v>643</v>
      </c>
      <c r="C137" s="10">
        <v>9</v>
      </c>
      <c r="D137" s="10">
        <v>1</v>
      </c>
      <c r="E137" s="10">
        <v>594</v>
      </c>
      <c r="F137" s="10">
        <v>34200861.158877425</v>
      </c>
      <c r="G137" s="10">
        <v>688</v>
      </c>
      <c r="H137" s="10">
        <v>11</v>
      </c>
      <c r="I137" s="10">
        <v>1</v>
      </c>
      <c r="J137" s="10">
        <v>646</v>
      </c>
      <c r="K137" s="10">
        <v>35949336.463029779</v>
      </c>
    </row>
    <row r="138" spans="1:11" x14ac:dyDescent="0.35">
      <c r="A138" s="9" t="s">
        <v>251</v>
      </c>
      <c r="B138" s="10">
        <v>554</v>
      </c>
      <c r="C138" s="10">
        <v>10</v>
      </c>
      <c r="D138" s="10">
        <v>0</v>
      </c>
      <c r="E138" s="10">
        <v>552</v>
      </c>
      <c r="F138" s="10">
        <v>28104508.855403718</v>
      </c>
      <c r="G138" s="10">
        <v>685</v>
      </c>
      <c r="H138" s="10">
        <v>31</v>
      </c>
      <c r="I138" s="10">
        <v>1</v>
      </c>
      <c r="J138" s="10">
        <v>566</v>
      </c>
      <c r="K138" s="10">
        <v>29927466.405329127</v>
      </c>
    </row>
    <row r="139" spans="1:11" x14ac:dyDescent="0.35">
      <c r="A139" s="9" t="s">
        <v>252</v>
      </c>
      <c r="B139" s="10">
        <v>232</v>
      </c>
      <c r="C139" s="10">
        <v>0</v>
      </c>
      <c r="D139" s="10">
        <v>2</v>
      </c>
      <c r="E139" s="10">
        <v>186</v>
      </c>
      <c r="F139" s="10">
        <v>10559377.079846852</v>
      </c>
      <c r="G139" s="10">
        <v>202</v>
      </c>
      <c r="H139" s="10">
        <v>2</v>
      </c>
      <c r="I139" s="10">
        <v>1</v>
      </c>
      <c r="J139" s="10">
        <v>169</v>
      </c>
      <c r="K139" s="10">
        <v>9966137.1151988301</v>
      </c>
    </row>
    <row r="140" spans="1:11" x14ac:dyDescent="0.35">
      <c r="A140" s="9" t="s">
        <v>253</v>
      </c>
      <c r="B140" s="10">
        <v>985</v>
      </c>
      <c r="C140" s="10">
        <v>20</v>
      </c>
      <c r="D140" s="10">
        <v>1</v>
      </c>
      <c r="E140" s="10">
        <v>916</v>
      </c>
      <c r="F140" s="10">
        <v>43506272.15251784</v>
      </c>
      <c r="G140" s="10">
        <v>952</v>
      </c>
      <c r="H140" s="10">
        <v>35</v>
      </c>
      <c r="I140" s="10">
        <v>1</v>
      </c>
      <c r="J140" s="10">
        <v>823</v>
      </c>
      <c r="K140" s="10">
        <v>41893000.628938355</v>
      </c>
    </row>
    <row r="141" spans="1:11" x14ac:dyDescent="0.35">
      <c r="A141" s="9" t="s">
        <v>254</v>
      </c>
      <c r="B141" s="10">
        <v>326</v>
      </c>
      <c r="C141" s="10">
        <v>2</v>
      </c>
      <c r="D141" s="10">
        <v>2</v>
      </c>
      <c r="E141" s="10">
        <v>316</v>
      </c>
      <c r="F141" s="10">
        <v>14262822.331713853</v>
      </c>
      <c r="G141" s="10">
        <v>294</v>
      </c>
      <c r="H141" s="10">
        <v>7</v>
      </c>
      <c r="I141" s="10">
        <v>1</v>
      </c>
      <c r="J141" s="10">
        <v>270</v>
      </c>
      <c r="K141" s="10">
        <v>15199505.412788007</v>
      </c>
    </row>
    <row r="142" spans="1:11" x14ac:dyDescent="0.35">
      <c r="A142" s="9" t="s">
        <v>255</v>
      </c>
      <c r="B142" s="10">
        <v>381</v>
      </c>
      <c r="C142" s="10">
        <v>11</v>
      </c>
      <c r="D142" s="10">
        <v>1</v>
      </c>
      <c r="E142" s="10">
        <v>371</v>
      </c>
      <c r="F142" s="10">
        <v>13375461.482423652</v>
      </c>
      <c r="G142" s="10">
        <v>428</v>
      </c>
      <c r="H142" s="10">
        <v>5</v>
      </c>
      <c r="I142" s="10">
        <v>0</v>
      </c>
      <c r="J142" s="10">
        <v>354</v>
      </c>
      <c r="K142" s="10">
        <v>15055339.444404587</v>
      </c>
    </row>
    <row r="143" spans="1:11" x14ac:dyDescent="0.35">
      <c r="A143" s="9" t="s">
        <v>256</v>
      </c>
      <c r="B143" s="10">
        <v>1887</v>
      </c>
      <c r="C143" s="10">
        <v>45</v>
      </c>
      <c r="D143" s="10">
        <v>2</v>
      </c>
      <c r="E143" s="10">
        <v>1542</v>
      </c>
      <c r="F143" s="10">
        <v>111207113.75908656</v>
      </c>
      <c r="G143" s="10">
        <v>1757</v>
      </c>
      <c r="H143" s="10">
        <v>47</v>
      </c>
      <c r="I143" s="10">
        <v>2</v>
      </c>
      <c r="J143" s="10">
        <v>1674</v>
      </c>
      <c r="K143" s="10">
        <v>117582814.01301064</v>
      </c>
    </row>
    <row r="144" spans="1:11" x14ac:dyDescent="0.35">
      <c r="A144" s="9" t="s">
        <v>257</v>
      </c>
      <c r="B144" s="10">
        <v>1530</v>
      </c>
      <c r="C144" s="10">
        <v>23</v>
      </c>
      <c r="D144" s="10">
        <v>4</v>
      </c>
      <c r="E144" s="10">
        <v>1295</v>
      </c>
      <c r="F144" s="10">
        <v>50306854.407968648</v>
      </c>
      <c r="G144" s="10">
        <v>1326</v>
      </c>
      <c r="H144" s="10">
        <v>14</v>
      </c>
      <c r="I144" s="10">
        <v>5</v>
      </c>
      <c r="J144" s="10">
        <v>1043</v>
      </c>
      <c r="K144" s="10">
        <v>45198205.1075202</v>
      </c>
    </row>
    <row r="145" spans="1:11" x14ac:dyDescent="0.35">
      <c r="A145" s="9" t="s">
        <v>258</v>
      </c>
      <c r="B145" s="10">
        <v>1034</v>
      </c>
      <c r="C145" s="10">
        <v>14</v>
      </c>
      <c r="D145" s="10">
        <v>1</v>
      </c>
      <c r="E145" s="10">
        <v>768</v>
      </c>
      <c r="F145" s="10">
        <v>36032218.833639361</v>
      </c>
      <c r="G145" s="10">
        <v>933</v>
      </c>
      <c r="H145" s="10">
        <v>23</v>
      </c>
      <c r="I145" s="10">
        <v>1</v>
      </c>
      <c r="J145" s="10">
        <v>842</v>
      </c>
      <c r="K145" s="10">
        <v>31979038.256206036</v>
      </c>
    </row>
    <row r="146" spans="1:11" x14ac:dyDescent="0.35">
      <c r="A146" s="9" t="s">
        <v>259</v>
      </c>
      <c r="B146" s="10">
        <v>852</v>
      </c>
      <c r="C146" s="10">
        <v>8</v>
      </c>
      <c r="D146" s="10">
        <v>3</v>
      </c>
      <c r="E146" s="10">
        <v>942</v>
      </c>
      <c r="F146" s="10">
        <v>30100648.023891829</v>
      </c>
      <c r="G146" s="10">
        <v>867</v>
      </c>
      <c r="H146" s="10">
        <v>11</v>
      </c>
      <c r="I146" s="10">
        <v>3</v>
      </c>
      <c r="J146" s="10">
        <v>823</v>
      </c>
      <c r="K146" s="10">
        <v>28514337.108943045</v>
      </c>
    </row>
    <row r="147" spans="1:11" x14ac:dyDescent="0.35">
      <c r="A147" s="9" t="s">
        <v>260</v>
      </c>
      <c r="B147" s="10">
        <v>519</v>
      </c>
      <c r="C147" s="10">
        <v>9</v>
      </c>
      <c r="D147" s="10">
        <v>2</v>
      </c>
      <c r="E147" s="10">
        <v>538</v>
      </c>
      <c r="F147" s="10">
        <v>35313113.88670405</v>
      </c>
      <c r="G147" s="10">
        <v>490</v>
      </c>
      <c r="H147" s="10">
        <v>3</v>
      </c>
      <c r="I147" s="10">
        <v>2</v>
      </c>
      <c r="J147" s="10">
        <v>471</v>
      </c>
      <c r="K147" s="10">
        <v>37790955.653171651</v>
      </c>
    </row>
    <row r="148" spans="1:11" x14ac:dyDescent="0.35">
      <c r="A148" s="9" t="s">
        <v>261</v>
      </c>
      <c r="B148" s="10">
        <v>1153</v>
      </c>
      <c r="C148" s="10">
        <v>108</v>
      </c>
      <c r="D148" s="10">
        <v>3</v>
      </c>
      <c r="E148" s="10">
        <v>1116</v>
      </c>
      <c r="F148" s="10">
        <v>35422579.860616289</v>
      </c>
      <c r="G148" s="10">
        <v>1332</v>
      </c>
      <c r="H148" s="10">
        <v>147</v>
      </c>
      <c r="I148" s="10">
        <v>5</v>
      </c>
      <c r="J148" s="10">
        <v>1073</v>
      </c>
      <c r="K148" s="10">
        <v>37821859.287106246</v>
      </c>
    </row>
    <row r="149" spans="1:11" x14ac:dyDescent="0.35">
      <c r="A149" s="9" t="s">
        <v>262</v>
      </c>
      <c r="B149" s="10">
        <v>424</v>
      </c>
      <c r="C149" s="10">
        <v>2</v>
      </c>
      <c r="D149" s="10">
        <v>3</v>
      </c>
      <c r="E149" s="10">
        <v>366</v>
      </c>
      <c r="F149" s="10">
        <v>15564177.568556832</v>
      </c>
      <c r="G149" s="10">
        <v>469</v>
      </c>
      <c r="H149" s="10">
        <v>6</v>
      </c>
      <c r="I149" s="10">
        <v>3</v>
      </c>
      <c r="J149" s="10">
        <v>451</v>
      </c>
      <c r="K149" s="10">
        <v>15819270.484865025</v>
      </c>
    </row>
    <row r="150" spans="1:11" x14ac:dyDescent="0.35">
      <c r="A150" s="9" t="s">
        <v>263</v>
      </c>
      <c r="B150" s="10">
        <v>782</v>
      </c>
      <c r="C150" s="10">
        <v>8</v>
      </c>
      <c r="D150" s="10">
        <v>0</v>
      </c>
      <c r="E150" s="10">
        <v>603</v>
      </c>
      <c r="F150" s="10">
        <v>36341826.642754838</v>
      </c>
      <c r="G150" s="10">
        <v>867</v>
      </c>
      <c r="H150" s="10">
        <v>15</v>
      </c>
      <c r="I150" s="10">
        <v>1</v>
      </c>
      <c r="J150" s="10">
        <v>665</v>
      </c>
      <c r="K150" s="10">
        <v>34988796.592169181</v>
      </c>
    </row>
    <row r="151" spans="1:11" x14ac:dyDescent="0.35">
      <c r="A151" s="9" t="s">
        <v>264</v>
      </c>
      <c r="B151" s="10">
        <v>488</v>
      </c>
      <c r="C151" s="10">
        <v>8</v>
      </c>
      <c r="D151" s="10">
        <v>1</v>
      </c>
      <c r="E151" s="10">
        <v>466</v>
      </c>
      <c r="F151" s="10">
        <v>20575881.637004878</v>
      </c>
      <c r="G151" s="10">
        <v>460</v>
      </c>
      <c r="H151" s="10">
        <v>9</v>
      </c>
      <c r="I151" s="10">
        <v>1</v>
      </c>
      <c r="J151" s="10">
        <v>427</v>
      </c>
      <c r="K151" s="10">
        <v>20317047.726413447</v>
      </c>
    </row>
    <row r="152" spans="1:11" x14ac:dyDescent="0.35">
      <c r="A152" s="9" t="s">
        <v>265</v>
      </c>
      <c r="B152" s="10">
        <v>845</v>
      </c>
      <c r="C152" s="10">
        <v>16</v>
      </c>
      <c r="D152" s="10">
        <v>1</v>
      </c>
      <c r="E152" s="10">
        <v>841</v>
      </c>
      <c r="F152" s="10">
        <v>34772032.586166382</v>
      </c>
      <c r="G152" s="10">
        <v>797</v>
      </c>
      <c r="H152" s="10">
        <v>16</v>
      </c>
      <c r="I152" s="10">
        <v>1</v>
      </c>
      <c r="J152" s="10">
        <v>701</v>
      </c>
      <c r="K152" s="10">
        <v>36336325.093248218</v>
      </c>
    </row>
    <row r="153" spans="1:11" x14ac:dyDescent="0.35">
      <c r="A153" s="9" t="s">
        <v>266</v>
      </c>
      <c r="B153" s="10">
        <v>1334</v>
      </c>
      <c r="C153" s="10">
        <v>38</v>
      </c>
      <c r="D153" s="10">
        <v>7</v>
      </c>
      <c r="E153" s="10">
        <v>1119</v>
      </c>
      <c r="F153" s="10">
        <v>74889033.965058416</v>
      </c>
      <c r="G153" s="10">
        <v>1226</v>
      </c>
      <c r="H153" s="10">
        <v>27</v>
      </c>
      <c r="I153" s="10">
        <v>7</v>
      </c>
      <c r="J153" s="10">
        <v>1062</v>
      </c>
      <c r="K153" s="10">
        <v>74284995.553259611</v>
      </c>
    </row>
    <row r="154" spans="1:11" x14ac:dyDescent="0.35">
      <c r="A154" s="9" t="s">
        <v>267</v>
      </c>
      <c r="B154" s="10">
        <v>454</v>
      </c>
      <c r="C154" s="10">
        <v>12</v>
      </c>
      <c r="D154" s="10">
        <v>0</v>
      </c>
      <c r="E154" s="10">
        <v>364</v>
      </c>
      <c r="F154" s="10">
        <v>17142102.297945444</v>
      </c>
      <c r="G154" s="10">
        <v>520</v>
      </c>
      <c r="H154" s="10">
        <v>14</v>
      </c>
      <c r="I154" s="10">
        <v>0</v>
      </c>
      <c r="J154" s="10">
        <v>438</v>
      </c>
      <c r="K154" s="10">
        <v>15674270.358166143</v>
      </c>
    </row>
    <row r="155" spans="1:11" x14ac:dyDescent="0.35">
      <c r="A155" s="9" t="s">
        <v>268</v>
      </c>
      <c r="B155" s="10">
        <v>1299</v>
      </c>
      <c r="C155" s="10">
        <v>11</v>
      </c>
      <c r="D155" s="10">
        <v>1</v>
      </c>
      <c r="E155" s="10">
        <v>1207</v>
      </c>
      <c r="F155" s="10">
        <v>36731547.217921406</v>
      </c>
      <c r="G155" s="10">
        <v>1211</v>
      </c>
      <c r="H155" s="10">
        <v>14</v>
      </c>
      <c r="I155" s="10">
        <v>1</v>
      </c>
      <c r="J155" s="10">
        <v>1226</v>
      </c>
      <c r="K155" s="10">
        <v>36503865.921296284</v>
      </c>
    </row>
    <row r="156" spans="1:11" x14ac:dyDescent="0.35">
      <c r="A156" s="9" t="s">
        <v>269</v>
      </c>
      <c r="B156" s="10">
        <v>809</v>
      </c>
      <c r="C156" s="10">
        <v>13</v>
      </c>
      <c r="D156" s="10">
        <v>4</v>
      </c>
      <c r="E156" s="10">
        <v>766</v>
      </c>
      <c r="F156" s="10">
        <v>34937545.696820647</v>
      </c>
      <c r="G156" s="10">
        <v>791</v>
      </c>
      <c r="H156" s="10">
        <v>12</v>
      </c>
      <c r="I156" s="10">
        <v>4</v>
      </c>
      <c r="J156" s="10">
        <v>575</v>
      </c>
      <c r="K156" s="10">
        <v>34122871.013230801</v>
      </c>
    </row>
    <row r="157" spans="1:11" x14ac:dyDescent="0.35">
      <c r="A157" s="9" t="s">
        <v>270</v>
      </c>
      <c r="B157" s="10">
        <v>1108</v>
      </c>
      <c r="C157" s="10">
        <v>14</v>
      </c>
      <c r="D157" s="10">
        <v>2</v>
      </c>
      <c r="E157" s="10">
        <v>1301</v>
      </c>
      <c r="F157" s="10">
        <v>23611221.303468388</v>
      </c>
      <c r="G157" s="10">
        <v>1200</v>
      </c>
      <c r="H157" s="10">
        <v>16</v>
      </c>
      <c r="I157" s="10">
        <v>2</v>
      </c>
      <c r="J157" s="10">
        <v>1421</v>
      </c>
      <c r="K157" s="10">
        <v>27083011.724748258</v>
      </c>
    </row>
    <row r="158" spans="1:11" x14ac:dyDescent="0.35">
      <c r="A158" s="9" t="s">
        <v>271</v>
      </c>
      <c r="B158" s="10">
        <v>892</v>
      </c>
      <c r="C158" s="10">
        <v>19</v>
      </c>
      <c r="D158" s="10">
        <v>4</v>
      </c>
      <c r="E158" s="10">
        <v>826</v>
      </c>
      <c r="F158" s="10">
        <v>22693242.020651139</v>
      </c>
      <c r="G158" s="10">
        <v>865</v>
      </c>
      <c r="H158" s="10">
        <v>12</v>
      </c>
      <c r="I158" s="10">
        <v>4</v>
      </c>
      <c r="J158" s="10">
        <v>855</v>
      </c>
      <c r="K158" s="10">
        <v>24064640.014620919</v>
      </c>
    </row>
    <row r="159" spans="1:11" x14ac:dyDescent="0.35">
      <c r="A159" s="9" t="s">
        <v>272</v>
      </c>
      <c r="B159" s="10">
        <v>618</v>
      </c>
      <c r="C159" s="10">
        <v>12</v>
      </c>
      <c r="D159" s="10">
        <v>0</v>
      </c>
      <c r="E159" s="10">
        <v>642</v>
      </c>
      <c r="F159" s="10">
        <v>15789448.316089548</v>
      </c>
      <c r="G159" s="10">
        <v>625</v>
      </c>
      <c r="H159" s="10">
        <v>12</v>
      </c>
      <c r="I159" s="10">
        <v>1</v>
      </c>
      <c r="J159" s="10">
        <v>632</v>
      </c>
      <c r="K159" s="10">
        <v>18947048.299856424</v>
      </c>
    </row>
    <row r="160" spans="1:11" x14ac:dyDescent="0.35">
      <c r="A160" s="9" t="s">
        <v>273</v>
      </c>
      <c r="B160" s="10">
        <v>972</v>
      </c>
      <c r="C160" s="10">
        <v>15</v>
      </c>
      <c r="D160" s="10">
        <v>1</v>
      </c>
      <c r="E160" s="10">
        <v>1016</v>
      </c>
      <c r="F160" s="10">
        <v>19951493.762608975</v>
      </c>
      <c r="G160" s="10">
        <v>904</v>
      </c>
      <c r="H160" s="10">
        <v>13</v>
      </c>
      <c r="I160" s="10">
        <v>1</v>
      </c>
      <c r="J160" s="10">
        <v>937</v>
      </c>
      <c r="K160" s="10">
        <v>21666468.208596192</v>
      </c>
    </row>
    <row r="161" spans="1:11" x14ac:dyDescent="0.35">
      <c r="A161" s="9" t="s">
        <v>274</v>
      </c>
      <c r="B161" s="10">
        <v>465</v>
      </c>
      <c r="C161" s="10">
        <v>11</v>
      </c>
      <c r="D161" s="10">
        <v>1</v>
      </c>
      <c r="E161" s="10">
        <v>430</v>
      </c>
      <c r="F161" s="10">
        <v>21436892.920613572</v>
      </c>
      <c r="G161" s="10">
        <v>434</v>
      </c>
      <c r="H161" s="10">
        <v>9</v>
      </c>
      <c r="I161" s="10">
        <v>1</v>
      </c>
      <c r="J161" s="10">
        <v>407</v>
      </c>
      <c r="K161" s="10">
        <v>23081638.906113584</v>
      </c>
    </row>
    <row r="162" spans="1:11" x14ac:dyDescent="0.35">
      <c r="A162" s="9" t="s">
        <v>275</v>
      </c>
      <c r="B162" s="10">
        <v>494</v>
      </c>
      <c r="C162" s="10">
        <v>3</v>
      </c>
      <c r="D162" s="10">
        <v>1</v>
      </c>
      <c r="E162" s="10">
        <v>381</v>
      </c>
      <c r="F162" s="10">
        <v>27700070.312971793</v>
      </c>
      <c r="G162" s="10">
        <v>472</v>
      </c>
      <c r="H162" s="10">
        <v>6</v>
      </c>
      <c r="I162" s="10">
        <v>1</v>
      </c>
      <c r="J162" s="10">
        <v>412</v>
      </c>
      <c r="K162" s="10">
        <v>31899187.819335461</v>
      </c>
    </row>
    <row r="163" spans="1:11" x14ac:dyDescent="0.35">
      <c r="A163" s="9" t="s">
        <v>276</v>
      </c>
      <c r="B163" s="10">
        <v>724</v>
      </c>
      <c r="C163" s="10">
        <v>6</v>
      </c>
      <c r="D163" s="10">
        <v>1</v>
      </c>
      <c r="E163" s="10">
        <v>581</v>
      </c>
      <c r="F163" s="10">
        <v>18266033.043649413</v>
      </c>
      <c r="G163" s="10">
        <v>601</v>
      </c>
      <c r="H163" s="10">
        <v>9</v>
      </c>
      <c r="I163" s="10">
        <v>1</v>
      </c>
      <c r="J163" s="10">
        <v>563</v>
      </c>
      <c r="K163" s="10">
        <v>20813367.324704096</v>
      </c>
    </row>
    <row r="164" spans="1:11" x14ac:dyDescent="0.35">
      <c r="A164" s="9" t="s">
        <v>277</v>
      </c>
      <c r="B164" s="10">
        <v>753</v>
      </c>
      <c r="C164" s="10">
        <v>10</v>
      </c>
      <c r="D164" s="10">
        <v>1</v>
      </c>
      <c r="E164" s="10">
        <v>609</v>
      </c>
      <c r="F164" s="10">
        <v>25795681.431103125</v>
      </c>
      <c r="G164" s="10">
        <v>696</v>
      </c>
      <c r="H164" s="10">
        <v>12</v>
      </c>
      <c r="I164" s="10">
        <v>1</v>
      </c>
      <c r="J164" s="10">
        <v>522</v>
      </c>
      <c r="K164" s="10">
        <v>25678527.055816505</v>
      </c>
    </row>
    <row r="165" spans="1:11" x14ac:dyDescent="0.35">
      <c r="A165" s="9" t="s">
        <v>278</v>
      </c>
      <c r="B165" s="10">
        <v>896</v>
      </c>
      <c r="C165" s="10">
        <v>17</v>
      </c>
      <c r="D165" s="10">
        <v>3</v>
      </c>
      <c r="E165" s="10">
        <v>813</v>
      </c>
      <c r="F165" s="10">
        <v>18083542.306568094</v>
      </c>
      <c r="G165" s="10">
        <v>739</v>
      </c>
      <c r="H165" s="10">
        <v>19</v>
      </c>
      <c r="I165" s="10">
        <v>3</v>
      </c>
      <c r="J165" s="10">
        <v>801</v>
      </c>
      <c r="K165" s="10">
        <v>16736843.317620421</v>
      </c>
    </row>
    <row r="166" spans="1:11" x14ac:dyDescent="0.35">
      <c r="A166" s="9" t="s">
        <v>279</v>
      </c>
      <c r="B166" s="10">
        <v>659</v>
      </c>
      <c r="C166" s="10">
        <v>3</v>
      </c>
      <c r="D166" s="10">
        <v>8</v>
      </c>
      <c r="E166" s="10">
        <v>566</v>
      </c>
      <c r="F166" s="10">
        <v>35334154.370265536</v>
      </c>
      <c r="G166" s="10">
        <v>605</v>
      </c>
      <c r="H166" s="10">
        <v>4</v>
      </c>
      <c r="I166" s="10">
        <v>12</v>
      </c>
      <c r="J166" s="10">
        <v>633</v>
      </c>
      <c r="K166" s="10">
        <v>36978919.869862631</v>
      </c>
    </row>
    <row r="167" spans="1:11" x14ac:dyDescent="0.35">
      <c r="A167" s="9" t="s">
        <v>280</v>
      </c>
      <c r="B167" s="10">
        <v>1081</v>
      </c>
      <c r="C167" s="10">
        <v>21</v>
      </c>
      <c r="D167" s="10">
        <v>1</v>
      </c>
      <c r="E167" s="10">
        <v>1067</v>
      </c>
      <c r="F167" s="10">
        <v>28141602.160488822</v>
      </c>
      <c r="G167" s="10">
        <v>1012</v>
      </c>
      <c r="H167" s="10">
        <v>15</v>
      </c>
      <c r="I167" s="10">
        <v>1</v>
      </c>
      <c r="J167" s="10">
        <v>1084</v>
      </c>
      <c r="K167" s="10">
        <v>29137111.662302695</v>
      </c>
    </row>
    <row r="168" spans="1:11" x14ac:dyDescent="0.35">
      <c r="A168" s="9" t="s">
        <v>281</v>
      </c>
      <c r="B168" s="10">
        <v>971</v>
      </c>
      <c r="C168" s="10">
        <v>9</v>
      </c>
      <c r="D168" s="10">
        <v>1</v>
      </c>
      <c r="E168" s="10">
        <v>897</v>
      </c>
      <c r="F168" s="10">
        <v>44453964.612502143</v>
      </c>
      <c r="G168" s="10">
        <v>867</v>
      </c>
      <c r="H168" s="10">
        <v>20</v>
      </c>
      <c r="I168" s="10">
        <v>1</v>
      </c>
      <c r="J168" s="10">
        <v>861</v>
      </c>
      <c r="K168" s="10">
        <v>46422421.364810079</v>
      </c>
    </row>
    <row r="169" spans="1:11" x14ac:dyDescent="0.35">
      <c r="A169" s="9" t="s">
        <v>282</v>
      </c>
      <c r="B169" s="10">
        <v>1327</v>
      </c>
      <c r="C169" s="10">
        <v>21</v>
      </c>
      <c r="D169" s="10">
        <v>4</v>
      </c>
      <c r="E169" s="10">
        <v>1690</v>
      </c>
      <c r="F169" s="10">
        <v>70800183.2582957</v>
      </c>
      <c r="G169" s="10">
        <v>1109</v>
      </c>
      <c r="H169" s="10">
        <v>26</v>
      </c>
      <c r="I169" s="10">
        <v>2</v>
      </c>
      <c r="J169" s="10">
        <v>972</v>
      </c>
      <c r="K169" s="10">
        <v>70702572.821719542</v>
      </c>
    </row>
    <row r="170" spans="1:11" x14ac:dyDescent="0.35">
      <c r="A170" s="9" t="s">
        <v>283</v>
      </c>
      <c r="B170" s="10">
        <v>872</v>
      </c>
      <c r="C170" s="10">
        <v>12</v>
      </c>
      <c r="D170" s="10">
        <v>2</v>
      </c>
      <c r="E170" s="10">
        <v>763</v>
      </c>
      <c r="F170" s="10">
        <v>31143135.643422481</v>
      </c>
      <c r="G170" s="10">
        <v>803</v>
      </c>
      <c r="H170" s="10">
        <v>11</v>
      </c>
      <c r="I170" s="10">
        <v>2</v>
      </c>
      <c r="J170" s="10">
        <v>704</v>
      </c>
      <c r="K170" s="10">
        <v>38088983.817007698</v>
      </c>
    </row>
    <row r="171" spans="1:11" x14ac:dyDescent="0.35">
      <c r="A171" s="9" t="s">
        <v>284</v>
      </c>
      <c r="B171" s="10">
        <v>1492</v>
      </c>
      <c r="C171" s="10">
        <v>19</v>
      </c>
      <c r="D171" s="10">
        <v>3</v>
      </c>
      <c r="E171" s="10">
        <v>1483</v>
      </c>
      <c r="F171" s="10">
        <v>61178485.577937037</v>
      </c>
      <c r="G171" s="10">
        <v>1485</v>
      </c>
      <c r="H171" s="10">
        <v>39</v>
      </c>
      <c r="I171" s="10">
        <v>3</v>
      </c>
      <c r="J171" s="10">
        <v>1334</v>
      </c>
      <c r="K171" s="10">
        <v>64227941.904426679</v>
      </c>
    </row>
    <row r="172" spans="1:11" x14ac:dyDescent="0.35">
      <c r="A172" s="9" t="s">
        <v>285</v>
      </c>
      <c r="B172" s="10">
        <v>126</v>
      </c>
      <c r="C172" s="10">
        <v>2</v>
      </c>
      <c r="D172" s="10">
        <v>2</v>
      </c>
      <c r="E172" s="10">
        <v>140</v>
      </c>
      <c r="F172" s="10">
        <v>5355267.5500026336</v>
      </c>
      <c r="G172" s="10">
        <v>198</v>
      </c>
      <c r="H172" s="10">
        <v>3</v>
      </c>
      <c r="I172" s="10">
        <v>2</v>
      </c>
      <c r="J172" s="10">
        <v>173</v>
      </c>
      <c r="K172" s="10">
        <v>6648897.2473689122</v>
      </c>
    </row>
    <row r="173" spans="1:11" x14ac:dyDescent="0.35">
      <c r="A173" s="9" t="s">
        <v>286</v>
      </c>
      <c r="B173" s="10">
        <v>236</v>
      </c>
      <c r="C173" s="10">
        <v>1</v>
      </c>
      <c r="D173" s="10">
        <v>1</v>
      </c>
      <c r="E173" s="10">
        <v>2</v>
      </c>
      <c r="F173" s="10">
        <v>5691620.7646740936</v>
      </c>
      <c r="G173" s="10">
        <v>13</v>
      </c>
      <c r="H173" s="10">
        <v>0</v>
      </c>
      <c r="I173" s="10">
        <v>0</v>
      </c>
      <c r="J173" s="10">
        <v>0</v>
      </c>
      <c r="K173" s="10">
        <v>9699.0314658210009</v>
      </c>
    </row>
    <row r="174" spans="1:11" x14ac:dyDescent="0.35">
      <c r="A174" s="9" t="s">
        <v>287</v>
      </c>
      <c r="B174" s="10">
        <v>264</v>
      </c>
      <c r="C174" s="10">
        <v>17</v>
      </c>
      <c r="D174" s="10">
        <v>2</v>
      </c>
      <c r="E174" s="10">
        <v>241</v>
      </c>
      <c r="F174" s="10">
        <v>12528924.126511039</v>
      </c>
      <c r="G174" s="10">
        <v>258</v>
      </c>
      <c r="H174" s="10">
        <v>8</v>
      </c>
      <c r="I174" s="10">
        <v>1</v>
      </c>
      <c r="J174" s="10">
        <v>240</v>
      </c>
      <c r="K174" s="10">
        <v>13753365.016375445</v>
      </c>
    </row>
    <row r="175" spans="1:11" x14ac:dyDescent="0.35">
      <c r="A175" s="9" t="s">
        <v>288</v>
      </c>
      <c r="B175" s="10">
        <v>391</v>
      </c>
      <c r="C175" s="10">
        <v>6</v>
      </c>
      <c r="D175" s="10">
        <v>3</v>
      </c>
      <c r="E175" s="10">
        <v>437</v>
      </c>
      <c r="F175" s="10">
        <v>18728363.332810175</v>
      </c>
      <c r="G175" s="10">
        <v>403</v>
      </c>
      <c r="H175" s="10">
        <v>8</v>
      </c>
      <c r="I175" s="10">
        <v>3</v>
      </c>
      <c r="J175" s="10">
        <v>388</v>
      </c>
      <c r="K175" s="10">
        <v>19975110.577435408</v>
      </c>
    </row>
    <row r="176" spans="1:11" x14ac:dyDescent="0.35">
      <c r="A176" s="9" t="s">
        <v>289</v>
      </c>
      <c r="B176" s="10">
        <v>430</v>
      </c>
      <c r="C176" s="10">
        <v>18</v>
      </c>
      <c r="D176" s="10">
        <v>3</v>
      </c>
      <c r="E176" s="10">
        <v>443</v>
      </c>
      <c r="F176" s="10">
        <v>18233864.687505823</v>
      </c>
      <c r="G176" s="10">
        <v>402</v>
      </c>
      <c r="H176" s="10">
        <v>28</v>
      </c>
      <c r="I176" s="10">
        <v>4</v>
      </c>
      <c r="J176" s="10">
        <v>264</v>
      </c>
      <c r="K176" s="10">
        <v>15748686.111530436</v>
      </c>
    </row>
    <row r="177" spans="1:11" x14ac:dyDescent="0.35">
      <c r="A177" s="9" t="s">
        <v>290</v>
      </c>
      <c r="B177" s="10">
        <v>716</v>
      </c>
      <c r="C177" s="10">
        <v>17</v>
      </c>
      <c r="D177" s="10">
        <v>1</v>
      </c>
      <c r="E177" s="10">
        <v>786</v>
      </c>
      <c r="F177" s="10">
        <v>25182983.098591883</v>
      </c>
      <c r="G177" s="10">
        <v>886</v>
      </c>
      <c r="H177" s="10">
        <v>146</v>
      </c>
      <c r="I177" s="10">
        <v>2</v>
      </c>
      <c r="J177" s="10">
        <v>730</v>
      </c>
      <c r="K177" s="10">
        <v>27978747.906278186</v>
      </c>
    </row>
    <row r="178" spans="1:11" x14ac:dyDescent="0.35">
      <c r="A178" s="9" t="s">
        <v>291</v>
      </c>
      <c r="B178" s="10">
        <v>545</v>
      </c>
      <c r="C178" s="10">
        <v>17</v>
      </c>
      <c r="D178" s="10">
        <v>3</v>
      </c>
      <c r="E178" s="10">
        <v>524</v>
      </c>
      <c r="F178" s="10">
        <v>29146146.168289538</v>
      </c>
      <c r="G178" s="10">
        <v>691</v>
      </c>
      <c r="H178" s="10">
        <v>78</v>
      </c>
      <c r="I178" s="10">
        <v>2</v>
      </c>
      <c r="J178" s="10">
        <v>614</v>
      </c>
      <c r="K178" s="10">
        <v>22752900.935037415</v>
      </c>
    </row>
    <row r="179" spans="1:11" x14ac:dyDescent="0.35">
      <c r="A179" s="9" t="s">
        <v>292</v>
      </c>
      <c r="B179" s="10">
        <v>423</v>
      </c>
      <c r="C179" s="10">
        <v>18</v>
      </c>
      <c r="D179" s="10">
        <v>2</v>
      </c>
      <c r="E179" s="10">
        <v>394</v>
      </c>
      <c r="F179" s="10">
        <v>19243247.840459313</v>
      </c>
      <c r="G179" s="10">
        <v>419</v>
      </c>
      <c r="H179" s="10">
        <v>26</v>
      </c>
      <c r="I179" s="10">
        <v>2</v>
      </c>
      <c r="J179" s="10">
        <v>348</v>
      </c>
      <c r="K179" s="10">
        <v>19957702.041997679</v>
      </c>
    </row>
    <row r="180" spans="1:11" x14ac:dyDescent="0.35">
      <c r="A180" s="9" t="s">
        <v>293</v>
      </c>
      <c r="B180" s="10">
        <v>136</v>
      </c>
      <c r="C180" s="10">
        <v>0</v>
      </c>
      <c r="D180" s="10">
        <v>1</v>
      </c>
      <c r="E180" s="10">
        <v>114</v>
      </c>
      <c r="F180" s="10">
        <v>7859065.7546038982</v>
      </c>
      <c r="G180" s="10">
        <v>155</v>
      </c>
      <c r="H180" s="10">
        <v>4</v>
      </c>
      <c r="I180" s="10">
        <v>1</v>
      </c>
      <c r="J180" s="10">
        <v>154</v>
      </c>
      <c r="K180" s="10">
        <v>9059489.5160545893</v>
      </c>
    </row>
    <row r="181" spans="1:11" x14ac:dyDescent="0.35">
      <c r="A181" s="9" t="s">
        <v>294</v>
      </c>
      <c r="B181" s="10">
        <v>787</v>
      </c>
      <c r="C181" s="10">
        <v>13</v>
      </c>
      <c r="D181" s="10">
        <v>3</v>
      </c>
      <c r="E181" s="10">
        <v>738</v>
      </c>
      <c r="F181" s="10">
        <v>18321920.964979801</v>
      </c>
      <c r="G181" s="10">
        <v>979</v>
      </c>
      <c r="H181" s="10">
        <v>20</v>
      </c>
      <c r="I181" s="10">
        <v>3</v>
      </c>
      <c r="J181" s="10">
        <v>934</v>
      </c>
      <c r="K181" s="10">
        <v>23517980.150545873</v>
      </c>
    </row>
    <row r="182" spans="1:11" x14ac:dyDescent="0.35">
      <c r="A182" s="9" t="s">
        <v>295</v>
      </c>
      <c r="B182" s="10">
        <v>421</v>
      </c>
      <c r="C182" s="10">
        <v>6</v>
      </c>
      <c r="D182" s="10">
        <v>1</v>
      </c>
      <c r="E182" s="10">
        <v>442</v>
      </c>
      <c r="F182" s="10">
        <v>16855697.176943466</v>
      </c>
      <c r="G182" s="10">
        <v>517</v>
      </c>
      <c r="H182" s="10">
        <v>10</v>
      </c>
      <c r="I182" s="10">
        <v>1</v>
      </c>
      <c r="J182" s="10">
        <v>473</v>
      </c>
      <c r="K182" s="10">
        <v>16316644.005944932</v>
      </c>
    </row>
    <row r="183" spans="1:11" x14ac:dyDescent="0.35">
      <c r="A183" s="9" t="s">
        <v>296</v>
      </c>
      <c r="B183" s="10">
        <v>1508</v>
      </c>
      <c r="C183" s="10">
        <v>63</v>
      </c>
      <c r="D183" s="10">
        <v>6</v>
      </c>
      <c r="E183" s="10">
        <v>1324</v>
      </c>
      <c r="F183" s="10">
        <v>44519811.200739041</v>
      </c>
      <c r="G183" s="10">
        <v>1394</v>
      </c>
      <c r="H183" s="10">
        <v>55</v>
      </c>
      <c r="I183" s="10">
        <v>4</v>
      </c>
      <c r="J183" s="10">
        <v>1345</v>
      </c>
      <c r="K183" s="10">
        <v>45035623.363240831</v>
      </c>
    </row>
    <row r="184" spans="1:11" x14ac:dyDescent="0.35">
      <c r="A184" s="9" t="s">
        <v>297</v>
      </c>
      <c r="B184" s="10">
        <v>266</v>
      </c>
      <c r="C184" s="10">
        <v>4</v>
      </c>
      <c r="D184" s="10">
        <v>1</v>
      </c>
      <c r="E184" s="10">
        <v>133</v>
      </c>
      <c r="F184" s="10">
        <v>8735728.4057423677</v>
      </c>
      <c r="G184" s="10">
        <v>223</v>
      </c>
      <c r="H184" s="10">
        <v>6</v>
      </c>
      <c r="I184" s="10">
        <v>1</v>
      </c>
      <c r="J184" s="10">
        <v>139</v>
      </c>
      <c r="K184" s="10">
        <v>7840629.8956545573</v>
      </c>
    </row>
    <row r="185" spans="1:11" x14ac:dyDescent="0.35">
      <c r="A185" s="9" t="s">
        <v>298</v>
      </c>
      <c r="B185" s="10">
        <v>300</v>
      </c>
      <c r="C185" s="10">
        <v>63</v>
      </c>
      <c r="D185" s="10">
        <v>2</v>
      </c>
      <c r="E185" s="10">
        <v>180</v>
      </c>
      <c r="F185" s="10">
        <v>5906236.9927166784</v>
      </c>
      <c r="G185" s="10">
        <v>183</v>
      </c>
      <c r="H185" s="10">
        <v>356</v>
      </c>
      <c r="I185" s="10">
        <v>2</v>
      </c>
      <c r="J185" s="10">
        <v>164</v>
      </c>
      <c r="K185" s="10">
        <v>6044087.4651767015</v>
      </c>
    </row>
    <row r="186" spans="1:11" x14ac:dyDescent="0.35">
      <c r="A186" s="9" t="s">
        <v>299</v>
      </c>
      <c r="B186" s="10">
        <v>373</v>
      </c>
      <c r="C186" s="10">
        <v>7</v>
      </c>
      <c r="D186" s="10">
        <v>0</v>
      </c>
      <c r="E186" s="10">
        <v>341</v>
      </c>
      <c r="F186" s="10">
        <v>15319096.185748294</v>
      </c>
      <c r="G186" s="10">
        <v>367</v>
      </c>
      <c r="H186" s="10">
        <v>6</v>
      </c>
      <c r="I186" s="10">
        <v>0</v>
      </c>
      <c r="J186" s="10">
        <v>310</v>
      </c>
      <c r="K186" s="10">
        <v>15482294.367549039</v>
      </c>
    </row>
    <row r="187" spans="1:11" x14ac:dyDescent="0.35">
      <c r="A187" s="9" t="s">
        <v>300</v>
      </c>
      <c r="B187" s="10">
        <v>490</v>
      </c>
      <c r="C187" s="10">
        <v>5</v>
      </c>
      <c r="D187" s="10">
        <v>2</v>
      </c>
      <c r="E187" s="10">
        <v>380</v>
      </c>
      <c r="F187" s="10">
        <v>23646734.723991387</v>
      </c>
      <c r="G187" s="10">
        <v>342</v>
      </c>
      <c r="H187" s="10">
        <v>11</v>
      </c>
      <c r="I187" s="10">
        <v>2</v>
      </c>
      <c r="J187" s="10">
        <v>279</v>
      </c>
      <c r="K187" s="10">
        <v>24767752.216731705</v>
      </c>
    </row>
    <row r="188" spans="1:11" x14ac:dyDescent="0.35">
      <c r="A188" s="9" t="s">
        <v>301</v>
      </c>
      <c r="B188" s="10">
        <v>1001</v>
      </c>
      <c r="C188" s="10">
        <v>8</v>
      </c>
      <c r="D188" s="10">
        <v>3</v>
      </c>
      <c r="E188" s="10">
        <v>968</v>
      </c>
      <c r="F188" s="10">
        <v>43245230.719401993</v>
      </c>
      <c r="G188" s="10">
        <v>918</v>
      </c>
      <c r="H188" s="10">
        <v>16</v>
      </c>
      <c r="I188" s="10">
        <v>1</v>
      </c>
      <c r="J188" s="10">
        <v>851</v>
      </c>
      <c r="K188" s="10">
        <v>41771368.430688515</v>
      </c>
    </row>
    <row r="189" spans="1:11" x14ac:dyDescent="0.35">
      <c r="A189" s="9" t="s">
        <v>302</v>
      </c>
      <c r="B189" s="10">
        <v>582</v>
      </c>
      <c r="C189" s="10">
        <v>9</v>
      </c>
      <c r="D189" s="10">
        <v>0</v>
      </c>
      <c r="E189" s="10">
        <v>542</v>
      </c>
      <c r="F189" s="10">
        <v>21070367.77489122</v>
      </c>
      <c r="G189" s="10">
        <v>618</v>
      </c>
      <c r="H189" s="10">
        <v>14</v>
      </c>
      <c r="I189" s="10">
        <v>1</v>
      </c>
      <c r="J189" s="10">
        <v>548</v>
      </c>
      <c r="K189" s="10">
        <v>28220366.715195112</v>
      </c>
    </row>
    <row r="190" spans="1:11" x14ac:dyDescent="0.35">
      <c r="A190" s="9" t="s">
        <v>303</v>
      </c>
      <c r="B190" s="10">
        <v>332</v>
      </c>
      <c r="C190" s="10">
        <v>3</v>
      </c>
      <c r="D190" s="10">
        <v>2</v>
      </c>
      <c r="E190" s="10">
        <v>333</v>
      </c>
      <c r="F190" s="10">
        <v>20172744.291891951</v>
      </c>
      <c r="G190" s="10">
        <v>284</v>
      </c>
      <c r="H190" s="10">
        <v>5</v>
      </c>
      <c r="I190" s="10">
        <v>2</v>
      </c>
      <c r="J190" s="10">
        <v>296</v>
      </c>
      <c r="K190" s="10">
        <v>20438059.268495817</v>
      </c>
    </row>
    <row r="191" spans="1:11" x14ac:dyDescent="0.35">
      <c r="A191" s="9" t="s">
        <v>304</v>
      </c>
      <c r="B191" s="10">
        <v>538</v>
      </c>
      <c r="C191" s="10">
        <v>10</v>
      </c>
      <c r="D191" s="10">
        <v>2</v>
      </c>
      <c r="E191" s="10">
        <v>453</v>
      </c>
      <c r="F191" s="10">
        <v>18762933.648775559</v>
      </c>
      <c r="G191" s="10">
        <v>486</v>
      </c>
      <c r="H191" s="10">
        <v>13</v>
      </c>
      <c r="I191" s="10">
        <v>2</v>
      </c>
      <c r="J191" s="10">
        <v>437</v>
      </c>
      <c r="K191" s="10">
        <v>19362567.269066084</v>
      </c>
    </row>
    <row r="192" spans="1:11" x14ac:dyDescent="0.35">
      <c r="A192" s="9" t="s">
        <v>305</v>
      </c>
      <c r="B192" s="10">
        <v>499</v>
      </c>
      <c r="C192" s="10">
        <v>9</v>
      </c>
      <c r="D192" s="10">
        <v>2</v>
      </c>
      <c r="E192" s="10">
        <v>444</v>
      </c>
      <c r="F192" s="10">
        <v>19018721.37961594</v>
      </c>
      <c r="G192" s="10">
        <v>412</v>
      </c>
      <c r="H192" s="10">
        <v>8</v>
      </c>
      <c r="I192" s="10">
        <v>2</v>
      </c>
      <c r="J192" s="10">
        <v>433</v>
      </c>
      <c r="K192" s="10">
        <v>16508427.088264452</v>
      </c>
    </row>
    <row r="193" spans="1:11" x14ac:dyDescent="0.35">
      <c r="A193" s="9" t="s">
        <v>306</v>
      </c>
      <c r="B193" s="10">
        <v>827</v>
      </c>
      <c r="C193" s="10">
        <v>22</v>
      </c>
      <c r="D193" s="10">
        <v>1</v>
      </c>
      <c r="E193" s="10">
        <v>876</v>
      </c>
      <c r="F193" s="10">
        <v>39089260.298380122</v>
      </c>
      <c r="G193" s="10">
        <v>857</v>
      </c>
      <c r="H193" s="10">
        <v>20</v>
      </c>
      <c r="I193" s="10">
        <v>1</v>
      </c>
      <c r="J193" s="10">
        <v>789</v>
      </c>
      <c r="K193" s="10">
        <v>41061818.903799705</v>
      </c>
    </row>
    <row r="194" spans="1:11" x14ac:dyDescent="0.35">
      <c r="A194" s="9" t="s">
        <v>307</v>
      </c>
      <c r="B194" s="10">
        <v>1011</v>
      </c>
      <c r="C194" s="10">
        <v>49</v>
      </c>
      <c r="D194" s="10">
        <v>4</v>
      </c>
      <c r="E194" s="10">
        <v>864</v>
      </c>
      <c r="F194" s="10">
        <v>49529040.554098338</v>
      </c>
      <c r="G194" s="10">
        <v>973</v>
      </c>
      <c r="H194" s="10">
        <v>50</v>
      </c>
      <c r="I194" s="10">
        <v>4</v>
      </c>
      <c r="J194" s="10">
        <v>811</v>
      </c>
      <c r="K194" s="10">
        <v>54408995.85053274</v>
      </c>
    </row>
    <row r="195" spans="1:11" x14ac:dyDescent="0.35">
      <c r="A195" s="9" t="s">
        <v>308</v>
      </c>
      <c r="B195" s="10">
        <v>171</v>
      </c>
      <c r="C195" s="10">
        <v>1</v>
      </c>
      <c r="D195" s="10">
        <v>0</v>
      </c>
      <c r="E195" s="10">
        <v>97</v>
      </c>
      <c r="F195" s="10">
        <v>5450524.7304189913</v>
      </c>
      <c r="G195" s="10">
        <v>121</v>
      </c>
      <c r="H195" s="10">
        <v>1</v>
      </c>
      <c r="I195" s="10">
        <v>0</v>
      </c>
      <c r="J195" s="10">
        <v>101</v>
      </c>
      <c r="K195" s="10">
        <v>6079347.9560886733</v>
      </c>
    </row>
    <row r="196" spans="1:11" x14ac:dyDescent="0.35">
      <c r="A196" s="9" t="s">
        <v>309</v>
      </c>
      <c r="B196" s="10">
        <v>173</v>
      </c>
      <c r="C196" s="10">
        <v>10</v>
      </c>
      <c r="D196" s="10">
        <v>1</v>
      </c>
      <c r="E196" s="10">
        <v>179</v>
      </c>
      <c r="F196" s="10">
        <v>10073455.675747093</v>
      </c>
      <c r="G196" s="10">
        <v>192</v>
      </c>
      <c r="H196" s="10">
        <v>7</v>
      </c>
      <c r="I196" s="10">
        <v>1</v>
      </c>
      <c r="J196" s="10">
        <v>178</v>
      </c>
      <c r="K196" s="10">
        <v>11168680.120130686</v>
      </c>
    </row>
    <row r="197" spans="1:11" x14ac:dyDescent="0.35">
      <c r="A197" s="9" t="s">
        <v>310</v>
      </c>
      <c r="B197" s="10">
        <v>677</v>
      </c>
      <c r="C197" s="10">
        <v>136</v>
      </c>
      <c r="D197" s="10">
        <v>1</v>
      </c>
      <c r="E197" s="10">
        <v>614</v>
      </c>
      <c r="F197" s="10">
        <v>39505197.610665135</v>
      </c>
      <c r="G197" s="10">
        <v>654</v>
      </c>
      <c r="H197" s="10">
        <v>28</v>
      </c>
      <c r="I197" s="10">
        <v>1</v>
      </c>
      <c r="J197" s="10">
        <v>522</v>
      </c>
      <c r="K197" s="10">
        <v>38859386.519483969</v>
      </c>
    </row>
    <row r="198" spans="1:11" x14ac:dyDescent="0.35">
      <c r="A198" s="9" t="s">
        <v>311</v>
      </c>
      <c r="B198" s="10">
        <v>401</v>
      </c>
      <c r="C198" s="10">
        <v>10</v>
      </c>
      <c r="D198" s="10">
        <v>1</v>
      </c>
      <c r="E198" s="10">
        <v>484</v>
      </c>
      <c r="F198" s="10">
        <v>20667475.133605089</v>
      </c>
      <c r="G198" s="10">
        <v>363</v>
      </c>
      <c r="H198" s="10">
        <v>14</v>
      </c>
      <c r="I198" s="10">
        <v>0</v>
      </c>
      <c r="J198" s="10">
        <v>323</v>
      </c>
      <c r="K198" s="10">
        <v>20493045.63770571</v>
      </c>
    </row>
    <row r="199" spans="1:11" x14ac:dyDescent="0.35">
      <c r="A199" s="9" t="s">
        <v>312</v>
      </c>
      <c r="B199" s="10">
        <v>1373</v>
      </c>
      <c r="C199" s="10">
        <v>18</v>
      </c>
      <c r="D199" s="10">
        <v>4</v>
      </c>
      <c r="E199" s="10">
        <v>1126</v>
      </c>
      <c r="F199" s="10">
        <v>51147071.703537434</v>
      </c>
      <c r="G199" s="10">
        <v>1266</v>
      </c>
      <c r="H199" s="10">
        <v>24</v>
      </c>
      <c r="I199" s="10">
        <v>3</v>
      </c>
      <c r="J199" s="10">
        <v>1223</v>
      </c>
      <c r="K199" s="10">
        <v>51977115.574257895</v>
      </c>
    </row>
    <row r="200" spans="1:11" x14ac:dyDescent="0.35">
      <c r="A200" s="9" t="s">
        <v>313</v>
      </c>
      <c r="B200" s="10">
        <v>672</v>
      </c>
      <c r="C200" s="10">
        <v>10</v>
      </c>
      <c r="D200" s="10">
        <v>1</v>
      </c>
      <c r="E200" s="10">
        <v>394</v>
      </c>
      <c r="F200" s="10">
        <v>31452630.176580533</v>
      </c>
      <c r="G200" s="10">
        <v>583</v>
      </c>
      <c r="H200" s="10">
        <v>10</v>
      </c>
      <c r="I200" s="10">
        <v>1</v>
      </c>
      <c r="J200" s="10">
        <v>548</v>
      </c>
      <c r="K200" s="10">
        <v>32312515.699929472</v>
      </c>
    </row>
    <row r="201" spans="1:11" x14ac:dyDescent="0.35">
      <c r="A201" s="9" t="s">
        <v>314</v>
      </c>
      <c r="B201" s="10">
        <v>856</v>
      </c>
      <c r="C201" s="10">
        <v>9</v>
      </c>
      <c r="D201" s="10">
        <v>2</v>
      </c>
      <c r="E201" s="10">
        <v>581</v>
      </c>
      <c r="F201" s="10">
        <v>41626795.142559998</v>
      </c>
      <c r="G201" s="10">
        <v>706</v>
      </c>
      <c r="H201" s="10">
        <v>18</v>
      </c>
      <c r="I201" s="10">
        <v>2</v>
      </c>
      <c r="J201" s="10">
        <v>645</v>
      </c>
      <c r="K201" s="10">
        <v>48391857.659817338</v>
      </c>
    </row>
    <row r="202" spans="1:11" x14ac:dyDescent="0.35">
      <c r="A202" s="9" t="s">
        <v>315</v>
      </c>
      <c r="B202" s="10">
        <v>634</v>
      </c>
      <c r="C202" s="10">
        <v>11</v>
      </c>
      <c r="D202" s="10">
        <v>5</v>
      </c>
      <c r="E202" s="10">
        <v>411</v>
      </c>
      <c r="F202" s="10">
        <v>34931014.374825276</v>
      </c>
      <c r="G202" s="10">
        <v>612</v>
      </c>
      <c r="H202" s="10">
        <v>25</v>
      </c>
      <c r="I202" s="10">
        <v>6</v>
      </c>
      <c r="J202" s="10">
        <v>546</v>
      </c>
      <c r="K202" s="10">
        <v>36952964.117760077</v>
      </c>
    </row>
    <row r="203" spans="1:11" x14ac:dyDescent="0.35">
      <c r="A203" s="9" t="s">
        <v>316</v>
      </c>
      <c r="B203" s="10">
        <v>464</v>
      </c>
      <c r="C203" s="10">
        <v>8</v>
      </c>
      <c r="D203" s="10">
        <v>1</v>
      </c>
      <c r="E203" s="10">
        <v>339</v>
      </c>
      <c r="F203" s="10">
        <v>18334764.545390364</v>
      </c>
      <c r="G203" s="10">
        <v>415</v>
      </c>
      <c r="H203" s="10">
        <v>5</v>
      </c>
      <c r="I203" s="10">
        <v>0</v>
      </c>
      <c r="J203" s="10">
        <v>347</v>
      </c>
      <c r="K203" s="10">
        <v>19735457.609793928</v>
      </c>
    </row>
    <row r="204" spans="1:11" x14ac:dyDescent="0.35">
      <c r="A204" s="9" t="s">
        <v>317</v>
      </c>
      <c r="B204" s="10">
        <v>917</v>
      </c>
      <c r="C204" s="10">
        <v>18</v>
      </c>
      <c r="D204" s="10">
        <v>3</v>
      </c>
      <c r="E204" s="10">
        <v>1093</v>
      </c>
      <c r="F204" s="10">
        <v>58232651.545636751</v>
      </c>
      <c r="G204" s="10">
        <v>638</v>
      </c>
      <c r="H204" s="10">
        <v>15</v>
      </c>
      <c r="I204" s="10">
        <v>4</v>
      </c>
      <c r="J204" s="10">
        <v>797</v>
      </c>
      <c r="K204" s="10">
        <v>52934214.49155803</v>
      </c>
    </row>
    <row r="205" spans="1:11" x14ac:dyDescent="0.35">
      <c r="A205" s="9" t="s">
        <v>318</v>
      </c>
      <c r="B205" s="10">
        <v>590</v>
      </c>
      <c r="C205" s="10">
        <v>6</v>
      </c>
      <c r="D205" s="10">
        <v>3</v>
      </c>
      <c r="E205" s="10">
        <v>523</v>
      </c>
      <c r="F205" s="10">
        <v>29504216.929025412</v>
      </c>
      <c r="G205" s="10">
        <v>534</v>
      </c>
      <c r="H205" s="10">
        <v>5</v>
      </c>
      <c r="I205" s="10">
        <v>4</v>
      </c>
      <c r="J205" s="10">
        <v>521</v>
      </c>
      <c r="K205" s="10">
        <v>30426437.38901088</v>
      </c>
    </row>
    <row r="206" spans="1:11" x14ac:dyDescent="0.35">
      <c r="A206" s="9" t="s">
        <v>319</v>
      </c>
      <c r="B206" s="10">
        <v>549</v>
      </c>
      <c r="C206" s="10">
        <v>9</v>
      </c>
      <c r="D206" s="10">
        <v>1</v>
      </c>
      <c r="E206" s="10">
        <v>562</v>
      </c>
      <c r="F206" s="10">
        <v>23462767.716239665</v>
      </c>
      <c r="G206" s="10">
        <v>667</v>
      </c>
      <c r="H206" s="10">
        <v>14</v>
      </c>
      <c r="I206" s="10">
        <v>1</v>
      </c>
      <c r="J206" s="10">
        <v>539</v>
      </c>
      <c r="K206" s="10">
        <v>25504346.132834651</v>
      </c>
    </row>
    <row r="207" spans="1:11" x14ac:dyDescent="0.35">
      <c r="A207" s="9" t="s">
        <v>320</v>
      </c>
      <c r="B207" s="10">
        <v>163</v>
      </c>
      <c r="C207" s="10">
        <v>1</v>
      </c>
      <c r="D207" s="10">
        <v>0</v>
      </c>
      <c r="E207" s="10">
        <v>113</v>
      </c>
      <c r="F207" s="10">
        <v>8389442.2326276489</v>
      </c>
      <c r="G207" s="10">
        <v>127</v>
      </c>
      <c r="H207" s="10">
        <v>1</v>
      </c>
      <c r="I207" s="10">
        <v>1</v>
      </c>
      <c r="J207" s="10">
        <v>128</v>
      </c>
      <c r="K207" s="10">
        <v>5637193.5647349702</v>
      </c>
    </row>
    <row r="208" spans="1:11" x14ac:dyDescent="0.35">
      <c r="A208" s="9" t="s">
        <v>321</v>
      </c>
      <c r="B208" s="10">
        <v>1001</v>
      </c>
      <c r="C208" s="10">
        <v>29</v>
      </c>
      <c r="D208" s="10">
        <v>5</v>
      </c>
      <c r="E208" s="10">
        <v>852</v>
      </c>
      <c r="F208" s="10">
        <v>58446958.65955954</v>
      </c>
      <c r="G208" s="10">
        <v>890</v>
      </c>
      <c r="H208" s="10">
        <v>34</v>
      </c>
      <c r="I208" s="10">
        <v>4</v>
      </c>
      <c r="J208" s="10">
        <v>836</v>
      </c>
      <c r="K208" s="10">
        <v>58775472.17456989</v>
      </c>
    </row>
    <row r="209" spans="1:11" x14ac:dyDescent="0.35">
      <c r="A209" s="9" t="s">
        <v>322</v>
      </c>
      <c r="B209" s="10">
        <v>559</v>
      </c>
      <c r="C209" s="10">
        <v>20</v>
      </c>
      <c r="D209" s="10">
        <v>3</v>
      </c>
      <c r="E209" s="10">
        <v>460</v>
      </c>
      <c r="F209" s="10">
        <v>28186371.867242217</v>
      </c>
      <c r="G209" s="10">
        <v>690</v>
      </c>
      <c r="H209" s="10">
        <v>13</v>
      </c>
      <c r="I209" s="10">
        <v>2</v>
      </c>
      <c r="J209" s="10">
        <v>496</v>
      </c>
      <c r="K209" s="10">
        <v>29049042.869618673</v>
      </c>
    </row>
    <row r="210" spans="1:11" x14ac:dyDescent="0.35">
      <c r="A210" s="9" t="s">
        <v>323</v>
      </c>
      <c r="B210" s="10">
        <v>907</v>
      </c>
      <c r="C210" s="10">
        <v>8</v>
      </c>
      <c r="D210" s="10">
        <v>3</v>
      </c>
      <c r="E210" s="10">
        <v>856</v>
      </c>
      <c r="F210" s="10">
        <v>38345833.359045006</v>
      </c>
      <c r="G210" s="10">
        <v>537</v>
      </c>
      <c r="H210" s="10">
        <v>19</v>
      </c>
      <c r="I210" s="10">
        <v>3</v>
      </c>
      <c r="J210" s="10">
        <v>781</v>
      </c>
      <c r="K210" s="10">
        <v>36877039.698610775</v>
      </c>
    </row>
    <row r="211" spans="1:11" x14ac:dyDescent="0.35">
      <c r="A211" s="9" t="s">
        <v>324</v>
      </c>
      <c r="B211" s="10">
        <v>394</v>
      </c>
      <c r="C211" s="10">
        <v>9</v>
      </c>
      <c r="D211" s="10">
        <v>1</v>
      </c>
      <c r="E211" s="10">
        <v>308</v>
      </c>
      <c r="F211" s="10">
        <v>20522633.251210112</v>
      </c>
      <c r="G211" s="10">
        <v>368</v>
      </c>
      <c r="H211" s="10">
        <v>10</v>
      </c>
      <c r="I211" s="10">
        <v>0</v>
      </c>
      <c r="J211" s="10">
        <v>320</v>
      </c>
      <c r="K211" s="10">
        <v>23318801.201081734</v>
      </c>
    </row>
    <row r="212" spans="1:11" x14ac:dyDescent="0.35">
      <c r="A212" s="9" t="s">
        <v>325</v>
      </c>
      <c r="B212" s="10">
        <v>790</v>
      </c>
      <c r="C212" s="10">
        <v>213</v>
      </c>
      <c r="D212" s="10">
        <v>4</v>
      </c>
      <c r="E212" s="10">
        <v>542</v>
      </c>
      <c r="F212" s="10">
        <v>36306415.003181711</v>
      </c>
      <c r="G212" s="10">
        <v>931</v>
      </c>
      <c r="H212" s="10">
        <v>326</v>
      </c>
      <c r="I212" s="10">
        <v>6</v>
      </c>
      <c r="J212" s="10">
        <v>574</v>
      </c>
      <c r="K212" s="10">
        <v>35849555.551200397</v>
      </c>
    </row>
    <row r="213" spans="1:11" x14ac:dyDescent="0.35">
      <c r="A213" s="9" t="s">
        <v>326</v>
      </c>
      <c r="B213" s="10">
        <v>1246</v>
      </c>
      <c r="C213" s="10">
        <v>12</v>
      </c>
      <c r="D213" s="10">
        <v>1</v>
      </c>
      <c r="E213" s="10">
        <v>1201</v>
      </c>
      <c r="F213" s="10">
        <v>55520108.07372459</v>
      </c>
      <c r="G213" s="10">
        <v>1113</v>
      </c>
      <c r="H213" s="10">
        <v>15</v>
      </c>
      <c r="I213" s="10">
        <v>1</v>
      </c>
      <c r="J213" s="10">
        <v>1078</v>
      </c>
      <c r="K213" s="10">
        <v>54316824.500348255</v>
      </c>
    </row>
    <row r="214" spans="1:11" x14ac:dyDescent="0.35">
      <c r="A214" s="9" t="s">
        <v>327</v>
      </c>
      <c r="B214" s="10">
        <v>449</v>
      </c>
      <c r="C214" s="10">
        <v>14</v>
      </c>
      <c r="D214" s="10">
        <v>5</v>
      </c>
      <c r="E214" s="10">
        <v>438</v>
      </c>
      <c r="F214" s="10">
        <v>26588443.826103643</v>
      </c>
      <c r="G214" s="10">
        <v>471</v>
      </c>
      <c r="H214" s="10">
        <v>8</v>
      </c>
      <c r="I214" s="10">
        <v>4</v>
      </c>
      <c r="J214" s="10">
        <v>450</v>
      </c>
      <c r="K214" s="10">
        <v>24409426.534068722</v>
      </c>
    </row>
    <row r="215" spans="1:11" x14ac:dyDescent="0.35">
      <c r="A215" s="9" t="s">
        <v>328</v>
      </c>
      <c r="B215" s="10">
        <v>592</v>
      </c>
      <c r="C215" s="10">
        <v>8</v>
      </c>
      <c r="D215" s="10">
        <v>1</v>
      </c>
      <c r="E215" s="10">
        <v>747</v>
      </c>
      <c r="F215" s="10">
        <v>26826587.30479208</v>
      </c>
      <c r="G215" s="10">
        <v>553</v>
      </c>
      <c r="H215" s="10">
        <v>17</v>
      </c>
      <c r="I215" s="10">
        <v>1</v>
      </c>
      <c r="J215" s="10">
        <v>708</v>
      </c>
      <c r="K215" s="10">
        <v>34708300.634387188</v>
      </c>
    </row>
    <row r="216" spans="1:11" x14ac:dyDescent="0.35">
      <c r="A216" s="9" t="s">
        <v>329</v>
      </c>
      <c r="B216" s="10">
        <v>820</v>
      </c>
      <c r="C216" s="10">
        <v>22</v>
      </c>
      <c r="D216" s="10">
        <v>3</v>
      </c>
      <c r="E216" s="10">
        <v>806</v>
      </c>
      <c r="F216" s="10">
        <v>42883356.084974445</v>
      </c>
      <c r="G216" s="10">
        <v>813</v>
      </c>
      <c r="H216" s="10">
        <v>35</v>
      </c>
      <c r="I216" s="10">
        <v>2</v>
      </c>
      <c r="J216" s="10">
        <v>651</v>
      </c>
      <c r="K216" s="10">
        <v>40517338.061045446</v>
      </c>
    </row>
    <row r="217" spans="1:11" x14ac:dyDescent="0.35">
      <c r="A217" s="9" t="s">
        <v>330</v>
      </c>
      <c r="B217" s="10">
        <v>471</v>
      </c>
      <c r="C217" s="10">
        <v>9</v>
      </c>
      <c r="D217" s="10">
        <v>3</v>
      </c>
      <c r="E217" s="10">
        <v>413</v>
      </c>
      <c r="F217" s="10">
        <v>25268348.510540143</v>
      </c>
      <c r="G217" s="10">
        <v>434</v>
      </c>
      <c r="H217" s="10">
        <v>4</v>
      </c>
      <c r="I217" s="10">
        <v>2</v>
      </c>
      <c r="J217" s="10">
        <v>386</v>
      </c>
      <c r="K217" s="10">
        <v>23204631.185176466</v>
      </c>
    </row>
    <row r="218" spans="1:11" x14ac:dyDescent="0.35">
      <c r="A218" s="9" t="s">
        <v>331</v>
      </c>
      <c r="B218" s="10">
        <v>558</v>
      </c>
      <c r="C218" s="10">
        <v>12</v>
      </c>
      <c r="D218" s="10">
        <v>3</v>
      </c>
      <c r="E218" s="10">
        <v>418</v>
      </c>
      <c r="F218" s="10">
        <v>32601810.806147952</v>
      </c>
      <c r="G218" s="10">
        <v>497</v>
      </c>
      <c r="H218" s="10">
        <v>11</v>
      </c>
      <c r="I218" s="10">
        <v>3</v>
      </c>
      <c r="J218" s="10">
        <v>394</v>
      </c>
      <c r="K218" s="10">
        <v>28823087.177096792</v>
      </c>
    </row>
    <row r="219" spans="1:11" x14ac:dyDescent="0.35">
      <c r="A219" s="9" t="s">
        <v>332</v>
      </c>
      <c r="B219" s="10">
        <v>1121</v>
      </c>
      <c r="C219" s="10">
        <v>51</v>
      </c>
      <c r="D219" s="10">
        <v>6</v>
      </c>
      <c r="E219" s="10">
        <v>1124</v>
      </c>
      <c r="F219" s="10">
        <v>60428656.676225625</v>
      </c>
      <c r="G219" s="10">
        <v>1369</v>
      </c>
      <c r="H219" s="10">
        <v>55</v>
      </c>
      <c r="I219" s="10">
        <v>6</v>
      </c>
      <c r="J219" s="10">
        <v>1192</v>
      </c>
      <c r="K219" s="10">
        <v>64869327.306784421</v>
      </c>
    </row>
    <row r="220" spans="1:11" x14ac:dyDescent="0.35">
      <c r="A220" s="9" t="s">
        <v>333</v>
      </c>
      <c r="B220" s="10">
        <v>342</v>
      </c>
      <c r="C220" s="10">
        <v>3</v>
      </c>
      <c r="D220" s="10">
        <v>3</v>
      </c>
      <c r="E220" s="10">
        <v>291</v>
      </c>
      <c r="F220" s="10">
        <v>10432244.430741902</v>
      </c>
      <c r="G220" s="10">
        <v>341</v>
      </c>
      <c r="H220" s="10">
        <v>8</v>
      </c>
      <c r="I220" s="10">
        <v>4</v>
      </c>
      <c r="J220" s="10">
        <v>291</v>
      </c>
      <c r="K220" s="10">
        <v>14735915.702381035</v>
      </c>
    </row>
    <row r="221" spans="1:11" x14ac:dyDescent="0.35">
      <c r="A221" s="9" t="s">
        <v>334</v>
      </c>
      <c r="B221" s="10">
        <v>195</v>
      </c>
      <c r="C221" s="10">
        <v>9</v>
      </c>
      <c r="D221" s="10">
        <v>1</v>
      </c>
      <c r="E221" s="10">
        <v>139</v>
      </c>
      <c r="F221" s="10">
        <v>5326010.0979757914</v>
      </c>
      <c r="G221" s="10">
        <v>166</v>
      </c>
      <c r="H221" s="10">
        <v>9</v>
      </c>
      <c r="I221" s="10">
        <v>1</v>
      </c>
      <c r="J221" s="10">
        <v>151</v>
      </c>
      <c r="K221" s="10">
        <v>5851177.0571134184</v>
      </c>
    </row>
    <row r="222" spans="1:11" x14ac:dyDescent="0.35">
      <c r="A222" s="9" t="s">
        <v>335</v>
      </c>
      <c r="B222" s="10">
        <v>548</v>
      </c>
      <c r="C222" s="10">
        <v>22</v>
      </c>
      <c r="D222" s="10">
        <v>4</v>
      </c>
      <c r="E222" s="10">
        <v>454</v>
      </c>
      <c r="F222" s="10">
        <v>28277360.40901608</v>
      </c>
      <c r="G222" s="10">
        <v>522</v>
      </c>
      <c r="H222" s="10">
        <v>14</v>
      </c>
      <c r="I222" s="10">
        <v>3</v>
      </c>
      <c r="J222" s="10">
        <v>472</v>
      </c>
      <c r="K222" s="10">
        <v>28782056.743177842</v>
      </c>
    </row>
    <row r="223" spans="1:11" x14ac:dyDescent="0.35">
      <c r="A223" s="9" t="s">
        <v>336</v>
      </c>
      <c r="B223" s="10">
        <v>606</v>
      </c>
      <c r="C223" s="10">
        <v>19</v>
      </c>
      <c r="D223" s="10">
        <v>5</v>
      </c>
      <c r="E223" s="10">
        <v>447</v>
      </c>
      <c r="F223" s="10">
        <v>23498329.980613276</v>
      </c>
      <c r="G223" s="10">
        <v>543</v>
      </c>
      <c r="H223" s="10">
        <v>42</v>
      </c>
      <c r="I223" s="10">
        <v>5</v>
      </c>
      <c r="J223" s="10">
        <v>390</v>
      </c>
      <c r="K223" s="10">
        <v>23705140.012090027</v>
      </c>
    </row>
    <row r="224" spans="1:11" x14ac:dyDescent="0.35">
      <c r="A224" s="9" t="s">
        <v>337</v>
      </c>
      <c r="B224" s="10">
        <v>843</v>
      </c>
      <c r="C224" s="10">
        <v>23</v>
      </c>
      <c r="D224" s="10">
        <v>4</v>
      </c>
      <c r="E224" s="10">
        <v>785</v>
      </c>
      <c r="F224" s="10">
        <v>32782051.500120655</v>
      </c>
      <c r="G224" s="10">
        <v>853</v>
      </c>
      <c r="H224" s="10">
        <v>23</v>
      </c>
      <c r="I224" s="10">
        <v>4</v>
      </c>
      <c r="J224" s="10">
        <v>868</v>
      </c>
      <c r="K224" s="10">
        <v>39088770.909950323</v>
      </c>
    </row>
    <row r="225" spans="1:11" x14ac:dyDescent="0.35">
      <c r="A225" s="9" t="s">
        <v>338</v>
      </c>
      <c r="B225" s="10">
        <v>365</v>
      </c>
      <c r="C225" s="10">
        <v>3</v>
      </c>
      <c r="D225" s="10">
        <v>3</v>
      </c>
      <c r="E225" s="10">
        <v>305</v>
      </c>
      <c r="F225" s="10">
        <v>14289862.985923784</v>
      </c>
      <c r="G225" s="10">
        <v>328</v>
      </c>
      <c r="H225" s="10">
        <v>10</v>
      </c>
      <c r="I225" s="10">
        <v>3</v>
      </c>
      <c r="J225" s="10">
        <v>277</v>
      </c>
      <c r="K225" s="10">
        <v>14183385.109457521</v>
      </c>
    </row>
    <row r="226" spans="1:11" x14ac:dyDescent="0.35">
      <c r="A226" s="9" t="s">
        <v>339</v>
      </c>
      <c r="B226" s="10">
        <v>487</v>
      </c>
      <c r="C226" s="10">
        <v>6</v>
      </c>
      <c r="D226" s="10">
        <v>3</v>
      </c>
      <c r="E226" s="10">
        <v>418</v>
      </c>
      <c r="F226" s="10">
        <v>12318352.374854106</v>
      </c>
      <c r="G226" s="10">
        <v>575</v>
      </c>
      <c r="H226" s="10">
        <v>12</v>
      </c>
      <c r="I226" s="10">
        <v>1</v>
      </c>
      <c r="J226" s="10">
        <v>546</v>
      </c>
      <c r="K226" s="10">
        <v>14406929.188470831</v>
      </c>
    </row>
    <row r="227" spans="1:11" x14ac:dyDescent="0.35">
      <c r="A227" s="9" t="s">
        <v>340</v>
      </c>
      <c r="B227" s="10">
        <v>811</v>
      </c>
      <c r="C227" s="10">
        <v>19</v>
      </c>
      <c r="D227" s="10">
        <v>2</v>
      </c>
      <c r="E227" s="10">
        <v>768</v>
      </c>
      <c r="F227" s="10">
        <v>29540629.669899348</v>
      </c>
      <c r="G227" s="10">
        <v>759</v>
      </c>
      <c r="H227" s="10">
        <v>23</v>
      </c>
      <c r="I227" s="10">
        <v>2</v>
      </c>
      <c r="J227" s="10">
        <v>730</v>
      </c>
      <c r="K227" s="10">
        <v>33079620.766975518</v>
      </c>
    </row>
    <row r="228" spans="1:11" x14ac:dyDescent="0.35">
      <c r="A228" s="9" t="s">
        <v>341</v>
      </c>
      <c r="B228" s="10">
        <v>393</v>
      </c>
      <c r="C228" s="10">
        <v>6</v>
      </c>
      <c r="D228" s="10">
        <v>1</v>
      </c>
      <c r="E228" s="10">
        <v>350</v>
      </c>
      <c r="F228" s="10">
        <v>15020928.793074967</v>
      </c>
      <c r="G228" s="10">
        <v>88</v>
      </c>
      <c r="H228" s="10">
        <v>4</v>
      </c>
      <c r="I228" s="10">
        <v>1</v>
      </c>
      <c r="J228" s="10">
        <v>4</v>
      </c>
      <c r="K228" s="10">
        <v>13327011.487789996</v>
      </c>
    </row>
    <row r="229" spans="1:11" x14ac:dyDescent="0.35">
      <c r="A229" s="9" t="s">
        <v>342</v>
      </c>
      <c r="B229" s="10">
        <v>460</v>
      </c>
      <c r="C229" s="10">
        <v>11</v>
      </c>
      <c r="D229" s="10">
        <v>0</v>
      </c>
      <c r="E229" s="10">
        <v>397</v>
      </c>
      <c r="F229" s="10">
        <v>25498836.726762086</v>
      </c>
      <c r="G229" s="10">
        <v>456</v>
      </c>
      <c r="H229" s="10">
        <v>10</v>
      </c>
      <c r="I229" s="10">
        <v>1</v>
      </c>
      <c r="J229" s="10">
        <v>398</v>
      </c>
      <c r="K229" s="10">
        <v>30324845.781789057</v>
      </c>
    </row>
    <row r="230" spans="1:11" x14ac:dyDescent="0.35">
      <c r="A230" s="9" t="s">
        <v>343</v>
      </c>
      <c r="B230" s="10">
        <v>341</v>
      </c>
      <c r="C230" s="10">
        <v>5</v>
      </c>
      <c r="D230" s="10">
        <v>0</v>
      </c>
      <c r="E230" s="10">
        <v>316</v>
      </c>
      <c r="F230" s="10">
        <v>10402558.461103536</v>
      </c>
      <c r="G230" s="10">
        <v>341</v>
      </c>
      <c r="H230" s="10">
        <v>6</v>
      </c>
      <c r="I230" s="10">
        <v>0</v>
      </c>
      <c r="J230" s="10">
        <v>373</v>
      </c>
      <c r="K230" s="10">
        <v>10300418.008141944</v>
      </c>
    </row>
    <row r="231" spans="1:11" x14ac:dyDescent="0.35">
      <c r="A231" s="9" t="s">
        <v>344</v>
      </c>
      <c r="B231" s="10">
        <v>589</v>
      </c>
      <c r="C231" s="10">
        <v>6</v>
      </c>
      <c r="D231" s="10">
        <v>2</v>
      </c>
      <c r="E231" s="10">
        <v>505</v>
      </c>
      <c r="F231" s="10">
        <v>14596185.426750295</v>
      </c>
      <c r="G231" s="10">
        <v>484</v>
      </c>
      <c r="H231" s="10">
        <v>12</v>
      </c>
      <c r="I231" s="10">
        <v>2</v>
      </c>
      <c r="J231" s="10">
        <v>499</v>
      </c>
      <c r="K231" s="10">
        <v>14703665.52166936</v>
      </c>
    </row>
    <row r="232" spans="1:11" x14ac:dyDescent="0.35">
      <c r="A232" s="9" t="s">
        <v>345</v>
      </c>
      <c r="B232" s="10">
        <v>361</v>
      </c>
      <c r="C232" s="10">
        <v>10</v>
      </c>
      <c r="D232" s="10">
        <v>2</v>
      </c>
      <c r="E232" s="10">
        <v>448</v>
      </c>
      <c r="F232" s="10">
        <v>14140217.365190305</v>
      </c>
      <c r="G232" s="10">
        <v>566</v>
      </c>
      <c r="H232" s="10">
        <v>14</v>
      </c>
      <c r="I232" s="10">
        <v>1</v>
      </c>
      <c r="J232" s="10">
        <v>460</v>
      </c>
      <c r="K232" s="10">
        <v>17749288.178770084</v>
      </c>
    </row>
    <row r="233" spans="1:11" x14ac:dyDescent="0.35">
      <c r="A233" s="9" t="s">
        <v>346</v>
      </c>
      <c r="B233" s="10">
        <v>303</v>
      </c>
      <c r="C233" s="10">
        <v>3</v>
      </c>
      <c r="D233" s="10">
        <v>1</v>
      </c>
      <c r="E233" s="10">
        <v>248</v>
      </c>
      <c r="F233" s="10">
        <v>12015651.299352828</v>
      </c>
      <c r="G233" s="10">
        <v>309</v>
      </c>
      <c r="H233" s="10">
        <v>11</v>
      </c>
      <c r="I233" s="10">
        <v>0</v>
      </c>
      <c r="J233" s="10">
        <v>286</v>
      </c>
      <c r="K233" s="10">
        <v>13039416.013183003</v>
      </c>
    </row>
    <row r="234" spans="1:11" x14ac:dyDescent="0.35">
      <c r="A234" s="9" t="s">
        <v>347</v>
      </c>
      <c r="B234" s="10">
        <v>316</v>
      </c>
      <c r="C234" s="10">
        <v>8</v>
      </c>
      <c r="D234" s="10">
        <v>1</v>
      </c>
      <c r="E234" s="10">
        <v>418</v>
      </c>
      <c r="F234" s="10">
        <v>11634928.821421267</v>
      </c>
      <c r="G234" s="10">
        <v>17</v>
      </c>
      <c r="H234" s="10">
        <v>1</v>
      </c>
      <c r="I234" s="10">
        <v>1</v>
      </c>
      <c r="J234" s="10">
        <v>1</v>
      </c>
      <c r="K234" s="10">
        <v>5594209.0394831384</v>
      </c>
    </row>
    <row r="235" spans="1:11" x14ac:dyDescent="0.35">
      <c r="A235" s="9" t="s">
        <v>348</v>
      </c>
      <c r="B235" s="10">
        <v>941</v>
      </c>
      <c r="C235" s="10">
        <v>30</v>
      </c>
      <c r="D235" s="10">
        <v>3</v>
      </c>
      <c r="E235" s="10">
        <v>840</v>
      </c>
      <c r="F235" s="10">
        <v>42684577.732547566</v>
      </c>
      <c r="G235" s="10">
        <v>1318</v>
      </c>
      <c r="H235" s="10">
        <v>36</v>
      </c>
      <c r="I235" s="10">
        <v>3</v>
      </c>
      <c r="J235" s="10">
        <v>974</v>
      </c>
      <c r="K235" s="10">
        <v>46673439.527239539</v>
      </c>
    </row>
    <row r="236" spans="1:11" x14ac:dyDescent="0.35">
      <c r="A236" s="9" t="s">
        <v>349</v>
      </c>
      <c r="B236" s="10">
        <v>616</v>
      </c>
      <c r="C236" s="10">
        <v>6</v>
      </c>
      <c r="D236" s="10">
        <v>1</v>
      </c>
      <c r="E236" s="10">
        <v>504</v>
      </c>
      <c r="F236" s="10">
        <v>26256094.355044797</v>
      </c>
      <c r="G236" s="10">
        <v>590</v>
      </c>
      <c r="H236" s="10">
        <v>7</v>
      </c>
      <c r="I236" s="10">
        <v>1</v>
      </c>
      <c r="J236" s="10">
        <v>567</v>
      </c>
      <c r="K236" s="10">
        <v>26692269.296430647</v>
      </c>
    </row>
    <row r="237" spans="1:11" x14ac:dyDescent="0.35">
      <c r="A237" s="9" t="s">
        <v>350</v>
      </c>
      <c r="B237" s="10">
        <v>440</v>
      </c>
      <c r="C237" s="10">
        <v>5</v>
      </c>
      <c r="D237" s="10">
        <v>2</v>
      </c>
      <c r="E237" s="10">
        <v>312</v>
      </c>
      <c r="F237" s="10">
        <v>13183186.694539931</v>
      </c>
      <c r="G237" s="10">
        <v>484</v>
      </c>
      <c r="H237" s="10">
        <v>8</v>
      </c>
      <c r="I237" s="10">
        <v>2</v>
      </c>
      <c r="J237" s="10">
        <v>437</v>
      </c>
      <c r="K237" s="10">
        <v>14358689.939299064</v>
      </c>
    </row>
    <row r="238" spans="1:11" x14ac:dyDescent="0.35">
      <c r="A238" s="9" t="s">
        <v>351</v>
      </c>
      <c r="B238" s="10">
        <v>821</v>
      </c>
      <c r="C238" s="10">
        <v>11</v>
      </c>
      <c r="D238" s="10">
        <v>2</v>
      </c>
      <c r="E238" s="10">
        <v>733</v>
      </c>
      <c r="F238" s="10">
        <v>24594140.311958164</v>
      </c>
      <c r="G238" s="10">
        <v>844</v>
      </c>
      <c r="H238" s="10">
        <v>11</v>
      </c>
      <c r="I238" s="10">
        <v>3</v>
      </c>
      <c r="J238" s="10">
        <v>815</v>
      </c>
      <c r="K238" s="10">
        <v>27523044.488153048</v>
      </c>
    </row>
    <row r="239" spans="1:11" x14ac:dyDescent="0.35">
      <c r="A239" s="9" t="s">
        <v>352</v>
      </c>
      <c r="B239" s="10">
        <v>592</v>
      </c>
      <c r="C239" s="10">
        <v>3</v>
      </c>
      <c r="D239" s="10">
        <v>2</v>
      </c>
      <c r="E239" s="10">
        <v>471</v>
      </c>
      <c r="F239" s="10">
        <v>23064595.220026989</v>
      </c>
      <c r="G239" s="10">
        <v>543</v>
      </c>
      <c r="H239" s="10">
        <v>13</v>
      </c>
      <c r="I239" s="10">
        <v>1</v>
      </c>
      <c r="J239" s="10">
        <v>458</v>
      </c>
      <c r="K239" s="10">
        <v>22335549.342302602</v>
      </c>
    </row>
    <row r="240" spans="1:11" x14ac:dyDescent="0.35">
      <c r="A240" s="9" t="s">
        <v>353</v>
      </c>
      <c r="B240" s="10">
        <v>951</v>
      </c>
      <c r="C240" s="10">
        <v>49</v>
      </c>
      <c r="D240" s="10">
        <v>2</v>
      </c>
      <c r="E240" s="10">
        <v>807</v>
      </c>
      <c r="F240" s="10">
        <v>45226812.447957024</v>
      </c>
      <c r="G240" s="10">
        <v>895</v>
      </c>
      <c r="H240" s="10">
        <v>19</v>
      </c>
      <c r="I240" s="10">
        <v>2</v>
      </c>
      <c r="J240" s="10">
        <v>712</v>
      </c>
      <c r="K240" s="10">
        <v>32513618.314020332</v>
      </c>
    </row>
    <row r="241" spans="1:11" x14ac:dyDescent="0.35">
      <c r="A241" s="9" t="s">
        <v>354</v>
      </c>
      <c r="B241" s="10">
        <v>99</v>
      </c>
      <c r="C241" s="10">
        <v>3</v>
      </c>
      <c r="D241" s="10">
        <v>1</v>
      </c>
      <c r="E241" s="10">
        <v>110</v>
      </c>
      <c r="F241" s="10">
        <v>2714029.445747877</v>
      </c>
      <c r="G241" s="10">
        <v>102</v>
      </c>
      <c r="H241" s="10">
        <v>4</v>
      </c>
      <c r="I241" s="10">
        <v>0</v>
      </c>
      <c r="J241" s="10">
        <v>119</v>
      </c>
      <c r="K241" s="10">
        <v>3504889.3930030218</v>
      </c>
    </row>
    <row r="242" spans="1:11" x14ac:dyDescent="0.35">
      <c r="A242" s="9" t="s">
        <v>355</v>
      </c>
      <c r="B242" s="10">
        <v>614</v>
      </c>
      <c r="C242" s="10">
        <v>17</v>
      </c>
      <c r="D242" s="10">
        <v>6</v>
      </c>
      <c r="E242" s="10">
        <v>548</v>
      </c>
      <c r="F242" s="10">
        <v>22283708.184601072</v>
      </c>
      <c r="G242" s="10">
        <v>587</v>
      </c>
      <c r="H242" s="10">
        <v>16</v>
      </c>
      <c r="I242" s="10">
        <v>5</v>
      </c>
      <c r="J242" s="10">
        <v>545</v>
      </c>
      <c r="K242" s="10">
        <v>21610596.327321894</v>
      </c>
    </row>
    <row r="243" spans="1:11" x14ac:dyDescent="0.35">
      <c r="A243" s="9" t="s">
        <v>356</v>
      </c>
      <c r="B243" s="10">
        <v>533</v>
      </c>
      <c r="C243" s="10">
        <v>17</v>
      </c>
      <c r="D243" s="10">
        <v>1</v>
      </c>
      <c r="E243" s="10">
        <v>514</v>
      </c>
      <c r="F243" s="10">
        <v>17549155.001123477</v>
      </c>
      <c r="G243" s="10">
        <v>469</v>
      </c>
      <c r="H243" s="10">
        <v>21</v>
      </c>
      <c r="I243" s="10">
        <v>0</v>
      </c>
      <c r="J243" s="10">
        <v>446</v>
      </c>
      <c r="K243" s="10">
        <v>20473287.647137836</v>
      </c>
    </row>
    <row r="244" spans="1:11" x14ac:dyDescent="0.35">
      <c r="A244" s="9" t="s">
        <v>357</v>
      </c>
      <c r="B244" s="10">
        <v>768</v>
      </c>
      <c r="C244" s="10">
        <v>10</v>
      </c>
      <c r="D244" s="10">
        <v>1</v>
      </c>
      <c r="E244" s="10">
        <v>656</v>
      </c>
      <c r="F244" s="10">
        <v>30489158.609788489</v>
      </c>
      <c r="G244" s="10">
        <v>710</v>
      </c>
      <c r="H244" s="10">
        <v>11</v>
      </c>
      <c r="I244" s="10">
        <v>1</v>
      </c>
      <c r="J244" s="10">
        <v>696</v>
      </c>
      <c r="K244" s="10">
        <v>31497865.37526419</v>
      </c>
    </row>
    <row r="245" spans="1:11" x14ac:dyDescent="0.35">
      <c r="A245" s="9" t="s">
        <v>358</v>
      </c>
      <c r="B245" s="10">
        <v>199</v>
      </c>
      <c r="C245" s="10">
        <v>5</v>
      </c>
      <c r="D245" s="10">
        <v>0</v>
      </c>
      <c r="E245" s="10">
        <v>145</v>
      </c>
      <c r="F245" s="10">
        <v>8261929.985626054</v>
      </c>
      <c r="G245" s="10">
        <v>154</v>
      </c>
      <c r="H245" s="10">
        <v>4</v>
      </c>
      <c r="I245" s="10">
        <v>0</v>
      </c>
      <c r="J245" s="10">
        <v>120</v>
      </c>
      <c r="K245" s="10">
        <v>9478250.6244204771</v>
      </c>
    </row>
    <row r="246" spans="1:11" x14ac:dyDescent="0.35">
      <c r="A246" s="9" t="s">
        <v>359</v>
      </c>
      <c r="B246" s="10">
        <v>699</v>
      </c>
      <c r="C246" s="10">
        <v>14</v>
      </c>
      <c r="D246" s="10">
        <v>2</v>
      </c>
      <c r="E246" s="10">
        <v>675</v>
      </c>
      <c r="F246" s="10">
        <v>21747805.324459191</v>
      </c>
      <c r="G246" s="10">
        <v>585</v>
      </c>
      <c r="H246" s="10">
        <v>10</v>
      </c>
      <c r="I246" s="10">
        <v>2</v>
      </c>
      <c r="J246" s="10">
        <v>574</v>
      </c>
      <c r="K246" s="10">
        <v>19812015.562213816</v>
      </c>
    </row>
    <row r="247" spans="1:11" x14ac:dyDescent="0.35">
      <c r="A247" s="9" t="s">
        <v>360</v>
      </c>
      <c r="B247" s="10">
        <v>1287</v>
      </c>
      <c r="C247" s="10">
        <v>32</v>
      </c>
      <c r="D247" s="10">
        <v>1</v>
      </c>
      <c r="E247" s="10">
        <v>1268</v>
      </c>
      <c r="F247" s="10">
        <v>30481171.227254156</v>
      </c>
      <c r="G247" s="10">
        <v>1306</v>
      </c>
      <c r="H247" s="10">
        <v>128</v>
      </c>
      <c r="I247" s="10">
        <v>2</v>
      </c>
      <c r="J247" s="10">
        <v>1312</v>
      </c>
      <c r="K247" s="10">
        <v>37597008.296340339</v>
      </c>
    </row>
    <row r="248" spans="1:11" x14ac:dyDescent="0.35">
      <c r="A248" s="9" t="s">
        <v>361</v>
      </c>
      <c r="B248" s="10">
        <v>548</v>
      </c>
      <c r="C248" s="10">
        <v>11</v>
      </c>
      <c r="D248" s="10">
        <v>3</v>
      </c>
      <c r="E248" s="10">
        <v>431</v>
      </c>
      <c r="F248" s="10">
        <v>18716702.763616912</v>
      </c>
      <c r="G248" s="10">
        <v>486</v>
      </c>
      <c r="H248" s="10">
        <v>10</v>
      </c>
      <c r="I248" s="10">
        <v>3</v>
      </c>
      <c r="J248" s="10">
        <v>420</v>
      </c>
      <c r="K248" s="10">
        <v>19971443.109150551</v>
      </c>
    </row>
    <row r="249" spans="1:11" x14ac:dyDescent="0.35">
      <c r="A249" s="9" t="s">
        <v>362</v>
      </c>
      <c r="B249" s="10">
        <v>207</v>
      </c>
      <c r="C249" s="10">
        <v>5</v>
      </c>
      <c r="D249" s="10">
        <v>1</v>
      </c>
      <c r="E249" s="10">
        <v>238</v>
      </c>
      <c r="F249" s="10">
        <v>7018018.1445012111</v>
      </c>
      <c r="G249" s="10">
        <v>215</v>
      </c>
      <c r="H249" s="10">
        <v>3</v>
      </c>
      <c r="I249" s="10">
        <v>1</v>
      </c>
      <c r="J249" s="10">
        <v>213</v>
      </c>
      <c r="K249" s="10">
        <v>7275205.3245783448</v>
      </c>
    </row>
    <row r="250" spans="1:11" x14ac:dyDescent="0.35">
      <c r="A250" s="9" t="s">
        <v>363</v>
      </c>
      <c r="B250" s="10">
        <v>331</v>
      </c>
      <c r="C250" s="10">
        <v>8</v>
      </c>
      <c r="D250" s="10">
        <v>2</v>
      </c>
      <c r="E250" s="10">
        <v>291</v>
      </c>
      <c r="F250" s="10">
        <v>12449455.367234493</v>
      </c>
      <c r="G250" s="10">
        <v>280</v>
      </c>
      <c r="H250" s="10">
        <v>5</v>
      </c>
      <c r="I250" s="10">
        <v>2</v>
      </c>
      <c r="J250" s="10">
        <v>241</v>
      </c>
      <c r="K250" s="10">
        <v>12586438.383813301</v>
      </c>
    </row>
    <row r="251" spans="1:11" x14ac:dyDescent="0.35">
      <c r="A251" s="9" t="s">
        <v>364</v>
      </c>
      <c r="B251" s="10">
        <v>1094</v>
      </c>
      <c r="C251" s="10">
        <v>15</v>
      </c>
      <c r="D251" s="10">
        <v>0</v>
      </c>
      <c r="E251" s="10">
        <v>984</v>
      </c>
      <c r="F251" s="10">
        <v>38091741.517687805</v>
      </c>
      <c r="G251" s="10">
        <v>987</v>
      </c>
      <c r="H251" s="10">
        <v>28</v>
      </c>
      <c r="I251" s="10">
        <v>0</v>
      </c>
      <c r="J251" s="10">
        <v>972</v>
      </c>
      <c r="K251" s="10">
        <v>45254388.513646647</v>
      </c>
    </row>
    <row r="252" spans="1:11" x14ac:dyDescent="0.35">
      <c r="A252" s="9" t="s">
        <v>365</v>
      </c>
      <c r="B252" s="10">
        <v>633</v>
      </c>
      <c r="C252" s="10">
        <v>11</v>
      </c>
      <c r="D252" s="10">
        <v>4</v>
      </c>
      <c r="E252" s="10">
        <v>499</v>
      </c>
      <c r="F252" s="10">
        <v>17004933.844327979</v>
      </c>
      <c r="G252" s="10">
        <v>578</v>
      </c>
      <c r="H252" s="10">
        <v>8</v>
      </c>
      <c r="I252" s="10">
        <v>3</v>
      </c>
      <c r="J252" s="10">
        <v>480</v>
      </c>
      <c r="K252" s="10">
        <v>19223582.155873828</v>
      </c>
    </row>
    <row r="253" spans="1:11" x14ac:dyDescent="0.35">
      <c r="A253" s="9" t="s">
        <v>366</v>
      </c>
      <c r="B253" s="10">
        <v>592</v>
      </c>
      <c r="C253" s="10">
        <v>11</v>
      </c>
      <c r="D253" s="10">
        <v>3</v>
      </c>
      <c r="E253" s="10">
        <v>544</v>
      </c>
      <c r="F253" s="10">
        <v>20757071.162497405</v>
      </c>
      <c r="G253" s="10">
        <v>540</v>
      </c>
      <c r="H253" s="10">
        <v>9</v>
      </c>
      <c r="I253" s="10">
        <v>5</v>
      </c>
      <c r="J253" s="10">
        <v>558</v>
      </c>
      <c r="K253" s="10">
        <v>21834262.216325637</v>
      </c>
    </row>
    <row r="254" spans="1:11" x14ac:dyDescent="0.35">
      <c r="A254" s="9" t="s">
        <v>367</v>
      </c>
      <c r="B254" s="10">
        <v>327</v>
      </c>
      <c r="C254" s="10">
        <v>5</v>
      </c>
      <c r="D254" s="10">
        <v>1</v>
      </c>
      <c r="E254" s="10">
        <v>306</v>
      </c>
      <c r="F254" s="10">
        <v>14632071.80189723</v>
      </c>
      <c r="G254" s="10">
        <v>383</v>
      </c>
      <c r="H254" s="10">
        <v>18</v>
      </c>
      <c r="I254" s="10">
        <v>1</v>
      </c>
      <c r="J254" s="10">
        <v>358</v>
      </c>
      <c r="K254" s="10">
        <v>15785966.700237928</v>
      </c>
    </row>
    <row r="255" spans="1:11" x14ac:dyDescent="0.35">
      <c r="A255" s="9" t="s">
        <v>368</v>
      </c>
      <c r="B255" s="10">
        <v>403</v>
      </c>
      <c r="C255" s="10">
        <v>9</v>
      </c>
      <c r="D255" s="10">
        <v>0</v>
      </c>
      <c r="E255" s="10">
        <v>420</v>
      </c>
      <c r="F255" s="10">
        <v>14376965.627695039</v>
      </c>
      <c r="G255" s="10">
        <v>1314</v>
      </c>
      <c r="H255" s="10">
        <v>884</v>
      </c>
      <c r="I255" s="10">
        <v>0</v>
      </c>
      <c r="J255" s="10">
        <v>1255</v>
      </c>
      <c r="K255" s="10">
        <v>15551349.481383191</v>
      </c>
    </row>
    <row r="256" spans="1:11" x14ac:dyDescent="0.35">
      <c r="A256" s="9" t="s">
        <v>369</v>
      </c>
      <c r="B256" s="10">
        <v>630</v>
      </c>
      <c r="C256" s="10">
        <v>10</v>
      </c>
      <c r="D256" s="10">
        <v>3</v>
      </c>
      <c r="E256" s="10">
        <v>516</v>
      </c>
      <c r="F256" s="10">
        <v>20912594.733042978</v>
      </c>
      <c r="G256" s="10">
        <v>611</v>
      </c>
      <c r="H256" s="10">
        <v>12</v>
      </c>
      <c r="I256" s="10">
        <v>3</v>
      </c>
      <c r="J256" s="10">
        <v>506</v>
      </c>
      <c r="K256" s="10">
        <v>20441922.295401353</v>
      </c>
    </row>
    <row r="257" spans="1:11" x14ac:dyDescent="0.35">
      <c r="A257" s="9" t="s">
        <v>370</v>
      </c>
      <c r="B257" s="10">
        <v>644</v>
      </c>
      <c r="C257" s="10">
        <v>5</v>
      </c>
      <c r="D257" s="10">
        <v>4</v>
      </c>
      <c r="E257" s="10">
        <v>603</v>
      </c>
      <c r="F257" s="10">
        <v>24698519.40027472</v>
      </c>
      <c r="G257" s="10">
        <v>538</v>
      </c>
      <c r="H257" s="10">
        <v>9</v>
      </c>
      <c r="I257" s="10">
        <v>4</v>
      </c>
      <c r="J257" s="10">
        <v>544</v>
      </c>
      <c r="K257" s="10">
        <v>26320728.175347175</v>
      </c>
    </row>
    <row r="258" spans="1:11" x14ac:dyDescent="0.35">
      <c r="A258" s="9" t="s">
        <v>371</v>
      </c>
      <c r="B258" s="10">
        <v>685</v>
      </c>
      <c r="C258" s="10">
        <v>9</v>
      </c>
      <c r="D258" s="10">
        <v>4</v>
      </c>
      <c r="E258" s="10">
        <v>564</v>
      </c>
      <c r="F258" s="10">
        <v>26361520.458018634</v>
      </c>
      <c r="G258" s="10">
        <v>683</v>
      </c>
      <c r="H258" s="10">
        <v>19</v>
      </c>
      <c r="I258" s="10">
        <v>4</v>
      </c>
      <c r="J258" s="10">
        <v>618</v>
      </c>
      <c r="K258" s="10">
        <v>26044060.345840555</v>
      </c>
    </row>
    <row r="259" spans="1:11" x14ac:dyDescent="0.35">
      <c r="A259" s="9" t="s">
        <v>372</v>
      </c>
      <c r="B259" s="10">
        <v>845</v>
      </c>
      <c r="C259" s="10">
        <v>7</v>
      </c>
      <c r="D259" s="10">
        <v>1</v>
      </c>
      <c r="E259" s="10">
        <v>807</v>
      </c>
      <c r="F259" s="10">
        <v>20431957.718967829</v>
      </c>
      <c r="G259" s="10">
        <v>832</v>
      </c>
      <c r="H259" s="10">
        <v>8</v>
      </c>
      <c r="I259" s="10">
        <v>1</v>
      </c>
      <c r="J259" s="10">
        <v>754</v>
      </c>
      <c r="K259" s="10">
        <v>19687426.498508476</v>
      </c>
    </row>
    <row r="260" spans="1:11" x14ac:dyDescent="0.35">
      <c r="A260" s="9" t="s">
        <v>373</v>
      </c>
      <c r="B260" s="10">
        <v>860</v>
      </c>
      <c r="C260" s="10">
        <v>12</v>
      </c>
      <c r="D260" s="10">
        <v>1</v>
      </c>
      <c r="E260" s="10">
        <v>722</v>
      </c>
      <c r="F260" s="10">
        <v>31470623.302693464</v>
      </c>
      <c r="G260" s="10">
        <v>625</v>
      </c>
      <c r="H260" s="10">
        <v>15</v>
      </c>
      <c r="I260" s="10">
        <v>1</v>
      </c>
      <c r="J260" s="10">
        <v>641</v>
      </c>
      <c r="K260" s="10">
        <v>32920609.785088137</v>
      </c>
    </row>
    <row r="261" spans="1:11" x14ac:dyDescent="0.35">
      <c r="A261" s="9" t="s">
        <v>374</v>
      </c>
      <c r="B261" s="10">
        <v>840</v>
      </c>
      <c r="C261" s="10">
        <v>14</v>
      </c>
      <c r="D261" s="10">
        <v>2</v>
      </c>
      <c r="E261" s="10">
        <v>796</v>
      </c>
      <c r="F261" s="10">
        <v>30812111.740967911</v>
      </c>
      <c r="G261" s="10">
        <v>874</v>
      </c>
      <c r="H261" s="10">
        <v>20</v>
      </c>
      <c r="I261" s="10">
        <v>3</v>
      </c>
      <c r="J261" s="10">
        <v>755</v>
      </c>
      <c r="K261" s="10">
        <v>29708636.233672913</v>
      </c>
    </row>
    <row r="262" spans="1:11" x14ac:dyDescent="0.35">
      <c r="A262" s="9" t="s">
        <v>375</v>
      </c>
      <c r="B262" s="10">
        <v>1326</v>
      </c>
      <c r="C262" s="10">
        <v>32</v>
      </c>
      <c r="D262" s="10">
        <v>9</v>
      </c>
      <c r="E262" s="10">
        <v>1124</v>
      </c>
      <c r="F262" s="10">
        <v>56167799.838642403</v>
      </c>
      <c r="G262" s="10">
        <v>1459</v>
      </c>
      <c r="H262" s="10">
        <v>30</v>
      </c>
      <c r="I262" s="10">
        <v>8</v>
      </c>
      <c r="J262" s="10">
        <v>1313</v>
      </c>
      <c r="K262" s="10">
        <v>56867294.377717718</v>
      </c>
    </row>
    <row r="263" spans="1:11" x14ac:dyDescent="0.35">
      <c r="A263" s="9" t="s">
        <v>376</v>
      </c>
      <c r="B263" s="10">
        <v>578</v>
      </c>
      <c r="C263" s="10">
        <v>11</v>
      </c>
      <c r="D263" s="10">
        <v>1</v>
      </c>
      <c r="E263" s="10">
        <v>381</v>
      </c>
      <c r="F263" s="10">
        <v>26079421.114850476</v>
      </c>
      <c r="G263" s="10">
        <v>546</v>
      </c>
      <c r="H263" s="10">
        <v>9</v>
      </c>
      <c r="I263" s="10">
        <v>1</v>
      </c>
      <c r="J263" s="10">
        <v>436</v>
      </c>
      <c r="K263" s="10">
        <v>27137367.07725805</v>
      </c>
    </row>
    <row r="264" spans="1:11" x14ac:dyDescent="0.35">
      <c r="A264" s="9" t="s">
        <v>377</v>
      </c>
      <c r="B264" s="10">
        <v>434</v>
      </c>
      <c r="C264" s="10">
        <v>9</v>
      </c>
      <c r="D264" s="10">
        <v>1</v>
      </c>
      <c r="E264" s="10">
        <v>371</v>
      </c>
      <c r="F264" s="10">
        <v>15537240.160046626</v>
      </c>
      <c r="G264" s="10">
        <v>379</v>
      </c>
      <c r="H264" s="10">
        <v>7</v>
      </c>
      <c r="I264" s="10">
        <v>1</v>
      </c>
      <c r="J264" s="10">
        <v>386</v>
      </c>
      <c r="K264" s="10">
        <v>15589163.199118691</v>
      </c>
    </row>
    <row r="265" spans="1:11" x14ac:dyDescent="0.35">
      <c r="A265" s="9" t="s">
        <v>378</v>
      </c>
      <c r="B265" s="10">
        <v>684</v>
      </c>
      <c r="C265" s="10">
        <v>41</v>
      </c>
      <c r="D265" s="10">
        <v>2</v>
      </c>
      <c r="E265" s="10">
        <v>523</v>
      </c>
      <c r="F265" s="10">
        <v>37506385.452355742</v>
      </c>
      <c r="G265" s="10">
        <v>712</v>
      </c>
      <c r="H265" s="10">
        <v>18</v>
      </c>
      <c r="I265" s="10">
        <v>2</v>
      </c>
      <c r="J265" s="10">
        <v>565</v>
      </c>
      <c r="K265" s="10">
        <v>39039954.600356482</v>
      </c>
    </row>
    <row r="266" spans="1:11" x14ac:dyDescent="0.35">
      <c r="A266" s="9" t="s">
        <v>379</v>
      </c>
      <c r="B266" s="10">
        <v>690</v>
      </c>
      <c r="C266" s="10">
        <v>7</v>
      </c>
      <c r="D266" s="10">
        <v>1</v>
      </c>
      <c r="E266" s="10">
        <v>673</v>
      </c>
      <c r="F266" s="10">
        <v>18441209.906913903</v>
      </c>
      <c r="G266" s="10">
        <v>652</v>
      </c>
      <c r="H266" s="10">
        <v>8</v>
      </c>
      <c r="I266" s="10">
        <v>0</v>
      </c>
      <c r="J266" s="10">
        <v>679</v>
      </c>
      <c r="K266" s="10">
        <v>18022570.200190376</v>
      </c>
    </row>
    <row r="267" spans="1:11" x14ac:dyDescent="0.35">
      <c r="A267" s="9" t="s">
        <v>380</v>
      </c>
      <c r="B267" s="10">
        <v>867</v>
      </c>
      <c r="C267" s="10">
        <v>77</v>
      </c>
      <c r="D267" s="10">
        <v>3</v>
      </c>
      <c r="E267" s="10">
        <v>683</v>
      </c>
      <c r="F267" s="10">
        <v>37835469.720869072</v>
      </c>
      <c r="G267" s="10">
        <v>1004</v>
      </c>
      <c r="H267" s="10">
        <v>64</v>
      </c>
      <c r="I267" s="10">
        <v>2</v>
      </c>
      <c r="J267" s="10">
        <v>706</v>
      </c>
      <c r="K267" s="10">
        <v>39449533.640835039</v>
      </c>
    </row>
    <row r="268" spans="1:11" x14ac:dyDescent="0.35">
      <c r="A268" s="9" t="s">
        <v>381</v>
      </c>
      <c r="B268" s="10">
        <v>909</v>
      </c>
      <c r="C268" s="10">
        <v>10</v>
      </c>
      <c r="D268" s="10">
        <v>4</v>
      </c>
      <c r="E268" s="10">
        <v>690</v>
      </c>
      <c r="F268" s="10">
        <v>41326659.145025827</v>
      </c>
      <c r="G268" s="10">
        <v>881</v>
      </c>
      <c r="H268" s="10">
        <v>17</v>
      </c>
      <c r="I268" s="10">
        <v>4</v>
      </c>
      <c r="J268" s="10">
        <v>750</v>
      </c>
      <c r="K268" s="10">
        <v>43621238.949444622</v>
      </c>
    </row>
    <row r="269" spans="1:11" x14ac:dyDescent="0.35">
      <c r="A269" s="9" t="s">
        <v>382</v>
      </c>
      <c r="B269" s="10">
        <v>561</v>
      </c>
      <c r="C269" s="10">
        <v>7</v>
      </c>
      <c r="D269" s="10">
        <v>2</v>
      </c>
      <c r="E269" s="10">
        <v>532</v>
      </c>
      <c r="F269" s="10">
        <v>19329335.299354374</v>
      </c>
      <c r="G269" s="10">
        <v>512</v>
      </c>
      <c r="H269" s="10">
        <v>11</v>
      </c>
      <c r="I269" s="10">
        <v>2</v>
      </c>
      <c r="J269" s="10">
        <v>448</v>
      </c>
      <c r="K269" s="10">
        <v>19210664.48893987</v>
      </c>
    </row>
    <row r="270" spans="1:11" x14ac:dyDescent="0.35">
      <c r="A270" s="9" t="s">
        <v>383</v>
      </c>
      <c r="B270" s="10">
        <v>582</v>
      </c>
      <c r="C270" s="10">
        <v>6</v>
      </c>
      <c r="D270" s="10">
        <v>3</v>
      </c>
      <c r="E270" s="10">
        <v>557</v>
      </c>
      <c r="F270" s="10">
        <v>25215073.008113429</v>
      </c>
      <c r="G270" s="10">
        <v>713</v>
      </c>
      <c r="H270" s="10">
        <v>10</v>
      </c>
      <c r="I270" s="10">
        <v>4</v>
      </c>
      <c r="J270" s="10">
        <v>698</v>
      </c>
      <c r="K270" s="10">
        <v>25827894.278995637</v>
      </c>
    </row>
    <row r="271" spans="1:11" x14ac:dyDescent="0.35">
      <c r="A271" s="9" t="s">
        <v>384</v>
      </c>
      <c r="B271" s="10">
        <v>664</v>
      </c>
      <c r="C271" s="10">
        <v>14</v>
      </c>
      <c r="D271" s="10">
        <v>2</v>
      </c>
      <c r="E271" s="10">
        <v>535</v>
      </c>
      <c r="F271" s="10">
        <v>24921521.336942539</v>
      </c>
      <c r="G271" s="10">
        <v>687</v>
      </c>
      <c r="H271" s="10">
        <v>32</v>
      </c>
      <c r="I271" s="10">
        <v>2</v>
      </c>
      <c r="J271" s="10">
        <v>569</v>
      </c>
      <c r="K271" s="10">
        <v>26435404.494069614</v>
      </c>
    </row>
    <row r="272" spans="1:11" x14ac:dyDescent="0.35">
      <c r="A272" s="9" t="s">
        <v>385</v>
      </c>
      <c r="B272" s="10">
        <v>263</v>
      </c>
      <c r="C272" s="10">
        <v>7</v>
      </c>
      <c r="D272" s="10">
        <v>1</v>
      </c>
      <c r="E272" s="10">
        <v>214</v>
      </c>
      <c r="F272" s="10">
        <v>13408168.156452905</v>
      </c>
      <c r="G272" s="10">
        <v>252</v>
      </c>
      <c r="H272" s="10">
        <v>7</v>
      </c>
      <c r="I272" s="10">
        <v>1</v>
      </c>
      <c r="J272" s="10">
        <v>227</v>
      </c>
      <c r="K272" s="10">
        <v>12542918.402369607</v>
      </c>
    </row>
    <row r="273" spans="1:11" x14ac:dyDescent="0.35">
      <c r="A273" s="9" t="s">
        <v>386</v>
      </c>
      <c r="B273" s="10">
        <v>932</v>
      </c>
      <c r="C273" s="10">
        <v>9</v>
      </c>
      <c r="D273" s="10">
        <v>1</v>
      </c>
      <c r="E273" s="10">
        <v>746</v>
      </c>
      <c r="F273" s="10">
        <v>26914560.567329191</v>
      </c>
      <c r="G273" s="10">
        <v>837</v>
      </c>
      <c r="H273" s="10">
        <v>15</v>
      </c>
      <c r="I273" s="10">
        <v>1</v>
      </c>
      <c r="J273" s="10">
        <v>778</v>
      </c>
      <c r="K273" s="10">
        <v>26459947.19681925</v>
      </c>
    </row>
    <row r="274" spans="1:11" x14ac:dyDescent="0.35">
      <c r="A274" s="9" t="s">
        <v>387</v>
      </c>
      <c r="B274" s="10">
        <v>1206</v>
      </c>
      <c r="C274" s="10">
        <v>16</v>
      </c>
      <c r="D274" s="10">
        <v>3</v>
      </c>
      <c r="E274" s="10">
        <v>972</v>
      </c>
      <c r="F274" s="10">
        <v>53216682.94827792</v>
      </c>
      <c r="G274" s="10">
        <v>1313</v>
      </c>
      <c r="H274" s="10">
        <v>21</v>
      </c>
      <c r="I274" s="10">
        <v>2</v>
      </c>
      <c r="J274" s="10">
        <v>1108</v>
      </c>
      <c r="K274" s="10">
        <v>55771993.08710479</v>
      </c>
    </row>
    <row r="275" spans="1:11" x14ac:dyDescent="0.35">
      <c r="A275" s="9" t="s">
        <v>388</v>
      </c>
      <c r="B275" s="10">
        <v>540</v>
      </c>
      <c r="C275" s="10">
        <v>10</v>
      </c>
      <c r="D275" s="10">
        <v>2</v>
      </c>
      <c r="E275" s="10">
        <v>453</v>
      </c>
      <c r="F275" s="10">
        <v>29122113.951673731</v>
      </c>
      <c r="G275" s="10">
        <v>587</v>
      </c>
      <c r="H275" s="10">
        <v>12</v>
      </c>
      <c r="I275" s="10">
        <v>2</v>
      </c>
      <c r="J275" s="10">
        <v>509</v>
      </c>
      <c r="K275" s="10">
        <v>29175031.815765545</v>
      </c>
    </row>
    <row r="276" spans="1:11" x14ac:dyDescent="0.35">
      <c r="A276" s="9" t="s">
        <v>389</v>
      </c>
      <c r="B276" s="10">
        <v>513</v>
      </c>
      <c r="C276" s="10">
        <v>13</v>
      </c>
      <c r="D276" s="10">
        <v>1</v>
      </c>
      <c r="E276" s="10">
        <v>553</v>
      </c>
      <c r="F276" s="10">
        <v>17806825.511082225</v>
      </c>
      <c r="G276" s="10">
        <v>577</v>
      </c>
      <c r="H276" s="10">
        <v>11</v>
      </c>
      <c r="I276" s="10">
        <v>1</v>
      </c>
      <c r="J276" s="10">
        <v>653</v>
      </c>
      <c r="K276" s="10">
        <v>19671663.417665455</v>
      </c>
    </row>
    <row r="277" spans="1:11" x14ac:dyDescent="0.35">
      <c r="A277" s="9" t="s">
        <v>390</v>
      </c>
      <c r="B277" s="10">
        <v>546</v>
      </c>
      <c r="C277" s="10">
        <v>1</v>
      </c>
      <c r="D277" s="10">
        <v>4</v>
      </c>
      <c r="E277" s="10">
        <v>398</v>
      </c>
      <c r="F277" s="10">
        <v>20974926.722076304</v>
      </c>
      <c r="G277" s="10">
        <v>615</v>
      </c>
      <c r="H277" s="10">
        <v>6</v>
      </c>
      <c r="I277" s="10">
        <v>5</v>
      </c>
      <c r="J277" s="10">
        <v>502</v>
      </c>
      <c r="K277" s="10">
        <v>27389792.454566386</v>
      </c>
    </row>
    <row r="278" spans="1:11" x14ac:dyDescent="0.35">
      <c r="A278" s="9" t="s">
        <v>391</v>
      </c>
      <c r="B278" s="10">
        <v>568</v>
      </c>
      <c r="C278" s="10">
        <v>10</v>
      </c>
      <c r="D278" s="10">
        <v>2</v>
      </c>
      <c r="E278" s="10">
        <v>507</v>
      </c>
      <c r="F278" s="10">
        <v>16949359.576501504</v>
      </c>
      <c r="G278" s="10">
        <v>491</v>
      </c>
      <c r="H278" s="10">
        <v>7</v>
      </c>
      <c r="I278" s="10">
        <v>2</v>
      </c>
      <c r="J278" s="10">
        <v>478</v>
      </c>
      <c r="K278" s="10">
        <v>16844521.758127749</v>
      </c>
    </row>
    <row r="279" spans="1:11" x14ac:dyDescent="0.35">
      <c r="A279" s="9" t="s">
        <v>392</v>
      </c>
      <c r="B279" s="10">
        <v>222</v>
      </c>
      <c r="C279" s="10">
        <v>6</v>
      </c>
      <c r="D279" s="10">
        <v>2</v>
      </c>
      <c r="E279" s="10">
        <v>139</v>
      </c>
      <c r="F279" s="10">
        <v>13943540.104324631</v>
      </c>
      <c r="G279" s="10">
        <v>190</v>
      </c>
      <c r="H279" s="10">
        <v>4</v>
      </c>
      <c r="I279" s="10">
        <v>2</v>
      </c>
      <c r="J279" s="10">
        <v>143</v>
      </c>
      <c r="K279" s="10">
        <v>12925820.850118188</v>
      </c>
    </row>
    <row r="280" spans="1:11" x14ac:dyDescent="0.35">
      <c r="A280" s="9" t="s">
        <v>393</v>
      </c>
      <c r="B280" s="10">
        <v>306</v>
      </c>
      <c r="C280" s="10">
        <v>4</v>
      </c>
      <c r="D280" s="10">
        <v>5</v>
      </c>
      <c r="E280" s="10">
        <v>197</v>
      </c>
      <c r="F280" s="10">
        <v>14952731.58200229</v>
      </c>
      <c r="G280" s="10">
        <v>349</v>
      </c>
      <c r="H280" s="10">
        <v>9</v>
      </c>
      <c r="I280" s="10">
        <v>6</v>
      </c>
      <c r="J280" s="10">
        <v>227</v>
      </c>
      <c r="K280" s="10">
        <v>15815663.388111616</v>
      </c>
    </row>
    <row r="281" spans="1:11" x14ac:dyDescent="0.35">
      <c r="A281" s="9" t="s">
        <v>394</v>
      </c>
      <c r="B281" s="10">
        <v>626</v>
      </c>
      <c r="C281" s="10">
        <v>9</v>
      </c>
      <c r="D281" s="10">
        <v>2</v>
      </c>
      <c r="E281" s="10">
        <v>636</v>
      </c>
      <c r="F281" s="10">
        <v>23002688.928290531</v>
      </c>
      <c r="G281" s="10">
        <v>678</v>
      </c>
      <c r="H281" s="10">
        <v>8</v>
      </c>
      <c r="I281" s="10">
        <v>2</v>
      </c>
      <c r="J281" s="10">
        <v>677</v>
      </c>
      <c r="K281" s="10">
        <v>23950276.914610207</v>
      </c>
    </row>
    <row r="282" spans="1:11" x14ac:dyDescent="0.35">
      <c r="A282" s="9" t="s">
        <v>395</v>
      </c>
      <c r="B282" s="10">
        <v>457</v>
      </c>
      <c r="C282" s="10">
        <v>14</v>
      </c>
      <c r="D282" s="10">
        <v>4</v>
      </c>
      <c r="E282" s="10">
        <v>443</v>
      </c>
      <c r="F282" s="10">
        <v>14064481.116343684</v>
      </c>
      <c r="G282" s="10">
        <v>523</v>
      </c>
      <c r="H282" s="10">
        <v>78</v>
      </c>
      <c r="I282" s="10">
        <v>4</v>
      </c>
      <c r="J282" s="10">
        <v>455</v>
      </c>
      <c r="K282" s="10">
        <v>15246942.486615287</v>
      </c>
    </row>
    <row r="283" spans="1:11" x14ac:dyDescent="0.35">
      <c r="A283" s="9" t="s">
        <v>396</v>
      </c>
      <c r="B283" s="10">
        <v>234</v>
      </c>
      <c r="C283" s="10">
        <v>2</v>
      </c>
      <c r="D283" s="10">
        <v>1</v>
      </c>
      <c r="E283" s="10">
        <v>285</v>
      </c>
      <c r="F283" s="10">
        <v>9521502.6227279156</v>
      </c>
      <c r="G283" s="10">
        <v>281</v>
      </c>
      <c r="H283" s="10">
        <v>1</v>
      </c>
      <c r="I283" s="10">
        <v>1</v>
      </c>
      <c r="J283" s="10">
        <v>204</v>
      </c>
      <c r="K283" s="10">
        <v>8063230.6889250763</v>
      </c>
    </row>
    <row r="284" spans="1:11" x14ac:dyDescent="0.35">
      <c r="A284" s="9" t="s">
        <v>397</v>
      </c>
      <c r="B284" s="10">
        <v>965</v>
      </c>
      <c r="C284" s="10">
        <v>18</v>
      </c>
      <c r="D284" s="10">
        <v>2</v>
      </c>
      <c r="E284" s="10">
        <v>958</v>
      </c>
      <c r="F284" s="10">
        <v>36487262.333092138</v>
      </c>
      <c r="G284" s="10">
        <v>1058</v>
      </c>
      <c r="H284" s="10">
        <v>15</v>
      </c>
      <c r="I284" s="10">
        <v>2</v>
      </c>
      <c r="J284" s="10">
        <v>1107</v>
      </c>
      <c r="K284" s="10">
        <v>43585207.448703147</v>
      </c>
    </row>
    <row r="285" spans="1:11" x14ac:dyDescent="0.35">
      <c r="A285" s="9" t="s">
        <v>398</v>
      </c>
      <c r="B285" s="10">
        <v>1886</v>
      </c>
      <c r="C285" s="10">
        <v>37</v>
      </c>
      <c r="D285" s="10">
        <v>1</v>
      </c>
      <c r="E285" s="10">
        <v>1755</v>
      </c>
      <c r="F285" s="10">
        <v>61665319.446534067</v>
      </c>
      <c r="G285" s="10">
        <v>1848</v>
      </c>
      <c r="H285" s="10">
        <v>43</v>
      </c>
      <c r="I285" s="10">
        <v>1</v>
      </c>
      <c r="J285" s="10">
        <v>1640</v>
      </c>
      <c r="K285" s="10">
        <v>62386425.769077338</v>
      </c>
    </row>
    <row r="286" spans="1:11" x14ac:dyDescent="0.35">
      <c r="A286" s="9" t="s">
        <v>399</v>
      </c>
      <c r="B286" s="10">
        <v>379</v>
      </c>
      <c r="C286" s="10">
        <v>1</v>
      </c>
      <c r="D286" s="10">
        <v>28</v>
      </c>
      <c r="E286" s="10">
        <v>353</v>
      </c>
      <c r="F286" s="10">
        <v>26676647.448964514</v>
      </c>
      <c r="G286" s="10">
        <v>341</v>
      </c>
      <c r="H286" s="10">
        <v>1</v>
      </c>
      <c r="I286" s="10">
        <v>28</v>
      </c>
      <c r="J286" s="10">
        <v>262</v>
      </c>
      <c r="K286" s="10">
        <v>24469044.048469529</v>
      </c>
    </row>
    <row r="287" spans="1:11" x14ac:dyDescent="0.35">
      <c r="A287" s="9" t="s">
        <v>400</v>
      </c>
      <c r="B287" s="10">
        <v>0</v>
      </c>
      <c r="C287" s="10">
        <v>0</v>
      </c>
      <c r="D287" s="10">
        <v>0</v>
      </c>
      <c r="E287" s="10">
        <v>0</v>
      </c>
      <c r="F287" s="10">
        <v>0</v>
      </c>
      <c r="G287" s="10">
        <v>0</v>
      </c>
      <c r="H287" s="10">
        <v>0</v>
      </c>
      <c r="I287" s="10">
        <v>0</v>
      </c>
      <c r="J287" s="10">
        <v>0</v>
      </c>
      <c r="K287" s="10">
        <v>0</v>
      </c>
    </row>
    <row r="288" spans="1:11" x14ac:dyDescent="0.35">
      <c r="A288" s="9" t="s">
        <v>401</v>
      </c>
      <c r="B288" s="10">
        <v>725</v>
      </c>
      <c r="C288" s="10">
        <v>3</v>
      </c>
      <c r="D288" s="10">
        <v>15</v>
      </c>
      <c r="E288" s="10">
        <v>729</v>
      </c>
      <c r="F288" s="10">
        <v>29964234.780788001</v>
      </c>
      <c r="G288" s="10">
        <v>885</v>
      </c>
      <c r="H288" s="10">
        <v>2</v>
      </c>
      <c r="I288" s="10">
        <v>18</v>
      </c>
      <c r="J288" s="10">
        <v>838</v>
      </c>
      <c r="K288" s="10">
        <v>39164121.460969105</v>
      </c>
    </row>
    <row r="289" spans="1:11" x14ac:dyDescent="0.35">
      <c r="A289" s="9" t="s">
        <v>402</v>
      </c>
      <c r="B289" s="10">
        <v>0</v>
      </c>
      <c r="C289" s="10">
        <v>0</v>
      </c>
      <c r="D289" s="10">
        <v>0</v>
      </c>
      <c r="E289" s="10">
        <v>0</v>
      </c>
      <c r="F289" s="10">
        <v>0</v>
      </c>
      <c r="G289" s="10">
        <v>0</v>
      </c>
      <c r="H289" s="10">
        <v>0</v>
      </c>
      <c r="I289" s="10">
        <v>0</v>
      </c>
      <c r="J289" s="10">
        <v>0</v>
      </c>
      <c r="K289" s="10">
        <v>0</v>
      </c>
    </row>
    <row r="290" spans="1:11" x14ac:dyDescent="0.35">
      <c r="A290" s="9" t="s">
        <v>403</v>
      </c>
      <c r="B290" s="10">
        <v>1663</v>
      </c>
      <c r="C290" s="10">
        <v>35</v>
      </c>
      <c r="D290" s="10">
        <v>6</v>
      </c>
      <c r="E290" s="10">
        <v>1637</v>
      </c>
      <c r="F290" s="10">
        <v>69815763.770411238</v>
      </c>
      <c r="G290" s="10">
        <v>1748</v>
      </c>
      <c r="H290" s="10">
        <v>39</v>
      </c>
      <c r="I290" s="10">
        <v>8</v>
      </c>
      <c r="J290" s="10">
        <v>1693</v>
      </c>
      <c r="K290" s="10">
        <v>78241643.238224581</v>
      </c>
    </row>
    <row r="291" spans="1:11" x14ac:dyDescent="0.35">
      <c r="A291" s="9" t="s">
        <v>404</v>
      </c>
      <c r="B291" s="10">
        <v>597</v>
      </c>
      <c r="C291" s="10">
        <v>6</v>
      </c>
      <c r="D291" s="10">
        <v>1</v>
      </c>
      <c r="E291" s="10">
        <v>520</v>
      </c>
      <c r="F291" s="10">
        <v>25508384.097927928</v>
      </c>
      <c r="G291" s="10">
        <v>710</v>
      </c>
      <c r="H291" s="10">
        <v>5</v>
      </c>
      <c r="I291" s="10">
        <v>1</v>
      </c>
      <c r="J291" s="10">
        <v>679</v>
      </c>
      <c r="K291" s="10">
        <v>29582091.932515074</v>
      </c>
    </row>
    <row r="292" spans="1:11" x14ac:dyDescent="0.35">
      <c r="A292" s="9" t="s">
        <v>405</v>
      </c>
      <c r="B292" s="10">
        <v>1745</v>
      </c>
      <c r="C292" s="10">
        <v>20</v>
      </c>
      <c r="D292" s="10">
        <v>7</v>
      </c>
      <c r="E292" s="10">
        <v>1669</v>
      </c>
      <c r="F292" s="10">
        <v>83375023.094151363</v>
      </c>
      <c r="G292" s="10">
        <v>1787</v>
      </c>
      <c r="H292" s="10">
        <v>26</v>
      </c>
      <c r="I292" s="10">
        <v>8</v>
      </c>
      <c r="J292" s="10">
        <v>1605</v>
      </c>
      <c r="K292" s="10">
        <v>86652684.005383372</v>
      </c>
    </row>
    <row r="293" spans="1:11" x14ac:dyDescent="0.35">
      <c r="A293" s="9" t="s">
        <v>406</v>
      </c>
      <c r="B293" s="10">
        <v>742</v>
      </c>
      <c r="C293" s="10">
        <v>9</v>
      </c>
      <c r="D293" s="10">
        <v>1</v>
      </c>
      <c r="E293" s="10">
        <v>653</v>
      </c>
      <c r="F293" s="10">
        <v>40543237.958264343</v>
      </c>
      <c r="G293" s="10">
        <v>663</v>
      </c>
      <c r="H293" s="10">
        <v>5</v>
      </c>
      <c r="I293" s="10">
        <v>2</v>
      </c>
      <c r="J293" s="10">
        <v>643</v>
      </c>
      <c r="K293" s="10">
        <v>42372664.50967145</v>
      </c>
    </row>
    <row r="294" spans="1:11" x14ac:dyDescent="0.35">
      <c r="A294" s="9" t="s">
        <v>407</v>
      </c>
      <c r="B294" s="10">
        <v>786</v>
      </c>
      <c r="C294" s="10">
        <v>10</v>
      </c>
      <c r="D294" s="10">
        <v>1</v>
      </c>
      <c r="E294" s="10">
        <v>731</v>
      </c>
      <c r="F294" s="10">
        <v>34065394.369147189</v>
      </c>
      <c r="G294" s="10">
        <v>696</v>
      </c>
      <c r="H294" s="10">
        <v>8</v>
      </c>
      <c r="I294" s="10">
        <v>0</v>
      </c>
      <c r="J294" s="10">
        <v>676</v>
      </c>
      <c r="K294" s="10">
        <v>38103958.263017945</v>
      </c>
    </row>
    <row r="295" spans="1:11" x14ac:dyDescent="0.35">
      <c r="A295" s="9" t="s">
        <v>408</v>
      </c>
      <c r="B295" s="10">
        <v>1196</v>
      </c>
      <c r="C295" s="10">
        <v>6</v>
      </c>
      <c r="D295" s="10">
        <v>33</v>
      </c>
      <c r="E295" s="10">
        <v>1073</v>
      </c>
      <c r="F295" s="10">
        <v>91854968.758987084</v>
      </c>
      <c r="G295" s="10">
        <v>1131</v>
      </c>
      <c r="H295" s="10">
        <v>24</v>
      </c>
      <c r="I295" s="10">
        <v>35</v>
      </c>
      <c r="J295" s="10">
        <v>1006</v>
      </c>
      <c r="K295" s="10">
        <v>94728721.900545165</v>
      </c>
    </row>
    <row r="296" spans="1:11" x14ac:dyDescent="0.35">
      <c r="A296" s="9" t="s">
        <v>409</v>
      </c>
      <c r="B296" s="10">
        <v>661</v>
      </c>
      <c r="C296" s="10">
        <v>3</v>
      </c>
      <c r="D296" s="10">
        <v>1</v>
      </c>
      <c r="E296" s="10">
        <v>629</v>
      </c>
      <c r="F296" s="10">
        <v>37679515.18413052</v>
      </c>
      <c r="G296" s="10">
        <v>499</v>
      </c>
      <c r="H296" s="10">
        <v>4</v>
      </c>
      <c r="I296" s="10">
        <v>0</v>
      </c>
      <c r="J296" s="10">
        <v>624</v>
      </c>
      <c r="K296" s="10">
        <v>46099726.511219226</v>
      </c>
    </row>
    <row r="297" spans="1:11" x14ac:dyDescent="0.35">
      <c r="A297" s="9" t="s">
        <v>410</v>
      </c>
      <c r="B297" s="10">
        <v>637</v>
      </c>
      <c r="C297" s="10">
        <v>6</v>
      </c>
      <c r="D297" s="10">
        <v>1</v>
      </c>
      <c r="E297" s="10">
        <v>522</v>
      </c>
      <c r="F297" s="10">
        <v>45051886.214770317</v>
      </c>
      <c r="G297" s="10">
        <v>717</v>
      </c>
      <c r="H297" s="10">
        <v>4</v>
      </c>
      <c r="I297" s="10">
        <v>1</v>
      </c>
      <c r="J297" s="10">
        <v>557</v>
      </c>
      <c r="K297" s="10">
        <v>50388841.707585283</v>
      </c>
    </row>
    <row r="298" spans="1:11" x14ac:dyDescent="0.35">
      <c r="A298" s="9" t="s">
        <v>411</v>
      </c>
      <c r="B298" s="10">
        <v>463</v>
      </c>
      <c r="C298" s="10">
        <v>2</v>
      </c>
      <c r="D298" s="10">
        <v>2</v>
      </c>
      <c r="E298" s="10">
        <v>552</v>
      </c>
      <c r="F298" s="10">
        <v>23557535.530953746</v>
      </c>
      <c r="G298" s="10">
        <v>571</v>
      </c>
      <c r="H298" s="10">
        <v>6</v>
      </c>
      <c r="I298" s="10">
        <v>3</v>
      </c>
      <c r="J298" s="10">
        <v>530</v>
      </c>
      <c r="K298" s="10">
        <v>30420854.177699633</v>
      </c>
    </row>
    <row r="299" spans="1:11" x14ac:dyDescent="0.35">
      <c r="A299" s="9" t="s">
        <v>412</v>
      </c>
      <c r="B299" s="10">
        <v>898</v>
      </c>
      <c r="C299" s="10">
        <v>7</v>
      </c>
      <c r="D299" s="10">
        <v>5</v>
      </c>
      <c r="E299" s="10">
        <v>825</v>
      </c>
      <c r="F299" s="10">
        <v>60522102.96237231</v>
      </c>
      <c r="G299" s="10">
        <v>853</v>
      </c>
      <c r="H299" s="10">
        <v>10</v>
      </c>
      <c r="I299" s="10">
        <v>6</v>
      </c>
      <c r="J299" s="10">
        <v>807</v>
      </c>
      <c r="K299" s="10">
        <v>66901241.536541775</v>
      </c>
    </row>
    <row r="300" spans="1:11" x14ac:dyDescent="0.35">
      <c r="A300" s="9" t="s">
        <v>413</v>
      </c>
      <c r="B300" s="10">
        <v>220</v>
      </c>
      <c r="C300" s="10">
        <v>6</v>
      </c>
      <c r="D300" s="10">
        <v>0</v>
      </c>
      <c r="E300" s="10">
        <v>236</v>
      </c>
      <c r="F300" s="10">
        <v>2712732.4524868028</v>
      </c>
      <c r="G300" s="10">
        <v>262</v>
      </c>
      <c r="H300" s="10">
        <v>8</v>
      </c>
      <c r="I300" s="10">
        <v>0</v>
      </c>
      <c r="J300" s="10">
        <v>249</v>
      </c>
      <c r="K300" s="10">
        <v>3067746.3924304312</v>
      </c>
    </row>
    <row r="301" spans="1:11" x14ac:dyDescent="0.35">
      <c r="A301" s="9" t="s">
        <v>414</v>
      </c>
      <c r="B301" s="10">
        <v>276</v>
      </c>
      <c r="C301" s="10">
        <v>1</v>
      </c>
      <c r="D301" s="10">
        <v>0</v>
      </c>
      <c r="E301" s="10">
        <v>270</v>
      </c>
      <c r="F301" s="10">
        <v>11495961.919160703</v>
      </c>
      <c r="G301" s="10">
        <v>333</v>
      </c>
      <c r="H301" s="10">
        <v>2</v>
      </c>
      <c r="I301" s="10">
        <v>0</v>
      </c>
      <c r="J301" s="10">
        <v>230</v>
      </c>
      <c r="K301" s="10">
        <v>13414236.711233258</v>
      </c>
    </row>
    <row r="302" spans="1:11" x14ac:dyDescent="0.35">
      <c r="A302" s="9" t="s">
        <v>415</v>
      </c>
      <c r="B302" s="10">
        <v>444</v>
      </c>
      <c r="C302" s="10">
        <v>17</v>
      </c>
      <c r="D302" s="10">
        <v>3</v>
      </c>
      <c r="E302" s="10">
        <v>432</v>
      </c>
      <c r="F302" s="10">
        <v>24780687.264860816</v>
      </c>
      <c r="G302" s="10">
        <v>443</v>
      </c>
      <c r="H302" s="10">
        <v>15</v>
      </c>
      <c r="I302" s="10">
        <v>4</v>
      </c>
      <c r="J302" s="10">
        <v>380</v>
      </c>
      <c r="K302" s="10">
        <v>26978724.530467063</v>
      </c>
    </row>
    <row r="303" spans="1:11" x14ac:dyDescent="0.35">
      <c r="A303" s="9" t="s">
        <v>416</v>
      </c>
      <c r="B303" s="10">
        <v>658</v>
      </c>
      <c r="C303" s="10">
        <v>15</v>
      </c>
      <c r="D303" s="10">
        <v>0</v>
      </c>
      <c r="E303" s="10">
        <v>588</v>
      </c>
      <c r="F303" s="10">
        <v>21295287.942868095</v>
      </c>
      <c r="G303" s="10">
        <v>610</v>
      </c>
      <c r="H303" s="10">
        <v>11</v>
      </c>
      <c r="I303" s="10">
        <v>1</v>
      </c>
      <c r="J303" s="10">
        <v>596</v>
      </c>
      <c r="K303" s="10">
        <v>20313986.261574034</v>
      </c>
    </row>
    <row r="304" spans="1:11" x14ac:dyDescent="0.35">
      <c r="A304" s="9" t="s">
        <v>417</v>
      </c>
      <c r="B304" s="10">
        <v>823</v>
      </c>
      <c r="C304" s="10">
        <v>13</v>
      </c>
      <c r="D304" s="10">
        <v>2</v>
      </c>
      <c r="E304" s="10">
        <v>689</v>
      </c>
      <c r="F304" s="10">
        <v>37716516.42039571</v>
      </c>
      <c r="G304" s="10">
        <v>744</v>
      </c>
      <c r="H304" s="10">
        <v>21</v>
      </c>
      <c r="I304" s="10">
        <v>2</v>
      </c>
      <c r="J304" s="10">
        <v>661</v>
      </c>
      <c r="K304" s="10">
        <v>42340296.863114752</v>
      </c>
    </row>
    <row r="305" spans="1:11" x14ac:dyDescent="0.35">
      <c r="A305" s="9" t="s">
        <v>418</v>
      </c>
      <c r="B305" s="10">
        <v>360</v>
      </c>
      <c r="C305" s="10">
        <v>6</v>
      </c>
      <c r="D305" s="10">
        <v>1</v>
      </c>
      <c r="E305" s="10">
        <v>311</v>
      </c>
      <c r="F305" s="10">
        <v>11095402.875205109</v>
      </c>
      <c r="G305" s="10">
        <v>346</v>
      </c>
      <c r="H305" s="10">
        <v>6</v>
      </c>
      <c r="I305" s="10">
        <v>0</v>
      </c>
      <c r="J305" s="10">
        <v>271</v>
      </c>
      <c r="K305" s="10">
        <v>12161183.453457246</v>
      </c>
    </row>
    <row r="306" spans="1:11" x14ac:dyDescent="0.35">
      <c r="A306" s="9" t="s">
        <v>419</v>
      </c>
      <c r="B306" s="10">
        <v>535</v>
      </c>
      <c r="C306" s="10">
        <v>7</v>
      </c>
      <c r="D306" s="10">
        <v>4</v>
      </c>
      <c r="E306" s="10">
        <v>371</v>
      </c>
      <c r="F306" s="10">
        <v>25060833.409548491</v>
      </c>
      <c r="G306" s="10">
        <v>449</v>
      </c>
      <c r="H306" s="10">
        <v>18</v>
      </c>
      <c r="I306" s="10">
        <v>4</v>
      </c>
      <c r="J306" s="10">
        <v>399</v>
      </c>
      <c r="K306" s="10">
        <v>24221436.772386953</v>
      </c>
    </row>
    <row r="307" spans="1:11" x14ac:dyDescent="0.35">
      <c r="A307" s="9" t="s">
        <v>420</v>
      </c>
      <c r="B307" s="10">
        <v>589</v>
      </c>
      <c r="C307" s="10">
        <v>2</v>
      </c>
      <c r="D307" s="10">
        <v>1</v>
      </c>
      <c r="E307" s="10">
        <v>497</v>
      </c>
      <c r="F307" s="10">
        <v>19178643.994154584</v>
      </c>
      <c r="G307" s="10">
        <v>598</v>
      </c>
      <c r="H307" s="10">
        <v>12</v>
      </c>
      <c r="I307" s="10">
        <v>0</v>
      </c>
      <c r="J307" s="10">
        <v>549</v>
      </c>
      <c r="K307" s="10">
        <v>18904923.625602424</v>
      </c>
    </row>
    <row r="308" spans="1:11" x14ac:dyDescent="0.35">
      <c r="A308" s="9" t="s">
        <v>421</v>
      </c>
      <c r="B308" s="10">
        <v>232</v>
      </c>
      <c r="C308" s="10">
        <v>1</v>
      </c>
      <c r="D308" s="10">
        <v>1</v>
      </c>
      <c r="E308" s="10">
        <v>190</v>
      </c>
      <c r="F308" s="10">
        <v>9806116.0130946804</v>
      </c>
      <c r="G308" s="10">
        <v>213</v>
      </c>
      <c r="H308" s="10">
        <v>6</v>
      </c>
      <c r="I308" s="10">
        <v>0</v>
      </c>
      <c r="J308" s="10">
        <v>198</v>
      </c>
      <c r="K308" s="10">
        <v>9229605.6023312528</v>
      </c>
    </row>
    <row r="309" spans="1:11" x14ac:dyDescent="0.35">
      <c r="A309" s="9" t="s">
        <v>422</v>
      </c>
      <c r="B309" s="10">
        <v>641</v>
      </c>
      <c r="C309" s="10">
        <v>23</v>
      </c>
      <c r="D309" s="10">
        <v>3</v>
      </c>
      <c r="E309" s="10">
        <v>409</v>
      </c>
      <c r="F309" s="10">
        <v>32181657.530472808</v>
      </c>
      <c r="G309" s="10">
        <v>612</v>
      </c>
      <c r="H309" s="10">
        <v>22</v>
      </c>
      <c r="I309" s="10">
        <v>3</v>
      </c>
      <c r="J309" s="10">
        <v>410</v>
      </c>
      <c r="K309" s="10">
        <v>36145836.222035609</v>
      </c>
    </row>
    <row r="310" spans="1:11" x14ac:dyDescent="0.35">
      <c r="A310" s="9" t="s">
        <v>423</v>
      </c>
      <c r="B310" s="10">
        <v>331</v>
      </c>
      <c r="C310" s="10">
        <v>4</v>
      </c>
      <c r="D310" s="10">
        <v>1</v>
      </c>
      <c r="E310" s="10">
        <v>320</v>
      </c>
      <c r="F310" s="10">
        <v>15053953.260727245</v>
      </c>
      <c r="G310" s="10">
        <v>301</v>
      </c>
      <c r="H310" s="10">
        <v>5</v>
      </c>
      <c r="I310" s="10">
        <v>1</v>
      </c>
      <c r="J310" s="10">
        <v>274</v>
      </c>
      <c r="K310" s="10">
        <v>14302930.35294746</v>
      </c>
    </row>
    <row r="311" spans="1:11" x14ac:dyDescent="0.35">
      <c r="A311" s="9" t="s">
        <v>424</v>
      </c>
      <c r="B311" s="10">
        <v>272</v>
      </c>
      <c r="C311" s="10">
        <v>4</v>
      </c>
      <c r="D311" s="10">
        <v>1</v>
      </c>
      <c r="E311" s="10">
        <v>239</v>
      </c>
      <c r="F311" s="10">
        <v>11390775.802354669</v>
      </c>
      <c r="G311" s="10">
        <v>224</v>
      </c>
      <c r="H311" s="10">
        <v>5</v>
      </c>
      <c r="I311" s="10">
        <v>1</v>
      </c>
      <c r="J311" s="10">
        <v>205</v>
      </c>
      <c r="K311" s="10">
        <v>10616972.412758879</v>
      </c>
    </row>
    <row r="312" spans="1:11" x14ac:dyDescent="0.35">
      <c r="A312" s="9" t="s">
        <v>425</v>
      </c>
      <c r="B312" s="10">
        <v>1008</v>
      </c>
      <c r="C312" s="10">
        <v>10</v>
      </c>
      <c r="D312" s="10">
        <v>3</v>
      </c>
      <c r="E312" s="10">
        <v>941</v>
      </c>
      <c r="F312" s="10">
        <v>45756416.713628083</v>
      </c>
      <c r="G312" s="10">
        <v>930</v>
      </c>
      <c r="H312" s="10">
        <v>19</v>
      </c>
      <c r="I312" s="10">
        <v>2</v>
      </c>
      <c r="J312" s="10">
        <v>965</v>
      </c>
      <c r="K312" s="10">
        <v>42572482.208692029</v>
      </c>
    </row>
    <row r="313" spans="1:11" x14ac:dyDescent="0.35">
      <c r="A313" s="9" t="s">
        <v>426</v>
      </c>
      <c r="B313" s="10">
        <v>429</v>
      </c>
      <c r="C313" s="10">
        <v>13</v>
      </c>
      <c r="D313" s="10">
        <v>1</v>
      </c>
      <c r="E313" s="10">
        <v>325</v>
      </c>
      <c r="F313" s="10">
        <v>15697906.18975904</v>
      </c>
      <c r="G313" s="10">
        <v>348</v>
      </c>
      <c r="H313" s="10">
        <v>58</v>
      </c>
      <c r="I313" s="10">
        <v>1</v>
      </c>
      <c r="J313" s="10">
        <v>314</v>
      </c>
      <c r="K313" s="10">
        <v>17039533.649283063</v>
      </c>
    </row>
    <row r="314" spans="1:11" x14ac:dyDescent="0.35">
      <c r="A314" s="9" t="s">
        <v>427</v>
      </c>
      <c r="B314" s="10">
        <v>247</v>
      </c>
      <c r="C314" s="10">
        <v>3</v>
      </c>
      <c r="D314" s="10">
        <v>1</v>
      </c>
      <c r="E314" s="10">
        <v>233</v>
      </c>
      <c r="F314" s="10">
        <v>13130872.169172676</v>
      </c>
      <c r="G314" s="10">
        <v>246</v>
      </c>
      <c r="H314" s="10">
        <v>9</v>
      </c>
      <c r="I314" s="10">
        <v>1</v>
      </c>
      <c r="J314" s="10">
        <v>251</v>
      </c>
      <c r="K314" s="10">
        <v>15501129.789362168</v>
      </c>
    </row>
    <row r="315" spans="1:11" x14ac:dyDescent="0.35">
      <c r="A315" s="9" t="s">
        <v>428</v>
      </c>
      <c r="B315" s="10">
        <v>973</v>
      </c>
      <c r="C315" s="10">
        <v>21</v>
      </c>
      <c r="D315" s="10">
        <v>3</v>
      </c>
      <c r="E315" s="10">
        <v>778</v>
      </c>
      <c r="F315" s="10">
        <v>32938388.783731554</v>
      </c>
      <c r="G315" s="10">
        <v>839</v>
      </c>
      <c r="H315" s="10">
        <v>33</v>
      </c>
      <c r="I315" s="10">
        <v>3</v>
      </c>
      <c r="J315" s="10">
        <v>853</v>
      </c>
      <c r="K315" s="10">
        <v>37772154.342634454</v>
      </c>
    </row>
    <row r="316" spans="1:11" x14ac:dyDescent="0.35">
      <c r="A316" s="9" t="s">
        <v>429</v>
      </c>
      <c r="B316" s="10">
        <v>1135</v>
      </c>
      <c r="C316" s="10">
        <v>11</v>
      </c>
      <c r="D316" s="10">
        <v>2</v>
      </c>
      <c r="E316" s="10">
        <v>1109</v>
      </c>
      <c r="F316" s="10">
        <v>48865162.31259416</v>
      </c>
      <c r="G316" s="10">
        <v>1064</v>
      </c>
      <c r="H316" s="10">
        <v>21</v>
      </c>
      <c r="I316" s="10">
        <v>1</v>
      </c>
      <c r="J316" s="10">
        <v>1002</v>
      </c>
      <c r="K316" s="10">
        <v>49560383.177252442</v>
      </c>
    </row>
    <row r="317" spans="1:11" x14ac:dyDescent="0.35">
      <c r="A317" s="9" t="s">
        <v>430</v>
      </c>
      <c r="B317" s="10">
        <v>169</v>
      </c>
      <c r="C317" s="10">
        <v>3</v>
      </c>
      <c r="D317" s="10">
        <v>3</v>
      </c>
      <c r="E317" s="10">
        <v>118</v>
      </c>
      <c r="F317" s="10">
        <v>11866179.213768236</v>
      </c>
      <c r="G317" s="10">
        <v>159</v>
      </c>
      <c r="H317" s="10">
        <v>49</v>
      </c>
      <c r="I317" s="10">
        <v>4</v>
      </c>
      <c r="J317" s="10">
        <v>143</v>
      </c>
      <c r="K317" s="10">
        <v>12877703.828594485</v>
      </c>
    </row>
    <row r="318" spans="1:11" x14ac:dyDescent="0.35">
      <c r="A318" s="9" t="s">
        <v>431</v>
      </c>
      <c r="B318" s="10">
        <v>763</v>
      </c>
      <c r="C318" s="10">
        <v>6</v>
      </c>
      <c r="D318" s="10">
        <v>1</v>
      </c>
      <c r="E318" s="10">
        <v>616</v>
      </c>
      <c r="F318" s="10">
        <v>24946436.662599318</v>
      </c>
      <c r="G318" s="10">
        <v>637</v>
      </c>
      <c r="H318" s="10">
        <v>11</v>
      </c>
      <c r="I318" s="10">
        <v>1</v>
      </c>
      <c r="J318" s="10">
        <v>540</v>
      </c>
      <c r="K318" s="10">
        <v>27204932.75162939</v>
      </c>
    </row>
    <row r="319" spans="1:11" x14ac:dyDescent="0.35">
      <c r="A319" s="9" t="s">
        <v>432</v>
      </c>
      <c r="B319" s="10">
        <v>712</v>
      </c>
      <c r="C319" s="10">
        <v>12</v>
      </c>
      <c r="D319" s="10">
        <v>5</v>
      </c>
      <c r="E319" s="10">
        <v>646</v>
      </c>
      <c r="F319" s="10">
        <v>33956066.684295863</v>
      </c>
      <c r="G319" s="10">
        <v>655</v>
      </c>
      <c r="H319" s="10">
        <v>14</v>
      </c>
      <c r="I319" s="10">
        <v>5</v>
      </c>
      <c r="J319" s="10">
        <v>636</v>
      </c>
      <c r="K319" s="10">
        <v>34638602.157557093</v>
      </c>
    </row>
    <row r="320" spans="1:11" x14ac:dyDescent="0.35">
      <c r="A320" s="9" t="s">
        <v>433</v>
      </c>
      <c r="B320" s="10">
        <v>585</v>
      </c>
      <c r="C320" s="10">
        <v>6</v>
      </c>
      <c r="D320" s="10">
        <v>2</v>
      </c>
      <c r="E320" s="10">
        <v>499</v>
      </c>
      <c r="F320" s="10">
        <v>18020740.725430273</v>
      </c>
      <c r="G320" s="10">
        <v>606</v>
      </c>
      <c r="H320" s="10">
        <v>8</v>
      </c>
      <c r="I320" s="10">
        <v>2</v>
      </c>
      <c r="J320" s="10">
        <v>649</v>
      </c>
      <c r="K320" s="10">
        <v>20193364.496246684</v>
      </c>
    </row>
    <row r="321" spans="1:11" x14ac:dyDescent="0.35">
      <c r="A321" s="9" t="s">
        <v>434</v>
      </c>
      <c r="B321" s="10">
        <v>697</v>
      </c>
      <c r="C321" s="10">
        <v>17</v>
      </c>
      <c r="D321" s="10">
        <v>1</v>
      </c>
      <c r="E321" s="10">
        <v>571</v>
      </c>
      <c r="F321" s="10">
        <v>24016873.648387957</v>
      </c>
      <c r="G321" s="10">
        <v>679</v>
      </c>
      <c r="H321" s="10">
        <v>12</v>
      </c>
      <c r="I321" s="10">
        <v>1</v>
      </c>
      <c r="J321" s="10">
        <v>625</v>
      </c>
      <c r="K321" s="10">
        <v>25417871.525997929</v>
      </c>
    </row>
    <row r="322" spans="1:11" x14ac:dyDescent="0.35">
      <c r="A322" s="9" t="s">
        <v>435</v>
      </c>
      <c r="B322" s="10">
        <v>940</v>
      </c>
      <c r="C322" s="10">
        <v>16</v>
      </c>
      <c r="D322" s="10">
        <v>1</v>
      </c>
      <c r="E322" s="10">
        <v>863</v>
      </c>
      <c r="F322" s="10">
        <v>31752970.488920897</v>
      </c>
      <c r="G322" s="10">
        <v>892</v>
      </c>
      <c r="H322" s="10">
        <v>19</v>
      </c>
      <c r="I322" s="10">
        <v>2</v>
      </c>
      <c r="J322" s="10">
        <v>844</v>
      </c>
      <c r="K322" s="10">
        <v>31879725.678093664</v>
      </c>
    </row>
    <row r="323" spans="1:11" x14ac:dyDescent="0.35">
      <c r="A323" s="9" t="s">
        <v>436</v>
      </c>
      <c r="B323" s="10">
        <v>704</v>
      </c>
      <c r="C323" s="10">
        <v>8</v>
      </c>
      <c r="D323" s="10">
        <v>2</v>
      </c>
      <c r="E323" s="10">
        <v>689</v>
      </c>
      <c r="F323" s="10">
        <v>19181891.363654464</v>
      </c>
      <c r="G323" s="10">
        <v>741</v>
      </c>
      <c r="H323" s="10">
        <v>13</v>
      </c>
      <c r="I323" s="10">
        <v>2</v>
      </c>
      <c r="J323" s="10">
        <v>656</v>
      </c>
      <c r="K323" s="10">
        <v>18881518.422299441</v>
      </c>
    </row>
    <row r="324" spans="1:11" x14ac:dyDescent="0.35">
      <c r="A324" s="9" t="s">
        <v>437</v>
      </c>
      <c r="B324" s="10">
        <v>713</v>
      </c>
      <c r="C324" s="10">
        <v>10</v>
      </c>
      <c r="D324" s="10">
        <v>2</v>
      </c>
      <c r="E324" s="10">
        <v>570</v>
      </c>
      <c r="F324" s="10">
        <v>34870950.474170431</v>
      </c>
      <c r="G324" s="10">
        <v>657</v>
      </c>
      <c r="H324" s="10">
        <v>10</v>
      </c>
      <c r="I324" s="10">
        <v>2</v>
      </c>
      <c r="J324" s="10">
        <v>602</v>
      </c>
      <c r="K324" s="10">
        <v>37382822.597071223</v>
      </c>
    </row>
    <row r="325" spans="1:11" x14ac:dyDescent="0.35">
      <c r="A325" s="9" t="s">
        <v>438</v>
      </c>
      <c r="B325" s="10">
        <v>827</v>
      </c>
      <c r="C325" s="10">
        <v>16</v>
      </c>
      <c r="D325" s="10">
        <v>0</v>
      </c>
      <c r="E325" s="10">
        <v>593</v>
      </c>
      <c r="F325" s="10">
        <v>60992861.806861855</v>
      </c>
      <c r="G325" s="10">
        <v>974</v>
      </c>
      <c r="H325" s="10">
        <v>32</v>
      </c>
      <c r="I325" s="10">
        <v>1</v>
      </c>
      <c r="J325" s="10">
        <v>774</v>
      </c>
      <c r="K325" s="10">
        <v>69104226.878293291</v>
      </c>
    </row>
    <row r="326" spans="1:11" x14ac:dyDescent="0.35">
      <c r="A326" s="9" t="s">
        <v>439</v>
      </c>
      <c r="B326" s="10">
        <v>396</v>
      </c>
      <c r="C326" s="10">
        <v>10</v>
      </c>
      <c r="D326" s="10">
        <v>0</v>
      </c>
      <c r="E326" s="10">
        <v>336</v>
      </c>
      <c r="F326" s="10">
        <v>15121205.843055179</v>
      </c>
      <c r="G326" s="10">
        <v>404</v>
      </c>
      <c r="H326" s="10">
        <v>11</v>
      </c>
      <c r="I326" s="10">
        <v>1</v>
      </c>
      <c r="J326" s="10">
        <v>366</v>
      </c>
      <c r="K326" s="10">
        <v>18130392.564221807</v>
      </c>
    </row>
    <row r="327" spans="1:11" x14ac:dyDescent="0.35">
      <c r="A327" s="9" t="s">
        <v>440</v>
      </c>
      <c r="B327" s="10">
        <v>2106</v>
      </c>
      <c r="C327" s="10">
        <v>33</v>
      </c>
      <c r="D327" s="10">
        <v>3</v>
      </c>
      <c r="E327" s="10">
        <v>1884</v>
      </c>
      <c r="F327" s="10">
        <v>80234699.301982373</v>
      </c>
      <c r="G327" s="10">
        <v>1673</v>
      </c>
      <c r="H327" s="10">
        <v>38</v>
      </c>
      <c r="I327" s="10">
        <v>2</v>
      </c>
      <c r="J327" s="10">
        <v>1574</v>
      </c>
      <c r="K327" s="10">
        <v>74550075.931652322</v>
      </c>
    </row>
    <row r="328" spans="1:11" x14ac:dyDescent="0.35">
      <c r="A328" s="9" t="s">
        <v>441</v>
      </c>
      <c r="B328" s="10">
        <v>1079</v>
      </c>
      <c r="C328" s="10">
        <v>23</v>
      </c>
      <c r="D328" s="10">
        <v>5</v>
      </c>
      <c r="E328" s="10">
        <v>983</v>
      </c>
      <c r="F328" s="10">
        <v>40589790.372260846</v>
      </c>
      <c r="G328" s="10">
        <v>886</v>
      </c>
      <c r="H328" s="10">
        <v>22</v>
      </c>
      <c r="I328" s="10">
        <v>5</v>
      </c>
      <c r="J328" s="10">
        <v>821</v>
      </c>
      <c r="K328" s="10">
        <v>44813482.025306381</v>
      </c>
    </row>
    <row r="329" spans="1:11" x14ac:dyDescent="0.35">
      <c r="A329" s="9" t="s">
        <v>442</v>
      </c>
      <c r="B329" s="10">
        <v>358</v>
      </c>
      <c r="C329" s="10">
        <v>136</v>
      </c>
      <c r="D329" s="10">
        <v>1</v>
      </c>
      <c r="E329" s="10">
        <v>159</v>
      </c>
      <c r="F329" s="10">
        <v>8814222.8736256491</v>
      </c>
      <c r="G329" s="10">
        <v>205</v>
      </c>
      <c r="H329" s="10">
        <v>3</v>
      </c>
      <c r="I329" s="10">
        <v>1</v>
      </c>
      <c r="J329" s="10">
        <v>174</v>
      </c>
      <c r="K329" s="10">
        <v>9273378.2314297911</v>
      </c>
    </row>
    <row r="330" spans="1:11" x14ac:dyDescent="0.35">
      <c r="A330" s="9" t="s">
        <v>443</v>
      </c>
      <c r="B330" s="10">
        <v>816</v>
      </c>
      <c r="C330" s="10">
        <v>39</v>
      </c>
      <c r="D330" s="10">
        <v>8</v>
      </c>
      <c r="E330" s="10">
        <v>691</v>
      </c>
      <c r="F330" s="10">
        <v>35239938.899526015</v>
      </c>
      <c r="G330" s="10">
        <v>834</v>
      </c>
      <c r="H330" s="10">
        <v>43</v>
      </c>
      <c r="I330" s="10">
        <v>12</v>
      </c>
      <c r="J330" s="10">
        <v>697</v>
      </c>
      <c r="K330" s="10">
        <v>44667677.284800425</v>
      </c>
    </row>
    <row r="331" spans="1:11" x14ac:dyDescent="0.35">
      <c r="A331" s="9" t="s">
        <v>444</v>
      </c>
      <c r="B331" s="10">
        <v>614</v>
      </c>
      <c r="C331" s="10">
        <v>9</v>
      </c>
      <c r="D331" s="10">
        <v>1</v>
      </c>
      <c r="E331" s="10">
        <v>536</v>
      </c>
      <c r="F331" s="10">
        <v>21309593.591158323</v>
      </c>
      <c r="G331" s="10">
        <v>593</v>
      </c>
      <c r="H331" s="10">
        <v>20</v>
      </c>
      <c r="I331" s="10">
        <v>1</v>
      </c>
      <c r="J331" s="10">
        <v>604</v>
      </c>
      <c r="K331" s="10">
        <v>25816488.705659222</v>
      </c>
    </row>
    <row r="332" spans="1:11" x14ac:dyDescent="0.35">
      <c r="A332" s="9" t="s">
        <v>445</v>
      </c>
      <c r="B332" s="10">
        <v>270</v>
      </c>
      <c r="C332" s="10">
        <v>6</v>
      </c>
      <c r="D332" s="10">
        <v>1</v>
      </c>
      <c r="E332" s="10">
        <v>224</v>
      </c>
      <c r="F332" s="10">
        <v>7757576.5054577067</v>
      </c>
      <c r="G332" s="10">
        <v>216</v>
      </c>
      <c r="H332" s="10">
        <v>6</v>
      </c>
      <c r="I332" s="10">
        <v>1</v>
      </c>
      <c r="J332" s="10">
        <v>224</v>
      </c>
      <c r="K332" s="10">
        <v>7737204.0750970338</v>
      </c>
    </row>
    <row r="333" spans="1:11" x14ac:dyDescent="0.35">
      <c r="A333" s="9" t="s">
        <v>446</v>
      </c>
      <c r="B333" s="10">
        <v>1007</v>
      </c>
      <c r="C333" s="10">
        <v>27</v>
      </c>
      <c r="D333" s="10">
        <v>7</v>
      </c>
      <c r="E333" s="10">
        <v>749</v>
      </c>
      <c r="F333" s="10">
        <v>52765404.529513024</v>
      </c>
      <c r="G333" s="10">
        <v>981</v>
      </c>
      <c r="H333" s="10">
        <v>65</v>
      </c>
      <c r="I333" s="10">
        <v>8</v>
      </c>
      <c r="J333" s="10">
        <v>855</v>
      </c>
      <c r="K333" s="10">
        <v>58003957.122540809</v>
      </c>
    </row>
    <row r="334" spans="1:11" x14ac:dyDescent="0.35">
      <c r="A334" s="9" t="s">
        <v>447</v>
      </c>
      <c r="B334" s="10">
        <v>829</v>
      </c>
      <c r="C334" s="10">
        <v>9</v>
      </c>
      <c r="D334" s="10">
        <v>2</v>
      </c>
      <c r="E334" s="10">
        <v>699</v>
      </c>
      <c r="F334" s="10">
        <v>33341427.071505591</v>
      </c>
      <c r="G334" s="10">
        <v>952</v>
      </c>
      <c r="H334" s="10">
        <v>14</v>
      </c>
      <c r="I334" s="10">
        <v>2</v>
      </c>
      <c r="J334" s="10">
        <v>906</v>
      </c>
      <c r="K334" s="10">
        <v>35887967.805232443</v>
      </c>
    </row>
    <row r="335" spans="1:11" x14ac:dyDescent="0.35">
      <c r="A335" s="9" t="s">
        <v>448</v>
      </c>
      <c r="B335" s="10">
        <v>475</v>
      </c>
      <c r="C335" s="10">
        <v>1</v>
      </c>
      <c r="D335" s="10">
        <v>1</v>
      </c>
      <c r="E335" s="10">
        <v>385</v>
      </c>
      <c r="F335" s="10">
        <v>16629653.629117858</v>
      </c>
      <c r="G335" s="10">
        <v>413</v>
      </c>
      <c r="H335" s="10">
        <v>11</v>
      </c>
      <c r="I335" s="10">
        <v>1</v>
      </c>
      <c r="J335" s="10">
        <v>438</v>
      </c>
      <c r="K335" s="10">
        <v>18034322.18823659</v>
      </c>
    </row>
    <row r="336" spans="1:11" x14ac:dyDescent="0.35">
      <c r="A336" s="9" t="s">
        <v>449</v>
      </c>
      <c r="B336" s="10">
        <v>215</v>
      </c>
      <c r="C336" s="10">
        <v>4</v>
      </c>
      <c r="D336" s="10">
        <v>1</v>
      </c>
      <c r="E336" s="10">
        <v>176</v>
      </c>
      <c r="F336" s="10">
        <v>7103362.5138327572</v>
      </c>
      <c r="G336" s="10">
        <v>225</v>
      </c>
      <c r="H336" s="10">
        <v>2</v>
      </c>
      <c r="I336" s="10">
        <v>0</v>
      </c>
      <c r="J336" s="10">
        <v>184</v>
      </c>
      <c r="K336" s="10">
        <v>7330821.4318942884</v>
      </c>
    </row>
    <row r="337" spans="1:11" x14ac:dyDescent="0.35">
      <c r="A337" s="9" t="s">
        <v>450</v>
      </c>
      <c r="B337" s="10">
        <v>638</v>
      </c>
      <c r="C337" s="10">
        <v>9</v>
      </c>
      <c r="D337" s="10">
        <v>0</v>
      </c>
      <c r="E337" s="10">
        <v>650</v>
      </c>
      <c r="F337" s="10">
        <v>30130036.231330492</v>
      </c>
      <c r="G337" s="10">
        <v>637</v>
      </c>
      <c r="H337" s="10">
        <v>16</v>
      </c>
      <c r="I337" s="10">
        <v>1</v>
      </c>
      <c r="J337" s="10">
        <v>582</v>
      </c>
      <c r="K337" s="10">
        <v>29001829.319231857</v>
      </c>
    </row>
    <row r="338" spans="1:11" x14ac:dyDescent="0.35">
      <c r="A338" s="9" t="s">
        <v>451</v>
      </c>
      <c r="B338" s="10">
        <v>682</v>
      </c>
      <c r="C338" s="10">
        <v>12</v>
      </c>
      <c r="D338" s="10">
        <v>1</v>
      </c>
      <c r="E338" s="10">
        <v>522</v>
      </c>
      <c r="F338" s="10">
        <v>28926628.552203141</v>
      </c>
      <c r="G338" s="10">
        <v>607</v>
      </c>
      <c r="H338" s="10">
        <v>10</v>
      </c>
      <c r="I338" s="10">
        <v>1</v>
      </c>
      <c r="J338" s="10">
        <v>509</v>
      </c>
      <c r="K338" s="10">
        <v>29288234.266587488</v>
      </c>
    </row>
    <row r="339" spans="1:11" x14ac:dyDescent="0.35">
      <c r="A339" s="9" t="s">
        <v>452</v>
      </c>
      <c r="B339" s="10">
        <v>201</v>
      </c>
      <c r="C339" s="10">
        <v>7</v>
      </c>
      <c r="D339" s="10">
        <v>0</v>
      </c>
      <c r="E339" s="10">
        <v>130</v>
      </c>
      <c r="F339" s="10">
        <v>11319633.725836247</v>
      </c>
      <c r="G339" s="10">
        <v>182</v>
      </c>
      <c r="H339" s="10">
        <v>3</v>
      </c>
      <c r="I339" s="10">
        <v>0</v>
      </c>
      <c r="J339" s="10">
        <v>137</v>
      </c>
      <c r="K339" s="10">
        <v>12012795.67783588</v>
      </c>
    </row>
    <row r="340" spans="1:11" x14ac:dyDescent="0.35">
      <c r="A340" s="9" t="s">
        <v>453</v>
      </c>
      <c r="B340" s="10">
        <v>725</v>
      </c>
      <c r="C340" s="10">
        <v>22</v>
      </c>
      <c r="D340" s="10">
        <v>2</v>
      </c>
      <c r="E340" s="10">
        <v>690</v>
      </c>
      <c r="F340" s="10">
        <v>22444245.337400779</v>
      </c>
      <c r="G340" s="10">
        <v>890</v>
      </c>
      <c r="H340" s="10">
        <v>33</v>
      </c>
      <c r="I340" s="10">
        <v>3</v>
      </c>
      <c r="J340" s="10">
        <v>809</v>
      </c>
      <c r="K340" s="10">
        <v>27636552.928234041</v>
      </c>
    </row>
    <row r="341" spans="1:11" x14ac:dyDescent="0.35">
      <c r="A341" s="9" t="s">
        <v>454</v>
      </c>
      <c r="B341" s="10">
        <v>981</v>
      </c>
      <c r="C341" s="10">
        <v>9</v>
      </c>
      <c r="D341" s="10">
        <v>2</v>
      </c>
      <c r="E341" s="10">
        <v>802</v>
      </c>
      <c r="F341" s="10">
        <v>47075015.143058002</v>
      </c>
      <c r="G341" s="10">
        <v>1322</v>
      </c>
      <c r="H341" s="10">
        <v>22</v>
      </c>
      <c r="I341" s="10">
        <v>2</v>
      </c>
      <c r="J341" s="10">
        <v>985</v>
      </c>
      <c r="K341" s="10">
        <v>53193101.972897097</v>
      </c>
    </row>
    <row r="342" spans="1:11" x14ac:dyDescent="0.35">
      <c r="A342" s="9" t="s">
        <v>455</v>
      </c>
      <c r="B342" s="10">
        <v>114</v>
      </c>
      <c r="C342" s="10">
        <v>0</v>
      </c>
      <c r="D342" s="10">
        <v>2</v>
      </c>
      <c r="E342" s="10">
        <v>160</v>
      </c>
      <c r="F342" s="10">
        <v>7840386.3503442984</v>
      </c>
      <c r="G342" s="10">
        <v>147</v>
      </c>
      <c r="H342" s="10">
        <v>0</v>
      </c>
      <c r="I342" s="10">
        <v>1</v>
      </c>
      <c r="J342" s="10">
        <v>102</v>
      </c>
      <c r="K342" s="10">
        <v>8107010.0568755399</v>
      </c>
    </row>
    <row r="343" spans="1:11" x14ac:dyDescent="0.35">
      <c r="A343" s="9" t="s">
        <v>456</v>
      </c>
      <c r="B343" s="10">
        <v>1276</v>
      </c>
      <c r="C343" s="10">
        <v>7</v>
      </c>
      <c r="D343" s="10">
        <v>1</v>
      </c>
      <c r="E343" s="10">
        <v>1142</v>
      </c>
      <c r="F343" s="10">
        <v>34025502.295453876</v>
      </c>
      <c r="G343" s="10">
        <v>1392</v>
      </c>
      <c r="H343" s="10">
        <v>13</v>
      </c>
      <c r="I343" s="10">
        <v>2</v>
      </c>
      <c r="J343" s="10">
        <v>1177</v>
      </c>
      <c r="K343" s="10">
        <v>64742117.037130624</v>
      </c>
    </row>
    <row r="344" spans="1:11" x14ac:dyDescent="0.35">
      <c r="A344" s="9" t="s">
        <v>457</v>
      </c>
      <c r="B344" s="10">
        <v>120</v>
      </c>
      <c r="C344" s="10">
        <v>2</v>
      </c>
      <c r="D344" s="10">
        <v>1</v>
      </c>
      <c r="E344" s="10">
        <v>72</v>
      </c>
      <c r="F344" s="10">
        <v>3866705.0617799498</v>
      </c>
      <c r="G344" s="10">
        <v>113</v>
      </c>
      <c r="H344" s="10">
        <v>0</v>
      </c>
      <c r="I344" s="10">
        <v>0</v>
      </c>
      <c r="J344" s="10">
        <v>114</v>
      </c>
      <c r="K344" s="10">
        <v>3468455.741946579</v>
      </c>
    </row>
    <row r="345" spans="1:11" x14ac:dyDescent="0.35">
      <c r="A345" s="9" t="s">
        <v>458</v>
      </c>
      <c r="B345" s="10">
        <v>714</v>
      </c>
      <c r="C345" s="10">
        <v>19</v>
      </c>
      <c r="D345" s="10">
        <v>1</v>
      </c>
      <c r="E345" s="10">
        <v>675</v>
      </c>
      <c r="F345" s="10">
        <v>33490536.538842041</v>
      </c>
      <c r="G345" s="10">
        <v>652</v>
      </c>
      <c r="H345" s="10">
        <v>28</v>
      </c>
      <c r="I345" s="10">
        <v>1</v>
      </c>
      <c r="J345" s="10">
        <v>628</v>
      </c>
      <c r="K345" s="10">
        <v>40344726.175050586</v>
      </c>
    </row>
    <row r="346" spans="1:11" x14ac:dyDescent="0.35">
      <c r="A346" s="9" t="s">
        <v>459</v>
      </c>
      <c r="B346" s="10">
        <v>563</v>
      </c>
      <c r="C346" s="10">
        <v>13</v>
      </c>
      <c r="D346" s="10">
        <v>2</v>
      </c>
      <c r="E346" s="10">
        <v>614</v>
      </c>
      <c r="F346" s="10">
        <v>21814158.370533112</v>
      </c>
      <c r="G346" s="10">
        <v>601</v>
      </c>
      <c r="H346" s="10">
        <v>22</v>
      </c>
      <c r="I346" s="10">
        <v>1</v>
      </c>
      <c r="J346" s="10">
        <v>616</v>
      </c>
      <c r="K346" s="10">
        <v>23614096.431280829</v>
      </c>
    </row>
    <row r="347" spans="1:11" x14ac:dyDescent="0.35">
      <c r="A347" s="9" t="s">
        <v>460</v>
      </c>
      <c r="B347" s="10">
        <v>649</v>
      </c>
      <c r="C347" s="10">
        <v>17</v>
      </c>
      <c r="D347" s="10">
        <v>7</v>
      </c>
      <c r="E347" s="10">
        <v>565</v>
      </c>
      <c r="F347" s="10">
        <v>32151802.617251623</v>
      </c>
      <c r="G347" s="10">
        <v>628</v>
      </c>
      <c r="H347" s="10">
        <v>13</v>
      </c>
      <c r="I347" s="10">
        <v>7</v>
      </c>
      <c r="J347" s="10">
        <v>555</v>
      </c>
      <c r="K347" s="10">
        <v>31208136.896804366</v>
      </c>
    </row>
    <row r="348" spans="1:11" x14ac:dyDescent="0.35">
      <c r="A348" s="9" t="s">
        <v>461</v>
      </c>
      <c r="B348" s="10">
        <v>694</v>
      </c>
      <c r="C348" s="10">
        <v>10</v>
      </c>
      <c r="D348" s="10">
        <v>1</v>
      </c>
      <c r="E348" s="10">
        <v>693</v>
      </c>
      <c r="F348" s="10">
        <v>19969484.344418984</v>
      </c>
      <c r="G348" s="10">
        <v>592</v>
      </c>
      <c r="H348" s="10">
        <v>9</v>
      </c>
      <c r="I348" s="10">
        <v>0</v>
      </c>
      <c r="J348" s="10">
        <v>594</v>
      </c>
      <c r="K348" s="10">
        <v>22814684.670739762</v>
      </c>
    </row>
    <row r="349" spans="1:11" x14ac:dyDescent="0.35">
      <c r="A349" s="9" t="s">
        <v>462</v>
      </c>
      <c r="B349" s="10">
        <v>566</v>
      </c>
      <c r="C349" s="10">
        <v>19</v>
      </c>
      <c r="D349" s="10">
        <v>5</v>
      </c>
      <c r="E349" s="10">
        <v>458</v>
      </c>
      <c r="F349" s="10">
        <v>24180896.03596938</v>
      </c>
      <c r="G349" s="10">
        <v>610</v>
      </c>
      <c r="H349" s="10">
        <v>24</v>
      </c>
      <c r="I349" s="10">
        <v>5</v>
      </c>
      <c r="J349" s="10">
        <v>458</v>
      </c>
      <c r="K349" s="10">
        <v>12846154.547645437</v>
      </c>
    </row>
    <row r="350" spans="1:11" x14ac:dyDescent="0.35">
      <c r="A350" s="9" t="s">
        <v>463</v>
      </c>
      <c r="B350" s="10">
        <v>962</v>
      </c>
      <c r="C350" s="10">
        <v>10</v>
      </c>
      <c r="D350" s="10">
        <v>2</v>
      </c>
      <c r="E350" s="10">
        <v>891</v>
      </c>
      <c r="F350" s="10">
        <v>31994511.815576307</v>
      </c>
      <c r="G350" s="10">
        <v>918</v>
      </c>
      <c r="H350" s="10">
        <v>14</v>
      </c>
      <c r="I350" s="10">
        <v>1</v>
      </c>
      <c r="J350" s="10">
        <v>941</v>
      </c>
      <c r="K350" s="10">
        <v>35895366.66085048</v>
      </c>
    </row>
    <row r="351" spans="1:11" x14ac:dyDescent="0.35">
      <c r="A351" s="9" t="s">
        <v>464</v>
      </c>
      <c r="B351" s="10">
        <v>533</v>
      </c>
      <c r="C351" s="10">
        <v>10</v>
      </c>
      <c r="D351" s="10">
        <v>3</v>
      </c>
      <c r="E351" s="10">
        <v>561</v>
      </c>
      <c r="F351" s="10">
        <v>17377001.982575219</v>
      </c>
      <c r="G351" s="10">
        <v>524</v>
      </c>
      <c r="H351" s="10">
        <v>16</v>
      </c>
      <c r="I351" s="10">
        <v>2</v>
      </c>
      <c r="J351" s="10">
        <v>549</v>
      </c>
      <c r="K351" s="10">
        <v>20412274.041831776</v>
      </c>
    </row>
    <row r="352" spans="1:11" x14ac:dyDescent="0.35">
      <c r="A352" s="9" t="s">
        <v>465</v>
      </c>
      <c r="B352" s="10">
        <v>904</v>
      </c>
      <c r="C352" s="10">
        <v>129</v>
      </c>
      <c r="D352" s="10">
        <v>6</v>
      </c>
      <c r="E352" s="10">
        <v>729</v>
      </c>
      <c r="F352" s="10">
        <v>34639096.882683538</v>
      </c>
      <c r="G352" s="10">
        <v>767</v>
      </c>
      <c r="H352" s="10">
        <v>26</v>
      </c>
      <c r="I352" s="10">
        <v>5</v>
      </c>
      <c r="J352" s="10">
        <v>673</v>
      </c>
      <c r="K352" s="10">
        <v>37806776.331524126</v>
      </c>
    </row>
    <row r="353" spans="1:11" x14ac:dyDescent="0.35">
      <c r="A353" s="9" t="s">
        <v>466</v>
      </c>
      <c r="B353" s="10">
        <v>393</v>
      </c>
      <c r="C353" s="10">
        <v>1</v>
      </c>
      <c r="D353" s="10">
        <v>1</v>
      </c>
      <c r="E353" s="10">
        <v>348</v>
      </c>
      <c r="F353" s="10">
        <v>11996964.734708248</v>
      </c>
      <c r="G353" s="10">
        <v>429</v>
      </c>
      <c r="H353" s="10">
        <v>3</v>
      </c>
      <c r="I353" s="10">
        <v>1</v>
      </c>
      <c r="J353" s="10">
        <v>419</v>
      </c>
      <c r="K353" s="10">
        <v>13576771.562703405</v>
      </c>
    </row>
    <row r="354" spans="1:11" x14ac:dyDescent="0.35">
      <c r="A354" s="9" t="s">
        <v>467</v>
      </c>
      <c r="B354" s="10">
        <v>640</v>
      </c>
      <c r="C354" s="10">
        <v>5</v>
      </c>
      <c r="D354" s="10">
        <v>2</v>
      </c>
      <c r="E354" s="10">
        <v>486</v>
      </c>
      <c r="F354" s="10">
        <v>20208757.150153879</v>
      </c>
      <c r="G354" s="10">
        <v>843</v>
      </c>
      <c r="H354" s="10">
        <v>10</v>
      </c>
      <c r="I354" s="10">
        <v>2</v>
      </c>
      <c r="J354" s="10">
        <v>600</v>
      </c>
      <c r="K354" s="10">
        <v>28339003.312763549</v>
      </c>
    </row>
    <row r="355" spans="1:11" x14ac:dyDescent="0.35">
      <c r="A355" s="9" t="s">
        <v>468</v>
      </c>
      <c r="B355" s="10">
        <v>864</v>
      </c>
      <c r="C355" s="10">
        <v>4</v>
      </c>
      <c r="D355" s="10">
        <v>1</v>
      </c>
      <c r="E355" s="10">
        <v>283</v>
      </c>
      <c r="F355" s="10">
        <v>13826365.84406396</v>
      </c>
      <c r="G355" s="10">
        <v>1531</v>
      </c>
      <c r="H355" s="10">
        <v>7</v>
      </c>
      <c r="I355" s="10">
        <v>1</v>
      </c>
      <c r="J355" s="10">
        <v>296</v>
      </c>
      <c r="K355" s="10">
        <v>13138269.787062978</v>
      </c>
    </row>
    <row r="356" spans="1:11" x14ac:dyDescent="0.35">
      <c r="A356" s="9" t="s">
        <v>469</v>
      </c>
      <c r="B356" s="10">
        <v>1476</v>
      </c>
      <c r="C356" s="10">
        <v>10</v>
      </c>
      <c r="D356" s="10">
        <v>16</v>
      </c>
      <c r="E356" s="10">
        <v>815</v>
      </c>
      <c r="F356" s="10">
        <v>58026446.857649483</v>
      </c>
      <c r="G356" s="10">
        <v>1393</v>
      </c>
      <c r="H356" s="10">
        <v>19</v>
      </c>
      <c r="I356" s="10">
        <v>18</v>
      </c>
      <c r="J356" s="10">
        <v>1001</v>
      </c>
      <c r="K356" s="10">
        <v>59162879.580864571</v>
      </c>
    </row>
    <row r="357" spans="1:11" x14ac:dyDescent="0.35">
      <c r="A357" s="9" t="s">
        <v>470</v>
      </c>
      <c r="B357" s="10">
        <v>1191</v>
      </c>
      <c r="C357" s="10">
        <v>13</v>
      </c>
      <c r="D357" s="10">
        <v>7</v>
      </c>
      <c r="E357" s="10">
        <v>1274</v>
      </c>
      <c r="F357" s="10">
        <v>39097372.874046065</v>
      </c>
      <c r="G357" s="10">
        <v>485</v>
      </c>
      <c r="H357" s="10">
        <v>28</v>
      </c>
      <c r="I357" s="10">
        <v>6</v>
      </c>
      <c r="J357" s="10">
        <v>76</v>
      </c>
      <c r="K357" s="10">
        <v>40546681.717121728</v>
      </c>
    </row>
    <row r="358" spans="1:11" x14ac:dyDescent="0.35">
      <c r="A358" s="9" t="s">
        <v>471</v>
      </c>
      <c r="B358" s="10">
        <v>277</v>
      </c>
      <c r="C358" s="10">
        <v>9</v>
      </c>
      <c r="D358" s="10">
        <v>3</v>
      </c>
      <c r="E358" s="10">
        <v>281</v>
      </c>
      <c r="F358" s="10">
        <v>11868855.000079207</v>
      </c>
      <c r="G358" s="10">
        <v>780</v>
      </c>
      <c r="H358" s="10">
        <v>6</v>
      </c>
      <c r="I358" s="10">
        <v>3</v>
      </c>
      <c r="J358" s="10">
        <v>1038</v>
      </c>
      <c r="K358" s="10">
        <v>13118807.159676297</v>
      </c>
    </row>
    <row r="359" spans="1:11" x14ac:dyDescent="0.35">
      <c r="A359" s="9" t="s">
        <v>472</v>
      </c>
      <c r="B359" s="10">
        <v>518</v>
      </c>
      <c r="C359" s="10">
        <v>106</v>
      </c>
      <c r="D359" s="10">
        <v>4</v>
      </c>
      <c r="E359" s="10">
        <v>400</v>
      </c>
      <c r="F359" s="10">
        <v>19930761.015266959</v>
      </c>
      <c r="G359" s="10">
        <v>574</v>
      </c>
      <c r="H359" s="10">
        <v>6</v>
      </c>
      <c r="I359" s="10">
        <v>3</v>
      </c>
      <c r="J359" s="10">
        <v>534</v>
      </c>
      <c r="K359" s="10">
        <v>19745242.552920263</v>
      </c>
    </row>
    <row r="360" spans="1:11" x14ac:dyDescent="0.35">
      <c r="A360" s="9" t="s">
        <v>473</v>
      </c>
      <c r="B360" s="10">
        <v>581</v>
      </c>
      <c r="C360" s="10">
        <v>16</v>
      </c>
      <c r="D360" s="10">
        <v>4</v>
      </c>
      <c r="E360" s="10">
        <v>605</v>
      </c>
      <c r="F360" s="10">
        <v>9605507.2083381359</v>
      </c>
      <c r="G360" s="10">
        <v>566</v>
      </c>
      <c r="H360" s="10">
        <v>7</v>
      </c>
      <c r="I360" s="10">
        <v>6</v>
      </c>
      <c r="J360" s="10">
        <v>566</v>
      </c>
      <c r="K360" s="10">
        <v>17221128.849849213</v>
      </c>
    </row>
    <row r="361" spans="1:11" x14ac:dyDescent="0.35">
      <c r="A361" s="9" t="s">
        <v>474</v>
      </c>
      <c r="B361" s="10">
        <v>248</v>
      </c>
      <c r="C361" s="10">
        <v>1</v>
      </c>
      <c r="D361" s="10">
        <v>2</v>
      </c>
      <c r="E361" s="10">
        <v>191</v>
      </c>
      <c r="F361" s="10">
        <v>11813188.799173608</v>
      </c>
      <c r="G361" s="10">
        <v>204</v>
      </c>
      <c r="H361" s="10">
        <v>8</v>
      </c>
      <c r="I361" s="10">
        <v>1</v>
      </c>
      <c r="J361" s="10">
        <v>188</v>
      </c>
      <c r="K361" s="10">
        <v>11824420.093846424</v>
      </c>
    </row>
    <row r="362" spans="1:11" x14ac:dyDescent="0.35">
      <c r="A362" s="9" t="s">
        <v>475</v>
      </c>
      <c r="B362" s="10">
        <v>808</v>
      </c>
      <c r="C362" s="10">
        <v>12</v>
      </c>
      <c r="D362" s="10">
        <v>1</v>
      </c>
      <c r="E362" s="10">
        <v>864</v>
      </c>
      <c r="F362" s="10">
        <v>33531946.41181327</v>
      </c>
      <c r="G362" s="10">
        <v>815</v>
      </c>
      <c r="H362" s="10">
        <v>21</v>
      </c>
      <c r="I362" s="10">
        <v>2</v>
      </c>
      <c r="J362" s="10">
        <v>753</v>
      </c>
      <c r="K362" s="10">
        <v>33935602.553686433</v>
      </c>
    </row>
    <row r="363" spans="1:11" x14ac:dyDescent="0.35">
      <c r="A363" s="9" t="s">
        <v>476</v>
      </c>
      <c r="B363" s="10">
        <v>466</v>
      </c>
      <c r="C363" s="10">
        <v>2</v>
      </c>
      <c r="D363" s="10">
        <v>4</v>
      </c>
      <c r="E363" s="10">
        <v>503</v>
      </c>
      <c r="F363" s="10">
        <v>23640573.219212092</v>
      </c>
      <c r="G363" s="10">
        <v>527</v>
      </c>
      <c r="H363" s="10">
        <v>15</v>
      </c>
      <c r="I363" s="10">
        <v>5</v>
      </c>
      <c r="J363" s="10">
        <v>484</v>
      </c>
      <c r="K363" s="10">
        <v>23187225.384547666</v>
      </c>
    </row>
    <row r="364" spans="1:11" x14ac:dyDescent="0.35">
      <c r="A364" s="9" t="s">
        <v>477</v>
      </c>
      <c r="B364" s="10">
        <v>1255</v>
      </c>
      <c r="C364" s="10">
        <v>12</v>
      </c>
      <c r="D364" s="10">
        <v>2</v>
      </c>
      <c r="E364" s="10">
        <v>879</v>
      </c>
      <c r="F364" s="10">
        <v>42316888.535702907</v>
      </c>
      <c r="G364" s="10">
        <v>1117</v>
      </c>
      <c r="H364" s="10">
        <v>33</v>
      </c>
      <c r="I364" s="10">
        <v>1</v>
      </c>
      <c r="J364" s="10">
        <v>875</v>
      </c>
      <c r="K364" s="10">
        <v>42405135.024737805</v>
      </c>
    </row>
    <row r="365" spans="1:11" x14ac:dyDescent="0.35">
      <c r="A365" s="9" t="s">
        <v>478</v>
      </c>
      <c r="B365" s="10">
        <v>543</v>
      </c>
      <c r="C365" s="10">
        <v>5</v>
      </c>
      <c r="D365" s="10">
        <v>1</v>
      </c>
      <c r="E365" s="10">
        <v>377</v>
      </c>
      <c r="F365" s="10">
        <v>23372006.443201363</v>
      </c>
      <c r="G365" s="10">
        <v>517</v>
      </c>
      <c r="H365" s="10">
        <v>13</v>
      </c>
      <c r="I365" s="10">
        <v>1</v>
      </c>
      <c r="J365" s="10">
        <v>521</v>
      </c>
      <c r="K365" s="10">
        <v>28208026.508232817</v>
      </c>
    </row>
    <row r="366" spans="1:11" x14ac:dyDescent="0.35">
      <c r="A366" s="9" t="s">
        <v>479</v>
      </c>
      <c r="B366" s="10">
        <v>412</v>
      </c>
      <c r="C366" s="10">
        <v>7</v>
      </c>
      <c r="D366" s="10">
        <v>3</v>
      </c>
      <c r="E366" s="10">
        <v>540</v>
      </c>
      <c r="F366" s="10">
        <v>17368664.186354935</v>
      </c>
      <c r="G366" s="10">
        <v>499</v>
      </c>
      <c r="H366" s="10">
        <v>17</v>
      </c>
      <c r="I366" s="10">
        <v>2</v>
      </c>
      <c r="J366" s="10">
        <v>353</v>
      </c>
      <c r="K366" s="10">
        <v>23767245.863498215</v>
      </c>
    </row>
    <row r="367" spans="1:11" x14ac:dyDescent="0.35">
      <c r="A367" s="9" t="s">
        <v>480</v>
      </c>
      <c r="B367" s="10">
        <v>226</v>
      </c>
      <c r="C367" s="10">
        <v>2</v>
      </c>
      <c r="D367" s="10">
        <v>1</v>
      </c>
      <c r="E367" s="10">
        <v>73</v>
      </c>
      <c r="F367" s="10">
        <v>12954174.707787368</v>
      </c>
      <c r="G367" s="10">
        <v>203</v>
      </c>
      <c r="H367" s="10">
        <v>3</v>
      </c>
      <c r="I367" s="10">
        <v>0</v>
      </c>
      <c r="J367" s="10">
        <v>65</v>
      </c>
      <c r="K367" s="10">
        <v>11691350.398943171</v>
      </c>
    </row>
    <row r="368" spans="1:11" x14ac:dyDescent="0.35">
      <c r="A368" s="9" t="s">
        <v>481</v>
      </c>
      <c r="B368" s="10">
        <v>385</v>
      </c>
      <c r="C368" s="10">
        <v>2</v>
      </c>
      <c r="D368" s="10">
        <v>1</v>
      </c>
      <c r="E368" s="10">
        <v>212</v>
      </c>
      <c r="F368" s="10">
        <v>12471657.556441717</v>
      </c>
      <c r="G368" s="10">
        <v>655</v>
      </c>
      <c r="H368" s="10">
        <v>15</v>
      </c>
      <c r="I368" s="10">
        <v>1</v>
      </c>
      <c r="J368" s="10">
        <v>540</v>
      </c>
      <c r="K368" s="10">
        <v>24743650.720582027</v>
      </c>
    </row>
    <row r="369" spans="1:11" x14ac:dyDescent="0.35">
      <c r="A369" s="9" t="s">
        <v>482</v>
      </c>
      <c r="B369" s="10">
        <v>657</v>
      </c>
      <c r="C369" s="10">
        <v>34</v>
      </c>
      <c r="D369" s="10">
        <v>5</v>
      </c>
      <c r="E369" s="10">
        <v>372</v>
      </c>
      <c r="F369" s="10">
        <v>21269910.206081808</v>
      </c>
      <c r="G369" s="10">
        <v>645</v>
      </c>
      <c r="H369" s="10">
        <v>11</v>
      </c>
      <c r="I369" s="10">
        <v>5</v>
      </c>
      <c r="J369" s="10">
        <v>722</v>
      </c>
      <c r="K369" s="10">
        <v>22321683.032821737</v>
      </c>
    </row>
    <row r="370" spans="1:11" x14ac:dyDescent="0.35">
      <c r="A370" s="9" t="s">
        <v>483</v>
      </c>
      <c r="B370" s="10">
        <v>323</v>
      </c>
      <c r="C370" s="10">
        <v>2</v>
      </c>
      <c r="D370" s="10">
        <v>1</v>
      </c>
      <c r="E370" s="10">
        <v>130</v>
      </c>
      <c r="F370" s="10">
        <v>12135884.586678293</v>
      </c>
      <c r="G370" s="10">
        <v>458</v>
      </c>
      <c r="H370" s="10">
        <v>11</v>
      </c>
      <c r="I370" s="10">
        <v>1</v>
      </c>
      <c r="J370" s="10">
        <v>318</v>
      </c>
      <c r="K370" s="10">
        <v>16954326.204958674</v>
      </c>
    </row>
    <row r="371" spans="1:11" x14ac:dyDescent="0.35">
      <c r="A371" s="9" t="s">
        <v>484</v>
      </c>
      <c r="B371" s="10">
        <v>1483</v>
      </c>
      <c r="C371" s="10">
        <v>16</v>
      </c>
      <c r="D371" s="10">
        <v>6</v>
      </c>
      <c r="E371" s="10">
        <v>1158</v>
      </c>
      <c r="F371" s="10">
        <v>61917211.626543649</v>
      </c>
      <c r="G371" s="10">
        <v>1282</v>
      </c>
      <c r="H371" s="10">
        <v>22</v>
      </c>
      <c r="I371" s="10">
        <v>4</v>
      </c>
      <c r="J371" s="10">
        <v>980</v>
      </c>
      <c r="K371" s="10">
        <v>52364666.608394913</v>
      </c>
    </row>
    <row r="372" spans="1:11" x14ac:dyDescent="0.35">
      <c r="A372" s="9" t="s">
        <v>485</v>
      </c>
      <c r="B372" s="10">
        <v>596</v>
      </c>
      <c r="C372" s="10">
        <v>11</v>
      </c>
      <c r="D372" s="10">
        <v>6</v>
      </c>
      <c r="E372" s="10">
        <v>465</v>
      </c>
      <c r="F372" s="10">
        <v>18696554.663736023</v>
      </c>
      <c r="G372" s="10">
        <v>461</v>
      </c>
      <c r="H372" s="10">
        <v>6</v>
      </c>
      <c r="I372" s="10">
        <v>6</v>
      </c>
      <c r="J372" s="10">
        <v>425</v>
      </c>
      <c r="K372" s="10">
        <v>19347788.321648497</v>
      </c>
    </row>
    <row r="373" spans="1:11" x14ac:dyDescent="0.35">
      <c r="A373" s="9" t="s">
        <v>486</v>
      </c>
      <c r="B373" s="10">
        <v>986</v>
      </c>
      <c r="C373" s="10">
        <v>9</v>
      </c>
      <c r="D373" s="10">
        <v>16</v>
      </c>
      <c r="E373" s="10">
        <v>931</v>
      </c>
      <c r="F373" s="10">
        <v>58977543.081079096</v>
      </c>
      <c r="G373" s="10">
        <v>1031</v>
      </c>
      <c r="H373" s="10">
        <v>10</v>
      </c>
      <c r="I373" s="10">
        <v>14</v>
      </c>
      <c r="J373" s="10">
        <v>871</v>
      </c>
      <c r="K373" s="10">
        <v>48347813.473426737</v>
      </c>
    </row>
    <row r="374" spans="1:11" x14ac:dyDescent="0.35">
      <c r="A374" s="9" t="s">
        <v>487</v>
      </c>
      <c r="B374" s="10">
        <v>852</v>
      </c>
      <c r="C374" s="10">
        <v>70</v>
      </c>
      <c r="D374" s="10">
        <v>2</v>
      </c>
      <c r="E374" s="10">
        <v>856</v>
      </c>
      <c r="F374" s="10">
        <v>30788730.316817559</v>
      </c>
      <c r="G374" s="10">
        <v>777</v>
      </c>
      <c r="H374" s="10">
        <v>17</v>
      </c>
      <c r="I374" s="10">
        <v>3</v>
      </c>
      <c r="J374" s="10">
        <v>550</v>
      </c>
      <c r="K374" s="10">
        <v>29337846.14371245</v>
      </c>
    </row>
    <row r="375" spans="1:11" x14ac:dyDescent="0.35">
      <c r="A375" s="9" t="s">
        <v>488</v>
      </c>
      <c r="B375" s="10">
        <v>594</v>
      </c>
      <c r="C375" s="10">
        <v>81</v>
      </c>
      <c r="D375" s="10">
        <v>1</v>
      </c>
      <c r="E375" s="10">
        <v>468</v>
      </c>
      <c r="F375" s="10">
        <v>21084781.126358707</v>
      </c>
      <c r="G375" s="10">
        <v>332</v>
      </c>
      <c r="H375" s="10">
        <v>23</v>
      </c>
      <c r="I375" s="10">
        <v>1</v>
      </c>
      <c r="J375" s="10">
        <v>209</v>
      </c>
      <c r="K375" s="10">
        <v>18071930.676181201</v>
      </c>
    </row>
    <row r="376" spans="1:11" x14ac:dyDescent="0.35">
      <c r="A376" s="9" t="s">
        <v>489</v>
      </c>
      <c r="B376" s="10">
        <v>875</v>
      </c>
      <c r="C376" s="10">
        <v>466</v>
      </c>
      <c r="D376" s="10">
        <v>4</v>
      </c>
      <c r="E376" s="10">
        <v>380</v>
      </c>
      <c r="F376" s="10">
        <v>20529101.086840052</v>
      </c>
      <c r="G376" s="10">
        <v>325</v>
      </c>
      <c r="H376" s="10">
        <v>222</v>
      </c>
      <c r="I376" s="10">
        <v>3</v>
      </c>
      <c r="J376" s="10">
        <v>79</v>
      </c>
      <c r="K376" s="10">
        <v>17014925.547412083</v>
      </c>
    </row>
    <row r="377" spans="1:11" x14ac:dyDescent="0.35">
      <c r="A377" s="9" t="s">
        <v>490</v>
      </c>
      <c r="B377" s="10">
        <v>301</v>
      </c>
      <c r="C377" s="10">
        <v>2</v>
      </c>
      <c r="D377" s="10">
        <v>1</v>
      </c>
      <c r="E377" s="10">
        <v>161</v>
      </c>
      <c r="F377" s="10">
        <v>9338822.5073576625</v>
      </c>
      <c r="G377" s="10">
        <v>362</v>
      </c>
      <c r="H377" s="10">
        <v>4</v>
      </c>
      <c r="I377" s="10">
        <v>1</v>
      </c>
      <c r="J377" s="10">
        <v>317</v>
      </c>
      <c r="K377" s="10">
        <v>14542487.400790641</v>
      </c>
    </row>
    <row r="378" spans="1:11" x14ac:dyDescent="0.35">
      <c r="A378" s="9" t="s">
        <v>491</v>
      </c>
      <c r="B378" s="10">
        <v>1132</v>
      </c>
      <c r="C378" s="10">
        <v>172</v>
      </c>
      <c r="D378" s="10">
        <v>4</v>
      </c>
      <c r="E378" s="10">
        <v>1066</v>
      </c>
      <c r="F378" s="10">
        <v>50366542.45815213</v>
      </c>
      <c r="G378" s="10">
        <v>1763</v>
      </c>
      <c r="H378" s="10">
        <v>313</v>
      </c>
      <c r="I378" s="10">
        <v>2</v>
      </c>
      <c r="J378" s="10">
        <v>1211</v>
      </c>
      <c r="K378" s="10">
        <v>46877682.968722835</v>
      </c>
    </row>
    <row r="379" spans="1:11" x14ac:dyDescent="0.35">
      <c r="A379" s="9" t="s">
        <v>492</v>
      </c>
      <c r="B379" s="10">
        <v>453</v>
      </c>
      <c r="C379" s="10">
        <v>35</v>
      </c>
      <c r="D379" s="10">
        <v>1</v>
      </c>
      <c r="E379" s="10">
        <v>256</v>
      </c>
      <c r="F379" s="10">
        <v>16013178.469773363</v>
      </c>
      <c r="G379" s="10">
        <v>1028</v>
      </c>
      <c r="H379" s="10">
        <v>492</v>
      </c>
      <c r="I379" s="10">
        <v>1</v>
      </c>
      <c r="J379" s="10">
        <v>962</v>
      </c>
      <c r="K379" s="10">
        <v>21453905.172433808</v>
      </c>
    </row>
    <row r="380" spans="1:11" x14ac:dyDescent="0.35">
      <c r="A380" s="9" t="s">
        <v>493</v>
      </c>
      <c r="B380" s="10">
        <v>498</v>
      </c>
      <c r="C380" s="10">
        <v>6</v>
      </c>
      <c r="D380" s="10">
        <v>1</v>
      </c>
      <c r="E380" s="10">
        <v>562</v>
      </c>
      <c r="F380" s="10">
        <v>15391775.14494586</v>
      </c>
      <c r="G380" s="10">
        <v>589</v>
      </c>
      <c r="H380" s="10">
        <v>10</v>
      </c>
      <c r="I380" s="10">
        <v>0</v>
      </c>
      <c r="J380" s="10">
        <v>423</v>
      </c>
      <c r="K380" s="10">
        <v>14835662.419333041</v>
      </c>
    </row>
    <row r="381" spans="1:11" x14ac:dyDescent="0.35">
      <c r="A381" s="9" t="s">
        <v>494</v>
      </c>
      <c r="B381" s="10">
        <v>631</v>
      </c>
      <c r="C381" s="10">
        <v>6</v>
      </c>
      <c r="D381" s="10">
        <v>5</v>
      </c>
      <c r="E381" s="10">
        <v>8</v>
      </c>
      <c r="F381" s="10">
        <v>25406091.997118127</v>
      </c>
      <c r="G381" s="10">
        <v>679</v>
      </c>
      <c r="H381" s="10">
        <v>9</v>
      </c>
      <c r="I381" s="10">
        <v>5</v>
      </c>
      <c r="J381" s="10">
        <v>678</v>
      </c>
      <c r="K381" s="10">
        <v>27591028.611066926</v>
      </c>
    </row>
    <row r="382" spans="1:11" x14ac:dyDescent="0.35">
      <c r="A382" s="9" t="s">
        <v>495</v>
      </c>
      <c r="B382" s="10">
        <v>555</v>
      </c>
      <c r="C382" s="10">
        <v>6</v>
      </c>
      <c r="D382" s="10">
        <v>1</v>
      </c>
      <c r="E382" s="10">
        <v>973</v>
      </c>
      <c r="F382" s="10">
        <v>18498404.530228615</v>
      </c>
      <c r="G382" s="10">
        <v>446</v>
      </c>
      <c r="H382" s="10">
        <v>6</v>
      </c>
      <c r="I382" s="10">
        <v>2</v>
      </c>
      <c r="J382" s="10">
        <v>429</v>
      </c>
      <c r="K382" s="10">
        <v>17028688.099641092</v>
      </c>
    </row>
    <row r="383" spans="1:11" x14ac:dyDescent="0.35">
      <c r="A383" s="9" t="s">
        <v>496</v>
      </c>
      <c r="B383" s="10">
        <v>252</v>
      </c>
      <c r="C383" s="10">
        <v>2</v>
      </c>
      <c r="D383" s="10">
        <v>2</v>
      </c>
      <c r="E383" s="10">
        <v>179</v>
      </c>
      <c r="F383" s="10">
        <v>9442334.1958955675</v>
      </c>
      <c r="G383" s="10">
        <v>231</v>
      </c>
      <c r="H383" s="10">
        <v>5</v>
      </c>
      <c r="I383" s="10">
        <v>2</v>
      </c>
      <c r="J383" s="10">
        <v>147</v>
      </c>
      <c r="K383" s="10">
        <v>7018172.1824827064</v>
      </c>
    </row>
    <row r="384" spans="1:11" x14ac:dyDescent="0.35">
      <c r="A384" s="9" t="s">
        <v>497</v>
      </c>
      <c r="B384" s="10">
        <v>605</v>
      </c>
      <c r="C384" s="10">
        <v>14</v>
      </c>
      <c r="D384" s="10">
        <v>2</v>
      </c>
      <c r="E384" s="10">
        <v>445</v>
      </c>
      <c r="F384" s="10">
        <v>21045975.499534927</v>
      </c>
      <c r="G384" s="10">
        <v>580</v>
      </c>
      <c r="H384" s="10">
        <v>15</v>
      </c>
      <c r="I384" s="10">
        <v>2</v>
      </c>
      <c r="J384" s="10">
        <v>398</v>
      </c>
      <c r="K384" s="10">
        <v>20825541.052449439</v>
      </c>
    </row>
    <row r="385" spans="1:11" x14ac:dyDescent="0.35">
      <c r="A385" s="9" t="s">
        <v>498</v>
      </c>
      <c r="B385" s="10">
        <v>481</v>
      </c>
      <c r="C385" s="10">
        <v>4</v>
      </c>
      <c r="D385" s="10">
        <v>1</v>
      </c>
      <c r="E385" s="10">
        <v>606</v>
      </c>
      <c r="F385" s="10">
        <v>24903028.350491375</v>
      </c>
      <c r="G385" s="10">
        <v>442</v>
      </c>
      <c r="H385" s="10">
        <v>11</v>
      </c>
      <c r="I385" s="10">
        <v>2</v>
      </c>
      <c r="J385" s="10">
        <v>461</v>
      </c>
      <c r="K385" s="10">
        <v>24684818.597377468</v>
      </c>
    </row>
    <row r="386" spans="1:11" x14ac:dyDescent="0.35">
      <c r="A386" s="9" t="s">
        <v>499</v>
      </c>
      <c r="B386" s="10">
        <v>434</v>
      </c>
      <c r="C386" s="10">
        <v>11</v>
      </c>
      <c r="D386" s="10">
        <v>1</v>
      </c>
      <c r="E386" s="10">
        <v>379</v>
      </c>
      <c r="F386" s="10">
        <v>21259399.707542326</v>
      </c>
      <c r="G386" s="10">
        <v>514</v>
      </c>
      <c r="H386" s="10">
        <v>4</v>
      </c>
      <c r="I386" s="10">
        <v>1</v>
      </c>
      <c r="J386" s="10">
        <v>417</v>
      </c>
      <c r="K386" s="10">
        <v>19729823.286373977</v>
      </c>
    </row>
    <row r="387" spans="1:11" x14ac:dyDescent="0.35">
      <c r="A387" s="9" t="s">
        <v>500</v>
      </c>
      <c r="B387" s="10">
        <v>735</v>
      </c>
      <c r="C387" s="10">
        <v>30</v>
      </c>
      <c r="D387" s="10">
        <v>4</v>
      </c>
      <c r="E387" s="10">
        <v>636</v>
      </c>
      <c r="F387" s="10">
        <v>29223255.313476369</v>
      </c>
      <c r="G387" s="10">
        <v>884</v>
      </c>
      <c r="H387" s="10">
        <v>26</v>
      </c>
      <c r="I387" s="10">
        <v>3</v>
      </c>
      <c r="J387" s="10">
        <v>619</v>
      </c>
      <c r="K387" s="10">
        <v>32153034.851354104</v>
      </c>
    </row>
    <row r="388" spans="1:11" x14ac:dyDescent="0.35">
      <c r="A388" s="9" t="s">
        <v>501</v>
      </c>
      <c r="B388" s="10">
        <v>1977</v>
      </c>
      <c r="C388" s="10">
        <v>16</v>
      </c>
      <c r="D388" s="10">
        <v>19</v>
      </c>
      <c r="E388" s="10">
        <v>1636</v>
      </c>
      <c r="F388" s="10">
        <v>102503137.88051242</v>
      </c>
      <c r="G388" s="10">
        <v>1746</v>
      </c>
      <c r="H388" s="10">
        <v>38</v>
      </c>
      <c r="I388" s="10">
        <v>18</v>
      </c>
      <c r="J388" s="10">
        <v>1576</v>
      </c>
      <c r="K388" s="10">
        <v>98001906.855494082</v>
      </c>
    </row>
    <row r="389" spans="1:11" x14ac:dyDescent="0.35">
      <c r="A389" s="9" t="s">
        <v>502</v>
      </c>
      <c r="B389" s="10">
        <v>521</v>
      </c>
      <c r="C389" s="10">
        <v>8</v>
      </c>
      <c r="D389" s="10">
        <v>3</v>
      </c>
      <c r="E389" s="10">
        <v>529</v>
      </c>
      <c r="F389" s="10">
        <v>20370271.143826753</v>
      </c>
      <c r="G389" s="10">
        <v>527</v>
      </c>
      <c r="H389" s="10">
        <v>16</v>
      </c>
      <c r="I389" s="10">
        <v>3</v>
      </c>
      <c r="J389" s="10">
        <v>388</v>
      </c>
      <c r="K389" s="10">
        <v>18670096.092167679</v>
      </c>
    </row>
    <row r="390" spans="1:11" x14ac:dyDescent="0.35">
      <c r="A390" s="9" t="s">
        <v>503</v>
      </c>
      <c r="B390" s="10">
        <v>202</v>
      </c>
      <c r="C390" s="10">
        <v>4</v>
      </c>
      <c r="D390" s="10">
        <v>0</v>
      </c>
      <c r="E390" s="10">
        <v>168</v>
      </c>
      <c r="F390" s="10">
        <v>8647197.6199074294</v>
      </c>
      <c r="G390" s="10">
        <v>231</v>
      </c>
      <c r="H390" s="10">
        <v>4</v>
      </c>
      <c r="I390" s="10">
        <v>0</v>
      </c>
      <c r="J390" s="10">
        <v>250</v>
      </c>
      <c r="K390" s="10">
        <v>8685388.5608686972</v>
      </c>
    </row>
    <row r="391" spans="1:11" x14ac:dyDescent="0.35">
      <c r="A391" s="9" t="s">
        <v>504</v>
      </c>
      <c r="B391" s="10">
        <v>834</v>
      </c>
      <c r="C391" s="10">
        <v>6</v>
      </c>
      <c r="D391" s="10">
        <v>1</v>
      </c>
      <c r="E391" s="10">
        <v>770</v>
      </c>
      <c r="F391" s="10">
        <v>26071135.025451086</v>
      </c>
      <c r="G391" s="10">
        <v>785</v>
      </c>
      <c r="H391" s="10">
        <v>13</v>
      </c>
      <c r="I391" s="10">
        <v>1</v>
      </c>
      <c r="J391" s="10">
        <v>769</v>
      </c>
      <c r="K391" s="10">
        <v>26328763.5953504</v>
      </c>
    </row>
    <row r="392" spans="1:11" x14ac:dyDescent="0.35">
      <c r="A392" s="9" t="s">
        <v>505</v>
      </c>
      <c r="B392" s="10">
        <v>882</v>
      </c>
      <c r="C392" s="10">
        <v>114</v>
      </c>
      <c r="D392" s="10">
        <v>2</v>
      </c>
      <c r="E392" s="10">
        <v>481</v>
      </c>
      <c r="F392" s="10">
        <v>31635863.677511301</v>
      </c>
      <c r="G392" s="10">
        <v>619</v>
      </c>
      <c r="H392" s="10">
        <v>23</v>
      </c>
      <c r="I392" s="10">
        <v>1</v>
      </c>
      <c r="J392" s="10">
        <v>301</v>
      </c>
      <c r="K392" s="10">
        <v>27892463.042345539</v>
      </c>
    </row>
    <row r="393" spans="1:11" x14ac:dyDescent="0.35">
      <c r="A393" s="9" t="s">
        <v>506</v>
      </c>
      <c r="B393" s="10">
        <v>872</v>
      </c>
      <c r="C393" s="10">
        <v>79</v>
      </c>
      <c r="D393" s="10">
        <v>2</v>
      </c>
      <c r="E393" s="10">
        <v>801</v>
      </c>
      <c r="F393" s="10">
        <v>41884785.496269941</v>
      </c>
      <c r="G393" s="10">
        <v>1045</v>
      </c>
      <c r="H393" s="10">
        <v>74</v>
      </c>
      <c r="I393" s="10">
        <v>2</v>
      </c>
      <c r="J393" s="10">
        <v>640</v>
      </c>
      <c r="K393" s="10">
        <v>40555044.559558257</v>
      </c>
    </row>
    <row r="394" spans="1:11" x14ac:dyDescent="0.35">
      <c r="A394" s="9" t="s">
        <v>507</v>
      </c>
      <c r="B394" s="10">
        <v>552</v>
      </c>
      <c r="C394" s="10">
        <v>15</v>
      </c>
      <c r="D394" s="10">
        <v>1</v>
      </c>
      <c r="E394" s="10">
        <v>524</v>
      </c>
      <c r="F394" s="10">
        <v>21296824.999894287</v>
      </c>
      <c r="G394" s="10">
        <v>650</v>
      </c>
      <c r="H394" s="10">
        <v>15</v>
      </c>
      <c r="I394" s="10">
        <v>2</v>
      </c>
      <c r="J394" s="10">
        <v>598</v>
      </c>
      <c r="K394" s="10">
        <v>20858298.195034008</v>
      </c>
    </row>
    <row r="395" spans="1:11" x14ac:dyDescent="0.35">
      <c r="A395" s="9" t="s">
        <v>508</v>
      </c>
      <c r="B395" s="10">
        <v>329</v>
      </c>
      <c r="C395" s="10">
        <v>10</v>
      </c>
      <c r="D395" s="10">
        <v>2</v>
      </c>
      <c r="E395" s="10">
        <v>220</v>
      </c>
      <c r="F395" s="10">
        <v>9898032.3283414934</v>
      </c>
      <c r="G395" s="10">
        <v>495</v>
      </c>
      <c r="H395" s="10">
        <v>12</v>
      </c>
      <c r="I395" s="10">
        <v>2</v>
      </c>
      <c r="J395" s="10">
        <v>576</v>
      </c>
      <c r="K395" s="10">
        <v>15711865.548032001</v>
      </c>
    </row>
    <row r="396" spans="1:11" x14ac:dyDescent="0.35">
      <c r="A396" s="9" t="s">
        <v>509</v>
      </c>
      <c r="B396" s="10">
        <v>446</v>
      </c>
      <c r="C396" s="10">
        <v>1</v>
      </c>
      <c r="D396" s="10">
        <v>2</v>
      </c>
      <c r="E396" s="10">
        <v>409</v>
      </c>
      <c r="F396" s="10">
        <v>18131158.766060941</v>
      </c>
      <c r="G396" s="10">
        <v>416</v>
      </c>
      <c r="H396" s="10">
        <v>6</v>
      </c>
      <c r="I396" s="10">
        <v>1</v>
      </c>
      <c r="J396" s="10">
        <v>374</v>
      </c>
      <c r="K396" s="10">
        <v>17876146.276417717</v>
      </c>
    </row>
    <row r="397" spans="1:11" x14ac:dyDescent="0.35">
      <c r="A397" s="9" t="s">
        <v>510</v>
      </c>
      <c r="B397" s="10">
        <v>165</v>
      </c>
      <c r="C397" s="10">
        <v>2</v>
      </c>
      <c r="D397" s="10">
        <v>2</v>
      </c>
      <c r="E397" s="10">
        <v>211</v>
      </c>
      <c r="F397" s="10">
        <v>11092124.827397311</v>
      </c>
      <c r="G397" s="10">
        <v>167</v>
      </c>
      <c r="H397" s="10">
        <v>5</v>
      </c>
      <c r="I397" s="10">
        <v>1</v>
      </c>
      <c r="J397" s="10">
        <v>135</v>
      </c>
      <c r="K397" s="10">
        <v>12367257.008162197</v>
      </c>
    </row>
    <row r="398" spans="1:11" x14ac:dyDescent="0.35">
      <c r="A398" s="9" t="s">
        <v>511</v>
      </c>
      <c r="B398" s="10">
        <v>765</v>
      </c>
      <c r="C398" s="10">
        <v>4</v>
      </c>
      <c r="D398" s="10">
        <v>7</v>
      </c>
      <c r="E398" s="10">
        <v>80</v>
      </c>
      <c r="F398" s="10">
        <v>27209280.184001017</v>
      </c>
      <c r="G398" s="10">
        <v>712</v>
      </c>
      <c r="H398" s="10">
        <v>19</v>
      </c>
      <c r="I398" s="10">
        <v>5</v>
      </c>
      <c r="J398" s="10">
        <v>672</v>
      </c>
      <c r="K398" s="10">
        <v>28158367.686492737</v>
      </c>
    </row>
    <row r="399" spans="1:11" x14ac:dyDescent="0.35">
      <c r="A399" s="9" t="s">
        <v>512</v>
      </c>
      <c r="B399" s="10">
        <v>1114</v>
      </c>
      <c r="C399" s="10">
        <v>17</v>
      </c>
      <c r="D399" s="10">
        <v>1</v>
      </c>
      <c r="E399" s="10">
        <v>577</v>
      </c>
      <c r="F399" s="10">
        <v>36863293.969712757</v>
      </c>
      <c r="G399" s="10">
        <v>948</v>
      </c>
      <c r="H399" s="10">
        <v>16</v>
      </c>
      <c r="I399" s="10">
        <v>2</v>
      </c>
      <c r="J399" s="10">
        <v>618</v>
      </c>
      <c r="K399" s="10">
        <v>30372777.026778378</v>
      </c>
    </row>
    <row r="400" spans="1:11" x14ac:dyDescent="0.35">
      <c r="A400" s="9" t="s">
        <v>513</v>
      </c>
      <c r="B400" s="10">
        <v>550</v>
      </c>
      <c r="C400" s="10">
        <v>16</v>
      </c>
      <c r="D400" s="10">
        <v>2</v>
      </c>
      <c r="E400" s="10">
        <v>378</v>
      </c>
      <c r="F400" s="10">
        <v>19234488.504066445</v>
      </c>
      <c r="G400" s="10">
        <v>762</v>
      </c>
      <c r="H400" s="10">
        <v>9</v>
      </c>
      <c r="I400" s="10">
        <v>2</v>
      </c>
      <c r="J400" s="10">
        <v>653</v>
      </c>
      <c r="K400" s="10">
        <v>25860264.140930496</v>
      </c>
    </row>
    <row r="401" spans="1:11" x14ac:dyDescent="0.35">
      <c r="A401" s="9" t="s">
        <v>514</v>
      </c>
      <c r="B401" s="10">
        <v>992</v>
      </c>
      <c r="C401" s="10">
        <v>24</v>
      </c>
      <c r="D401" s="10">
        <v>2</v>
      </c>
      <c r="E401" s="10">
        <v>860</v>
      </c>
      <c r="F401" s="10">
        <v>33640277.457795829</v>
      </c>
      <c r="G401" s="10">
        <v>912</v>
      </c>
      <c r="H401" s="10">
        <v>22</v>
      </c>
      <c r="I401" s="10">
        <v>1</v>
      </c>
      <c r="J401" s="10">
        <v>658</v>
      </c>
      <c r="K401" s="10">
        <v>33982109.513496369</v>
      </c>
    </row>
    <row r="402" spans="1:11" x14ac:dyDescent="0.35">
      <c r="A402" s="9" t="s">
        <v>515</v>
      </c>
      <c r="B402" s="10">
        <v>293</v>
      </c>
      <c r="C402" s="10">
        <v>3</v>
      </c>
      <c r="D402" s="10">
        <v>0</v>
      </c>
      <c r="E402" s="10">
        <v>370</v>
      </c>
      <c r="F402" s="10">
        <v>11838336.503648719</v>
      </c>
      <c r="G402" s="10">
        <v>307</v>
      </c>
      <c r="H402" s="10">
        <v>5</v>
      </c>
      <c r="I402" s="10">
        <v>1</v>
      </c>
      <c r="J402" s="10">
        <v>338</v>
      </c>
      <c r="K402" s="10">
        <v>11278248.921937443</v>
      </c>
    </row>
    <row r="403" spans="1:11" x14ac:dyDescent="0.35">
      <c r="A403" s="9" t="s">
        <v>516</v>
      </c>
      <c r="B403" s="10">
        <v>765</v>
      </c>
      <c r="C403" s="10">
        <v>16</v>
      </c>
      <c r="D403" s="10">
        <v>2</v>
      </c>
      <c r="E403" s="10">
        <v>834</v>
      </c>
      <c r="F403" s="10">
        <v>28564105.281333409</v>
      </c>
      <c r="G403" s="10">
        <v>702</v>
      </c>
      <c r="H403" s="10">
        <v>11</v>
      </c>
      <c r="I403" s="10">
        <v>1</v>
      </c>
      <c r="J403" s="10">
        <v>728</v>
      </c>
      <c r="K403" s="10">
        <v>25020909.470289353</v>
      </c>
    </row>
    <row r="404" spans="1:11" x14ac:dyDescent="0.35">
      <c r="A404" s="9" t="s">
        <v>517</v>
      </c>
      <c r="B404" s="10">
        <v>601</v>
      </c>
      <c r="C404" s="10">
        <v>11</v>
      </c>
      <c r="D404" s="10">
        <v>1</v>
      </c>
      <c r="E404" s="10">
        <v>598</v>
      </c>
      <c r="F404" s="10">
        <v>19732356.698381256</v>
      </c>
      <c r="G404" s="10">
        <v>590</v>
      </c>
      <c r="H404" s="10">
        <v>8</v>
      </c>
      <c r="I404" s="10">
        <v>1</v>
      </c>
      <c r="J404" s="10">
        <v>668</v>
      </c>
      <c r="K404" s="10">
        <v>18048121.202070251</v>
      </c>
    </row>
    <row r="405" spans="1:11" x14ac:dyDescent="0.35">
      <c r="A405" s="9" t="s">
        <v>518</v>
      </c>
      <c r="B405" s="10">
        <v>1005</v>
      </c>
      <c r="C405" s="10">
        <v>21</v>
      </c>
      <c r="D405" s="10">
        <v>4</v>
      </c>
      <c r="E405" s="10">
        <v>1094</v>
      </c>
      <c r="F405" s="10">
        <v>42613316.373585902</v>
      </c>
      <c r="G405" s="10">
        <v>733</v>
      </c>
      <c r="H405" s="10">
        <v>12</v>
      </c>
      <c r="I405" s="10">
        <v>4</v>
      </c>
      <c r="J405" s="10">
        <v>833</v>
      </c>
      <c r="K405" s="10">
        <v>39374272.542947501</v>
      </c>
    </row>
    <row r="406" spans="1:11" x14ac:dyDescent="0.35">
      <c r="A406" s="9" t="s">
        <v>519</v>
      </c>
      <c r="B406" s="10">
        <v>538</v>
      </c>
      <c r="C406" s="10">
        <v>203</v>
      </c>
      <c r="D406" s="10">
        <v>2</v>
      </c>
      <c r="E406" s="10">
        <v>420</v>
      </c>
      <c r="F406" s="10">
        <v>19711745.185997088</v>
      </c>
      <c r="G406" s="10">
        <v>762</v>
      </c>
      <c r="H406" s="10">
        <v>437</v>
      </c>
      <c r="I406" s="10">
        <v>1</v>
      </c>
      <c r="J406" s="10">
        <v>434</v>
      </c>
      <c r="K406" s="10">
        <v>19297582.173178501</v>
      </c>
    </row>
    <row r="407" spans="1:11" x14ac:dyDescent="0.35">
      <c r="A407" s="9" t="s">
        <v>520</v>
      </c>
      <c r="B407" s="10">
        <v>649</v>
      </c>
      <c r="C407" s="10">
        <v>13</v>
      </c>
      <c r="D407" s="10">
        <v>4</v>
      </c>
      <c r="E407" s="10">
        <v>567</v>
      </c>
      <c r="F407" s="10">
        <v>23869577.174082525</v>
      </c>
      <c r="G407" s="10">
        <v>612</v>
      </c>
      <c r="H407" s="10">
        <v>14</v>
      </c>
      <c r="I407" s="10">
        <v>3</v>
      </c>
      <c r="J407" s="10">
        <v>481</v>
      </c>
      <c r="K407" s="10">
        <v>22443577.120898023</v>
      </c>
    </row>
    <row r="408" spans="1:11" x14ac:dyDescent="0.35">
      <c r="A408" s="9" t="s">
        <v>521</v>
      </c>
      <c r="B408" s="10">
        <v>628</v>
      </c>
      <c r="C408" s="10">
        <v>6</v>
      </c>
      <c r="D408" s="10">
        <v>1</v>
      </c>
      <c r="E408" s="10">
        <v>561</v>
      </c>
      <c r="F408" s="10">
        <v>13539762.732534798</v>
      </c>
      <c r="G408" s="10">
        <v>648</v>
      </c>
      <c r="H408" s="10">
        <v>9</v>
      </c>
      <c r="I408" s="10">
        <v>1</v>
      </c>
      <c r="J408" s="10">
        <v>676</v>
      </c>
      <c r="K408" s="10">
        <v>20460717.762005702</v>
      </c>
    </row>
    <row r="409" spans="1:11" x14ac:dyDescent="0.35">
      <c r="A409" s="9" t="s">
        <v>522</v>
      </c>
      <c r="B409" s="10">
        <v>329</v>
      </c>
      <c r="C409" s="10">
        <v>3</v>
      </c>
      <c r="D409" s="10">
        <v>2</v>
      </c>
      <c r="E409" s="10">
        <v>237</v>
      </c>
      <c r="F409" s="10">
        <v>12356443.272163004</v>
      </c>
      <c r="G409" s="10">
        <v>522</v>
      </c>
      <c r="H409" s="10">
        <v>8</v>
      </c>
      <c r="I409" s="10">
        <v>3</v>
      </c>
      <c r="J409" s="10">
        <v>509</v>
      </c>
      <c r="K409" s="10">
        <v>21382382.212226544</v>
      </c>
    </row>
    <row r="410" spans="1:11" x14ac:dyDescent="0.35">
      <c r="A410" s="9" t="s">
        <v>523</v>
      </c>
      <c r="B410" s="10">
        <v>624</v>
      </c>
      <c r="C410" s="10">
        <v>32</v>
      </c>
      <c r="D410" s="10">
        <v>2</v>
      </c>
      <c r="E410" s="10">
        <v>434</v>
      </c>
      <c r="F410" s="10">
        <v>22803850.709730536</v>
      </c>
      <c r="G410" s="10">
        <v>696</v>
      </c>
      <c r="H410" s="10">
        <v>11</v>
      </c>
      <c r="I410" s="10">
        <v>3</v>
      </c>
      <c r="J410" s="10">
        <v>640</v>
      </c>
      <c r="K410" s="10">
        <v>22185185.798753012</v>
      </c>
    </row>
    <row r="411" spans="1:11" x14ac:dyDescent="0.35">
      <c r="A411" s="9" t="s">
        <v>524</v>
      </c>
      <c r="B411" s="10">
        <v>974</v>
      </c>
      <c r="C411" s="10">
        <v>24</v>
      </c>
      <c r="D411" s="10">
        <v>4</v>
      </c>
      <c r="E411" s="10">
        <v>777</v>
      </c>
      <c r="F411" s="10">
        <v>26341364.603258014</v>
      </c>
      <c r="G411" s="10">
        <v>759</v>
      </c>
      <c r="H411" s="10">
        <v>15</v>
      </c>
      <c r="I411" s="10">
        <v>2</v>
      </c>
      <c r="J411" s="10">
        <v>821</v>
      </c>
      <c r="K411" s="10">
        <v>24402918.290756796</v>
      </c>
    </row>
    <row r="412" spans="1:11" x14ac:dyDescent="0.35">
      <c r="A412" s="9" t="s">
        <v>525</v>
      </c>
      <c r="B412" s="10">
        <v>1434</v>
      </c>
      <c r="C412" s="10">
        <v>8</v>
      </c>
      <c r="D412" s="10">
        <v>4</v>
      </c>
      <c r="E412" s="10">
        <v>1443</v>
      </c>
      <c r="F412" s="10">
        <v>51814360.718989402</v>
      </c>
      <c r="G412" s="10">
        <v>1196</v>
      </c>
      <c r="H412" s="10">
        <v>12</v>
      </c>
      <c r="I412" s="10">
        <v>3</v>
      </c>
      <c r="J412" s="10">
        <v>1226</v>
      </c>
      <c r="K412" s="10">
        <v>43081135.955334723</v>
      </c>
    </row>
    <row r="413" spans="1:11" x14ac:dyDescent="0.35">
      <c r="A413" s="9" t="s">
        <v>526</v>
      </c>
      <c r="B413" s="10">
        <v>612</v>
      </c>
      <c r="C413" s="10">
        <v>5</v>
      </c>
      <c r="D413" s="10">
        <v>1</v>
      </c>
      <c r="E413" s="10">
        <v>670</v>
      </c>
      <c r="F413" s="10">
        <v>22666604.374944504</v>
      </c>
      <c r="G413" s="10">
        <v>640</v>
      </c>
      <c r="H413" s="10">
        <v>7</v>
      </c>
      <c r="I413" s="10">
        <v>1</v>
      </c>
      <c r="J413" s="10">
        <v>632</v>
      </c>
      <c r="K413" s="10">
        <v>24975136.065793075</v>
      </c>
    </row>
    <row r="414" spans="1:11" x14ac:dyDescent="0.35">
      <c r="A414" s="9" t="s">
        <v>527</v>
      </c>
      <c r="B414" s="10">
        <v>880</v>
      </c>
      <c r="C414" s="10">
        <v>3</v>
      </c>
      <c r="D414" s="10">
        <v>3</v>
      </c>
      <c r="E414" s="10">
        <v>694</v>
      </c>
      <c r="F414" s="10">
        <v>27562213.698613446</v>
      </c>
      <c r="G414" s="10">
        <v>895</v>
      </c>
      <c r="H414" s="10">
        <v>10</v>
      </c>
      <c r="I414" s="10">
        <v>5</v>
      </c>
      <c r="J414" s="10">
        <v>927</v>
      </c>
      <c r="K414" s="10">
        <v>35694871.571757205</v>
      </c>
    </row>
    <row r="415" spans="1:11" x14ac:dyDescent="0.35">
      <c r="A415" s="9" t="s">
        <v>528</v>
      </c>
      <c r="B415" s="10">
        <v>671</v>
      </c>
      <c r="C415" s="10">
        <v>9</v>
      </c>
      <c r="D415" s="10">
        <v>9</v>
      </c>
      <c r="E415" s="10">
        <v>755</v>
      </c>
      <c r="F415" s="10">
        <v>25384918.866518572</v>
      </c>
      <c r="G415" s="10">
        <v>686</v>
      </c>
      <c r="H415" s="10">
        <v>10</v>
      </c>
      <c r="I415" s="10">
        <v>8</v>
      </c>
      <c r="J415" s="10">
        <v>694</v>
      </c>
      <c r="K415" s="10">
        <v>27432551.423257042</v>
      </c>
    </row>
    <row r="416" spans="1:11" x14ac:dyDescent="0.35">
      <c r="A416" s="9" t="s">
        <v>529</v>
      </c>
      <c r="B416" s="10">
        <v>1970</v>
      </c>
      <c r="C416" s="10">
        <v>13</v>
      </c>
      <c r="D416" s="10">
        <v>20</v>
      </c>
      <c r="E416" s="10">
        <v>1518</v>
      </c>
      <c r="F416" s="10">
        <v>105237641.90844704</v>
      </c>
      <c r="G416" s="10">
        <v>1717</v>
      </c>
      <c r="H416" s="10">
        <v>45</v>
      </c>
      <c r="I416" s="10">
        <v>19</v>
      </c>
      <c r="J416" s="10">
        <v>1453</v>
      </c>
      <c r="K416" s="10">
        <v>93644891.871679217</v>
      </c>
    </row>
    <row r="417" spans="1:11" x14ac:dyDescent="0.35">
      <c r="A417" s="9" t="s">
        <v>530</v>
      </c>
      <c r="B417" s="10">
        <v>1294</v>
      </c>
      <c r="C417" s="10">
        <v>16</v>
      </c>
      <c r="D417" s="10">
        <v>5</v>
      </c>
      <c r="E417" s="10">
        <v>1389</v>
      </c>
      <c r="F417" s="10">
        <v>47629178.564442717</v>
      </c>
      <c r="G417" s="10">
        <v>1223</v>
      </c>
      <c r="H417" s="10">
        <v>19</v>
      </c>
      <c r="I417" s="10">
        <v>5</v>
      </c>
      <c r="J417" s="10">
        <v>1067</v>
      </c>
      <c r="K417" s="10">
        <v>47242181.246887304</v>
      </c>
    </row>
    <row r="418" spans="1:11" x14ac:dyDescent="0.35">
      <c r="A418" s="9" t="s">
        <v>531</v>
      </c>
      <c r="B418" s="10">
        <v>883</v>
      </c>
      <c r="C418" s="10">
        <v>9</v>
      </c>
      <c r="D418" s="10">
        <v>3</v>
      </c>
      <c r="E418" s="10">
        <v>793</v>
      </c>
      <c r="F418" s="10">
        <v>25803994.934549637</v>
      </c>
      <c r="G418" s="10">
        <v>728</v>
      </c>
      <c r="H418" s="10">
        <v>10</v>
      </c>
      <c r="I418" s="10">
        <v>4</v>
      </c>
      <c r="J418" s="10">
        <v>803</v>
      </c>
      <c r="K418" s="10">
        <v>25606234.655725919</v>
      </c>
    </row>
    <row r="419" spans="1:11" x14ac:dyDescent="0.35">
      <c r="A419" s="9" t="s">
        <v>532</v>
      </c>
      <c r="B419" s="10">
        <v>542</v>
      </c>
      <c r="C419" s="10">
        <v>5</v>
      </c>
      <c r="D419" s="10">
        <v>2</v>
      </c>
      <c r="E419" s="10">
        <v>431</v>
      </c>
      <c r="F419" s="10">
        <v>22757643.625695437</v>
      </c>
      <c r="G419" s="10">
        <v>546</v>
      </c>
      <c r="H419" s="10">
        <v>7</v>
      </c>
      <c r="I419" s="10">
        <v>2</v>
      </c>
      <c r="J419" s="10">
        <v>492</v>
      </c>
      <c r="K419" s="10">
        <v>25088216.329813439</v>
      </c>
    </row>
    <row r="420" spans="1:11" x14ac:dyDescent="0.35">
      <c r="A420" s="9" t="s">
        <v>533</v>
      </c>
      <c r="B420" s="10">
        <v>1274</v>
      </c>
      <c r="C420" s="10">
        <v>4</v>
      </c>
      <c r="D420" s="10">
        <v>10</v>
      </c>
      <c r="E420" s="10">
        <v>1288</v>
      </c>
      <c r="F420" s="10">
        <v>50660447.895510428</v>
      </c>
      <c r="G420" s="10">
        <v>1178</v>
      </c>
      <c r="H420" s="10">
        <v>11</v>
      </c>
      <c r="I420" s="10">
        <v>10</v>
      </c>
      <c r="J420" s="10">
        <v>1102</v>
      </c>
      <c r="K420" s="10">
        <v>45996881.093523346</v>
      </c>
    </row>
    <row r="421" spans="1:11" x14ac:dyDescent="0.35">
      <c r="A421" s="9" t="s">
        <v>534</v>
      </c>
      <c r="B421" s="10">
        <v>978</v>
      </c>
      <c r="C421" s="10">
        <v>7</v>
      </c>
      <c r="D421" s="10">
        <v>3</v>
      </c>
      <c r="E421" s="10">
        <v>679</v>
      </c>
      <c r="F421" s="10">
        <v>31038886.717772786</v>
      </c>
      <c r="G421" s="10">
        <v>1093</v>
      </c>
      <c r="H421" s="10">
        <v>22</v>
      </c>
      <c r="I421" s="10">
        <v>4</v>
      </c>
      <c r="J421" s="10">
        <v>714</v>
      </c>
      <c r="K421" s="10">
        <v>30992439.728135791</v>
      </c>
    </row>
    <row r="422" spans="1:11" x14ac:dyDescent="0.35">
      <c r="A422" s="9" t="s">
        <v>535</v>
      </c>
      <c r="B422" s="10">
        <v>1476</v>
      </c>
      <c r="C422" s="10">
        <v>5</v>
      </c>
      <c r="D422" s="10">
        <v>23</v>
      </c>
      <c r="E422" s="10">
        <v>1497</v>
      </c>
      <c r="F422" s="10">
        <v>81477233.681596324</v>
      </c>
      <c r="G422" s="10">
        <v>1454</v>
      </c>
      <c r="H422" s="10">
        <v>9</v>
      </c>
      <c r="I422" s="10">
        <v>20</v>
      </c>
      <c r="J422" s="10">
        <v>1367</v>
      </c>
      <c r="K422" s="10">
        <v>67039843.323058166</v>
      </c>
    </row>
    <row r="423" spans="1:11" x14ac:dyDescent="0.35">
      <c r="A423" s="9" t="s">
        <v>536</v>
      </c>
      <c r="B423" s="10">
        <v>209</v>
      </c>
      <c r="C423" s="10">
        <v>1</v>
      </c>
      <c r="D423" s="10">
        <v>1</v>
      </c>
      <c r="E423" s="10">
        <v>136</v>
      </c>
      <c r="F423" s="10">
        <v>6088626.8018950429</v>
      </c>
      <c r="G423" s="10">
        <v>436</v>
      </c>
      <c r="H423" s="10">
        <v>9</v>
      </c>
      <c r="I423" s="10">
        <v>0</v>
      </c>
      <c r="J423" s="10">
        <v>384</v>
      </c>
      <c r="K423" s="10">
        <v>15332734.494721595</v>
      </c>
    </row>
    <row r="424" spans="1:11" x14ac:dyDescent="0.35">
      <c r="A424" s="9" t="s">
        <v>537</v>
      </c>
      <c r="B424" s="10">
        <v>506</v>
      </c>
      <c r="C424" s="10">
        <v>9</v>
      </c>
      <c r="D424" s="10">
        <v>2</v>
      </c>
      <c r="E424" s="10">
        <v>677</v>
      </c>
      <c r="F424" s="10">
        <v>18772014.942634434</v>
      </c>
      <c r="G424" s="10">
        <v>550</v>
      </c>
      <c r="H424" s="10">
        <v>7</v>
      </c>
      <c r="I424" s="10">
        <v>2</v>
      </c>
      <c r="J424" s="10">
        <v>457</v>
      </c>
      <c r="K424" s="10">
        <v>21128005.132246211</v>
      </c>
    </row>
    <row r="425" spans="1:11" x14ac:dyDescent="0.35">
      <c r="A425" s="9" t="s">
        <v>538</v>
      </c>
      <c r="B425" s="10">
        <v>1316</v>
      </c>
      <c r="C425" s="10">
        <v>5</v>
      </c>
      <c r="D425" s="10">
        <v>22</v>
      </c>
      <c r="E425" s="10">
        <v>1083</v>
      </c>
      <c r="F425" s="10">
        <v>44138932.944536373</v>
      </c>
      <c r="G425" s="10">
        <v>1526</v>
      </c>
      <c r="H425" s="10">
        <v>2</v>
      </c>
      <c r="I425" s="10">
        <v>25</v>
      </c>
      <c r="J425" s="10">
        <v>1524</v>
      </c>
      <c r="K425" s="10">
        <v>53025360.703946486</v>
      </c>
    </row>
    <row r="426" spans="1:11" x14ac:dyDescent="0.35">
      <c r="A426" s="9" t="s">
        <v>539</v>
      </c>
      <c r="B426" s="10">
        <v>292</v>
      </c>
      <c r="C426" s="10">
        <v>3</v>
      </c>
      <c r="D426" s="10">
        <v>2</v>
      </c>
      <c r="E426" s="10">
        <v>524</v>
      </c>
      <c r="F426" s="10">
        <v>9266281.5939778406</v>
      </c>
      <c r="G426" s="10"/>
      <c r="H426" s="10"/>
      <c r="I426" s="10"/>
      <c r="J426" s="10"/>
      <c r="K426" s="10"/>
    </row>
    <row r="427" spans="1:11" x14ac:dyDescent="0.35">
      <c r="A427" s="9" t="s">
        <v>540</v>
      </c>
      <c r="B427" s="10">
        <v>293</v>
      </c>
      <c r="C427" s="10">
        <v>1</v>
      </c>
      <c r="D427" s="10">
        <v>2</v>
      </c>
      <c r="E427" s="10">
        <v>402</v>
      </c>
      <c r="F427" s="10">
        <v>9459296.7525631674</v>
      </c>
      <c r="G427" s="10"/>
      <c r="H427" s="10"/>
      <c r="I427" s="10"/>
      <c r="J427" s="10"/>
      <c r="K427" s="10"/>
    </row>
    <row r="428" spans="1:11" x14ac:dyDescent="0.35">
      <c r="A428" s="9" t="s">
        <v>541</v>
      </c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 spans="1:11" x14ac:dyDescent="0.35">
      <c r="A429" s="14" t="s">
        <v>202</v>
      </c>
      <c r="B429" s="13">
        <v>307283</v>
      </c>
      <c r="C429" s="13">
        <v>8677</v>
      </c>
      <c r="D429" s="13">
        <v>1226</v>
      </c>
      <c r="E429" s="13">
        <v>268338</v>
      </c>
      <c r="F429" s="13">
        <v>13152436343.974794</v>
      </c>
      <c r="G429" s="13">
        <v>303999</v>
      </c>
      <c r="H429" s="13">
        <v>11824</v>
      </c>
      <c r="I429" s="13">
        <v>1208</v>
      </c>
      <c r="J429" s="13">
        <v>267526</v>
      </c>
      <c r="K429" s="13">
        <v>13474719491.392582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2026-09-30T09:19:23Z</dcterms:modified>
</cp:coreProperties>
</file>