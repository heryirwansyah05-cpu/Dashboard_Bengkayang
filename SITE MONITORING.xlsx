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 activeTab="1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Sheet1!$A$1:$U$46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2" i="3" l="1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F2" i="3" l="1"/>
  <c r="G2" i="3"/>
  <c r="I2" i="3"/>
  <c r="J2" i="3"/>
  <c r="L2" i="3"/>
  <c r="M2" i="3"/>
  <c r="O2" i="3"/>
  <c r="P2" i="3"/>
  <c r="S2" i="3"/>
  <c r="T2" i="3" s="1"/>
  <c r="F3" i="3"/>
  <c r="G3" i="3"/>
  <c r="I3" i="3"/>
  <c r="J3" i="3"/>
  <c r="L3" i="3"/>
  <c r="M3" i="3"/>
  <c r="O3" i="3"/>
  <c r="P3" i="3"/>
  <c r="S3" i="3"/>
  <c r="T3" i="3" s="1"/>
  <c r="F4" i="3"/>
  <c r="G4" i="3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O5" i="3"/>
  <c r="P5" i="3"/>
  <c r="S5" i="3"/>
  <c r="T5" i="3" s="1"/>
  <c r="F6" i="3"/>
  <c r="G6" i="3"/>
  <c r="I6" i="3"/>
  <c r="J6" i="3"/>
  <c r="L6" i="3"/>
  <c r="M6" i="3"/>
  <c r="O6" i="3"/>
  <c r="P6" i="3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O9" i="3"/>
  <c r="P9" i="3"/>
  <c r="S9" i="3"/>
  <c r="T9" i="3" s="1"/>
  <c r="F10" i="3"/>
  <c r="G10" i="3"/>
  <c r="I10" i="3"/>
  <c r="J10" i="3"/>
  <c r="L10" i="3"/>
  <c r="M10" i="3"/>
  <c r="O10" i="3"/>
  <c r="P10" i="3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O13" i="3"/>
  <c r="P13" i="3"/>
  <c r="S13" i="3"/>
  <c r="T13" i="3" s="1"/>
  <c r="F14" i="3"/>
  <c r="G14" i="3"/>
  <c r="I14" i="3"/>
  <c r="J14" i="3"/>
  <c r="L14" i="3"/>
  <c r="M14" i="3"/>
  <c r="O14" i="3"/>
  <c r="P14" i="3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O17" i="3"/>
  <c r="P17" i="3"/>
  <c r="S17" i="3"/>
  <c r="T17" i="3" s="1"/>
  <c r="F18" i="3"/>
  <c r="G18" i="3"/>
  <c r="I18" i="3"/>
  <c r="J18" i="3"/>
  <c r="L18" i="3"/>
  <c r="M18" i="3"/>
  <c r="O18" i="3"/>
  <c r="P18" i="3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O21" i="3"/>
  <c r="P21" i="3"/>
  <c r="S21" i="3"/>
  <c r="T21" i="3" s="1"/>
  <c r="F22" i="3"/>
  <c r="G22" i="3"/>
  <c r="I22" i="3"/>
  <c r="J22" i="3"/>
  <c r="L22" i="3"/>
  <c r="M22" i="3"/>
  <c r="O22" i="3"/>
  <c r="P22" i="3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O25" i="3"/>
  <c r="P25" i="3"/>
  <c r="S25" i="3"/>
  <c r="T25" i="3" s="1"/>
  <c r="F26" i="3"/>
  <c r="G26" i="3"/>
  <c r="I26" i="3"/>
  <c r="J26" i="3"/>
  <c r="L26" i="3"/>
  <c r="M26" i="3"/>
  <c r="O26" i="3"/>
  <c r="P26" i="3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O29" i="3"/>
  <c r="P29" i="3"/>
  <c r="S29" i="3"/>
  <c r="T29" i="3" s="1"/>
  <c r="F30" i="3"/>
  <c r="G30" i="3"/>
  <c r="I30" i="3"/>
  <c r="J30" i="3"/>
  <c r="L30" i="3"/>
  <c r="M30" i="3"/>
  <c r="O30" i="3"/>
  <c r="P30" i="3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O33" i="3"/>
  <c r="P33" i="3"/>
  <c r="S33" i="3"/>
  <c r="T33" i="3" s="1"/>
  <c r="F34" i="3"/>
  <c r="G34" i="3"/>
  <c r="I34" i="3"/>
  <c r="J34" i="3"/>
  <c r="L34" i="3"/>
  <c r="M34" i="3"/>
  <c r="O34" i="3"/>
  <c r="P34" i="3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O37" i="3"/>
  <c r="P37" i="3"/>
  <c r="S37" i="3"/>
  <c r="T37" i="3" s="1"/>
  <c r="F38" i="3"/>
  <c r="G38" i="3"/>
  <c r="I38" i="3"/>
  <c r="J38" i="3"/>
  <c r="L38" i="3"/>
  <c r="M38" i="3"/>
  <c r="O38" i="3"/>
  <c r="P38" i="3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O41" i="3"/>
  <c r="P41" i="3"/>
  <c r="S41" i="3"/>
  <c r="T41" i="3" s="1"/>
  <c r="F42" i="3"/>
  <c r="G42" i="3"/>
  <c r="I42" i="3"/>
  <c r="J42" i="3"/>
  <c r="L42" i="3"/>
  <c r="M42" i="3"/>
  <c r="O42" i="3"/>
  <c r="P42" i="3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O45" i="3"/>
  <c r="P45" i="3"/>
  <c r="S45" i="3"/>
  <c r="T45" i="3" s="1"/>
  <c r="F46" i="3"/>
  <c r="G46" i="3"/>
  <c r="I46" i="3"/>
  <c r="J46" i="3"/>
  <c r="L46" i="3"/>
  <c r="M46" i="3"/>
  <c r="O46" i="3"/>
  <c r="P46" i="3"/>
  <c r="S46" i="3"/>
  <c r="T46" i="3" s="1"/>
  <c r="H43" i="3" l="1"/>
  <c r="H39" i="3"/>
  <c r="H46" i="3"/>
  <c r="Q44" i="3"/>
  <c r="H38" i="3"/>
  <c r="Q34" i="3"/>
  <c r="H32" i="3"/>
  <c r="Q30" i="3"/>
  <c r="H28" i="3"/>
  <c r="Q26" i="3"/>
  <c r="Q22" i="3"/>
  <c r="H20" i="3"/>
  <c r="Q18" i="3"/>
  <c r="H16" i="3"/>
  <c r="Q14" i="3"/>
  <c r="H12" i="3"/>
  <c r="Q10" i="3"/>
  <c r="H8" i="3"/>
  <c r="Q6" i="3"/>
  <c r="H4" i="3"/>
  <c r="Q2" i="3"/>
  <c r="H41" i="3"/>
  <c r="Q36" i="3"/>
  <c r="N42" i="3"/>
  <c r="N33" i="3"/>
  <c r="N29" i="3"/>
  <c r="N25" i="3"/>
  <c r="N21" i="3"/>
  <c r="N17" i="3"/>
  <c r="N13" i="3"/>
  <c r="N9" i="3"/>
  <c r="N5" i="3"/>
  <c r="N36" i="3"/>
  <c r="N34" i="3"/>
  <c r="N30" i="3"/>
  <c r="N26" i="3"/>
  <c r="N22" i="3"/>
  <c r="N18" i="3"/>
  <c r="N14" i="3"/>
  <c r="N10" i="3"/>
  <c r="N6" i="3"/>
  <c r="N2" i="3"/>
  <c r="K44" i="3"/>
  <c r="K36" i="3"/>
  <c r="K34" i="3"/>
  <c r="K30" i="3"/>
  <c r="K26" i="3"/>
  <c r="K22" i="3"/>
  <c r="K18" i="3"/>
  <c r="K14" i="3"/>
  <c r="K10" i="3"/>
  <c r="K6" i="3"/>
  <c r="K2" i="3"/>
  <c r="Q42" i="3"/>
  <c r="Q33" i="3"/>
  <c r="Q29" i="3"/>
  <c r="H24" i="3"/>
  <c r="N3" i="3"/>
  <c r="K42" i="3"/>
  <c r="K33" i="3"/>
  <c r="K29" i="3"/>
  <c r="K25" i="3"/>
  <c r="K21" i="3"/>
  <c r="K17" i="3"/>
  <c r="K13" i="3"/>
  <c r="K9" i="3"/>
  <c r="N45" i="3"/>
  <c r="N40" i="3"/>
  <c r="N37" i="3"/>
  <c r="N35" i="3"/>
  <c r="N31" i="3"/>
  <c r="N27" i="3"/>
  <c r="N23" i="3"/>
  <c r="N19" i="3"/>
  <c r="N15" i="3"/>
  <c r="N11" i="3"/>
  <c r="Q46" i="3"/>
  <c r="H44" i="3"/>
  <c r="Q43" i="3"/>
  <c r="Q41" i="3"/>
  <c r="Q39" i="3"/>
  <c r="Q38" i="3"/>
  <c r="Q32" i="3"/>
  <c r="Q28" i="3"/>
  <c r="Q24" i="3"/>
  <c r="Q20" i="3"/>
  <c r="Q16" i="3"/>
  <c r="Q12" i="3"/>
  <c r="Q8" i="3"/>
  <c r="Q4" i="3"/>
  <c r="Q25" i="3"/>
  <c r="Q21" i="3"/>
  <c r="Q17" i="3"/>
  <c r="Q13" i="3"/>
  <c r="Q9" i="3"/>
  <c r="Q5" i="3"/>
  <c r="K5" i="3"/>
  <c r="N44" i="3"/>
  <c r="Q45" i="3"/>
  <c r="Q40" i="3"/>
  <c r="Q37" i="3"/>
  <c r="Q35" i="3"/>
  <c r="Q31" i="3"/>
  <c r="Q27" i="3"/>
  <c r="Q23" i="3"/>
  <c r="Q19" i="3"/>
  <c r="Q15" i="3"/>
  <c r="Q11" i="3"/>
  <c r="Q7" i="3"/>
  <c r="Q3" i="3"/>
  <c r="N46" i="3"/>
  <c r="N43" i="3"/>
  <c r="N41" i="3"/>
  <c r="N39" i="3"/>
  <c r="N38" i="3"/>
  <c r="N32" i="3"/>
  <c r="N28" i="3"/>
  <c r="N24" i="3"/>
  <c r="N20" i="3"/>
  <c r="N16" i="3"/>
  <c r="N12" i="3"/>
  <c r="N8" i="3"/>
  <c r="N4" i="3"/>
  <c r="N7" i="3"/>
  <c r="H36" i="3"/>
  <c r="H34" i="3"/>
  <c r="H30" i="3"/>
  <c r="H26" i="3"/>
  <c r="H22" i="3"/>
  <c r="H18" i="3"/>
  <c r="H14" i="3"/>
  <c r="H10" i="3"/>
  <c r="H6" i="3"/>
  <c r="H2" i="3"/>
  <c r="H42" i="3"/>
  <c r="H33" i="3"/>
  <c r="H29" i="3"/>
  <c r="H25" i="3"/>
  <c r="H21" i="3"/>
  <c r="H17" i="3"/>
  <c r="H13" i="3"/>
  <c r="H9" i="3"/>
  <c r="H5" i="3"/>
  <c r="K45" i="3"/>
  <c r="K40" i="3"/>
  <c r="K37" i="3"/>
  <c r="K35" i="3"/>
  <c r="K31" i="3"/>
  <c r="K27" i="3"/>
  <c r="K23" i="3"/>
  <c r="K19" i="3"/>
  <c r="K15" i="3"/>
  <c r="K11" i="3"/>
  <c r="K7" i="3"/>
  <c r="K3" i="3"/>
  <c r="H45" i="3"/>
  <c r="H40" i="3"/>
  <c r="H37" i="3"/>
  <c r="H35" i="3"/>
  <c r="H31" i="3"/>
  <c r="H27" i="3"/>
  <c r="H23" i="3"/>
  <c r="H19" i="3"/>
  <c r="H15" i="3"/>
  <c r="H11" i="3"/>
  <c r="H7" i="3"/>
  <c r="H3" i="3"/>
  <c r="K46" i="3"/>
  <c r="K43" i="3"/>
  <c r="K41" i="3"/>
  <c r="K39" i="3"/>
  <c r="K38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<sst xmlns="http://schemas.openxmlformats.org/spreadsheetml/2006/main" count="683" uniqueCount="502">
  <si>
    <t>SITE ID</t>
  </si>
  <si>
    <t>SITE NAME</t>
  </si>
  <si>
    <t>20BEK0038</t>
  </si>
  <si>
    <t>BUMI_EMAS_MT</t>
  </si>
  <si>
    <t>PT-JAGOI BABANG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</si>
  <si>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</si>
  <si>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</si>
  <si>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</si>
  <si>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</si>
  <si>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</si>
  <si>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</si>
  <si>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</si>
  <si>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</si>
  <si>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</si>
  <si>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</si>
  <si>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</si>
  <si>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</si>
  <si>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</si>
  <si>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</si>
  <si>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</si>
  <si>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20BEK0066</t>
  </si>
  <si>
    <t>SELUAS_BEK1_MT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</si>
  <si>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</si>
  <si>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</si>
  <si>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</si>
  <si>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</si>
  <si>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</si>
  <si>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</si>
  <si>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</si>
  <si>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</si>
  <si>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</si>
  <si>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</si>
  <si>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</si>
  <si>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</si>
  <si>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</si>
  <si>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</si>
  <si>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</si>
  <si>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</si>
  <si>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</si>
  <si>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</si>
  <si>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</si>
  <si>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20BEK0015</t>
  </si>
  <si>
    <t>20BEK0016</t>
  </si>
  <si>
    <t>20BEK0017</t>
  </si>
  <si>
    <t>20BEK0018</t>
  </si>
  <si>
    <t>20BEK0020</t>
  </si>
  <si>
    <t>20BEK0069</t>
  </si>
  <si>
    <t>20BEK0077</t>
  </si>
  <si>
    <t>20BEK0082</t>
  </si>
  <si>
    <t>20BEK0076</t>
  </si>
  <si>
    <t>20BEK0088</t>
  </si>
  <si>
    <t>20BEK0022</t>
  </si>
  <si>
    <t>20BEK0025</t>
  </si>
  <si>
    <t>20BEK0026</t>
  </si>
  <si>
    <t>20BEK0023</t>
  </si>
  <si>
    <t>20BEK0087</t>
  </si>
  <si>
    <t>20BEK0094</t>
  </si>
  <si>
    <t>20BEK0027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</si>
  <si>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</si>
  <si>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</si>
  <si>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</si>
  <si>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</si>
  <si>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</si>
  <si>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</si>
  <si>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</si>
  <si>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</si>
  <si>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</si>
  <si>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</si>
  <si>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</si>
  <si>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</si>
  <si>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</si>
  <si>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</si>
  <si>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</si>
  <si>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</si>
  <si>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</si>
  <si>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</si>
  <si>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</si>
  <si>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</si>
  <si>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</si>
  <si>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</si>
  <si>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</si>
  <si>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</si>
  <si>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</si>
  <si>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</si>
  <si>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</si>
  <si>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</si>
  <si>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</si>
  <si>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20BEK0029</t>
  </si>
  <si>
    <t>20BEK0030</t>
  </si>
  <si>
    <t>20BEK0031</t>
  </si>
  <si>
    <t>20BEK0001</t>
  </si>
  <si>
    <t>20BEK0003</t>
  </si>
  <si>
    <t>20BEK0004</t>
  </si>
  <si>
    <t>20BEK0005</t>
  </si>
  <si>
    <t>20BEK0006</t>
  </si>
  <si>
    <t>20BEK0002</t>
  </si>
  <si>
    <t>20BEK0083</t>
  </si>
  <si>
    <t>20BEK0007</t>
  </si>
  <si>
    <t>20BEK0008</t>
  </si>
  <si>
    <t>20BEK0010</t>
  </si>
  <si>
    <t>20BEK0070</t>
  </si>
  <si>
    <t>20BEK0079</t>
  </si>
  <si>
    <t>20BEK0009</t>
  </si>
  <si>
    <t>20BEK0011</t>
  </si>
  <si>
    <t>20BEK0012</t>
  </si>
  <si>
    <t>20BEK0090</t>
  </si>
  <si>
    <t>20BEK0036</t>
  </si>
  <si>
    <t>BUMI_MAS_PL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</si>
  <si>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</si>
  <si>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</si>
  <si>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</si>
  <si>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</si>
  <si>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</si>
  <si>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</si>
  <si>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</si>
  <si>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</si>
  <si>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</si>
  <si>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</si>
  <si>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</si>
  <si>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</si>
  <si>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</si>
  <si>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</si>
  <si>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</si>
  <si>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</si>
  <si>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</si>
  <si>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</si>
  <si>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</si>
  <si>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</si>
  <si>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</si>
  <si>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</si>
  <si>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</si>
  <si>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</si>
  <si>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</si>
  <si>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PARTNER</t>
  </si>
  <si>
    <t>DSE CODE</t>
  </si>
  <si>
    <t>LRS</t>
  </si>
  <si>
    <t>PROFIT</t>
  </si>
  <si>
    <t>REVENUE MTD</t>
  </si>
  <si>
    <t>FWA VLR MTD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</si>
  <si>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</si>
  <si>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</si>
  <si>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</si>
  <si>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</si>
  <si>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</si>
  <si>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</si>
  <si>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</si>
  <si>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</si>
  <si>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</si>
  <si>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</si>
  <si>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</si>
  <si>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</si>
  <si>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FWA VLR</t>
  </si>
  <si>
    <t>Sum of VLR SUBS</t>
  </si>
  <si>
    <t>Sum of PREPAID REVENUE NETT</t>
  </si>
  <si>
    <t>20BEK0049</t>
  </si>
  <si>
    <t>GROWTH</t>
  </si>
  <si>
    <t>Grand Total</t>
  </si>
  <si>
    <t>Sum of RGU GA TRADE</t>
  </si>
  <si>
    <t>20MPW0001</t>
  </si>
  <si>
    <t>20MPW0002</t>
  </si>
  <si>
    <t>20MPW0003</t>
  </si>
  <si>
    <t>20MPW0004</t>
  </si>
  <si>
    <t>20MPW0005</t>
  </si>
  <si>
    <t>20MPW0006</t>
  </si>
  <si>
    <t>20MPW0007</t>
  </si>
  <si>
    <t>20MPW0008</t>
  </si>
  <si>
    <t>20MPW0009</t>
  </si>
  <si>
    <t>20MPW0010</t>
  </si>
  <si>
    <t>20MPW0011</t>
  </si>
  <si>
    <t>20MPW0012</t>
  </si>
  <si>
    <t>20MPW0013</t>
  </si>
  <si>
    <t>20MPW0014</t>
  </si>
  <si>
    <t>20MPW0015</t>
  </si>
  <si>
    <t>20MPW0016</t>
  </si>
  <si>
    <t>20MPW0017</t>
  </si>
  <si>
    <t>20MPW0018</t>
  </si>
  <si>
    <t>20MPW0019</t>
  </si>
  <si>
    <t>20MPW0020</t>
  </si>
  <si>
    <t>20MPW0021</t>
  </si>
  <si>
    <t>20MPW0022</t>
  </si>
  <si>
    <t>20MPW0023</t>
  </si>
  <si>
    <t>20MPW0024</t>
  </si>
  <si>
    <t>20MPW0025</t>
  </si>
  <si>
    <t>20MPW0026</t>
  </si>
  <si>
    <t>20MPW0027</t>
  </si>
  <si>
    <t>20MPW0028</t>
  </si>
  <si>
    <t>20MPW0029</t>
  </si>
  <si>
    <t>20MPW0030</t>
  </si>
  <si>
    <t>20MPW0031</t>
  </si>
  <si>
    <t>20MPW0032</t>
  </si>
  <si>
    <t>20MPW0033</t>
  </si>
  <si>
    <t>20MPW0034</t>
  </si>
  <si>
    <t>20MPW0035</t>
  </si>
  <si>
    <t>20MPW0036</t>
  </si>
  <si>
    <t>20MPW0037</t>
  </si>
  <si>
    <t>20MPW0038</t>
  </si>
  <si>
    <t>20MPW0039</t>
  </si>
  <si>
    <t>20MPW0041</t>
  </si>
  <si>
    <t>20MPW0042</t>
  </si>
  <si>
    <t>20MPW0043</t>
  </si>
  <si>
    <t>20MPW0044</t>
  </si>
  <si>
    <t>20MPW0045</t>
  </si>
  <si>
    <t>20MPW0047</t>
  </si>
  <si>
    <t>20MPW0048</t>
  </si>
  <si>
    <t>20MPW0049</t>
  </si>
  <si>
    <t>20MPW0050</t>
  </si>
  <si>
    <t>20MPW0051</t>
  </si>
  <si>
    <t>20MPW0052</t>
  </si>
  <si>
    <t>20MPW0053</t>
  </si>
  <si>
    <t>20MPW0055</t>
  </si>
  <si>
    <t>20MPW0056</t>
  </si>
  <si>
    <t>20MPW0057</t>
  </si>
  <si>
    <t>20MPW0058</t>
  </si>
  <si>
    <t>20MPW0059</t>
  </si>
  <si>
    <t>20MPW0060</t>
  </si>
  <si>
    <t>20MPW0061</t>
  </si>
  <si>
    <t>20MPW0063</t>
  </si>
  <si>
    <t>20MPW0064</t>
  </si>
  <si>
    <t>20MPW0065</t>
  </si>
  <si>
    <t>20MPW0066</t>
  </si>
  <si>
    <t>20MPW0067</t>
  </si>
  <si>
    <t>20MPW0068</t>
  </si>
  <si>
    <t>20MPW0069</t>
  </si>
  <si>
    <t>20MPW0071</t>
  </si>
  <si>
    <t>20MPW0073</t>
  </si>
  <si>
    <t>20MPW0075</t>
  </si>
  <si>
    <t>20MPW0076</t>
  </si>
  <si>
    <t>20MPW0077</t>
  </si>
  <si>
    <t>20MPW0078</t>
  </si>
  <si>
    <t>20MPW0079</t>
  </si>
  <si>
    <t>20MPW0080</t>
  </si>
  <si>
    <t>20MPW0081</t>
  </si>
  <si>
    <t>20MPW0082</t>
  </si>
  <si>
    <t>20MPW0083</t>
  </si>
  <si>
    <t>20MPW0084</t>
  </si>
  <si>
    <t>20MPW0085</t>
  </si>
  <si>
    <t>20MPW0086</t>
  </si>
  <si>
    <t>20MPW0087</t>
  </si>
  <si>
    <t>20MPW0089</t>
  </si>
  <si>
    <t>20SBS0001</t>
  </si>
  <si>
    <t>20SBS0002</t>
  </si>
  <si>
    <t>20SBS0003</t>
  </si>
  <si>
    <t>20SBS0004</t>
  </si>
  <si>
    <t>20SBS0005</t>
  </si>
  <si>
    <t>20SBS0006</t>
  </si>
  <si>
    <t>20SBS0007</t>
  </si>
  <si>
    <t>20SBS0008</t>
  </si>
  <si>
    <t>20SBS0009</t>
  </si>
  <si>
    <t>20SBS0010</t>
  </si>
  <si>
    <t>20SBS0011</t>
  </si>
  <si>
    <t>20SBS0012</t>
  </si>
  <si>
    <t>20SBS0013</t>
  </si>
  <si>
    <t>20SBS0014</t>
  </si>
  <si>
    <t>20SBS0015</t>
  </si>
  <si>
    <t>20SBS0017</t>
  </si>
  <si>
    <t>20SBS0018</t>
  </si>
  <si>
    <t>20SBS0019</t>
  </si>
  <si>
    <t>20SBS0020</t>
  </si>
  <si>
    <t>20SBS0021</t>
  </si>
  <si>
    <t>20SBS0023</t>
  </si>
  <si>
    <t>20SBS0024</t>
  </si>
  <si>
    <t>20SBS0025</t>
  </si>
  <si>
    <t>20SBS0026</t>
  </si>
  <si>
    <t>20SBS0027</t>
  </si>
  <si>
    <t>20SBS0028</t>
  </si>
  <si>
    <t>20SBS0029</t>
  </si>
  <si>
    <t>20SBS0031</t>
  </si>
  <si>
    <t>20SBS0032</t>
  </si>
  <si>
    <t>20SBS0033</t>
  </si>
  <si>
    <t>20SBS0034</t>
  </si>
  <si>
    <t>20SBS0035</t>
  </si>
  <si>
    <t>20SBS0036</t>
  </si>
  <si>
    <t>20SBS0037</t>
  </si>
  <si>
    <t>20SBS0038</t>
  </si>
  <si>
    <t>20SBS0039</t>
  </si>
  <si>
    <t>20SBS0040</t>
  </si>
  <si>
    <t>20SBS0041</t>
  </si>
  <si>
    <t>20SBS0042</t>
  </si>
  <si>
    <t>20SBS0043</t>
  </si>
  <si>
    <t>20SBS0044</t>
  </si>
  <si>
    <t>20SBS0045</t>
  </si>
  <si>
    <t>20SBS0047</t>
  </si>
  <si>
    <t>20SBS0048</t>
  </si>
  <si>
    <t>20SBS0049</t>
  </si>
  <si>
    <t>20SBS0050</t>
  </si>
  <si>
    <t>20SBS0051</t>
  </si>
  <si>
    <t>20SBS0052</t>
  </si>
  <si>
    <t>20SBS0054</t>
  </si>
  <si>
    <t>20SBS0055</t>
  </si>
  <si>
    <t>20SBS0056</t>
  </si>
  <si>
    <t>20SBS0057</t>
  </si>
  <si>
    <t>20SBS0058</t>
  </si>
  <si>
    <t>20SBS0059</t>
  </si>
  <si>
    <t>20SBS0060</t>
  </si>
  <si>
    <t>20SBS0061</t>
  </si>
  <si>
    <t>20SBS0062</t>
  </si>
  <si>
    <t>20SBS0064</t>
  </si>
  <si>
    <t>20SBS0065</t>
  </si>
  <si>
    <t>20SBS0066</t>
  </si>
  <si>
    <t>20SBS0067</t>
  </si>
  <si>
    <t>20SBS0068</t>
  </si>
  <si>
    <t>20SBS0069</t>
  </si>
  <si>
    <t>20SBS0070</t>
  </si>
  <si>
    <t>20SBS0071</t>
  </si>
  <si>
    <t>20SBS0072</t>
  </si>
  <si>
    <t>20SBS0073</t>
  </si>
  <si>
    <t>20SBS0074</t>
  </si>
  <si>
    <t>20SBS0075</t>
  </si>
  <si>
    <t>20SBS0076</t>
  </si>
  <si>
    <t>20SBS0077</t>
  </si>
  <si>
    <t>20SBS0078</t>
  </si>
  <si>
    <t>20SBS0079</t>
  </si>
  <si>
    <t>20SBS0080</t>
  </si>
  <si>
    <t>20SBS0081</t>
  </si>
  <si>
    <t>20SBS0082</t>
  </si>
  <si>
    <t>20SBS0083</t>
  </si>
  <si>
    <t>20SBS0084</t>
  </si>
  <si>
    <t>20SBS0085</t>
  </si>
  <si>
    <t>20SBS0086</t>
  </si>
  <si>
    <t>20SBS0087</t>
  </si>
  <si>
    <t>20SBS0088</t>
  </si>
  <si>
    <t>20SBS0089</t>
  </si>
  <si>
    <t>20SBS0090</t>
  </si>
  <si>
    <t>20SBS0091</t>
  </si>
  <si>
    <t>20SBS0092</t>
  </si>
  <si>
    <t>20SBS0093</t>
  </si>
  <si>
    <t>20SBS0094</t>
  </si>
  <si>
    <t>20SBS0095</t>
  </si>
  <si>
    <t>20SBS0096</t>
  </si>
  <si>
    <t>20SBS0097</t>
  </si>
  <si>
    <t>20SBS0098</t>
  </si>
  <si>
    <t>20SBS0099</t>
  </si>
  <si>
    <t>20SBS0100</t>
  </si>
  <si>
    <t>20SBS0101</t>
  </si>
  <si>
    <t>20SBS0102</t>
  </si>
  <si>
    <t>20SBS0103</t>
  </si>
  <si>
    <t>20SBS0104</t>
  </si>
  <si>
    <t>20SBS0105</t>
  </si>
  <si>
    <t>20SBS0106</t>
  </si>
  <si>
    <t>20SBS0107</t>
  </si>
  <si>
    <t>20SBS0108</t>
  </si>
  <si>
    <t>20SBS0109</t>
  </si>
  <si>
    <t>20SBS0110</t>
  </si>
  <si>
    <t>20SBS0111</t>
  </si>
  <si>
    <t>20SBS0112</t>
  </si>
  <si>
    <t>20SBS0113</t>
  </si>
  <si>
    <t>20SBS0114</t>
  </si>
  <si>
    <t>20SBS0115</t>
  </si>
  <si>
    <t>20SBS0116</t>
  </si>
  <si>
    <t>20SBS0117</t>
  </si>
  <si>
    <t>20SBS0118</t>
  </si>
  <si>
    <t>20SBS0119</t>
  </si>
  <si>
    <t>20SBS0120</t>
  </si>
  <si>
    <t>20SBS0121</t>
  </si>
  <si>
    <t>20SBS0122</t>
  </si>
  <si>
    <t>20SBS0123</t>
  </si>
  <si>
    <t>20SBS0124</t>
  </si>
  <si>
    <t>20SBS0125</t>
  </si>
  <si>
    <t>20SBS0126</t>
  </si>
  <si>
    <t>20SBS0127</t>
  </si>
  <si>
    <t>20SBS0128</t>
  </si>
  <si>
    <t>20SBS0129</t>
  </si>
  <si>
    <t>20SBS0130</t>
  </si>
  <si>
    <t>20SBS0131</t>
  </si>
  <si>
    <t>20SBS0132</t>
  </si>
  <si>
    <t>20SBS0134</t>
  </si>
  <si>
    <t>20SBS0135</t>
  </si>
  <si>
    <t>20SBS0136</t>
  </si>
  <si>
    <t>20SBS0137</t>
  </si>
  <si>
    <t>20SBS0138</t>
  </si>
  <si>
    <t>20SBS0139</t>
  </si>
  <si>
    <t>20SBS0140</t>
  </si>
  <si>
    <t>20SBS0141</t>
  </si>
  <si>
    <t>20SBS0143</t>
  </si>
  <si>
    <t>20SBS0144</t>
  </si>
  <si>
    <t>20SBS0145</t>
  </si>
  <si>
    <t>20SBS0146</t>
  </si>
  <si>
    <t>20SBS0147</t>
  </si>
  <si>
    <t>20SBS0148</t>
  </si>
  <si>
    <t>20SBS0149</t>
  </si>
  <si>
    <t>20SBS0150</t>
  </si>
  <si>
    <t>20SBS0151</t>
  </si>
  <si>
    <t>20SBS0152</t>
  </si>
  <si>
    <t>20SBS0153</t>
  </si>
  <si>
    <t>20SBS0154</t>
  </si>
  <si>
    <t>20SBS0155</t>
  </si>
  <si>
    <t>20SBS0156</t>
  </si>
  <si>
    <t>20SBS0157</t>
  </si>
  <si>
    <t>20SBS0158</t>
  </si>
  <si>
    <t>20SBS0159</t>
  </si>
  <si>
    <t>20SBS0160</t>
  </si>
  <si>
    <t>20SBS0161</t>
  </si>
  <si>
    <t>20SBS0162</t>
  </si>
  <si>
    <t>20SBS0163</t>
  </si>
  <si>
    <t>20SBS0164</t>
  </si>
  <si>
    <t>20SBS0165</t>
  </si>
  <si>
    <t>20SBS0166</t>
  </si>
  <si>
    <t>20SBS0167</t>
  </si>
  <si>
    <t>20SBS0168</t>
  </si>
  <si>
    <t>20SBS0169</t>
  </si>
  <si>
    <t>20SBS0170</t>
  </si>
  <si>
    <t>20SBS0171</t>
  </si>
  <si>
    <t>20SBS0172</t>
  </si>
  <si>
    <t>20SBS0173</t>
  </si>
  <si>
    <t>20SBS0174</t>
  </si>
  <si>
    <t>20SBS0175</t>
  </si>
  <si>
    <t>20SBS0176</t>
  </si>
  <si>
    <t>20SBS0177</t>
  </si>
  <si>
    <t>20SBS0178</t>
  </si>
  <si>
    <t>20SBS0179</t>
  </si>
  <si>
    <t>20SBS0181</t>
  </si>
  <si>
    <t>20SBS0182</t>
  </si>
  <si>
    <t>20SBS0183</t>
  </si>
  <si>
    <t>20SBS0184</t>
  </si>
  <si>
    <t>20SBS0185</t>
  </si>
  <si>
    <t>20SBS0186</t>
  </si>
  <si>
    <t>20SBS0188</t>
  </si>
  <si>
    <t>20SBS0189</t>
  </si>
  <si>
    <t>20SBS0190</t>
  </si>
  <si>
    <t>20SBS0191</t>
  </si>
  <si>
    <t>20SBS0192</t>
  </si>
  <si>
    <t>20SBS0193</t>
  </si>
  <si>
    <t>20SBS0194</t>
  </si>
  <si>
    <t>20SKW0001</t>
  </si>
  <si>
    <t>20SKW0002</t>
  </si>
  <si>
    <t>20SKW0003</t>
  </si>
  <si>
    <t>20SKW0004</t>
  </si>
  <si>
    <t>20SKW0005</t>
  </si>
  <si>
    <t>20SKW0006</t>
  </si>
  <si>
    <t>20SKW0007</t>
  </si>
  <si>
    <t>20SKW0008</t>
  </si>
  <si>
    <t>20SKW0009</t>
  </si>
  <si>
    <t>20SKW0010</t>
  </si>
  <si>
    <t>20SKW0011</t>
  </si>
  <si>
    <t>20SKW0012</t>
  </si>
  <si>
    <t>20SKW0013</t>
  </si>
  <si>
    <t>20SKW0014</t>
  </si>
  <si>
    <t>20SKW0015</t>
  </si>
  <si>
    <t>20SKW0016</t>
  </si>
  <si>
    <t>20SKW0017</t>
  </si>
  <si>
    <t>20SKW0018</t>
  </si>
  <si>
    <t>20SKW0019</t>
  </si>
  <si>
    <t>20SKW0020</t>
  </si>
  <si>
    <t>20SKW0021</t>
  </si>
  <si>
    <t>20SKW0022</t>
  </si>
  <si>
    <t>20SKW0023</t>
  </si>
  <si>
    <t>20SKW0024</t>
  </si>
  <si>
    <t>20SKW0025</t>
  </si>
  <si>
    <t>20SKW0026</t>
  </si>
  <si>
    <t>20SKW0027</t>
  </si>
  <si>
    <t>20SKW0028</t>
  </si>
  <si>
    <t>20SKW0029</t>
  </si>
  <si>
    <t>20SKW0030</t>
  </si>
  <si>
    <t>20SKW0031</t>
  </si>
  <si>
    <t>20SKW0032</t>
  </si>
  <si>
    <t>20SKW0033</t>
  </si>
  <si>
    <t>20SKW0034</t>
  </si>
  <si>
    <t>20SKW0035</t>
  </si>
  <si>
    <t>20SKW0036</t>
  </si>
  <si>
    <t>20SKW0038</t>
  </si>
  <si>
    <t>20SKW0039</t>
  </si>
  <si>
    <t>20SKW0040</t>
  </si>
  <si>
    <t>20SKW0041</t>
  </si>
  <si>
    <t>20SKW0042</t>
  </si>
  <si>
    <t>20SKW0043</t>
  </si>
  <si>
    <t>20SKW0044</t>
  </si>
  <si>
    <t>20SKW0045</t>
  </si>
  <si>
    <t>20SKW0046</t>
  </si>
  <si>
    <t>20SKW0047</t>
  </si>
  <si>
    <t>20SKW0048</t>
  </si>
  <si>
    <t>20SKW0049</t>
  </si>
  <si>
    <t>20SKW0050</t>
  </si>
  <si>
    <t>20SKW0051</t>
  </si>
  <si>
    <t>20SKW0052</t>
  </si>
  <si>
    <t>20SKW0053</t>
  </si>
  <si>
    <t>20SKW0054</t>
  </si>
  <si>
    <t>20SKW0055</t>
  </si>
  <si>
    <t>20SKW0056</t>
  </si>
  <si>
    <t>20SKW0057</t>
  </si>
  <si>
    <t>20SKW0058</t>
  </si>
  <si>
    <t>20SKW0059</t>
  </si>
  <si>
    <t>20SKW0060</t>
  </si>
  <si>
    <t>20SKW0061</t>
  </si>
  <si>
    <t>20SKW0062</t>
  </si>
  <si>
    <t>20SKW0063</t>
  </si>
  <si>
    <t>20SKW0064</t>
  </si>
  <si>
    <t>20SKW0065</t>
  </si>
  <si>
    <t>20SKW0066</t>
  </si>
  <si>
    <t>20SKW0067</t>
  </si>
  <si>
    <t>20SKW0068</t>
  </si>
  <si>
    <t>20SKW0069</t>
  </si>
  <si>
    <t>20SKW0070</t>
  </si>
  <si>
    <t>20SKW0071</t>
  </si>
  <si>
    <t>(blank)</t>
  </si>
  <si>
    <t>DSEKL087</t>
  </si>
  <si>
    <t>DSEKL088</t>
  </si>
  <si>
    <t>DSEKL513</t>
  </si>
  <si>
    <t>DSEKL086</t>
  </si>
  <si>
    <t>DSEKL089</t>
  </si>
  <si>
    <t>DSEKL092</t>
  </si>
  <si>
    <t>DSEKL085</t>
  </si>
  <si>
    <t>OUTLET OKTOBER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</si>
</sst>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  <xf numFmtId="0" fontId="3" fillId="3" borderId="3" xfId="0" applyNumberFormat="1" applyFont="1" applyFill="1" applyBorder="1"/>
    <xf numFmtId="0" fontId="3" fillId="3" borderId="3" xfId="0" applyFont="1" applyFill="1" applyBorder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6"/>
  <sheetViews>
    <sheetView workbookViewId="0">
      <pane xSplit="1" ySplit="1" topLeftCell="B23" activePane="bottomRight" state="frozen"/>
      <selection pane="topRight" activeCell="C1" sqref="C1"/>
      <selection pane="bottomLeft" activeCell="A2" sqref="A2"/>
      <selection pane="bottomRight" activeCell="B43" sqref="B43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21.36328125" bestFit="1" customWidth="1"/>
  </cols>
  <sheetData>
    <row r="1" spans="1:21" x14ac:dyDescent="0.35">
      <c r="A1" s="3" t="s">
        <v>0</v>
      </c>
      <c r="B1" s="3" t="s">
        <v>1</v>
      </c>
      <c r="C1" s="4" t="s">
        <v>133</v>
      </c>
      <c r="D1" s="4" t="s">
        <v>134</v>
      </c>
      <c r="E1" s="3" t="s">
        <v>132</v>
      </c>
      <c r="F1" s="5" t="s">
        <v>139</v>
      </c>
      <c r="G1" s="5" t="s">
        <v>137</v>
      </c>
      <c r="H1" s="5" t="s">
        <v>155</v>
      </c>
      <c r="I1" s="3" t="s">
        <v>141</v>
      </c>
      <c r="J1" s="3" t="s">
        <v>140</v>
      </c>
      <c r="K1" s="5" t="s">
        <v>155</v>
      </c>
      <c r="L1" s="3" t="s">
        <v>142</v>
      </c>
      <c r="M1" s="3" t="s">
        <v>138</v>
      </c>
      <c r="N1" s="5" t="s">
        <v>155</v>
      </c>
      <c r="O1" s="5" t="s">
        <v>143</v>
      </c>
      <c r="P1" s="5" t="s">
        <v>144</v>
      </c>
      <c r="Q1" s="5" t="s">
        <v>155</v>
      </c>
      <c r="R1" s="5" t="s">
        <v>146</v>
      </c>
      <c r="S1" s="5" t="s">
        <v>145</v>
      </c>
      <c r="T1" s="5" t="s">
        <v>155</v>
      </c>
      <c r="U1" s="6" t="s">
        <v>501</v>
      </c>
    </row>
    <row r="2" spans="1:21" x14ac:dyDescent="0.35">
      <c r="A2" t="s">
        <v>15</v>
      </c>
      <c r="B2" t="s">
        <v>16</v>
      </c>
      <c r="C2" t="s">
        <v>4</v>
      </c>
      <c r="D2" t="s">
        <v>494</v>
      </c>
      <c r="E2" t="s">
        <v>136</v>
      </c>
      <c r="F2" s="1">
        <f>VLOOKUP(A:A,MASTER!A:F,6,0)</f>
        <v>70298753.719208255</v>
      </c>
      <c r="G2" s="1">
        <f>VLOOKUP(A:A,MASTER!A:K,11,0)</f>
        <v>75439903.749523848</v>
      </c>
      <c r="H2" s="12">
        <f t="shared" ref="H2:H36" si="0">IFERROR(G2/F2-1,0)</f>
        <v>7.3132875880711934E-2</v>
      </c>
      <c r="I2" s="2">
        <f>VLOOKUP(A:A,MASTER!A:E,5,0)</f>
        <v>1349</v>
      </c>
      <c r="J2" s="2">
        <f>VLOOKUP(A:A,MASTER!A:J,10,0)</f>
        <v>1248</v>
      </c>
      <c r="K2" s="12">
        <f t="shared" ref="K2:K36" si="1">IFERROR(J2/I2-1,0)</f>
        <v>-7.4870274277242355E-2</v>
      </c>
      <c r="L2" s="2">
        <f>VLOOKUP(A:A,MASTER!A:D,4,0)</f>
        <v>3</v>
      </c>
      <c r="M2" s="2">
        <f>VLOOKUP(A:A,MASTER!A:I,9,0)</f>
        <v>4</v>
      </c>
      <c r="N2" s="12">
        <f t="shared" ref="N2:N36" si="2">IFERROR(M2/L2-1,0)</f>
        <v>0.33333333333333326</v>
      </c>
      <c r="O2" s="1">
        <f>VLOOKUP(A:A,MASTER!A:C,3,0)</f>
        <v>7</v>
      </c>
      <c r="P2" s="1">
        <f>VLOOKUP(A:A,MASTER!A:H,8,0)</f>
        <v>9</v>
      </c>
      <c r="Q2" s="12">
        <f t="shared" ref="Q2:Q36" si="3">IFERROR(P2/O2-1,0)</f>
        <v>0.28571428571428581</v>
      </c>
      <c r="R2" s="1">
        <f>VLOOKUP(A:A,MASTER!A:B,2,0)</f>
        <v>1569</v>
      </c>
      <c r="S2">
        <f>VLOOKUP(A:A,MASTER!A:G,7,0)</f>
        <v>1542</v>
      </c>
      <c r="T2" s="12">
        <f t="shared" ref="T2:T36" si="4">IFERROR(S2/R2-1,0)</f>
        <v>-1.7208413001912004E-2</v>
      </c>
      <c r="U2">
        <v>4</v>
      </c>
    </row>
    <row r="3" spans="1:21" x14ac:dyDescent="0.35">
      <c r="A3" t="s">
        <v>17</v>
      </c>
      <c r="B3" t="s">
        <v>18</v>
      </c>
      <c r="C3" t="s">
        <v>4</v>
      </c>
      <c r="D3" t="s">
        <v>495</v>
      </c>
      <c r="E3" t="s">
        <v>136</v>
      </c>
      <c r="F3" s="1">
        <f>VLOOKUP(A:A,MASTER!A:F,6,0)</f>
        <v>34468386.91928637</v>
      </c>
      <c r="G3" s="1">
        <f>VLOOKUP(A:A,MASTER!A:K,11,0)</f>
        <v>18081702.745405339</v>
      </c>
      <c r="H3" s="12">
        <f t="shared" si="0"/>
        <v>-0.47541198293535636</v>
      </c>
      <c r="I3" s="2">
        <f>VLOOKUP(A:A,MASTER!A:E,5,0)</f>
        <v>732</v>
      </c>
      <c r="J3" s="2">
        <f>VLOOKUP(A:A,MASTER!A:J,10,0)</f>
        <v>571</v>
      </c>
      <c r="K3" s="12">
        <f t="shared" si="1"/>
        <v>-0.2199453551912568</v>
      </c>
      <c r="L3" s="2">
        <f>VLOOKUP(A:A,MASTER!A:D,4,0)</f>
        <v>4</v>
      </c>
      <c r="M3" s="2">
        <f>VLOOKUP(A:A,MASTER!A:I,9,0)</f>
        <v>2</v>
      </c>
      <c r="N3" s="12">
        <f t="shared" si="2"/>
        <v>-0.5</v>
      </c>
      <c r="O3" s="1">
        <f>VLOOKUP(A:A,MASTER!A:C,3,0)</f>
        <v>4</v>
      </c>
      <c r="P3" s="1">
        <f>VLOOKUP(A:A,MASTER!A:H,8,0)</f>
        <v>1</v>
      </c>
      <c r="Q3" s="12">
        <f t="shared" si="3"/>
        <v>-0.75</v>
      </c>
      <c r="R3" s="1">
        <f>VLOOKUP(A:A,MASTER!A:B,2,0)</f>
        <v>878</v>
      </c>
      <c r="S3">
        <f>VLOOKUP(A:A,MASTER!A:G,7,0)</f>
        <v>710</v>
      </c>
      <c r="T3" s="12">
        <f t="shared" si="4"/>
        <v>-0.19134396355353078</v>
      </c>
      <c r="U3">
        <v>3</v>
      </c>
    </row>
    <row r="4" spans="1:21" x14ac:dyDescent="0.35">
      <c r="A4" t="s">
        <v>38</v>
      </c>
      <c r="B4" t="s">
        <v>39</v>
      </c>
      <c r="C4" t="s">
        <v>4</v>
      </c>
      <c r="D4" t="s">
        <v>496</v>
      </c>
      <c r="E4" t="s">
        <v>136</v>
      </c>
      <c r="F4" s="1">
        <f>VLOOKUP(A:A,MASTER!A:F,6,0)</f>
        <v>72802640.836898446</v>
      </c>
      <c r="G4" s="1">
        <f>VLOOKUP(A:A,MASTER!A:K,11,0)</f>
        <v>81966338.16213882</v>
      </c>
      <c r="H4" s="12">
        <f t="shared" si="0"/>
        <v>0.12587039728091765</v>
      </c>
      <c r="I4" s="2">
        <f>VLOOKUP(A:A,MASTER!A:E,5,0)</f>
        <v>1684</v>
      </c>
      <c r="J4" s="2">
        <f>VLOOKUP(A:A,MASTER!A:J,10,0)</f>
        <v>1582</v>
      </c>
      <c r="K4" s="12">
        <f t="shared" si="1"/>
        <v>-6.0570071258907343E-2</v>
      </c>
      <c r="L4" s="2">
        <f>VLOOKUP(A:A,MASTER!A:D,4,0)</f>
        <v>9</v>
      </c>
      <c r="M4" s="2">
        <f>VLOOKUP(A:A,MASTER!A:I,9,0)</f>
        <v>11</v>
      </c>
      <c r="N4" s="12">
        <f t="shared" si="2"/>
        <v>0.22222222222222232</v>
      </c>
      <c r="O4" s="1">
        <f>VLOOKUP(A:A,MASTER!A:C,3,0)</f>
        <v>5</v>
      </c>
      <c r="P4" s="1">
        <f>VLOOKUP(A:A,MASTER!A:H,8,0)</f>
        <v>10</v>
      </c>
      <c r="Q4" s="12">
        <f t="shared" si="3"/>
        <v>1</v>
      </c>
      <c r="R4" s="1">
        <f>VLOOKUP(A:A,MASTER!A:B,2,0)</f>
        <v>1968</v>
      </c>
      <c r="S4">
        <f>VLOOKUP(A:A,MASTER!A:G,7,0)</f>
        <v>1845</v>
      </c>
      <c r="T4" s="12">
        <f t="shared" si="4"/>
        <v>-6.25E-2</v>
      </c>
      <c r="U4">
        <v>5</v>
      </c>
    </row>
    <row r="5" spans="1:21" x14ac:dyDescent="0.35">
      <c r="A5" t="s">
        <v>108</v>
      </c>
      <c r="B5" t="s">
        <v>109</v>
      </c>
      <c r="C5" t="s">
        <v>4</v>
      </c>
      <c r="D5" t="s">
        <v>494</v>
      </c>
      <c r="E5" t="s">
        <v>136</v>
      </c>
      <c r="F5" s="1">
        <f>VLOOKUP(A:A,MASTER!A:F,6,0)</f>
        <v>47021709.750260837</v>
      </c>
      <c r="G5" s="1">
        <f>VLOOKUP(A:A,MASTER!A:K,11,0)</f>
        <v>45097755.642845064</v>
      </c>
      <c r="H5" s="12">
        <f t="shared" si="0"/>
        <v>-4.0916294146558507E-2</v>
      </c>
      <c r="I5" s="2">
        <f>VLOOKUP(A:A,MASTER!A:E,5,0)</f>
        <v>1059</v>
      </c>
      <c r="J5" s="2">
        <f>VLOOKUP(A:A,MASTER!A:J,10,0)</f>
        <v>1007</v>
      </c>
      <c r="K5" s="12">
        <f t="shared" si="1"/>
        <v>-4.9102927289896181E-2</v>
      </c>
      <c r="L5" s="2">
        <f>VLOOKUP(A:A,MASTER!A:D,4,0)</f>
        <v>5</v>
      </c>
      <c r="M5" s="2">
        <f>VLOOKUP(A:A,MASTER!A:I,9,0)</f>
        <v>5</v>
      </c>
      <c r="N5" s="12">
        <f t="shared" si="2"/>
        <v>0</v>
      </c>
      <c r="O5" s="1">
        <f>VLOOKUP(A:A,MASTER!A:C,3,0)</f>
        <v>7</v>
      </c>
      <c r="P5" s="1">
        <f>VLOOKUP(A:A,MASTER!A:H,8,0)</f>
        <v>3</v>
      </c>
      <c r="Q5" s="12">
        <f t="shared" si="3"/>
        <v>-0.5714285714285714</v>
      </c>
      <c r="R5" s="1">
        <f>VLOOKUP(A:A,MASTER!A:B,2,0)</f>
        <v>1176</v>
      </c>
      <c r="S5">
        <f>VLOOKUP(A:A,MASTER!A:G,7,0)</f>
        <v>1148</v>
      </c>
      <c r="T5" s="12">
        <f t="shared" si="4"/>
        <v>-2.3809523809523836E-2</v>
      </c>
      <c r="U5">
        <v>3</v>
      </c>
    </row>
    <row r="6" spans="1:21" x14ac:dyDescent="0.35">
      <c r="A6" t="s">
        <v>106</v>
      </c>
      <c r="B6" t="s">
        <v>107</v>
      </c>
      <c r="C6" t="s">
        <v>4</v>
      </c>
      <c r="D6" t="s">
        <v>499</v>
      </c>
      <c r="E6" t="s">
        <v>136</v>
      </c>
      <c r="F6" s="1">
        <f>VLOOKUP(A:A,MASTER!A:F,6,0)</f>
        <v>53793266.877991349</v>
      </c>
      <c r="G6" s="1">
        <f>VLOOKUP(A:A,MASTER!A:K,11,0)</f>
        <v>48732493.647316232</v>
      </c>
      <c r="H6" s="12">
        <f t="shared" si="0"/>
        <v>-9.4078190903584047E-2</v>
      </c>
      <c r="I6" s="2">
        <f>VLOOKUP(A:A,MASTER!A:E,5,0)</f>
        <v>917</v>
      </c>
      <c r="J6" s="2">
        <f>VLOOKUP(A:A,MASTER!A:J,10,0)</f>
        <v>996</v>
      </c>
      <c r="K6" s="12">
        <f t="shared" si="1"/>
        <v>8.6150490730643403E-2</v>
      </c>
      <c r="L6" s="2">
        <f>VLOOKUP(A:A,MASTER!A:D,4,0)</f>
        <v>2</v>
      </c>
      <c r="M6" s="2">
        <f>VLOOKUP(A:A,MASTER!A:I,9,0)</f>
        <v>4</v>
      </c>
      <c r="N6" s="12">
        <f t="shared" si="2"/>
        <v>1</v>
      </c>
      <c r="O6" s="1">
        <f>VLOOKUP(A:A,MASTER!A:C,3,0)</f>
        <v>8</v>
      </c>
      <c r="P6" s="1">
        <f>VLOOKUP(A:A,MASTER!A:H,8,0)</f>
        <v>11</v>
      </c>
      <c r="Q6" s="12">
        <f t="shared" si="3"/>
        <v>0.375</v>
      </c>
      <c r="R6" s="1">
        <f>VLOOKUP(A:A,MASTER!A:B,2,0)</f>
        <v>1449</v>
      </c>
      <c r="S6">
        <f>VLOOKUP(A:A,MASTER!A:G,7,0)</f>
        <v>1372</v>
      </c>
      <c r="T6" s="12">
        <f t="shared" si="4"/>
        <v>-5.3140096618357502E-2</v>
      </c>
      <c r="U6">
        <v>4</v>
      </c>
    </row>
    <row r="7" spans="1:21" x14ac:dyDescent="0.35">
      <c r="A7" t="s">
        <v>110</v>
      </c>
      <c r="B7" t="s">
        <v>111</v>
      </c>
      <c r="C7" t="s">
        <v>4</v>
      </c>
      <c r="D7" t="s">
        <v>499</v>
      </c>
      <c r="E7" t="s">
        <v>136</v>
      </c>
      <c r="F7" s="1">
        <f>VLOOKUP(A:A,MASTER!A:F,6,0)</f>
        <v>92315210.860131606</v>
      </c>
      <c r="G7" s="1">
        <f>VLOOKUP(A:A,MASTER!A:K,11,0)</f>
        <v>91151845.092315823</v>
      </c>
      <c r="H7" s="12">
        <f t="shared" si="0"/>
        <v>-1.2602102697662931E-2</v>
      </c>
      <c r="I7" s="2">
        <f>VLOOKUP(A:A,MASTER!A:E,5,0)</f>
        <v>1824</v>
      </c>
      <c r="J7" s="2">
        <f>VLOOKUP(A:A,MASTER!A:J,10,0)</f>
        <v>1840</v>
      </c>
      <c r="K7" s="12">
        <f t="shared" si="1"/>
        <v>8.7719298245614308E-3</v>
      </c>
      <c r="L7" s="2">
        <f>VLOOKUP(A:A,MASTER!A:D,4,0)</f>
        <v>4</v>
      </c>
      <c r="M7" s="2">
        <f>VLOOKUP(A:A,MASTER!A:I,9,0)</f>
        <v>5</v>
      </c>
      <c r="N7" s="12">
        <f t="shared" si="2"/>
        <v>0.25</v>
      </c>
      <c r="O7" s="1">
        <f>VLOOKUP(A:A,MASTER!A:C,3,0)</f>
        <v>14</v>
      </c>
      <c r="P7" s="1">
        <f>VLOOKUP(A:A,MASTER!A:H,8,0)</f>
        <v>21</v>
      </c>
      <c r="Q7" s="12">
        <f t="shared" si="3"/>
        <v>0.5</v>
      </c>
      <c r="R7" s="1">
        <f>VLOOKUP(A:A,MASTER!A:B,2,0)</f>
        <v>2160</v>
      </c>
      <c r="S7">
        <f>VLOOKUP(A:A,MASTER!A:G,7,0)</f>
        <v>2099</v>
      </c>
      <c r="T7" s="12">
        <f t="shared" si="4"/>
        <v>-2.8240740740740788E-2</v>
      </c>
      <c r="U7">
        <v>13</v>
      </c>
    </row>
    <row r="8" spans="1:21" x14ac:dyDescent="0.35">
      <c r="A8" t="s">
        <v>2</v>
      </c>
      <c r="B8" t="s">
        <v>3</v>
      </c>
      <c r="C8" t="s">
        <v>4</v>
      </c>
      <c r="D8" t="s">
        <v>499</v>
      </c>
      <c r="E8" t="s">
        <v>136</v>
      </c>
      <c r="F8" s="1">
        <f>VLOOKUP(A:A,MASTER!A:F,6,0)</f>
        <v>65509611.201638699</v>
      </c>
      <c r="G8" s="1">
        <f>VLOOKUP(A:A,MASTER!A:K,11,0)</f>
        <v>65927662.426971152</v>
      </c>
      <c r="H8" s="12">
        <f t="shared" si="0"/>
        <v>6.3815250566163773E-3</v>
      </c>
      <c r="I8" s="2">
        <f>VLOOKUP(A:A,MASTER!A:E,5,0)</f>
        <v>1325</v>
      </c>
      <c r="J8" s="2">
        <f>VLOOKUP(A:A,MASTER!A:J,10,0)</f>
        <v>1272</v>
      </c>
      <c r="K8" s="12">
        <f t="shared" si="1"/>
        <v>-4.0000000000000036E-2</v>
      </c>
      <c r="L8" s="2">
        <f>VLOOKUP(A:A,MASTER!A:D,4,0)</f>
        <v>4</v>
      </c>
      <c r="M8" s="2">
        <f>VLOOKUP(A:A,MASTER!A:I,9,0)</f>
        <v>4</v>
      </c>
      <c r="N8" s="12">
        <f t="shared" si="2"/>
        <v>0</v>
      </c>
      <c r="O8" s="1">
        <f>VLOOKUP(A:A,MASTER!A:C,3,0)</f>
        <v>850</v>
      </c>
      <c r="P8" s="1">
        <f>VLOOKUP(A:A,MASTER!A:H,8,0)</f>
        <v>905</v>
      </c>
      <c r="Q8" s="12">
        <f t="shared" si="3"/>
        <v>6.4705882352941169E-2</v>
      </c>
      <c r="R8" s="1">
        <f>VLOOKUP(A:A,MASTER!A:B,2,0)</f>
        <v>2140</v>
      </c>
      <c r="S8">
        <f>VLOOKUP(A:A,MASTER!A:G,7,0)</f>
        <v>2190</v>
      </c>
      <c r="T8" s="12">
        <f t="shared" si="4"/>
        <v>2.3364485981308469E-2</v>
      </c>
      <c r="U8">
        <v>4</v>
      </c>
    </row>
    <row r="9" spans="1:21" x14ac:dyDescent="0.35">
      <c r="A9" t="s">
        <v>112</v>
      </c>
      <c r="B9" t="s">
        <v>113</v>
      </c>
      <c r="C9" t="s">
        <v>4</v>
      </c>
      <c r="D9" t="s">
        <v>499</v>
      </c>
      <c r="E9" t="s">
        <v>136</v>
      </c>
      <c r="F9" s="1">
        <f>VLOOKUP(A:A,MASTER!A:F,6,0)</f>
        <v>126542915.56426096</v>
      </c>
      <c r="G9" s="1">
        <f>VLOOKUP(A:A,MASTER!A:K,11,0)</f>
        <v>122960525.63345748</v>
      </c>
      <c r="H9" s="12">
        <f t="shared" si="0"/>
        <v>-2.8309683831998278E-2</v>
      </c>
      <c r="I9" s="2">
        <f>VLOOKUP(A:A,MASTER!A:E,5,0)</f>
        <v>2698</v>
      </c>
      <c r="J9" s="2">
        <f>VLOOKUP(A:A,MASTER!A:J,10,0)</f>
        <v>2687</v>
      </c>
      <c r="K9" s="12">
        <f t="shared" si="1"/>
        <v>-4.0770941438101893E-3</v>
      </c>
      <c r="L9" s="2">
        <f>VLOOKUP(A:A,MASTER!A:D,4,0)</f>
        <v>7</v>
      </c>
      <c r="M9" s="2">
        <f>VLOOKUP(A:A,MASTER!A:I,9,0)</f>
        <v>8</v>
      </c>
      <c r="N9" s="12">
        <f t="shared" si="2"/>
        <v>0.14285714285714279</v>
      </c>
      <c r="O9" s="1">
        <f>VLOOKUP(A:A,MASTER!A:C,3,0)</f>
        <v>656</v>
      </c>
      <c r="P9" s="1">
        <f>VLOOKUP(A:A,MASTER!A:H,8,0)</f>
        <v>789</v>
      </c>
      <c r="Q9" s="12">
        <f t="shared" si="3"/>
        <v>0.20274390243902429</v>
      </c>
      <c r="R9" s="1">
        <f>VLOOKUP(A:A,MASTER!A:B,2,0)</f>
        <v>3619</v>
      </c>
      <c r="S9">
        <f>VLOOKUP(A:A,MASTER!A:G,7,0)</f>
        <v>3651</v>
      </c>
      <c r="T9" s="12">
        <f t="shared" si="4"/>
        <v>8.8422216081791571E-3</v>
      </c>
      <c r="U9">
        <v>16</v>
      </c>
    </row>
    <row r="10" spans="1:21" x14ac:dyDescent="0.35">
      <c r="A10" t="s">
        <v>13</v>
      </c>
      <c r="B10" t="s">
        <v>14</v>
      </c>
      <c r="C10" t="s">
        <v>4</v>
      </c>
      <c r="D10" t="s">
        <v>496</v>
      </c>
      <c r="E10" t="s">
        <v>135</v>
      </c>
      <c r="F10" s="1">
        <f>VLOOKUP(A:A,MASTER!A:F,6,0)</f>
        <v>32646098.087806012</v>
      </c>
      <c r="G10" s="1">
        <f>VLOOKUP(A:A,MASTER!A:K,11,0)</f>
        <v>27779664.836463738</v>
      </c>
      <c r="H10" s="12">
        <f t="shared" si="0"/>
        <v>-0.1490663061249573</v>
      </c>
      <c r="I10" s="2">
        <f>VLOOKUP(A:A,MASTER!A:E,5,0)</f>
        <v>503</v>
      </c>
      <c r="J10" s="2">
        <f>VLOOKUP(A:A,MASTER!A:J,10,0)</f>
        <v>473</v>
      </c>
      <c r="K10" s="12">
        <f t="shared" si="1"/>
        <v>-5.9642147117296207E-2</v>
      </c>
      <c r="L10" s="2">
        <f>VLOOKUP(A:A,MASTER!A:D,4,0)</f>
        <v>11</v>
      </c>
      <c r="M10" s="2">
        <f>VLOOKUP(A:A,MASTER!A:I,9,0)</f>
        <v>11</v>
      </c>
      <c r="N10" s="12">
        <f t="shared" si="2"/>
        <v>0</v>
      </c>
      <c r="O10" s="1">
        <f>VLOOKUP(A:A,MASTER!A:C,3,0)</f>
        <v>1</v>
      </c>
      <c r="P10" s="1">
        <f>VLOOKUP(A:A,MASTER!A:H,8,0)</f>
        <v>8</v>
      </c>
      <c r="Q10" s="12">
        <f t="shared" si="3"/>
        <v>7</v>
      </c>
      <c r="R10" s="1">
        <f>VLOOKUP(A:A,MASTER!A:B,2,0)</f>
        <v>652</v>
      </c>
      <c r="S10">
        <f>VLOOKUP(A:A,MASTER!A:G,7,0)</f>
        <v>638</v>
      </c>
      <c r="T10" s="12">
        <f t="shared" si="4"/>
        <v>-2.1472392638036797E-2</v>
      </c>
      <c r="U10">
        <v>3</v>
      </c>
    </row>
    <row r="11" spans="1:21" x14ac:dyDescent="0.35">
      <c r="A11" t="s">
        <v>7</v>
      </c>
      <c r="B11" t="s">
        <v>8</v>
      </c>
      <c r="C11" t="s">
        <v>4</v>
      </c>
      <c r="D11" t="s">
        <v>499</v>
      </c>
      <c r="E11" t="s">
        <v>136</v>
      </c>
      <c r="F11" s="1">
        <f>VLOOKUP(A:A,MASTER!A:F,6,0)</f>
        <v>113336222.17556788</v>
      </c>
      <c r="G11" s="1">
        <f>VLOOKUP(A:A,MASTER!A:K,11,0)</f>
        <v>122329290.6289466</v>
      </c>
      <c r="H11" s="12">
        <f t="shared" si="0"/>
        <v>7.934858142216572E-2</v>
      </c>
      <c r="I11" s="2">
        <f>VLOOKUP(A:A,MASTER!A:E,5,0)</f>
        <v>2739</v>
      </c>
      <c r="J11" s="2">
        <f>VLOOKUP(A:A,MASTER!A:J,10,0)</f>
        <v>2634</v>
      </c>
      <c r="K11" s="12">
        <f t="shared" si="1"/>
        <v>-3.833515881708649E-2</v>
      </c>
      <c r="L11" s="2">
        <f>VLOOKUP(A:A,MASTER!A:D,4,0)</f>
        <v>9</v>
      </c>
      <c r="M11" s="2">
        <f>VLOOKUP(A:A,MASTER!A:I,9,0)</f>
        <v>10</v>
      </c>
      <c r="N11" s="12">
        <f t="shared" si="2"/>
        <v>0.11111111111111116</v>
      </c>
      <c r="O11" s="1">
        <f>VLOOKUP(A:A,MASTER!A:C,3,0)</f>
        <v>11</v>
      </c>
      <c r="P11" s="1">
        <f>VLOOKUP(A:A,MASTER!A:H,8,0)</f>
        <v>11</v>
      </c>
      <c r="Q11" s="12">
        <f t="shared" si="3"/>
        <v>0</v>
      </c>
      <c r="R11" s="1">
        <f>VLOOKUP(A:A,MASTER!A:B,2,0)</f>
        <v>2686</v>
      </c>
      <c r="S11">
        <f>VLOOKUP(A:A,MASTER!A:G,7,0)</f>
        <v>2869</v>
      </c>
      <c r="T11" s="12">
        <f t="shared" si="4"/>
        <v>6.8131049888309647E-2</v>
      </c>
      <c r="U11">
        <v>4</v>
      </c>
    </row>
    <row r="12" spans="1:21" x14ac:dyDescent="0.35">
      <c r="A12" t="s">
        <v>34</v>
      </c>
      <c r="B12" t="s">
        <v>35</v>
      </c>
      <c r="C12" t="s">
        <v>4</v>
      </c>
      <c r="D12" t="s">
        <v>496</v>
      </c>
      <c r="E12" t="s">
        <v>136</v>
      </c>
      <c r="F12" s="1">
        <f>VLOOKUP(A:A,MASTER!A:F,6,0)</f>
        <v>70774247.52871488</v>
      </c>
      <c r="G12" s="1">
        <f>VLOOKUP(A:A,MASTER!A:K,11,0)</f>
        <v>69055864.895680711</v>
      </c>
      <c r="H12" s="12">
        <f t="shared" si="0"/>
        <v>-2.4279772559036794E-2</v>
      </c>
      <c r="I12" s="2">
        <f>VLOOKUP(A:A,MASTER!A:E,5,0)</f>
        <v>887</v>
      </c>
      <c r="J12" s="2">
        <f>VLOOKUP(A:A,MASTER!A:J,10,0)</f>
        <v>1050</v>
      </c>
      <c r="K12" s="12">
        <f t="shared" si="1"/>
        <v>0.18376550169109351</v>
      </c>
      <c r="L12" s="2">
        <f>VLOOKUP(A:A,MASTER!A:D,4,0)</f>
        <v>7</v>
      </c>
      <c r="M12" s="2">
        <f>VLOOKUP(A:A,MASTER!A:I,9,0)</f>
        <v>7</v>
      </c>
      <c r="N12" s="12">
        <f t="shared" si="2"/>
        <v>0</v>
      </c>
      <c r="O12" s="1">
        <f>VLOOKUP(A:A,MASTER!A:C,3,0)</f>
        <v>7</v>
      </c>
      <c r="P12" s="1">
        <f>VLOOKUP(A:A,MASTER!A:H,8,0)</f>
        <v>10</v>
      </c>
      <c r="Q12" s="12">
        <f t="shared" si="3"/>
        <v>0.4285714285714286</v>
      </c>
      <c r="R12" s="1">
        <f>VLOOKUP(A:A,MASTER!A:B,2,0)</f>
        <v>1012</v>
      </c>
      <c r="S12">
        <f>VLOOKUP(A:A,MASTER!A:G,7,0)</f>
        <v>1076</v>
      </c>
      <c r="T12" s="12">
        <f t="shared" si="4"/>
        <v>6.3241106719367668E-2</v>
      </c>
      <c r="U12">
        <v>3</v>
      </c>
    </row>
    <row r="13" spans="1:21" x14ac:dyDescent="0.35">
      <c r="A13" t="s">
        <v>5</v>
      </c>
      <c r="B13" t="s">
        <v>6</v>
      </c>
      <c r="C13" t="s">
        <v>4</v>
      </c>
      <c r="D13" t="s">
        <v>495</v>
      </c>
      <c r="E13" t="s">
        <v>136</v>
      </c>
      <c r="F13" s="1">
        <f>VLOOKUP(A:A,MASTER!A:F,6,0)</f>
        <v>64727529.164719611</v>
      </c>
      <c r="G13" s="1">
        <f>VLOOKUP(A:A,MASTER!A:K,11,0)</f>
        <v>63542127.182570294</v>
      </c>
      <c r="H13" s="12">
        <f t="shared" si="0"/>
        <v>-1.8313722112467623E-2</v>
      </c>
      <c r="I13" s="2">
        <f>VLOOKUP(A:A,MASTER!A:E,5,0)</f>
        <v>1595</v>
      </c>
      <c r="J13" s="2">
        <f>VLOOKUP(A:A,MASTER!A:J,10,0)</f>
        <v>1402</v>
      </c>
      <c r="K13" s="12">
        <f t="shared" si="1"/>
        <v>-0.12100313479623825</v>
      </c>
      <c r="L13" s="2">
        <f>VLOOKUP(A:A,MASTER!A:D,4,0)</f>
        <v>9</v>
      </c>
      <c r="M13" s="2">
        <f>VLOOKUP(A:A,MASTER!A:I,9,0)</f>
        <v>12</v>
      </c>
      <c r="N13" s="12">
        <f t="shared" si="2"/>
        <v>0.33333333333333326</v>
      </c>
      <c r="O13" s="1">
        <f>VLOOKUP(A:A,MASTER!A:C,3,0)</f>
        <v>8</v>
      </c>
      <c r="P13" s="1">
        <f>VLOOKUP(A:A,MASTER!A:H,8,0)</f>
        <v>5</v>
      </c>
      <c r="Q13" s="12">
        <f t="shared" si="3"/>
        <v>-0.375</v>
      </c>
      <c r="R13" s="1">
        <f>VLOOKUP(A:A,MASTER!A:B,2,0)</f>
        <v>1409</v>
      </c>
      <c r="S13">
        <f>VLOOKUP(A:A,MASTER!A:G,7,0)</f>
        <v>1446</v>
      </c>
      <c r="T13" s="12">
        <f t="shared" si="4"/>
        <v>2.6259758694109347E-2</v>
      </c>
      <c r="U13">
        <v>4</v>
      </c>
    </row>
    <row r="14" spans="1:21" x14ac:dyDescent="0.35">
      <c r="A14" t="s">
        <v>36</v>
      </c>
      <c r="B14" t="s">
        <v>37</v>
      </c>
      <c r="C14" t="s">
        <v>4</v>
      </c>
      <c r="D14" t="s">
        <v>496</v>
      </c>
      <c r="E14" t="s">
        <v>136</v>
      </c>
      <c r="F14" s="1">
        <f>VLOOKUP(A:A,MASTER!A:F,6,0)</f>
        <v>50809604.653361797</v>
      </c>
      <c r="G14" s="1">
        <f>VLOOKUP(A:A,MASTER!A:K,11,0)</f>
        <v>49432638.019384757</v>
      </c>
      <c r="H14" s="12">
        <f t="shared" si="0"/>
        <v>-2.7100518560833398E-2</v>
      </c>
      <c r="I14" s="2">
        <f>VLOOKUP(A:A,MASTER!A:E,5,0)</f>
        <v>700</v>
      </c>
      <c r="J14" s="2">
        <f>VLOOKUP(A:A,MASTER!A:J,10,0)</f>
        <v>645</v>
      </c>
      <c r="K14" s="12">
        <f t="shared" si="1"/>
        <v>-7.8571428571428625E-2</v>
      </c>
      <c r="L14" s="2">
        <f>VLOOKUP(A:A,MASTER!A:D,4,0)</f>
        <v>6</v>
      </c>
      <c r="M14" s="2">
        <f>VLOOKUP(A:A,MASTER!A:I,9,0)</f>
        <v>8</v>
      </c>
      <c r="N14" s="12">
        <f t="shared" si="2"/>
        <v>0.33333333333333326</v>
      </c>
      <c r="O14" s="1">
        <f>VLOOKUP(A:A,MASTER!A:C,3,0)</f>
        <v>4</v>
      </c>
      <c r="P14" s="1">
        <f>VLOOKUP(A:A,MASTER!A:H,8,0)</f>
        <v>9</v>
      </c>
      <c r="Q14" s="12">
        <f t="shared" si="3"/>
        <v>1.25</v>
      </c>
      <c r="R14" s="1">
        <f>VLOOKUP(A:A,MASTER!A:B,2,0)</f>
        <v>859</v>
      </c>
      <c r="S14">
        <f>VLOOKUP(A:A,MASTER!A:G,7,0)</f>
        <v>842</v>
      </c>
      <c r="T14" s="12">
        <f t="shared" si="4"/>
        <v>-1.9790454016297976E-2</v>
      </c>
      <c r="U14">
        <v>1</v>
      </c>
    </row>
    <row r="15" spans="1:21" x14ac:dyDescent="0.35">
      <c r="A15" t="s">
        <v>114</v>
      </c>
      <c r="B15" t="s">
        <v>115</v>
      </c>
      <c r="C15" t="s">
        <v>4</v>
      </c>
      <c r="D15" t="s">
        <v>494</v>
      </c>
      <c r="E15" t="s">
        <v>136</v>
      </c>
      <c r="F15" s="1">
        <f>VLOOKUP(A:A,MASTER!A:F,6,0)</f>
        <v>47476455.918694049</v>
      </c>
      <c r="G15" s="1">
        <f>VLOOKUP(A:A,MASTER!A:K,11,0)</f>
        <v>32610514.628957808</v>
      </c>
      <c r="H15" s="12">
        <f t="shared" si="0"/>
        <v>-0.31312238881509935</v>
      </c>
      <c r="I15" s="2">
        <f>VLOOKUP(A:A,MASTER!A:E,5,0)</f>
        <v>1126</v>
      </c>
      <c r="J15" s="2">
        <f>VLOOKUP(A:A,MASTER!A:J,10,0)</f>
        <v>869</v>
      </c>
      <c r="K15" s="12">
        <f t="shared" si="1"/>
        <v>-0.22824156305506216</v>
      </c>
      <c r="L15" s="2">
        <f>VLOOKUP(A:A,MASTER!A:D,4,0)</f>
        <v>10</v>
      </c>
      <c r="M15" s="2">
        <f>VLOOKUP(A:A,MASTER!A:I,9,0)</f>
        <v>8</v>
      </c>
      <c r="N15" s="12">
        <f t="shared" si="2"/>
        <v>-0.19999999999999996</v>
      </c>
      <c r="O15" s="1">
        <f>VLOOKUP(A:A,MASTER!A:C,3,0)</f>
        <v>3</v>
      </c>
      <c r="P15" s="1">
        <f>VLOOKUP(A:A,MASTER!A:H,8,0)</f>
        <v>4</v>
      </c>
      <c r="Q15" s="12">
        <f t="shared" si="3"/>
        <v>0.33333333333333326</v>
      </c>
      <c r="R15" s="1">
        <f>VLOOKUP(A:A,MASTER!A:B,2,0)</f>
        <v>1180</v>
      </c>
      <c r="S15">
        <f>VLOOKUP(A:A,MASTER!A:G,7,0)</f>
        <v>1163</v>
      </c>
      <c r="T15" s="12">
        <f t="shared" si="4"/>
        <v>-1.4406779661017E-2</v>
      </c>
      <c r="U15">
        <v>2</v>
      </c>
    </row>
    <row r="16" spans="1:21" x14ac:dyDescent="0.35">
      <c r="A16" t="s">
        <v>116</v>
      </c>
      <c r="B16" t="s">
        <v>117</v>
      </c>
      <c r="C16" t="s">
        <v>4</v>
      </c>
      <c r="D16" t="s">
        <v>494</v>
      </c>
      <c r="E16" t="s">
        <v>135</v>
      </c>
      <c r="F16" s="1">
        <f>VLOOKUP(A:A,MASTER!A:F,6,0)</f>
        <v>28680367.148126502</v>
      </c>
      <c r="G16" s="1">
        <f>VLOOKUP(A:A,MASTER!A:K,11,0)</f>
        <v>26921501.42919863</v>
      </c>
      <c r="H16" s="12">
        <f t="shared" si="0"/>
        <v>-6.1326471514252079E-2</v>
      </c>
      <c r="I16" s="2">
        <f>VLOOKUP(A:A,MASTER!A:E,5,0)</f>
        <v>924</v>
      </c>
      <c r="J16" s="2">
        <f>VLOOKUP(A:A,MASTER!A:J,10,0)</f>
        <v>868</v>
      </c>
      <c r="K16" s="12">
        <f t="shared" si="1"/>
        <v>-6.0606060606060552E-2</v>
      </c>
      <c r="L16" s="2">
        <f>VLOOKUP(A:A,MASTER!A:D,4,0)</f>
        <v>3</v>
      </c>
      <c r="M16" s="2">
        <f>VLOOKUP(A:A,MASTER!A:I,9,0)</f>
        <v>1</v>
      </c>
      <c r="N16" s="12">
        <f t="shared" si="2"/>
        <v>-0.66666666666666674</v>
      </c>
      <c r="O16" s="1">
        <f>VLOOKUP(A:A,MASTER!A:C,3,0)</f>
        <v>2</v>
      </c>
      <c r="P16" s="1">
        <f>VLOOKUP(A:A,MASTER!A:H,8,0)</f>
        <v>1</v>
      </c>
      <c r="Q16" s="12">
        <f t="shared" si="3"/>
        <v>-0.5</v>
      </c>
      <c r="R16" s="1">
        <f>VLOOKUP(A:A,MASTER!A:B,2,0)</f>
        <v>761</v>
      </c>
      <c r="S16">
        <f>VLOOKUP(A:A,MASTER!A:G,7,0)</f>
        <v>736</v>
      </c>
      <c r="T16" s="12">
        <f t="shared" si="4"/>
        <v>-3.2851511169513792E-2</v>
      </c>
      <c r="U16">
        <v>2</v>
      </c>
    </row>
    <row r="17" spans="1:21" x14ac:dyDescent="0.35">
      <c r="A17" t="s">
        <v>60</v>
      </c>
      <c r="B17" t="s">
        <v>61</v>
      </c>
      <c r="C17" t="s">
        <v>4</v>
      </c>
      <c r="D17" t="s">
        <v>500</v>
      </c>
      <c r="E17" t="s">
        <v>136</v>
      </c>
      <c r="F17" s="1">
        <f>VLOOKUP(A:A,MASTER!A:F,6,0)</f>
        <v>89993968.425201595</v>
      </c>
      <c r="G17" s="1">
        <f>VLOOKUP(A:A,MASTER!A:K,11,0)</f>
        <v>86619614.295183823</v>
      </c>
      <c r="H17" s="12">
        <f t="shared" si="0"/>
        <v>-3.7495336510494748E-2</v>
      </c>
      <c r="I17" s="2">
        <f>VLOOKUP(A:A,MASTER!A:E,5,0)</f>
        <v>1157</v>
      </c>
      <c r="J17" s="2">
        <f>VLOOKUP(A:A,MASTER!A:J,10,0)</f>
        <v>1158</v>
      </c>
      <c r="K17" s="12">
        <f t="shared" si="1"/>
        <v>8.6430423509065157E-4</v>
      </c>
      <c r="L17" s="2">
        <f>VLOOKUP(A:A,MASTER!A:D,4,0)</f>
        <v>9</v>
      </c>
      <c r="M17" s="2">
        <f>VLOOKUP(A:A,MASTER!A:I,9,0)</f>
        <v>10</v>
      </c>
      <c r="N17" s="12">
        <f t="shared" si="2"/>
        <v>0.11111111111111116</v>
      </c>
      <c r="O17" s="1">
        <f>VLOOKUP(A:A,MASTER!A:C,3,0)</f>
        <v>10</v>
      </c>
      <c r="P17" s="1">
        <f>VLOOKUP(A:A,MASTER!A:H,8,0)</f>
        <v>10</v>
      </c>
      <c r="Q17" s="12">
        <f t="shared" si="3"/>
        <v>0</v>
      </c>
      <c r="R17" s="1">
        <f>VLOOKUP(A:A,MASTER!A:B,2,0)</f>
        <v>1403</v>
      </c>
      <c r="S17">
        <f>VLOOKUP(A:A,MASTER!A:G,7,0)</f>
        <v>1339</v>
      </c>
      <c r="T17" s="12">
        <f t="shared" si="4"/>
        <v>-4.5616535994297935E-2</v>
      </c>
      <c r="U17">
        <v>5</v>
      </c>
    </row>
    <row r="18" spans="1:21" x14ac:dyDescent="0.35">
      <c r="A18" t="s">
        <v>26</v>
      </c>
      <c r="B18" t="s">
        <v>27</v>
      </c>
      <c r="C18" t="s">
        <v>4</v>
      </c>
      <c r="D18" t="s">
        <v>496</v>
      </c>
      <c r="E18" t="s">
        <v>136</v>
      </c>
      <c r="F18" s="1">
        <f>VLOOKUP(A:A,MASTER!A:F,6,0)</f>
        <v>37264284.65986006</v>
      </c>
      <c r="G18" s="1">
        <f>VLOOKUP(A:A,MASTER!A:K,11,0)</f>
        <v>34613333.324269198</v>
      </c>
      <c r="H18" s="12">
        <f t="shared" si="0"/>
        <v>-7.1139198291021666E-2</v>
      </c>
      <c r="I18" s="2">
        <f>VLOOKUP(A:A,MASTER!A:E,5,0)</f>
        <v>166</v>
      </c>
      <c r="J18" s="2">
        <f>VLOOKUP(A:A,MASTER!A:J,10,0)</f>
        <v>1050</v>
      </c>
      <c r="K18" s="12">
        <f t="shared" si="1"/>
        <v>5.3253012048192767</v>
      </c>
      <c r="L18" s="2">
        <f>VLOOKUP(A:A,MASTER!A:D,4,0)</f>
        <v>6</v>
      </c>
      <c r="M18" s="2">
        <f>VLOOKUP(A:A,MASTER!A:I,9,0)</f>
        <v>5</v>
      </c>
      <c r="N18" s="12">
        <f t="shared" si="2"/>
        <v>-0.16666666666666663</v>
      </c>
      <c r="O18" s="1">
        <f>VLOOKUP(A:A,MASTER!A:C,3,0)</f>
        <v>3</v>
      </c>
      <c r="P18" s="1">
        <f>VLOOKUP(A:A,MASTER!A:H,8,0)</f>
        <v>1</v>
      </c>
      <c r="Q18" s="12">
        <f t="shared" si="3"/>
        <v>-0.66666666666666674</v>
      </c>
      <c r="R18" s="1">
        <f>VLOOKUP(A:A,MASTER!A:B,2,0)</f>
        <v>994</v>
      </c>
      <c r="S18">
        <f>VLOOKUP(A:A,MASTER!A:G,7,0)</f>
        <v>949</v>
      </c>
      <c r="T18" s="12">
        <f t="shared" si="4"/>
        <v>-4.5271629778672051E-2</v>
      </c>
      <c r="U18">
        <v>4</v>
      </c>
    </row>
    <row r="19" spans="1:21" x14ac:dyDescent="0.35">
      <c r="A19" t="s">
        <v>28</v>
      </c>
      <c r="B19" t="s">
        <v>29</v>
      </c>
      <c r="C19" t="s">
        <v>4</v>
      </c>
      <c r="D19" t="s">
        <v>496</v>
      </c>
      <c r="E19" t="s">
        <v>136</v>
      </c>
      <c r="F19" s="1">
        <f>VLOOKUP(A:A,MASTER!A:F,6,0)</f>
        <v>119839734.8513142</v>
      </c>
      <c r="G19" s="1">
        <f>VLOOKUP(A:A,MASTER!A:K,11,0)</f>
        <v>114540485.07233131</v>
      </c>
      <c r="H19" s="12">
        <f t="shared" si="0"/>
        <v>-4.4219471826750123E-2</v>
      </c>
      <c r="I19" s="2">
        <f>VLOOKUP(A:A,MASTER!A:E,5,0)</f>
        <v>2295</v>
      </c>
      <c r="J19" s="2">
        <f>VLOOKUP(A:A,MASTER!A:J,10,0)</f>
        <v>1727</v>
      </c>
      <c r="K19" s="12">
        <f t="shared" si="1"/>
        <v>-0.24749455337690629</v>
      </c>
      <c r="L19" s="2">
        <f>VLOOKUP(A:A,MASTER!A:D,4,0)</f>
        <v>20</v>
      </c>
      <c r="M19" s="2">
        <f>VLOOKUP(A:A,MASTER!A:I,9,0)</f>
        <v>18</v>
      </c>
      <c r="N19" s="12">
        <f t="shared" si="2"/>
        <v>-9.9999999999999978E-2</v>
      </c>
      <c r="O19" s="1">
        <f>VLOOKUP(A:A,MASTER!A:C,3,0)</f>
        <v>10</v>
      </c>
      <c r="P19" s="1">
        <f>VLOOKUP(A:A,MASTER!A:H,8,0)</f>
        <v>5</v>
      </c>
      <c r="Q19" s="12">
        <f t="shared" si="3"/>
        <v>-0.5</v>
      </c>
      <c r="R19" s="1">
        <f>VLOOKUP(A:A,MASTER!A:B,2,0)</f>
        <v>2283</v>
      </c>
      <c r="S19">
        <f>VLOOKUP(A:A,MASTER!A:G,7,0)</f>
        <v>2276</v>
      </c>
      <c r="T19" s="12">
        <f t="shared" si="4"/>
        <v>-3.0661410424879243E-3</v>
      </c>
      <c r="U19">
        <v>5</v>
      </c>
    </row>
    <row r="20" spans="1:21" x14ac:dyDescent="0.35">
      <c r="A20" t="s">
        <v>62</v>
      </c>
      <c r="B20" t="s">
        <v>63</v>
      </c>
      <c r="C20" t="s">
        <v>4</v>
      </c>
      <c r="D20" t="s">
        <v>500</v>
      </c>
      <c r="E20" t="s">
        <v>136</v>
      </c>
      <c r="F20" s="1">
        <f>VLOOKUP(A:A,MASTER!A:F,6,0)</f>
        <v>39583954.138641119</v>
      </c>
      <c r="G20" s="1">
        <f>VLOOKUP(A:A,MASTER!A:K,11,0)</f>
        <v>38033668.607712895</v>
      </c>
      <c r="H20" s="12">
        <f t="shared" si="0"/>
        <v>-3.9164493913326992E-2</v>
      </c>
      <c r="I20" s="2">
        <f>VLOOKUP(A:A,MASTER!A:E,5,0)</f>
        <v>458</v>
      </c>
      <c r="J20" s="2">
        <f>VLOOKUP(A:A,MASTER!A:J,10,0)</f>
        <v>440</v>
      </c>
      <c r="K20" s="12">
        <f t="shared" si="1"/>
        <v>-3.9301310043668103E-2</v>
      </c>
      <c r="L20" s="2">
        <f>VLOOKUP(A:A,MASTER!A:D,4,0)</f>
        <v>8</v>
      </c>
      <c r="M20" s="2">
        <f>VLOOKUP(A:A,MASTER!A:I,9,0)</f>
        <v>6</v>
      </c>
      <c r="N20" s="12">
        <f t="shared" si="2"/>
        <v>-0.25</v>
      </c>
      <c r="O20" s="1">
        <f>VLOOKUP(A:A,MASTER!A:C,3,0)</f>
        <v>5</v>
      </c>
      <c r="P20" s="1">
        <f>VLOOKUP(A:A,MASTER!A:H,8,0)</f>
        <v>0</v>
      </c>
      <c r="Q20" s="12">
        <f t="shared" si="3"/>
        <v>-1</v>
      </c>
      <c r="R20" s="1">
        <f>VLOOKUP(A:A,MASTER!A:B,2,0)</f>
        <v>560</v>
      </c>
      <c r="S20">
        <f>VLOOKUP(A:A,MASTER!A:G,7,0)</f>
        <v>548</v>
      </c>
      <c r="T20" s="12">
        <f t="shared" si="4"/>
        <v>-2.1428571428571463E-2</v>
      </c>
      <c r="U20">
        <v>1</v>
      </c>
    </row>
    <row r="21" spans="1:21" x14ac:dyDescent="0.35">
      <c r="A21" t="s">
        <v>58</v>
      </c>
      <c r="B21" t="s">
        <v>59</v>
      </c>
      <c r="C21" t="s">
        <v>4</v>
      </c>
      <c r="D21" t="s">
        <v>500</v>
      </c>
      <c r="E21" t="s">
        <v>135</v>
      </c>
      <c r="F21" s="1">
        <f>VLOOKUP(A:A,MASTER!A:F,6,0)</f>
        <v>34188228.148323409</v>
      </c>
      <c r="G21" s="1">
        <f>VLOOKUP(A:A,MASTER!A:K,11,0)</f>
        <v>31391890.683881596</v>
      </c>
      <c r="H21" s="12">
        <f t="shared" si="0"/>
        <v>-8.1792406798915862E-2</v>
      </c>
      <c r="I21" s="2">
        <f>VLOOKUP(A:A,MASTER!A:E,5,0)</f>
        <v>423</v>
      </c>
      <c r="J21" s="2">
        <f>VLOOKUP(A:A,MASTER!A:J,10,0)</f>
        <v>425</v>
      </c>
      <c r="K21" s="12">
        <f t="shared" si="1"/>
        <v>4.7281323877068626E-3</v>
      </c>
      <c r="L21" s="2">
        <f>VLOOKUP(A:A,MASTER!A:D,4,0)</f>
        <v>4</v>
      </c>
      <c r="M21" s="2">
        <f>VLOOKUP(A:A,MASTER!A:I,9,0)</f>
        <v>5</v>
      </c>
      <c r="N21" s="12">
        <f t="shared" si="2"/>
        <v>0.25</v>
      </c>
      <c r="O21" s="1">
        <f>VLOOKUP(A:A,MASTER!A:C,3,0)</f>
        <v>3</v>
      </c>
      <c r="P21" s="1">
        <f>VLOOKUP(A:A,MASTER!A:H,8,0)</f>
        <v>2</v>
      </c>
      <c r="Q21" s="12">
        <f t="shared" si="3"/>
        <v>-0.33333333333333337</v>
      </c>
      <c r="R21" s="1">
        <f>VLOOKUP(A:A,MASTER!A:B,2,0)</f>
        <v>516</v>
      </c>
      <c r="S21">
        <f>VLOOKUP(A:A,MASTER!A:G,7,0)</f>
        <v>512</v>
      </c>
      <c r="T21" s="12">
        <f t="shared" si="4"/>
        <v>-7.7519379844961378E-3</v>
      </c>
      <c r="U21">
        <v>5</v>
      </c>
    </row>
    <row r="22" spans="1:21" x14ac:dyDescent="0.35">
      <c r="A22" t="s">
        <v>64</v>
      </c>
      <c r="B22" t="s">
        <v>65</v>
      </c>
      <c r="C22" t="s">
        <v>4</v>
      </c>
      <c r="D22" t="s">
        <v>500</v>
      </c>
      <c r="E22" t="s">
        <v>136</v>
      </c>
      <c r="F22" s="1">
        <f>VLOOKUP(A:A,MASTER!A:F,6,0)</f>
        <v>24226973.088341944</v>
      </c>
      <c r="G22" s="1">
        <f>VLOOKUP(A:A,MASTER!A:K,11,0)</f>
        <v>38973625.491535872</v>
      </c>
      <c r="H22" s="12">
        <f t="shared" si="0"/>
        <v>0.60868736467495554</v>
      </c>
      <c r="I22" s="2">
        <f>VLOOKUP(A:A,MASTER!A:E,5,0)</f>
        <v>447</v>
      </c>
      <c r="J22" s="2">
        <f>VLOOKUP(A:A,MASTER!A:J,10,0)</f>
        <v>537</v>
      </c>
      <c r="K22" s="12">
        <f t="shared" si="1"/>
        <v>0.20134228187919456</v>
      </c>
      <c r="L22" s="2">
        <f>VLOOKUP(A:A,MASTER!A:D,4,0)</f>
        <v>2</v>
      </c>
      <c r="M22" s="2">
        <f>VLOOKUP(A:A,MASTER!A:I,9,0)</f>
        <v>5</v>
      </c>
      <c r="N22" s="12">
        <f t="shared" si="2"/>
        <v>1.5</v>
      </c>
      <c r="O22" s="1">
        <f>VLOOKUP(A:A,MASTER!A:C,3,0)</f>
        <v>3</v>
      </c>
      <c r="P22" s="1">
        <f>VLOOKUP(A:A,MASTER!A:H,8,0)</f>
        <v>6</v>
      </c>
      <c r="Q22" s="12">
        <f t="shared" si="3"/>
        <v>1</v>
      </c>
      <c r="R22" s="1">
        <f>VLOOKUP(A:A,MASTER!A:B,2,0)</f>
        <v>655</v>
      </c>
      <c r="S22">
        <f>VLOOKUP(A:A,MASTER!A:G,7,0)</f>
        <v>626</v>
      </c>
      <c r="T22" s="12">
        <f t="shared" si="4"/>
        <v>-4.4274809160305351E-2</v>
      </c>
      <c r="U22">
        <v>4</v>
      </c>
    </row>
    <row r="23" spans="1:21" x14ac:dyDescent="0.35">
      <c r="A23" t="s">
        <v>122</v>
      </c>
      <c r="B23" t="s">
        <v>123</v>
      </c>
      <c r="C23" t="s">
        <v>4</v>
      </c>
      <c r="D23" t="s">
        <v>497</v>
      </c>
      <c r="E23" t="s">
        <v>136</v>
      </c>
      <c r="F23" s="1">
        <f>VLOOKUP(A:A,MASTER!A:F,6,0)</f>
        <v>59232956.017559916</v>
      </c>
      <c r="G23" s="1">
        <f>VLOOKUP(A:A,MASTER!A:K,11,0)</f>
        <v>60426011.656606339</v>
      </c>
      <c r="H23" s="12">
        <f t="shared" si="0"/>
        <v>2.0141754173010229E-2</v>
      </c>
      <c r="I23" s="2">
        <f>VLOOKUP(A:A,MASTER!A:E,5,0)</f>
        <v>994</v>
      </c>
      <c r="J23" s="2">
        <f>VLOOKUP(A:A,MASTER!A:J,10,0)</f>
        <v>978</v>
      </c>
      <c r="K23" s="12">
        <f t="shared" si="1"/>
        <v>-1.6096579476861161E-2</v>
      </c>
      <c r="L23" s="2">
        <f>VLOOKUP(A:A,MASTER!A:D,4,0)</f>
        <v>0</v>
      </c>
      <c r="M23" s="2">
        <f>VLOOKUP(A:A,MASTER!A:I,9,0)</f>
        <v>0</v>
      </c>
      <c r="N23" s="12">
        <f t="shared" si="2"/>
        <v>0</v>
      </c>
      <c r="O23" s="1">
        <f>VLOOKUP(A:A,MASTER!A:C,3,0)</f>
        <v>6</v>
      </c>
      <c r="P23" s="1">
        <f>VLOOKUP(A:A,MASTER!A:H,8,0)</f>
        <v>10</v>
      </c>
      <c r="Q23" s="12">
        <f t="shared" si="3"/>
        <v>0.66666666666666674</v>
      </c>
      <c r="R23" s="1">
        <f>VLOOKUP(A:A,MASTER!A:B,2,0)</f>
        <v>1141</v>
      </c>
      <c r="S23">
        <f>VLOOKUP(A:A,MASTER!A:G,7,0)</f>
        <v>1124</v>
      </c>
      <c r="T23" s="12">
        <f t="shared" si="4"/>
        <v>-1.4899211218229569E-2</v>
      </c>
      <c r="U23">
        <v>5</v>
      </c>
    </row>
    <row r="24" spans="1:21" x14ac:dyDescent="0.35">
      <c r="A24" t="s">
        <v>70</v>
      </c>
      <c r="B24" t="s">
        <v>71</v>
      </c>
      <c r="C24" t="s">
        <v>4</v>
      </c>
      <c r="D24" t="s">
        <v>500</v>
      </c>
      <c r="E24" t="s">
        <v>136</v>
      </c>
      <c r="F24" s="1">
        <f>VLOOKUP(A:A,MASTER!A:F,6,0)</f>
        <v>110151786.40886927</v>
      </c>
      <c r="G24" s="1">
        <f>VLOOKUP(A:A,MASTER!A:K,11,0)</f>
        <v>103859066.66894734</v>
      </c>
      <c r="H24" s="12">
        <f t="shared" si="0"/>
        <v>-5.7127713903469157E-2</v>
      </c>
      <c r="I24" s="2">
        <f>VLOOKUP(A:A,MASTER!A:E,5,0)</f>
        <v>2375</v>
      </c>
      <c r="J24" s="2">
        <f>VLOOKUP(A:A,MASTER!A:J,10,0)</f>
        <v>1608</v>
      </c>
      <c r="K24" s="12">
        <f t="shared" si="1"/>
        <v>-0.32294736842105265</v>
      </c>
      <c r="L24" s="2">
        <f>VLOOKUP(A:A,MASTER!A:D,4,0)</f>
        <v>5</v>
      </c>
      <c r="M24" s="2">
        <f>VLOOKUP(A:A,MASTER!A:I,9,0)</f>
        <v>5</v>
      </c>
      <c r="N24" s="12">
        <f t="shared" si="2"/>
        <v>0</v>
      </c>
      <c r="O24" s="1">
        <f>VLOOKUP(A:A,MASTER!A:C,3,0)</f>
        <v>28</v>
      </c>
      <c r="P24" s="1">
        <f>VLOOKUP(A:A,MASTER!A:H,8,0)</f>
        <v>140</v>
      </c>
      <c r="Q24" s="12">
        <f t="shared" si="3"/>
        <v>4</v>
      </c>
      <c r="R24" s="1">
        <f>VLOOKUP(A:A,MASTER!A:B,2,0)</f>
        <v>1608</v>
      </c>
      <c r="S24">
        <f>VLOOKUP(A:A,MASTER!A:G,7,0)</f>
        <v>1634</v>
      </c>
      <c r="T24" s="12">
        <f t="shared" si="4"/>
        <v>1.6169154228855787E-2</v>
      </c>
      <c r="U24">
        <v>4</v>
      </c>
    </row>
    <row r="25" spans="1:21" x14ac:dyDescent="0.35">
      <c r="A25" t="s">
        <v>72</v>
      </c>
      <c r="B25" t="s">
        <v>73</v>
      </c>
      <c r="C25" t="s">
        <v>4</v>
      </c>
      <c r="D25" t="s">
        <v>497</v>
      </c>
      <c r="E25" t="s">
        <v>136</v>
      </c>
      <c r="F25" s="1">
        <f>VLOOKUP(A:A,MASTER!A:F,6,0)</f>
        <v>125336896.98941597</v>
      </c>
      <c r="G25" s="1">
        <f>VLOOKUP(A:A,MASTER!A:K,11,0)</f>
        <v>132547435.76596323</v>
      </c>
      <c r="H25" s="12">
        <f t="shared" si="0"/>
        <v>5.7529258739795974E-2</v>
      </c>
      <c r="I25" s="2">
        <f>VLOOKUP(A:A,MASTER!A:E,5,0)</f>
        <v>887</v>
      </c>
      <c r="J25" s="2">
        <f>VLOOKUP(A:A,MASTER!A:J,10,0)</f>
        <v>2216</v>
      </c>
      <c r="K25" s="12">
        <f t="shared" si="1"/>
        <v>1.4983089064261557</v>
      </c>
      <c r="L25" s="2">
        <f>VLOOKUP(A:A,MASTER!A:D,4,0)</f>
        <v>10</v>
      </c>
      <c r="M25" s="2">
        <f>VLOOKUP(A:A,MASTER!A:I,9,0)</f>
        <v>10</v>
      </c>
      <c r="N25" s="12">
        <f t="shared" si="2"/>
        <v>0</v>
      </c>
      <c r="O25" s="1">
        <f>VLOOKUP(A:A,MASTER!A:C,3,0)</f>
        <v>35</v>
      </c>
      <c r="P25" s="1">
        <f>VLOOKUP(A:A,MASTER!A:H,8,0)</f>
        <v>43</v>
      </c>
      <c r="Q25" s="12">
        <f t="shared" si="3"/>
        <v>0.22857142857142865</v>
      </c>
      <c r="R25" s="1">
        <f>VLOOKUP(A:A,MASTER!A:B,2,0)</f>
        <v>2686</v>
      </c>
      <c r="S25">
        <f>VLOOKUP(A:A,MASTER!A:G,7,0)</f>
        <v>2728</v>
      </c>
      <c r="T25" s="12">
        <f t="shared" si="4"/>
        <v>1.5636634400595595E-2</v>
      </c>
      <c r="U25">
        <v>8</v>
      </c>
    </row>
    <row r="26" spans="1:21" x14ac:dyDescent="0.35">
      <c r="A26" t="s">
        <v>130</v>
      </c>
      <c r="B26" t="s">
        <v>131</v>
      </c>
      <c r="C26" t="s">
        <v>4</v>
      </c>
      <c r="D26" t="s">
        <v>497</v>
      </c>
      <c r="E26" t="s">
        <v>136</v>
      </c>
      <c r="F26" s="1">
        <f>VLOOKUP(A:A,MASTER!A:F,6,0)</f>
        <v>28244378.898452383</v>
      </c>
      <c r="G26" s="1">
        <f>VLOOKUP(A:A,MASTER!A:K,11,0)</f>
        <v>29840531.301800594</v>
      </c>
      <c r="H26" s="12">
        <f t="shared" si="0"/>
        <v>5.6512214663558158E-2</v>
      </c>
      <c r="I26" s="2">
        <f>VLOOKUP(A:A,MASTER!A:E,5,0)</f>
        <v>517</v>
      </c>
      <c r="J26" s="2">
        <f>VLOOKUP(A:A,MASTER!A:J,10,0)</f>
        <v>572</v>
      </c>
      <c r="K26" s="12">
        <f t="shared" si="1"/>
        <v>0.1063829787234043</v>
      </c>
      <c r="L26" s="2">
        <f>VLOOKUP(A:A,MASTER!A:D,4,0)</f>
        <v>1</v>
      </c>
      <c r="M26" s="2">
        <f>VLOOKUP(A:A,MASTER!A:I,9,0)</f>
        <v>1</v>
      </c>
      <c r="N26" s="12">
        <f t="shared" si="2"/>
        <v>0</v>
      </c>
      <c r="O26" s="1">
        <f>VLOOKUP(A:A,MASTER!A:C,3,0)</f>
        <v>3</v>
      </c>
      <c r="P26" s="1">
        <f>VLOOKUP(A:A,MASTER!A:H,8,0)</f>
        <v>1</v>
      </c>
      <c r="Q26" s="12">
        <f t="shared" si="3"/>
        <v>-0.66666666666666674</v>
      </c>
      <c r="R26" s="1">
        <f>VLOOKUP(A:A,MASTER!A:B,2,0)</f>
        <v>697</v>
      </c>
      <c r="S26">
        <f>VLOOKUP(A:A,MASTER!A:G,7,0)</f>
        <v>680</v>
      </c>
      <c r="T26" s="12">
        <f t="shared" si="4"/>
        <v>-2.4390243902439046E-2</v>
      </c>
      <c r="U26">
        <v>2</v>
      </c>
    </row>
    <row r="27" spans="1:21" x14ac:dyDescent="0.35">
      <c r="A27" t="s">
        <v>76</v>
      </c>
      <c r="B27" t="s">
        <v>77</v>
      </c>
      <c r="C27" t="s">
        <v>4</v>
      </c>
      <c r="D27" t="s">
        <v>498</v>
      </c>
      <c r="E27" t="s">
        <v>136</v>
      </c>
      <c r="F27" s="1">
        <f>VLOOKUP(A:A,MASTER!A:F,6,0)</f>
        <v>53492114.259696603</v>
      </c>
      <c r="G27" s="1">
        <f>VLOOKUP(A:A,MASTER!A:K,11,0)</f>
        <v>54153453.38497889</v>
      </c>
      <c r="H27" s="12">
        <f t="shared" si="0"/>
        <v>1.2363301290944984E-2</v>
      </c>
      <c r="I27" s="2">
        <f>VLOOKUP(A:A,MASTER!A:E,5,0)</f>
        <v>960</v>
      </c>
      <c r="J27" s="2">
        <f>VLOOKUP(A:A,MASTER!A:J,10,0)</f>
        <v>891</v>
      </c>
      <c r="K27" s="12">
        <f t="shared" si="1"/>
        <v>-7.1875000000000022E-2</v>
      </c>
      <c r="L27" s="2">
        <f>VLOOKUP(A:A,MASTER!A:D,4,0)</f>
        <v>9</v>
      </c>
      <c r="M27" s="2">
        <f>VLOOKUP(A:A,MASTER!A:I,9,0)</f>
        <v>10</v>
      </c>
      <c r="N27" s="12">
        <f t="shared" si="2"/>
        <v>0.11111111111111116</v>
      </c>
      <c r="O27" s="1">
        <f>VLOOKUP(A:A,MASTER!A:C,3,0)</f>
        <v>16</v>
      </c>
      <c r="P27" s="1">
        <f>VLOOKUP(A:A,MASTER!A:H,8,0)</f>
        <v>6</v>
      </c>
      <c r="Q27" s="12">
        <f t="shared" si="3"/>
        <v>-0.625</v>
      </c>
      <c r="R27" s="1">
        <f>VLOOKUP(A:A,MASTER!A:B,2,0)</f>
        <v>1005</v>
      </c>
      <c r="S27">
        <f>VLOOKUP(A:A,MASTER!A:G,7,0)</f>
        <v>1018</v>
      </c>
      <c r="T27" s="12">
        <f t="shared" si="4"/>
        <v>1.2935323383084674E-2</v>
      </c>
      <c r="U27">
        <v>7</v>
      </c>
    </row>
    <row r="28" spans="1:21" x14ac:dyDescent="0.35">
      <c r="A28" t="s">
        <v>128</v>
      </c>
      <c r="B28" t="s">
        <v>129</v>
      </c>
      <c r="C28" t="s">
        <v>4</v>
      </c>
      <c r="D28" t="s">
        <v>497</v>
      </c>
      <c r="E28" t="s">
        <v>135</v>
      </c>
      <c r="F28" s="1">
        <f>VLOOKUP(A:A,MASTER!A:F,6,0)</f>
        <v>26499937.253874719</v>
      </c>
      <c r="G28" s="1">
        <f>VLOOKUP(A:A,MASTER!A:K,11,0)</f>
        <v>25592837.806765258</v>
      </c>
      <c r="H28" s="12">
        <f t="shared" si="0"/>
        <v>-3.4230248865092294E-2</v>
      </c>
      <c r="I28" s="2">
        <f>VLOOKUP(A:A,MASTER!A:E,5,0)</f>
        <v>717</v>
      </c>
      <c r="J28" s="2">
        <f>VLOOKUP(A:A,MASTER!A:J,10,0)</f>
        <v>632</v>
      </c>
      <c r="K28" s="12">
        <f t="shared" si="1"/>
        <v>-0.11854951185495122</v>
      </c>
      <c r="L28" s="2">
        <f>VLOOKUP(A:A,MASTER!A:D,4,0)</f>
        <v>1</v>
      </c>
      <c r="M28" s="2">
        <f>VLOOKUP(A:A,MASTER!A:I,9,0)</f>
        <v>2</v>
      </c>
      <c r="N28" s="12">
        <f t="shared" si="2"/>
        <v>1</v>
      </c>
      <c r="O28" s="1">
        <f>VLOOKUP(A:A,MASTER!A:C,3,0)</f>
        <v>3</v>
      </c>
      <c r="P28" s="1">
        <f>VLOOKUP(A:A,MASTER!A:H,8,0)</f>
        <v>60</v>
      </c>
      <c r="Q28" s="12">
        <f t="shared" si="3"/>
        <v>19</v>
      </c>
      <c r="R28" s="1">
        <f>VLOOKUP(A:A,MASTER!A:B,2,0)</f>
        <v>714</v>
      </c>
      <c r="S28">
        <f>VLOOKUP(A:A,MASTER!A:G,7,0)</f>
        <v>739</v>
      </c>
      <c r="T28" s="12">
        <f t="shared" si="4"/>
        <v>3.5014005602240994E-2</v>
      </c>
      <c r="U28">
        <v>2</v>
      </c>
    </row>
    <row r="29" spans="1:21" x14ac:dyDescent="0.35">
      <c r="A29" t="s">
        <v>124</v>
      </c>
      <c r="B29" t="s">
        <v>125</v>
      </c>
      <c r="C29" t="s">
        <v>4</v>
      </c>
      <c r="D29" t="s">
        <v>497</v>
      </c>
      <c r="E29" t="s">
        <v>136</v>
      </c>
      <c r="F29" s="1">
        <f>VLOOKUP(A:A,MASTER!A:F,6,0)</f>
        <v>63892163.208325222</v>
      </c>
      <c r="G29" s="1">
        <f>VLOOKUP(A:A,MASTER!A:K,11,0)</f>
        <v>66527116.598848633</v>
      </c>
      <c r="H29" s="12">
        <f t="shared" si="0"/>
        <v>4.1240635129725423E-2</v>
      </c>
      <c r="I29" s="2">
        <f>VLOOKUP(A:A,MASTER!A:E,5,0)</f>
        <v>1282</v>
      </c>
      <c r="J29" s="2">
        <f>VLOOKUP(A:A,MASTER!A:J,10,0)</f>
        <v>1194</v>
      </c>
      <c r="K29" s="12">
        <f t="shared" si="1"/>
        <v>-6.8642745709828423E-2</v>
      </c>
      <c r="L29" s="2">
        <f>VLOOKUP(A:A,MASTER!A:D,4,0)</f>
        <v>2</v>
      </c>
      <c r="M29" s="2">
        <f>VLOOKUP(A:A,MASTER!A:I,9,0)</f>
        <v>1</v>
      </c>
      <c r="N29" s="12">
        <f t="shared" si="2"/>
        <v>-0.5</v>
      </c>
      <c r="O29" s="1">
        <f>VLOOKUP(A:A,MASTER!A:C,3,0)</f>
        <v>7</v>
      </c>
      <c r="P29" s="1">
        <f>VLOOKUP(A:A,MASTER!A:H,8,0)</f>
        <v>11</v>
      </c>
      <c r="Q29" s="12">
        <f t="shared" si="3"/>
        <v>0.5714285714285714</v>
      </c>
      <c r="R29" s="1">
        <f>VLOOKUP(A:A,MASTER!A:B,2,0)</f>
        <v>1134</v>
      </c>
      <c r="S29">
        <f>VLOOKUP(A:A,MASTER!A:G,7,0)</f>
        <v>1168</v>
      </c>
      <c r="T29" s="12">
        <f t="shared" si="4"/>
        <v>2.9982363315696592E-2</v>
      </c>
      <c r="U29">
        <v>2</v>
      </c>
    </row>
    <row r="30" spans="1:21" x14ac:dyDescent="0.35">
      <c r="A30" t="s">
        <v>78</v>
      </c>
      <c r="B30" t="s">
        <v>79</v>
      </c>
      <c r="C30" t="s">
        <v>4</v>
      </c>
      <c r="D30" t="s">
        <v>498</v>
      </c>
      <c r="E30" t="s">
        <v>136</v>
      </c>
      <c r="F30" s="1">
        <f>VLOOKUP(A:A,MASTER!A:F,6,0)</f>
        <v>88057107.835710689</v>
      </c>
      <c r="G30" s="1">
        <f>VLOOKUP(A:A,MASTER!A:K,11,0)</f>
        <v>84635478.017665774</v>
      </c>
      <c r="H30" s="12">
        <f t="shared" si="0"/>
        <v>-3.8856940707486021E-2</v>
      </c>
      <c r="I30" s="2">
        <f>VLOOKUP(A:A,MASTER!A:E,5,0)</f>
        <v>1890</v>
      </c>
      <c r="J30" s="2">
        <f>VLOOKUP(A:A,MASTER!A:J,10,0)</f>
        <v>1632</v>
      </c>
      <c r="K30" s="12">
        <f t="shared" si="1"/>
        <v>-0.13650793650793647</v>
      </c>
      <c r="L30" s="2">
        <f>VLOOKUP(A:A,MASTER!A:D,4,0)</f>
        <v>8</v>
      </c>
      <c r="M30" s="2">
        <f>VLOOKUP(A:A,MASTER!A:I,9,0)</f>
        <v>9</v>
      </c>
      <c r="N30" s="12">
        <f t="shared" si="2"/>
        <v>0.125</v>
      </c>
      <c r="O30" s="1">
        <f>VLOOKUP(A:A,MASTER!A:C,3,0)</f>
        <v>25</v>
      </c>
      <c r="P30" s="1">
        <f>VLOOKUP(A:A,MASTER!A:H,8,0)</f>
        <v>10</v>
      </c>
      <c r="Q30" s="12">
        <f t="shared" si="3"/>
        <v>-0.6</v>
      </c>
      <c r="R30" s="1">
        <f>VLOOKUP(A:A,MASTER!A:B,2,0)</f>
        <v>1714</v>
      </c>
      <c r="S30">
        <f>VLOOKUP(A:A,MASTER!A:G,7,0)</f>
        <v>1771</v>
      </c>
      <c r="T30" s="12">
        <f t="shared" si="4"/>
        <v>3.325554259043173E-2</v>
      </c>
      <c r="U30">
        <v>4</v>
      </c>
    </row>
    <row r="31" spans="1:21" x14ac:dyDescent="0.35">
      <c r="A31" t="s">
        <v>80</v>
      </c>
      <c r="B31" t="s">
        <v>81</v>
      </c>
      <c r="C31" t="s">
        <v>4</v>
      </c>
      <c r="D31" t="s">
        <v>498</v>
      </c>
      <c r="E31" t="s">
        <v>136</v>
      </c>
      <c r="F31" s="1">
        <f>VLOOKUP(A:A,MASTER!A:F,6,0)</f>
        <v>35705524.975119643</v>
      </c>
      <c r="G31" s="1">
        <f>VLOOKUP(A:A,MASTER!A:K,11,0)</f>
        <v>38651662.473704979</v>
      </c>
      <c r="H31" s="12">
        <f t="shared" si="0"/>
        <v>8.2512090233605839E-2</v>
      </c>
      <c r="I31" s="2">
        <f>VLOOKUP(A:A,MASTER!A:E,5,0)</f>
        <v>645</v>
      </c>
      <c r="J31" s="2">
        <f>VLOOKUP(A:A,MASTER!A:J,10,0)</f>
        <v>996</v>
      </c>
      <c r="K31" s="12">
        <f t="shared" si="1"/>
        <v>0.54418604651162794</v>
      </c>
      <c r="L31" s="2">
        <f>VLOOKUP(A:A,MASTER!A:D,4,0)</f>
        <v>6</v>
      </c>
      <c r="M31" s="2">
        <f>VLOOKUP(A:A,MASTER!A:I,9,0)</f>
        <v>7</v>
      </c>
      <c r="N31" s="12">
        <f t="shared" si="2"/>
        <v>0.16666666666666674</v>
      </c>
      <c r="O31" s="1">
        <f>VLOOKUP(A:A,MASTER!A:C,3,0)</f>
        <v>6</v>
      </c>
      <c r="P31" s="1">
        <f>VLOOKUP(A:A,MASTER!A:H,8,0)</f>
        <v>4</v>
      </c>
      <c r="Q31" s="12">
        <f t="shared" si="3"/>
        <v>-0.33333333333333337</v>
      </c>
      <c r="R31" s="1">
        <f>VLOOKUP(A:A,MASTER!A:B,2,0)</f>
        <v>851</v>
      </c>
      <c r="S31">
        <f>VLOOKUP(A:A,MASTER!A:G,7,0)</f>
        <v>846</v>
      </c>
      <c r="T31" s="12">
        <f t="shared" si="4"/>
        <v>-5.8754406580493468E-3</v>
      </c>
      <c r="U31">
        <v>3</v>
      </c>
    </row>
    <row r="32" spans="1:21" x14ac:dyDescent="0.35">
      <c r="A32" t="s">
        <v>82</v>
      </c>
      <c r="B32" t="s">
        <v>83</v>
      </c>
      <c r="C32" t="s">
        <v>4</v>
      </c>
      <c r="D32" t="s">
        <v>498</v>
      </c>
      <c r="E32" t="s">
        <v>136</v>
      </c>
      <c r="F32" s="1">
        <f>VLOOKUP(A:A,MASTER!A:F,6,0)</f>
        <v>45780516.625567049</v>
      </c>
      <c r="G32" s="1">
        <f>VLOOKUP(A:A,MASTER!A:K,11,0)</f>
        <v>42934468.093872614</v>
      </c>
      <c r="H32" s="12">
        <f t="shared" si="0"/>
        <v>-6.2167243654585591E-2</v>
      </c>
      <c r="I32" s="2">
        <f>VLOOKUP(A:A,MASTER!A:E,5,0)</f>
        <v>558</v>
      </c>
      <c r="J32" s="2">
        <f>VLOOKUP(A:A,MASTER!A:J,10,0)</f>
        <v>447</v>
      </c>
      <c r="K32" s="12">
        <f t="shared" si="1"/>
        <v>-0.19892473118279574</v>
      </c>
      <c r="L32" s="2">
        <f>VLOOKUP(A:A,MASTER!A:D,4,0)</f>
        <v>8</v>
      </c>
      <c r="M32" s="2">
        <f>VLOOKUP(A:A,MASTER!A:I,9,0)</f>
        <v>8</v>
      </c>
      <c r="N32" s="12">
        <f t="shared" si="2"/>
        <v>0</v>
      </c>
      <c r="O32" s="1">
        <f>VLOOKUP(A:A,MASTER!A:C,3,0)</f>
        <v>7</v>
      </c>
      <c r="P32" s="1">
        <f>VLOOKUP(A:A,MASTER!A:H,8,0)</f>
        <v>2</v>
      </c>
      <c r="Q32" s="12">
        <f t="shared" si="3"/>
        <v>-0.7142857142857143</v>
      </c>
      <c r="R32" s="1">
        <f>VLOOKUP(A:A,MASTER!A:B,2,0)</f>
        <v>655</v>
      </c>
      <c r="S32">
        <f>VLOOKUP(A:A,MASTER!A:G,7,0)</f>
        <v>644</v>
      </c>
      <c r="T32" s="12">
        <f t="shared" si="4"/>
        <v>-1.6793893129770976E-2</v>
      </c>
      <c r="U32">
        <v>10</v>
      </c>
    </row>
    <row r="33" spans="1:21" x14ac:dyDescent="0.35">
      <c r="A33" t="s">
        <v>20</v>
      </c>
      <c r="B33" t="s">
        <v>21</v>
      </c>
      <c r="C33" t="s">
        <v>4</v>
      </c>
      <c r="D33" t="s">
        <v>498</v>
      </c>
      <c r="E33" t="s">
        <v>136</v>
      </c>
      <c r="F33" s="1">
        <f>VLOOKUP(A:A,MASTER!A:F,6,0)</f>
        <v>145274185.74469903</v>
      </c>
      <c r="G33" s="1">
        <f>VLOOKUP(A:A,MASTER!A:K,11,0)</f>
        <v>130506061.65860055</v>
      </c>
      <c r="H33" s="12">
        <f t="shared" si="0"/>
        <v>-0.10165690490980683</v>
      </c>
      <c r="I33" s="2">
        <f>VLOOKUP(A:A,MASTER!A:E,5,0)</f>
        <v>2264</v>
      </c>
      <c r="J33" s="2">
        <f>VLOOKUP(A:A,MASTER!A:J,10,0)</f>
        <v>1657</v>
      </c>
      <c r="K33" s="12">
        <f t="shared" si="1"/>
        <v>-0.26810954063604242</v>
      </c>
      <c r="L33" s="2">
        <f>VLOOKUP(A:A,MASTER!A:D,4,0)</f>
        <v>14</v>
      </c>
      <c r="M33" s="2">
        <f>VLOOKUP(A:A,MASTER!A:I,9,0)</f>
        <v>13</v>
      </c>
      <c r="N33" s="12">
        <f t="shared" si="2"/>
        <v>-7.1428571428571397E-2</v>
      </c>
      <c r="O33" s="1">
        <f>VLOOKUP(A:A,MASTER!A:C,3,0)</f>
        <v>29</v>
      </c>
      <c r="P33" s="1">
        <f>VLOOKUP(A:A,MASTER!A:H,8,0)</f>
        <v>20</v>
      </c>
      <c r="Q33" s="12">
        <f t="shared" si="3"/>
        <v>-0.31034482758620685</v>
      </c>
      <c r="R33" s="1">
        <f>VLOOKUP(A:A,MASTER!A:B,2,0)</f>
        <v>2017</v>
      </c>
      <c r="S33">
        <f>VLOOKUP(A:A,MASTER!A:G,7,0)</f>
        <v>1982</v>
      </c>
      <c r="T33" s="12">
        <f t="shared" si="4"/>
        <v>-1.7352503718393697E-2</v>
      </c>
      <c r="U33">
        <v>10</v>
      </c>
    </row>
    <row r="34" spans="1:21" x14ac:dyDescent="0.35">
      <c r="A34" t="s">
        <v>22</v>
      </c>
      <c r="B34" t="s">
        <v>23</v>
      </c>
      <c r="C34" t="s">
        <v>4</v>
      </c>
      <c r="D34" t="s">
        <v>498</v>
      </c>
      <c r="E34" t="s">
        <v>136</v>
      </c>
      <c r="F34" s="1">
        <f>VLOOKUP(A:A,MASTER!A:F,6,0)</f>
        <v>113909805.57879363</v>
      </c>
      <c r="G34" s="1">
        <f>VLOOKUP(A:A,MASTER!A:K,11,0)</f>
        <v>114297051.86176543</v>
      </c>
      <c r="H34" s="12">
        <f t="shared" si="0"/>
        <v>3.3995869012692914E-3</v>
      </c>
      <c r="I34" s="2">
        <f>VLOOKUP(A:A,MASTER!A:E,5,0)</f>
        <v>1513</v>
      </c>
      <c r="J34" s="2">
        <f>VLOOKUP(A:A,MASTER!A:J,10,0)</f>
        <v>1506</v>
      </c>
      <c r="K34" s="12">
        <f t="shared" si="1"/>
        <v>-4.6265697290152064E-3</v>
      </c>
      <c r="L34" s="2">
        <f>VLOOKUP(A:A,MASTER!A:D,4,0)</f>
        <v>11</v>
      </c>
      <c r="M34" s="2">
        <f>VLOOKUP(A:A,MASTER!A:I,9,0)</f>
        <v>12</v>
      </c>
      <c r="N34" s="12">
        <f t="shared" si="2"/>
        <v>9.0909090909090828E-2</v>
      </c>
      <c r="O34" s="1">
        <f>VLOOKUP(A:A,MASTER!A:C,3,0)</f>
        <v>27</v>
      </c>
      <c r="P34" s="1">
        <f>VLOOKUP(A:A,MASTER!A:H,8,0)</f>
        <v>17</v>
      </c>
      <c r="Q34" s="12">
        <f t="shared" si="3"/>
        <v>-0.37037037037037035</v>
      </c>
      <c r="R34" s="1">
        <f>VLOOKUP(A:A,MASTER!A:B,2,0)</f>
        <v>1841</v>
      </c>
      <c r="S34">
        <f>VLOOKUP(A:A,MASTER!A:G,7,0)</f>
        <v>1869</v>
      </c>
      <c r="T34" s="12">
        <f t="shared" si="4"/>
        <v>1.5209125475285079E-2</v>
      </c>
      <c r="U34">
        <v>9</v>
      </c>
    </row>
    <row r="35" spans="1:21" x14ac:dyDescent="0.35">
      <c r="A35" t="s">
        <v>24</v>
      </c>
      <c r="B35" t="s">
        <v>25</v>
      </c>
      <c r="C35" t="s">
        <v>4</v>
      </c>
      <c r="D35" t="s">
        <v>498</v>
      </c>
      <c r="E35" t="s">
        <v>136</v>
      </c>
      <c r="F35" s="1">
        <f>VLOOKUP(A:A,MASTER!A:F,6,0)</f>
        <v>67645123.994550571</v>
      </c>
      <c r="G35" s="1">
        <f>VLOOKUP(A:A,MASTER!A:K,11,0)</f>
        <v>67248902.595583081</v>
      </c>
      <c r="H35" s="12">
        <f t="shared" si="0"/>
        <v>-5.8573534287469364E-3</v>
      </c>
      <c r="I35" s="2">
        <f>VLOOKUP(A:A,MASTER!A:E,5,0)</f>
        <v>794</v>
      </c>
      <c r="J35" s="2">
        <f>VLOOKUP(A:A,MASTER!A:J,10,0)</f>
        <v>811</v>
      </c>
      <c r="K35" s="12">
        <f t="shared" si="1"/>
        <v>2.1410579345088054E-2</v>
      </c>
      <c r="L35" s="2">
        <f>VLOOKUP(A:A,MASTER!A:D,4,0)</f>
        <v>2</v>
      </c>
      <c r="M35" s="2">
        <f>VLOOKUP(A:A,MASTER!A:I,9,0)</f>
        <v>3</v>
      </c>
      <c r="N35" s="12">
        <f t="shared" si="2"/>
        <v>0.5</v>
      </c>
      <c r="O35" s="1">
        <f>VLOOKUP(A:A,MASTER!A:C,3,0)</f>
        <v>3</v>
      </c>
      <c r="P35" s="1">
        <f>VLOOKUP(A:A,MASTER!A:H,8,0)</f>
        <v>1</v>
      </c>
      <c r="Q35" s="12">
        <f t="shared" si="3"/>
        <v>-0.66666666666666674</v>
      </c>
      <c r="R35" s="1">
        <f>VLOOKUP(A:A,MASTER!A:B,2,0)</f>
        <v>942</v>
      </c>
      <c r="S35">
        <f>VLOOKUP(A:A,MASTER!A:G,7,0)</f>
        <v>968</v>
      </c>
      <c r="T35" s="12">
        <f t="shared" si="4"/>
        <v>2.7600849256900206E-2</v>
      </c>
      <c r="U35">
        <v>4</v>
      </c>
    </row>
    <row r="36" spans="1:21" x14ac:dyDescent="0.35">
      <c r="A36" t="s">
        <v>9</v>
      </c>
      <c r="B36" t="s">
        <v>10</v>
      </c>
      <c r="C36" t="s">
        <v>4</v>
      </c>
      <c r="D36" t="s">
        <v>495</v>
      </c>
      <c r="E36" t="s">
        <v>136</v>
      </c>
      <c r="F36" s="1">
        <f>VLOOKUP(A:A,MASTER!A:F,6,0)</f>
        <v>87129992.712718487</v>
      </c>
      <c r="G36" s="1">
        <f>VLOOKUP(A:A,MASTER!A:K,11,0)</f>
        <v>88341475.139747635</v>
      </c>
      <c r="H36" s="12">
        <f t="shared" si="0"/>
        <v>1.390430997766301E-2</v>
      </c>
      <c r="I36" s="2">
        <f>VLOOKUP(A:A,MASTER!A:E,5,0)</f>
        <v>2006</v>
      </c>
      <c r="J36" s="2">
        <f>VLOOKUP(A:A,MASTER!A:J,10,0)</f>
        <v>2045</v>
      </c>
      <c r="K36" s="12">
        <f t="shared" si="1"/>
        <v>1.9441674975074763E-2</v>
      </c>
      <c r="L36" s="2">
        <f>VLOOKUP(A:A,MASTER!A:D,4,0)</f>
        <v>11</v>
      </c>
      <c r="M36" s="2">
        <f>VLOOKUP(A:A,MASTER!A:I,9,0)</f>
        <v>13</v>
      </c>
      <c r="N36" s="12">
        <f t="shared" si="2"/>
        <v>0.18181818181818188</v>
      </c>
      <c r="O36" s="1">
        <f>VLOOKUP(A:A,MASTER!A:C,3,0)</f>
        <v>10</v>
      </c>
      <c r="P36" s="1">
        <f>VLOOKUP(A:A,MASTER!A:H,8,0)</f>
        <v>13</v>
      </c>
      <c r="Q36" s="12">
        <f t="shared" si="3"/>
        <v>0.30000000000000004</v>
      </c>
      <c r="R36" s="1">
        <f>VLOOKUP(A:A,MASTER!A:B,2,0)</f>
        <v>1986</v>
      </c>
      <c r="S36">
        <f>VLOOKUP(A:A,MASTER!A:G,7,0)</f>
        <v>1930</v>
      </c>
      <c r="T36" s="12">
        <f t="shared" si="4"/>
        <v>-2.8197381671701938E-2</v>
      </c>
      <c r="U36">
        <v>6</v>
      </c>
    </row>
    <row r="37" spans="1:21" x14ac:dyDescent="0.35">
      <c r="A37" t="s">
        <v>11</v>
      </c>
      <c r="B37" t="s">
        <v>12</v>
      </c>
      <c r="C37" t="s">
        <v>4</v>
      </c>
      <c r="D37" t="s">
        <v>495</v>
      </c>
      <c r="E37" t="s">
        <v>136</v>
      </c>
      <c r="F37" s="1">
        <f>VLOOKUP(A:A,MASTER!A:F,6,0)</f>
        <v>39967735.08125665</v>
      </c>
      <c r="G37" s="1">
        <f>VLOOKUP(A:A,MASTER!A:K,11,0)</f>
        <v>36685848.396192245</v>
      </c>
      <c r="H37" s="12">
        <f t="shared" ref="H37:H46" si="5">IFERROR(G37/F37-1,0)</f>
        <v>-8.2113401682435749E-2</v>
      </c>
      <c r="I37" s="2">
        <f>VLOOKUP(A:A,MASTER!A:E,5,0)</f>
        <v>551</v>
      </c>
      <c r="J37" s="2">
        <f>VLOOKUP(A:A,MASTER!A:J,10,0)</f>
        <v>756</v>
      </c>
      <c r="K37" s="12">
        <f t="shared" ref="K37:K46" si="6">IFERROR(J37/I37-1,0)</f>
        <v>0.37205081669691475</v>
      </c>
      <c r="L37" s="2">
        <f>VLOOKUP(A:A,MASTER!A:D,4,0)</f>
        <v>7</v>
      </c>
      <c r="M37" s="2">
        <f>VLOOKUP(A:A,MASTER!A:I,9,0)</f>
        <v>5</v>
      </c>
      <c r="N37" s="12">
        <f t="shared" ref="N37:N46" si="7">IFERROR(M37/L37-1,0)</f>
        <v>-0.2857142857142857</v>
      </c>
      <c r="O37" s="1">
        <f>VLOOKUP(A:A,MASTER!A:C,3,0)</f>
        <v>4</v>
      </c>
      <c r="P37" s="1">
        <f>VLOOKUP(A:A,MASTER!A:H,8,0)</f>
        <v>4</v>
      </c>
      <c r="Q37" s="12">
        <f t="shared" ref="Q37:Q46" si="8">IFERROR(P37/O37-1,0)</f>
        <v>0</v>
      </c>
      <c r="R37" s="1">
        <f>VLOOKUP(A:A,MASTER!A:B,2,0)</f>
        <v>983</v>
      </c>
      <c r="S37">
        <f>VLOOKUP(A:A,MASTER!A:G,7,0)</f>
        <v>993</v>
      </c>
      <c r="T37" s="12">
        <f t="shared" ref="T37:T46" si="9">IFERROR(S37/R37-1,0)</f>
        <v>1.0172939979654183E-2</v>
      </c>
      <c r="U37">
        <v>3</v>
      </c>
    </row>
    <row r="38" spans="1:21" x14ac:dyDescent="0.35">
      <c r="A38" t="s">
        <v>118</v>
      </c>
      <c r="B38" t="s">
        <v>119</v>
      </c>
      <c r="C38" t="s">
        <v>4</v>
      </c>
      <c r="D38" t="s">
        <v>494</v>
      </c>
      <c r="E38" t="s">
        <v>136</v>
      </c>
      <c r="F38" s="1">
        <f>VLOOKUP(A:A,MASTER!A:F,6,0)</f>
        <v>83165311.16147466</v>
      </c>
      <c r="G38" s="1">
        <f>VLOOKUP(A:A,MASTER!A:K,11,0)</f>
        <v>87570486.934054077</v>
      </c>
      <c r="H38" s="12">
        <f t="shared" si="5"/>
        <v>5.2968908683889593E-2</v>
      </c>
      <c r="I38" s="2">
        <f>VLOOKUP(A:A,MASTER!A:E,5,0)</f>
        <v>1489</v>
      </c>
      <c r="J38" s="2">
        <f>VLOOKUP(A:A,MASTER!A:J,10,0)</f>
        <v>1830</v>
      </c>
      <c r="K38" s="12">
        <f t="shared" si="6"/>
        <v>0.22901276024177308</v>
      </c>
      <c r="L38" s="2">
        <f>VLOOKUP(A:A,MASTER!A:D,4,0)</f>
        <v>11</v>
      </c>
      <c r="M38" s="2">
        <f>VLOOKUP(A:A,MASTER!A:I,9,0)</f>
        <v>13</v>
      </c>
      <c r="N38" s="12">
        <f t="shared" si="7"/>
        <v>0.18181818181818188</v>
      </c>
      <c r="O38" s="1">
        <f>VLOOKUP(A:A,MASTER!A:C,3,0)</f>
        <v>68</v>
      </c>
      <c r="P38" s="1">
        <f>VLOOKUP(A:A,MASTER!A:H,8,0)</f>
        <v>17</v>
      </c>
      <c r="Q38" s="12">
        <f t="shared" si="8"/>
        <v>-0.75</v>
      </c>
      <c r="R38" s="1">
        <f>VLOOKUP(A:A,MASTER!A:B,2,0)</f>
        <v>1935</v>
      </c>
      <c r="S38">
        <f>VLOOKUP(A:A,MASTER!A:G,7,0)</f>
        <v>1939</v>
      </c>
      <c r="T38" s="12">
        <f t="shared" si="9"/>
        <v>2.0671834625323182E-3</v>
      </c>
      <c r="U38">
        <v>4</v>
      </c>
    </row>
    <row r="39" spans="1:21" x14ac:dyDescent="0.35">
      <c r="A39" t="s">
        <v>126</v>
      </c>
      <c r="B39" t="s">
        <v>127</v>
      </c>
      <c r="C39" t="s">
        <v>4</v>
      </c>
      <c r="D39" t="s">
        <v>497</v>
      </c>
      <c r="E39" t="s">
        <v>136</v>
      </c>
      <c r="F39" s="1">
        <f>VLOOKUP(A:A,MASTER!A:F,6,0)</f>
        <v>34802700.239624582</v>
      </c>
      <c r="G39" s="1">
        <f>VLOOKUP(A:A,MASTER!A:K,11,0)</f>
        <v>36505360.629767522</v>
      </c>
      <c r="H39" s="12">
        <f t="shared" si="5"/>
        <v>4.892322660080195E-2</v>
      </c>
      <c r="I39" s="2">
        <f>VLOOKUP(A:A,MASTER!A:E,5,0)</f>
        <v>812</v>
      </c>
      <c r="J39" s="2">
        <f>VLOOKUP(A:A,MASTER!A:J,10,0)</f>
        <v>861</v>
      </c>
      <c r="K39" s="12">
        <f t="shared" si="6"/>
        <v>6.0344827586206851E-2</v>
      </c>
      <c r="L39" s="2">
        <f>VLOOKUP(A:A,MASTER!A:D,4,0)</f>
        <v>0</v>
      </c>
      <c r="M39" s="2">
        <f>VLOOKUP(A:A,MASTER!A:I,9,0)</f>
        <v>1</v>
      </c>
      <c r="N39" s="12">
        <f t="shared" si="7"/>
        <v>0</v>
      </c>
      <c r="O39" s="1">
        <f>VLOOKUP(A:A,MASTER!A:C,3,0)</f>
        <v>4</v>
      </c>
      <c r="P39" s="1">
        <f>VLOOKUP(A:A,MASTER!A:H,8,0)</f>
        <v>2</v>
      </c>
      <c r="Q39" s="12">
        <f t="shared" si="8"/>
        <v>-0.5</v>
      </c>
      <c r="R39" s="1">
        <f>VLOOKUP(A:A,MASTER!A:B,2,0)</f>
        <v>963</v>
      </c>
      <c r="S39">
        <f>VLOOKUP(A:A,MASTER!A:G,7,0)</f>
        <v>986</v>
      </c>
      <c r="T39" s="12">
        <f t="shared" si="9"/>
        <v>2.3883696780893082E-2</v>
      </c>
      <c r="U39">
        <v>3</v>
      </c>
    </row>
    <row r="40" spans="1:21" x14ac:dyDescent="0.35">
      <c r="A40" t="s">
        <v>30</v>
      </c>
      <c r="B40" t="s">
        <v>31</v>
      </c>
      <c r="C40" t="s">
        <v>4</v>
      </c>
      <c r="D40" t="s">
        <v>500</v>
      </c>
      <c r="E40" t="s">
        <v>135</v>
      </c>
      <c r="F40" s="1">
        <f>VLOOKUP(A:A,MASTER!A:F,6,0)</f>
        <v>26709593.252882827</v>
      </c>
      <c r="G40" s="1">
        <f>VLOOKUP(A:A,MASTER!A:K,11,0)</f>
        <v>26848527.044086918</v>
      </c>
      <c r="H40" s="12">
        <f t="shared" si="5"/>
        <v>5.2016438396753628E-3</v>
      </c>
      <c r="I40" s="2">
        <f>VLOOKUP(A:A,MASTER!A:E,5,0)</f>
        <v>521</v>
      </c>
      <c r="J40" s="2">
        <f>VLOOKUP(A:A,MASTER!A:J,10,0)</f>
        <v>478</v>
      </c>
      <c r="K40" s="12">
        <f t="shared" si="6"/>
        <v>-8.2533589251439499E-2</v>
      </c>
      <c r="L40" s="2">
        <f>VLOOKUP(A:A,MASTER!A:D,4,0)</f>
        <v>16</v>
      </c>
      <c r="M40" s="2">
        <f>VLOOKUP(A:A,MASTER!A:I,9,0)</f>
        <v>15</v>
      </c>
      <c r="N40" s="12">
        <f t="shared" si="7"/>
        <v>-6.25E-2</v>
      </c>
      <c r="O40" s="1">
        <f>VLOOKUP(A:A,MASTER!A:C,3,0)</f>
        <v>3</v>
      </c>
      <c r="P40" s="1">
        <f>VLOOKUP(A:A,MASTER!A:H,8,0)</f>
        <v>5</v>
      </c>
      <c r="Q40" s="12">
        <f t="shared" si="8"/>
        <v>0.66666666666666674</v>
      </c>
      <c r="R40" s="1">
        <f>VLOOKUP(A:A,MASTER!A:B,2,0)</f>
        <v>482</v>
      </c>
      <c r="S40">
        <f>VLOOKUP(A:A,MASTER!A:G,7,0)</f>
        <v>501</v>
      </c>
      <c r="T40" s="12">
        <f t="shared" si="9"/>
        <v>3.9419087136929543E-2</v>
      </c>
      <c r="U40">
        <v>0</v>
      </c>
    </row>
    <row r="41" spans="1:21" x14ac:dyDescent="0.35">
      <c r="A41" t="s">
        <v>84</v>
      </c>
      <c r="B41" t="s">
        <v>85</v>
      </c>
      <c r="C41" t="s">
        <v>4</v>
      </c>
      <c r="D41" t="s">
        <v>498</v>
      </c>
      <c r="E41" t="s">
        <v>136</v>
      </c>
      <c r="F41" s="1">
        <f>VLOOKUP(A:A,MASTER!A:F,6,0)</f>
        <v>45917567.389338672</v>
      </c>
      <c r="G41" s="1">
        <f>VLOOKUP(A:A,MASTER!A:K,11,0)</f>
        <v>74103929.494423985</v>
      </c>
      <c r="H41" s="12">
        <f t="shared" si="5"/>
        <v>0.61384702430098104</v>
      </c>
      <c r="I41" s="2">
        <f>VLOOKUP(A:A,MASTER!A:E,5,0)</f>
        <v>23</v>
      </c>
      <c r="J41" s="2">
        <f>VLOOKUP(A:A,MASTER!A:J,10,0)</f>
        <v>744</v>
      </c>
      <c r="K41" s="12">
        <f t="shared" si="6"/>
        <v>31.347826086956523</v>
      </c>
      <c r="L41" s="2">
        <f>VLOOKUP(A:A,MASTER!A:D,4,0)</f>
        <v>3</v>
      </c>
      <c r="M41" s="2">
        <f>VLOOKUP(A:A,MASTER!A:I,9,0)</f>
        <v>6</v>
      </c>
      <c r="N41" s="12">
        <f t="shared" si="7"/>
        <v>1</v>
      </c>
      <c r="O41" s="1">
        <f>VLOOKUP(A:A,MASTER!A:C,3,0)</f>
        <v>10</v>
      </c>
      <c r="P41" s="1">
        <f>VLOOKUP(A:A,MASTER!A:H,8,0)</f>
        <v>9</v>
      </c>
      <c r="Q41" s="12">
        <f t="shared" si="8"/>
        <v>-9.9999999999999978E-2</v>
      </c>
      <c r="R41" s="1">
        <f>VLOOKUP(A:A,MASTER!A:B,2,0)</f>
        <v>906</v>
      </c>
      <c r="S41">
        <f>VLOOKUP(A:A,MASTER!A:G,7,0)</f>
        <v>955</v>
      </c>
      <c r="T41" s="12">
        <f t="shared" si="9"/>
        <v>5.4083885209712967E-2</v>
      </c>
      <c r="U41">
        <v>4</v>
      </c>
    </row>
    <row r="42" spans="1:21" x14ac:dyDescent="0.35">
      <c r="A42" t="s">
        <v>32</v>
      </c>
      <c r="B42" t="s">
        <v>33</v>
      </c>
      <c r="C42" t="s">
        <v>4</v>
      </c>
      <c r="D42" t="s">
        <v>496</v>
      </c>
      <c r="E42" t="s">
        <v>136</v>
      </c>
      <c r="F42" s="1">
        <f>VLOOKUP(A:A,MASTER!A:F,6,0)</f>
        <v>44434756.562884122</v>
      </c>
      <c r="G42" s="1">
        <f>VLOOKUP(A:A,MASTER!A:K,11,0)</f>
        <v>45200327.699073136</v>
      </c>
      <c r="H42" s="12">
        <f t="shared" si="5"/>
        <v>1.7229106118890947E-2</v>
      </c>
      <c r="I42" s="2">
        <f>VLOOKUP(A:A,MASTER!A:E,5,0)</f>
        <v>867</v>
      </c>
      <c r="J42" s="2">
        <f>VLOOKUP(A:A,MASTER!A:J,10,0)</f>
        <v>774</v>
      </c>
      <c r="K42" s="12">
        <f t="shared" si="6"/>
        <v>-0.10726643598615915</v>
      </c>
      <c r="L42" s="2">
        <f>VLOOKUP(A:A,MASTER!A:D,4,0)</f>
        <v>14</v>
      </c>
      <c r="M42" s="2">
        <f>VLOOKUP(A:A,MASTER!A:I,9,0)</f>
        <v>14</v>
      </c>
      <c r="N42" s="12">
        <f t="shared" si="7"/>
        <v>0</v>
      </c>
      <c r="O42" s="1">
        <f>VLOOKUP(A:A,MASTER!A:C,3,0)</f>
        <v>2</v>
      </c>
      <c r="P42" s="1">
        <f>VLOOKUP(A:A,MASTER!A:H,8,0)</f>
        <v>3</v>
      </c>
      <c r="Q42" s="12">
        <f t="shared" si="8"/>
        <v>0.5</v>
      </c>
      <c r="R42" s="1">
        <f>VLOOKUP(A:A,MASTER!A:B,2,0)</f>
        <v>861</v>
      </c>
      <c r="S42">
        <f>VLOOKUP(A:A,MASTER!A:G,7,0)</f>
        <v>893</v>
      </c>
      <c r="T42" s="12">
        <f t="shared" si="9"/>
        <v>3.7166085946573668E-2</v>
      </c>
      <c r="U42">
        <v>2</v>
      </c>
    </row>
    <row r="43" spans="1:21" x14ac:dyDescent="0.35">
      <c r="A43" t="s">
        <v>66</v>
      </c>
      <c r="B43" t="s">
        <v>67</v>
      </c>
      <c r="C43" t="s">
        <v>4</v>
      </c>
      <c r="D43" t="s">
        <v>500</v>
      </c>
      <c r="E43" t="s">
        <v>136</v>
      </c>
      <c r="F43" s="1">
        <f>VLOOKUP(A:A,MASTER!A:F,6,0)</f>
        <v>45419009.972910516</v>
      </c>
      <c r="G43" s="1">
        <f>VLOOKUP(A:A,MASTER!A:K,11,0)</f>
        <v>50455245.11157991</v>
      </c>
      <c r="H43" s="12">
        <f t="shared" si="5"/>
        <v>0.11088385990080329</v>
      </c>
      <c r="I43" s="2">
        <f>VLOOKUP(A:A,MASTER!A:E,5,0)</f>
        <v>913</v>
      </c>
      <c r="J43" s="2">
        <f>VLOOKUP(A:A,MASTER!A:J,10,0)</f>
        <v>806</v>
      </c>
      <c r="K43" s="12">
        <f t="shared" si="6"/>
        <v>-0.11719605695509305</v>
      </c>
      <c r="L43" s="2">
        <f>VLOOKUP(A:A,MASTER!A:D,4,0)</f>
        <v>8</v>
      </c>
      <c r="M43" s="2">
        <f>VLOOKUP(A:A,MASTER!A:I,9,0)</f>
        <v>8</v>
      </c>
      <c r="N43" s="12">
        <f t="shared" si="7"/>
        <v>0</v>
      </c>
      <c r="O43" s="1">
        <f>VLOOKUP(A:A,MASTER!A:C,3,0)</f>
        <v>5</v>
      </c>
      <c r="P43" s="1">
        <f>VLOOKUP(A:A,MASTER!A:H,8,0)</f>
        <v>4</v>
      </c>
      <c r="Q43" s="12">
        <f t="shared" si="8"/>
        <v>-0.19999999999999996</v>
      </c>
      <c r="R43" s="1">
        <f>VLOOKUP(A:A,MASTER!A:B,2,0)</f>
        <v>805</v>
      </c>
      <c r="S43">
        <f>VLOOKUP(A:A,MASTER!A:G,7,0)</f>
        <v>835</v>
      </c>
      <c r="T43" s="12">
        <f t="shared" si="9"/>
        <v>3.7267080745341685E-2</v>
      </c>
      <c r="U43">
        <v>3</v>
      </c>
    </row>
    <row r="44" spans="1:21" x14ac:dyDescent="0.35">
      <c r="A44" t="s">
        <v>120</v>
      </c>
      <c r="B44" t="s">
        <v>121</v>
      </c>
      <c r="C44" t="s">
        <v>4</v>
      </c>
      <c r="D44" t="s">
        <v>494</v>
      </c>
      <c r="E44" t="s">
        <v>136</v>
      </c>
      <c r="F44" s="1">
        <f>VLOOKUP(A:A,MASTER!A:F,6,0)</f>
        <v>98822204.943340421</v>
      </c>
      <c r="G44" s="1">
        <f>VLOOKUP(A:A,MASTER!A:K,11,0)</f>
        <v>87337795.959275141</v>
      </c>
      <c r="H44" s="12">
        <f t="shared" si="5"/>
        <v>-0.11621283891256884</v>
      </c>
      <c r="I44" s="2">
        <f>VLOOKUP(A:A,MASTER!A:E,5,0)</f>
        <v>1282</v>
      </c>
      <c r="J44" s="2">
        <f>VLOOKUP(A:A,MASTER!A:J,10,0)</f>
        <v>1490</v>
      </c>
      <c r="K44" s="12">
        <f t="shared" si="6"/>
        <v>0.16224648985959433</v>
      </c>
      <c r="L44" s="2">
        <f>VLOOKUP(A:A,MASTER!A:D,4,0)</f>
        <v>11</v>
      </c>
      <c r="M44" s="2">
        <f>VLOOKUP(A:A,MASTER!A:I,9,0)</f>
        <v>11</v>
      </c>
      <c r="N44" s="12">
        <f t="shared" si="7"/>
        <v>0</v>
      </c>
      <c r="O44" s="1">
        <f>VLOOKUP(A:A,MASTER!A:C,3,0)</f>
        <v>4</v>
      </c>
      <c r="P44" s="1">
        <f>VLOOKUP(A:A,MASTER!A:H,8,0)</f>
        <v>6</v>
      </c>
      <c r="Q44" s="12">
        <f t="shared" si="8"/>
        <v>0.5</v>
      </c>
      <c r="R44" s="1">
        <f>VLOOKUP(A:A,MASTER!A:B,2,0)</f>
        <v>1935</v>
      </c>
      <c r="S44">
        <f>VLOOKUP(A:A,MASTER!A:G,7,0)</f>
        <v>1904</v>
      </c>
      <c r="T44" s="12">
        <f t="shared" si="9"/>
        <v>-1.60206718346253E-2</v>
      </c>
      <c r="U44">
        <v>2</v>
      </c>
    </row>
    <row r="45" spans="1:21" x14ac:dyDescent="0.35">
      <c r="A45" t="s">
        <v>68</v>
      </c>
      <c r="B45" t="s">
        <v>69</v>
      </c>
      <c r="C45" t="s">
        <v>4</v>
      </c>
      <c r="D45" t="s">
        <v>497</v>
      </c>
      <c r="E45" t="s">
        <v>135</v>
      </c>
      <c r="F45" s="1">
        <f>VLOOKUP(A:A,MASTER!A:F,6,0)</f>
        <v>24030689.711215809</v>
      </c>
      <c r="G45" s="1">
        <f>VLOOKUP(A:A,MASTER!A:K,11,0)</f>
        <v>18110909.452992059</v>
      </c>
      <c r="H45" s="12">
        <f t="shared" si="5"/>
        <v>-0.24634250324745444</v>
      </c>
      <c r="I45" s="2">
        <f>VLOOKUP(A:A,MASTER!A:E,5,0)</f>
        <v>1161</v>
      </c>
      <c r="J45" s="2">
        <f>VLOOKUP(A:A,MASTER!A:J,10,0)</f>
        <v>746</v>
      </c>
      <c r="K45" s="12">
        <f t="shared" si="6"/>
        <v>-0.35745047372954353</v>
      </c>
      <c r="L45" s="2">
        <f>VLOOKUP(A:A,MASTER!A:D,4,0)</f>
        <v>4</v>
      </c>
      <c r="M45" s="2">
        <f>VLOOKUP(A:A,MASTER!A:I,9,0)</f>
        <v>5</v>
      </c>
      <c r="N45" s="12">
        <f t="shared" si="7"/>
        <v>0.25</v>
      </c>
      <c r="O45" s="1">
        <f>VLOOKUP(A:A,MASTER!A:C,3,0)</f>
        <v>4</v>
      </c>
      <c r="P45" s="1">
        <f>VLOOKUP(A:A,MASTER!A:H,8,0)</f>
        <v>10</v>
      </c>
      <c r="Q45" s="12">
        <f t="shared" si="8"/>
        <v>1.5</v>
      </c>
      <c r="R45" s="1">
        <f>VLOOKUP(A:A,MASTER!A:B,2,0)</f>
        <v>721</v>
      </c>
      <c r="S45">
        <f>VLOOKUP(A:A,MASTER!A:G,7,0)</f>
        <v>728</v>
      </c>
      <c r="T45" s="12">
        <f t="shared" si="9"/>
        <v>9.7087378640776656E-3</v>
      </c>
      <c r="U45">
        <v>2</v>
      </c>
    </row>
    <row r="46" spans="1:21" x14ac:dyDescent="0.35">
      <c r="A46" t="s">
        <v>74</v>
      </c>
      <c r="B46" t="s">
        <v>75</v>
      </c>
      <c r="C46" t="s">
        <v>4</v>
      </c>
      <c r="D46" t="s">
        <v>500</v>
      </c>
      <c r="E46" t="s">
        <v>136</v>
      </c>
      <c r="F46" s="1">
        <f>VLOOKUP(A:A,MASTER!A:F,6,0)</f>
        <v>54211438.4163021</v>
      </c>
      <c r="G46" s="1">
        <f>VLOOKUP(A:A,MASTER!A:K,11,0)</f>
        <v>52976909.771645561</v>
      </c>
      <c r="H46" s="12">
        <f t="shared" si="5"/>
        <v>-2.2772475343234899E-2</v>
      </c>
      <c r="I46" s="2">
        <f>VLOOKUP(A:A,MASTER!A:E,5,0)</f>
        <v>966</v>
      </c>
      <c r="J46" s="2">
        <f>VLOOKUP(A:A,MASTER!A:J,10,0)</f>
        <v>822</v>
      </c>
      <c r="K46" s="12">
        <f t="shared" si="6"/>
        <v>-0.14906832298136641</v>
      </c>
      <c r="L46" s="2">
        <f>VLOOKUP(A:A,MASTER!A:D,4,0)</f>
        <v>9</v>
      </c>
      <c r="M46" s="2">
        <f>VLOOKUP(A:A,MASTER!A:I,9,0)</f>
        <v>10</v>
      </c>
      <c r="N46" s="12">
        <f t="shared" si="7"/>
        <v>0.11111111111111116</v>
      </c>
      <c r="O46" s="1">
        <f>VLOOKUP(A:A,MASTER!A:C,3,0)</f>
        <v>16</v>
      </c>
      <c r="P46" s="1">
        <f>VLOOKUP(A:A,MASTER!A:H,8,0)</f>
        <v>13</v>
      </c>
      <c r="Q46" s="12">
        <f t="shared" si="8"/>
        <v>-0.1875</v>
      </c>
      <c r="R46" s="1">
        <f>VLOOKUP(A:A,MASTER!A:B,2,0)</f>
        <v>885</v>
      </c>
      <c r="S46">
        <f>VLOOKUP(A:A,MASTER!A:G,7,0)</f>
        <v>928</v>
      </c>
      <c r="T46" s="12">
        <f t="shared" si="9"/>
        <v>4.8587570621468901E-2</v>
      </c>
      <c r="U46">
        <v>7</v>
      </c>
    </row>
  </sheetData>
  <autoFilter ref="A1:U46"/>
  <conditionalFormatting sqref="U2:U46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429"/>
  <sheetViews>
    <sheetView tabSelected="1" workbookViewId="0">
      <pane xSplit="1" ySplit="5" topLeftCell="B37" activePane="bottomRight" state="frozen"/>
      <selection pane="topRight" activeCell="B1" sqref="B1"/>
      <selection pane="bottomLeft" activeCell="A6" sqref="A6"/>
      <selection pane="bottomRight" activeCell="A5" sqref="A5:K427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112784</v>
      </c>
      <c r="C3" s="11">
        <f t="shared" si="0"/>
        <v>3571</v>
      </c>
      <c r="D3" s="11">
        <f t="shared" si="0"/>
        <v>487</v>
      </c>
      <c r="E3" s="11">
        <f t="shared" si="0"/>
        <v>92683</v>
      </c>
      <c r="F3" s="11">
        <f t="shared" si="0"/>
        <v>4677743416.1750765</v>
      </c>
      <c r="G3" s="11">
        <f t="shared" si="0"/>
        <v>107807</v>
      </c>
      <c r="H3" s="11">
        <f t="shared" si="0"/>
        <v>3720</v>
      </c>
      <c r="I3" s="11">
        <f t="shared" si="0"/>
        <v>502</v>
      </c>
      <c r="J3" s="11">
        <f t="shared" si="0"/>
        <v>92248</v>
      </c>
      <c r="K3" s="11">
        <f t="shared" si="0"/>
        <v>4587148537.6413212</v>
      </c>
    </row>
    <row r="4" spans="1:11" x14ac:dyDescent="0.35">
      <c r="A4" s="7"/>
      <c r="B4" s="7" t="s">
        <v>147</v>
      </c>
      <c r="C4" s="7"/>
      <c r="D4" s="7"/>
      <c r="E4" s="7"/>
      <c r="F4" s="7"/>
      <c r="G4" s="7" t="s">
        <v>148</v>
      </c>
      <c r="H4" s="7"/>
      <c r="I4" s="7"/>
      <c r="J4" s="7"/>
      <c r="K4" s="7"/>
    </row>
    <row r="5" spans="1:11" x14ac:dyDescent="0.35">
      <c r="A5" s="8" t="s">
        <v>149</v>
      </c>
      <c r="B5" s="8" t="s">
        <v>150</v>
      </c>
      <c r="C5" s="8" t="s">
        <v>157</v>
      </c>
      <c r="D5" s="8" t="s">
        <v>151</v>
      </c>
      <c r="E5" s="8" t="s">
        <v>152</v>
      </c>
      <c r="F5" s="8" t="s">
        <v>153</v>
      </c>
      <c r="G5" s="8" t="s">
        <v>150</v>
      </c>
      <c r="H5" s="8" t="s">
        <v>157</v>
      </c>
      <c r="I5" s="8" t="s">
        <v>151</v>
      </c>
      <c r="J5" s="8" t="s">
        <v>152</v>
      </c>
      <c r="K5" s="8" t="s">
        <v>153</v>
      </c>
    </row>
    <row r="6" spans="1:11" x14ac:dyDescent="0.35">
      <c r="A6" s="9" t="s">
        <v>90</v>
      </c>
      <c r="B6" s="10">
        <v>3268</v>
      </c>
      <c r="C6" s="10">
        <v>4</v>
      </c>
      <c r="D6" s="10">
        <v>4</v>
      </c>
      <c r="E6" s="10">
        <v>553</v>
      </c>
      <c r="F6" s="10">
        <v>22089780.978554849</v>
      </c>
      <c r="G6" s="10">
        <v>1223</v>
      </c>
      <c r="H6" s="10">
        <v>3</v>
      </c>
      <c r="I6" s="10">
        <v>3</v>
      </c>
      <c r="J6" s="10">
        <v>215</v>
      </c>
      <c r="K6" s="10">
        <v>15637238.807290912</v>
      </c>
    </row>
    <row r="7" spans="1:11" x14ac:dyDescent="0.35">
      <c r="A7" s="9" t="s">
        <v>95</v>
      </c>
      <c r="B7" s="10">
        <v>1438</v>
      </c>
      <c r="C7" s="10">
        <v>8</v>
      </c>
      <c r="D7" s="10">
        <v>4</v>
      </c>
      <c r="E7" s="10">
        <v>625</v>
      </c>
      <c r="F7" s="10">
        <v>23298772.121771172</v>
      </c>
      <c r="G7" s="10">
        <v>899</v>
      </c>
      <c r="H7" s="10">
        <v>10</v>
      </c>
      <c r="I7" s="10">
        <v>5</v>
      </c>
      <c r="J7" s="10">
        <v>1126</v>
      </c>
      <c r="K7" s="10">
        <v>24258694.586769417</v>
      </c>
    </row>
    <row r="8" spans="1:11" x14ac:dyDescent="0.35">
      <c r="A8" s="9" t="s">
        <v>91</v>
      </c>
      <c r="B8" s="10">
        <v>1649</v>
      </c>
      <c r="C8" s="10">
        <v>14</v>
      </c>
      <c r="D8" s="10">
        <v>2</v>
      </c>
      <c r="E8" s="10">
        <v>1377</v>
      </c>
      <c r="F8" s="10">
        <v>38592883.984037399</v>
      </c>
      <c r="G8" s="10">
        <v>1379</v>
      </c>
      <c r="H8" s="10">
        <v>8</v>
      </c>
      <c r="I8" s="10">
        <v>2</v>
      </c>
      <c r="J8" s="10">
        <v>1263</v>
      </c>
      <c r="K8" s="10">
        <v>29614768.446556948</v>
      </c>
    </row>
    <row r="9" spans="1:11" x14ac:dyDescent="0.35">
      <c r="A9" s="9" t="s">
        <v>92</v>
      </c>
      <c r="B9" s="10">
        <v>1964</v>
      </c>
      <c r="C9" s="10">
        <v>16</v>
      </c>
      <c r="D9" s="10">
        <v>4</v>
      </c>
      <c r="E9" s="10">
        <v>1476</v>
      </c>
      <c r="F9" s="10">
        <v>66422183.917078167</v>
      </c>
      <c r="G9" s="10">
        <v>1632</v>
      </c>
      <c r="H9" s="10">
        <v>9</v>
      </c>
      <c r="I9" s="10">
        <v>3</v>
      </c>
      <c r="J9" s="10">
        <v>1524</v>
      </c>
      <c r="K9" s="10">
        <v>56422588.076145262</v>
      </c>
    </row>
    <row r="10" spans="1:11" x14ac:dyDescent="0.35">
      <c r="A10" s="9" t="s">
        <v>93</v>
      </c>
      <c r="B10" s="10">
        <v>1399</v>
      </c>
      <c r="C10" s="10">
        <v>8</v>
      </c>
      <c r="D10" s="10">
        <v>4</v>
      </c>
      <c r="E10" s="10">
        <v>1353</v>
      </c>
      <c r="F10" s="10">
        <v>60205273.134853512</v>
      </c>
      <c r="G10" s="10">
        <v>1327</v>
      </c>
      <c r="H10" s="10">
        <v>8</v>
      </c>
      <c r="I10" s="10">
        <v>4</v>
      </c>
      <c r="J10" s="10">
        <v>1708</v>
      </c>
      <c r="K10" s="10">
        <v>57026637.752251998</v>
      </c>
    </row>
    <row r="11" spans="1:11" x14ac:dyDescent="0.35">
      <c r="A11" s="9" t="s">
        <v>94</v>
      </c>
      <c r="B11" s="10">
        <v>1122</v>
      </c>
      <c r="C11" s="10">
        <v>14</v>
      </c>
      <c r="D11" s="10">
        <v>8</v>
      </c>
      <c r="E11" s="10">
        <v>753</v>
      </c>
      <c r="F11" s="10">
        <v>43848534.197717562</v>
      </c>
      <c r="G11" s="10">
        <v>972</v>
      </c>
      <c r="H11" s="10">
        <v>5</v>
      </c>
      <c r="I11" s="10">
        <v>8</v>
      </c>
      <c r="J11" s="10">
        <v>516</v>
      </c>
      <c r="K11" s="10">
        <v>38323590.583590671</v>
      </c>
    </row>
    <row r="12" spans="1:11" x14ac:dyDescent="0.35">
      <c r="A12" s="9" t="s">
        <v>97</v>
      </c>
      <c r="B12" s="10">
        <v>1585</v>
      </c>
      <c r="C12" s="10">
        <v>21</v>
      </c>
      <c r="D12" s="10">
        <v>3</v>
      </c>
      <c r="E12" s="10">
        <v>1053</v>
      </c>
      <c r="F12" s="10">
        <v>42819326.50231114</v>
      </c>
      <c r="G12" s="10">
        <v>1349</v>
      </c>
      <c r="H12" s="10">
        <v>16</v>
      </c>
      <c r="I12" s="10">
        <v>2</v>
      </c>
      <c r="J12" s="10">
        <v>775</v>
      </c>
      <c r="K12" s="10">
        <v>39990518.947670497</v>
      </c>
    </row>
    <row r="13" spans="1:11" x14ac:dyDescent="0.35">
      <c r="A13" s="9" t="s">
        <v>98</v>
      </c>
      <c r="B13" s="10">
        <v>847</v>
      </c>
      <c r="C13" s="10">
        <v>8</v>
      </c>
      <c r="D13" s="10">
        <v>2</v>
      </c>
      <c r="E13" s="10">
        <v>756</v>
      </c>
      <c r="F13" s="10">
        <v>40227765.203508943</v>
      </c>
      <c r="G13" s="10">
        <v>773</v>
      </c>
      <c r="H13" s="10">
        <v>11</v>
      </c>
      <c r="I13" s="10">
        <v>3</v>
      </c>
      <c r="J13" s="10">
        <v>721</v>
      </c>
      <c r="K13" s="10">
        <v>39134143.06312447</v>
      </c>
    </row>
    <row r="14" spans="1:11" x14ac:dyDescent="0.35">
      <c r="A14" s="9" t="s">
        <v>102</v>
      </c>
      <c r="B14" s="10">
        <v>509</v>
      </c>
      <c r="C14" s="10">
        <v>9</v>
      </c>
      <c r="D14" s="10">
        <v>2</v>
      </c>
      <c r="E14" s="10">
        <v>534</v>
      </c>
      <c r="F14" s="10">
        <v>24701112.661507826</v>
      </c>
      <c r="G14" s="10">
        <v>458</v>
      </c>
      <c r="H14" s="10">
        <v>6</v>
      </c>
      <c r="I14" s="10">
        <v>2</v>
      </c>
      <c r="J14" s="10">
        <v>530</v>
      </c>
      <c r="K14" s="10">
        <v>23286589.088743415</v>
      </c>
    </row>
    <row r="15" spans="1:11" x14ac:dyDescent="0.35">
      <c r="A15" s="9" t="s">
        <v>99</v>
      </c>
      <c r="B15" s="10">
        <v>1325</v>
      </c>
      <c r="C15" s="10">
        <v>17</v>
      </c>
      <c r="D15" s="10">
        <v>2</v>
      </c>
      <c r="E15" s="10">
        <v>1107</v>
      </c>
      <c r="F15" s="10">
        <v>42431956.250535965</v>
      </c>
      <c r="G15" s="10">
        <v>1287</v>
      </c>
      <c r="H15" s="10">
        <v>16</v>
      </c>
      <c r="I15" s="10">
        <v>1</v>
      </c>
      <c r="J15" s="10">
        <v>921</v>
      </c>
      <c r="K15" s="10">
        <v>40846310.054239139</v>
      </c>
    </row>
    <row r="16" spans="1:11" x14ac:dyDescent="0.35">
      <c r="A16" s="9" t="s">
        <v>103</v>
      </c>
      <c r="B16" s="10">
        <v>1037</v>
      </c>
      <c r="C16" s="10">
        <v>1</v>
      </c>
      <c r="D16" s="10">
        <v>2</v>
      </c>
      <c r="E16" s="10">
        <v>1036</v>
      </c>
      <c r="F16" s="10">
        <v>28828166.431487411</v>
      </c>
      <c r="G16" s="10">
        <v>962</v>
      </c>
      <c r="H16" s="10">
        <v>7</v>
      </c>
      <c r="I16" s="10">
        <v>2</v>
      </c>
      <c r="J16" s="10">
        <v>933</v>
      </c>
      <c r="K16" s="10">
        <v>27481867.860811345</v>
      </c>
    </row>
    <row r="17" spans="1:11" x14ac:dyDescent="0.35">
      <c r="A17" s="9" t="s">
        <v>104</v>
      </c>
      <c r="B17" s="10">
        <v>734</v>
      </c>
      <c r="C17" s="10">
        <v>9</v>
      </c>
      <c r="D17" s="10">
        <v>1</v>
      </c>
      <c r="E17" s="10">
        <v>744</v>
      </c>
      <c r="F17" s="10">
        <v>29504161.700685009</v>
      </c>
      <c r="G17" s="10">
        <v>717</v>
      </c>
      <c r="H17" s="10">
        <v>8</v>
      </c>
      <c r="I17" s="10">
        <v>1</v>
      </c>
      <c r="J17" s="10">
        <v>673</v>
      </c>
      <c r="K17" s="10">
        <v>29152562.493183255</v>
      </c>
    </row>
    <row r="18" spans="1:11" x14ac:dyDescent="0.35">
      <c r="A18" s="9" t="s">
        <v>19</v>
      </c>
      <c r="B18" s="10">
        <v>1511</v>
      </c>
      <c r="C18" s="10">
        <v>15</v>
      </c>
      <c r="D18" s="10">
        <v>7</v>
      </c>
      <c r="E18" s="10">
        <v>1446</v>
      </c>
      <c r="F18" s="10">
        <v>51425227.21000953</v>
      </c>
      <c r="G18" s="10">
        <v>1580</v>
      </c>
      <c r="H18" s="10">
        <v>3</v>
      </c>
      <c r="I18" s="10">
        <v>7</v>
      </c>
      <c r="J18" s="10">
        <v>1265</v>
      </c>
      <c r="K18" s="10">
        <v>51647823.370087571</v>
      </c>
    </row>
    <row r="19" spans="1:11" x14ac:dyDescent="0.35">
      <c r="A19" s="9" t="s">
        <v>40</v>
      </c>
      <c r="B19" s="10">
        <v>1343</v>
      </c>
      <c r="C19" s="10">
        <v>1</v>
      </c>
      <c r="D19" s="10">
        <v>6</v>
      </c>
      <c r="E19" s="10">
        <v>932</v>
      </c>
      <c r="F19" s="10">
        <v>65945335.136309408</v>
      </c>
      <c r="G19" s="10">
        <v>1308</v>
      </c>
      <c r="H19" s="10">
        <v>8</v>
      </c>
      <c r="I19" s="10">
        <v>5</v>
      </c>
      <c r="J19" s="10">
        <v>884</v>
      </c>
      <c r="K19" s="10">
        <v>54375423.581624299</v>
      </c>
    </row>
    <row r="20" spans="1:11" x14ac:dyDescent="0.35">
      <c r="A20" s="9" t="s">
        <v>41</v>
      </c>
      <c r="B20" s="10">
        <v>1764</v>
      </c>
      <c r="C20" s="10">
        <v>19</v>
      </c>
      <c r="D20" s="10">
        <v>9</v>
      </c>
      <c r="E20" s="10">
        <v>1007</v>
      </c>
      <c r="F20" s="10">
        <v>55217820.873716667</v>
      </c>
      <c r="G20" s="10">
        <v>1533</v>
      </c>
      <c r="H20" s="10">
        <v>9</v>
      </c>
      <c r="I20" s="10">
        <v>6</v>
      </c>
      <c r="J20" s="10">
        <v>1540</v>
      </c>
      <c r="K20" s="10">
        <v>52909291.248685092</v>
      </c>
    </row>
    <row r="21" spans="1:11" x14ac:dyDescent="0.35">
      <c r="A21" s="9" t="s">
        <v>42</v>
      </c>
      <c r="B21" s="10">
        <v>992</v>
      </c>
      <c r="C21" s="10">
        <v>7</v>
      </c>
      <c r="D21" s="10">
        <v>5</v>
      </c>
      <c r="E21" s="10">
        <v>720</v>
      </c>
      <c r="F21" s="10">
        <v>32923179.318508662</v>
      </c>
      <c r="G21" s="10">
        <v>949</v>
      </c>
      <c r="H21" s="10">
        <v>5</v>
      </c>
      <c r="I21" s="10">
        <v>5</v>
      </c>
      <c r="J21" s="10">
        <v>829</v>
      </c>
      <c r="K21" s="10">
        <v>32534672.221754275</v>
      </c>
    </row>
    <row r="22" spans="1:11" x14ac:dyDescent="0.35">
      <c r="A22" s="9" t="s">
        <v>43</v>
      </c>
      <c r="B22" s="10">
        <v>2944</v>
      </c>
      <c r="C22" s="10">
        <v>265</v>
      </c>
      <c r="D22" s="10">
        <v>12</v>
      </c>
      <c r="E22" s="10">
        <v>2287</v>
      </c>
      <c r="F22" s="10">
        <v>120583578.03036079</v>
      </c>
      <c r="G22" s="10">
        <v>2944</v>
      </c>
      <c r="H22" s="10">
        <v>385</v>
      </c>
      <c r="I22" s="10">
        <v>13</v>
      </c>
      <c r="J22" s="10">
        <v>2370</v>
      </c>
      <c r="K22" s="10">
        <v>118594816.81541218</v>
      </c>
    </row>
    <row r="23" spans="1:11" x14ac:dyDescent="0.35">
      <c r="A23" s="9" t="s">
        <v>44</v>
      </c>
      <c r="B23" s="10">
        <v>1415</v>
      </c>
      <c r="C23" s="10">
        <v>8</v>
      </c>
      <c r="D23" s="10">
        <v>3</v>
      </c>
      <c r="E23" s="10">
        <v>1390</v>
      </c>
      <c r="F23" s="10">
        <v>63499666.507794194</v>
      </c>
      <c r="G23" s="10">
        <v>1422</v>
      </c>
      <c r="H23" s="10">
        <v>7</v>
      </c>
      <c r="I23" s="10">
        <v>3</v>
      </c>
      <c r="J23" s="10">
        <v>1336</v>
      </c>
      <c r="K23" s="10">
        <v>63553954.599130563</v>
      </c>
    </row>
    <row r="24" spans="1:11" x14ac:dyDescent="0.35">
      <c r="A24" s="9" t="s">
        <v>45</v>
      </c>
      <c r="B24" s="10">
        <v>2788</v>
      </c>
      <c r="C24" s="10">
        <v>11</v>
      </c>
      <c r="D24" s="10">
        <v>13</v>
      </c>
      <c r="E24" s="10">
        <v>2111</v>
      </c>
      <c r="F24" s="10">
        <v>113148757.69726439</v>
      </c>
      <c r="G24" s="10">
        <v>2649</v>
      </c>
      <c r="H24" s="10">
        <v>9</v>
      </c>
      <c r="I24" s="10">
        <v>13</v>
      </c>
      <c r="J24" s="10">
        <v>2141</v>
      </c>
      <c r="K24" s="10">
        <v>113033107.04021187</v>
      </c>
    </row>
    <row r="25" spans="1:11" x14ac:dyDescent="0.35">
      <c r="A25" s="9" t="s">
        <v>51</v>
      </c>
      <c r="B25" s="10">
        <v>587</v>
      </c>
      <c r="C25" s="10">
        <v>3</v>
      </c>
      <c r="D25" s="10">
        <v>2</v>
      </c>
      <c r="E25" s="10">
        <v>632</v>
      </c>
      <c r="F25" s="10">
        <v>20531605.057397351</v>
      </c>
      <c r="G25" s="10">
        <v>576</v>
      </c>
      <c r="H25" s="10">
        <v>1</v>
      </c>
      <c r="I25" s="10">
        <v>2</v>
      </c>
      <c r="J25" s="10">
        <v>756</v>
      </c>
      <c r="K25" s="10">
        <v>21213522.050058436</v>
      </c>
    </row>
    <row r="26" spans="1:11" x14ac:dyDescent="0.35">
      <c r="A26" s="9" t="s">
        <v>54</v>
      </c>
      <c r="B26" s="10">
        <v>2366</v>
      </c>
      <c r="C26" s="10">
        <v>30</v>
      </c>
      <c r="D26" s="10">
        <v>3</v>
      </c>
      <c r="E26" s="10">
        <v>2014</v>
      </c>
      <c r="F26" s="10">
        <v>64142368.505310178</v>
      </c>
      <c r="G26" s="10">
        <v>2367</v>
      </c>
      <c r="H26" s="10">
        <v>22</v>
      </c>
      <c r="I26" s="10">
        <v>2</v>
      </c>
      <c r="J26" s="10">
        <v>2179</v>
      </c>
      <c r="K26" s="10">
        <v>66854042.915757142</v>
      </c>
    </row>
    <row r="27" spans="1:11" x14ac:dyDescent="0.35">
      <c r="A27" s="9" t="s">
        <v>52</v>
      </c>
      <c r="B27" s="10">
        <v>922</v>
      </c>
      <c r="C27" s="10">
        <v>12</v>
      </c>
      <c r="D27" s="10">
        <v>1</v>
      </c>
      <c r="E27" s="10">
        <v>887</v>
      </c>
      <c r="F27" s="10">
        <v>22221097.097400669</v>
      </c>
      <c r="G27" s="10">
        <v>927</v>
      </c>
      <c r="H27" s="10">
        <v>9</v>
      </c>
      <c r="I27" s="10">
        <v>2</v>
      </c>
      <c r="J27" s="10">
        <v>924</v>
      </c>
      <c r="K27" s="10">
        <v>26420576.125021685</v>
      </c>
    </row>
    <row r="28" spans="1:11" x14ac:dyDescent="0.35">
      <c r="A28" s="9" t="s">
        <v>53</v>
      </c>
      <c r="B28" s="10">
        <v>948</v>
      </c>
      <c r="C28" s="10">
        <v>5</v>
      </c>
      <c r="D28" s="10">
        <v>1</v>
      </c>
      <c r="E28" s="10">
        <v>650</v>
      </c>
      <c r="F28" s="10">
        <v>27080236.364236951</v>
      </c>
      <c r="G28" s="10">
        <v>978</v>
      </c>
      <c r="H28" s="10">
        <v>3</v>
      </c>
      <c r="I28" s="10">
        <v>1</v>
      </c>
      <c r="J28" s="10">
        <v>773</v>
      </c>
      <c r="K28" s="10">
        <v>26623523.638147619</v>
      </c>
    </row>
    <row r="29" spans="1:11" x14ac:dyDescent="0.35">
      <c r="A29" s="9" t="s">
        <v>57</v>
      </c>
      <c r="B29" s="10">
        <v>235</v>
      </c>
      <c r="C29" s="10">
        <v>1</v>
      </c>
      <c r="D29" s="10">
        <v>0</v>
      </c>
      <c r="E29" s="10">
        <v>195</v>
      </c>
      <c r="F29" s="10">
        <v>6976678.0782106752</v>
      </c>
      <c r="G29" s="10">
        <v>234</v>
      </c>
      <c r="H29" s="10">
        <v>0</v>
      </c>
      <c r="I29" s="10">
        <v>0</v>
      </c>
      <c r="J29" s="10">
        <v>197</v>
      </c>
      <c r="K29" s="10">
        <v>8525102.4769625776</v>
      </c>
    </row>
    <row r="30" spans="1:11" x14ac:dyDescent="0.35">
      <c r="A30" s="9" t="s">
        <v>86</v>
      </c>
      <c r="B30" s="10">
        <v>1975</v>
      </c>
      <c r="C30" s="10">
        <v>10</v>
      </c>
      <c r="D30" s="10">
        <v>11</v>
      </c>
      <c r="E30" s="10">
        <v>1870</v>
      </c>
      <c r="F30" s="10">
        <v>63548178.822474189</v>
      </c>
      <c r="G30" s="10">
        <v>1876</v>
      </c>
      <c r="H30" s="10">
        <v>11</v>
      </c>
      <c r="I30" s="10">
        <v>11</v>
      </c>
      <c r="J30" s="10">
        <v>1655</v>
      </c>
      <c r="K30" s="10">
        <v>62790858.009778291</v>
      </c>
    </row>
    <row r="31" spans="1:11" x14ac:dyDescent="0.35">
      <c r="A31" s="9" t="s">
        <v>87</v>
      </c>
      <c r="B31" s="10">
        <v>1061</v>
      </c>
      <c r="C31" s="10">
        <v>4</v>
      </c>
      <c r="D31" s="10">
        <v>1</v>
      </c>
      <c r="E31" s="10">
        <v>772</v>
      </c>
      <c r="F31" s="10">
        <v>53947988.804713197</v>
      </c>
      <c r="G31" s="10">
        <v>1042</v>
      </c>
      <c r="H31" s="10">
        <v>2</v>
      </c>
      <c r="I31" s="10">
        <v>0</v>
      </c>
      <c r="J31" s="10">
        <v>785</v>
      </c>
      <c r="K31" s="10">
        <v>56323769.005429223</v>
      </c>
    </row>
    <row r="32" spans="1:11" x14ac:dyDescent="0.35">
      <c r="A32" s="9" t="s">
        <v>88</v>
      </c>
      <c r="B32" s="10">
        <v>1122</v>
      </c>
      <c r="C32" s="10">
        <v>4</v>
      </c>
      <c r="D32" s="10">
        <v>4</v>
      </c>
      <c r="E32" s="10">
        <v>996</v>
      </c>
      <c r="F32" s="10">
        <v>51940548.701618053</v>
      </c>
      <c r="G32" s="10">
        <v>1138</v>
      </c>
      <c r="H32" s="10">
        <v>10</v>
      </c>
      <c r="I32" s="10">
        <v>6</v>
      </c>
      <c r="J32" s="10">
        <v>962</v>
      </c>
      <c r="K32" s="10">
        <v>56250695.300692856</v>
      </c>
    </row>
    <row r="33" spans="1:11" x14ac:dyDescent="0.35">
      <c r="A33" s="9" t="s">
        <v>89</v>
      </c>
      <c r="B33" s="10">
        <v>1628</v>
      </c>
      <c r="C33" s="10">
        <v>2</v>
      </c>
      <c r="D33" s="10">
        <v>5</v>
      </c>
      <c r="E33" s="10">
        <v>1195</v>
      </c>
      <c r="F33" s="10">
        <v>76335851.276430726</v>
      </c>
      <c r="G33" s="10">
        <v>1546</v>
      </c>
      <c r="H33" s="10">
        <v>5</v>
      </c>
      <c r="I33" s="10">
        <v>4</v>
      </c>
      <c r="J33" s="10">
        <v>1250</v>
      </c>
      <c r="K33" s="10">
        <v>77695109.474219143</v>
      </c>
    </row>
    <row r="34" spans="1:11" x14ac:dyDescent="0.35">
      <c r="A34" s="9" t="s">
        <v>15</v>
      </c>
      <c r="B34" s="10">
        <v>1569</v>
      </c>
      <c r="C34" s="10">
        <v>7</v>
      </c>
      <c r="D34" s="10">
        <v>3</v>
      </c>
      <c r="E34" s="10">
        <v>1349</v>
      </c>
      <c r="F34" s="10">
        <v>70298753.719208255</v>
      </c>
      <c r="G34" s="10">
        <v>1542</v>
      </c>
      <c r="H34" s="10">
        <v>9</v>
      </c>
      <c r="I34" s="10">
        <v>4</v>
      </c>
      <c r="J34" s="10">
        <v>1248</v>
      </c>
      <c r="K34" s="10">
        <v>75439903.749523848</v>
      </c>
    </row>
    <row r="35" spans="1:11" x14ac:dyDescent="0.35">
      <c r="A35" s="9" t="s">
        <v>17</v>
      </c>
      <c r="B35" s="10">
        <v>878</v>
      </c>
      <c r="C35" s="10">
        <v>4</v>
      </c>
      <c r="D35" s="10">
        <v>4</v>
      </c>
      <c r="E35" s="10">
        <v>732</v>
      </c>
      <c r="F35" s="10">
        <v>34468386.91928637</v>
      </c>
      <c r="G35" s="10">
        <v>710</v>
      </c>
      <c r="H35" s="10">
        <v>1</v>
      </c>
      <c r="I35" s="10">
        <v>2</v>
      </c>
      <c r="J35" s="10">
        <v>571</v>
      </c>
      <c r="K35" s="10">
        <v>18081702.745405339</v>
      </c>
    </row>
    <row r="36" spans="1:11" x14ac:dyDescent="0.35">
      <c r="A36" s="9" t="s">
        <v>38</v>
      </c>
      <c r="B36" s="10">
        <v>1968</v>
      </c>
      <c r="C36" s="10">
        <v>5</v>
      </c>
      <c r="D36" s="10">
        <v>9</v>
      </c>
      <c r="E36" s="10">
        <v>1684</v>
      </c>
      <c r="F36" s="10">
        <v>72802640.836898446</v>
      </c>
      <c r="G36" s="10">
        <v>1845</v>
      </c>
      <c r="H36" s="10">
        <v>10</v>
      </c>
      <c r="I36" s="10">
        <v>11</v>
      </c>
      <c r="J36" s="10">
        <v>1582</v>
      </c>
      <c r="K36" s="10">
        <v>81966338.16213882</v>
      </c>
    </row>
    <row r="37" spans="1:11" x14ac:dyDescent="0.35">
      <c r="A37" s="9" t="s">
        <v>108</v>
      </c>
      <c r="B37" s="10">
        <v>1176</v>
      </c>
      <c r="C37" s="10">
        <v>7</v>
      </c>
      <c r="D37" s="10">
        <v>5</v>
      </c>
      <c r="E37" s="10">
        <v>1059</v>
      </c>
      <c r="F37" s="10">
        <v>47021709.750260837</v>
      </c>
      <c r="G37" s="10">
        <v>1148</v>
      </c>
      <c r="H37" s="10">
        <v>3</v>
      </c>
      <c r="I37" s="10">
        <v>5</v>
      </c>
      <c r="J37" s="10">
        <v>1007</v>
      </c>
      <c r="K37" s="10">
        <v>45097755.642845064</v>
      </c>
    </row>
    <row r="38" spans="1:11" x14ac:dyDescent="0.35">
      <c r="A38" s="9" t="s">
        <v>106</v>
      </c>
      <c r="B38" s="10">
        <v>1449</v>
      </c>
      <c r="C38" s="10">
        <v>8</v>
      </c>
      <c r="D38" s="10">
        <v>2</v>
      </c>
      <c r="E38" s="10">
        <v>917</v>
      </c>
      <c r="F38" s="10">
        <v>53793266.877991349</v>
      </c>
      <c r="G38" s="10">
        <v>1372</v>
      </c>
      <c r="H38" s="10">
        <v>11</v>
      </c>
      <c r="I38" s="10">
        <v>4</v>
      </c>
      <c r="J38" s="10">
        <v>996</v>
      </c>
      <c r="K38" s="10">
        <v>48732493.647316232</v>
      </c>
    </row>
    <row r="39" spans="1:11" x14ac:dyDescent="0.35">
      <c r="A39" s="9" t="s">
        <v>110</v>
      </c>
      <c r="B39" s="10">
        <v>2160</v>
      </c>
      <c r="C39" s="10">
        <v>14</v>
      </c>
      <c r="D39" s="10">
        <v>4</v>
      </c>
      <c r="E39" s="10">
        <v>1824</v>
      </c>
      <c r="F39" s="10">
        <v>92315210.860131606</v>
      </c>
      <c r="G39" s="10">
        <v>2099</v>
      </c>
      <c r="H39" s="10">
        <v>21</v>
      </c>
      <c r="I39" s="10">
        <v>5</v>
      </c>
      <c r="J39" s="10">
        <v>1840</v>
      </c>
      <c r="K39" s="10">
        <v>91151845.092315823</v>
      </c>
    </row>
    <row r="40" spans="1:11" x14ac:dyDescent="0.35">
      <c r="A40" s="9" t="s">
        <v>2</v>
      </c>
      <c r="B40" s="10">
        <v>2140</v>
      </c>
      <c r="C40" s="10">
        <v>850</v>
      </c>
      <c r="D40" s="10">
        <v>4</v>
      </c>
      <c r="E40" s="10">
        <v>1325</v>
      </c>
      <c r="F40" s="10">
        <v>65509611.201638699</v>
      </c>
      <c r="G40" s="10">
        <v>2190</v>
      </c>
      <c r="H40" s="10">
        <v>905</v>
      </c>
      <c r="I40" s="10">
        <v>4</v>
      </c>
      <c r="J40" s="10">
        <v>1272</v>
      </c>
      <c r="K40" s="10">
        <v>65927662.426971152</v>
      </c>
    </row>
    <row r="41" spans="1:11" x14ac:dyDescent="0.35">
      <c r="A41" s="9" t="s">
        <v>112</v>
      </c>
      <c r="B41" s="10">
        <v>3619</v>
      </c>
      <c r="C41" s="10">
        <v>656</v>
      </c>
      <c r="D41" s="10">
        <v>7</v>
      </c>
      <c r="E41" s="10">
        <v>2698</v>
      </c>
      <c r="F41" s="10">
        <v>126542915.56426096</v>
      </c>
      <c r="G41" s="10">
        <v>3651</v>
      </c>
      <c r="H41" s="10">
        <v>789</v>
      </c>
      <c r="I41" s="10">
        <v>8</v>
      </c>
      <c r="J41" s="10">
        <v>2687</v>
      </c>
      <c r="K41" s="10">
        <v>122960525.63345748</v>
      </c>
    </row>
    <row r="42" spans="1:11" x14ac:dyDescent="0.35">
      <c r="A42" s="9" t="s">
        <v>13</v>
      </c>
      <c r="B42" s="10">
        <v>652</v>
      </c>
      <c r="C42" s="10">
        <v>1</v>
      </c>
      <c r="D42" s="10">
        <v>11</v>
      </c>
      <c r="E42" s="10">
        <v>503</v>
      </c>
      <c r="F42" s="10">
        <v>32646098.087806012</v>
      </c>
      <c r="G42" s="10">
        <v>638</v>
      </c>
      <c r="H42" s="10">
        <v>8</v>
      </c>
      <c r="I42" s="10">
        <v>11</v>
      </c>
      <c r="J42" s="10">
        <v>473</v>
      </c>
      <c r="K42" s="10">
        <v>27779664.836463738</v>
      </c>
    </row>
    <row r="43" spans="1:11" x14ac:dyDescent="0.35">
      <c r="A43" s="9" t="s">
        <v>7</v>
      </c>
      <c r="B43" s="10">
        <v>2686</v>
      </c>
      <c r="C43" s="10">
        <v>11</v>
      </c>
      <c r="D43" s="10">
        <v>9</v>
      </c>
      <c r="E43" s="10">
        <v>2739</v>
      </c>
      <c r="F43" s="10">
        <v>113336222.17556788</v>
      </c>
      <c r="G43" s="10">
        <v>2869</v>
      </c>
      <c r="H43" s="10">
        <v>11</v>
      </c>
      <c r="I43" s="10">
        <v>10</v>
      </c>
      <c r="J43" s="10">
        <v>2634</v>
      </c>
      <c r="K43" s="10">
        <v>122329290.6289466</v>
      </c>
    </row>
    <row r="44" spans="1:11" x14ac:dyDescent="0.35">
      <c r="A44" s="9" t="s">
        <v>34</v>
      </c>
      <c r="B44" s="10">
        <v>1012</v>
      </c>
      <c r="C44" s="10">
        <v>7</v>
      </c>
      <c r="D44" s="10">
        <v>7</v>
      </c>
      <c r="E44" s="10">
        <v>887</v>
      </c>
      <c r="F44" s="10">
        <v>70774247.52871488</v>
      </c>
      <c r="G44" s="10">
        <v>1076</v>
      </c>
      <c r="H44" s="10">
        <v>10</v>
      </c>
      <c r="I44" s="10">
        <v>7</v>
      </c>
      <c r="J44" s="10">
        <v>1050</v>
      </c>
      <c r="K44" s="10">
        <v>69055864.895680711</v>
      </c>
    </row>
    <row r="45" spans="1:11" x14ac:dyDescent="0.35">
      <c r="A45" s="9" t="s">
        <v>5</v>
      </c>
      <c r="B45" s="10">
        <v>1409</v>
      </c>
      <c r="C45" s="10">
        <v>8</v>
      </c>
      <c r="D45" s="10">
        <v>9</v>
      </c>
      <c r="E45" s="10">
        <v>1595</v>
      </c>
      <c r="F45" s="10">
        <v>64727529.164719611</v>
      </c>
      <c r="G45" s="10">
        <v>1446</v>
      </c>
      <c r="H45" s="10">
        <v>5</v>
      </c>
      <c r="I45" s="10">
        <v>12</v>
      </c>
      <c r="J45" s="10">
        <v>1402</v>
      </c>
      <c r="K45" s="10">
        <v>63542127.182570294</v>
      </c>
    </row>
    <row r="46" spans="1:11" x14ac:dyDescent="0.35">
      <c r="A46" s="9" t="s">
        <v>36</v>
      </c>
      <c r="B46" s="10">
        <v>859</v>
      </c>
      <c r="C46" s="10">
        <v>4</v>
      </c>
      <c r="D46" s="10">
        <v>6</v>
      </c>
      <c r="E46" s="10">
        <v>700</v>
      </c>
      <c r="F46" s="10">
        <v>50809604.653361797</v>
      </c>
      <c r="G46" s="10">
        <v>842</v>
      </c>
      <c r="H46" s="10">
        <v>9</v>
      </c>
      <c r="I46" s="10">
        <v>8</v>
      </c>
      <c r="J46" s="10">
        <v>645</v>
      </c>
      <c r="K46" s="10">
        <v>49432638.019384757</v>
      </c>
    </row>
    <row r="47" spans="1:11" x14ac:dyDescent="0.35">
      <c r="A47" s="9" t="s">
        <v>114</v>
      </c>
      <c r="B47" s="10">
        <v>1180</v>
      </c>
      <c r="C47" s="10">
        <v>3</v>
      </c>
      <c r="D47" s="10">
        <v>10</v>
      </c>
      <c r="E47" s="10">
        <v>1126</v>
      </c>
      <c r="F47" s="10">
        <v>47476455.918694049</v>
      </c>
      <c r="G47" s="10">
        <v>1163</v>
      </c>
      <c r="H47" s="10">
        <v>4</v>
      </c>
      <c r="I47" s="10">
        <v>8</v>
      </c>
      <c r="J47" s="10">
        <v>869</v>
      </c>
      <c r="K47" s="10">
        <v>32610514.628957808</v>
      </c>
    </row>
    <row r="48" spans="1:11" x14ac:dyDescent="0.35">
      <c r="A48" s="9" t="s">
        <v>116</v>
      </c>
      <c r="B48" s="10">
        <v>761</v>
      </c>
      <c r="C48" s="10">
        <v>2</v>
      </c>
      <c r="D48" s="10">
        <v>3</v>
      </c>
      <c r="E48" s="10">
        <v>924</v>
      </c>
      <c r="F48" s="10">
        <v>28680367.148126502</v>
      </c>
      <c r="G48" s="10">
        <v>736</v>
      </c>
      <c r="H48" s="10">
        <v>1</v>
      </c>
      <c r="I48" s="10">
        <v>1</v>
      </c>
      <c r="J48" s="10">
        <v>868</v>
      </c>
      <c r="K48" s="10">
        <v>26921501.42919863</v>
      </c>
    </row>
    <row r="49" spans="1:11" x14ac:dyDescent="0.35">
      <c r="A49" s="9" t="s">
        <v>60</v>
      </c>
      <c r="B49" s="10">
        <v>1403</v>
      </c>
      <c r="C49" s="10">
        <v>10</v>
      </c>
      <c r="D49" s="10">
        <v>9</v>
      </c>
      <c r="E49" s="10">
        <v>1157</v>
      </c>
      <c r="F49" s="10">
        <v>89993968.425201595</v>
      </c>
      <c r="G49" s="10">
        <v>1339</v>
      </c>
      <c r="H49" s="10">
        <v>10</v>
      </c>
      <c r="I49" s="10">
        <v>10</v>
      </c>
      <c r="J49" s="10">
        <v>1158</v>
      </c>
      <c r="K49" s="10">
        <v>86619614.295183823</v>
      </c>
    </row>
    <row r="50" spans="1:11" x14ac:dyDescent="0.35">
      <c r="A50" s="9" t="s">
        <v>154</v>
      </c>
      <c r="B50" s="10">
        <v>509</v>
      </c>
      <c r="C50" s="10">
        <v>1</v>
      </c>
      <c r="D50" s="10">
        <v>2</v>
      </c>
      <c r="E50" s="10">
        <v>536</v>
      </c>
      <c r="F50" s="10">
        <v>15128993.34033804</v>
      </c>
      <c r="G50" s="10">
        <v>462</v>
      </c>
      <c r="H50" s="10">
        <v>1</v>
      </c>
      <c r="I50" s="10">
        <v>2</v>
      </c>
      <c r="J50" s="10">
        <v>538</v>
      </c>
      <c r="K50" s="10">
        <v>13878580.391216846</v>
      </c>
    </row>
    <row r="51" spans="1:11" x14ac:dyDescent="0.35">
      <c r="A51" s="9" t="s">
        <v>26</v>
      </c>
      <c r="B51" s="10">
        <v>994</v>
      </c>
      <c r="C51" s="10">
        <v>3</v>
      </c>
      <c r="D51" s="10">
        <v>6</v>
      </c>
      <c r="E51" s="10">
        <v>166</v>
      </c>
      <c r="F51" s="10">
        <v>37264284.65986006</v>
      </c>
      <c r="G51" s="10">
        <v>949</v>
      </c>
      <c r="H51" s="10">
        <v>1</v>
      </c>
      <c r="I51" s="10">
        <v>5</v>
      </c>
      <c r="J51" s="10">
        <v>1050</v>
      </c>
      <c r="K51" s="10">
        <v>34613333.324269198</v>
      </c>
    </row>
    <row r="52" spans="1:11" x14ac:dyDescent="0.35">
      <c r="A52" s="9" t="s">
        <v>28</v>
      </c>
      <c r="B52" s="10">
        <v>2283</v>
      </c>
      <c r="C52" s="10">
        <v>10</v>
      </c>
      <c r="D52" s="10">
        <v>20</v>
      </c>
      <c r="E52" s="10">
        <v>2295</v>
      </c>
      <c r="F52" s="10">
        <v>119839734.8513142</v>
      </c>
      <c r="G52" s="10">
        <v>2276</v>
      </c>
      <c r="H52" s="10">
        <v>5</v>
      </c>
      <c r="I52" s="10">
        <v>18</v>
      </c>
      <c r="J52" s="10">
        <v>1727</v>
      </c>
      <c r="K52" s="10">
        <v>114540485.07233131</v>
      </c>
    </row>
    <row r="53" spans="1:11" x14ac:dyDescent="0.35">
      <c r="A53" s="9" t="s">
        <v>62</v>
      </c>
      <c r="B53" s="10">
        <v>560</v>
      </c>
      <c r="C53" s="10">
        <v>5</v>
      </c>
      <c r="D53" s="10">
        <v>8</v>
      </c>
      <c r="E53" s="10">
        <v>458</v>
      </c>
      <c r="F53" s="10">
        <v>39583954.138641119</v>
      </c>
      <c r="G53" s="10">
        <v>548</v>
      </c>
      <c r="H53" s="10">
        <v>0</v>
      </c>
      <c r="I53" s="10">
        <v>6</v>
      </c>
      <c r="J53" s="10">
        <v>440</v>
      </c>
      <c r="K53" s="10">
        <v>38033668.607712895</v>
      </c>
    </row>
    <row r="54" spans="1:11" x14ac:dyDescent="0.35">
      <c r="A54" s="9" t="s">
        <v>58</v>
      </c>
      <c r="B54" s="10">
        <v>516</v>
      </c>
      <c r="C54" s="10">
        <v>3</v>
      </c>
      <c r="D54" s="10">
        <v>4</v>
      </c>
      <c r="E54" s="10">
        <v>423</v>
      </c>
      <c r="F54" s="10">
        <v>34188228.148323409</v>
      </c>
      <c r="G54" s="10">
        <v>512</v>
      </c>
      <c r="H54" s="10">
        <v>2</v>
      </c>
      <c r="I54" s="10">
        <v>5</v>
      </c>
      <c r="J54" s="10">
        <v>425</v>
      </c>
      <c r="K54" s="10">
        <v>31391890.683881596</v>
      </c>
    </row>
    <row r="55" spans="1:11" x14ac:dyDescent="0.35">
      <c r="A55" s="9" t="s">
        <v>64</v>
      </c>
      <c r="B55" s="10">
        <v>655</v>
      </c>
      <c r="C55" s="10">
        <v>3</v>
      </c>
      <c r="D55" s="10">
        <v>2</v>
      </c>
      <c r="E55" s="10">
        <v>447</v>
      </c>
      <c r="F55" s="10">
        <v>24226973.088341944</v>
      </c>
      <c r="G55" s="10">
        <v>626</v>
      </c>
      <c r="H55" s="10">
        <v>6</v>
      </c>
      <c r="I55" s="10">
        <v>5</v>
      </c>
      <c r="J55" s="10">
        <v>537</v>
      </c>
      <c r="K55" s="10">
        <v>38973625.491535872</v>
      </c>
    </row>
    <row r="56" spans="1:11" x14ac:dyDescent="0.35">
      <c r="A56" s="9" t="s">
        <v>122</v>
      </c>
      <c r="B56" s="10">
        <v>1141</v>
      </c>
      <c r="C56" s="10">
        <v>6</v>
      </c>
      <c r="D56" s="10">
        <v>0</v>
      </c>
      <c r="E56" s="10">
        <v>994</v>
      </c>
      <c r="F56" s="10">
        <v>59232956.017559916</v>
      </c>
      <c r="G56" s="10">
        <v>1124</v>
      </c>
      <c r="H56" s="10">
        <v>10</v>
      </c>
      <c r="I56" s="10">
        <v>0</v>
      </c>
      <c r="J56" s="10">
        <v>978</v>
      </c>
      <c r="K56" s="10">
        <v>60426011.656606339</v>
      </c>
    </row>
    <row r="57" spans="1:11" x14ac:dyDescent="0.35">
      <c r="A57" s="9" t="s">
        <v>70</v>
      </c>
      <c r="B57" s="10">
        <v>1608</v>
      </c>
      <c r="C57" s="10">
        <v>28</v>
      </c>
      <c r="D57" s="10">
        <v>5</v>
      </c>
      <c r="E57" s="10">
        <v>2375</v>
      </c>
      <c r="F57" s="10">
        <v>110151786.40886927</v>
      </c>
      <c r="G57" s="10">
        <v>1634</v>
      </c>
      <c r="H57" s="10">
        <v>140</v>
      </c>
      <c r="I57" s="10">
        <v>5</v>
      </c>
      <c r="J57" s="10">
        <v>1608</v>
      </c>
      <c r="K57" s="10">
        <v>103859066.66894734</v>
      </c>
    </row>
    <row r="58" spans="1:11" x14ac:dyDescent="0.35">
      <c r="A58" s="9" t="s">
        <v>72</v>
      </c>
      <c r="B58" s="10">
        <v>2686</v>
      </c>
      <c r="C58" s="10">
        <v>35</v>
      </c>
      <c r="D58" s="10">
        <v>10</v>
      </c>
      <c r="E58" s="10">
        <v>887</v>
      </c>
      <c r="F58" s="10">
        <v>125336896.98941597</v>
      </c>
      <c r="G58" s="10">
        <v>2728</v>
      </c>
      <c r="H58" s="10">
        <v>43</v>
      </c>
      <c r="I58" s="10">
        <v>10</v>
      </c>
      <c r="J58" s="10">
        <v>2216</v>
      </c>
      <c r="K58" s="10">
        <v>132547435.76596323</v>
      </c>
    </row>
    <row r="59" spans="1:11" x14ac:dyDescent="0.35">
      <c r="A59" s="9" t="s">
        <v>130</v>
      </c>
      <c r="B59" s="10">
        <v>697</v>
      </c>
      <c r="C59" s="10">
        <v>3</v>
      </c>
      <c r="D59" s="10">
        <v>1</v>
      </c>
      <c r="E59" s="10">
        <v>517</v>
      </c>
      <c r="F59" s="10">
        <v>28244378.898452383</v>
      </c>
      <c r="G59" s="10">
        <v>680</v>
      </c>
      <c r="H59" s="10">
        <v>1</v>
      </c>
      <c r="I59" s="10">
        <v>1</v>
      </c>
      <c r="J59" s="10">
        <v>572</v>
      </c>
      <c r="K59" s="10">
        <v>29840531.301800594</v>
      </c>
    </row>
    <row r="60" spans="1:11" x14ac:dyDescent="0.35">
      <c r="A60" s="9" t="s">
        <v>76</v>
      </c>
      <c r="B60" s="10">
        <v>1005</v>
      </c>
      <c r="C60" s="10">
        <v>16</v>
      </c>
      <c r="D60" s="10">
        <v>9</v>
      </c>
      <c r="E60" s="10">
        <v>960</v>
      </c>
      <c r="F60" s="10">
        <v>53492114.259696603</v>
      </c>
      <c r="G60" s="10">
        <v>1018</v>
      </c>
      <c r="H60" s="10">
        <v>6</v>
      </c>
      <c r="I60" s="10">
        <v>10</v>
      </c>
      <c r="J60" s="10">
        <v>891</v>
      </c>
      <c r="K60" s="10">
        <v>54153453.38497889</v>
      </c>
    </row>
    <row r="61" spans="1:11" x14ac:dyDescent="0.35">
      <c r="A61" s="9" t="s">
        <v>128</v>
      </c>
      <c r="B61" s="10">
        <v>714</v>
      </c>
      <c r="C61" s="10">
        <v>3</v>
      </c>
      <c r="D61" s="10">
        <v>1</v>
      </c>
      <c r="E61" s="10">
        <v>717</v>
      </c>
      <c r="F61" s="10">
        <v>26499937.253874719</v>
      </c>
      <c r="G61" s="10">
        <v>739</v>
      </c>
      <c r="H61" s="10">
        <v>60</v>
      </c>
      <c r="I61" s="10">
        <v>2</v>
      </c>
      <c r="J61" s="10">
        <v>632</v>
      </c>
      <c r="K61" s="10">
        <v>25592837.806765258</v>
      </c>
    </row>
    <row r="62" spans="1:11" x14ac:dyDescent="0.35">
      <c r="A62" s="9" t="s">
        <v>124</v>
      </c>
      <c r="B62" s="10">
        <v>1134</v>
      </c>
      <c r="C62" s="10">
        <v>7</v>
      </c>
      <c r="D62" s="10">
        <v>2</v>
      </c>
      <c r="E62" s="10">
        <v>1282</v>
      </c>
      <c r="F62" s="10">
        <v>63892163.208325222</v>
      </c>
      <c r="G62" s="10">
        <v>1168</v>
      </c>
      <c r="H62" s="10">
        <v>11</v>
      </c>
      <c r="I62" s="10">
        <v>1</v>
      </c>
      <c r="J62" s="10">
        <v>1194</v>
      </c>
      <c r="K62" s="10">
        <v>66527116.598848633</v>
      </c>
    </row>
    <row r="63" spans="1:11" x14ac:dyDescent="0.35">
      <c r="A63" s="9" t="s">
        <v>78</v>
      </c>
      <c r="B63" s="10">
        <v>1714</v>
      </c>
      <c r="C63" s="10">
        <v>25</v>
      </c>
      <c r="D63" s="10">
        <v>8</v>
      </c>
      <c r="E63" s="10">
        <v>1890</v>
      </c>
      <c r="F63" s="10">
        <v>88057107.835710689</v>
      </c>
      <c r="G63" s="10">
        <v>1771</v>
      </c>
      <c r="H63" s="10">
        <v>10</v>
      </c>
      <c r="I63" s="10">
        <v>9</v>
      </c>
      <c r="J63" s="10">
        <v>1632</v>
      </c>
      <c r="K63" s="10">
        <v>84635478.017665774</v>
      </c>
    </row>
    <row r="64" spans="1:11" x14ac:dyDescent="0.35">
      <c r="A64" s="9" t="s">
        <v>80</v>
      </c>
      <c r="B64" s="10">
        <v>851</v>
      </c>
      <c r="C64" s="10">
        <v>6</v>
      </c>
      <c r="D64" s="10">
        <v>6</v>
      </c>
      <c r="E64" s="10">
        <v>645</v>
      </c>
      <c r="F64" s="10">
        <v>35705524.975119643</v>
      </c>
      <c r="G64" s="10">
        <v>846</v>
      </c>
      <c r="H64" s="10">
        <v>4</v>
      </c>
      <c r="I64" s="10">
        <v>7</v>
      </c>
      <c r="J64" s="10">
        <v>996</v>
      </c>
      <c r="K64" s="10">
        <v>38651662.473704979</v>
      </c>
    </row>
    <row r="65" spans="1:11" x14ac:dyDescent="0.35">
      <c r="A65" s="9" t="s">
        <v>82</v>
      </c>
      <c r="B65" s="10">
        <v>655</v>
      </c>
      <c r="C65" s="10">
        <v>7</v>
      </c>
      <c r="D65" s="10">
        <v>8</v>
      </c>
      <c r="E65" s="10">
        <v>558</v>
      </c>
      <c r="F65" s="10">
        <v>45780516.625567049</v>
      </c>
      <c r="G65" s="10">
        <v>644</v>
      </c>
      <c r="H65" s="10">
        <v>2</v>
      </c>
      <c r="I65" s="10">
        <v>8</v>
      </c>
      <c r="J65" s="10">
        <v>447</v>
      </c>
      <c r="K65" s="10">
        <v>42934468.093872614</v>
      </c>
    </row>
    <row r="66" spans="1:11" x14ac:dyDescent="0.35">
      <c r="A66" s="9" t="s">
        <v>20</v>
      </c>
      <c r="B66" s="10">
        <v>2017</v>
      </c>
      <c r="C66" s="10">
        <v>29</v>
      </c>
      <c r="D66" s="10">
        <v>14</v>
      </c>
      <c r="E66" s="10">
        <v>2264</v>
      </c>
      <c r="F66" s="10">
        <v>145274185.74469903</v>
      </c>
      <c r="G66" s="10">
        <v>1982</v>
      </c>
      <c r="H66" s="10">
        <v>20</v>
      </c>
      <c r="I66" s="10">
        <v>13</v>
      </c>
      <c r="J66" s="10">
        <v>1657</v>
      </c>
      <c r="K66" s="10">
        <v>130506061.65860055</v>
      </c>
    </row>
    <row r="67" spans="1:11" x14ac:dyDescent="0.35">
      <c r="A67" s="9" t="s">
        <v>22</v>
      </c>
      <c r="B67" s="10">
        <v>1841</v>
      </c>
      <c r="C67" s="10">
        <v>27</v>
      </c>
      <c r="D67" s="10">
        <v>11</v>
      </c>
      <c r="E67" s="10">
        <v>1513</v>
      </c>
      <c r="F67" s="10">
        <v>113909805.57879363</v>
      </c>
      <c r="G67" s="10">
        <v>1869</v>
      </c>
      <c r="H67" s="10">
        <v>17</v>
      </c>
      <c r="I67" s="10">
        <v>12</v>
      </c>
      <c r="J67" s="10">
        <v>1506</v>
      </c>
      <c r="K67" s="10">
        <v>114297051.86176543</v>
      </c>
    </row>
    <row r="68" spans="1:11" x14ac:dyDescent="0.35">
      <c r="A68" s="9" t="s">
        <v>24</v>
      </c>
      <c r="B68" s="10">
        <v>942</v>
      </c>
      <c r="C68" s="10">
        <v>3</v>
      </c>
      <c r="D68" s="10">
        <v>2</v>
      </c>
      <c r="E68" s="10">
        <v>794</v>
      </c>
      <c r="F68" s="10">
        <v>67645123.994550571</v>
      </c>
      <c r="G68" s="10">
        <v>968</v>
      </c>
      <c r="H68" s="10">
        <v>1</v>
      </c>
      <c r="I68" s="10">
        <v>3</v>
      </c>
      <c r="J68" s="10">
        <v>811</v>
      </c>
      <c r="K68" s="10">
        <v>67248902.595583081</v>
      </c>
    </row>
    <row r="69" spans="1:11" x14ac:dyDescent="0.35">
      <c r="A69" s="9" t="s">
        <v>46</v>
      </c>
      <c r="B69" s="10">
        <v>2915</v>
      </c>
      <c r="C69" s="10">
        <v>1005</v>
      </c>
      <c r="D69" s="10">
        <v>15</v>
      </c>
      <c r="E69" s="10">
        <v>1736</v>
      </c>
      <c r="F69" s="10">
        <v>97905534.602075949</v>
      </c>
      <c r="G69" s="10">
        <v>2701</v>
      </c>
      <c r="H69" s="10">
        <v>827</v>
      </c>
      <c r="I69" s="10">
        <v>15</v>
      </c>
      <c r="J69" s="10">
        <v>1739</v>
      </c>
      <c r="K69" s="10">
        <v>98437612.999245942</v>
      </c>
    </row>
    <row r="70" spans="1:11" x14ac:dyDescent="0.35">
      <c r="A70" s="9" t="s">
        <v>100</v>
      </c>
      <c r="B70" s="10">
        <v>449</v>
      </c>
      <c r="C70" s="10">
        <v>4</v>
      </c>
      <c r="D70" s="10">
        <v>1</v>
      </c>
      <c r="E70" s="10">
        <v>477</v>
      </c>
      <c r="F70" s="10">
        <v>14211104.107241716</v>
      </c>
      <c r="G70" s="10">
        <v>417</v>
      </c>
      <c r="H70" s="10">
        <v>3</v>
      </c>
      <c r="I70" s="10">
        <v>1</v>
      </c>
      <c r="J70" s="10">
        <v>624</v>
      </c>
      <c r="K70" s="10">
        <v>12996603.636919206</v>
      </c>
    </row>
    <row r="71" spans="1:11" x14ac:dyDescent="0.35">
      <c r="A71" s="9" t="s">
        <v>9</v>
      </c>
      <c r="B71" s="10">
        <v>1986</v>
      </c>
      <c r="C71" s="10">
        <v>10</v>
      </c>
      <c r="D71" s="10">
        <v>11</v>
      </c>
      <c r="E71" s="10">
        <v>2006</v>
      </c>
      <c r="F71" s="10">
        <v>87129992.712718487</v>
      </c>
      <c r="G71" s="10">
        <v>1930</v>
      </c>
      <c r="H71" s="10">
        <v>13</v>
      </c>
      <c r="I71" s="10">
        <v>13</v>
      </c>
      <c r="J71" s="10">
        <v>2045</v>
      </c>
      <c r="K71" s="10">
        <v>88341475.139747635</v>
      </c>
    </row>
    <row r="72" spans="1:11" x14ac:dyDescent="0.35">
      <c r="A72" s="9" t="s">
        <v>11</v>
      </c>
      <c r="B72" s="10">
        <v>983</v>
      </c>
      <c r="C72" s="10">
        <v>4</v>
      </c>
      <c r="D72" s="10">
        <v>7</v>
      </c>
      <c r="E72" s="10">
        <v>551</v>
      </c>
      <c r="F72" s="10">
        <v>39967735.08125665</v>
      </c>
      <c r="G72" s="10">
        <v>993</v>
      </c>
      <c r="H72" s="10">
        <v>4</v>
      </c>
      <c r="I72" s="10">
        <v>5</v>
      </c>
      <c r="J72" s="10">
        <v>756</v>
      </c>
      <c r="K72" s="10">
        <v>36685848.396192245</v>
      </c>
    </row>
    <row r="73" spans="1:11" x14ac:dyDescent="0.35">
      <c r="A73" s="9" t="s">
        <v>118</v>
      </c>
      <c r="B73" s="10">
        <v>1935</v>
      </c>
      <c r="C73" s="10">
        <v>68</v>
      </c>
      <c r="D73" s="10">
        <v>11</v>
      </c>
      <c r="E73" s="10">
        <v>1489</v>
      </c>
      <c r="F73" s="10">
        <v>83165311.16147466</v>
      </c>
      <c r="G73" s="10">
        <v>1939</v>
      </c>
      <c r="H73" s="10">
        <v>17</v>
      </c>
      <c r="I73" s="10">
        <v>13</v>
      </c>
      <c r="J73" s="10">
        <v>1830</v>
      </c>
      <c r="K73" s="10">
        <v>87570486.934054077</v>
      </c>
    </row>
    <row r="74" spans="1:11" x14ac:dyDescent="0.35">
      <c r="A74" s="9" t="s">
        <v>49</v>
      </c>
      <c r="B74" s="10">
        <v>1389</v>
      </c>
      <c r="C74" s="10">
        <v>11</v>
      </c>
      <c r="D74" s="10">
        <v>6</v>
      </c>
      <c r="E74" s="10">
        <v>1477</v>
      </c>
      <c r="F74" s="10">
        <v>39601374.383140169</v>
      </c>
      <c r="G74" s="10">
        <v>1340</v>
      </c>
      <c r="H74" s="10">
        <v>8</v>
      </c>
      <c r="I74" s="10">
        <v>5</v>
      </c>
      <c r="J74" s="10">
        <v>1347</v>
      </c>
      <c r="K74" s="10">
        <v>27530487.001367845</v>
      </c>
    </row>
    <row r="75" spans="1:11" x14ac:dyDescent="0.35">
      <c r="A75" s="9" t="s">
        <v>47</v>
      </c>
      <c r="B75" s="10">
        <v>1820</v>
      </c>
      <c r="C75" s="10">
        <v>21</v>
      </c>
      <c r="D75" s="10">
        <v>11</v>
      </c>
      <c r="E75" s="10">
        <v>1199</v>
      </c>
      <c r="F75" s="10">
        <v>88352349.268729985</v>
      </c>
      <c r="G75" s="10">
        <v>1782</v>
      </c>
      <c r="H75" s="10">
        <v>8</v>
      </c>
      <c r="I75" s="10">
        <v>12</v>
      </c>
      <c r="J75" s="10">
        <v>1356</v>
      </c>
      <c r="K75" s="10">
        <v>88883410.372281432</v>
      </c>
    </row>
    <row r="76" spans="1:11" x14ac:dyDescent="0.35">
      <c r="A76" s="9" t="s">
        <v>101</v>
      </c>
      <c r="B76" s="10">
        <v>966</v>
      </c>
      <c r="C76" s="10">
        <v>8</v>
      </c>
      <c r="D76" s="10">
        <v>2</v>
      </c>
      <c r="E76" s="10">
        <v>984</v>
      </c>
      <c r="F76" s="10">
        <v>33264850.382566433</v>
      </c>
      <c r="G76" s="10">
        <v>951</v>
      </c>
      <c r="H76" s="10">
        <v>16</v>
      </c>
      <c r="I76" s="10">
        <v>2</v>
      </c>
      <c r="J76" s="10">
        <v>1078</v>
      </c>
      <c r="K76" s="10">
        <v>32057521.018055998</v>
      </c>
    </row>
    <row r="77" spans="1:11" x14ac:dyDescent="0.35">
      <c r="A77" s="9" t="s">
        <v>126</v>
      </c>
      <c r="B77" s="10">
        <v>963</v>
      </c>
      <c r="C77" s="10">
        <v>4</v>
      </c>
      <c r="D77" s="10">
        <v>0</v>
      </c>
      <c r="E77" s="10">
        <v>812</v>
      </c>
      <c r="F77" s="10">
        <v>34802700.239624582</v>
      </c>
      <c r="G77" s="10">
        <v>986</v>
      </c>
      <c r="H77" s="10">
        <v>2</v>
      </c>
      <c r="I77" s="10">
        <v>1</v>
      </c>
      <c r="J77" s="10">
        <v>861</v>
      </c>
      <c r="K77" s="10">
        <v>36505360.629767522</v>
      </c>
    </row>
    <row r="78" spans="1:11" x14ac:dyDescent="0.35">
      <c r="A78" s="9" t="s">
        <v>48</v>
      </c>
      <c r="B78" s="10">
        <v>655</v>
      </c>
      <c r="C78" s="10">
        <v>3</v>
      </c>
      <c r="D78" s="10">
        <v>4</v>
      </c>
      <c r="E78" s="10">
        <v>496</v>
      </c>
      <c r="F78" s="10">
        <v>32666478.429182462</v>
      </c>
      <c r="G78" s="10">
        <v>666</v>
      </c>
      <c r="H78" s="10">
        <v>2</v>
      </c>
      <c r="I78" s="10">
        <v>5</v>
      </c>
      <c r="J78" s="10">
        <v>706</v>
      </c>
      <c r="K78" s="10">
        <v>33312129.106413573</v>
      </c>
    </row>
    <row r="79" spans="1:11" x14ac:dyDescent="0.35">
      <c r="A79" s="9" t="s">
        <v>96</v>
      </c>
      <c r="B79" s="10">
        <v>917</v>
      </c>
      <c r="C79" s="10">
        <v>19</v>
      </c>
      <c r="D79" s="10">
        <v>2</v>
      </c>
      <c r="E79" s="10">
        <v>1183</v>
      </c>
      <c r="F79" s="10">
        <v>35344719.73498641</v>
      </c>
      <c r="G79" s="10">
        <v>974</v>
      </c>
      <c r="H79" s="10">
        <v>12</v>
      </c>
      <c r="I79" s="10">
        <v>2</v>
      </c>
      <c r="J79" s="10">
        <v>1432</v>
      </c>
      <c r="K79" s="10">
        <v>39447324.089409158</v>
      </c>
    </row>
    <row r="80" spans="1:11" x14ac:dyDescent="0.35">
      <c r="A80" s="9" t="s">
        <v>30</v>
      </c>
      <c r="B80" s="10">
        <v>482</v>
      </c>
      <c r="C80" s="10">
        <v>3</v>
      </c>
      <c r="D80" s="10">
        <v>16</v>
      </c>
      <c r="E80" s="10">
        <v>521</v>
      </c>
      <c r="F80" s="10">
        <v>26709593.252882827</v>
      </c>
      <c r="G80" s="10">
        <v>501</v>
      </c>
      <c r="H80" s="10">
        <v>5</v>
      </c>
      <c r="I80" s="10">
        <v>15</v>
      </c>
      <c r="J80" s="10">
        <v>478</v>
      </c>
      <c r="K80" s="10">
        <v>26848527.044086918</v>
      </c>
    </row>
    <row r="81" spans="1:11" x14ac:dyDescent="0.35">
      <c r="A81" s="9" t="s">
        <v>84</v>
      </c>
      <c r="B81" s="10">
        <v>906</v>
      </c>
      <c r="C81" s="10">
        <v>10</v>
      </c>
      <c r="D81" s="10">
        <v>3</v>
      </c>
      <c r="E81" s="10">
        <v>23</v>
      </c>
      <c r="F81" s="10">
        <v>45917567.389338672</v>
      </c>
      <c r="G81" s="10">
        <v>955</v>
      </c>
      <c r="H81" s="10">
        <v>9</v>
      </c>
      <c r="I81" s="10">
        <v>6</v>
      </c>
      <c r="J81" s="10">
        <v>744</v>
      </c>
      <c r="K81" s="10">
        <v>74103929.494423985</v>
      </c>
    </row>
    <row r="82" spans="1:11" x14ac:dyDescent="0.35">
      <c r="A82" s="9" t="s">
        <v>32</v>
      </c>
      <c r="B82" s="10">
        <v>861</v>
      </c>
      <c r="C82" s="10">
        <v>2</v>
      </c>
      <c r="D82" s="10">
        <v>14</v>
      </c>
      <c r="E82" s="10">
        <v>867</v>
      </c>
      <c r="F82" s="10">
        <v>44434756.562884122</v>
      </c>
      <c r="G82" s="10">
        <v>893</v>
      </c>
      <c r="H82" s="10">
        <v>3</v>
      </c>
      <c r="I82" s="10">
        <v>14</v>
      </c>
      <c r="J82" s="10">
        <v>774</v>
      </c>
      <c r="K82" s="10">
        <v>45200327.699073136</v>
      </c>
    </row>
    <row r="83" spans="1:11" x14ac:dyDescent="0.35">
      <c r="A83" s="9" t="s">
        <v>55</v>
      </c>
      <c r="B83" s="10">
        <v>1018</v>
      </c>
      <c r="C83" s="10">
        <v>8</v>
      </c>
      <c r="D83" s="10">
        <v>2</v>
      </c>
      <c r="E83" s="10">
        <v>1002</v>
      </c>
      <c r="F83" s="10">
        <v>34255091.437278926</v>
      </c>
      <c r="G83" s="10">
        <v>974</v>
      </c>
      <c r="H83" s="10">
        <v>0</v>
      </c>
      <c r="I83" s="10">
        <v>3</v>
      </c>
      <c r="J83" s="10">
        <v>745</v>
      </c>
      <c r="K83" s="10">
        <v>30356884.214065973</v>
      </c>
    </row>
    <row r="84" spans="1:11" x14ac:dyDescent="0.35">
      <c r="A84" s="9" t="s">
        <v>50</v>
      </c>
      <c r="B84" s="10">
        <v>1017</v>
      </c>
      <c r="C84" s="10">
        <v>8</v>
      </c>
      <c r="D84" s="10">
        <v>4</v>
      </c>
      <c r="E84" s="10">
        <v>1065</v>
      </c>
      <c r="F84" s="10">
        <v>37243167.918463238</v>
      </c>
      <c r="G84" s="10">
        <v>985</v>
      </c>
      <c r="H84" s="10">
        <v>9</v>
      </c>
      <c r="I84" s="10">
        <v>4</v>
      </c>
      <c r="J84" s="10">
        <v>69</v>
      </c>
      <c r="K84" s="10">
        <v>29079954.65256748</v>
      </c>
    </row>
    <row r="85" spans="1:11" x14ac:dyDescent="0.35">
      <c r="A85" s="9" t="s">
        <v>66</v>
      </c>
      <c r="B85" s="10">
        <v>805</v>
      </c>
      <c r="C85" s="10">
        <v>5</v>
      </c>
      <c r="D85" s="10">
        <v>8</v>
      </c>
      <c r="E85" s="10">
        <v>913</v>
      </c>
      <c r="F85" s="10">
        <v>45419009.972910516</v>
      </c>
      <c r="G85" s="10">
        <v>835</v>
      </c>
      <c r="H85" s="10">
        <v>4</v>
      </c>
      <c r="I85" s="10">
        <v>8</v>
      </c>
      <c r="J85" s="10">
        <v>806</v>
      </c>
      <c r="K85" s="10">
        <v>50455245.11157991</v>
      </c>
    </row>
    <row r="86" spans="1:11" x14ac:dyDescent="0.35">
      <c r="A86" s="9" t="s">
        <v>105</v>
      </c>
      <c r="B86" s="10">
        <v>836</v>
      </c>
      <c r="C86" s="10">
        <v>9</v>
      </c>
      <c r="D86" s="10">
        <v>3</v>
      </c>
      <c r="E86" s="10">
        <v>794</v>
      </c>
      <c r="F86" s="10">
        <v>26504292.940153331</v>
      </c>
      <c r="G86" s="10">
        <v>820</v>
      </c>
      <c r="H86" s="10">
        <v>5</v>
      </c>
      <c r="I86" s="10">
        <v>3</v>
      </c>
      <c r="J86" s="10">
        <v>590</v>
      </c>
      <c r="K86" s="10">
        <v>25786618.100159369</v>
      </c>
    </row>
    <row r="87" spans="1:11" x14ac:dyDescent="0.35">
      <c r="A87" s="9" t="s">
        <v>120</v>
      </c>
      <c r="B87" s="10">
        <v>1935</v>
      </c>
      <c r="C87" s="10">
        <v>4</v>
      </c>
      <c r="D87" s="10">
        <v>11</v>
      </c>
      <c r="E87" s="10">
        <v>1282</v>
      </c>
      <c r="F87" s="10">
        <v>98822204.943340421</v>
      </c>
      <c r="G87" s="10">
        <v>1904</v>
      </c>
      <c r="H87" s="10">
        <v>6</v>
      </c>
      <c r="I87" s="10">
        <v>11</v>
      </c>
      <c r="J87" s="10">
        <v>1490</v>
      </c>
      <c r="K87" s="10">
        <v>87337795.959275141</v>
      </c>
    </row>
    <row r="88" spans="1:11" x14ac:dyDescent="0.35">
      <c r="A88" s="9" t="s">
        <v>68</v>
      </c>
      <c r="B88" s="10">
        <v>721</v>
      </c>
      <c r="C88" s="10">
        <v>4</v>
      </c>
      <c r="D88" s="10">
        <v>4</v>
      </c>
      <c r="E88" s="10">
        <v>1161</v>
      </c>
      <c r="F88" s="10">
        <v>24030689.711215809</v>
      </c>
      <c r="G88" s="10">
        <v>728</v>
      </c>
      <c r="H88" s="10">
        <v>10</v>
      </c>
      <c r="I88" s="10">
        <v>5</v>
      </c>
      <c r="J88" s="10">
        <v>746</v>
      </c>
      <c r="K88" s="10">
        <v>18110909.452992059</v>
      </c>
    </row>
    <row r="89" spans="1:11" x14ac:dyDescent="0.35">
      <c r="A89" s="9" t="s">
        <v>74</v>
      </c>
      <c r="B89" s="10">
        <v>885</v>
      </c>
      <c r="C89" s="10">
        <v>16</v>
      </c>
      <c r="D89" s="10">
        <v>9</v>
      </c>
      <c r="E89" s="10">
        <v>966</v>
      </c>
      <c r="F89" s="10">
        <v>54211438.4163021</v>
      </c>
      <c r="G89" s="10">
        <v>928</v>
      </c>
      <c r="H89" s="10">
        <v>13</v>
      </c>
      <c r="I89" s="10">
        <v>10</v>
      </c>
      <c r="J89" s="10">
        <v>822</v>
      </c>
      <c r="K89" s="10">
        <v>52976909.771645561</v>
      </c>
    </row>
    <row r="90" spans="1:11" x14ac:dyDescent="0.35">
      <c r="A90" s="9" t="s">
        <v>56</v>
      </c>
      <c r="B90" s="10">
        <v>419</v>
      </c>
      <c r="C90" s="10">
        <v>2</v>
      </c>
      <c r="D90" s="10">
        <v>1</v>
      </c>
      <c r="E90" s="10">
        <v>268</v>
      </c>
      <c r="F90" s="10">
        <v>6693764.1121821273</v>
      </c>
      <c r="G90" s="10">
        <v>348</v>
      </c>
      <c r="H90" s="10">
        <v>1</v>
      </c>
      <c r="I90" s="10">
        <v>1</v>
      </c>
      <c r="J90" s="10">
        <v>300</v>
      </c>
      <c r="K90" s="10">
        <v>4300274.7122366726</v>
      </c>
    </row>
    <row r="91" spans="1:11" x14ac:dyDescent="0.35">
      <c r="A91" s="9" t="s">
        <v>158</v>
      </c>
      <c r="B91" s="10">
        <v>2133</v>
      </c>
      <c r="C91" s="10">
        <v>9</v>
      </c>
      <c r="D91" s="10">
        <v>5</v>
      </c>
      <c r="E91" s="10">
        <v>1688</v>
      </c>
      <c r="F91" s="10">
        <v>90017077.943851113</v>
      </c>
      <c r="G91" s="10"/>
      <c r="H91" s="10"/>
      <c r="I91" s="10"/>
      <c r="J91" s="10"/>
      <c r="K91" s="10"/>
    </row>
    <row r="92" spans="1:11" x14ac:dyDescent="0.35">
      <c r="A92" s="9" t="s">
        <v>159</v>
      </c>
      <c r="B92" s="10">
        <v>824</v>
      </c>
      <c r="C92" s="10">
        <v>10</v>
      </c>
      <c r="D92" s="10">
        <v>1</v>
      </c>
      <c r="E92" s="10">
        <v>605</v>
      </c>
      <c r="F92" s="10">
        <v>35165331.302426644</v>
      </c>
      <c r="G92" s="10"/>
      <c r="H92" s="10"/>
      <c r="I92" s="10"/>
      <c r="J92" s="10"/>
      <c r="K92" s="10"/>
    </row>
    <row r="93" spans="1:11" x14ac:dyDescent="0.35">
      <c r="A93" s="9" t="s">
        <v>160</v>
      </c>
      <c r="B93" s="10">
        <v>1011</v>
      </c>
      <c r="C93" s="10">
        <v>8</v>
      </c>
      <c r="D93" s="10">
        <v>1</v>
      </c>
      <c r="E93" s="10">
        <v>814</v>
      </c>
      <c r="F93" s="10">
        <v>42903125.911419727</v>
      </c>
      <c r="G93" s="10"/>
      <c r="H93" s="10"/>
      <c r="I93" s="10"/>
      <c r="J93" s="10"/>
      <c r="K93" s="10"/>
    </row>
    <row r="94" spans="1:11" x14ac:dyDescent="0.35">
      <c r="A94" s="9" t="s">
        <v>161</v>
      </c>
      <c r="B94" s="10">
        <v>544</v>
      </c>
      <c r="C94" s="10">
        <v>2</v>
      </c>
      <c r="D94" s="10">
        <v>0</v>
      </c>
      <c r="E94" s="10">
        <v>541</v>
      </c>
      <c r="F94" s="10">
        <v>19326410.206492387</v>
      </c>
      <c r="G94" s="10"/>
      <c r="H94" s="10"/>
      <c r="I94" s="10"/>
      <c r="J94" s="10"/>
      <c r="K94" s="10"/>
    </row>
    <row r="95" spans="1:11" x14ac:dyDescent="0.35">
      <c r="A95" s="9" t="s">
        <v>162</v>
      </c>
      <c r="B95" s="10">
        <v>414</v>
      </c>
      <c r="C95" s="10">
        <v>4</v>
      </c>
      <c r="D95" s="10">
        <v>2</v>
      </c>
      <c r="E95" s="10">
        <v>455</v>
      </c>
      <c r="F95" s="10">
        <v>19936135.347029626</v>
      </c>
      <c r="G95" s="10"/>
      <c r="H95" s="10"/>
      <c r="I95" s="10"/>
      <c r="J95" s="10"/>
      <c r="K95" s="10"/>
    </row>
    <row r="96" spans="1:11" x14ac:dyDescent="0.35">
      <c r="A96" s="9" t="s">
        <v>163</v>
      </c>
      <c r="B96" s="10">
        <v>1058</v>
      </c>
      <c r="C96" s="10">
        <v>6</v>
      </c>
      <c r="D96" s="10">
        <v>3</v>
      </c>
      <c r="E96" s="10">
        <v>899</v>
      </c>
      <c r="F96" s="10">
        <v>23364886.116781525</v>
      </c>
      <c r="G96" s="10"/>
      <c r="H96" s="10"/>
      <c r="I96" s="10"/>
      <c r="J96" s="10"/>
      <c r="K96" s="10"/>
    </row>
    <row r="97" spans="1:11" x14ac:dyDescent="0.35">
      <c r="A97" s="9" t="s">
        <v>164</v>
      </c>
      <c r="B97" s="10">
        <v>1196</v>
      </c>
      <c r="C97" s="10">
        <v>27</v>
      </c>
      <c r="D97" s="10">
        <v>6</v>
      </c>
      <c r="E97" s="10">
        <v>980</v>
      </c>
      <c r="F97" s="10">
        <v>37917302.584715694</v>
      </c>
      <c r="G97" s="10"/>
      <c r="H97" s="10"/>
      <c r="I97" s="10"/>
      <c r="J97" s="10"/>
      <c r="K97" s="10"/>
    </row>
    <row r="98" spans="1:11" x14ac:dyDescent="0.35">
      <c r="A98" s="9" t="s">
        <v>165</v>
      </c>
      <c r="B98" s="10">
        <v>552</v>
      </c>
      <c r="C98" s="10">
        <v>5</v>
      </c>
      <c r="D98" s="10">
        <v>2</v>
      </c>
      <c r="E98" s="10">
        <v>370</v>
      </c>
      <c r="F98" s="10">
        <v>16887548.310765684</v>
      </c>
      <c r="G98" s="10"/>
      <c r="H98" s="10"/>
      <c r="I98" s="10"/>
      <c r="J98" s="10"/>
      <c r="K98" s="10"/>
    </row>
    <row r="99" spans="1:11" x14ac:dyDescent="0.35">
      <c r="A99" s="9" t="s">
        <v>166</v>
      </c>
      <c r="B99" s="10">
        <v>622</v>
      </c>
      <c r="C99" s="10">
        <v>5</v>
      </c>
      <c r="D99" s="10">
        <v>2</v>
      </c>
      <c r="E99" s="10">
        <v>512</v>
      </c>
      <c r="F99" s="10">
        <v>17867829.313804328</v>
      </c>
      <c r="G99" s="10"/>
      <c r="H99" s="10"/>
      <c r="I99" s="10"/>
      <c r="J99" s="10"/>
      <c r="K99" s="10"/>
    </row>
    <row r="100" spans="1:11" x14ac:dyDescent="0.35">
      <c r="A100" s="9" t="s">
        <v>167</v>
      </c>
      <c r="B100" s="10">
        <v>483</v>
      </c>
      <c r="C100" s="10">
        <v>10</v>
      </c>
      <c r="D100" s="10">
        <v>2</v>
      </c>
      <c r="E100" s="10">
        <v>482</v>
      </c>
      <c r="F100" s="10">
        <v>15269886.908032704</v>
      </c>
      <c r="G100" s="10"/>
      <c r="H100" s="10"/>
      <c r="I100" s="10"/>
      <c r="J100" s="10"/>
      <c r="K100" s="10"/>
    </row>
    <row r="101" spans="1:11" x14ac:dyDescent="0.35">
      <c r="A101" s="9" t="s">
        <v>168</v>
      </c>
      <c r="B101" s="10">
        <v>1022</v>
      </c>
      <c r="C101" s="10">
        <v>8</v>
      </c>
      <c r="D101" s="10">
        <v>1</v>
      </c>
      <c r="E101" s="10">
        <v>841</v>
      </c>
      <c r="F101" s="10">
        <v>23649728.995354172</v>
      </c>
      <c r="G101" s="10"/>
      <c r="H101" s="10"/>
      <c r="I101" s="10"/>
      <c r="J101" s="10"/>
      <c r="K101" s="10"/>
    </row>
    <row r="102" spans="1:11" x14ac:dyDescent="0.35">
      <c r="A102" s="9" t="s">
        <v>169</v>
      </c>
      <c r="B102" s="10">
        <v>881</v>
      </c>
      <c r="C102" s="10">
        <v>15</v>
      </c>
      <c r="D102" s="10">
        <v>5</v>
      </c>
      <c r="E102" s="10">
        <v>681</v>
      </c>
      <c r="F102" s="10">
        <v>25647371.990630075</v>
      </c>
      <c r="G102" s="10"/>
      <c r="H102" s="10"/>
      <c r="I102" s="10"/>
      <c r="J102" s="10"/>
      <c r="K102" s="10"/>
    </row>
    <row r="103" spans="1:11" x14ac:dyDescent="0.35">
      <c r="A103" s="9" t="s">
        <v>170</v>
      </c>
      <c r="B103" s="10">
        <v>1628</v>
      </c>
      <c r="C103" s="10">
        <v>13</v>
      </c>
      <c r="D103" s="10">
        <v>2</v>
      </c>
      <c r="E103" s="10">
        <v>1649</v>
      </c>
      <c r="F103" s="10">
        <v>36800069.939108551</v>
      </c>
      <c r="G103" s="10"/>
      <c r="H103" s="10"/>
      <c r="I103" s="10"/>
      <c r="J103" s="10"/>
      <c r="K103" s="10"/>
    </row>
    <row r="104" spans="1:11" x14ac:dyDescent="0.35">
      <c r="A104" s="9" t="s">
        <v>171</v>
      </c>
      <c r="B104" s="10">
        <v>1725</v>
      </c>
      <c r="C104" s="10">
        <v>17</v>
      </c>
      <c r="D104" s="10">
        <v>2</v>
      </c>
      <c r="E104" s="10">
        <v>1443</v>
      </c>
      <c r="F104" s="10">
        <v>41208917.676324666</v>
      </c>
      <c r="G104" s="10"/>
      <c r="H104" s="10"/>
      <c r="I104" s="10"/>
      <c r="J104" s="10"/>
      <c r="K104" s="10"/>
    </row>
    <row r="105" spans="1:11" x14ac:dyDescent="0.35">
      <c r="A105" s="9" t="s">
        <v>172</v>
      </c>
      <c r="B105" s="10">
        <v>981</v>
      </c>
      <c r="C105" s="10">
        <v>9</v>
      </c>
      <c r="D105" s="10">
        <v>2</v>
      </c>
      <c r="E105" s="10">
        <v>955</v>
      </c>
      <c r="F105" s="10">
        <v>31539151.033359692</v>
      </c>
      <c r="G105" s="10"/>
      <c r="H105" s="10"/>
      <c r="I105" s="10"/>
      <c r="J105" s="10"/>
      <c r="K105" s="10"/>
    </row>
    <row r="106" spans="1:11" x14ac:dyDescent="0.35">
      <c r="A106" s="9" t="s">
        <v>173</v>
      </c>
      <c r="B106" s="10">
        <v>2239</v>
      </c>
      <c r="C106" s="10">
        <v>47</v>
      </c>
      <c r="D106" s="10">
        <v>5</v>
      </c>
      <c r="E106" s="10">
        <v>2268</v>
      </c>
      <c r="F106" s="10">
        <v>67450122.601673856</v>
      </c>
      <c r="G106" s="10"/>
      <c r="H106" s="10"/>
      <c r="I106" s="10"/>
      <c r="J106" s="10"/>
      <c r="K106" s="10"/>
    </row>
    <row r="107" spans="1:11" x14ac:dyDescent="0.35">
      <c r="A107" s="9" t="s">
        <v>174</v>
      </c>
      <c r="B107" s="10">
        <v>2344</v>
      </c>
      <c r="C107" s="10">
        <v>25</v>
      </c>
      <c r="D107" s="10">
        <v>3</v>
      </c>
      <c r="E107" s="10">
        <v>1743</v>
      </c>
      <c r="F107" s="10">
        <v>63748538.955815397</v>
      </c>
      <c r="G107" s="10"/>
      <c r="H107" s="10"/>
      <c r="I107" s="10"/>
      <c r="J107" s="10"/>
      <c r="K107" s="10"/>
    </row>
    <row r="108" spans="1:11" x14ac:dyDescent="0.35">
      <c r="A108" s="9" t="s">
        <v>175</v>
      </c>
      <c r="B108" s="10">
        <v>1529</v>
      </c>
      <c r="C108" s="10">
        <v>15</v>
      </c>
      <c r="D108" s="10">
        <v>1</v>
      </c>
      <c r="E108" s="10">
        <v>1459</v>
      </c>
      <c r="F108" s="10">
        <v>55732156.568477079</v>
      </c>
      <c r="G108" s="10"/>
      <c r="H108" s="10"/>
      <c r="I108" s="10"/>
      <c r="J108" s="10"/>
      <c r="K108" s="10"/>
    </row>
    <row r="109" spans="1:11" x14ac:dyDescent="0.35">
      <c r="A109" s="9" t="s">
        <v>176</v>
      </c>
      <c r="B109" s="10">
        <v>855</v>
      </c>
      <c r="C109" s="10">
        <v>12</v>
      </c>
      <c r="D109" s="10">
        <v>4</v>
      </c>
      <c r="E109" s="10">
        <v>931</v>
      </c>
      <c r="F109" s="10">
        <v>21588213.844654255</v>
      </c>
      <c r="G109" s="10"/>
      <c r="H109" s="10"/>
      <c r="I109" s="10"/>
      <c r="J109" s="10"/>
      <c r="K109" s="10"/>
    </row>
    <row r="110" spans="1:11" x14ac:dyDescent="0.35">
      <c r="A110" s="9" t="s">
        <v>177</v>
      </c>
      <c r="B110" s="10">
        <v>1364</v>
      </c>
      <c r="C110" s="10">
        <v>34</v>
      </c>
      <c r="D110" s="10">
        <v>3</v>
      </c>
      <c r="E110" s="10">
        <v>1170</v>
      </c>
      <c r="F110" s="10">
        <v>35346727.691950545</v>
      </c>
      <c r="G110" s="10"/>
      <c r="H110" s="10"/>
      <c r="I110" s="10"/>
      <c r="J110" s="10"/>
      <c r="K110" s="10"/>
    </row>
    <row r="111" spans="1:11" x14ac:dyDescent="0.35">
      <c r="A111" s="9" t="s">
        <v>178</v>
      </c>
      <c r="B111" s="10">
        <v>2302</v>
      </c>
      <c r="C111" s="10">
        <v>25</v>
      </c>
      <c r="D111" s="10">
        <v>6</v>
      </c>
      <c r="E111" s="10">
        <v>1929</v>
      </c>
      <c r="F111" s="10">
        <v>52068530.770305976</v>
      </c>
      <c r="G111" s="10"/>
      <c r="H111" s="10"/>
      <c r="I111" s="10"/>
      <c r="J111" s="10"/>
      <c r="K111" s="10"/>
    </row>
    <row r="112" spans="1:11" x14ac:dyDescent="0.35">
      <c r="A112" s="9" t="s">
        <v>179</v>
      </c>
      <c r="B112" s="10">
        <v>900</v>
      </c>
      <c r="C112" s="10">
        <v>5</v>
      </c>
      <c r="D112" s="10">
        <v>2</v>
      </c>
      <c r="E112" s="10">
        <v>806</v>
      </c>
      <c r="F112" s="10">
        <v>21516728.428876236</v>
      </c>
      <c r="G112" s="10"/>
      <c r="H112" s="10"/>
      <c r="I112" s="10"/>
      <c r="J112" s="10"/>
      <c r="K112" s="10"/>
    </row>
    <row r="113" spans="1:11" x14ac:dyDescent="0.35">
      <c r="A113" s="9" t="s">
        <v>180</v>
      </c>
      <c r="B113" s="10">
        <v>436</v>
      </c>
      <c r="C113" s="10">
        <v>1</v>
      </c>
      <c r="D113" s="10">
        <v>2</v>
      </c>
      <c r="E113" s="10">
        <v>581</v>
      </c>
      <c r="F113" s="10">
        <v>11312365.27146689</v>
      </c>
      <c r="G113" s="10"/>
      <c r="H113" s="10"/>
      <c r="I113" s="10"/>
      <c r="J113" s="10"/>
      <c r="K113" s="10"/>
    </row>
    <row r="114" spans="1:11" x14ac:dyDescent="0.35">
      <c r="A114" s="9" t="s">
        <v>181</v>
      </c>
      <c r="B114" s="10">
        <v>1075</v>
      </c>
      <c r="C114" s="10">
        <v>13</v>
      </c>
      <c r="D114" s="10">
        <v>5</v>
      </c>
      <c r="E114" s="10">
        <v>992</v>
      </c>
      <c r="F114" s="10">
        <v>29863095.542803276</v>
      </c>
      <c r="G114" s="10"/>
      <c r="H114" s="10"/>
      <c r="I114" s="10"/>
      <c r="J114" s="10"/>
      <c r="K114" s="10"/>
    </row>
    <row r="115" spans="1:11" x14ac:dyDescent="0.35">
      <c r="A115" s="9" t="s">
        <v>182</v>
      </c>
      <c r="B115" s="10">
        <v>531</v>
      </c>
      <c r="C115" s="10">
        <v>2</v>
      </c>
      <c r="D115" s="10">
        <v>3</v>
      </c>
      <c r="E115" s="10">
        <v>503</v>
      </c>
      <c r="F115" s="10">
        <v>19180031.946383737</v>
      </c>
      <c r="G115" s="10"/>
      <c r="H115" s="10"/>
      <c r="I115" s="10"/>
      <c r="J115" s="10"/>
      <c r="K115" s="10"/>
    </row>
    <row r="116" spans="1:11" x14ac:dyDescent="0.35">
      <c r="A116" s="9" t="s">
        <v>183</v>
      </c>
      <c r="B116" s="10">
        <v>788</v>
      </c>
      <c r="C116" s="10">
        <v>5</v>
      </c>
      <c r="D116" s="10">
        <v>3</v>
      </c>
      <c r="E116" s="10">
        <v>688</v>
      </c>
      <c r="F116" s="10">
        <v>15551138.011041528</v>
      </c>
      <c r="G116" s="10"/>
      <c r="H116" s="10"/>
      <c r="I116" s="10"/>
      <c r="J116" s="10"/>
      <c r="K116" s="10"/>
    </row>
    <row r="117" spans="1:11" x14ac:dyDescent="0.35">
      <c r="A117" s="9" t="s">
        <v>184</v>
      </c>
      <c r="B117" s="10">
        <v>1812</v>
      </c>
      <c r="C117" s="10">
        <v>17</v>
      </c>
      <c r="D117" s="10">
        <v>7</v>
      </c>
      <c r="E117" s="10">
        <v>1567</v>
      </c>
      <c r="F117" s="10">
        <v>47725198.062832862</v>
      </c>
      <c r="G117" s="10"/>
      <c r="H117" s="10"/>
      <c r="I117" s="10"/>
      <c r="J117" s="10"/>
      <c r="K117" s="10"/>
    </row>
    <row r="118" spans="1:11" x14ac:dyDescent="0.35">
      <c r="A118" s="9" t="s">
        <v>185</v>
      </c>
      <c r="B118" s="10">
        <v>1411</v>
      </c>
      <c r="C118" s="10">
        <v>21</v>
      </c>
      <c r="D118" s="10">
        <v>4</v>
      </c>
      <c r="E118" s="10">
        <v>1279</v>
      </c>
      <c r="F118" s="10">
        <v>35420892.646568254</v>
      </c>
      <c r="G118" s="10"/>
      <c r="H118" s="10"/>
      <c r="I118" s="10"/>
      <c r="J118" s="10"/>
      <c r="K118" s="10"/>
    </row>
    <row r="119" spans="1:11" x14ac:dyDescent="0.35">
      <c r="A119" s="9" t="s">
        <v>186</v>
      </c>
      <c r="B119" s="10">
        <v>966</v>
      </c>
      <c r="C119" s="10">
        <v>9</v>
      </c>
      <c r="D119" s="10">
        <v>3</v>
      </c>
      <c r="E119" s="10">
        <v>894</v>
      </c>
      <c r="F119" s="10">
        <v>30498503.333272148</v>
      </c>
      <c r="G119" s="10"/>
      <c r="H119" s="10"/>
      <c r="I119" s="10"/>
      <c r="J119" s="10"/>
      <c r="K119" s="10"/>
    </row>
    <row r="120" spans="1:11" x14ac:dyDescent="0.35">
      <c r="A120" s="9" t="s">
        <v>187</v>
      </c>
      <c r="B120" s="10">
        <v>2812</v>
      </c>
      <c r="C120" s="10">
        <v>32</v>
      </c>
      <c r="D120" s="10">
        <v>7</v>
      </c>
      <c r="E120" s="10">
        <v>2135</v>
      </c>
      <c r="F120" s="10">
        <v>75653694.531017095</v>
      </c>
      <c r="G120" s="10"/>
      <c r="H120" s="10"/>
      <c r="I120" s="10"/>
      <c r="J120" s="10"/>
      <c r="K120" s="10"/>
    </row>
    <row r="121" spans="1:11" x14ac:dyDescent="0.35">
      <c r="A121" s="9" t="s">
        <v>188</v>
      </c>
      <c r="B121" s="10">
        <v>2960</v>
      </c>
      <c r="C121" s="10">
        <v>68</v>
      </c>
      <c r="D121" s="10">
        <v>5</v>
      </c>
      <c r="E121" s="10">
        <v>2375</v>
      </c>
      <c r="F121" s="10">
        <v>82317098.749659076</v>
      </c>
      <c r="G121" s="10"/>
      <c r="H121" s="10"/>
      <c r="I121" s="10"/>
      <c r="J121" s="10"/>
      <c r="K121" s="10"/>
    </row>
    <row r="122" spans="1:11" x14ac:dyDescent="0.35">
      <c r="A122" s="9" t="s">
        <v>189</v>
      </c>
      <c r="B122" s="10">
        <v>2074</v>
      </c>
      <c r="C122" s="10">
        <v>123</v>
      </c>
      <c r="D122" s="10">
        <v>2</v>
      </c>
      <c r="E122" s="10">
        <v>1646</v>
      </c>
      <c r="F122" s="10">
        <v>54477549.489263579</v>
      </c>
      <c r="G122" s="10"/>
      <c r="H122" s="10"/>
      <c r="I122" s="10"/>
      <c r="J122" s="10"/>
      <c r="K122" s="10"/>
    </row>
    <row r="123" spans="1:11" x14ac:dyDescent="0.35">
      <c r="A123" s="9" t="s">
        <v>190</v>
      </c>
      <c r="B123" s="10">
        <v>1608</v>
      </c>
      <c r="C123" s="10">
        <v>134</v>
      </c>
      <c r="D123" s="10">
        <v>8</v>
      </c>
      <c r="E123" s="10">
        <v>1558</v>
      </c>
      <c r="F123" s="10">
        <v>48967979.057886824</v>
      </c>
      <c r="G123" s="10"/>
      <c r="H123" s="10"/>
      <c r="I123" s="10"/>
      <c r="J123" s="10"/>
      <c r="K123" s="10"/>
    </row>
    <row r="124" spans="1:11" x14ac:dyDescent="0.35">
      <c r="A124" s="9" t="s">
        <v>191</v>
      </c>
      <c r="B124" s="10">
        <v>1729</v>
      </c>
      <c r="C124" s="10">
        <v>55</v>
      </c>
      <c r="D124" s="10">
        <v>0</v>
      </c>
      <c r="E124" s="10">
        <v>1409</v>
      </c>
      <c r="F124" s="10">
        <v>52216217.532132983</v>
      </c>
      <c r="G124" s="10"/>
      <c r="H124" s="10"/>
      <c r="I124" s="10"/>
      <c r="J124" s="10"/>
      <c r="K124" s="10"/>
    </row>
    <row r="125" spans="1:11" x14ac:dyDescent="0.35">
      <c r="A125" s="9" t="s">
        <v>192</v>
      </c>
      <c r="B125" s="10">
        <v>1156</v>
      </c>
      <c r="C125" s="10">
        <v>10</v>
      </c>
      <c r="D125" s="10">
        <v>4</v>
      </c>
      <c r="E125" s="10">
        <v>1301</v>
      </c>
      <c r="F125" s="10">
        <v>45611783.353123605</v>
      </c>
      <c r="G125" s="10"/>
      <c r="H125" s="10"/>
      <c r="I125" s="10"/>
      <c r="J125" s="10"/>
      <c r="K125" s="10"/>
    </row>
    <row r="126" spans="1:11" x14ac:dyDescent="0.35">
      <c r="A126" s="9" t="s">
        <v>193</v>
      </c>
      <c r="B126" s="10">
        <v>1202</v>
      </c>
      <c r="C126" s="10">
        <v>18</v>
      </c>
      <c r="D126" s="10">
        <v>2</v>
      </c>
      <c r="E126" s="10">
        <v>1024</v>
      </c>
      <c r="F126" s="10">
        <v>35680438.292144433</v>
      </c>
      <c r="G126" s="10"/>
      <c r="H126" s="10"/>
      <c r="I126" s="10"/>
      <c r="J126" s="10"/>
      <c r="K126" s="10"/>
    </row>
    <row r="127" spans="1:11" x14ac:dyDescent="0.35">
      <c r="A127" s="9" t="s">
        <v>194</v>
      </c>
      <c r="B127" s="10">
        <v>1103</v>
      </c>
      <c r="C127" s="10">
        <v>8</v>
      </c>
      <c r="D127" s="10">
        <v>4</v>
      </c>
      <c r="E127" s="10">
        <v>1300</v>
      </c>
      <c r="F127" s="10">
        <v>33275890.978318833</v>
      </c>
      <c r="G127" s="10"/>
      <c r="H127" s="10"/>
      <c r="I127" s="10"/>
      <c r="J127" s="10"/>
      <c r="K127" s="10"/>
    </row>
    <row r="128" spans="1:11" x14ac:dyDescent="0.35">
      <c r="A128" s="9" t="s">
        <v>195</v>
      </c>
      <c r="B128" s="10">
        <v>2126</v>
      </c>
      <c r="C128" s="10">
        <v>24</v>
      </c>
      <c r="D128" s="10">
        <v>1</v>
      </c>
      <c r="E128" s="10">
        <v>1744</v>
      </c>
      <c r="F128" s="10">
        <v>50295324.799346909</v>
      </c>
      <c r="G128" s="10"/>
      <c r="H128" s="10"/>
      <c r="I128" s="10"/>
      <c r="J128" s="10"/>
      <c r="K128" s="10"/>
    </row>
    <row r="129" spans="1:11" x14ac:dyDescent="0.35">
      <c r="A129" s="9" t="s">
        <v>196</v>
      </c>
      <c r="B129" s="10">
        <v>202</v>
      </c>
      <c r="C129" s="10">
        <v>1</v>
      </c>
      <c r="D129" s="10">
        <v>1</v>
      </c>
      <c r="E129" s="10">
        <v>152</v>
      </c>
      <c r="F129" s="10">
        <v>6102041.3343036957</v>
      </c>
      <c r="G129" s="10"/>
      <c r="H129" s="10"/>
      <c r="I129" s="10"/>
      <c r="J129" s="10"/>
      <c r="K129" s="10"/>
    </row>
    <row r="130" spans="1:11" x14ac:dyDescent="0.35">
      <c r="A130" s="9" t="s">
        <v>197</v>
      </c>
      <c r="B130" s="10">
        <v>739</v>
      </c>
      <c r="C130" s="10">
        <v>8</v>
      </c>
      <c r="D130" s="10">
        <v>3</v>
      </c>
      <c r="E130" s="10">
        <v>604</v>
      </c>
      <c r="F130" s="10">
        <v>32845325.70460102</v>
      </c>
      <c r="G130" s="10"/>
      <c r="H130" s="10"/>
      <c r="I130" s="10"/>
      <c r="J130" s="10"/>
      <c r="K130" s="10"/>
    </row>
    <row r="131" spans="1:11" x14ac:dyDescent="0.35">
      <c r="A131" s="9" t="s">
        <v>198</v>
      </c>
      <c r="B131" s="10">
        <v>1097</v>
      </c>
      <c r="C131" s="10">
        <v>14</v>
      </c>
      <c r="D131" s="10">
        <v>4</v>
      </c>
      <c r="E131" s="10">
        <v>1062</v>
      </c>
      <c r="F131" s="10">
        <v>37295886.997062847</v>
      </c>
      <c r="G131" s="10"/>
      <c r="H131" s="10"/>
      <c r="I131" s="10"/>
      <c r="J131" s="10"/>
      <c r="K131" s="10"/>
    </row>
    <row r="132" spans="1:11" x14ac:dyDescent="0.35">
      <c r="A132" s="9" t="s">
        <v>199</v>
      </c>
      <c r="B132" s="10">
        <v>1326</v>
      </c>
      <c r="C132" s="10">
        <v>29</v>
      </c>
      <c r="D132" s="10">
        <v>8</v>
      </c>
      <c r="E132" s="10">
        <v>1182</v>
      </c>
      <c r="F132" s="10">
        <v>65125162.919973403</v>
      </c>
      <c r="G132" s="10"/>
      <c r="H132" s="10"/>
      <c r="I132" s="10"/>
      <c r="J132" s="10"/>
      <c r="K132" s="10"/>
    </row>
    <row r="133" spans="1:11" x14ac:dyDescent="0.35">
      <c r="A133" s="9" t="s">
        <v>200</v>
      </c>
      <c r="B133" s="10">
        <v>966</v>
      </c>
      <c r="C133" s="10">
        <v>10</v>
      </c>
      <c r="D133" s="10">
        <v>4</v>
      </c>
      <c r="E133" s="10">
        <v>955</v>
      </c>
      <c r="F133" s="10">
        <v>31592576.273594294</v>
      </c>
      <c r="G133" s="10"/>
      <c r="H133" s="10"/>
      <c r="I133" s="10"/>
      <c r="J133" s="10"/>
      <c r="K133" s="10"/>
    </row>
    <row r="134" spans="1:11" x14ac:dyDescent="0.35">
      <c r="A134" s="9" t="s">
        <v>201</v>
      </c>
      <c r="B134" s="10">
        <v>709</v>
      </c>
      <c r="C134" s="10">
        <v>5</v>
      </c>
      <c r="D134" s="10">
        <v>1</v>
      </c>
      <c r="E134" s="10">
        <v>502</v>
      </c>
      <c r="F134" s="10">
        <v>24784010.044470601</v>
      </c>
      <c r="G134" s="10"/>
      <c r="H134" s="10"/>
      <c r="I134" s="10"/>
      <c r="J134" s="10"/>
      <c r="K134" s="10"/>
    </row>
    <row r="135" spans="1:11" x14ac:dyDescent="0.35">
      <c r="A135" s="9" t="s">
        <v>202</v>
      </c>
      <c r="B135" s="10">
        <v>625</v>
      </c>
      <c r="C135" s="10">
        <v>4</v>
      </c>
      <c r="D135" s="10">
        <v>2</v>
      </c>
      <c r="E135" s="10">
        <v>374</v>
      </c>
      <c r="F135" s="10">
        <v>19483563.040924259</v>
      </c>
      <c r="G135" s="10"/>
      <c r="H135" s="10"/>
      <c r="I135" s="10"/>
      <c r="J135" s="10"/>
      <c r="K135" s="10"/>
    </row>
    <row r="136" spans="1:11" x14ac:dyDescent="0.35">
      <c r="A136" s="9" t="s">
        <v>203</v>
      </c>
      <c r="B136" s="10">
        <v>989</v>
      </c>
      <c r="C136" s="10">
        <v>23</v>
      </c>
      <c r="D136" s="10">
        <v>1</v>
      </c>
      <c r="E136" s="10">
        <v>945</v>
      </c>
      <c r="F136" s="10">
        <v>45204718.926425666</v>
      </c>
      <c r="G136" s="10"/>
      <c r="H136" s="10"/>
      <c r="I136" s="10"/>
      <c r="J136" s="10"/>
      <c r="K136" s="10"/>
    </row>
    <row r="137" spans="1:11" x14ac:dyDescent="0.35">
      <c r="A137" s="9" t="s">
        <v>204</v>
      </c>
      <c r="B137" s="10">
        <v>1370</v>
      </c>
      <c r="C137" s="10">
        <v>12</v>
      </c>
      <c r="D137" s="10">
        <v>2</v>
      </c>
      <c r="E137" s="10">
        <v>1284</v>
      </c>
      <c r="F137" s="10">
        <v>53772898.258306704</v>
      </c>
      <c r="G137" s="10"/>
      <c r="H137" s="10"/>
      <c r="I137" s="10"/>
      <c r="J137" s="10"/>
      <c r="K137" s="10"/>
    </row>
    <row r="138" spans="1:11" x14ac:dyDescent="0.35">
      <c r="A138" s="9" t="s">
        <v>205</v>
      </c>
      <c r="B138" s="10">
        <v>1463</v>
      </c>
      <c r="C138" s="10">
        <v>64</v>
      </c>
      <c r="D138" s="10">
        <v>4</v>
      </c>
      <c r="E138" s="10">
        <v>1147</v>
      </c>
      <c r="F138" s="10">
        <v>65428807.617353886</v>
      </c>
      <c r="G138" s="10"/>
      <c r="H138" s="10"/>
      <c r="I138" s="10"/>
      <c r="J138" s="10"/>
      <c r="K138" s="10"/>
    </row>
    <row r="139" spans="1:11" x14ac:dyDescent="0.35">
      <c r="A139" s="9" t="s">
        <v>206</v>
      </c>
      <c r="B139" s="10">
        <v>395</v>
      </c>
      <c r="C139" s="10">
        <v>2</v>
      </c>
      <c r="D139" s="10">
        <v>2</v>
      </c>
      <c r="E139" s="10">
        <v>281</v>
      </c>
      <c r="F139" s="10">
        <v>14714954.778400198</v>
      </c>
      <c r="G139" s="10"/>
      <c r="H139" s="10"/>
      <c r="I139" s="10"/>
      <c r="J139" s="10"/>
      <c r="K139" s="10"/>
    </row>
    <row r="140" spans="1:11" x14ac:dyDescent="0.35">
      <c r="A140" s="9" t="s">
        <v>207</v>
      </c>
      <c r="B140" s="10">
        <v>2148</v>
      </c>
      <c r="C140" s="10">
        <v>52</v>
      </c>
      <c r="D140" s="10">
        <v>5</v>
      </c>
      <c r="E140" s="10">
        <v>2094</v>
      </c>
      <c r="F140" s="10">
        <v>89718814.165472999</v>
      </c>
      <c r="G140" s="10"/>
      <c r="H140" s="10"/>
      <c r="I140" s="10"/>
      <c r="J140" s="10"/>
      <c r="K140" s="10"/>
    </row>
    <row r="141" spans="1:11" x14ac:dyDescent="0.35">
      <c r="A141" s="9" t="s">
        <v>208</v>
      </c>
      <c r="B141" s="10">
        <v>713</v>
      </c>
      <c r="C141" s="10">
        <v>11</v>
      </c>
      <c r="D141" s="10">
        <v>4</v>
      </c>
      <c r="E141" s="10">
        <v>677</v>
      </c>
      <c r="F141" s="10">
        <v>39817363.864757068</v>
      </c>
      <c r="G141" s="10"/>
      <c r="H141" s="10"/>
      <c r="I141" s="10"/>
      <c r="J141" s="10"/>
      <c r="K141" s="10"/>
    </row>
    <row r="142" spans="1:11" x14ac:dyDescent="0.35">
      <c r="A142" s="9" t="s">
        <v>209</v>
      </c>
      <c r="B142" s="10">
        <v>1847</v>
      </c>
      <c r="C142" s="10">
        <v>20</v>
      </c>
      <c r="D142" s="10">
        <v>1</v>
      </c>
      <c r="E142" s="10">
        <v>1563</v>
      </c>
      <c r="F142" s="10">
        <v>55132851.753738277</v>
      </c>
      <c r="G142" s="10"/>
      <c r="H142" s="10"/>
      <c r="I142" s="10"/>
      <c r="J142" s="10"/>
      <c r="K142" s="10"/>
    </row>
    <row r="143" spans="1:11" x14ac:dyDescent="0.35">
      <c r="A143" s="9" t="s">
        <v>210</v>
      </c>
      <c r="B143" s="10">
        <v>2460</v>
      </c>
      <c r="C143" s="10">
        <v>48</v>
      </c>
      <c r="D143" s="10">
        <v>7</v>
      </c>
      <c r="E143" s="10">
        <v>2127</v>
      </c>
      <c r="F143" s="10">
        <v>134833606.96139249</v>
      </c>
      <c r="G143" s="10"/>
      <c r="H143" s="10"/>
      <c r="I143" s="10"/>
      <c r="J143" s="10"/>
      <c r="K143" s="10"/>
    </row>
    <row r="144" spans="1:11" x14ac:dyDescent="0.35">
      <c r="A144" s="9" t="s">
        <v>211</v>
      </c>
      <c r="B144" s="10">
        <v>2600</v>
      </c>
      <c r="C144" s="10">
        <v>23</v>
      </c>
      <c r="D144" s="10">
        <v>7</v>
      </c>
      <c r="E144" s="10">
        <v>1956</v>
      </c>
      <c r="F144" s="10">
        <v>75389425.087576628</v>
      </c>
      <c r="G144" s="10"/>
      <c r="H144" s="10"/>
      <c r="I144" s="10"/>
      <c r="J144" s="10"/>
      <c r="K144" s="10"/>
    </row>
    <row r="145" spans="1:11" x14ac:dyDescent="0.35">
      <c r="A145" s="9" t="s">
        <v>212</v>
      </c>
      <c r="B145" s="10">
        <v>3268</v>
      </c>
      <c r="C145" s="10">
        <v>38</v>
      </c>
      <c r="D145" s="10">
        <v>3</v>
      </c>
      <c r="E145" s="10">
        <v>2378</v>
      </c>
      <c r="F145" s="10">
        <v>76129679.042957067</v>
      </c>
      <c r="G145" s="10"/>
      <c r="H145" s="10"/>
      <c r="I145" s="10"/>
      <c r="J145" s="10"/>
      <c r="K145" s="10"/>
    </row>
    <row r="146" spans="1:11" x14ac:dyDescent="0.35">
      <c r="A146" s="9" t="s">
        <v>213</v>
      </c>
      <c r="B146" s="10">
        <v>936</v>
      </c>
      <c r="C146" s="10">
        <v>13</v>
      </c>
      <c r="D146" s="10">
        <v>7</v>
      </c>
      <c r="E146" s="10">
        <v>1032</v>
      </c>
      <c r="F146" s="10">
        <v>27713852.303655233</v>
      </c>
      <c r="G146" s="10"/>
      <c r="H146" s="10"/>
      <c r="I146" s="10"/>
      <c r="J146" s="10"/>
      <c r="K146" s="10"/>
    </row>
    <row r="147" spans="1:11" x14ac:dyDescent="0.35">
      <c r="A147" s="9" t="s">
        <v>214</v>
      </c>
      <c r="B147" s="10">
        <v>611</v>
      </c>
      <c r="C147" s="10">
        <v>4</v>
      </c>
      <c r="D147" s="10">
        <v>4</v>
      </c>
      <c r="E147" s="10">
        <v>523</v>
      </c>
      <c r="F147" s="10">
        <v>37174239.10428945</v>
      </c>
      <c r="G147" s="10"/>
      <c r="H147" s="10"/>
      <c r="I147" s="10"/>
      <c r="J147" s="10"/>
      <c r="K147" s="10"/>
    </row>
    <row r="148" spans="1:11" x14ac:dyDescent="0.35">
      <c r="A148" s="9" t="s">
        <v>215</v>
      </c>
      <c r="B148" s="10">
        <v>3131</v>
      </c>
      <c r="C148" s="10">
        <v>116</v>
      </c>
      <c r="D148" s="10">
        <v>11</v>
      </c>
      <c r="E148" s="10">
        <v>3417</v>
      </c>
      <c r="F148" s="10">
        <v>101298330.69140139</v>
      </c>
      <c r="G148" s="10"/>
      <c r="H148" s="10"/>
      <c r="I148" s="10"/>
      <c r="J148" s="10"/>
      <c r="K148" s="10"/>
    </row>
    <row r="149" spans="1:11" x14ac:dyDescent="0.35">
      <c r="A149" s="9" t="s">
        <v>216</v>
      </c>
      <c r="B149" s="10">
        <v>672</v>
      </c>
      <c r="C149" s="10">
        <v>10</v>
      </c>
      <c r="D149" s="10">
        <v>5</v>
      </c>
      <c r="E149" s="10">
        <v>781</v>
      </c>
      <c r="F149" s="10">
        <v>22707440.123047873</v>
      </c>
      <c r="G149" s="10"/>
      <c r="H149" s="10"/>
      <c r="I149" s="10"/>
      <c r="J149" s="10"/>
      <c r="K149" s="10"/>
    </row>
    <row r="150" spans="1:11" x14ac:dyDescent="0.35">
      <c r="A150" s="9" t="s">
        <v>217</v>
      </c>
      <c r="B150" s="10">
        <v>1049</v>
      </c>
      <c r="C150" s="10">
        <v>18</v>
      </c>
      <c r="D150" s="10">
        <v>5</v>
      </c>
      <c r="E150" s="10">
        <v>945</v>
      </c>
      <c r="F150" s="10">
        <v>41739810.551056802</v>
      </c>
      <c r="G150" s="10"/>
      <c r="H150" s="10"/>
      <c r="I150" s="10"/>
      <c r="J150" s="10"/>
      <c r="K150" s="10"/>
    </row>
    <row r="151" spans="1:11" x14ac:dyDescent="0.35">
      <c r="A151" s="9" t="s">
        <v>218</v>
      </c>
      <c r="B151" s="10">
        <v>1670</v>
      </c>
      <c r="C151" s="10">
        <v>19</v>
      </c>
      <c r="D151" s="10">
        <v>3</v>
      </c>
      <c r="E151" s="10">
        <v>1341</v>
      </c>
      <c r="F151" s="10">
        <v>54408932.508569874</v>
      </c>
      <c r="G151" s="10"/>
      <c r="H151" s="10"/>
      <c r="I151" s="10"/>
      <c r="J151" s="10"/>
      <c r="K151" s="10"/>
    </row>
    <row r="152" spans="1:11" x14ac:dyDescent="0.35">
      <c r="A152" s="9" t="s">
        <v>219</v>
      </c>
      <c r="B152" s="10">
        <v>2426</v>
      </c>
      <c r="C152" s="10">
        <v>21</v>
      </c>
      <c r="D152" s="10">
        <v>3</v>
      </c>
      <c r="E152" s="10">
        <v>1832</v>
      </c>
      <c r="F152" s="10">
        <v>75364546.859970421</v>
      </c>
      <c r="G152" s="10"/>
      <c r="H152" s="10"/>
      <c r="I152" s="10"/>
      <c r="J152" s="10"/>
      <c r="K152" s="10"/>
    </row>
    <row r="153" spans="1:11" x14ac:dyDescent="0.35">
      <c r="A153" s="9" t="s">
        <v>220</v>
      </c>
      <c r="B153" s="10">
        <v>1846</v>
      </c>
      <c r="C153" s="10">
        <v>32</v>
      </c>
      <c r="D153" s="10">
        <v>19</v>
      </c>
      <c r="E153" s="10">
        <v>1494</v>
      </c>
      <c r="F153" s="10">
        <v>96507228.875017196</v>
      </c>
      <c r="G153" s="10"/>
      <c r="H153" s="10"/>
      <c r="I153" s="10"/>
      <c r="J153" s="10"/>
      <c r="K153" s="10"/>
    </row>
    <row r="154" spans="1:11" x14ac:dyDescent="0.35">
      <c r="A154" s="9" t="s">
        <v>221</v>
      </c>
      <c r="B154" s="10">
        <v>1708</v>
      </c>
      <c r="C154" s="10">
        <v>22</v>
      </c>
      <c r="D154" s="10">
        <v>2</v>
      </c>
      <c r="E154" s="10">
        <v>1221</v>
      </c>
      <c r="F154" s="10">
        <v>40818684.366382405</v>
      </c>
      <c r="G154" s="10"/>
      <c r="H154" s="10"/>
      <c r="I154" s="10"/>
      <c r="J154" s="10"/>
      <c r="K154" s="10"/>
    </row>
    <row r="155" spans="1:11" x14ac:dyDescent="0.35">
      <c r="A155" s="9" t="s">
        <v>222</v>
      </c>
      <c r="B155" s="10">
        <v>2216</v>
      </c>
      <c r="C155" s="10">
        <v>19</v>
      </c>
      <c r="D155" s="10">
        <v>4</v>
      </c>
      <c r="E155" s="10">
        <v>1930</v>
      </c>
      <c r="F155" s="10">
        <v>56074070.518253498</v>
      </c>
      <c r="G155" s="10"/>
      <c r="H155" s="10"/>
      <c r="I155" s="10"/>
      <c r="J155" s="10"/>
      <c r="K155" s="10"/>
    </row>
    <row r="156" spans="1:11" x14ac:dyDescent="0.35">
      <c r="A156" s="9" t="s">
        <v>223</v>
      </c>
      <c r="B156" s="10">
        <v>1237</v>
      </c>
      <c r="C156" s="10">
        <v>15</v>
      </c>
      <c r="D156" s="10">
        <v>7</v>
      </c>
      <c r="E156" s="10">
        <v>1072</v>
      </c>
      <c r="F156" s="10">
        <v>45230778.082068399</v>
      </c>
      <c r="G156" s="10"/>
      <c r="H156" s="10"/>
      <c r="I156" s="10"/>
      <c r="J156" s="10"/>
      <c r="K156" s="10"/>
    </row>
    <row r="157" spans="1:11" x14ac:dyDescent="0.35">
      <c r="A157" s="9" t="s">
        <v>224</v>
      </c>
      <c r="B157" s="10">
        <v>1393</v>
      </c>
      <c r="C157" s="10">
        <v>17</v>
      </c>
      <c r="D157" s="10">
        <v>3</v>
      </c>
      <c r="E157" s="10">
        <v>1863</v>
      </c>
      <c r="F157" s="10">
        <v>31734644.097770423</v>
      </c>
      <c r="G157" s="10"/>
      <c r="H157" s="10"/>
      <c r="I157" s="10"/>
      <c r="J157" s="10"/>
      <c r="K157" s="10"/>
    </row>
    <row r="158" spans="1:11" x14ac:dyDescent="0.35">
      <c r="A158" s="9" t="s">
        <v>225</v>
      </c>
      <c r="B158" s="10">
        <v>1015</v>
      </c>
      <c r="C158" s="10">
        <v>14</v>
      </c>
      <c r="D158" s="10">
        <v>5</v>
      </c>
      <c r="E158" s="10">
        <v>1064</v>
      </c>
      <c r="F158" s="10">
        <v>24446547.816567954</v>
      </c>
      <c r="G158" s="10"/>
      <c r="H158" s="10"/>
      <c r="I158" s="10"/>
      <c r="J158" s="10"/>
      <c r="K158" s="10"/>
    </row>
    <row r="159" spans="1:11" x14ac:dyDescent="0.35">
      <c r="A159" s="9" t="s">
        <v>226</v>
      </c>
      <c r="B159" s="10">
        <v>1040</v>
      </c>
      <c r="C159" s="10">
        <v>14</v>
      </c>
      <c r="D159" s="10">
        <v>2</v>
      </c>
      <c r="E159" s="10">
        <v>1117</v>
      </c>
      <c r="F159" s="10">
        <v>33677316.517424598</v>
      </c>
      <c r="G159" s="10"/>
      <c r="H159" s="10"/>
      <c r="I159" s="10"/>
      <c r="J159" s="10"/>
      <c r="K159" s="10"/>
    </row>
    <row r="160" spans="1:11" x14ac:dyDescent="0.35">
      <c r="A160" s="9" t="s">
        <v>227</v>
      </c>
      <c r="B160" s="10">
        <v>1300</v>
      </c>
      <c r="C160" s="10">
        <v>16</v>
      </c>
      <c r="D160" s="10">
        <v>2</v>
      </c>
      <c r="E160" s="10">
        <v>1125</v>
      </c>
      <c r="F160" s="10">
        <v>25628600.915151492</v>
      </c>
      <c r="G160" s="10"/>
      <c r="H160" s="10"/>
      <c r="I160" s="10"/>
      <c r="J160" s="10"/>
      <c r="K160" s="10"/>
    </row>
    <row r="161" spans="1:11" x14ac:dyDescent="0.35">
      <c r="A161" s="9" t="s">
        <v>228</v>
      </c>
      <c r="B161" s="10">
        <v>820</v>
      </c>
      <c r="C161" s="10">
        <v>16</v>
      </c>
      <c r="D161" s="10">
        <v>2</v>
      </c>
      <c r="E161" s="10">
        <v>760</v>
      </c>
      <c r="F161" s="10">
        <v>39470713.762590595</v>
      </c>
      <c r="G161" s="10"/>
      <c r="H161" s="10"/>
      <c r="I161" s="10"/>
      <c r="J161" s="10"/>
      <c r="K161" s="10"/>
    </row>
    <row r="162" spans="1:11" x14ac:dyDescent="0.35">
      <c r="A162" s="9" t="s">
        <v>229</v>
      </c>
      <c r="B162" s="10">
        <v>791</v>
      </c>
      <c r="C162" s="10">
        <v>10</v>
      </c>
      <c r="D162" s="10">
        <v>6</v>
      </c>
      <c r="E162" s="10">
        <v>710</v>
      </c>
      <c r="F162" s="10">
        <v>50847797.182647124</v>
      </c>
      <c r="G162" s="10"/>
      <c r="H162" s="10"/>
      <c r="I162" s="10"/>
      <c r="J162" s="10"/>
      <c r="K162" s="10"/>
    </row>
    <row r="163" spans="1:11" x14ac:dyDescent="0.35">
      <c r="A163" s="9" t="s">
        <v>230</v>
      </c>
      <c r="B163" s="10">
        <v>930</v>
      </c>
      <c r="C163" s="10">
        <v>10</v>
      </c>
      <c r="D163" s="10">
        <v>2</v>
      </c>
      <c r="E163" s="10">
        <v>827</v>
      </c>
      <c r="F163" s="10">
        <v>26871737.09249948</v>
      </c>
      <c r="G163" s="10"/>
      <c r="H163" s="10"/>
      <c r="I163" s="10"/>
      <c r="J163" s="10"/>
      <c r="K163" s="10"/>
    </row>
    <row r="164" spans="1:11" x14ac:dyDescent="0.35">
      <c r="A164" s="9" t="s">
        <v>231</v>
      </c>
      <c r="B164" s="10">
        <v>1629</v>
      </c>
      <c r="C164" s="10">
        <v>22</v>
      </c>
      <c r="D164" s="10">
        <v>2</v>
      </c>
      <c r="E164" s="10">
        <v>1703</v>
      </c>
      <c r="F164" s="10">
        <v>53579691.716522619</v>
      </c>
      <c r="G164" s="10"/>
      <c r="H164" s="10"/>
      <c r="I164" s="10"/>
      <c r="J164" s="10"/>
      <c r="K164" s="10"/>
    </row>
    <row r="165" spans="1:11" x14ac:dyDescent="0.35">
      <c r="A165" s="9" t="s">
        <v>232</v>
      </c>
      <c r="B165" s="10">
        <v>1009</v>
      </c>
      <c r="C165" s="10">
        <v>22</v>
      </c>
      <c r="D165" s="10">
        <v>3</v>
      </c>
      <c r="E165" s="10">
        <v>858</v>
      </c>
      <c r="F165" s="10">
        <v>17717604.14326784</v>
      </c>
      <c r="G165" s="10"/>
      <c r="H165" s="10"/>
      <c r="I165" s="10"/>
      <c r="J165" s="10"/>
      <c r="K165" s="10"/>
    </row>
    <row r="166" spans="1:11" x14ac:dyDescent="0.35">
      <c r="A166" s="9" t="s">
        <v>233</v>
      </c>
      <c r="B166" s="10">
        <v>864</v>
      </c>
      <c r="C166" s="10">
        <v>7</v>
      </c>
      <c r="D166" s="10">
        <v>19</v>
      </c>
      <c r="E166" s="10">
        <v>684</v>
      </c>
      <c r="F166" s="10">
        <v>41822474.292606875</v>
      </c>
      <c r="G166" s="10"/>
      <c r="H166" s="10"/>
      <c r="I166" s="10"/>
      <c r="J166" s="10"/>
      <c r="K166" s="10"/>
    </row>
    <row r="167" spans="1:11" x14ac:dyDescent="0.35">
      <c r="A167" s="9" t="s">
        <v>234</v>
      </c>
      <c r="B167" s="10">
        <v>1218</v>
      </c>
      <c r="C167" s="10">
        <v>19</v>
      </c>
      <c r="D167" s="10">
        <v>5</v>
      </c>
      <c r="E167" s="10">
        <v>1233</v>
      </c>
      <c r="F167" s="10">
        <v>28531432.305835914</v>
      </c>
      <c r="G167" s="10"/>
      <c r="H167" s="10"/>
      <c r="I167" s="10"/>
      <c r="J167" s="10"/>
      <c r="K167" s="10"/>
    </row>
    <row r="168" spans="1:11" x14ac:dyDescent="0.35">
      <c r="A168" s="9" t="s">
        <v>235</v>
      </c>
      <c r="B168" s="10">
        <v>1278</v>
      </c>
      <c r="C168" s="10">
        <v>21</v>
      </c>
      <c r="D168" s="10">
        <v>3</v>
      </c>
      <c r="E168" s="10">
        <v>1198</v>
      </c>
      <c r="F168" s="10">
        <v>58648521.529602811</v>
      </c>
      <c r="G168" s="10"/>
      <c r="H168" s="10"/>
      <c r="I168" s="10"/>
      <c r="J168" s="10"/>
      <c r="K168" s="10"/>
    </row>
    <row r="169" spans="1:11" x14ac:dyDescent="0.35">
      <c r="A169" s="9" t="s">
        <v>236</v>
      </c>
      <c r="B169" s="10">
        <v>1528</v>
      </c>
      <c r="C169" s="10">
        <v>30</v>
      </c>
      <c r="D169" s="10">
        <v>10</v>
      </c>
      <c r="E169" s="10">
        <v>1153</v>
      </c>
      <c r="F169" s="10">
        <v>73750781.067517519</v>
      </c>
      <c r="G169" s="10"/>
      <c r="H169" s="10"/>
      <c r="I169" s="10"/>
      <c r="J169" s="10"/>
      <c r="K169" s="10"/>
    </row>
    <row r="170" spans="1:11" x14ac:dyDescent="0.35">
      <c r="A170" s="9" t="s">
        <v>237</v>
      </c>
      <c r="B170" s="10">
        <v>1065</v>
      </c>
      <c r="C170" s="10">
        <v>13</v>
      </c>
      <c r="D170" s="10">
        <v>17</v>
      </c>
      <c r="E170" s="10">
        <v>933</v>
      </c>
      <c r="F170" s="10">
        <v>46626843.359731056</v>
      </c>
      <c r="G170" s="10"/>
      <c r="H170" s="10"/>
      <c r="I170" s="10"/>
      <c r="J170" s="10"/>
      <c r="K170" s="10"/>
    </row>
    <row r="171" spans="1:11" x14ac:dyDescent="0.35">
      <c r="A171" s="9" t="s">
        <v>238</v>
      </c>
      <c r="B171" s="10">
        <v>1719</v>
      </c>
      <c r="C171" s="10">
        <v>36</v>
      </c>
      <c r="D171" s="10">
        <v>9</v>
      </c>
      <c r="E171" s="10">
        <v>1677</v>
      </c>
      <c r="F171" s="10">
        <v>68914420.32387194</v>
      </c>
      <c r="G171" s="10"/>
      <c r="H171" s="10"/>
      <c r="I171" s="10"/>
      <c r="J171" s="10"/>
      <c r="K171" s="10"/>
    </row>
    <row r="172" spans="1:11" x14ac:dyDescent="0.35">
      <c r="A172" s="9" t="s">
        <v>239</v>
      </c>
      <c r="B172" s="10">
        <v>1016</v>
      </c>
      <c r="C172" s="10">
        <v>8</v>
      </c>
      <c r="D172" s="10">
        <v>2</v>
      </c>
      <c r="E172" s="10">
        <v>606</v>
      </c>
      <c r="F172" s="10">
        <v>24857956.732679274</v>
      </c>
      <c r="G172" s="10">
        <v>659</v>
      </c>
      <c r="H172" s="10">
        <v>9</v>
      </c>
      <c r="I172" s="10">
        <v>2</v>
      </c>
      <c r="J172" s="10">
        <v>604</v>
      </c>
      <c r="K172" s="10">
        <v>24566121.682600006</v>
      </c>
    </row>
    <row r="173" spans="1:11" x14ac:dyDescent="0.35">
      <c r="A173" s="9" t="s">
        <v>240</v>
      </c>
      <c r="B173" s="10">
        <v>481</v>
      </c>
      <c r="C173" s="10">
        <v>0</v>
      </c>
      <c r="D173" s="10">
        <v>0</v>
      </c>
      <c r="E173" s="10">
        <v>20</v>
      </c>
      <c r="F173" s="10">
        <v>40881.803732939996</v>
      </c>
      <c r="G173" s="10"/>
      <c r="H173" s="10"/>
      <c r="I173" s="10"/>
      <c r="J173" s="10"/>
      <c r="K173" s="10"/>
    </row>
    <row r="174" spans="1:11" x14ac:dyDescent="0.35">
      <c r="A174" s="9" t="s">
        <v>241</v>
      </c>
      <c r="B174" s="10">
        <v>1181</v>
      </c>
      <c r="C174" s="10">
        <v>16</v>
      </c>
      <c r="D174" s="10">
        <v>3</v>
      </c>
      <c r="E174" s="10">
        <v>892</v>
      </c>
      <c r="F174" s="10">
        <v>50011814.57768818</v>
      </c>
      <c r="G174" s="10">
        <v>1011</v>
      </c>
      <c r="H174" s="10">
        <v>12</v>
      </c>
      <c r="I174" s="10">
        <v>3</v>
      </c>
      <c r="J174" s="10">
        <v>894</v>
      </c>
      <c r="K174" s="10">
        <v>52644934.703621082</v>
      </c>
    </row>
    <row r="175" spans="1:11" x14ac:dyDescent="0.35">
      <c r="A175" s="9" t="s">
        <v>242</v>
      </c>
      <c r="B175" s="10">
        <v>1143</v>
      </c>
      <c r="C175" s="10">
        <v>18</v>
      </c>
      <c r="D175" s="10">
        <v>6</v>
      </c>
      <c r="E175" s="10">
        <v>1011</v>
      </c>
      <c r="F175" s="10">
        <v>47142266.473720804</v>
      </c>
      <c r="G175" s="10">
        <v>1070</v>
      </c>
      <c r="H175" s="10">
        <v>12</v>
      </c>
      <c r="I175" s="10">
        <v>7</v>
      </c>
      <c r="J175" s="10">
        <v>1129</v>
      </c>
      <c r="K175" s="10">
        <v>46155636.187373906</v>
      </c>
    </row>
    <row r="176" spans="1:11" x14ac:dyDescent="0.35">
      <c r="A176" s="9" t="s">
        <v>243</v>
      </c>
      <c r="B176" s="10">
        <v>1089</v>
      </c>
      <c r="C176" s="10">
        <v>39</v>
      </c>
      <c r="D176" s="10">
        <v>7</v>
      </c>
      <c r="E176" s="10">
        <v>1016</v>
      </c>
      <c r="F176" s="10">
        <v>29823511.614325404</v>
      </c>
      <c r="G176" s="10">
        <v>914</v>
      </c>
      <c r="H176" s="10">
        <v>52</v>
      </c>
      <c r="I176" s="10">
        <v>5</v>
      </c>
      <c r="J176" s="10">
        <v>1169</v>
      </c>
      <c r="K176" s="10">
        <v>33354853.953617938</v>
      </c>
    </row>
    <row r="177" spans="1:11" x14ac:dyDescent="0.35">
      <c r="A177" s="9" t="s">
        <v>244</v>
      </c>
      <c r="B177" s="10">
        <v>1640</v>
      </c>
      <c r="C177" s="10">
        <v>169</v>
      </c>
      <c r="D177" s="10">
        <v>4</v>
      </c>
      <c r="E177" s="10">
        <v>1404</v>
      </c>
      <c r="F177" s="10">
        <v>46622070.452771142</v>
      </c>
      <c r="G177" s="10">
        <v>1568</v>
      </c>
      <c r="H177" s="10">
        <v>53</v>
      </c>
      <c r="I177" s="10">
        <v>4</v>
      </c>
      <c r="J177" s="10">
        <v>1545</v>
      </c>
      <c r="K177" s="10">
        <v>46797993.414214514</v>
      </c>
    </row>
    <row r="178" spans="1:11" x14ac:dyDescent="0.35">
      <c r="A178" s="9" t="s">
        <v>245</v>
      </c>
      <c r="B178" s="10">
        <v>2330</v>
      </c>
      <c r="C178" s="10">
        <v>85</v>
      </c>
      <c r="D178" s="10">
        <v>4</v>
      </c>
      <c r="E178" s="10">
        <v>1507</v>
      </c>
      <c r="F178" s="10">
        <v>55175882.57615307</v>
      </c>
      <c r="G178" s="10">
        <v>2168</v>
      </c>
      <c r="H178" s="10">
        <v>46</v>
      </c>
      <c r="I178" s="10">
        <v>6</v>
      </c>
      <c r="J178" s="10">
        <v>1759</v>
      </c>
      <c r="K178" s="10">
        <v>73020408.737973079</v>
      </c>
    </row>
    <row r="179" spans="1:11" x14ac:dyDescent="0.35">
      <c r="A179" s="9" t="s">
        <v>246</v>
      </c>
      <c r="B179" s="10">
        <v>1394</v>
      </c>
      <c r="C179" s="10">
        <v>34</v>
      </c>
      <c r="D179" s="10">
        <v>5</v>
      </c>
      <c r="E179" s="10">
        <v>1600</v>
      </c>
      <c r="F179" s="10">
        <v>59207734.83446902</v>
      </c>
      <c r="G179" s="10">
        <v>1313</v>
      </c>
      <c r="H179" s="10">
        <v>19</v>
      </c>
      <c r="I179" s="10">
        <v>4</v>
      </c>
      <c r="J179" s="10">
        <v>1341</v>
      </c>
      <c r="K179" s="10">
        <v>53716081.03571517</v>
      </c>
    </row>
    <row r="180" spans="1:11" x14ac:dyDescent="0.35">
      <c r="A180" s="9" t="s">
        <v>247</v>
      </c>
      <c r="B180" s="10">
        <v>644</v>
      </c>
      <c r="C180" s="10">
        <v>11</v>
      </c>
      <c r="D180" s="10">
        <v>4</v>
      </c>
      <c r="E180" s="10">
        <v>592</v>
      </c>
      <c r="F180" s="10">
        <v>36912855.642016023</v>
      </c>
      <c r="G180" s="10">
        <v>647</v>
      </c>
      <c r="H180" s="10">
        <v>9</v>
      </c>
      <c r="I180" s="10">
        <v>4</v>
      </c>
      <c r="J180" s="10">
        <v>589</v>
      </c>
      <c r="K180" s="10">
        <v>36718110.213707425</v>
      </c>
    </row>
    <row r="181" spans="1:11" x14ac:dyDescent="0.35">
      <c r="A181" s="9" t="s">
        <v>248</v>
      </c>
      <c r="B181" s="10">
        <v>1277</v>
      </c>
      <c r="C181" s="10">
        <v>30</v>
      </c>
      <c r="D181" s="10">
        <v>6</v>
      </c>
      <c r="E181" s="10">
        <v>1568</v>
      </c>
      <c r="F181" s="10">
        <v>39248004.380520716</v>
      </c>
      <c r="G181" s="10">
        <v>1294</v>
      </c>
      <c r="H181" s="10">
        <v>67</v>
      </c>
      <c r="I181" s="10">
        <v>6</v>
      </c>
      <c r="J181" s="10">
        <v>1596</v>
      </c>
      <c r="K181" s="10">
        <v>49032581.977643564</v>
      </c>
    </row>
    <row r="182" spans="1:11" x14ac:dyDescent="0.35">
      <c r="A182" s="9" t="s">
        <v>249</v>
      </c>
      <c r="B182" s="10">
        <v>1093</v>
      </c>
      <c r="C182" s="10">
        <v>13</v>
      </c>
      <c r="D182" s="10">
        <v>2</v>
      </c>
      <c r="E182" s="10">
        <v>1015</v>
      </c>
      <c r="F182" s="10">
        <v>35221561.202698201</v>
      </c>
      <c r="G182" s="10">
        <v>1041</v>
      </c>
      <c r="H182" s="10">
        <v>11</v>
      </c>
      <c r="I182" s="10">
        <v>3</v>
      </c>
      <c r="J182" s="10">
        <v>1055</v>
      </c>
      <c r="K182" s="10">
        <v>35388887.335220985</v>
      </c>
    </row>
    <row r="183" spans="1:11" x14ac:dyDescent="0.35">
      <c r="A183" s="9" t="s">
        <v>250</v>
      </c>
      <c r="B183" s="10">
        <v>3301</v>
      </c>
      <c r="C183" s="10">
        <v>81</v>
      </c>
      <c r="D183" s="10">
        <v>7</v>
      </c>
      <c r="E183" s="10">
        <v>2752</v>
      </c>
      <c r="F183" s="10">
        <v>81326743.498590007</v>
      </c>
      <c r="G183" s="10">
        <v>3167</v>
      </c>
      <c r="H183" s="10">
        <v>37</v>
      </c>
      <c r="I183" s="10">
        <v>7</v>
      </c>
      <c r="J183" s="10">
        <v>3046</v>
      </c>
      <c r="K183" s="10">
        <v>83238563.577376544</v>
      </c>
    </row>
    <row r="184" spans="1:11" x14ac:dyDescent="0.35">
      <c r="A184" s="9" t="s">
        <v>251</v>
      </c>
      <c r="B184" s="10">
        <v>541</v>
      </c>
      <c r="C184" s="10">
        <v>7</v>
      </c>
      <c r="D184" s="10">
        <v>1</v>
      </c>
      <c r="E184" s="10">
        <v>433</v>
      </c>
      <c r="F184" s="10">
        <v>15596666.127287775</v>
      </c>
      <c r="G184" s="10">
        <v>502</v>
      </c>
      <c r="H184" s="10">
        <v>0</v>
      </c>
      <c r="I184" s="10">
        <v>0</v>
      </c>
      <c r="J184" s="10">
        <v>451</v>
      </c>
      <c r="K184" s="10">
        <v>17208449.462412007</v>
      </c>
    </row>
    <row r="185" spans="1:11" x14ac:dyDescent="0.35">
      <c r="A185" s="9" t="s">
        <v>252</v>
      </c>
      <c r="B185" s="10">
        <v>861</v>
      </c>
      <c r="C185" s="10">
        <v>360</v>
      </c>
      <c r="D185" s="10">
        <v>2</v>
      </c>
      <c r="E185" s="10">
        <v>480</v>
      </c>
      <c r="F185" s="10">
        <v>13781202.268944502</v>
      </c>
      <c r="G185" s="10">
        <v>696</v>
      </c>
      <c r="H185" s="10">
        <v>7</v>
      </c>
      <c r="I185" s="10">
        <v>3</v>
      </c>
      <c r="J185" s="10">
        <v>466</v>
      </c>
      <c r="K185" s="10">
        <v>13022478.434680393</v>
      </c>
    </row>
    <row r="186" spans="1:11" x14ac:dyDescent="0.35">
      <c r="A186" s="9" t="s">
        <v>253</v>
      </c>
      <c r="B186" s="10">
        <v>1114</v>
      </c>
      <c r="C186" s="10">
        <v>15</v>
      </c>
      <c r="D186" s="10">
        <v>2</v>
      </c>
      <c r="E186" s="10">
        <v>1012</v>
      </c>
      <c r="F186" s="10">
        <v>42375196.877004378</v>
      </c>
      <c r="G186" s="10">
        <v>1107</v>
      </c>
      <c r="H186" s="10">
        <v>25</v>
      </c>
      <c r="I186" s="10">
        <v>3</v>
      </c>
      <c r="J186" s="10">
        <v>983</v>
      </c>
      <c r="K186" s="10">
        <v>43131387.750403598</v>
      </c>
    </row>
    <row r="187" spans="1:11" x14ac:dyDescent="0.35">
      <c r="A187" s="9" t="s">
        <v>254</v>
      </c>
      <c r="B187" s="10">
        <v>655</v>
      </c>
      <c r="C187" s="10">
        <v>12</v>
      </c>
      <c r="D187" s="10">
        <v>2</v>
      </c>
      <c r="E187" s="10">
        <v>438</v>
      </c>
      <c r="F187" s="10">
        <v>28758135.375682324</v>
      </c>
      <c r="G187" s="10">
        <v>634</v>
      </c>
      <c r="H187" s="10">
        <v>16</v>
      </c>
      <c r="I187" s="10">
        <v>3</v>
      </c>
      <c r="J187" s="10">
        <v>470</v>
      </c>
      <c r="K187" s="10">
        <v>26959689.18693684</v>
      </c>
    </row>
    <row r="188" spans="1:11" x14ac:dyDescent="0.35">
      <c r="A188" s="9" t="s">
        <v>255</v>
      </c>
      <c r="B188" s="10">
        <v>1303</v>
      </c>
      <c r="C188" s="10">
        <v>16</v>
      </c>
      <c r="D188" s="10">
        <v>3</v>
      </c>
      <c r="E188" s="10">
        <v>1236</v>
      </c>
      <c r="F188" s="10">
        <v>47938355.560272425</v>
      </c>
      <c r="G188" s="10">
        <v>1229</v>
      </c>
      <c r="H188" s="10">
        <v>11</v>
      </c>
      <c r="I188" s="10">
        <v>3</v>
      </c>
      <c r="J188" s="10">
        <v>1163</v>
      </c>
      <c r="K188" s="10">
        <v>44258622.433206558</v>
      </c>
    </row>
    <row r="189" spans="1:11" x14ac:dyDescent="0.35">
      <c r="A189" s="9" t="s">
        <v>256</v>
      </c>
      <c r="B189" s="10">
        <v>710</v>
      </c>
      <c r="C189" s="10">
        <v>13</v>
      </c>
      <c r="D189" s="10">
        <v>2</v>
      </c>
      <c r="E189" s="10">
        <v>671</v>
      </c>
      <c r="F189" s="10">
        <v>27288530.597093526</v>
      </c>
      <c r="G189" s="10">
        <v>716</v>
      </c>
      <c r="H189" s="10">
        <v>8</v>
      </c>
      <c r="I189" s="10">
        <v>1</v>
      </c>
      <c r="J189" s="10">
        <v>531</v>
      </c>
      <c r="K189" s="10">
        <v>26280632.594984926</v>
      </c>
    </row>
    <row r="190" spans="1:11" x14ac:dyDescent="0.35">
      <c r="A190" s="9" t="s">
        <v>257</v>
      </c>
      <c r="B190" s="10">
        <v>447</v>
      </c>
      <c r="C190" s="10">
        <v>5</v>
      </c>
      <c r="D190" s="10">
        <v>3</v>
      </c>
      <c r="E190" s="10">
        <v>384</v>
      </c>
      <c r="F190" s="10">
        <v>19799391.411217384</v>
      </c>
      <c r="G190" s="10">
        <v>363</v>
      </c>
      <c r="H190" s="10">
        <v>4</v>
      </c>
      <c r="I190" s="10">
        <v>2</v>
      </c>
      <c r="J190" s="10">
        <v>408</v>
      </c>
      <c r="K190" s="10">
        <v>18029794.462710511</v>
      </c>
    </row>
    <row r="191" spans="1:11" x14ac:dyDescent="0.35">
      <c r="A191" s="9" t="s">
        <v>258</v>
      </c>
      <c r="B191" s="10">
        <v>1415</v>
      </c>
      <c r="C191" s="10">
        <v>19</v>
      </c>
      <c r="D191" s="10">
        <v>5</v>
      </c>
      <c r="E191" s="10">
        <v>1168</v>
      </c>
      <c r="F191" s="10">
        <v>47835455.603938743</v>
      </c>
      <c r="G191" s="10">
        <v>1374</v>
      </c>
      <c r="H191" s="10">
        <v>20</v>
      </c>
      <c r="I191" s="10">
        <v>6</v>
      </c>
      <c r="J191" s="10">
        <v>1185</v>
      </c>
      <c r="K191" s="10">
        <v>50035485.962700404</v>
      </c>
    </row>
    <row r="192" spans="1:11" x14ac:dyDescent="0.35">
      <c r="A192" s="9" t="s">
        <v>259</v>
      </c>
      <c r="B192" s="10">
        <v>692</v>
      </c>
      <c r="C192" s="10">
        <v>22</v>
      </c>
      <c r="D192" s="10">
        <v>2</v>
      </c>
      <c r="E192" s="10">
        <v>591</v>
      </c>
      <c r="F192" s="10">
        <v>19731344.711293429</v>
      </c>
      <c r="G192" s="10">
        <v>652</v>
      </c>
      <c r="H192" s="10">
        <v>8</v>
      </c>
      <c r="I192" s="10">
        <v>2</v>
      </c>
      <c r="J192" s="10">
        <v>578</v>
      </c>
      <c r="K192" s="10">
        <v>19589925.883202821</v>
      </c>
    </row>
    <row r="193" spans="1:11" x14ac:dyDescent="0.35">
      <c r="A193" s="9" t="s">
        <v>260</v>
      </c>
      <c r="B193" s="10">
        <v>1054</v>
      </c>
      <c r="C193" s="10">
        <v>20</v>
      </c>
      <c r="D193" s="10">
        <v>4</v>
      </c>
      <c r="E193" s="10">
        <v>1064</v>
      </c>
      <c r="F193" s="10">
        <v>46589037.55232951</v>
      </c>
      <c r="G193" s="10">
        <v>1029</v>
      </c>
      <c r="H193" s="10">
        <v>12</v>
      </c>
      <c r="I193" s="10">
        <v>4</v>
      </c>
      <c r="J193" s="10">
        <v>1169</v>
      </c>
      <c r="K193" s="10">
        <v>44140186.752465189</v>
      </c>
    </row>
    <row r="194" spans="1:11" x14ac:dyDescent="0.35">
      <c r="A194" s="9" t="s">
        <v>261</v>
      </c>
      <c r="B194" s="10">
        <v>1691</v>
      </c>
      <c r="C194" s="10">
        <v>63</v>
      </c>
      <c r="D194" s="10">
        <v>15</v>
      </c>
      <c r="E194" s="10">
        <v>1460</v>
      </c>
      <c r="F194" s="10">
        <v>89436585.152017817</v>
      </c>
      <c r="G194" s="10">
        <v>1613</v>
      </c>
      <c r="H194" s="10">
        <v>59</v>
      </c>
      <c r="I194" s="10">
        <v>15</v>
      </c>
      <c r="J194" s="10">
        <v>1432</v>
      </c>
      <c r="K194" s="10">
        <v>92734786.954994738</v>
      </c>
    </row>
    <row r="195" spans="1:11" x14ac:dyDescent="0.35">
      <c r="A195" s="9" t="s">
        <v>262</v>
      </c>
      <c r="B195" s="10">
        <v>608</v>
      </c>
      <c r="C195" s="10">
        <v>11</v>
      </c>
      <c r="D195" s="10">
        <v>0</v>
      </c>
      <c r="E195" s="10">
        <v>478</v>
      </c>
      <c r="F195" s="10">
        <v>19557171.941584591</v>
      </c>
      <c r="G195" s="10">
        <v>579</v>
      </c>
      <c r="H195" s="10">
        <v>8</v>
      </c>
      <c r="I195" s="10">
        <v>0</v>
      </c>
      <c r="J195" s="10">
        <v>425</v>
      </c>
      <c r="K195" s="10">
        <v>16682740.896432864</v>
      </c>
    </row>
    <row r="196" spans="1:11" x14ac:dyDescent="0.35">
      <c r="A196" s="9" t="s">
        <v>263</v>
      </c>
      <c r="B196" s="10">
        <v>685</v>
      </c>
      <c r="C196" s="10">
        <v>19</v>
      </c>
      <c r="D196" s="10">
        <v>2</v>
      </c>
      <c r="E196" s="10">
        <v>703</v>
      </c>
      <c r="F196" s="10">
        <v>32148339.658316467</v>
      </c>
      <c r="G196" s="10">
        <v>686</v>
      </c>
      <c r="H196" s="10">
        <v>36</v>
      </c>
      <c r="I196" s="10">
        <v>3</v>
      </c>
      <c r="J196" s="10">
        <v>684</v>
      </c>
      <c r="K196" s="10">
        <v>31743891.695524059</v>
      </c>
    </row>
    <row r="197" spans="1:11" x14ac:dyDescent="0.35">
      <c r="A197" s="9" t="s">
        <v>264</v>
      </c>
      <c r="B197" s="10">
        <v>802</v>
      </c>
      <c r="C197" s="10">
        <v>59</v>
      </c>
      <c r="D197" s="10">
        <v>4</v>
      </c>
      <c r="E197" s="10">
        <v>668</v>
      </c>
      <c r="F197" s="10">
        <v>41325198.462684333</v>
      </c>
      <c r="G197" s="10">
        <v>845</v>
      </c>
      <c r="H197" s="10">
        <v>27</v>
      </c>
      <c r="I197" s="10">
        <v>2</v>
      </c>
      <c r="J197" s="10">
        <v>723</v>
      </c>
      <c r="K197" s="10">
        <v>39387881.033411831</v>
      </c>
    </row>
    <row r="198" spans="1:11" x14ac:dyDescent="0.35">
      <c r="A198" s="9" t="s">
        <v>265</v>
      </c>
      <c r="B198" s="10">
        <v>717</v>
      </c>
      <c r="C198" s="10">
        <v>21</v>
      </c>
      <c r="D198" s="10">
        <v>1</v>
      </c>
      <c r="E198" s="10">
        <v>642</v>
      </c>
      <c r="F198" s="10">
        <v>37037505.807304233</v>
      </c>
      <c r="G198" s="10">
        <v>692</v>
      </c>
      <c r="H198" s="10">
        <v>13</v>
      </c>
      <c r="I198" s="10">
        <v>2</v>
      </c>
      <c r="J198" s="10">
        <v>548</v>
      </c>
      <c r="K198" s="10">
        <v>38883063.043639198</v>
      </c>
    </row>
    <row r="199" spans="1:11" x14ac:dyDescent="0.35">
      <c r="A199" s="9" t="s">
        <v>266</v>
      </c>
      <c r="B199" s="10">
        <v>1438</v>
      </c>
      <c r="C199" s="10">
        <v>23</v>
      </c>
      <c r="D199" s="10">
        <v>7</v>
      </c>
      <c r="E199" s="10">
        <v>1258</v>
      </c>
      <c r="F199" s="10">
        <v>49730180.717577837</v>
      </c>
      <c r="G199" s="10">
        <v>1446</v>
      </c>
      <c r="H199" s="10">
        <v>16</v>
      </c>
      <c r="I199" s="10">
        <v>11</v>
      </c>
      <c r="J199" s="10">
        <v>1461</v>
      </c>
      <c r="K199" s="10">
        <v>54982096.289713062</v>
      </c>
    </row>
    <row r="200" spans="1:11" x14ac:dyDescent="0.35">
      <c r="A200" s="9" t="s">
        <v>267</v>
      </c>
      <c r="B200" s="10">
        <v>719</v>
      </c>
      <c r="C200" s="10">
        <v>8</v>
      </c>
      <c r="D200" s="10">
        <v>2</v>
      </c>
      <c r="E200" s="10">
        <v>657</v>
      </c>
      <c r="F200" s="10">
        <v>28316742.793529265</v>
      </c>
      <c r="G200" s="10">
        <v>736</v>
      </c>
      <c r="H200" s="10">
        <v>12</v>
      </c>
      <c r="I200" s="10">
        <v>2</v>
      </c>
      <c r="J200" s="10">
        <v>38</v>
      </c>
      <c r="K200" s="10">
        <v>29915137.232978608</v>
      </c>
    </row>
    <row r="201" spans="1:11" x14ac:dyDescent="0.35">
      <c r="A201" s="9" t="s">
        <v>268</v>
      </c>
      <c r="B201" s="10">
        <v>922</v>
      </c>
      <c r="C201" s="10">
        <v>18</v>
      </c>
      <c r="D201" s="10">
        <v>7</v>
      </c>
      <c r="E201" s="10">
        <v>758</v>
      </c>
      <c r="F201" s="10">
        <v>48841605.128626943</v>
      </c>
      <c r="G201" s="10">
        <v>884</v>
      </c>
      <c r="H201" s="10">
        <v>9</v>
      </c>
      <c r="I201" s="10">
        <v>5</v>
      </c>
      <c r="J201" s="10">
        <v>735</v>
      </c>
      <c r="K201" s="10">
        <v>39660174.091361687</v>
      </c>
    </row>
    <row r="202" spans="1:11" x14ac:dyDescent="0.35">
      <c r="A202" s="9" t="s">
        <v>269</v>
      </c>
      <c r="B202" s="10">
        <v>901</v>
      </c>
      <c r="C202" s="10">
        <v>26</v>
      </c>
      <c r="D202" s="10">
        <v>10</v>
      </c>
      <c r="E202" s="10">
        <v>821</v>
      </c>
      <c r="F202" s="10">
        <v>48303095.826886632</v>
      </c>
      <c r="G202" s="10">
        <v>857</v>
      </c>
      <c r="H202" s="10">
        <v>11</v>
      </c>
      <c r="I202" s="10">
        <v>10</v>
      </c>
      <c r="J202" s="10">
        <v>843</v>
      </c>
      <c r="K202" s="10">
        <v>47083808.750742219</v>
      </c>
    </row>
    <row r="203" spans="1:11" x14ac:dyDescent="0.35">
      <c r="A203" s="9" t="s">
        <v>270</v>
      </c>
      <c r="B203" s="10">
        <v>529</v>
      </c>
      <c r="C203" s="10">
        <v>6</v>
      </c>
      <c r="D203" s="10">
        <v>1</v>
      </c>
      <c r="E203" s="10">
        <v>452</v>
      </c>
      <c r="F203" s="10">
        <v>19732512.527919389</v>
      </c>
      <c r="G203" s="10">
        <v>527</v>
      </c>
      <c r="H203" s="10">
        <v>14</v>
      </c>
      <c r="I203" s="10">
        <v>1</v>
      </c>
      <c r="J203" s="10">
        <v>472</v>
      </c>
      <c r="K203" s="10">
        <v>19399713.726342458</v>
      </c>
    </row>
    <row r="204" spans="1:11" x14ac:dyDescent="0.35">
      <c r="A204" s="9" t="s">
        <v>271</v>
      </c>
      <c r="B204" s="10">
        <v>1010</v>
      </c>
      <c r="C204" s="10">
        <v>16</v>
      </c>
      <c r="D204" s="10">
        <v>11</v>
      </c>
      <c r="E204" s="10">
        <v>677</v>
      </c>
      <c r="F204" s="10">
        <v>52182163.634212539</v>
      </c>
      <c r="G204" s="10">
        <v>980</v>
      </c>
      <c r="H204" s="10">
        <v>14</v>
      </c>
      <c r="I204" s="10">
        <v>10</v>
      </c>
      <c r="J204" s="10">
        <v>1029</v>
      </c>
      <c r="K204" s="10">
        <v>59733708.571028903</v>
      </c>
    </row>
    <row r="205" spans="1:11" x14ac:dyDescent="0.35">
      <c r="A205" s="9" t="s">
        <v>272</v>
      </c>
      <c r="B205" s="10">
        <v>627</v>
      </c>
      <c r="C205" s="10">
        <v>5</v>
      </c>
      <c r="D205" s="10">
        <v>5</v>
      </c>
      <c r="E205" s="10">
        <v>566</v>
      </c>
      <c r="F205" s="10">
        <v>27712997.764267854</v>
      </c>
      <c r="G205" s="10">
        <v>623</v>
      </c>
      <c r="H205" s="10">
        <v>12</v>
      </c>
      <c r="I205" s="10">
        <v>4</v>
      </c>
      <c r="J205" s="10">
        <v>448</v>
      </c>
      <c r="K205" s="10">
        <v>26380348.114728082</v>
      </c>
    </row>
    <row r="206" spans="1:11" x14ac:dyDescent="0.35">
      <c r="A206" s="9" t="s">
        <v>273</v>
      </c>
      <c r="B206" s="10">
        <v>689</v>
      </c>
      <c r="C206" s="10">
        <v>15</v>
      </c>
      <c r="D206" s="10">
        <v>2</v>
      </c>
      <c r="E206" s="10">
        <v>678</v>
      </c>
      <c r="F206" s="10">
        <v>26648903.747094609</v>
      </c>
      <c r="G206" s="10">
        <v>662</v>
      </c>
      <c r="H206" s="10">
        <v>11</v>
      </c>
      <c r="I206" s="10">
        <v>1</v>
      </c>
      <c r="J206" s="10">
        <v>472</v>
      </c>
      <c r="K206" s="10">
        <v>23633710.719483979</v>
      </c>
    </row>
    <row r="207" spans="1:11" x14ac:dyDescent="0.35">
      <c r="A207" s="9" t="s">
        <v>274</v>
      </c>
      <c r="B207" s="10">
        <v>422</v>
      </c>
      <c r="C207" s="10">
        <v>5</v>
      </c>
      <c r="D207" s="10">
        <v>2</v>
      </c>
      <c r="E207" s="10">
        <v>337</v>
      </c>
      <c r="F207" s="10">
        <v>15075843.699872797</v>
      </c>
      <c r="G207" s="10">
        <v>395</v>
      </c>
      <c r="H207" s="10">
        <v>5</v>
      </c>
      <c r="I207" s="10">
        <v>3</v>
      </c>
      <c r="J207" s="10">
        <v>333</v>
      </c>
      <c r="K207" s="10">
        <v>16787062.047326967</v>
      </c>
    </row>
    <row r="208" spans="1:11" x14ac:dyDescent="0.35">
      <c r="A208" s="9" t="s">
        <v>275</v>
      </c>
      <c r="B208" s="10">
        <v>1192</v>
      </c>
      <c r="C208" s="10">
        <v>31</v>
      </c>
      <c r="D208" s="10">
        <v>7</v>
      </c>
      <c r="E208" s="10">
        <v>1021</v>
      </c>
      <c r="F208" s="10">
        <v>64309553.636431776</v>
      </c>
      <c r="G208" s="10">
        <v>1156</v>
      </c>
      <c r="H208" s="10">
        <v>17</v>
      </c>
      <c r="I208" s="10">
        <v>6</v>
      </c>
      <c r="J208" s="10">
        <v>962</v>
      </c>
      <c r="K208" s="10">
        <v>55862412.545706995</v>
      </c>
    </row>
    <row r="209" spans="1:11" x14ac:dyDescent="0.35">
      <c r="A209" s="9" t="s">
        <v>276</v>
      </c>
      <c r="B209" s="10">
        <v>665</v>
      </c>
      <c r="C209" s="10">
        <v>13</v>
      </c>
      <c r="D209" s="10">
        <v>3</v>
      </c>
      <c r="E209" s="10">
        <v>603</v>
      </c>
      <c r="F209" s="10">
        <v>31909826.861621931</v>
      </c>
      <c r="G209" s="10">
        <v>717</v>
      </c>
      <c r="H209" s="10">
        <v>10</v>
      </c>
      <c r="I209" s="10">
        <v>3</v>
      </c>
      <c r="J209" s="10">
        <v>589</v>
      </c>
      <c r="K209" s="10">
        <v>36392467.636760131</v>
      </c>
    </row>
    <row r="210" spans="1:11" x14ac:dyDescent="0.35">
      <c r="A210" s="9" t="s">
        <v>277</v>
      </c>
      <c r="B210" s="10">
        <v>1044</v>
      </c>
      <c r="C210" s="10">
        <v>23</v>
      </c>
      <c r="D210" s="10">
        <v>8</v>
      </c>
      <c r="E210" s="10">
        <v>776</v>
      </c>
      <c r="F210" s="10">
        <v>40947539.722268343</v>
      </c>
      <c r="G210" s="10">
        <v>1049</v>
      </c>
      <c r="H210" s="10">
        <v>24</v>
      </c>
      <c r="I210" s="10">
        <v>8</v>
      </c>
      <c r="J210" s="10">
        <v>1035</v>
      </c>
      <c r="K210" s="10">
        <v>44713837.246296115</v>
      </c>
    </row>
    <row r="211" spans="1:11" x14ac:dyDescent="0.35">
      <c r="A211" s="9" t="s">
        <v>278</v>
      </c>
      <c r="B211" s="10">
        <v>436</v>
      </c>
      <c r="C211" s="10">
        <v>11</v>
      </c>
      <c r="D211" s="10">
        <v>2</v>
      </c>
      <c r="E211" s="10">
        <v>363</v>
      </c>
      <c r="F211" s="10">
        <v>22850244.231267348</v>
      </c>
      <c r="G211" s="10">
        <v>412</v>
      </c>
      <c r="H211" s="10">
        <v>8</v>
      </c>
      <c r="I211" s="10">
        <v>3</v>
      </c>
      <c r="J211" s="10">
        <v>318</v>
      </c>
      <c r="K211" s="10">
        <v>19726926.885785561</v>
      </c>
    </row>
    <row r="212" spans="1:11" x14ac:dyDescent="0.35">
      <c r="A212" s="9" t="s">
        <v>279</v>
      </c>
      <c r="B212" s="10">
        <v>2046</v>
      </c>
      <c r="C212" s="10">
        <v>450</v>
      </c>
      <c r="D212" s="10">
        <v>12</v>
      </c>
      <c r="E212" s="10">
        <v>1584</v>
      </c>
      <c r="F212" s="10">
        <v>70268146.635357171</v>
      </c>
      <c r="G212" s="10">
        <v>1858</v>
      </c>
      <c r="H212" s="10">
        <v>97</v>
      </c>
      <c r="I212" s="10">
        <v>12</v>
      </c>
      <c r="J212" s="10">
        <v>1671</v>
      </c>
      <c r="K212" s="10">
        <v>83521497.15708217</v>
      </c>
    </row>
    <row r="213" spans="1:11" x14ac:dyDescent="0.35">
      <c r="A213" s="9" t="s">
        <v>280</v>
      </c>
      <c r="B213" s="10">
        <v>1293</v>
      </c>
      <c r="C213" s="10">
        <v>13</v>
      </c>
      <c r="D213" s="10">
        <v>3</v>
      </c>
      <c r="E213" s="10">
        <v>1310</v>
      </c>
      <c r="F213" s="10">
        <v>50194316.895960927</v>
      </c>
      <c r="G213" s="10">
        <v>1267</v>
      </c>
      <c r="H213" s="10">
        <v>19</v>
      </c>
      <c r="I213" s="10">
        <v>3</v>
      </c>
      <c r="J213" s="10">
        <v>1246</v>
      </c>
      <c r="K213" s="10">
        <v>45230847.247962922</v>
      </c>
    </row>
    <row r="214" spans="1:11" x14ac:dyDescent="0.35">
      <c r="A214" s="9" t="s">
        <v>281</v>
      </c>
      <c r="B214" s="10">
        <v>950</v>
      </c>
      <c r="C214" s="10">
        <v>22</v>
      </c>
      <c r="D214" s="10">
        <v>8</v>
      </c>
      <c r="E214" s="10">
        <v>875</v>
      </c>
      <c r="F214" s="10">
        <v>45218944.301728919</v>
      </c>
      <c r="G214" s="10">
        <v>911</v>
      </c>
      <c r="H214" s="10">
        <v>19</v>
      </c>
      <c r="I214" s="10">
        <v>10</v>
      </c>
      <c r="J214" s="10">
        <v>926</v>
      </c>
      <c r="K214" s="10">
        <v>50793524.744142003</v>
      </c>
    </row>
    <row r="215" spans="1:11" x14ac:dyDescent="0.35">
      <c r="A215" s="9" t="s">
        <v>282</v>
      </c>
      <c r="B215" s="10">
        <v>788</v>
      </c>
      <c r="C215" s="10">
        <v>16</v>
      </c>
      <c r="D215" s="10">
        <v>1</v>
      </c>
      <c r="E215" s="10">
        <v>904</v>
      </c>
      <c r="F215" s="10">
        <v>37577466.664469205</v>
      </c>
      <c r="G215" s="10">
        <v>878</v>
      </c>
      <c r="H215" s="10">
        <v>12</v>
      </c>
      <c r="I215" s="10">
        <v>2</v>
      </c>
      <c r="J215" s="10">
        <v>840</v>
      </c>
      <c r="K215" s="10">
        <v>47508142.825016297</v>
      </c>
    </row>
    <row r="216" spans="1:11" x14ac:dyDescent="0.35">
      <c r="A216" s="9" t="s">
        <v>283</v>
      </c>
      <c r="B216" s="10">
        <v>1336</v>
      </c>
      <c r="C216" s="10">
        <v>37</v>
      </c>
      <c r="D216" s="10">
        <v>7</v>
      </c>
      <c r="E216" s="10">
        <v>1050</v>
      </c>
      <c r="F216" s="10">
        <v>54633817.695672005</v>
      </c>
      <c r="G216" s="10">
        <v>1328</v>
      </c>
      <c r="H216" s="10">
        <v>289</v>
      </c>
      <c r="I216" s="10">
        <v>7</v>
      </c>
      <c r="J216" s="10">
        <v>1213</v>
      </c>
      <c r="K216" s="10">
        <v>52054061.996992737</v>
      </c>
    </row>
    <row r="217" spans="1:11" x14ac:dyDescent="0.35">
      <c r="A217" s="9" t="s">
        <v>284</v>
      </c>
      <c r="B217" s="10">
        <v>721</v>
      </c>
      <c r="C217" s="10">
        <v>2</v>
      </c>
      <c r="D217" s="10">
        <v>2</v>
      </c>
      <c r="E217" s="10">
        <v>565</v>
      </c>
      <c r="F217" s="10">
        <v>39369732.73997812</v>
      </c>
      <c r="G217" s="10">
        <v>683</v>
      </c>
      <c r="H217" s="10">
        <v>13</v>
      </c>
      <c r="I217" s="10">
        <v>3</v>
      </c>
      <c r="J217" s="10">
        <v>537</v>
      </c>
      <c r="K217" s="10">
        <v>38981216.068327919</v>
      </c>
    </row>
    <row r="218" spans="1:11" x14ac:dyDescent="0.35">
      <c r="A218" s="9" t="s">
        <v>285</v>
      </c>
      <c r="B218" s="10">
        <v>614</v>
      </c>
      <c r="C218" s="10">
        <v>15</v>
      </c>
      <c r="D218" s="10">
        <v>4</v>
      </c>
      <c r="E218" s="10">
        <v>45</v>
      </c>
      <c r="F218" s="10">
        <v>28270186.448352598</v>
      </c>
      <c r="G218" s="10">
        <v>634</v>
      </c>
      <c r="H218" s="10">
        <v>5</v>
      </c>
      <c r="I218" s="10">
        <v>5</v>
      </c>
      <c r="J218" s="10">
        <v>487</v>
      </c>
      <c r="K218" s="10">
        <v>30775303.998696312</v>
      </c>
    </row>
    <row r="219" spans="1:11" x14ac:dyDescent="0.35">
      <c r="A219" s="9" t="s">
        <v>286</v>
      </c>
      <c r="B219" s="10">
        <v>1914</v>
      </c>
      <c r="C219" s="10">
        <v>64</v>
      </c>
      <c r="D219" s="10">
        <v>17</v>
      </c>
      <c r="E219" s="10">
        <v>1828</v>
      </c>
      <c r="F219" s="10">
        <v>93952675.567198455</v>
      </c>
      <c r="G219" s="10">
        <v>1937</v>
      </c>
      <c r="H219" s="10">
        <v>109</v>
      </c>
      <c r="I219" s="10">
        <v>18</v>
      </c>
      <c r="J219" s="10">
        <v>2364</v>
      </c>
      <c r="K219" s="10">
        <v>91807359.653591037</v>
      </c>
    </row>
    <row r="220" spans="1:11" x14ac:dyDescent="0.35">
      <c r="A220" s="9" t="s">
        <v>287</v>
      </c>
      <c r="B220" s="10">
        <v>673</v>
      </c>
      <c r="C220" s="10">
        <v>12</v>
      </c>
      <c r="D220" s="10">
        <v>9</v>
      </c>
      <c r="E220" s="10">
        <v>624</v>
      </c>
      <c r="F220" s="10">
        <v>36012568.761056662</v>
      </c>
      <c r="G220" s="10">
        <v>653</v>
      </c>
      <c r="H220" s="10">
        <v>9</v>
      </c>
      <c r="I220" s="10">
        <v>9</v>
      </c>
      <c r="J220" s="10">
        <v>523</v>
      </c>
      <c r="K220" s="10">
        <v>33964550.400748737</v>
      </c>
    </row>
    <row r="221" spans="1:11" x14ac:dyDescent="0.35">
      <c r="A221" s="9" t="s">
        <v>288</v>
      </c>
      <c r="B221" s="10">
        <v>394</v>
      </c>
      <c r="C221" s="10">
        <v>13</v>
      </c>
      <c r="D221" s="10">
        <v>2</v>
      </c>
      <c r="E221" s="10">
        <v>289</v>
      </c>
      <c r="F221" s="10">
        <v>10251147.850171112</v>
      </c>
      <c r="G221" s="10">
        <v>295</v>
      </c>
      <c r="H221" s="10">
        <v>5</v>
      </c>
      <c r="I221" s="10">
        <v>1</v>
      </c>
      <c r="J221" s="10">
        <v>258</v>
      </c>
      <c r="K221" s="10">
        <v>9172717.4020581767</v>
      </c>
    </row>
    <row r="222" spans="1:11" x14ac:dyDescent="0.35">
      <c r="A222" s="9" t="s">
        <v>289</v>
      </c>
      <c r="B222" s="10">
        <v>641</v>
      </c>
      <c r="C222" s="10">
        <v>17</v>
      </c>
      <c r="D222" s="10">
        <v>8</v>
      </c>
      <c r="E222" s="10">
        <v>535</v>
      </c>
      <c r="F222" s="10">
        <v>31165499.95725935</v>
      </c>
      <c r="G222" s="10">
        <v>635</v>
      </c>
      <c r="H222" s="10">
        <v>7</v>
      </c>
      <c r="I222" s="10">
        <v>8</v>
      </c>
      <c r="J222" s="10">
        <v>588</v>
      </c>
      <c r="K222" s="10">
        <v>29621198.105610624</v>
      </c>
    </row>
    <row r="223" spans="1:11" x14ac:dyDescent="0.35">
      <c r="A223" s="9" t="s">
        <v>290</v>
      </c>
      <c r="B223" s="10">
        <v>887</v>
      </c>
      <c r="C223" s="10">
        <v>13</v>
      </c>
      <c r="D223" s="10">
        <v>12</v>
      </c>
      <c r="E223" s="10">
        <v>689</v>
      </c>
      <c r="F223" s="10">
        <v>37322984.667865478</v>
      </c>
      <c r="G223" s="10">
        <v>818</v>
      </c>
      <c r="H223" s="10">
        <v>54</v>
      </c>
      <c r="I223" s="10">
        <v>15</v>
      </c>
      <c r="J223" s="10">
        <v>651</v>
      </c>
      <c r="K223" s="10">
        <v>35398295.83423084</v>
      </c>
    </row>
    <row r="224" spans="1:11" x14ac:dyDescent="0.35">
      <c r="A224" s="9" t="s">
        <v>291</v>
      </c>
      <c r="B224" s="10">
        <v>1581</v>
      </c>
      <c r="C224" s="10">
        <v>26</v>
      </c>
      <c r="D224" s="10">
        <v>7</v>
      </c>
      <c r="E224" s="10">
        <v>1399</v>
      </c>
      <c r="F224" s="10">
        <v>60499531.645645633</v>
      </c>
      <c r="G224" s="10">
        <v>1447</v>
      </c>
      <c r="H224" s="10">
        <v>21</v>
      </c>
      <c r="I224" s="10">
        <v>7</v>
      </c>
      <c r="J224" s="10">
        <v>1368</v>
      </c>
      <c r="K224" s="10">
        <v>61106165.892635055</v>
      </c>
    </row>
    <row r="225" spans="1:11" x14ac:dyDescent="0.35">
      <c r="A225" s="9" t="s">
        <v>292</v>
      </c>
      <c r="B225" s="10">
        <v>643</v>
      </c>
      <c r="C225" s="10">
        <v>11</v>
      </c>
      <c r="D225" s="10">
        <v>8</v>
      </c>
      <c r="E225" s="10">
        <v>671</v>
      </c>
      <c r="F225" s="10">
        <v>22260407.330413796</v>
      </c>
      <c r="G225" s="10">
        <v>613</v>
      </c>
      <c r="H225" s="10">
        <v>11</v>
      </c>
      <c r="I225" s="10">
        <v>8</v>
      </c>
      <c r="J225" s="10">
        <v>804</v>
      </c>
      <c r="K225" s="10">
        <v>24556961.386623595</v>
      </c>
    </row>
    <row r="226" spans="1:11" x14ac:dyDescent="0.35">
      <c r="A226" s="9" t="s">
        <v>293</v>
      </c>
      <c r="B226" s="10">
        <v>727</v>
      </c>
      <c r="C226" s="10">
        <v>15</v>
      </c>
      <c r="D226" s="10">
        <v>3</v>
      </c>
      <c r="E226" s="10">
        <v>739</v>
      </c>
      <c r="F226" s="10">
        <v>20612157.803063493</v>
      </c>
      <c r="G226" s="10">
        <v>706</v>
      </c>
      <c r="H226" s="10">
        <v>9</v>
      </c>
      <c r="I226" s="10">
        <v>4</v>
      </c>
      <c r="J226" s="10">
        <v>734</v>
      </c>
      <c r="K226" s="10">
        <v>22540844.309388533</v>
      </c>
    </row>
    <row r="227" spans="1:11" x14ac:dyDescent="0.35">
      <c r="A227" s="9" t="s">
        <v>294</v>
      </c>
      <c r="B227" s="10">
        <v>892</v>
      </c>
      <c r="C227" s="10">
        <v>24</v>
      </c>
      <c r="D227" s="10">
        <v>3</v>
      </c>
      <c r="E227" s="10">
        <v>819</v>
      </c>
      <c r="F227" s="10">
        <v>31639529.093136288</v>
      </c>
      <c r="G227" s="10">
        <v>869</v>
      </c>
      <c r="H227" s="10">
        <v>18</v>
      </c>
      <c r="I227" s="10">
        <v>5</v>
      </c>
      <c r="J227" s="10">
        <v>778</v>
      </c>
      <c r="K227" s="10">
        <v>38786868.330020286</v>
      </c>
    </row>
    <row r="228" spans="1:11" x14ac:dyDescent="0.35">
      <c r="A228" s="9" t="s">
        <v>295</v>
      </c>
      <c r="B228" s="10">
        <v>925</v>
      </c>
      <c r="C228" s="10">
        <v>12</v>
      </c>
      <c r="D228" s="10">
        <v>3</v>
      </c>
      <c r="E228" s="10">
        <v>838</v>
      </c>
      <c r="F228" s="10">
        <v>35777656.559900232</v>
      </c>
      <c r="G228" s="10">
        <v>878</v>
      </c>
      <c r="H228" s="10">
        <v>3</v>
      </c>
      <c r="I228" s="10">
        <v>3</v>
      </c>
      <c r="J228" s="10">
        <v>780</v>
      </c>
      <c r="K228" s="10">
        <v>29115260.243684545</v>
      </c>
    </row>
    <row r="229" spans="1:11" x14ac:dyDescent="0.35">
      <c r="A229" s="9" t="s">
        <v>296</v>
      </c>
      <c r="B229" s="10">
        <v>783</v>
      </c>
      <c r="C229" s="10">
        <v>9</v>
      </c>
      <c r="D229" s="10">
        <v>3</v>
      </c>
      <c r="E229" s="10">
        <v>532</v>
      </c>
      <c r="F229" s="10">
        <v>41060427.858753175</v>
      </c>
      <c r="G229" s="10">
        <v>770</v>
      </c>
      <c r="H229" s="10">
        <v>71</v>
      </c>
      <c r="I229" s="10">
        <v>7</v>
      </c>
      <c r="J229" s="10">
        <v>628</v>
      </c>
      <c r="K229" s="10">
        <v>41788289.370172366</v>
      </c>
    </row>
    <row r="230" spans="1:11" x14ac:dyDescent="0.35">
      <c r="A230" s="9" t="s">
        <v>297</v>
      </c>
      <c r="B230" s="10">
        <v>1150</v>
      </c>
      <c r="C230" s="10">
        <v>12</v>
      </c>
      <c r="D230" s="10">
        <v>5</v>
      </c>
      <c r="E230" s="10">
        <v>941</v>
      </c>
      <c r="F230" s="10">
        <v>41259989.544887543</v>
      </c>
      <c r="G230" s="10">
        <v>1113</v>
      </c>
      <c r="H230" s="10">
        <v>8</v>
      </c>
      <c r="I230" s="10">
        <v>6</v>
      </c>
      <c r="J230" s="10">
        <v>963</v>
      </c>
      <c r="K230" s="10">
        <v>40275291.493683957</v>
      </c>
    </row>
    <row r="231" spans="1:11" x14ac:dyDescent="0.35">
      <c r="A231" s="9" t="s">
        <v>298</v>
      </c>
      <c r="B231" s="10">
        <v>713</v>
      </c>
      <c r="C231" s="10">
        <v>11</v>
      </c>
      <c r="D231" s="10">
        <v>2</v>
      </c>
      <c r="E231" s="10">
        <v>535</v>
      </c>
      <c r="F231" s="10">
        <v>14957845.215906899</v>
      </c>
      <c r="G231" s="10">
        <v>683</v>
      </c>
      <c r="H231" s="10">
        <v>7</v>
      </c>
      <c r="I231" s="10">
        <v>2</v>
      </c>
      <c r="J231" s="10">
        <v>577</v>
      </c>
      <c r="K231" s="10">
        <v>14888226.701054778</v>
      </c>
    </row>
    <row r="232" spans="1:11" x14ac:dyDescent="0.35">
      <c r="A232" s="9" t="s">
        <v>299</v>
      </c>
      <c r="B232" s="10">
        <v>490</v>
      </c>
      <c r="C232" s="10">
        <v>12</v>
      </c>
      <c r="D232" s="10">
        <v>1</v>
      </c>
      <c r="E232" s="10">
        <v>613</v>
      </c>
      <c r="F232" s="10">
        <v>19422062.963911284</v>
      </c>
      <c r="G232" s="10">
        <v>521</v>
      </c>
      <c r="H232" s="10">
        <v>9</v>
      </c>
      <c r="I232" s="10">
        <v>1</v>
      </c>
      <c r="J232" s="10">
        <v>634</v>
      </c>
      <c r="K232" s="10">
        <v>24247263.509645604</v>
      </c>
    </row>
    <row r="233" spans="1:11" x14ac:dyDescent="0.35">
      <c r="A233" s="9" t="s">
        <v>300</v>
      </c>
      <c r="B233" s="10">
        <v>731</v>
      </c>
      <c r="C233" s="10">
        <v>13</v>
      </c>
      <c r="D233" s="10">
        <v>2</v>
      </c>
      <c r="E233" s="10">
        <v>710</v>
      </c>
      <c r="F233" s="10">
        <v>28325003.904672448</v>
      </c>
      <c r="G233" s="10">
        <v>708</v>
      </c>
      <c r="H233" s="10">
        <v>10</v>
      </c>
      <c r="I233" s="10">
        <v>2</v>
      </c>
      <c r="J233" s="10">
        <v>711</v>
      </c>
      <c r="K233" s="10">
        <v>30057106.194239762</v>
      </c>
    </row>
    <row r="234" spans="1:11" x14ac:dyDescent="0.35">
      <c r="A234" s="9" t="s">
        <v>301</v>
      </c>
      <c r="B234" s="10">
        <v>311</v>
      </c>
      <c r="C234" s="10">
        <v>1</v>
      </c>
      <c r="D234" s="10">
        <v>0</v>
      </c>
      <c r="E234" s="10">
        <v>43</v>
      </c>
      <c r="F234" s="10">
        <v>6476984.5003022579</v>
      </c>
      <c r="G234" s="10">
        <v>204</v>
      </c>
      <c r="H234" s="10">
        <v>1</v>
      </c>
      <c r="I234" s="10">
        <v>2</v>
      </c>
      <c r="J234" s="10">
        <v>4</v>
      </c>
      <c r="K234" s="10">
        <v>1044571.035316622</v>
      </c>
    </row>
    <row r="235" spans="1:11" x14ac:dyDescent="0.35">
      <c r="A235" s="9" t="s">
        <v>302</v>
      </c>
      <c r="B235" s="10">
        <v>2485</v>
      </c>
      <c r="C235" s="10">
        <v>50</v>
      </c>
      <c r="D235" s="10">
        <v>11</v>
      </c>
      <c r="E235" s="10">
        <v>2778</v>
      </c>
      <c r="F235" s="10">
        <v>99344799.649716765</v>
      </c>
      <c r="G235" s="10">
        <v>2407</v>
      </c>
      <c r="H235" s="10">
        <v>101</v>
      </c>
      <c r="I235" s="10">
        <v>8</v>
      </c>
      <c r="J235" s="10">
        <v>2017</v>
      </c>
      <c r="K235" s="10">
        <v>96898043.956209555</v>
      </c>
    </row>
    <row r="236" spans="1:11" x14ac:dyDescent="0.35">
      <c r="A236" s="9" t="s">
        <v>303</v>
      </c>
      <c r="B236" s="10">
        <v>1143</v>
      </c>
      <c r="C236" s="10">
        <v>11</v>
      </c>
      <c r="D236" s="10">
        <v>2</v>
      </c>
      <c r="E236" s="10">
        <v>823</v>
      </c>
      <c r="F236" s="10">
        <v>46603354.958092391</v>
      </c>
      <c r="G236" s="10">
        <v>1069</v>
      </c>
      <c r="H236" s="10">
        <v>109</v>
      </c>
      <c r="I236" s="10">
        <v>3</v>
      </c>
      <c r="J236" s="10">
        <v>1006</v>
      </c>
      <c r="K236" s="10">
        <v>48900062.322537631</v>
      </c>
    </row>
    <row r="237" spans="1:11" x14ac:dyDescent="0.35">
      <c r="A237" s="9" t="s">
        <v>304</v>
      </c>
      <c r="B237" s="10">
        <v>487</v>
      </c>
      <c r="C237" s="10">
        <v>6</v>
      </c>
      <c r="D237" s="10">
        <v>3</v>
      </c>
      <c r="E237" s="10">
        <v>513</v>
      </c>
      <c r="F237" s="10">
        <v>14559520.199061468</v>
      </c>
      <c r="G237" s="10">
        <v>549</v>
      </c>
      <c r="H237" s="10">
        <v>5</v>
      </c>
      <c r="I237" s="10">
        <v>3</v>
      </c>
      <c r="J237" s="10">
        <v>479</v>
      </c>
      <c r="K237" s="10">
        <v>19349188.891454488</v>
      </c>
    </row>
    <row r="238" spans="1:11" x14ac:dyDescent="0.35">
      <c r="A238" s="9" t="s">
        <v>305</v>
      </c>
      <c r="B238" s="10">
        <v>905</v>
      </c>
      <c r="C238" s="10">
        <v>10</v>
      </c>
      <c r="D238" s="10">
        <v>3</v>
      </c>
      <c r="E238" s="10">
        <v>915</v>
      </c>
      <c r="F238" s="10">
        <v>27325609.909657519</v>
      </c>
      <c r="G238" s="10">
        <v>906</v>
      </c>
      <c r="H238" s="10">
        <v>10</v>
      </c>
      <c r="I238" s="10">
        <v>4</v>
      </c>
      <c r="J238" s="10">
        <v>747</v>
      </c>
      <c r="K238" s="10">
        <v>23257758.912050307</v>
      </c>
    </row>
    <row r="239" spans="1:11" x14ac:dyDescent="0.35">
      <c r="A239" s="9" t="s">
        <v>306</v>
      </c>
      <c r="B239" s="10">
        <v>904</v>
      </c>
      <c r="C239" s="10">
        <v>16</v>
      </c>
      <c r="D239" s="10">
        <v>4</v>
      </c>
      <c r="E239" s="10">
        <v>779</v>
      </c>
      <c r="F239" s="10">
        <v>37811308.011623718</v>
      </c>
      <c r="G239" s="10">
        <v>889</v>
      </c>
      <c r="H239" s="10">
        <v>12</v>
      </c>
      <c r="I239" s="10">
        <v>4</v>
      </c>
      <c r="J239" s="10">
        <v>787</v>
      </c>
      <c r="K239" s="10">
        <v>34690061.744431861</v>
      </c>
    </row>
    <row r="240" spans="1:11" x14ac:dyDescent="0.35">
      <c r="A240" s="9" t="s">
        <v>307</v>
      </c>
      <c r="B240" s="10">
        <v>2207</v>
      </c>
      <c r="C240" s="10">
        <v>35</v>
      </c>
      <c r="D240" s="10">
        <v>4</v>
      </c>
      <c r="E240" s="10">
        <v>1307</v>
      </c>
      <c r="F240" s="10">
        <v>65713696.948705822</v>
      </c>
      <c r="G240" s="10">
        <v>2072</v>
      </c>
      <c r="H240" s="10">
        <v>47</v>
      </c>
      <c r="I240" s="10">
        <v>5</v>
      </c>
      <c r="J240" s="10">
        <v>2175</v>
      </c>
      <c r="K240" s="10">
        <v>88147614.25938192</v>
      </c>
    </row>
    <row r="241" spans="1:11" x14ac:dyDescent="0.35">
      <c r="A241" s="9" t="s">
        <v>308</v>
      </c>
      <c r="B241" s="10">
        <v>178</v>
      </c>
      <c r="C241" s="10">
        <v>5</v>
      </c>
      <c r="D241" s="10">
        <v>0</v>
      </c>
      <c r="E241" s="10">
        <v>183</v>
      </c>
      <c r="F241" s="10">
        <v>5031083.4928419963</v>
      </c>
      <c r="G241" s="10">
        <v>180</v>
      </c>
      <c r="H241" s="10">
        <v>1</v>
      </c>
      <c r="I241" s="10">
        <v>1</v>
      </c>
      <c r="J241" s="10">
        <v>210</v>
      </c>
      <c r="K241" s="10">
        <v>5495662.9413712211</v>
      </c>
    </row>
    <row r="242" spans="1:11" x14ac:dyDescent="0.35">
      <c r="A242" s="9" t="s">
        <v>309</v>
      </c>
      <c r="B242" s="10">
        <v>676</v>
      </c>
      <c r="C242" s="10">
        <v>12</v>
      </c>
      <c r="D242" s="10">
        <v>6</v>
      </c>
      <c r="E242" s="10">
        <v>602</v>
      </c>
      <c r="F242" s="10">
        <v>20450648.364372071</v>
      </c>
      <c r="G242" s="10">
        <v>712</v>
      </c>
      <c r="H242" s="10">
        <v>12</v>
      </c>
      <c r="I242" s="10">
        <v>6</v>
      </c>
      <c r="J242" s="10">
        <v>649</v>
      </c>
      <c r="K242" s="10">
        <v>24890845.776210275</v>
      </c>
    </row>
    <row r="243" spans="1:11" x14ac:dyDescent="0.35">
      <c r="A243" s="9" t="s">
        <v>310</v>
      </c>
      <c r="B243" s="10">
        <v>614</v>
      </c>
      <c r="C243" s="10">
        <v>22</v>
      </c>
      <c r="D243" s="10">
        <v>1</v>
      </c>
      <c r="E243" s="10">
        <v>507</v>
      </c>
      <c r="F243" s="10">
        <v>20443611.32993244</v>
      </c>
      <c r="G243" s="10">
        <v>603</v>
      </c>
      <c r="H243" s="10">
        <v>9</v>
      </c>
      <c r="I243" s="10">
        <v>1</v>
      </c>
      <c r="J243" s="10">
        <v>482</v>
      </c>
      <c r="K243" s="10">
        <v>19028826.735656429</v>
      </c>
    </row>
    <row r="244" spans="1:11" x14ac:dyDescent="0.35">
      <c r="A244" s="9" t="s">
        <v>311</v>
      </c>
      <c r="B244" s="10">
        <v>866</v>
      </c>
      <c r="C244" s="10">
        <v>11</v>
      </c>
      <c r="D244" s="10">
        <v>3</v>
      </c>
      <c r="E244" s="10">
        <v>889</v>
      </c>
      <c r="F244" s="10">
        <v>33796977.154018268</v>
      </c>
      <c r="G244" s="10">
        <v>879</v>
      </c>
      <c r="H244" s="10">
        <v>5</v>
      </c>
      <c r="I244" s="10">
        <v>4</v>
      </c>
      <c r="J244" s="10">
        <v>820</v>
      </c>
      <c r="K244" s="10">
        <v>34447549.360475793</v>
      </c>
    </row>
    <row r="245" spans="1:11" x14ac:dyDescent="0.35">
      <c r="A245" s="9" t="s">
        <v>312</v>
      </c>
      <c r="B245" s="10">
        <v>443</v>
      </c>
      <c r="C245" s="10">
        <v>7</v>
      </c>
      <c r="D245" s="10">
        <v>1</v>
      </c>
      <c r="E245" s="10">
        <v>366</v>
      </c>
      <c r="F245" s="10">
        <v>20842774.0210604</v>
      </c>
      <c r="G245" s="10">
        <v>439</v>
      </c>
      <c r="H245" s="10">
        <v>6</v>
      </c>
      <c r="I245" s="10">
        <v>0</v>
      </c>
      <c r="J245" s="10">
        <v>336</v>
      </c>
      <c r="K245" s="10">
        <v>20284038.93425459</v>
      </c>
    </row>
    <row r="246" spans="1:11" x14ac:dyDescent="0.35">
      <c r="A246" s="9" t="s">
        <v>313</v>
      </c>
      <c r="B246" s="10">
        <v>1022</v>
      </c>
      <c r="C246" s="10">
        <v>11</v>
      </c>
      <c r="D246" s="10">
        <v>3</v>
      </c>
      <c r="E246" s="10">
        <v>971</v>
      </c>
      <c r="F246" s="10">
        <v>25313585.975084342</v>
      </c>
      <c r="G246" s="10">
        <v>1016</v>
      </c>
      <c r="H246" s="10">
        <v>9</v>
      </c>
      <c r="I246" s="10">
        <v>4</v>
      </c>
      <c r="J246" s="10">
        <v>961</v>
      </c>
      <c r="K246" s="10">
        <v>24044976.472446192</v>
      </c>
    </row>
    <row r="247" spans="1:11" x14ac:dyDescent="0.35">
      <c r="A247" s="9" t="s">
        <v>314</v>
      </c>
      <c r="B247" s="10">
        <v>1401</v>
      </c>
      <c r="C247" s="10">
        <v>24</v>
      </c>
      <c r="D247" s="10">
        <v>4</v>
      </c>
      <c r="E247" s="10">
        <v>1479</v>
      </c>
      <c r="F247" s="10">
        <v>35530973.94932463</v>
      </c>
      <c r="G247" s="10">
        <v>1457</v>
      </c>
      <c r="H247" s="10">
        <v>19</v>
      </c>
      <c r="I247" s="10">
        <v>6</v>
      </c>
      <c r="J247" s="10">
        <v>1458</v>
      </c>
      <c r="K247" s="10">
        <v>34369816.6412398</v>
      </c>
    </row>
    <row r="248" spans="1:11" x14ac:dyDescent="0.35">
      <c r="A248" s="9" t="s">
        <v>315</v>
      </c>
      <c r="B248" s="10">
        <v>1116</v>
      </c>
      <c r="C248" s="10">
        <v>9</v>
      </c>
      <c r="D248" s="10">
        <v>3</v>
      </c>
      <c r="E248" s="10">
        <v>916</v>
      </c>
      <c r="F248" s="10">
        <v>38696628.842939019</v>
      </c>
      <c r="G248" s="10">
        <v>1123</v>
      </c>
      <c r="H248" s="10">
        <v>15</v>
      </c>
      <c r="I248" s="10">
        <v>7</v>
      </c>
      <c r="J248" s="10">
        <v>1037</v>
      </c>
      <c r="K248" s="10">
        <v>46352034.848012231</v>
      </c>
    </row>
    <row r="249" spans="1:11" x14ac:dyDescent="0.35">
      <c r="A249" s="9" t="s">
        <v>316</v>
      </c>
      <c r="B249" s="10">
        <v>604</v>
      </c>
      <c r="C249" s="10">
        <v>12</v>
      </c>
      <c r="D249" s="10">
        <v>3</v>
      </c>
      <c r="E249" s="10">
        <v>555</v>
      </c>
      <c r="F249" s="10">
        <v>21279857.871082857</v>
      </c>
      <c r="G249" s="10">
        <v>567</v>
      </c>
      <c r="H249" s="10">
        <v>5</v>
      </c>
      <c r="I249" s="10">
        <v>3</v>
      </c>
      <c r="J249" s="10">
        <v>561</v>
      </c>
      <c r="K249" s="10">
        <v>21878712.317239415</v>
      </c>
    </row>
    <row r="250" spans="1:11" x14ac:dyDescent="0.35">
      <c r="A250" s="9" t="s">
        <v>317</v>
      </c>
      <c r="B250" s="10">
        <v>885</v>
      </c>
      <c r="C250" s="10">
        <v>15</v>
      </c>
      <c r="D250" s="10">
        <v>3</v>
      </c>
      <c r="E250" s="10">
        <v>692</v>
      </c>
      <c r="F250" s="10">
        <v>34299043.65379785</v>
      </c>
      <c r="G250" s="10">
        <v>863</v>
      </c>
      <c r="H250" s="10">
        <v>10</v>
      </c>
      <c r="I250" s="10">
        <v>3</v>
      </c>
      <c r="J250" s="10">
        <v>725</v>
      </c>
      <c r="K250" s="10">
        <v>36318793.760636784</v>
      </c>
    </row>
    <row r="251" spans="1:11" x14ac:dyDescent="0.35">
      <c r="A251" s="9" t="s">
        <v>318</v>
      </c>
      <c r="B251" s="10">
        <v>1173</v>
      </c>
      <c r="C251" s="10">
        <v>25</v>
      </c>
      <c r="D251" s="10">
        <v>0</v>
      </c>
      <c r="E251" s="10">
        <v>1058</v>
      </c>
      <c r="F251" s="10">
        <v>40732836.086423017</v>
      </c>
      <c r="G251" s="10">
        <v>1121</v>
      </c>
      <c r="H251" s="10">
        <v>10</v>
      </c>
      <c r="I251" s="10">
        <v>1</v>
      </c>
      <c r="J251" s="10">
        <v>1017</v>
      </c>
      <c r="K251" s="10">
        <v>36847898.808500268</v>
      </c>
    </row>
    <row r="252" spans="1:11" x14ac:dyDescent="0.35">
      <c r="A252" s="9" t="s">
        <v>319</v>
      </c>
      <c r="B252" s="10">
        <v>945</v>
      </c>
      <c r="C252" s="10">
        <v>11</v>
      </c>
      <c r="D252" s="10">
        <v>4</v>
      </c>
      <c r="E252" s="10">
        <v>837</v>
      </c>
      <c r="F252" s="10">
        <v>25573332.824691989</v>
      </c>
      <c r="G252" s="10">
        <v>896</v>
      </c>
      <c r="H252" s="10">
        <v>13</v>
      </c>
      <c r="I252" s="10">
        <v>6</v>
      </c>
      <c r="J252" s="10">
        <v>809</v>
      </c>
      <c r="K252" s="10">
        <v>26203662.715936206</v>
      </c>
    </row>
    <row r="253" spans="1:11" x14ac:dyDescent="0.35">
      <c r="A253" s="9" t="s">
        <v>320</v>
      </c>
      <c r="B253" s="10">
        <v>668</v>
      </c>
      <c r="C253" s="10">
        <v>6</v>
      </c>
      <c r="D253" s="10">
        <v>5</v>
      </c>
      <c r="E253" s="10">
        <v>713</v>
      </c>
      <c r="F253" s="10">
        <v>21881523.196878336</v>
      </c>
      <c r="G253" s="10">
        <v>625</v>
      </c>
      <c r="H253" s="10">
        <v>5</v>
      </c>
      <c r="I253" s="10">
        <v>5</v>
      </c>
      <c r="J253" s="10">
        <v>642</v>
      </c>
      <c r="K253" s="10">
        <v>21002139.543306898</v>
      </c>
    </row>
    <row r="254" spans="1:11" x14ac:dyDescent="0.35">
      <c r="A254" s="9" t="s">
        <v>321</v>
      </c>
      <c r="B254" s="10">
        <v>963</v>
      </c>
      <c r="C254" s="10">
        <v>58</v>
      </c>
      <c r="D254" s="10">
        <v>7</v>
      </c>
      <c r="E254" s="10">
        <v>966</v>
      </c>
      <c r="F254" s="10">
        <v>33346137.993540369</v>
      </c>
      <c r="G254" s="10">
        <v>859</v>
      </c>
      <c r="H254" s="10">
        <v>13</v>
      </c>
      <c r="I254" s="10">
        <v>6</v>
      </c>
      <c r="J254" s="10">
        <v>889</v>
      </c>
      <c r="K254" s="10">
        <v>30774104.32764931</v>
      </c>
    </row>
    <row r="255" spans="1:11" x14ac:dyDescent="0.35">
      <c r="A255" s="9" t="s">
        <v>322</v>
      </c>
      <c r="B255" s="10">
        <v>1324</v>
      </c>
      <c r="C255" s="10">
        <v>24</v>
      </c>
      <c r="D255" s="10">
        <v>7</v>
      </c>
      <c r="E255" s="10">
        <v>1080</v>
      </c>
      <c r="F255" s="10">
        <v>40379217.220210359</v>
      </c>
      <c r="G255" s="10">
        <v>2093</v>
      </c>
      <c r="H255" s="10">
        <v>310</v>
      </c>
      <c r="I255" s="10">
        <v>7</v>
      </c>
      <c r="J255" s="10">
        <v>1357</v>
      </c>
      <c r="K255" s="10">
        <v>40358278.596122131</v>
      </c>
    </row>
    <row r="256" spans="1:11" x14ac:dyDescent="0.35">
      <c r="A256" s="9" t="s">
        <v>323</v>
      </c>
      <c r="B256" s="10">
        <v>1112</v>
      </c>
      <c r="C256" s="10">
        <v>16</v>
      </c>
      <c r="D256" s="10">
        <v>7</v>
      </c>
      <c r="E256" s="10">
        <v>963</v>
      </c>
      <c r="F256" s="10">
        <v>34448542.280269668</v>
      </c>
      <c r="G256" s="10">
        <v>1125</v>
      </c>
      <c r="H256" s="10">
        <v>50</v>
      </c>
      <c r="I256" s="10">
        <v>6</v>
      </c>
      <c r="J256" s="10">
        <v>912</v>
      </c>
      <c r="K256" s="10">
        <v>35955749.332753688</v>
      </c>
    </row>
    <row r="257" spans="1:11" x14ac:dyDescent="0.35">
      <c r="A257" s="9" t="s">
        <v>324</v>
      </c>
      <c r="B257" s="10">
        <v>921</v>
      </c>
      <c r="C257" s="10">
        <v>11</v>
      </c>
      <c r="D257" s="10">
        <v>6</v>
      </c>
      <c r="E257" s="10">
        <v>812</v>
      </c>
      <c r="F257" s="10">
        <v>33885529.460525036</v>
      </c>
      <c r="G257" s="10">
        <v>888</v>
      </c>
      <c r="H257" s="10">
        <v>9</v>
      </c>
      <c r="I257" s="10">
        <v>8</v>
      </c>
      <c r="J257" s="10">
        <v>917</v>
      </c>
      <c r="K257" s="10">
        <v>34985742.97890684</v>
      </c>
    </row>
    <row r="258" spans="1:11" x14ac:dyDescent="0.35">
      <c r="A258" s="9" t="s">
        <v>325</v>
      </c>
      <c r="B258" s="10">
        <v>1107</v>
      </c>
      <c r="C258" s="10">
        <v>20</v>
      </c>
      <c r="D258" s="10">
        <v>5</v>
      </c>
      <c r="E258" s="10">
        <v>1004</v>
      </c>
      <c r="F258" s="10">
        <v>36973237.048170298</v>
      </c>
      <c r="G258" s="10">
        <v>1093</v>
      </c>
      <c r="H258" s="10">
        <v>23</v>
      </c>
      <c r="I258" s="10">
        <v>6</v>
      </c>
      <c r="J258" s="10">
        <v>941</v>
      </c>
      <c r="K258" s="10">
        <v>42055931.939835846</v>
      </c>
    </row>
    <row r="259" spans="1:11" x14ac:dyDescent="0.35">
      <c r="A259" s="9" t="s">
        <v>326</v>
      </c>
      <c r="B259" s="10">
        <v>908</v>
      </c>
      <c r="C259" s="10">
        <v>10</v>
      </c>
      <c r="D259" s="10">
        <v>2</v>
      </c>
      <c r="E259" s="10">
        <v>860</v>
      </c>
      <c r="F259" s="10">
        <v>19732796.667066734</v>
      </c>
      <c r="G259" s="10">
        <v>846</v>
      </c>
      <c r="H259" s="10">
        <v>6</v>
      </c>
      <c r="I259" s="10">
        <v>3</v>
      </c>
      <c r="J259" s="10">
        <v>818</v>
      </c>
      <c r="K259" s="10">
        <v>18609180.947663598</v>
      </c>
    </row>
    <row r="260" spans="1:11" x14ac:dyDescent="0.35">
      <c r="A260" s="9" t="s">
        <v>327</v>
      </c>
      <c r="B260" s="10">
        <v>903</v>
      </c>
      <c r="C260" s="10">
        <v>14</v>
      </c>
      <c r="D260" s="10">
        <v>1</v>
      </c>
      <c r="E260" s="10">
        <v>767</v>
      </c>
      <c r="F260" s="10">
        <v>29840242.963310376</v>
      </c>
      <c r="G260" s="10">
        <v>853</v>
      </c>
      <c r="H260" s="10">
        <v>7</v>
      </c>
      <c r="I260" s="10">
        <v>1</v>
      </c>
      <c r="J260" s="10">
        <v>730</v>
      </c>
      <c r="K260" s="10">
        <v>23053939.328095082</v>
      </c>
    </row>
    <row r="261" spans="1:11" x14ac:dyDescent="0.35">
      <c r="A261" s="9" t="s">
        <v>328</v>
      </c>
      <c r="B261" s="10">
        <v>1704</v>
      </c>
      <c r="C261" s="10">
        <v>34</v>
      </c>
      <c r="D261" s="10">
        <v>8</v>
      </c>
      <c r="E261" s="10">
        <v>1666</v>
      </c>
      <c r="F261" s="10">
        <v>54951741.11093393</v>
      </c>
      <c r="G261" s="10">
        <v>1676</v>
      </c>
      <c r="H261" s="10">
        <v>61</v>
      </c>
      <c r="I261" s="10">
        <v>6</v>
      </c>
      <c r="J261" s="10">
        <v>1696</v>
      </c>
      <c r="K261" s="10">
        <v>54155421.010580376</v>
      </c>
    </row>
    <row r="262" spans="1:11" x14ac:dyDescent="0.35">
      <c r="A262" s="9" t="s">
        <v>329</v>
      </c>
      <c r="B262" s="10">
        <v>2147</v>
      </c>
      <c r="C262" s="10">
        <v>42</v>
      </c>
      <c r="D262" s="10">
        <v>14</v>
      </c>
      <c r="E262" s="10">
        <v>2111</v>
      </c>
      <c r="F262" s="10">
        <v>81960812.139699951</v>
      </c>
      <c r="G262" s="10">
        <v>2090</v>
      </c>
      <c r="H262" s="10">
        <v>39</v>
      </c>
      <c r="I262" s="10">
        <v>14</v>
      </c>
      <c r="J262" s="10">
        <v>2113</v>
      </c>
      <c r="K262" s="10">
        <v>89649814.604294181</v>
      </c>
    </row>
    <row r="263" spans="1:11" x14ac:dyDescent="0.35">
      <c r="A263" s="9" t="s">
        <v>330</v>
      </c>
      <c r="B263" s="10">
        <v>1194</v>
      </c>
      <c r="C263" s="10">
        <v>19</v>
      </c>
      <c r="D263" s="10">
        <v>5</v>
      </c>
      <c r="E263" s="10">
        <v>983</v>
      </c>
      <c r="F263" s="10">
        <v>48189853.670238681</v>
      </c>
      <c r="G263" s="10">
        <v>1157</v>
      </c>
      <c r="H263" s="10">
        <v>21</v>
      </c>
      <c r="I263" s="10">
        <v>4</v>
      </c>
      <c r="J263" s="10">
        <v>1028</v>
      </c>
      <c r="K263" s="10">
        <v>51033757.663554758</v>
      </c>
    </row>
    <row r="264" spans="1:11" x14ac:dyDescent="0.35">
      <c r="A264" s="9" t="s">
        <v>331</v>
      </c>
      <c r="B264" s="10">
        <v>760</v>
      </c>
      <c r="C264" s="10">
        <v>9</v>
      </c>
      <c r="D264" s="10">
        <v>4</v>
      </c>
      <c r="E264" s="10">
        <v>673</v>
      </c>
      <c r="F264" s="10">
        <v>22493772.834714718</v>
      </c>
      <c r="G264" s="10">
        <v>734</v>
      </c>
      <c r="H264" s="10">
        <v>22</v>
      </c>
      <c r="I264" s="10">
        <v>4</v>
      </c>
      <c r="J264" s="10">
        <v>707</v>
      </c>
      <c r="K264" s="10">
        <v>23449705.866756078</v>
      </c>
    </row>
    <row r="265" spans="1:11" x14ac:dyDescent="0.35">
      <c r="A265" s="9" t="s">
        <v>332</v>
      </c>
      <c r="B265" s="10">
        <v>1352</v>
      </c>
      <c r="C265" s="10">
        <v>35</v>
      </c>
      <c r="D265" s="10">
        <v>6</v>
      </c>
      <c r="E265" s="10">
        <v>1330</v>
      </c>
      <c r="F265" s="10">
        <v>65372835.536920428</v>
      </c>
      <c r="G265" s="10">
        <v>1300</v>
      </c>
      <c r="H265" s="10">
        <v>32</v>
      </c>
      <c r="I265" s="10">
        <v>5</v>
      </c>
      <c r="J265" s="10">
        <v>1383</v>
      </c>
      <c r="K265" s="10">
        <v>60890719.090175286</v>
      </c>
    </row>
    <row r="266" spans="1:11" x14ac:dyDescent="0.35">
      <c r="A266" s="9" t="s">
        <v>333</v>
      </c>
      <c r="B266" s="10">
        <v>799</v>
      </c>
      <c r="C266" s="10">
        <v>9</v>
      </c>
      <c r="D266" s="10">
        <v>1</v>
      </c>
      <c r="E266" s="10">
        <v>723</v>
      </c>
      <c r="F266" s="10">
        <v>16760809.856133984</v>
      </c>
      <c r="G266" s="10">
        <v>741</v>
      </c>
      <c r="H266" s="10">
        <v>0</v>
      </c>
      <c r="I266" s="10">
        <v>1</v>
      </c>
      <c r="J266" s="10">
        <v>684</v>
      </c>
      <c r="K266" s="10">
        <v>16365004.672061369</v>
      </c>
    </row>
    <row r="267" spans="1:11" x14ac:dyDescent="0.35">
      <c r="A267" s="9" t="s">
        <v>334</v>
      </c>
      <c r="B267" s="10">
        <v>2166</v>
      </c>
      <c r="C267" s="10">
        <v>136</v>
      </c>
      <c r="D267" s="10">
        <v>6</v>
      </c>
      <c r="E267" s="10">
        <v>2089</v>
      </c>
      <c r="F267" s="10">
        <v>67854157.271025479</v>
      </c>
      <c r="G267" s="10">
        <v>2089</v>
      </c>
      <c r="H267" s="10">
        <v>73</v>
      </c>
      <c r="I267" s="10">
        <v>6</v>
      </c>
      <c r="J267" s="10">
        <v>2138</v>
      </c>
      <c r="K267" s="10">
        <v>73109175.875961572</v>
      </c>
    </row>
    <row r="268" spans="1:11" x14ac:dyDescent="0.35">
      <c r="A268" s="9" t="s">
        <v>335</v>
      </c>
      <c r="B268" s="10">
        <v>1989</v>
      </c>
      <c r="C268" s="10">
        <v>21</v>
      </c>
      <c r="D268" s="10">
        <v>6</v>
      </c>
      <c r="E268" s="10">
        <v>1443</v>
      </c>
      <c r="F268" s="10">
        <v>68564978.840087816</v>
      </c>
      <c r="G268" s="10">
        <v>2032</v>
      </c>
      <c r="H268" s="10">
        <v>26</v>
      </c>
      <c r="I268" s="10">
        <v>7</v>
      </c>
      <c r="J268" s="10">
        <v>1435</v>
      </c>
      <c r="K268" s="10">
        <v>72660262.62761952</v>
      </c>
    </row>
    <row r="269" spans="1:11" x14ac:dyDescent="0.35">
      <c r="A269" s="9" t="s">
        <v>336</v>
      </c>
      <c r="B269" s="10">
        <v>589</v>
      </c>
      <c r="C269" s="10">
        <v>12</v>
      </c>
      <c r="D269" s="10">
        <v>3</v>
      </c>
      <c r="E269" s="10">
        <v>652</v>
      </c>
      <c r="F269" s="10">
        <v>20073994.033560093</v>
      </c>
      <c r="G269" s="10">
        <v>598</v>
      </c>
      <c r="H269" s="10">
        <v>6</v>
      </c>
      <c r="I269" s="10">
        <v>3</v>
      </c>
      <c r="J269" s="10">
        <v>337</v>
      </c>
      <c r="K269" s="10">
        <v>19221125.109806038</v>
      </c>
    </row>
    <row r="270" spans="1:11" x14ac:dyDescent="0.35">
      <c r="A270" s="9" t="s">
        <v>337</v>
      </c>
      <c r="B270" s="10">
        <v>1133</v>
      </c>
      <c r="C270" s="10">
        <v>17</v>
      </c>
      <c r="D270" s="10">
        <v>5</v>
      </c>
      <c r="E270" s="10">
        <v>1411</v>
      </c>
      <c r="F270" s="10">
        <v>41986704.985770002</v>
      </c>
      <c r="G270" s="10">
        <v>1073</v>
      </c>
      <c r="H270" s="10">
        <v>18</v>
      </c>
      <c r="I270" s="10">
        <v>5</v>
      </c>
      <c r="J270" s="10">
        <v>1133</v>
      </c>
      <c r="K270" s="10">
        <v>40718202.580031544</v>
      </c>
    </row>
    <row r="271" spans="1:11" x14ac:dyDescent="0.35">
      <c r="A271" s="9" t="s">
        <v>338</v>
      </c>
      <c r="B271" s="10">
        <v>1573</v>
      </c>
      <c r="C271" s="10">
        <v>24</v>
      </c>
      <c r="D271" s="10">
        <v>5</v>
      </c>
      <c r="E271" s="10">
        <v>1420</v>
      </c>
      <c r="F271" s="10">
        <v>49996962.873155802</v>
      </c>
      <c r="G271" s="10">
        <v>1565</v>
      </c>
      <c r="H271" s="10">
        <v>20</v>
      </c>
      <c r="I271" s="10">
        <v>4</v>
      </c>
      <c r="J271" s="10">
        <v>1430</v>
      </c>
      <c r="K271" s="10">
        <v>52563232.73899404</v>
      </c>
    </row>
    <row r="272" spans="1:11" x14ac:dyDescent="0.35">
      <c r="A272" s="9" t="s">
        <v>339</v>
      </c>
      <c r="B272" s="10">
        <v>706</v>
      </c>
      <c r="C272" s="10">
        <v>10</v>
      </c>
      <c r="D272" s="10">
        <v>2</v>
      </c>
      <c r="E272" s="10">
        <v>637</v>
      </c>
      <c r="F272" s="10">
        <v>24951754.80981683</v>
      </c>
      <c r="G272" s="10">
        <v>674</v>
      </c>
      <c r="H272" s="10">
        <v>8</v>
      </c>
      <c r="I272" s="10">
        <v>2</v>
      </c>
      <c r="J272" s="10">
        <v>601</v>
      </c>
      <c r="K272" s="10">
        <v>23534545.467146367</v>
      </c>
    </row>
    <row r="273" spans="1:11" x14ac:dyDescent="0.35">
      <c r="A273" s="9" t="s">
        <v>340</v>
      </c>
      <c r="B273" s="10">
        <v>1044</v>
      </c>
      <c r="C273" s="10">
        <v>15</v>
      </c>
      <c r="D273" s="10">
        <v>2</v>
      </c>
      <c r="E273" s="10">
        <v>853</v>
      </c>
      <c r="F273" s="10">
        <v>27922394.080323003</v>
      </c>
      <c r="G273" s="10">
        <v>1005</v>
      </c>
      <c r="H273" s="10">
        <v>6</v>
      </c>
      <c r="I273" s="10">
        <v>2</v>
      </c>
      <c r="J273" s="10">
        <v>816</v>
      </c>
      <c r="K273" s="10">
        <v>29614483.484984078</v>
      </c>
    </row>
    <row r="274" spans="1:11" x14ac:dyDescent="0.35">
      <c r="A274" s="9" t="s">
        <v>341</v>
      </c>
      <c r="B274" s="10">
        <v>1308</v>
      </c>
      <c r="C274" s="10">
        <v>17</v>
      </c>
      <c r="D274" s="10">
        <v>3</v>
      </c>
      <c r="E274" s="10">
        <v>1112</v>
      </c>
      <c r="F274" s="10">
        <v>52015118.430930138</v>
      </c>
      <c r="G274" s="10">
        <v>1283</v>
      </c>
      <c r="H274" s="10">
        <v>9</v>
      </c>
      <c r="I274" s="10">
        <v>5</v>
      </c>
      <c r="J274" s="10">
        <v>1158</v>
      </c>
      <c r="K274" s="10">
        <v>58368258.676270775</v>
      </c>
    </row>
    <row r="275" spans="1:11" x14ac:dyDescent="0.35">
      <c r="A275" s="9" t="s">
        <v>342</v>
      </c>
      <c r="B275" s="10">
        <v>1108</v>
      </c>
      <c r="C275" s="10">
        <v>23</v>
      </c>
      <c r="D275" s="10">
        <v>4</v>
      </c>
      <c r="E275" s="10">
        <v>1064</v>
      </c>
      <c r="F275" s="10">
        <v>48911493.870996796</v>
      </c>
      <c r="G275" s="10">
        <v>1130</v>
      </c>
      <c r="H275" s="10">
        <v>23</v>
      </c>
      <c r="I275" s="10">
        <v>5</v>
      </c>
      <c r="J275" s="10">
        <v>1162</v>
      </c>
      <c r="K275" s="10">
        <v>55104688.556930102</v>
      </c>
    </row>
    <row r="276" spans="1:11" x14ac:dyDescent="0.35">
      <c r="A276" s="9" t="s">
        <v>343</v>
      </c>
      <c r="B276" s="10">
        <v>577</v>
      </c>
      <c r="C276" s="10">
        <v>10</v>
      </c>
      <c r="D276" s="10">
        <v>2</v>
      </c>
      <c r="E276" s="10">
        <v>681</v>
      </c>
      <c r="F276" s="10">
        <v>18153184.536408797</v>
      </c>
      <c r="G276" s="10">
        <v>600</v>
      </c>
      <c r="H276" s="10">
        <v>10</v>
      </c>
      <c r="I276" s="10">
        <v>2</v>
      </c>
      <c r="J276" s="10">
        <v>766</v>
      </c>
      <c r="K276" s="10">
        <v>21463824.226042982</v>
      </c>
    </row>
    <row r="277" spans="1:11" x14ac:dyDescent="0.35">
      <c r="A277" s="9" t="s">
        <v>344</v>
      </c>
      <c r="B277" s="10">
        <v>901</v>
      </c>
      <c r="C277" s="10">
        <v>9</v>
      </c>
      <c r="D277" s="10">
        <v>9</v>
      </c>
      <c r="E277" s="10">
        <v>928</v>
      </c>
      <c r="F277" s="10">
        <v>40377581.397588216</v>
      </c>
      <c r="G277" s="10">
        <v>881</v>
      </c>
      <c r="H277" s="10">
        <v>16</v>
      </c>
      <c r="I277" s="10">
        <v>7</v>
      </c>
      <c r="J277" s="10">
        <v>908</v>
      </c>
      <c r="K277" s="10">
        <v>42018965.106314987</v>
      </c>
    </row>
    <row r="278" spans="1:11" x14ac:dyDescent="0.35">
      <c r="A278" s="9" t="s">
        <v>345</v>
      </c>
      <c r="B278" s="10">
        <v>749</v>
      </c>
      <c r="C278" s="10">
        <v>8</v>
      </c>
      <c r="D278" s="10">
        <v>6</v>
      </c>
      <c r="E278" s="10">
        <v>548</v>
      </c>
      <c r="F278" s="10">
        <v>16480913.930497337</v>
      </c>
      <c r="G278" s="10">
        <v>735</v>
      </c>
      <c r="H278" s="10">
        <v>59</v>
      </c>
      <c r="I278" s="10">
        <v>7</v>
      </c>
      <c r="J278" s="10">
        <v>620</v>
      </c>
      <c r="K278" s="10">
        <v>19658180.118435606</v>
      </c>
    </row>
    <row r="279" spans="1:11" x14ac:dyDescent="0.35">
      <c r="A279" s="9" t="s">
        <v>346</v>
      </c>
      <c r="B279" s="10">
        <v>322</v>
      </c>
      <c r="C279" s="10">
        <v>6</v>
      </c>
      <c r="D279" s="10">
        <v>3</v>
      </c>
      <c r="E279" s="10">
        <v>301</v>
      </c>
      <c r="F279" s="10">
        <v>16724035.610160749</v>
      </c>
      <c r="G279" s="10">
        <v>308</v>
      </c>
      <c r="H279" s="10">
        <v>4</v>
      </c>
      <c r="I279" s="10">
        <v>3</v>
      </c>
      <c r="J279" s="10">
        <v>272</v>
      </c>
      <c r="K279" s="10">
        <v>17055403.976393338</v>
      </c>
    </row>
    <row r="280" spans="1:11" x14ac:dyDescent="0.35">
      <c r="A280" s="9" t="s">
        <v>347</v>
      </c>
      <c r="B280" s="10">
        <v>402</v>
      </c>
      <c r="C280" s="10">
        <v>6</v>
      </c>
      <c r="D280" s="10">
        <v>8</v>
      </c>
      <c r="E280" s="10">
        <v>327</v>
      </c>
      <c r="F280" s="10">
        <v>17800254.746812131</v>
      </c>
      <c r="G280" s="10">
        <v>403</v>
      </c>
      <c r="H280" s="10">
        <v>5</v>
      </c>
      <c r="I280" s="10">
        <v>8</v>
      </c>
      <c r="J280" s="10">
        <v>301</v>
      </c>
      <c r="K280" s="10">
        <v>19860860.636716023</v>
      </c>
    </row>
    <row r="281" spans="1:11" x14ac:dyDescent="0.35">
      <c r="A281" s="9" t="s">
        <v>348</v>
      </c>
      <c r="B281" s="10">
        <v>695</v>
      </c>
      <c r="C281" s="10">
        <v>11</v>
      </c>
      <c r="D281" s="10">
        <v>3</v>
      </c>
      <c r="E281" s="10">
        <v>883</v>
      </c>
      <c r="F281" s="10">
        <v>23058355.049201835</v>
      </c>
      <c r="G281" s="10">
        <v>724</v>
      </c>
      <c r="H281" s="10">
        <v>6</v>
      </c>
      <c r="I281" s="10">
        <v>3</v>
      </c>
      <c r="J281" s="10">
        <v>673</v>
      </c>
      <c r="K281" s="10">
        <v>21181903.585215513</v>
      </c>
    </row>
    <row r="282" spans="1:11" x14ac:dyDescent="0.35">
      <c r="A282" s="9" t="s">
        <v>349</v>
      </c>
      <c r="B282" s="10">
        <v>482</v>
      </c>
      <c r="C282" s="10">
        <v>7</v>
      </c>
      <c r="D282" s="10">
        <v>5</v>
      </c>
      <c r="E282" s="10">
        <v>465</v>
      </c>
      <c r="F282" s="10">
        <v>15138462.78012906</v>
      </c>
      <c r="G282" s="10">
        <v>540</v>
      </c>
      <c r="H282" s="10">
        <v>54</v>
      </c>
      <c r="I282" s="10">
        <v>6</v>
      </c>
      <c r="J282" s="10">
        <v>527</v>
      </c>
      <c r="K282" s="10">
        <v>14757339.037885241</v>
      </c>
    </row>
    <row r="283" spans="1:11" x14ac:dyDescent="0.35">
      <c r="A283" s="9" t="s">
        <v>350</v>
      </c>
      <c r="B283" s="10">
        <v>237</v>
      </c>
      <c r="C283" s="10">
        <v>1</v>
      </c>
      <c r="D283" s="10">
        <v>2</v>
      </c>
      <c r="E283" s="10">
        <v>268</v>
      </c>
      <c r="F283" s="10">
        <v>7563556.0504158447</v>
      </c>
      <c r="G283" s="10">
        <v>214</v>
      </c>
      <c r="H283" s="10">
        <v>0</v>
      </c>
      <c r="I283" s="10">
        <v>2</v>
      </c>
      <c r="J283" s="10">
        <v>334</v>
      </c>
      <c r="K283" s="10">
        <v>3164890.7788899383</v>
      </c>
    </row>
    <row r="284" spans="1:11" x14ac:dyDescent="0.35">
      <c r="A284" s="9" t="s">
        <v>351</v>
      </c>
      <c r="B284" s="10">
        <v>1050</v>
      </c>
      <c r="C284" s="10">
        <v>15</v>
      </c>
      <c r="D284" s="10">
        <v>3</v>
      </c>
      <c r="E284" s="10">
        <v>1330</v>
      </c>
      <c r="F284" s="10">
        <v>38984652.145798936</v>
      </c>
      <c r="G284" s="10">
        <v>1132</v>
      </c>
      <c r="H284" s="10">
        <v>22</v>
      </c>
      <c r="I284" s="10">
        <v>4</v>
      </c>
      <c r="J284" s="10">
        <v>1442</v>
      </c>
      <c r="K284" s="10">
        <v>48193145.863359317</v>
      </c>
    </row>
    <row r="285" spans="1:11" x14ac:dyDescent="0.35">
      <c r="A285" s="9" t="s">
        <v>352</v>
      </c>
      <c r="B285" s="10">
        <v>2037</v>
      </c>
      <c r="C285" s="10">
        <v>35</v>
      </c>
      <c r="D285" s="10">
        <v>3</v>
      </c>
      <c r="E285" s="10">
        <v>1782</v>
      </c>
      <c r="F285" s="10">
        <v>62420770.607660003</v>
      </c>
      <c r="G285" s="10">
        <v>2005</v>
      </c>
      <c r="H285" s="10">
        <v>18</v>
      </c>
      <c r="I285" s="10">
        <v>4</v>
      </c>
      <c r="J285" s="10">
        <v>1965</v>
      </c>
      <c r="K285" s="10">
        <v>62073305.883427486</v>
      </c>
    </row>
    <row r="286" spans="1:11" x14ac:dyDescent="0.35">
      <c r="A286" s="9" t="s">
        <v>353</v>
      </c>
      <c r="B286" s="10">
        <v>408</v>
      </c>
      <c r="C286" s="10">
        <v>1</v>
      </c>
      <c r="D286" s="10">
        <v>29</v>
      </c>
      <c r="E286" s="10">
        <v>318</v>
      </c>
      <c r="F286" s="10">
        <v>22487071.709457871</v>
      </c>
      <c r="G286" s="10">
        <v>393</v>
      </c>
      <c r="H286" s="10">
        <v>0</v>
      </c>
      <c r="I286" s="10">
        <v>30</v>
      </c>
      <c r="J286" s="10">
        <v>346</v>
      </c>
      <c r="K286" s="10">
        <v>23988016.482725557</v>
      </c>
    </row>
    <row r="287" spans="1:11" x14ac:dyDescent="0.35">
      <c r="A287" s="9" t="s">
        <v>354</v>
      </c>
      <c r="B287" s="10">
        <v>0</v>
      </c>
      <c r="C287" s="10">
        <v>0</v>
      </c>
      <c r="D287" s="10">
        <v>0</v>
      </c>
      <c r="E287" s="10">
        <v>0</v>
      </c>
      <c r="F287" s="10">
        <v>0</v>
      </c>
      <c r="G287" s="10">
        <v>0</v>
      </c>
      <c r="H287" s="10">
        <v>0</v>
      </c>
      <c r="I287" s="10">
        <v>0</v>
      </c>
      <c r="J287" s="10">
        <v>0</v>
      </c>
      <c r="K287" s="10">
        <v>0</v>
      </c>
    </row>
    <row r="288" spans="1:11" x14ac:dyDescent="0.35">
      <c r="A288" s="9" t="s">
        <v>355</v>
      </c>
      <c r="B288" s="10">
        <v>781</v>
      </c>
      <c r="C288" s="10">
        <v>2</v>
      </c>
      <c r="D288" s="10">
        <v>20</v>
      </c>
      <c r="E288" s="10">
        <v>924</v>
      </c>
      <c r="F288" s="10">
        <v>35879924.983763851</v>
      </c>
      <c r="G288" s="10">
        <v>754</v>
      </c>
      <c r="H288" s="10">
        <v>7</v>
      </c>
      <c r="I288" s="10">
        <v>22</v>
      </c>
      <c r="J288" s="10">
        <v>805</v>
      </c>
      <c r="K288" s="10">
        <v>37786001.007776007</v>
      </c>
    </row>
    <row r="289" spans="1:11" x14ac:dyDescent="0.35">
      <c r="A289" s="9" t="s">
        <v>356</v>
      </c>
      <c r="B289" s="10">
        <v>0</v>
      </c>
      <c r="C289" s="10">
        <v>0</v>
      </c>
      <c r="D289" s="10">
        <v>0</v>
      </c>
      <c r="E289" s="10">
        <v>0</v>
      </c>
      <c r="F289" s="10">
        <v>0</v>
      </c>
      <c r="G289" s="10">
        <v>0</v>
      </c>
      <c r="H289" s="10">
        <v>0</v>
      </c>
      <c r="I289" s="10">
        <v>0</v>
      </c>
      <c r="J289" s="10">
        <v>0</v>
      </c>
      <c r="K289" s="10">
        <v>0</v>
      </c>
    </row>
    <row r="290" spans="1:11" x14ac:dyDescent="0.35">
      <c r="A290" s="9" t="s">
        <v>357</v>
      </c>
      <c r="B290" s="10">
        <v>1793</v>
      </c>
      <c r="C290" s="10">
        <v>33</v>
      </c>
      <c r="D290" s="10">
        <v>9</v>
      </c>
      <c r="E290" s="10">
        <v>1794</v>
      </c>
      <c r="F290" s="10">
        <v>72792947.993199572</v>
      </c>
      <c r="G290" s="10">
        <v>1792</v>
      </c>
      <c r="H290" s="10">
        <v>16</v>
      </c>
      <c r="I290" s="10">
        <v>12</v>
      </c>
      <c r="J290" s="10">
        <v>1703</v>
      </c>
      <c r="K290" s="10">
        <v>71169894.616269261</v>
      </c>
    </row>
    <row r="291" spans="1:11" x14ac:dyDescent="0.35">
      <c r="A291" s="9" t="s">
        <v>358</v>
      </c>
      <c r="B291" s="10">
        <v>636</v>
      </c>
      <c r="C291" s="10">
        <v>4</v>
      </c>
      <c r="D291" s="10">
        <v>3</v>
      </c>
      <c r="E291" s="10">
        <v>652</v>
      </c>
      <c r="F291" s="10">
        <v>26629554.63999074</v>
      </c>
      <c r="G291" s="10">
        <v>688</v>
      </c>
      <c r="H291" s="10">
        <v>11</v>
      </c>
      <c r="I291" s="10">
        <v>4</v>
      </c>
      <c r="J291" s="10">
        <v>692</v>
      </c>
      <c r="K291" s="10">
        <v>32472039.204378914</v>
      </c>
    </row>
    <row r="292" spans="1:11" x14ac:dyDescent="0.35">
      <c r="A292" s="9" t="s">
        <v>359</v>
      </c>
      <c r="B292" s="10">
        <v>1934</v>
      </c>
      <c r="C292" s="10">
        <v>20</v>
      </c>
      <c r="D292" s="10">
        <v>11</v>
      </c>
      <c r="E292" s="10">
        <v>1875</v>
      </c>
      <c r="F292" s="10">
        <v>85317227.686340034</v>
      </c>
      <c r="G292" s="10">
        <v>1889</v>
      </c>
      <c r="H292" s="10">
        <v>20</v>
      </c>
      <c r="I292" s="10">
        <v>8</v>
      </c>
      <c r="J292" s="10">
        <v>1840</v>
      </c>
      <c r="K292" s="10">
        <v>82605867.047861561</v>
      </c>
    </row>
    <row r="293" spans="1:11" x14ac:dyDescent="0.35">
      <c r="A293" s="9" t="s">
        <v>360</v>
      </c>
      <c r="B293" s="10">
        <v>761</v>
      </c>
      <c r="C293" s="10">
        <v>5</v>
      </c>
      <c r="D293" s="10">
        <v>3</v>
      </c>
      <c r="E293" s="10">
        <v>687</v>
      </c>
      <c r="F293" s="10">
        <v>37458539.198590606</v>
      </c>
      <c r="G293" s="10">
        <v>740</v>
      </c>
      <c r="H293" s="10">
        <v>3</v>
      </c>
      <c r="I293" s="10">
        <v>1</v>
      </c>
      <c r="J293" s="10">
        <v>640</v>
      </c>
      <c r="K293" s="10">
        <v>38246562.587967448</v>
      </c>
    </row>
    <row r="294" spans="1:11" x14ac:dyDescent="0.35">
      <c r="A294" s="9" t="s">
        <v>361</v>
      </c>
      <c r="B294" s="10">
        <v>833</v>
      </c>
      <c r="C294" s="10">
        <v>8</v>
      </c>
      <c r="D294" s="10">
        <v>1</v>
      </c>
      <c r="E294" s="10">
        <v>772</v>
      </c>
      <c r="F294" s="10">
        <v>34559734.089079924</v>
      </c>
      <c r="G294" s="10">
        <v>831</v>
      </c>
      <c r="H294" s="10">
        <v>2</v>
      </c>
      <c r="I294" s="10">
        <v>1</v>
      </c>
      <c r="J294" s="10">
        <v>738</v>
      </c>
      <c r="K294" s="10">
        <v>32823180.311810784</v>
      </c>
    </row>
    <row r="295" spans="1:11" x14ac:dyDescent="0.35">
      <c r="A295" s="9" t="s">
        <v>362</v>
      </c>
      <c r="B295" s="10">
        <v>1327</v>
      </c>
      <c r="C295" s="10">
        <v>24</v>
      </c>
      <c r="D295" s="10">
        <v>39</v>
      </c>
      <c r="E295" s="10">
        <v>1193</v>
      </c>
      <c r="F295" s="10">
        <v>93781439.402749225</v>
      </c>
      <c r="G295" s="10">
        <v>1262</v>
      </c>
      <c r="H295" s="10">
        <v>10</v>
      </c>
      <c r="I295" s="10">
        <v>39</v>
      </c>
      <c r="J295" s="10">
        <v>1190</v>
      </c>
      <c r="K295" s="10">
        <v>85761891.581125319</v>
      </c>
    </row>
    <row r="296" spans="1:11" x14ac:dyDescent="0.35">
      <c r="A296" s="9" t="s">
        <v>363</v>
      </c>
      <c r="B296" s="10">
        <v>730</v>
      </c>
      <c r="C296" s="10">
        <v>4</v>
      </c>
      <c r="D296" s="10">
        <v>1</v>
      </c>
      <c r="E296" s="10">
        <v>703</v>
      </c>
      <c r="F296" s="10">
        <v>43440569.963062331</v>
      </c>
      <c r="G296" s="10">
        <v>723</v>
      </c>
      <c r="H296" s="10">
        <v>5</v>
      </c>
      <c r="I296" s="10">
        <v>1</v>
      </c>
      <c r="J296" s="10">
        <v>585</v>
      </c>
      <c r="K296" s="10">
        <v>41990082.393759169</v>
      </c>
    </row>
    <row r="297" spans="1:11" x14ac:dyDescent="0.35">
      <c r="A297" s="9" t="s">
        <v>364</v>
      </c>
      <c r="B297" s="10">
        <v>678</v>
      </c>
      <c r="C297" s="10">
        <v>3</v>
      </c>
      <c r="D297" s="10">
        <v>3</v>
      </c>
      <c r="E297" s="10">
        <v>553</v>
      </c>
      <c r="F297" s="10">
        <v>45866821.171283528</v>
      </c>
      <c r="G297" s="10">
        <v>663</v>
      </c>
      <c r="H297" s="10">
        <v>3</v>
      </c>
      <c r="I297" s="10">
        <v>3</v>
      </c>
      <c r="J297" s="10">
        <v>648</v>
      </c>
      <c r="K297" s="10">
        <v>47041205.079739571</v>
      </c>
    </row>
    <row r="298" spans="1:11" x14ac:dyDescent="0.35">
      <c r="A298" s="9" t="s">
        <v>365</v>
      </c>
      <c r="B298" s="10">
        <v>487</v>
      </c>
      <c r="C298" s="10">
        <v>4</v>
      </c>
      <c r="D298" s="10">
        <v>5</v>
      </c>
      <c r="E298" s="10">
        <v>585</v>
      </c>
      <c r="F298" s="10">
        <v>28483541.974851638</v>
      </c>
      <c r="G298" s="10">
        <v>485</v>
      </c>
      <c r="H298" s="10">
        <v>4</v>
      </c>
      <c r="I298" s="10">
        <v>5</v>
      </c>
      <c r="J298" s="10">
        <v>536</v>
      </c>
      <c r="K298" s="10">
        <v>28451136.169681009</v>
      </c>
    </row>
    <row r="299" spans="1:11" x14ac:dyDescent="0.35">
      <c r="A299" s="9" t="s">
        <v>366</v>
      </c>
      <c r="B299" s="10">
        <v>1006</v>
      </c>
      <c r="C299" s="10">
        <v>8</v>
      </c>
      <c r="D299" s="10">
        <v>10</v>
      </c>
      <c r="E299" s="10">
        <v>866</v>
      </c>
      <c r="F299" s="10">
        <v>64061006.792067185</v>
      </c>
      <c r="G299" s="10">
        <v>978</v>
      </c>
      <c r="H299" s="10">
        <v>8</v>
      </c>
      <c r="I299" s="10">
        <v>8</v>
      </c>
      <c r="J299" s="10">
        <v>901</v>
      </c>
      <c r="K299" s="10">
        <v>58020630.331364162</v>
      </c>
    </row>
    <row r="300" spans="1:11" x14ac:dyDescent="0.35">
      <c r="A300" s="9" t="s">
        <v>367</v>
      </c>
      <c r="B300" s="10">
        <v>238</v>
      </c>
      <c r="C300" s="10">
        <v>7</v>
      </c>
      <c r="D300" s="10">
        <v>0</v>
      </c>
      <c r="E300" s="10">
        <v>265</v>
      </c>
      <c r="F300" s="10">
        <v>2711950.2442146391</v>
      </c>
      <c r="G300" s="10">
        <v>238</v>
      </c>
      <c r="H300" s="10">
        <v>2</v>
      </c>
      <c r="I300" s="10">
        <v>0</v>
      </c>
      <c r="J300" s="10">
        <v>239</v>
      </c>
      <c r="K300" s="10">
        <v>2661678.9229706638</v>
      </c>
    </row>
    <row r="301" spans="1:11" x14ac:dyDescent="0.35">
      <c r="A301" s="9" t="s">
        <v>368</v>
      </c>
      <c r="B301" s="10">
        <v>338</v>
      </c>
      <c r="C301" s="10">
        <v>2</v>
      </c>
      <c r="D301" s="10">
        <v>0</v>
      </c>
      <c r="E301" s="10">
        <v>245</v>
      </c>
      <c r="F301" s="10">
        <v>12074852.464535236</v>
      </c>
      <c r="G301" s="10">
        <v>335</v>
      </c>
      <c r="H301" s="10">
        <v>3</v>
      </c>
      <c r="I301" s="10">
        <v>1</v>
      </c>
      <c r="J301" s="10">
        <v>299</v>
      </c>
      <c r="K301" s="10">
        <v>10211755.150001615</v>
      </c>
    </row>
    <row r="302" spans="1:11" x14ac:dyDescent="0.35">
      <c r="A302" s="9" t="s">
        <v>369</v>
      </c>
      <c r="B302" s="10">
        <v>547</v>
      </c>
      <c r="C302" s="10">
        <v>15</v>
      </c>
      <c r="D302" s="10">
        <v>9</v>
      </c>
      <c r="E302" s="10">
        <v>1075</v>
      </c>
      <c r="F302" s="10">
        <v>29615539.736309804</v>
      </c>
      <c r="G302" s="10">
        <v>547</v>
      </c>
      <c r="H302" s="10">
        <v>48</v>
      </c>
      <c r="I302" s="10">
        <v>9</v>
      </c>
      <c r="J302" s="10">
        <v>723</v>
      </c>
      <c r="K302" s="10">
        <v>24902591.90199047</v>
      </c>
    </row>
    <row r="303" spans="1:11" x14ac:dyDescent="0.35">
      <c r="A303" s="9" t="s">
        <v>370</v>
      </c>
      <c r="B303" s="10">
        <v>715</v>
      </c>
      <c r="C303" s="10">
        <v>10</v>
      </c>
      <c r="D303" s="10">
        <v>1</v>
      </c>
      <c r="E303" s="10">
        <v>677</v>
      </c>
      <c r="F303" s="10">
        <v>18657762.116238005</v>
      </c>
      <c r="G303" s="10">
        <v>693</v>
      </c>
      <c r="H303" s="10">
        <v>4</v>
      </c>
      <c r="I303" s="10">
        <v>2</v>
      </c>
      <c r="J303" s="10">
        <v>646</v>
      </c>
      <c r="K303" s="10">
        <v>18422594.975427881</v>
      </c>
    </row>
    <row r="304" spans="1:11" x14ac:dyDescent="0.35">
      <c r="A304" s="9" t="s">
        <v>371</v>
      </c>
      <c r="B304" s="10">
        <v>938</v>
      </c>
      <c r="C304" s="10">
        <v>18</v>
      </c>
      <c r="D304" s="10">
        <v>4</v>
      </c>
      <c r="E304" s="10">
        <v>769</v>
      </c>
      <c r="F304" s="10">
        <v>43128342.677171521</v>
      </c>
      <c r="G304" s="10">
        <v>907</v>
      </c>
      <c r="H304" s="10">
        <v>20</v>
      </c>
      <c r="I304" s="10">
        <v>5</v>
      </c>
      <c r="J304" s="10">
        <v>829</v>
      </c>
      <c r="K304" s="10">
        <v>49408783.585134149</v>
      </c>
    </row>
    <row r="305" spans="1:11" x14ac:dyDescent="0.35">
      <c r="A305" s="9" t="s">
        <v>372</v>
      </c>
      <c r="B305" s="10">
        <v>642</v>
      </c>
      <c r="C305" s="10">
        <v>17</v>
      </c>
      <c r="D305" s="10">
        <v>2</v>
      </c>
      <c r="E305" s="10">
        <v>612</v>
      </c>
      <c r="F305" s="10">
        <v>20901863.013075009</v>
      </c>
      <c r="G305" s="10">
        <v>626</v>
      </c>
      <c r="H305" s="10">
        <v>13</v>
      </c>
      <c r="I305" s="10">
        <v>4</v>
      </c>
      <c r="J305" s="10">
        <v>684</v>
      </c>
      <c r="K305" s="10">
        <v>24938724.335694611</v>
      </c>
    </row>
    <row r="306" spans="1:11" x14ac:dyDescent="0.35">
      <c r="A306" s="9" t="s">
        <v>373</v>
      </c>
      <c r="B306" s="10">
        <v>662</v>
      </c>
      <c r="C306" s="10">
        <v>16</v>
      </c>
      <c r="D306" s="10">
        <v>7</v>
      </c>
      <c r="E306" s="10">
        <v>521</v>
      </c>
      <c r="F306" s="10">
        <v>29351552.781245627</v>
      </c>
      <c r="G306" s="10">
        <v>642</v>
      </c>
      <c r="H306" s="10">
        <v>14</v>
      </c>
      <c r="I306" s="10">
        <v>9</v>
      </c>
      <c r="J306" s="10">
        <v>595</v>
      </c>
      <c r="K306" s="10">
        <v>33370069.298140414</v>
      </c>
    </row>
    <row r="307" spans="1:11" x14ac:dyDescent="0.35">
      <c r="A307" s="9" t="s">
        <v>374</v>
      </c>
      <c r="B307" s="10">
        <v>606</v>
      </c>
      <c r="C307" s="10">
        <v>10</v>
      </c>
      <c r="D307" s="10">
        <v>1</v>
      </c>
      <c r="E307" s="10">
        <v>577</v>
      </c>
      <c r="F307" s="10">
        <v>16864111.895036861</v>
      </c>
      <c r="G307" s="10">
        <v>594</v>
      </c>
      <c r="H307" s="10">
        <v>7</v>
      </c>
      <c r="I307" s="10">
        <v>1</v>
      </c>
      <c r="J307" s="10">
        <v>568</v>
      </c>
      <c r="K307" s="10">
        <v>17458707.227900125</v>
      </c>
    </row>
    <row r="308" spans="1:11" x14ac:dyDescent="0.35">
      <c r="A308" s="9" t="s">
        <v>375</v>
      </c>
      <c r="B308" s="10">
        <v>264</v>
      </c>
      <c r="C308" s="10">
        <v>5</v>
      </c>
      <c r="D308" s="10">
        <v>0</v>
      </c>
      <c r="E308" s="10">
        <v>191</v>
      </c>
      <c r="F308" s="10">
        <v>9001870.527030576</v>
      </c>
      <c r="G308" s="10">
        <v>267</v>
      </c>
      <c r="H308" s="10">
        <v>2</v>
      </c>
      <c r="I308" s="10">
        <v>0</v>
      </c>
      <c r="J308" s="10">
        <v>166</v>
      </c>
      <c r="K308" s="10">
        <v>9220174.931349054</v>
      </c>
    </row>
    <row r="309" spans="1:11" x14ac:dyDescent="0.35">
      <c r="A309" s="9" t="s">
        <v>376</v>
      </c>
      <c r="B309" s="10">
        <v>746</v>
      </c>
      <c r="C309" s="10">
        <v>24</v>
      </c>
      <c r="D309" s="10">
        <v>5</v>
      </c>
      <c r="E309" s="10">
        <v>591</v>
      </c>
      <c r="F309" s="10">
        <v>40770602.008468539</v>
      </c>
      <c r="G309" s="10">
        <v>720</v>
      </c>
      <c r="H309" s="10">
        <v>12</v>
      </c>
      <c r="I309" s="10">
        <v>6</v>
      </c>
      <c r="J309" s="10">
        <v>547</v>
      </c>
      <c r="K309" s="10">
        <v>39435500.41868417</v>
      </c>
    </row>
    <row r="310" spans="1:11" x14ac:dyDescent="0.35">
      <c r="A310" s="9" t="s">
        <v>377</v>
      </c>
      <c r="B310" s="10">
        <v>735</v>
      </c>
      <c r="C310" s="10">
        <v>11</v>
      </c>
      <c r="D310" s="10">
        <v>6</v>
      </c>
      <c r="E310" s="10">
        <v>738</v>
      </c>
      <c r="F310" s="10">
        <v>34558354.045591965</v>
      </c>
      <c r="G310" s="10">
        <v>717</v>
      </c>
      <c r="H310" s="10">
        <v>35</v>
      </c>
      <c r="I310" s="10">
        <v>5</v>
      </c>
      <c r="J310" s="10">
        <v>733</v>
      </c>
      <c r="K310" s="10">
        <v>31325520.268974692</v>
      </c>
    </row>
    <row r="311" spans="1:11" x14ac:dyDescent="0.35">
      <c r="A311" s="9" t="s">
        <v>378</v>
      </c>
      <c r="B311" s="10">
        <v>420</v>
      </c>
      <c r="C311" s="10">
        <v>6</v>
      </c>
      <c r="D311" s="10">
        <v>2</v>
      </c>
      <c r="E311" s="10">
        <v>310</v>
      </c>
      <c r="F311" s="10">
        <v>13736287.615474362</v>
      </c>
      <c r="G311" s="10">
        <v>389</v>
      </c>
      <c r="H311" s="10">
        <v>3</v>
      </c>
      <c r="I311" s="10">
        <v>2</v>
      </c>
      <c r="J311" s="10">
        <v>252</v>
      </c>
      <c r="K311" s="10">
        <v>13333268.653965082</v>
      </c>
    </row>
    <row r="312" spans="1:11" x14ac:dyDescent="0.35">
      <c r="A312" s="9" t="s">
        <v>379</v>
      </c>
      <c r="B312" s="10">
        <v>1071</v>
      </c>
      <c r="C312" s="10">
        <v>20</v>
      </c>
      <c r="D312" s="10">
        <v>4</v>
      </c>
      <c r="E312" s="10">
        <v>154</v>
      </c>
      <c r="F312" s="10">
        <v>39576404.71341335</v>
      </c>
      <c r="G312" s="10">
        <v>1064</v>
      </c>
      <c r="H312" s="10">
        <v>19</v>
      </c>
      <c r="I312" s="10">
        <v>6</v>
      </c>
      <c r="J312" s="10">
        <v>1004</v>
      </c>
      <c r="K312" s="10">
        <v>42113091.599310696</v>
      </c>
    </row>
    <row r="313" spans="1:11" x14ac:dyDescent="0.35">
      <c r="A313" s="9" t="s">
        <v>380</v>
      </c>
      <c r="B313" s="10">
        <v>836</v>
      </c>
      <c r="C313" s="10">
        <v>109</v>
      </c>
      <c r="D313" s="10">
        <v>4</v>
      </c>
      <c r="E313" s="10">
        <v>800</v>
      </c>
      <c r="F313" s="10">
        <v>36361843.206298739</v>
      </c>
      <c r="G313" s="10">
        <v>733</v>
      </c>
      <c r="H313" s="10">
        <v>10</v>
      </c>
      <c r="I313" s="10">
        <v>4</v>
      </c>
      <c r="J313" s="10">
        <v>629</v>
      </c>
      <c r="K313" s="10">
        <v>25188268.518480025</v>
      </c>
    </row>
    <row r="314" spans="1:11" x14ac:dyDescent="0.35">
      <c r="A314" s="9" t="s">
        <v>381</v>
      </c>
      <c r="B314" s="10">
        <v>282</v>
      </c>
      <c r="C314" s="10">
        <v>8</v>
      </c>
      <c r="D314" s="10">
        <v>2</v>
      </c>
      <c r="E314" s="10">
        <v>270</v>
      </c>
      <c r="F314" s="10">
        <v>14596592.200652126</v>
      </c>
      <c r="G314" s="10">
        <v>274</v>
      </c>
      <c r="H314" s="10">
        <v>4</v>
      </c>
      <c r="I314" s="10">
        <v>2</v>
      </c>
      <c r="J314" s="10">
        <v>235</v>
      </c>
      <c r="K314" s="10">
        <v>10442844.522986308</v>
      </c>
    </row>
    <row r="315" spans="1:11" x14ac:dyDescent="0.35">
      <c r="A315" s="9" t="s">
        <v>382</v>
      </c>
      <c r="B315" s="10">
        <v>1060</v>
      </c>
      <c r="C315" s="10">
        <v>31</v>
      </c>
      <c r="D315" s="10">
        <v>3</v>
      </c>
      <c r="E315" s="10">
        <v>816</v>
      </c>
      <c r="F315" s="10">
        <v>36293629.054837368</v>
      </c>
      <c r="G315" s="10">
        <v>1039</v>
      </c>
      <c r="H315" s="10">
        <v>20</v>
      </c>
      <c r="I315" s="10">
        <v>5</v>
      </c>
      <c r="J315" s="10">
        <v>834</v>
      </c>
      <c r="K315" s="10">
        <v>40140202.471626133</v>
      </c>
    </row>
    <row r="316" spans="1:11" x14ac:dyDescent="0.35">
      <c r="A316" s="9" t="s">
        <v>383</v>
      </c>
      <c r="B316" s="10">
        <v>1259</v>
      </c>
      <c r="C316" s="10">
        <v>25</v>
      </c>
      <c r="D316" s="10">
        <v>3</v>
      </c>
      <c r="E316" s="10">
        <v>1077</v>
      </c>
      <c r="F316" s="10">
        <v>49758047.423469722</v>
      </c>
      <c r="G316" s="10">
        <v>1290</v>
      </c>
      <c r="H316" s="10">
        <v>16</v>
      </c>
      <c r="I316" s="10">
        <v>2</v>
      </c>
      <c r="J316" s="10">
        <v>1031</v>
      </c>
      <c r="K316" s="10">
        <v>46269141.800710857</v>
      </c>
    </row>
    <row r="317" spans="1:11" x14ac:dyDescent="0.35">
      <c r="A317" s="9" t="s">
        <v>384</v>
      </c>
      <c r="B317" s="10">
        <v>225</v>
      </c>
      <c r="C317" s="10">
        <v>46</v>
      </c>
      <c r="D317" s="10">
        <v>7</v>
      </c>
      <c r="E317" s="10">
        <v>309</v>
      </c>
      <c r="F317" s="10">
        <v>12317604.241413113</v>
      </c>
      <c r="G317" s="10">
        <v>218</v>
      </c>
      <c r="H317" s="10">
        <v>3</v>
      </c>
      <c r="I317" s="10">
        <v>5</v>
      </c>
      <c r="J317" s="10">
        <v>162</v>
      </c>
      <c r="K317" s="10">
        <v>11979417.882723367</v>
      </c>
    </row>
    <row r="318" spans="1:11" x14ac:dyDescent="0.35">
      <c r="A318" s="9" t="s">
        <v>385</v>
      </c>
      <c r="B318" s="10">
        <v>841</v>
      </c>
      <c r="C318" s="10">
        <v>12</v>
      </c>
      <c r="D318" s="10">
        <v>3</v>
      </c>
      <c r="E318" s="10">
        <v>687</v>
      </c>
      <c r="F318" s="10">
        <v>26093548.371468995</v>
      </c>
      <c r="G318" s="10">
        <v>747</v>
      </c>
      <c r="H318" s="10">
        <v>6</v>
      </c>
      <c r="I318" s="10">
        <v>3</v>
      </c>
      <c r="J318" s="10">
        <v>519</v>
      </c>
      <c r="K318" s="10">
        <v>23608415.315772392</v>
      </c>
    </row>
    <row r="319" spans="1:11" x14ac:dyDescent="0.35">
      <c r="A319" s="9" t="s">
        <v>386</v>
      </c>
      <c r="B319" s="10">
        <v>1036</v>
      </c>
      <c r="C319" s="10">
        <v>24</v>
      </c>
      <c r="D319" s="10">
        <v>8</v>
      </c>
      <c r="E319" s="10">
        <v>880</v>
      </c>
      <c r="F319" s="10">
        <v>45881124.504473761</v>
      </c>
      <c r="G319" s="10">
        <v>1055</v>
      </c>
      <c r="H319" s="10">
        <v>48</v>
      </c>
      <c r="I319" s="10">
        <v>8</v>
      </c>
      <c r="J319" s="10">
        <v>836</v>
      </c>
      <c r="K319" s="10">
        <v>43781568.544994012</v>
      </c>
    </row>
    <row r="320" spans="1:11" x14ac:dyDescent="0.35">
      <c r="A320" s="9" t="s">
        <v>387</v>
      </c>
      <c r="B320" s="10">
        <v>684</v>
      </c>
      <c r="C320" s="10">
        <v>7</v>
      </c>
      <c r="D320" s="10">
        <v>2</v>
      </c>
      <c r="E320" s="10">
        <v>681</v>
      </c>
      <c r="F320" s="10">
        <v>21904545.257814206</v>
      </c>
      <c r="G320" s="10">
        <v>678</v>
      </c>
      <c r="H320" s="10">
        <v>7</v>
      </c>
      <c r="I320" s="10">
        <v>3</v>
      </c>
      <c r="J320" s="10">
        <v>718</v>
      </c>
      <c r="K320" s="10">
        <v>22745176.100528728</v>
      </c>
    </row>
    <row r="321" spans="1:11" x14ac:dyDescent="0.35">
      <c r="A321" s="9" t="s">
        <v>388</v>
      </c>
      <c r="B321" s="10">
        <v>855</v>
      </c>
      <c r="C321" s="10">
        <v>18</v>
      </c>
      <c r="D321" s="10">
        <v>5</v>
      </c>
      <c r="E321" s="10">
        <v>944</v>
      </c>
      <c r="F321" s="10">
        <v>38433863.19226709</v>
      </c>
      <c r="G321" s="10">
        <v>788</v>
      </c>
      <c r="H321" s="10">
        <v>10</v>
      </c>
      <c r="I321" s="10">
        <v>4</v>
      </c>
      <c r="J321" s="10">
        <v>909</v>
      </c>
      <c r="K321" s="10">
        <v>29535690.02831354</v>
      </c>
    </row>
    <row r="322" spans="1:11" x14ac:dyDescent="0.35">
      <c r="A322" s="9" t="s">
        <v>389</v>
      </c>
      <c r="B322" s="10">
        <v>980</v>
      </c>
      <c r="C322" s="10">
        <v>20</v>
      </c>
      <c r="D322" s="10">
        <v>3</v>
      </c>
      <c r="E322" s="10">
        <v>908</v>
      </c>
      <c r="F322" s="10">
        <v>29653855.094606798</v>
      </c>
      <c r="G322" s="10">
        <v>1000</v>
      </c>
      <c r="H322" s="10">
        <v>16</v>
      </c>
      <c r="I322" s="10">
        <v>3</v>
      </c>
      <c r="J322" s="10">
        <v>870</v>
      </c>
      <c r="K322" s="10">
        <v>31517344.086727899</v>
      </c>
    </row>
    <row r="323" spans="1:11" x14ac:dyDescent="0.35">
      <c r="A323" s="9" t="s">
        <v>390</v>
      </c>
      <c r="B323" s="10">
        <v>723</v>
      </c>
      <c r="C323" s="10">
        <v>10</v>
      </c>
      <c r="D323" s="10">
        <v>2</v>
      </c>
      <c r="E323" s="10">
        <v>691</v>
      </c>
      <c r="F323" s="10">
        <v>17257653.890844863</v>
      </c>
      <c r="G323" s="10">
        <v>712</v>
      </c>
      <c r="H323" s="10">
        <v>4</v>
      </c>
      <c r="I323" s="10">
        <v>2</v>
      </c>
      <c r="J323" s="10">
        <v>695</v>
      </c>
      <c r="K323" s="10">
        <v>15843228.672200082</v>
      </c>
    </row>
    <row r="324" spans="1:11" x14ac:dyDescent="0.35">
      <c r="A324" s="9" t="s">
        <v>391</v>
      </c>
      <c r="B324" s="10">
        <v>732</v>
      </c>
      <c r="C324" s="10">
        <v>11</v>
      </c>
      <c r="D324" s="10">
        <v>3</v>
      </c>
      <c r="E324" s="10">
        <v>598</v>
      </c>
      <c r="F324" s="10">
        <v>35238440.188069589</v>
      </c>
      <c r="G324" s="10">
        <v>682</v>
      </c>
      <c r="H324" s="10">
        <v>10</v>
      </c>
      <c r="I324" s="10">
        <v>3</v>
      </c>
      <c r="J324" s="10">
        <v>584</v>
      </c>
      <c r="K324" s="10">
        <v>34220073.641866922</v>
      </c>
    </row>
    <row r="325" spans="1:11" x14ac:dyDescent="0.35">
      <c r="A325" s="9" t="s">
        <v>392</v>
      </c>
      <c r="B325" s="10">
        <v>918</v>
      </c>
      <c r="C325" s="10">
        <v>31</v>
      </c>
      <c r="D325" s="10">
        <v>5</v>
      </c>
      <c r="E325" s="10">
        <v>980</v>
      </c>
      <c r="F325" s="10">
        <v>64397648.971241266</v>
      </c>
      <c r="G325" s="10">
        <v>910</v>
      </c>
      <c r="H325" s="10">
        <v>16</v>
      </c>
      <c r="I325" s="10">
        <v>2</v>
      </c>
      <c r="J325" s="10">
        <v>638</v>
      </c>
      <c r="K325" s="10">
        <v>53296080.590207532</v>
      </c>
    </row>
    <row r="326" spans="1:11" x14ac:dyDescent="0.35">
      <c r="A326" s="9" t="s">
        <v>393</v>
      </c>
      <c r="B326" s="10">
        <v>432</v>
      </c>
      <c r="C326" s="10">
        <v>10</v>
      </c>
      <c r="D326" s="10">
        <v>2</v>
      </c>
      <c r="E326" s="10">
        <v>373</v>
      </c>
      <c r="F326" s="10">
        <v>17041446.75337838</v>
      </c>
      <c r="G326" s="10">
        <v>426</v>
      </c>
      <c r="H326" s="10">
        <v>7</v>
      </c>
      <c r="I326" s="10">
        <v>3</v>
      </c>
      <c r="J326" s="10">
        <v>344</v>
      </c>
      <c r="K326" s="10">
        <v>18138142.173488259</v>
      </c>
    </row>
    <row r="327" spans="1:11" x14ac:dyDescent="0.35">
      <c r="A327" s="9" t="s">
        <v>394</v>
      </c>
      <c r="B327" s="10">
        <v>2137</v>
      </c>
      <c r="C327" s="10">
        <v>35</v>
      </c>
      <c r="D327" s="10">
        <v>4</v>
      </c>
      <c r="E327" s="10">
        <v>1348</v>
      </c>
      <c r="F327" s="10">
        <v>69068621.673438206</v>
      </c>
      <c r="G327" s="10">
        <v>1972</v>
      </c>
      <c r="H327" s="10">
        <v>26</v>
      </c>
      <c r="I327" s="10">
        <v>4</v>
      </c>
      <c r="J327" s="10">
        <v>1362</v>
      </c>
      <c r="K327" s="10">
        <v>60993942.086708285</v>
      </c>
    </row>
    <row r="328" spans="1:11" x14ac:dyDescent="0.35">
      <c r="A328" s="9" t="s">
        <v>395</v>
      </c>
      <c r="B328" s="10">
        <v>1125</v>
      </c>
      <c r="C328" s="10">
        <v>20</v>
      </c>
      <c r="D328" s="10">
        <v>6</v>
      </c>
      <c r="E328" s="10">
        <v>966</v>
      </c>
      <c r="F328" s="10">
        <v>41236623.745191336</v>
      </c>
      <c r="G328" s="10">
        <v>1144</v>
      </c>
      <c r="H328" s="10">
        <v>11</v>
      </c>
      <c r="I328" s="10">
        <v>5</v>
      </c>
      <c r="J328" s="10">
        <v>945</v>
      </c>
      <c r="K328" s="10">
        <v>37512849.225791924</v>
      </c>
    </row>
    <row r="329" spans="1:11" x14ac:dyDescent="0.35">
      <c r="A329" s="9" t="s">
        <v>396</v>
      </c>
      <c r="B329" s="10">
        <v>662</v>
      </c>
      <c r="C329" s="10">
        <v>8</v>
      </c>
      <c r="D329" s="10">
        <v>1</v>
      </c>
      <c r="E329" s="10">
        <v>571</v>
      </c>
      <c r="F329" s="10">
        <v>25673041.480706565</v>
      </c>
      <c r="G329" s="10">
        <v>609</v>
      </c>
      <c r="H329" s="10">
        <v>7</v>
      </c>
      <c r="I329" s="10">
        <v>1</v>
      </c>
      <c r="J329" s="10">
        <v>593</v>
      </c>
      <c r="K329" s="10">
        <v>26759726.05526147</v>
      </c>
    </row>
    <row r="330" spans="1:11" x14ac:dyDescent="0.35">
      <c r="A330" s="9" t="s">
        <v>397</v>
      </c>
      <c r="B330" s="10">
        <v>973</v>
      </c>
      <c r="C330" s="10">
        <v>22</v>
      </c>
      <c r="D330" s="10">
        <v>16</v>
      </c>
      <c r="E330" s="10">
        <v>842</v>
      </c>
      <c r="F330" s="10">
        <v>46857508.6888493</v>
      </c>
      <c r="G330" s="10">
        <v>962</v>
      </c>
      <c r="H330" s="10">
        <v>143</v>
      </c>
      <c r="I330" s="10">
        <v>17</v>
      </c>
      <c r="J330" s="10">
        <v>865</v>
      </c>
      <c r="K330" s="10">
        <v>43068788.505979925</v>
      </c>
    </row>
    <row r="331" spans="1:11" x14ac:dyDescent="0.35">
      <c r="A331" s="9" t="s">
        <v>398</v>
      </c>
      <c r="B331" s="10">
        <v>647</v>
      </c>
      <c r="C331" s="10">
        <v>17</v>
      </c>
      <c r="D331" s="10">
        <v>1</v>
      </c>
      <c r="E331" s="10">
        <v>625</v>
      </c>
      <c r="F331" s="10">
        <v>22881600.371562112</v>
      </c>
      <c r="G331" s="10">
        <v>667</v>
      </c>
      <c r="H331" s="10">
        <v>4</v>
      </c>
      <c r="I331" s="10">
        <v>1</v>
      </c>
      <c r="J331" s="10">
        <v>608</v>
      </c>
      <c r="K331" s="10">
        <v>24220843.404060565</v>
      </c>
    </row>
    <row r="332" spans="1:11" x14ac:dyDescent="0.35">
      <c r="A332" s="9" t="s">
        <v>399</v>
      </c>
      <c r="B332" s="10">
        <v>488</v>
      </c>
      <c r="C332" s="10">
        <v>9</v>
      </c>
      <c r="D332" s="10">
        <v>1</v>
      </c>
      <c r="E332" s="10">
        <v>518</v>
      </c>
      <c r="F332" s="10">
        <v>15141771.254932906</v>
      </c>
      <c r="G332" s="10">
        <v>434</v>
      </c>
      <c r="H332" s="10">
        <v>7</v>
      </c>
      <c r="I332" s="10">
        <v>2</v>
      </c>
      <c r="J332" s="10">
        <v>555</v>
      </c>
      <c r="K332" s="10">
        <v>14053377.66651082</v>
      </c>
    </row>
    <row r="333" spans="1:11" x14ac:dyDescent="0.35">
      <c r="A333" s="9" t="s">
        <v>400</v>
      </c>
      <c r="B333" s="10">
        <v>1071</v>
      </c>
      <c r="C333" s="10">
        <v>37</v>
      </c>
      <c r="D333" s="10">
        <v>10</v>
      </c>
      <c r="E333" s="10">
        <v>1152</v>
      </c>
      <c r="F333" s="10">
        <v>56119874.620173149</v>
      </c>
      <c r="G333" s="10">
        <v>1326</v>
      </c>
      <c r="H333" s="10">
        <v>166</v>
      </c>
      <c r="I333" s="10">
        <v>13</v>
      </c>
      <c r="J333" s="10">
        <v>1160</v>
      </c>
      <c r="K333" s="10">
        <v>54329111.566999041</v>
      </c>
    </row>
    <row r="334" spans="1:11" x14ac:dyDescent="0.35">
      <c r="A334" s="9" t="s">
        <v>401</v>
      </c>
      <c r="B334" s="10">
        <v>890</v>
      </c>
      <c r="C334" s="10">
        <v>12</v>
      </c>
      <c r="D334" s="10">
        <v>2</v>
      </c>
      <c r="E334" s="10">
        <v>900</v>
      </c>
      <c r="F334" s="10">
        <v>32616973.061972816</v>
      </c>
      <c r="G334" s="10">
        <v>906</v>
      </c>
      <c r="H334" s="10">
        <v>15</v>
      </c>
      <c r="I334" s="10">
        <v>3</v>
      </c>
      <c r="J334" s="10">
        <v>733</v>
      </c>
      <c r="K334" s="10">
        <v>28518835.563619263</v>
      </c>
    </row>
    <row r="335" spans="1:11" x14ac:dyDescent="0.35">
      <c r="A335" s="9" t="s">
        <v>402</v>
      </c>
      <c r="B335" s="10">
        <v>556</v>
      </c>
      <c r="C335" s="10">
        <v>12</v>
      </c>
      <c r="D335" s="10">
        <v>4</v>
      </c>
      <c r="E335" s="10">
        <v>517</v>
      </c>
      <c r="F335" s="10">
        <v>18422063.414378677</v>
      </c>
      <c r="G335" s="10">
        <v>535</v>
      </c>
      <c r="H335" s="10">
        <v>11</v>
      </c>
      <c r="I335" s="10">
        <v>5</v>
      </c>
      <c r="J335" s="10">
        <v>448</v>
      </c>
      <c r="K335" s="10">
        <v>21895697.144181229</v>
      </c>
    </row>
    <row r="336" spans="1:11" x14ac:dyDescent="0.35">
      <c r="A336" s="9" t="s">
        <v>403</v>
      </c>
      <c r="B336" s="10">
        <v>269</v>
      </c>
      <c r="C336" s="10">
        <v>2</v>
      </c>
      <c r="D336" s="10">
        <v>0</v>
      </c>
      <c r="E336" s="10">
        <v>238</v>
      </c>
      <c r="F336" s="10">
        <v>8345371.5505230976</v>
      </c>
      <c r="G336" s="10">
        <v>276</v>
      </c>
      <c r="H336" s="10">
        <v>4</v>
      </c>
      <c r="I336" s="10">
        <v>0</v>
      </c>
      <c r="J336" s="10">
        <v>245</v>
      </c>
      <c r="K336" s="10">
        <v>9221456.7145742942</v>
      </c>
    </row>
    <row r="337" spans="1:11" x14ac:dyDescent="0.35">
      <c r="A337" s="9" t="s">
        <v>404</v>
      </c>
      <c r="B337" s="10">
        <v>845</v>
      </c>
      <c r="C337" s="10">
        <v>23</v>
      </c>
      <c r="D337" s="10">
        <v>4</v>
      </c>
      <c r="E337" s="10">
        <v>889</v>
      </c>
      <c r="F337" s="10">
        <v>35935779.219099656</v>
      </c>
      <c r="G337" s="10">
        <v>856</v>
      </c>
      <c r="H337" s="10">
        <v>13</v>
      </c>
      <c r="I337" s="10">
        <v>4</v>
      </c>
      <c r="J337" s="10">
        <v>830</v>
      </c>
      <c r="K337" s="10">
        <v>32942382.428503852</v>
      </c>
    </row>
    <row r="338" spans="1:11" x14ac:dyDescent="0.35">
      <c r="A338" s="9" t="s">
        <v>405</v>
      </c>
      <c r="B338" s="10">
        <v>719</v>
      </c>
      <c r="C338" s="10">
        <v>10</v>
      </c>
      <c r="D338" s="10">
        <v>3</v>
      </c>
      <c r="E338" s="10">
        <v>585</v>
      </c>
      <c r="F338" s="10">
        <v>29856849.688149665</v>
      </c>
      <c r="G338" s="10">
        <v>671</v>
      </c>
      <c r="H338" s="10">
        <v>5</v>
      </c>
      <c r="I338" s="10">
        <v>3</v>
      </c>
      <c r="J338" s="10">
        <v>585</v>
      </c>
      <c r="K338" s="10">
        <v>21339508.254437927</v>
      </c>
    </row>
    <row r="339" spans="1:11" x14ac:dyDescent="0.35">
      <c r="A339" s="9" t="s">
        <v>406</v>
      </c>
      <c r="B339" s="10">
        <v>223</v>
      </c>
      <c r="C339" s="10">
        <v>1</v>
      </c>
      <c r="D339" s="10">
        <v>3</v>
      </c>
      <c r="E339" s="10">
        <v>174</v>
      </c>
      <c r="F339" s="10">
        <v>11691715.439800212</v>
      </c>
      <c r="G339" s="10">
        <v>217</v>
      </c>
      <c r="H339" s="10">
        <v>1</v>
      </c>
      <c r="I339" s="10">
        <v>3</v>
      </c>
      <c r="J339" s="10">
        <v>156</v>
      </c>
      <c r="K339" s="10">
        <v>11305975.647930399</v>
      </c>
    </row>
    <row r="340" spans="1:11" x14ac:dyDescent="0.35">
      <c r="A340" s="9" t="s">
        <v>407</v>
      </c>
      <c r="B340" s="10">
        <v>810</v>
      </c>
      <c r="C340" s="10">
        <v>30</v>
      </c>
      <c r="D340" s="10">
        <v>5</v>
      </c>
      <c r="E340" s="10">
        <v>936</v>
      </c>
      <c r="F340" s="10">
        <v>28518909.736803919</v>
      </c>
      <c r="G340" s="10">
        <v>840</v>
      </c>
      <c r="H340" s="10">
        <v>12</v>
      </c>
      <c r="I340" s="10">
        <v>6</v>
      </c>
      <c r="J340" s="10">
        <v>1034</v>
      </c>
      <c r="K340" s="10">
        <v>31002911.525346156</v>
      </c>
    </row>
    <row r="341" spans="1:11" x14ac:dyDescent="0.35">
      <c r="A341" s="9" t="s">
        <v>408</v>
      </c>
      <c r="B341" s="10">
        <v>1181</v>
      </c>
      <c r="C341" s="10">
        <v>21</v>
      </c>
      <c r="D341" s="10">
        <v>7</v>
      </c>
      <c r="E341" s="10">
        <v>1211</v>
      </c>
      <c r="F341" s="10">
        <v>59792748.433741771</v>
      </c>
      <c r="G341" s="10">
        <v>1248</v>
      </c>
      <c r="H341" s="10">
        <v>19</v>
      </c>
      <c r="I341" s="10">
        <v>9</v>
      </c>
      <c r="J341" s="10">
        <v>1029</v>
      </c>
      <c r="K341" s="10">
        <v>64088493.301795617</v>
      </c>
    </row>
    <row r="342" spans="1:11" x14ac:dyDescent="0.35">
      <c r="A342" s="9" t="s">
        <v>409</v>
      </c>
      <c r="B342" s="10">
        <v>142</v>
      </c>
      <c r="C342" s="10">
        <v>0</v>
      </c>
      <c r="D342" s="10">
        <v>4</v>
      </c>
      <c r="E342" s="10">
        <v>130</v>
      </c>
      <c r="F342" s="10">
        <v>9201124.9450968299</v>
      </c>
      <c r="G342" s="10">
        <v>149</v>
      </c>
      <c r="H342" s="10">
        <v>2</v>
      </c>
      <c r="I342" s="10">
        <v>4</v>
      </c>
      <c r="J342" s="10">
        <v>143</v>
      </c>
      <c r="K342" s="10">
        <v>8935993.6312333811</v>
      </c>
    </row>
    <row r="343" spans="1:11" x14ac:dyDescent="0.35">
      <c r="A343" s="9" t="s">
        <v>410</v>
      </c>
      <c r="B343" s="10">
        <v>1402</v>
      </c>
      <c r="C343" s="10">
        <v>15</v>
      </c>
      <c r="D343" s="10">
        <v>5</v>
      </c>
      <c r="E343" s="10">
        <v>1291</v>
      </c>
      <c r="F343" s="10">
        <v>62243659.259445697</v>
      </c>
      <c r="G343" s="10">
        <v>1420</v>
      </c>
      <c r="H343" s="10">
        <v>15</v>
      </c>
      <c r="I343" s="10">
        <v>4</v>
      </c>
      <c r="J343" s="10">
        <v>1234</v>
      </c>
      <c r="K343" s="10">
        <v>65658056.939060517</v>
      </c>
    </row>
    <row r="344" spans="1:11" x14ac:dyDescent="0.35">
      <c r="A344" s="9" t="s">
        <v>411</v>
      </c>
      <c r="B344" s="10">
        <v>173</v>
      </c>
      <c r="C344" s="10">
        <v>0</v>
      </c>
      <c r="D344" s="10">
        <v>0</v>
      </c>
      <c r="E344" s="10">
        <v>165</v>
      </c>
      <c r="F344" s="10">
        <v>6452641.346397684</v>
      </c>
      <c r="G344" s="10">
        <v>162</v>
      </c>
      <c r="H344" s="10">
        <v>1</v>
      </c>
      <c r="I344" s="10">
        <v>1</v>
      </c>
      <c r="J344" s="10">
        <v>197</v>
      </c>
      <c r="K344" s="10">
        <v>5402923.5341155324</v>
      </c>
    </row>
    <row r="345" spans="1:11" x14ac:dyDescent="0.35">
      <c r="A345" s="9" t="s">
        <v>412</v>
      </c>
      <c r="B345" s="10">
        <v>782</v>
      </c>
      <c r="C345" s="10">
        <v>26</v>
      </c>
      <c r="D345" s="10">
        <v>3</v>
      </c>
      <c r="E345" s="10">
        <v>744</v>
      </c>
      <c r="F345" s="10">
        <v>38852041.37627764</v>
      </c>
      <c r="G345" s="10">
        <v>760</v>
      </c>
      <c r="H345" s="10">
        <v>9</v>
      </c>
      <c r="I345" s="10">
        <v>3</v>
      </c>
      <c r="J345" s="10">
        <v>890</v>
      </c>
      <c r="K345" s="10">
        <v>35510285.019712269</v>
      </c>
    </row>
    <row r="346" spans="1:11" x14ac:dyDescent="0.35">
      <c r="A346" s="9" t="s">
        <v>413</v>
      </c>
      <c r="B346" s="10">
        <v>653</v>
      </c>
      <c r="C346" s="10">
        <v>18</v>
      </c>
      <c r="D346" s="10">
        <v>3</v>
      </c>
      <c r="E346" s="10">
        <v>820</v>
      </c>
      <c r="F346" s="10">
        <v>24531746.889365621</v>
      </c>
      <c r="G346" s="10">
        <v>647</v>
      </c>
      <c r="H346" s="10">
        <v>4</v>
      </c>
      <c r="I346" s="10">
        <v>5</v>
      </c>
      <c r="J346" s="10">
        <v>719</v>
      </c>
      <c r="K346" s="10">
        <v>23320032.697130028</v>
      </c>
    </row>
    <row r="347" spans="1:11" x14ac:dyDescent="0.35">
      <c r="A347" s="9" t="s">
        <v>414</v>
      </c>
      <c r="B347" s="10">
        <v>1137</v>
      </c>
      <c r="C347" s="10">
        <v>17</v>
      </c>
      <c r="D347" s="10">
        <v>9</v>
      </c>
      <c r="E347" s="10">
        <v>1161</v>
      </c>
      <c r="F347" s="10">
        <v>49486950.805960655</v>
      </c>
      <c r="G347" s="10">
        <v>1124</v>
      </c>
      <c r="H347" s="10">
        <v>20</v>
      </c>
      <c r="I347" s="10">
        <v>9</v>
      </c>
      <c r="J347" s="10">
        <v>1077</v>
      </c>
      <c r="K347" s="10">
        <v>48240162.35624589</v>
      </c>
    </row>
    <row r="348" spans="1:11" x14ac:dyDescent="0.35">
      <c r="A348" s="9" t="s">
        <v>415</v>
      </c>
      <c r="B348" s="10">
        <v>728</v>
      </c>
      <c r="C348" s="10">
        <v>8</v>
      </c>
      <c r="D348" s="10">
        <v>1</v>
      </c>
      <c r="E348" s="10">
        <v>662</v>
      </c>
      <c r="F348" s="10">
        <v>20218179.679954443</v>
      </c>
      <c r="G348" s="10">
        <v>724</v>
      </c>
      <c r="H348" s="10">
        <v>6</v>
      </c>
      <c r="I348" s="10">
        <v>2</v>
      </c>
      <c r="J348" s="10">
        <v>768</v>
      </c>
      <c r="K348" s="10">
        <v>15317822.886375321</v>
      </c>
    </row>
    <row r="349" spans="1:11" x14ac:dyDescent="0.35">
      <c r="A349" s="9" t="s">
        <v>416</v>
      </c>
      <c r="B349" s="10">
        <v>649</v>
      </c>
      <c r="C349" s="10">
        <v>22</v>
      </c>
      <c r="D349" s="10">
        <v>10</v>
      </c>
      <c r="E349" s="10">
        <v>617</v>
      </c>
      <c r="F349" s="10">
        <v>15728310.483526979</v>
      </c>
      <c r="G349" s="10">
        <v>587</v>
      </c>
      <c r="H349" s="10">
        <v>8</v>
      </c>
      <c r="I349" s="10">
        <v>8</v>
      </c>
      <c r="J349" s="10">
        <v>520</v>
      </c>
      <c r="K349" s="10">
        <v>7944331.3404803509</v>
      </c>
    </row>
    <row r="350" spans="1:11" x14ac:dyDescent="0.35">
      <c r="A350" s="9" t="s">
        <v>417</v>
      </c>
      <c r="B350" s="10">
        <v>1185</v>
      </c>
      <c r="C350" s="10">
        <v>17</v>
      </c>
      <c r="D350" s="10">
        <v>4</v>
      </c>
      <c r="E350" s="10">
        <v>986</v>
      </c>
      <c r="F350" s="10">
        <v>35021669.52068831</v>
      </c>
      <c r="G350" s="10">
        <v>1061</v>
      </c>
      <c r="H350" s="10">
        <v>13</v>
      </c>
      <c r="I350" s="10">
        <v>2</v>
      </c>
      <c r="J350" s="10">
        <v>865</v>
      </c>
      <c r="K350" s="10">
        <v>34584745.532625303</v>
      </c>
    </row>
    <row r="351" spans="1:11" x14ac:dyDescent="0.35">
      <c r="A351" s="9" t="s">
        <v>418</v>
      </c>
      <c r="B351" s="10">
        <v>640</v>
      </c>
      <c r="C351" s="10">
        <v>19</v>
      </c>
      <c r="D351" s="10">
        <v>4</v>
      </c>
      <c r="E351" s="10">
        <v>697</v>
      </c>
      <c r="F351" s="10">
        <v>21310649.648078021</v>
      </c>
      <c r="G351" s="10">
        <v>656</v>
      </c>
      <c r="H351" s="10">
        <v>16</v>
      </c>
      <c r="I351" s="10">
        <v>4</v>
      </c>
      <c r="J351" s="10">
        <v>588</v>
      </c>
      <c r="K351" s="10">
        <v>20339598.538325902</v>
      </c>
    </row>
    <row r="352" spans="1:11" x14ac:dyDescent="0.35">
      <c r="A352" s="9" t="s">
        <v>419</v>
      </c>
      <c r="B352" s="10">
        <v>1311</v>
      </c>
      <c r="C352" s="10">
        <v>29</v>
      </c>
      <c r="D352" s="10">
        <v>7</v>
      </c>
      <c r="E352" s="10">
        <v>1113</v>
      </c>
      <c r="F352" s="10">
        <v>52715228.821673065</v>
      </c>
      <c r="G352" s="10">
        <v>1268</v>
      </c>
      <c r="H352" s="10">
        <v>23</v>
      </c>
      <c r="I352" s="10">
        <v>6</v>
      </c>
      <c r="J352" s="10">
        <v>1088</v>
      </c>
      <c r="K352" s="10">
        <v>48214637.862887576</v>
      </c>
    </row>
    <row r="353" spans="1:11" x14ac:dyDescent="0.35">
      <c r="A353" s="9" t="s">
        <v>420</v>
      </c>
      <c r="B353" s="10">
        <v>402</v>
      </c>
      <c r="C353" s="10">
        <v>3</v>
      </c>
      <c r="D353" s="10">
        <v>2</v>
      </c>
      <c r="E353" s="10">
        <v>449</v>
      </c>
      <c r="F353" s="10">
        <v>12983832.187004054</v>
      </c>
      <c r="G353" s="10">
        <v>387</v>
      </c>
      <c r="H353" s="10">
        <v>0</v>
      </c>
      <c r="I353" s="10">
        <v>2</v>
      </c>
      <c r="J353" s="10">
        <v>441</v>
      </c>
      <c r="K353" s="10">
        <v>10478631.396675644</v>
      </c>
    </row>
    <row r="354" spans="1:11" x14ac:dyDescent="0.35">
      <c r="A354" s="9" t="s">
        <v>421</v>
      </c>
      <c r="B354" s="10">
        <v>816</v>
      </c>
      <c r="C354" s="10">
        <v>14</v>
      </c>
      <c r="D354" s="10">
        <v>4</v>
      </c>
      <c r="E354" s="10">
        <v>793</v>
      </c>
      <c r="F354" s="10">
        <v>31000482.00818266</v>
      </c>
      <c r="G354" s="10">
        <v>879</v>
      </c>
      <c r="H354" s="10">
        <v>5</v>
      </c>
      <c r="I354" s="10">
        <v>3</v>
      </c>
      <c r="J354" s="10">
        <v>854</v>
      </c>
      <c r="K354" s="10">
        <v>38920703.991537847</v>
      </c>
    </row>
    <row r="355" spans="1:11" x14ac:dyDescent="0.35">
      <c r="A355" s="9" t="s">
        <v>422</v>
      </c>
      <c r="B355" s="10">
        <v>925</v>
      </c>
      <c r="C355" s="10">
        <v>7</v>
      </c>
      <c r="D355" s="10">
        <v>4</v>
      </c>
      <c r="E355" s="10">
        <v>389</v>
      </c>
      <c r="F355" s="10">
        <v>15325344.442041788</v>
      </c>
      <c r="G355" s="10">
        <v>748</v>
      </c>
      <c r="H355" s="10">
        <v>3</v>
      </c>
      <c r="I355" s="10">
        <v>2</v>
      </c>
      <c r="J355" s="10">
        <v>384</v>
      </c>
      <c r="K355" s="10">
        <v>14774548.810448352</v>
      </c>
    </row>
    <row r="356" spans="1:11" x14ac:dyDescent="0.35">
      <c r="A356" s="9" t="s">
        <v>423</v>
      </c>
      <c r="B356" s="10">
        <v>2732</v>
      </c>
      <c r="C356" s="10">
        <v>24</v>
      </c>
      <c r="D356" s="10">
        <v>22</v>
      </c>
      <c r="E356" s="10">
        <v>1949</v>
      </c>
      <c r="F356" s="10">
        <v>85343602.506855339</v>
      </c>
      <c r="G356" s="10">
        <v>2318</v>
      </c>
      <c r="H356" s="10">
        <v>13</v>
      </c>
      <c r="I356" s="10">
        <v>21</v>
      </c>
      <c r="J356" s="10">
        <v>2448</v>
      </c>
      <c r="K356" s="10">
        <v>86143645.047273308</v>
      </c>
    </row>
    <row r="357" spans="1:11" x14ac:dyDescent="0.35">
      <c r="A357" s="9" t="s">
        <v>424</v>
      </c>
      <c r="B357" s="10">
        <v>2025</v>
      </c>
      <c r="C357" s="10">
        <v>35</v>
      </c>
      <c r="D357" s="10">
        <v>8</v>
      </c>
      <c r="E357" s="10">
        <v>1907</v>
      </c>
      <c r="F357" s="10">
        <v>61140777.252045311</v>
      </c>
      <c r="G357" s="10">
        <v>2009</v>
      </c>
      <c r="H357" s="10">
        <v>31</v>
      </c>
      <c r="I357" s="10">
        <v>9</v>
      </c>
      <c r="J357" s="10">
        <v>2115</v>
      </c>
      <c r="K357" s="10">
        <v>64062723.161816366</v>
      </c>
    </row>
    <row r="358" spans="1:11" x14ac:dyDescent="0.35">
      <c r="A358" s="9" t="s">
        <v>425</v>
      </c>
      <c r="B358" s="10">
        <v>688</v>
      </c>
      <c r="C358" s="10">
        <v>8</v>
      </c>
      <c r="D358" s="10">
        <v>5</v>
      </c>
      <c r="E358" s="10">
        <v>930</v>
      </c>
      <c r="F358" s="10">
        <v>21165626.581606694</v>
      </c>
      <c r="G358" s="10">
        <v>676</v>
      </c>
      <c r="H358" s="10">
        <v>8</v>
      </c>
      <c r="I358" s="10">
        <v>4</v>
      </c>
      <c r="J358" s="10">
        <v>653</v>
      </c>
      <c r="K358" s="10">
        <v>16888661.680124152</v>
      </c>
    </row>
    <row r="359" spans="1:11" x14ac:dyDescent="0.35">
      <c r="A359" s="9" t="s">
        <v>426</v>
      </c>
      <c r="B359" s="10">
        <v>1557</v>
      </c>
      <c r="C359" s="10">
        <v>16</v>
      </c>
      <c r="D359" s="10">
        <v>4</v>
      </c>
      <c r="E359" s="10">
        <v>1277</v>
      </c>
      <c r="F359" s="10">
        <v>45185241.978417948</v>
      </c>
      <c r="G359" s="10">
        <v>1385</v>
      </c>
      <c r="H359" s="10">
        <v>20</v>
      </c>
      <c r="I359" s="10">
        <v>4</v>
      </c>
      <c r="J359" s="10">
        <v>1260</v>
      </c>
      <c r="K359" s="10">
        <v>48249180.595346346</v>
      </c>
    </row>
    <row r="360" spans="1:11" x14ac:dyDescent="0.35">
      <c r="A360" s="9" t="s">
        <v>427</v>
      </c>
      <c r="B360" s="10">
        <v>1250</v>
      </c>
      <c r="C360" s="10">
        <v>18</v>
      </c>
      <c r="D360" s="10">
        <v>7</v>
      </c>
      <c r="E360" s="10">
        <v>1399</v>
      </c>
      <c r="F360" s="10">
        <v>34860945.969911031</v>
      </c>
      <c r="G360" s="10">
        <v>1120</v>
      </c>
      <c r="H360" s="10">
        <v>15</v>
      </c>
      <c r="I360" s="10">
        <v>7</v>
      </c>
      <c r="J360" s="10">
        <v>1436</v>
      </c>
      <c r="K360" s="10">
        <v>34877172.289375879</v>
      </c>
    </row>
    <row r="361" spans="1:11" x14ac:dyDescent="0.35">
      <c r="A361" s="9" t="s">
        <v>428</v>
      </c>
      <c r="B361" s="10">
        <v>1026</v>
      </c>
      <c r="C361" s="10">
        <v>15</v>
      </c>
      <c r="D361" s="10">
        <v>2</v>
      </c>
      <c r="E361" s="10">
        <v>928</v>
      </c>
      <c r="F361" s="10">
        <v>39811211.884139739</v>
      </c>
      <c r="G361" s="10">
        <v>1006</v>
      </c>
      <c r="H361" s="10">
        <v>9</v>
      </c>
      <c r="I361" s="10">
        <v>2</v>
      </c>
      <c r="J361" s="10">
        <v>820</v>
      </c>
      <c r="K361" s="10">
        <v>37567086.841127664</v>
      </c>
    </row>
    <row r="362" spans="1:11" x14ac:dyDescent="0.35">
      <c r="A362" s="9" t="s">
        <v>429</v>
      </c>
      <c r="B362" s="10">
        <v>2650</v>
      </c>
      <c r="C362" s="10">
        <v>45</v>
      </c>
      <c r="D362" s="10">
        <v>3</v>
      </c>
      <c r="E362" s="10">
        <v>2632</v>
      </c>
      <c r="F362" s="10">
        <v>90438295.78022407</v>
      </c>
      <c r="G362" s="10">
        <v>2512</v>
      </c>
      <c r="H362" s="10">
        <v>24</v>
      </c>
      <c r="I362" s="10">
        <v>3</v>
      </c>
      <c r="J362" s="10">
        <v>2527</v>
      </c>
      <c r="K362" s="10">
        <v>87492100.278391138</v>
      </c>
    </row>
    <row r="363" spans="1:11" x14ac:dyDescent="0.35">
      <c r="A363" s="9" t="s">
        <v>430</v>
      </c>
      <c r="B363" s="10">
        <v>804</v>
      </c>
      <c r="C363" s="10">
        <v>18</v>
      </c>
      <c r="D363" s="10">
        <v>9</v>
      </c>
      <c r="E363" s="10">
        <v>904</v>
      </c>
      <c r="F363" s="10">
        <v>34313589.532018304</v>
      </c>
      <c r="G363" s="10">
        <v>797</v>
      </c>
      <c r="H363" s="10">
        <v>9</v>
      </c>
      <c r="I363" s="10">
        <v>8</v>
      </c>
      <c r="J363" s="10">
        <v>864</v>
      </c>
      <c r="K363" s="10">
        <v>37534705.388780296</v>
      </c>
    </row>
    <row r="364" spans="1:11" x14ac:dyDescent="0.35">
      <c r="A364" s="9" t="s">
        <v>431</v>
      </c>
      <c r="B364" s="10">
        <v>3957</v>
      </c>
      <c r="C364" s="10">
        <v>58</v>
      </c>
      <c r="D364" s="10">
        <v>6</v>
      </c>
      <c r="E364" s="10">
        <v>2938</v>
      </c>
      <c r="F364" s="10">
        <v>106336965.52812396</v>
      </c>
      <c r="G364" s="10">
        <v>3617</v>
      </c>
      <c r="H364" s="10">
        <v>43</v>
      </c>
      <c r="I364" s="10">
        <v>7</v>
      </c>
      <c r="J364" s="10">
        <v>2958</v>
      </c>
      <c r="K364" s="10">
        <v>113656656.93119502</v>
      </c>
    </row>
    <row r="365" spans="1:11" x14ac:dyDescent="0.35">
      <c r="A365" s="9" t="s">
        <v>432</v>
      </c>
      <c r="B365" s="10">
        <v>1808</v>
      </c>
      <c r="C365" s="10">
        <v>23</v>
      </c>
      <c r="D365" s="10">
        <v>4</v>
      </c>
      <c r="E365" s="10">
        <v>1755</v>
      </c>
      <c r="F365" s="10">
        <v>71165701.492381841</v>
      </c>
      <c r="G365" s="10">
        <v>1782</v>
      </c>
      <c r="H365" s="10">
        <v>20</v>
      </c>
      <c r="I365" s="10">
        <v>5</v>
      </c>
      <c r="J365" s="10">
        <v>1716</v>
      </c>
      <c r="K365" s="10">
        <v>70913841.40590021</v>
      </c>
    </row>
    <row r="366" spans="1:11" x14ac:dyDescent="0.35">
      <c r="A366" s="9" t="s">
        <v>433</v>
      </c>
      <c r="B366" s="10">
        <v>1152</v>
      </c>
      <c r="C366" s="10">
        <v>21</v>
      </c>
      <c r="D366" s="10">
        <v>3</v>
      </c>
      <c r="E366" s="10">
        <v>1173</v>
      </c>
      <c r="F366" s="10">
        <v>49344795.072073087</v>
      </c>
      <c r="G366" s="10">
        <v>1047</v>
      </c>
      <c r="H366" s="10">
        <v>15</v>
      </c>
      <c r="I366" s="10">
        <v>3</v>
      </c>
      <c r="J366" s="10">
        <v>1235</v>
      </c>
      <c r="K366" s="10">
        <v>48064225.942585588</v>
      </c>
    </row>
    <row r="367" spans="1:11" x14ac:dyDescent="0.35">
      <c r="A367" s="9" t="s">
        <v>434</v>
      </c>
      <c r="B367" s="10">
        <v>1054</v>
      </c>
      <c r="C367" s="10">
        <v>10</v>
      </c>
      <c r="D367" s="10">
        <v>1</v>
      </c>
      <c r="E367" s="10">
        <v>637</v>
      </c>
      <c r="F367" s="10">
        <v>26116404.09788416</v>
      </c>
      <c r="G367" s="10">
        <v>1014</v>
      </c>
      <c r="H367" s="10">
        <v>7</v>
      </c>
      <c r="I367" s="10">
        <v>1</v>
      </c>
      <c r="J367" s="10">
        <v>662</v>
      </c>
      <c r="K367" s="10">
        <v>26541299.043249637</v>
      </c>
    </row>
    <row r="368" spans="1:11" x14ac:dyDescent="0.35">
      <c r="A368" s="9" t="s">
        <v>435</v>
      </c>
      <c r="B368" s="10">
        <v>1582</v>
      </c>
      <c r="C368" s="10">
        <v>27</v>
      </c>
      <c r="D368" s="10">
        <v>3</v>
      </c>
      <c r="E368" s="10">
        <v>1920</v>
      </c>
      <c r="F368" s="10">
        <v>67657502.445160404</v>
      </c>
      <c r="G368" s="10">
        <v>1552</v>
      </c>
      <c r="H368" s="10">
        <v>63</v>
      </c>
      <c r="I368" s="10">
        <v>3</v>
      </c>
      <c r="J368" s="10">
        <v>2459</v>
      </c>
      <c r="K368" s="10">
        <v>86160376.561173961</v>
      </c>
    </row>
    <row r="369" spans="1:11" x14ac:dyDescent="0.35">
      <c r="A369" s="9" t="s">
        <v>436</v>
      </c>
      <c r="B369" s="10">
        <v>1782</v>
      </c>
      <c r="C369" s="10">
        <v>21</v>
      </c>
      <c r="D369" s="10">
        <v>6</v>
      </c>
      <c r="E369" s="10">
        <v>1540</v>
      </c>
      <c r="F369" s="10">
        <v>45301006.088109687</v>
      </c>
      <c r="G369" s="10">
        <v>1646</v>
      </c>
      <c r="H369" s="10">
        <v>22</v>
      </c>
      <c r="I369" s="10">
        <v>8</v>
      </c>
      <c r="J369" s="10">
        <v>1708</v>
      </c>
      <c r="K369" s="10">
        <v>55885837.26278989</v>
      </c>
    </row>
    <row r="370" spans="1:11" x14ac:dyDescent="0.35">
      <c r="A370" s="9" t="s">
        <v>437</v>
      </c>
      <c r="B370" s="10">
        <v>1044</v>
      </c>
      <c r="C370" s="10">
        <v>27</v>
      </c>
      <c r="D370" s="10">
        <v>2</v>
      </c>
      <c r="E370" s="10">
        <v>1047</v>
      </c>
      <c r="F370" s="10">
        <v>39832288.843602464</v>
      </c>
      <c r="G370" s="10">
        <v>947</v>
      </c>
      <c r="H370" s="10">
        <v>16</v>
      </c>
      <c r="I370" s="10">
        <v>2</v>
      </c>
      <c r="J370" s="10">
        <v>1330</v>
      </c>
      <c r="K370" s="10">
        <v>47633835.701100625</v>
      </c>
    </row>
    <row r="371" spans="1:11" x14ac:dyDescent="0.35">
      <c r="A371" s="9" t="s">
        <v>438</v>
      </c>
      <c r="B371" s="10">
        <v>3657</v>
      </c>
      <c r="C371" s="10">
        <v>41</v>
      </c>
      <c r="D371" s="10">
        <v>5</v>
      </c>
      <c r="E371" s="10">
        <v>2540</v>
      </c>
      <c r="F371" s="10">
        <v>101297573.67214614</v>
      </c>
      <c r="G371" s="10">
        <v>3615</v>
      </c>
      <c r="H371" s="10">
        <v>43</v>
      </c>
      <c r="I371" s="10">
        <v>6</v>
      </c>
      <c r="J371" s="10">
        <v>2554</v>
      </c>
      <c r="K371" s="10">
        <v>105566702.28920302</v>
      </c>
    </row>
    <row r="372" spans="1:11" x14ac:dyDescent="0.35">
      <c r="A372" s="9" t="s">
        <v>439</v>
      </c>
      <c r="B372" s="10">
        <v>1253</v>
      </c>
      <c r="C372" s="10">
        <v>11</v>
      </c>
      <c r="D372" s="10">
        <v>10</v>
      </c>
      <c r="E372" s="10">
        <v>974</v>
      </c>
      <c r="F372" s="10">
        <v>39455186.608418055</v>
      </c>
      <c r="G372" s="10">
        <v>1179</v>
      </c>
      <c r="H372" s="10">
        <v>7</v>
      </c>
      <c r="I372" s="10">
        <v>10</v>
      </c>
      <c r="J372" s="10">
        <v>899</v>
      </c>
      <c r="K372" s="10">
        <v>38638571.66145727</v>
      </c>
    </row>
    <row r="373" spans="1:11" x14ac:dyDescent="0.35">
      <c r="A373" s="9" t="s">
        <v>440</v>
      </c>
      <c r="B373" s="10">
        <v>1145</v>
      </c>
      <c r="C373" s="10">
        <v>13</v>
      </c>
      <c r="D373" s="10">
        <v>14</v>
      </c>
      <c r="E373" s="10">
        <v>964</v>
      </c>
      <c r="F373" s="10">
        <v>44754312.714526691</v>
      </c>
      <c r="G373" s="10">
        <v>1195</v>
      </c>
      <c r="H373" s="10">
        <v>7</v>
      </c>
      <c r="I373" s="10">
        <v>15</v>
      </c>
      <c r="J373" s="10">
        <v>1027</v>
      </c>
      <c r="K373" s="10">
        <v>56999981.387135111</v>
      </c>
    </row>
    <row r="374" spans="1:11" x14ac:dyDescent="0.35">
      <c r="A374" s="9" t="s">
        <v>441</v>
      </c>
      <c r="B374" s="10">
        <v>2038</v>
      </c>
      <c r="C374" s="10">
        <v>31</v>
      </c>
      <c r="D374" s="10">
        <v>5</v>
      </c>
      <c r="E374" s="10">
        <v>2054</v>
      </c>
      <c r="F374" s="10">
        <v>70575020.103583798</v>
      </c>
      <c r="G374" s="10">
        <v>1812</v>
      </c>
      <c r="H374" s="10">
        <v>212</v>
      </c>
      <c r="I374" s="10">
        <v>4</v>
      </c>
      <c r="J374" s="10">
        <v>1660</v>
      </c>
      <c r="K374" s="10">
        <v>65238599.795171618</v>
      </c>
    </row>
    <row r="375" spans="1:11" x14ac:dyDescent="0.35">
      <c r="A375" s="9" t="s">
        <v>442</v>
      </c>
      <c r="B375" s="10">
        <v>2334</v>
      </c>
      <c r="C375" s="10">
        <v>58</v>
      </c>
      <c r="D375" s="10">
        <v>2</v>
      </c>
      <c r="E375" s="10">
        <v>1912</v>
      </c>
      <c r="F375" s="10">
        <v>66853261.312671646</v>
      </c>
      <c r="G375" s="10">
        <v>2184</v>
      </c>
      <c r="H375" s="10">
        <v>21</v>
      </c>
      <c r="I375" s="10">
        <v>4</v>
      </c>
      <c r="J375" s="10">
        <v>1598</v>
      </c>
      <c r="K375" s="10">
        <v>49842144.369279973</v>
      </c>
    </row>
    <row r="376" spans="1:11" x14ac:dyDescent="0.35">
      <c r="A376" s="9" t="s">
        <v>443</v>
      </c>
      <c r="B376" s="10">
        <v>1725</v>
      </c>
      <c r="C376" s="10">
        <v>227</v>
      </c>
      <c r="D376" s="10">
        <v>4</v>
      </c>
      <c r="E376" s="10">
        <v>927</v>
      </c>
      <c r="F376" s="10">
        <v>39887387.912005216</v>
      </c>
      <c r="G376" s="10">
        <v>1473</v>
      </c>
      <c r="H376" s="10">
        <v>157</v>
      </c>
      <c r="I376" s="10">
        <v>2</v>
      </c>
      <c r="J376" s="10">
        <v>962</v>
      </c>
      <c r="K376" s="10">
        <v>33340434.798484303</v>
      </c>
    </row>
    <row r="377" spans="1:11" x14ac:dyDescent="0.35">
      <c r="A377" s="9" t="s">
        <v>444</v>
      </c>
      <c r="B377" s="10">
        <v>965</v>
      </c>
      <c r="C377" s="10">
        <v>14</v>
      </c>
      <c r="D377" s="10">
        <v>3</v>
      </c>
      <c r="E377" s="10">
        <v>1062</v>
      </c>
      <c r="F377" s="10">
        <v>36704217.958267689</v>
      </c>
      <c r="G377" s="10">
        <v>938</v>
      </c>
      <c r="H377" s="10">
        <v>6</v>
      </c>
      <c r="I377" s="10">
        <v>4</v>
      </c>
      <c r="J377" s="10">
        <v>917</v>
      </c>
      <c r="K377" s="10">
        <v>40855933.18813657</v>
      </c>
    </row>
    <row r="378" spans="1:11" x14ac:dyDescent="0.35">
      <c r="A378" s="9" t="s">
        <v>445</v>
      </c>
      <c r="B378" s="10">
        <v>4339</v>
      </c>
      <c r="C378" s="10">
        <v>115</v>
      </c>
      <c r="D378" s="10">
        <v>5</v>
      </c>
      <c r="E378" s="10">
        <v>3309</v>
      </c>
      <c r="F378" s="10">
        <v>108964942.78954035</v>
      </c>
      <c r="G378" s="10">
        <v>4505</v>
      </c>
      <c r="H378" s="10">
        <v>93</v>
      </c>
      <c r="I378" s="10">
        <v>7</v>
      </c>
      <c r="J378" s="10">
        <v>3633</v>
      </c>
      <c r="K378" s="10">
        <v>127854792.05152461</v>
      </c>
    </row>
    <row r="379" spans="1:11" x14ac:dyDescent="0.35">
      <c r="A379" s="9" t="s">
        <v>446</v>
      </c>
      <c r="B379" s="10">
        <v>1178</v>
      </c>
      <c r="C379" s="10">
        <v>154</v>
      </c>
      <c r="D379" s="10">
        <v>5</v>
      </c>
      <c r="E379" s="10">
        <v>1488</v>
      </c>
      <c r="F379" s="10">
        <v>51902009.852852613</v>
      </c>
      <c r="G379" s="10">
        <v>1275</v>
      </c>
      <c r="H379" s="10">
        <v>45</v>
      </c>
      <c r="I379" s="10">
        <v>4</v>
      </c>
      <c r="J379" s="10">
        <v>1742</v>
      </c>
      <c r="K379" s="10">
        <v>56621833.689484887</v>
      </c>
    </row>
    <row r="380" spans="1:11" x14ac:dyDescent="0.35">
      <c r="A380" s="9" t="s">
        <v>447</v>
      </c>
      <c r="B380" s="10">
        <v>1567</v>
      </c>
      <c r="C380" s="10">
        <v>24</v>
      </c>
      <c r="D380" s="10">
        <v>1</v>
      </c>
      <c r="E380" s="10">
        <v>1476</v>
      </c>
      <c r="F380" s="10">
        <v>44601914.854989037</v>
      </c>
      <c r="G380" s="10">
        <v>1479</v>
      </c>
      <c r="H380" s="10">
        <v>15</v>
      </c>
      <c r="I380" s="10">
        <v>2</v>
      </c>
      <c r="J380" s="10">
        <v>1425</v>
      </c>
      <c r="K380" s="10">
        <v>41063032.896636754</v>
      </c>
    </row>
    <row r="381" spans="1:11" x14ac:dyDescent="0.35">
      <c r="A381" s="9" t="s">
        <v>448</v>
      </c>
      <c r="B381" s="10">
        <v>2132</v>
      </c>
      <c r="C381" s="10">
        <v>24</v>
      </c>
      <c r="D381" s="10">
        <v>8</v>
      </c>
      <c r="E381" s="10">
        <v>2142</v>
      </c>
      <c r="F381" s="10">
        <v>78074803.588206932</v>
      </c>
      <c r="G381" s="10">
        <v>2065</v>
      </c>
      <c r="H381" s="10">
        <v>56</v>
      </c>
      <c r="I381" s="10">
        <v>9</v>
      </c>
      <c r="J381" s="10">
        <v>1993</v>
      </c>
      <c r="K381" s="10">
        <v>75881229.616499811</v>
      </c>
    </row>
    <row r="382" spans="1:11" x14ac:dyDescent="0.35">
      <c r="A382" s="9" t="s">
        <v>449</v>
      </c>
      <c r="B382" s="10">
        <v>1584</v>
      </c>
      <c r="C382" s="10">
        <v>15</v>
      </c>
      <c r="D382" s="10">
        <v>3</v>
      </c>
      <c r="E382" s="10">
        <v>1490</v>
      </c>
      <c r="F382" s="10">
        <v>43968615.331507325</v>
      </c>
      <c r="G382" s="10">
        <v>1514</v>
      </c>
      <c r="H382" s="10">
        <v>11</v>
      </c>
      <c r="I382" s="10">
        <v>2</v>
      </c>
      <c r="J382" s="10">
        <v>1322</v>
      </c>
      <c r="K382" s="10">
        <v>39908320.49401021</v>
      </c>
    </row>
    <row r="383" spans="1:11" x14ac:dyDescent="0.35">
      <c r="A383" s="9" t="s">
        <v>450</v>
      </c>
      <c r="B383" s="10">
        <v>715</v>
      </c>
      <c r="C383" s="10">
        <v>8</v>
      </c>
      <c r="D383" s="10">
        <v>3</v>
      </c>
      <c r="E383" s="10">
        <v>467</v>
      </c>
      <c r="F383" s="10">
        <v>16045265.535553094</v>
      </c>
      <c r="G383" s="10">
        <v>744</v>
      </c>
      <c r="H383" s="10">
        <v>2</v>
      </c>
      <c r="I383" s="10">
        <v>3</v>
      </c>
      <c r="J383" s="10">
        <v>503</v>
      </c>
      <c r="K383" s="10">
        <v>17240581.884949878</v>
      </c>
    </row>
    <row r="384" spans="1:11" x14ac:dyDescent="0.35">
      <c r="A384" s="9" t="s">
        <v>451</v>
      </c>
      <c r="B384" s="10">
        <v>2099</v>
      </c>
      <c r="C384" s="10">
        <v>332</v>
      </c>
      <c r="D384" s="10">
        <v>6</v>
      </c>
      <c r="E384" s="10">
        <v>1451</v>
      </c>
      <c r="F384" s="10">
        <v>49815081.21155113</v>
      </c>
      <c r="G384" s="10">
        <v>2638</v>
      </c>
      <c r="H384" s="10">
        <v>1207</v>
      </c>
      <c r="I384" s="10">
        <v>5</v>
      </c>
      <c r="J384" s="10">
        <v>1787</v>
      </c>
      <c r="K384" s="10">
        <v>59783896.490518004</v>
      </c>
    </row>
    <row r="385" spans="1:11" x14ac:dyDescent="0.35">
      <c r="A385" s="9" t="s">
        <v>452</v>
      </c>
      <c r="B385" s="10">
        <v>1360</v>
      </c>
      <c r="C385" s="10">
        <v>13</v>
      </c>
      <c r="D385" s="10">
        <v>6</v>
      </c>
      <c r="E385" s="10">
        <v>1232</v>
      </c>
      <c r="F385" s="10">
        <v>51646954.625563666</v>
      </c>
      <c r="G385" s="10">
        <v>1315</v>
      </c>
      <c r="H385" s="10">
        <v>12</v>
      </c>
      <c r="I385" s="10">
        <v>6</v>
      </c>
      <c r="J385" s="10">
        <v>1191</v>
      </c>
      <c r="K385" s="10">
        <v>49911604.685932778</v>
      </c>
    </row>
    <row r="386" spans="1:11" x14ac:dyDescent="0.35">
      <c r="A386" s="9" t="s">
        <v>453</v>
      </c>
      <c r="B386" s="10">
        <v>1345</v>
      </c>
      <c r="C386" s="10">
        <v>15</v>
      </c>
      <c r="D386" s="10">
        <v>4</v>
      </c>
      <c r="E386" s="10">
        <v>1313</v>
      </c>
      <c r="F386" s="10">
        <v>44237096.370014258</v>
      </c>
      <c r="G386" s="10">
        <v>1365</v>
      </c>
      <c r="H386" s="10">
        <v>16</v>
      </c>
      <c r="I386" s="10">
        <v>5</v>
      </c>
      <c r="J386" s="10">
        <v>1514</v>
      </c>
      <c r="K386" s="10">
        <v>51867610.056194693</v>
      </c>
    </row>
    <row r="387" spans="1:11" x14ac:dyDescent="0.35">
      <c r="A387" s="9" t="s">
        <v>454</v>
      </c>
      <c r="B387" s="10">
        <v>2685</v>
      </c>
      <c r="C387" s="10">
        <v>60</v>
      </c>
      <c r="D387" s="10">
        <v>8</v>
      </c>
      <c r="E387" s="10">
        <v>2374</v>
      </c>
      <c r="F387" s="10">
        <v>83419690.712844983</v>
      </c>
      <c r="G387" s="10">
        <v>2631</v>
      </c>
      <c r="H387" s="10">
        <v>110</v>
      </c>
      <c r="I387" s="10">
        <v>7</v>
      </c>
      <c r="J387" s="10">
        <v>2608</v>
      </c>
      <c r="K387" s="10">
        <v>91605767.155340254</v>
      </c>
    </row>
    <row r="388" spans="1:11" x14ac:dyDescent="0.35">
      <c r="A388" s="9" t="s">
        <v>455</v>
      </c>
      <c r="B388" s="10">
        <v>2877</v>
      </c>
      <c r="C388" s="10">
        <v>44</v>
      </c>
      <c r="D388" s="10">
        <v>33</v>
      </c>
      <c r="E388" s="10">
        <v>2353</v>
      </c>
      <c r="F388" s="10">
        <v>125071023.73232903</v>
      </c>
      <c r="G388" s="10">
        <v>2726</v>
      </c>
      <c r="H388" s="10">
        <v>10</v>
      </c>
      <c r="I388" s="10">
        <v>23</v>
      </c>
      <c r="J388" s="10">
        <v>2144</v>
      </c>
      <c r="K388" s="10">
        <v>100079089.2289567</v>
      </c>
    </row>
    <row r="389" spans="1:11" x14ac:dyDescent="0.35">
      <c r="A389" s="9" t="s">
        <v>456</v>
      </c>
      <c r="B389" s="10">
        <v>1418</v>
      </c>
      <c r="C389" s="10">
        <v>24</v>
      </c>
      <c r="D389" s="10">
        <v>4</v>
      </c>
      <c r="E389" s="10">
        <v>1356</v>
      </c>
      <c r="F389" s="10">
        <v>50193760.99608209</v>
      </c>
      <c r="G389" s="10">
        <v>1376</v>
      </c>
      <c r="H389" s="10">
        <v>22</v>
      </c>
      <c r="I389" s="10">
        <v>3</v>
      </c>
      <c r="J389" s="10">
        <v>1533</v>
      </c>
      <c r="K389" s="10">
        <v>50179557.970220283</v>
      </c>
    </row>
    <row r="390" spans="1:11" x14ac:dyDescent="0.35">
      <c r="A390" s="9" t="s">
        <v>457</v>
      </c>
      <c r="B390" s="10">
        <v>559</v>
      </c>
      <c r="C390" s="10">
        <v>11</v>
      </c>
      <c r="D390" s="10">
        <v>0</v>
      </c>
      <c r="E390" s="10">
        <v>709</v>
      </c>
      <c r="F390" s="10">
        <v>23408796.624308161</v>
      </c>
      <c r="G390" s="10">
        <v>561</v>
      </c>
      <c r="H390" s="10">
        <v>8</v>
      </c>
      <c r="I390" s="10">
        <v>1</v>
      </c>
      <c r="J390" s="10">
        <v>529</v>
      </c>
      <c r="K390" s="10">
        <v>25337843.12142539</v>
      </c>
    </row>
    <row r="391" spans="1:11" x14ac:dyDescent="0.35">
      <c r="A391" s="9" t="s">
        <v>458</v>
      </c>
      <c r="B391" s="10">
        <v>1857</v>
      </c>
      <c r="C391" s="10">
        <v>16</v>
      </c>
      <c r="D391" s="10">
        <v>5</v>
      </c>
      <c r="E391" s="10">
        <v>1871</v>
      </c>
      <c r="F391" s="10">
        <v>53933456.99323716</v>
      </c>
      <c r="G391" s="10">
        <v>1803</v>
      </c>
      <c r="H391" s="10">
        <v>16</v>
      </c>
      <c r="I391" s="10">
        <v>4</v>
      </c>
      <c r="J391" s="10">
        <v>1818</v>
      </c>
      <c r="K391" s="10">
        <v>54173256.750520244</v>
      </c>
    </row>
    <row r="392" spans="1:11" x14ac:dyDescent="0.35">
      <c r="A392" s="9" t="s">
        <v>459</v>
      </c>
      <c r="B392" s="10">
        <v>3066</v>
      </c>
      <c r="C392" s="10">
        <v>45</v>
      </c>
      <c r="D392" s="10">
        <v>5</v>
      </c>
      <c r="E392" s="10">
        <v>1934</v>
      </c>
      <c r="F392" s="10">
        <v>75566120.630468443</v>
      </c>
      <c r="G392" s="10">
        <v>3097</v>
      </c>
      <c r="H392" s="10">
        <v>288</v>
      </c>
      <c r="I392" s="10">
        <v>4</v>
      </c>
      <c r="J392" s="10">
        <v>1774</v>
      </c>
      <c r="K392" s="10">
        <v>62409597.692146316</v>
      </c>
    </row>
    <row r="393" spans="1:11" x14ac:dyDescent="0.35">
      <c r="A393" s="9" t="s">
        <v>460</v>
      </c>
      <c r="B393" s="10">
        <v>3437</v>
      </c>
      <c r="C393" s="10">
        <v>130</v>
      </c>
      <c r="D393" s="10">
        <v>3</v>
      </c>
      <c r="E393" s="10">
        <v>2784</v>
      </c>
      <c r="F393" s="10">
        <v>98635258.139805526</v>
      </c>
      <c r="G393" s="10">
        <v>3320</v>
      </c>
      <c r="H393" s="10">
        <v>112</v>
      </c>
      <c r="I393" s="10">
        <v>2</v>
      </c>
      <c r="J393" s="10">
        <v>2620</v>
      </c>
      <c r="K393" s="10">
        <v>90214252.125657469</v>
      </c>
    </row>
    <row r="394" spans="1:11" x14ac:dyDescent="0.35">
      <c r="A394" s="9" t="s">
        <v>461</v>
      </c>
      <c r="B394" s="10">
        <v>1647</v>
      </c>
      <c r="C394" s="10">
        <v>33</v>
      </c>
      <c r="D394" s="10">
        <v>4</v>
      </c>
      <c r="E394" s="10">
        <v>1642</v>
      </c>
      <c r="F394" s="10">
        <v>43185864.647636302</v>
      </c>
      <c r="G394" s="10">
        <v>1632</v>
      </c>
      <c r="H394" s="10">
        <v>65</v>
      </c>
      <c r="I394" s="10">
        <v>3</v>
      </c>
      <c r="J394" s="10">
        <v>1259</v>
      </c>
      <c r="K394" s="10">
        <v>50652704.051591426</v>
      </c>
    </row>
    <row r="395" spans="1:11" x14ac:dyDescent="0.35">
      <c r="A395" s="9" t="s">
        <v>462</v>
      </c>
      <c r="B395" s="10">
        <v>894</v>
      </c>
      <c r="C395" s="10">
        <v>23</v>
      </c>
      <c r="D395" s="10">
        <v>3</v>
      </c>
      <c r="E395" s="10">
        <v>1406</v>
      </c>
      <c r="F395" s="10">
        <v>41826796.835587092</v>
      </c>
      <c r="G395" s="10">
        <v>904</v>
      </c>
      <c r="H395" s="10">
        <v>19</v>
      </c>
      <c r="I395" s="10">
        <v>3</v>
      </c>
      <c r="J395" s="10">
        <v>1513</v>
      </c>
      <c r="K395" s="10">
        <v>50547297.949324504</v>
      </c>
    </row>
    <row r="396" spans="1:11" x14ac:dyDescent="0.35">
      <c r="A396" s="9" t="s">
        <v>463</v>
      </c>
      <c r="B396" s="10">
        <v>922</v>
      </c>
      <c r="C396" s="10">
        <v>12</v>
      </c>
      <c r="D396" s="10">
        <v>1</v>
      </c>
      <c r="E396" s="10">
        <v>857</v>
      </c>
      <c r="F396" s="10">
        <v>32863677.765572567</v>
      </c>
      <c r="G396" s="10">
        <v>903</v>
      </c>
      <c r="H396" s="10">
        <v>5</v>
      </c>
      <c r="I396" s="10">
        <v>0</v>
      </c>
      <c r="J396" s="10">
        <v>366</v>
      </c>
      <c r="K396" s="10">
        <v>26948428.115818676</v>
      </c>
    </row>
    <row r="397" spans="1:11" x14ac:dyDescent="0.35">
      <c r="A397" s="9" t="s">
        <v>464</v>
      </c>
      <c r="B397" s="10">
        <v>786</v>
      </c>
      <c r="C397" s="10">
        <v>11</v>
      </c>
      <c r="D397" s="10">
        <v>2</v>
      </c>
      <c r="E397" s="10">
        <v>754</v>
      </c>
      <c r="F397" s="10">
        <v>34899810.629489645</v>
      </c>
      <c r="G397" s="10">
        <v>779</v>
      </c>
      <c r="H397" s="10">
        <v>10</v>
      </c>
      <c r="I397" s="10">
        <v>2</v>
      </c>
      <c r="J397" s="10">
        <v>661</v>
      </c>
      <c r="K397" s="10">
        <v>30955237.527146928</v>
      </c>
    </row>
    <row r="398" spans="1:11" x14ac:dyDescent="0.35">
      <c r="A398" s="9" t="s">
        <v>465</v>
      </c>
      <c r="B398" s="10">
        <v>1555</v>
      </c>
      <c r="C398" s="10">
        <v>23</v>
      </c>
      <c r="D398" s="10">
        <v>6</v>
      </c>
      <c r="E398" s="10">
        <v>820</v>
      </c>
      <c r="F398" s="10">
        <v>54845032.296825245</v>
      </c>
      <c r="G398" s="10">
        <v>1478</v>
      </c>
      <c r="H398" s="10">
        <v>20</v>
      </c>
      <c r="I398" s="10">
        <v>7</v>
      </c>
      <c r="J398" s="10">
        <v>1359</v>
      </c>
      <c r="K398" s="10">
        <v>58678770.508661017</v>
      </c>
    </row>
    <row r="399" spans="1:11" x14ac:dyDescent="0.35">
      <c r="A399" s="9" t="s">
        <v>466</v>
      </c>
      <c r="B399" s="10">
        <v>2430</v>
      </c>
      <c r="C399" s="10">
        <v>31</v>
      </c>
      <c r="D399" s="10">
        <v>3</v>
      </c>
      <c r="E399" s="10">
        <v>1955</v>
      </c>
      <c r="F399" s="10">
        <v>69709635.162111342</v>
      </c>
      <c r="G399" s="10">
        <v>2467</v>
      </c>
      <c r="H399" s="10">
        <v>48</v>
      </c>
      <c r="I399" s="10">
        <v>3</v>
      </c>
      <c r="J399" s="10">
        <v>2455</v>
      </c>
      <c r="K399" s="10">
        <v>94938147.597377151</v>
      </c>
    </row>
    <row r="400" spans="1:11" x14ac:dyDescent="0.35">
      <c r="A400" s="9" t="s">
        <v>467</v>
      </c>
      <c r="B400" s="10">
        <v>1863</v>
      </c>
      <c r="C400" s="10">
        <v>28</v>
      </c>
      <c r="D400" s="10">
        <v>4</v>
      </c>
      <c r="E400" s="10">
        <v>2161</v>
      </c>
      <c r="F400" s="10">
        <v>63617710.428911924</v>
      </c>
      <c r="G400" s="10">
        <v>1877</v>
      </c>
      <c r="H400" s="10">
        <v>180</v>
      </c>
      <c r="I400" s="10">
        <v>5</v>
      </c>
      <c r="J400" s="10">
        <v>2838</v>
      </c>
      <c r="K400" s="10">
        <v>75134185.209301934</v>
      </c>
    </row>
    <row r="401" spans="1:11" x14ac:dyDescent="0.35">
      <c r="A401" s="9" t="s">
        <v>468</v>
      </c>
      <c r="B401" s="10">
        <v>2668</v>
      </c>
      <c r="C401" s="10">
        <v>56</v>
      </c>
      <c r="D401" s="10">
        <v>2</v>
      </c>
      <c r="E401" s="10">
        <v>2759</v>
      </c>
      <c r="F401" s="10">
        <v>91089997.520350635</v>
      </c>
      <c r="G401" s="10">
        <v>2565</v>
      </c>
      <c r="H401" s="10">
        <v>133</v>
      </c>
      <c r="I401" s="10">
        <v>2</v>
      </c>
      <c r="J401" s="10">
        <v>2562</v>
      </c>
      <c r="K401" s="10">
        <v>84183215.430020452</v>
      </c>
    </row>
    <row r="402" spans="1:11" x14ac:dyDescent="0.35">
      <c r="A402" s="9" t="s">
        <v>469</v>
      </c>
      <c r="B402" s="10">
        <v>1001</v>
      </c>
      <c r="C402" s="10">
        <v>16</v>
      </c>
      <c r="D402" s="10">
        <v>3</v>
      </c>
      <c r="E402" s="10">
        <v>1223</v>
      </c>
      <c r="F402" s="10">
        <v>37287662.75546664</v>
      </c>
      <c r="G402" s="10">
        <v>987</v>
      </c>
      <c r="H402" s="10">
        <v>11</v>
      </c>
      <c r="I402" s="10">
        <v>3</v>
      </c>
      <c r="J402" s="10">
        <v>1107</v>
      </c>
      <c r="K402" s="10">
        <v>35839328.606909566</v>
      </c>
    </row>
    <row r="403" spans="1:11" x14ac:dyDescent="0.35">
      <c r="A403" s="9" t="s">
        <v>470</v>
      </c>
      <c r="B403" s="10">
        <v>2458</v>
      </c>
      <c r="C403" s="10">
        <v>26</v>
      </c>
      <c r="D403" s="10">
        <v>4</v>
      </c>
      <c r="E403" s="10">
        <v>2225</v>
      </c>
      <c r="F403" s="10">
        <v>64601546.500800505</v>
      </c>
      <c r="G403" s="10">
        <v>2419</v>
      </c>
      <c r="H403" s="10">
        <v>31</v>
      </c>
      <c r="I403" s="10">
        <v>4</v>
      </c>
      <c r="J403" s="10">
        <v>2239</v>
      </c>
      <c r="K403" s="10">
        <v>70702699.46291104</v>
      </c>
    </row>
    <row r="404" spans="1:11" x14ac:dyDescent="0.35">
      <c r="A404" s="9" t="s">
        <v>471</v>
      </c>
      <c r="B404" s="10">
        <v>1383</v>
      </c>
      <c r="C404" s="10">
        <v>17</v>
      </c>
      <c r="D404" s="10">
        <v>3</v>
      </c>
      <c r="E404" s="10">
        <v>1386</v>
      </c>
      <c r="F404" s="10">
        <v>36429677.536053538</v>
      </c>
      <c r="G404" s="10">
        <v>1326</v>
      </c>
      <c r="H404" s="10">
        <v>13</v>
      </c>
      <c r="I404" s="10">
        <v>3</v>
      </c>
      <c r="J404" s="10">
        <v>1177</v>
      </c>
      <c r="K404" s="10">
        <v>38772852.556964122</v>
      </c>
    </row>
    <row r="405" spans="1:11" x14ac:dyDescent="0.35">
      <c r="A405" s="9" t="s">
        <v>472</v>
      </c>
      <c r="B405" s="10">
        <v>3013</v>
      </c>
      <c r="C405" s="10">
        <v>25</v>
      </c>
      <c r="D405" s="10">
        <v>7</v>
      </c>
      <c r="E405" s="10">
        <v>2467</v>
      </c>
      <c r="F405" s="10">
        <v>86518437.443814382</v>
      </c>
      <c r="G405" s="10">
        <v>2888</v>
      </c>
      <c r="H405" s="10">
        <v>19</v>
      </c>
      <c r="I405" s="10">
        <v>9</v>
      </c>
      <c r="J405" s="10">
        <v>2274</v>
      </c>
      <c r="K405" s="10">
        <v>76816455.867198676</v>
      </c>
    </row>
    <row r="406" spans="1:11" x14ac:dyDescent="0.35">
      <c r="A406" s="9" t="s">
        <v>473</v>
      </c>
      <c r="B406" s="10">
        <v>1967</v>
      </c>
      <c r="C406" s="10">
        <v>433</v>
      </c>
      <c r="D406" s="10">
        <v>1</v>
      </c>
      <c r="E406" s="10">
        <v>1308</v>
      </c>
      <c r="F406" s="10">
        <v>45613431.311515599</v>
      </c>
      <c r="G406" s="10">
        <v>1568</v>
      </c>
      <c r="H406" s="10">
        <v>12</v>
      </c>
      <c r="I406" s="10">
        <v>1</v>
      </c>
      <c r="J406" s="10">
        <v>1155</v>
      </c>
      <c r="K406" s="10">
        <v>46549976.873505503</v>
      </c>
    </row>
    <row r="407" spans="1:11" x14ac:dyDescent="0.35">
      <c r="A407" s="9" t="s">
        <v>474</v>
      </c>
      <c r="B407" s="10">
        <v>1744</v>
      </c>
      <c r="C407" s="10">
        <v>46</v>
      </c>
      <c r="D407" s="10">
        <v>4</v>
      </c>
      <c r="E407" s="10">
        <v>1543</v>
      </c>
      <c r="F407" s="10">
        <v>50424387.242389128</v>
      </c>
      <c r="G407" s="10">
        <v>1705</v>
      </c>
      <c r="H407" s="10">
        <v>23</v>
      </c>
      <c r="I407" s="10">
        <v>4</v>
      </c>
      <c r="J407" s="10">
        <v>1522</v>
      </c>
      <c r="K407" s="10">
        <v>53422703.989577249</v>
      </c>
    </row>
    <row r="408" spans="1:11" x14ac:dyDescent="0.35">
      <c r="A408" s="9" t="s">
        <v>475</v>
      </c>
      <c r="B408" s="10">
        <v>1092</v>
      </c>
      <c r="C408" s="10">
        <v>19</v>
      </c>
      <c r="D408" s="10">
        <v>5</v>
      </c>
      <c r="E408" s="10">
        <v>1548</v>
      </c>
      <c r="F408" s="10">
        <v>45391428.980878502</v>
      </c>
      <c r="G408" s="10">
        <v>1010</v>
      </c>
      <c r="H408" s="10">
        <v>16</v>
      </c>
      <c r="I408" s="10">
        <v>4</v>
      </c>
      <c r="J408" s="10">
        <v>1461</v>
      </c>
      <c r="K408" s="10">
        <v>47713056.89020586</v>
      </c>
    </row>
    <row r="409" spans="1:11" x14ac:dyDescent="0.35">
      <c r="A409" s="9" t="s">
        <v>476</v>
      </c>
      <c r="B409" s="10">
        <v>794</v>
      </c>
      <c r="C409" s="10">
        <v>17</v>
      </c>
      <c r="D409" s="10">
        <v>4</v>
      </c>
      <c r="E409" s="10">
        <v>1291</v>
      </c>
      <c r="F409" s="10">
        <v>41762823.415462881</v>
      </c>
      <c r="G409" s="10">
        <v>858</v>
      </c>
      <c r="H409" s="10">
        <v>13</v>
      </c>
      <c r="I409" s="10">
        <v>5</v>
      </c>
      <c r="J409" s="10">
        <v>1431</v>
      </c>
      <c r="K409" s="10">
        <v>47664703.809085339</v>
      </c>
    </row>
    <row r="410" spans="1:11" x14ac:dyDescent="0.35">
      <c r="A410" s="9" t="s">
        <v>477</v>
      </c>
      <c r="B410" s="10">
        <v>1755</v>
      </c>
      <c r="C410" s="10">
        <v>19</v>
      </c>
      <c r="D410" s="10">
        <v>4</v>
      </c>
      <c r="E410" s="10">
        <v>1926</v>
      </c>
      <c r="F410" s="10">
        <v>48578179.016485229</v>
      </c>
      <c r="G410" s="10">
        <v>1719</v>
      </c>
      <c r="H410" s="10">
        <v>17</v>
      </c>
      <c r="I410" s="10">
        <v>4</v>
      </c>
      <c r="J410" s="10">
        <v>2037</v>
      </c>
      <c r="K410" s="10">
        <v>58205212.413026676</v>
      </c>
    </row>
    <row r="411" spans="1:11" x14ac:dyDescent="0.35">
      <c r="A411" s="9" t="s">
        <v>478</v>
      </c>
      <c r="B411" s="10">
        <v>2183</v>
      </c>
      <c r="C411" s="10">
        <v>28</v>
      </c>
      <c r="D411" s="10">
        <v>6</v>
      </c>
      <c r="E411" s="10">
        <v>1986</v>
      </c>
      <c r="F411" s="10">
        <v>55920145.427515149</v>
      </c>
      <c r="G411" s="10">
        <v>2106</v>
      </c>
      <c r="H411" s="10">
        <v>29</v>
      </c>
      <c r="I411" s="10">
        <v>5</v>
      </c>
      <c r="J411" s="10">
        <v>1832</v>
      </c>
      <c r="K411" s="10">
        <v>55261966.920314886</v>
      </c>
    </row>
    <row r="412" spans="1:11" x14ac:dyDescent="0.35">
      <c r="A412" s="9" t="s">
        <v>479</v>
      </c>
      <c r="B412" s="10">
        <v>3080</v>
      </c>
      <c r="C412" s="10">
        <v>24</v>
      </c>
      <c r="D412" s="10">
        <v>5</v>
      </c>
      <c r="E412" s="10">
        <v>3160</v>
      </c>
      <c r="F412" s="10">
        <v>87497585.597587541</v>
      </c>
      <c r="G412" s="10">
        <v>2911</v>
      </c>
      <c r="H412" s="10">
        <v>18</v>
      </c>
      <c r="I412" s="10">
        <v>4</v>
      </c>
      <c r="J412" s="10">
        <v>2639</v>
      </c>
      <c r="K412" s="10">
        <v>89272014.469839871</v>
      </c>
    </row>
    <row r="413" spans="1:11" x14ac:dyDescent="0.35">
      <c r="A413" s="9" t="s">
        <v>480</v>
      </c>
      <c r="B413" s="10">
        <v>1694</v>
      </c>
      <c r="C413" s="10">
        <v>11</v>
      </c>
      <c r="D413" s="10">
        <v>2</v>
      </c>
      <c r="E413" s="10">
        <v>1700</v>
      </c>
      <c r="F413" s="10">
        <v>53145342.303368188</v>
      </c>
      <c r="G413" s="10">
        <v>1697</v>
      </c>
      <c r="H413" s="10">
        <v>10</v>
      </c>
      <c r="I413" s="10">
        <v>2</v>
      </c>
      <c r="J413" s="10">
        <v>1674</v>
      </c>
      <c r="K413" s="10">
        <v>57522858.245357424</v>
      </c>
    </row>
    <row r="414" spans="1:11" x14ac:dyDescent="0.35">
      <c r="A414" s="9" t="s">
        <v>481</v>
      </c>
      <c r="B414" s="10">
        <v>1627</v>
      </c>
      <c r="C414" s="10">
        <v>12</v>
      </c>
      <c r="D414" s="10">
        <v>6</v>
      </c>
      <c r="E414" s="10">
        <v>1765</v>
      </c>
      <c r="F414" s="10">
        <v>53476001.489437535</v>
      </c>
      <c r="G414" s="10">
        <v>1618</v>
      </c>
      <c r="H414" s="10">
        <v>9</v>
      </c>
      <c r="I414" s="10">
        <v>8</v>
      </c>
      <c r="J414" s="10">
        <v>1667</v>
      </c>
      <c r="K414" s="10">
        <v>62262936.531237349</v>
      </c>
    </row>
    <row r="415" spans="1:11" x14ac:dyDescent="0.35">
      <c r="A415" s="9" t="s">
        <v>482</v>
      </c>
      <c r="B415" s="10">
        <v>1339</v>
      </c>
      <c r="C415" s="10">
        <v>16</v>
      </c>
      <c r="D415" s="10">
        <v>11</v>
      </c>
      <c r="E415" s="10">
        <v>1653</v>
      </c>
      <c r="F415" s="10">
        <v>53519594.849661484</v>
      </c>
      <c r="G415" s="10">
        <v>1311</v>
      </c>
      <c r="H415" s="10">
        <v>10</v>
      </c>
      <c r="I415" s="10">
        <v>14</v>
      </c>
      <c r="J415" s="10">
        <v>1533</v>
      </c>
      <c r="K415" s="10">
        <v>50984712.1210839</v>
      </c>
    </row>
    <row r="416" spans="1:11" x14ac:dyDescent="0.35">
      <c r="A416" s="9" t="s">
        <v>483</v>
      </c>
      <c r="B416" s="10">
        <v>2292</v>
      </c>
      <c r="C416" s="10">
        <v>46</v>
      </c>
      <c r="D416" s="10">
        <v>31</v>
      </c>
      <c r="E416" s="10">
        <v>1775</v>
      </c>
      <c r="F416" s="10">
        <v>101545502.14836358</v>
      </c>
      <c r="G416" s="10">
        <v>2110</v>
      </c>
      <c r="H416" s="10">
        <v>15</v>
      </c>
      <c r="I416" s="10">
        <v>22</v>
      </c>
      <c r="J416" s="10">
        <v>1352</v>
      </c>
      <c r="K416" s="10">
        <v>69813274.879597217</v>
      </c>
    </row>
    <row r="417" spans="1:11" x14ac:dyDescent="0.35">
      <c r="A417" s="9" t="s">
        <v>484</v>
      </c>
      <c r="B417" s="10">
        <v>2220</v>
      </c>
      <c r="C417" s="10">
        <v>36</v>
      </c>
      <c r="D417" s="10">
        <v>14</v>
      </c>
      <c r="E417" s="10">
        <v>2458</v>
      </c>
      <c r="F417" s="10">
        <v>77829038.217082903</v>
      </c>
      <c r="G417" s="10">
        <v>2145</v>
      </c>
      <c r="H417" s="10">
        <v>18</v>
      </c>
      <c r="I417" s="10">
        <v>14</v>
      </c>
      <c r="J417" s="10">
        <v>2156</v>
      </c>
      <c r="K417" s="10">
        <v>74863103.132927269</v>
      </c>
    </row>
    <row r="418" spans="1:11" x14ac:dyDescent="0.35">
      <c r="A418" s="9" t="s">
        <v>485</v>
      </c>
      <c r="B418" s="10">
        <v>1183</v>
      </c>
      <c r="C418" s="10">
        <v>12</v>
      </c>
      <c r="D418" s="10">
        <v>5</v>
      </c>
      <c r="E418" s="10">
        <v>1165</v>
      </c>
      <c r="F418" s="10">
        <v>29808466.968180846</v>
      </c>
      <c r="G418" s="10">
        <v>1129</v>
      </c>
      <c r="H418" s="10">
        <v>25</v>
      </c>
      <c r="I418" s="10">
        <v>6</v>
      </c>
      <c r="J418" s="10">
        <v>1155</v>
      </c>
      <c r="K418" s="10">
        <v>29074169.217405729</v>
      </c>
    </row>
    <row r="419" spans="1:11" x14ac:dyDescent="0.35">
      <c r="A419" s="9" t="s">
        <v>486</v>
      </c>
      <c r="B419" s="10">
        <v>1210</v>
      </c>
      <c r="C419" s="10">
        <v>31</v>
      </c>
      <c r="D419" s="10">
        <v>3</v>
      </c>
      <c r="E419" s="10">
        <v>1308</v>
      </c>
      <c r="F419" s="10">
        <v>44811059.794435501</v>
      </c>
      <c r="G419" s="10">
        <v>1203</v>
      </c>
      <c r="H419" s="10">
        <v>11</v>
      </c>
      <c r="I419" s="10">
        <v>2</v>
      </c>
      <c r="J419" s="10">
        <v>1090</v>
      </c>
      <c r="K419" s="10">
        <v>46173541.61372824</v>
      </c>
    </row>
    <row r="420" spans="1:11" x14ac:dyDescent="0.35">
      <c r="A420" s="9" t="s">
        <v>487</v>
      </c>
      <c r="B420" s="10">
        <v>1887</v>
      </c>
      <c r="C420" s="10">
        <v>48</v>
      </c>
      <c r="D420" s="10">
        <v>44</v>
      </c>
      <c r="E420" s="10">
        <v>900</v>
      </c>
      <c r="F420" s="10">
        <v>73855002.923621342</v>
      </c>
      <c r="G420" s="10">
        <v>1867</v>
      </c>
      <c r="H420" s="10">
        <v>10</v>
      </c>
      <c r="I420" s="10">
        <v>39</v>
      </c>
      <c r="J420" s="10">
        <v>1907</v>
      </c>
      <c r="K420" s="10">
        <v>69073452.86521773</v>
      </c>
    </row>
    <row r="421" spans="1:11" x14ac:dyDescent="0.35">
      <c r="A421" s="9" t="s">
        <v>488</v>
      </c>
      <c r="B421" s="10">
        <v>1219</v>
      </c>
      <c r="C421" s="10">
        <v>36</v>
      </c>
      <c r="D421" s="10">
        <v>10</v>
      </c>
      <c r="E421" s="10">
        <v>1822</v>
      </c>
      <c r="F421" s="10">
        <v>35137656.463880129</v>
      </c>
      <c r="G421" s="10">
        <v>1221</v>
      </c>
      <c r="H421" s="10">
        <v>19</v>
      </c>
      <c r="I421" s="10">
        <v>8</v>
      </c>
      <c r="J421" s="10">
        <v>870</v>
      </c>
      <c r="K421" s="10">
        <v>35264704.130674854</v>
      </c>
    </row>
    <row r="422" spans="1:11" x14ac:dyDescent="0.35">
      <c r="A422" s="9" t="s">
        <v>489</v>
      </c>
      <c r="B422" s="10">
        <v>1639</v>
      </c>
      <c r="C422" s="10">
        <v>12</v>
      </c>
      <c r="D422" s="10">
        <v>24</v>
      </c>
      <c r="E422" s="10">
        <v>704</v>
      </c>
      <c r="F422" s="10">
        <v>63166818.658584215</v>
      </c>
      <c r="G422" s="10">
        <v>1601</v>
      </c>
      <c r="H422" s="10">
        <v>4</v>
      </c>
      <c r="I422" s="10">
        <v>20</v>
      </c>
      <c r="J422" s="10">
        <v>1576</v>
      </c>
      <c r="K422" s="10">
        <v>52611678.589830436</v>
      </c>
    </row>
    <row r="423" spans="1:11" x14ac:dyDescent="0.35">
      <c r="A423" s="9" t="s">
        <v>490</v>
      </c>
      <c r="B423" s="10">
        <v>837</v>
      </c>
      <c r="C423" s="10">
        <v>21</v>
      </c>
      <c r="D423" s="10">
        <v>2</v>
      </c>
      <c r="E423" s="10">
        <v>1354</v>
      </c>
      <c r="F423" s="10">
        <v>45979727.377326697</v>
      </c>
      <c r="G423" s="10">
        <v>869</v>
      </c>
      <c r="H423" s="10">
        <v>27</v>
      </c>
      <c r="I423" s="10">
        <v>4</v>
      </c>
      <c r="J423" s="10">
        <v>1687</v>
      </c>
      <c r="K423" s="10">
        <v>55397357.433589801</v>
      </c>
    </row>
    <row r="424" spans="1:11" x14ac:dyDescent="0.35">
      <c r="A424" s="9" t="s">
        <v>491</v>
      </c>
      <c r="B424" s="10">
        <v>986</v>
      </c>
      <c r="C424" s="10">
        <v>9</v>
      </c>
      <c r="D424" s="10">
        <v>3</v>
      </c>
      <c r="E424" s="10">
        <v>1224</v>
      </c>
      <c r="F424" s="10">
        <v>37548431.951059833</v>
      </c>
      <c r="G424" s="10">
        <v>1004</v>
      </c>
      <c r="H424" s="10">
        <v>8</v>
      </c>
      <c r="I424" s="10">
        <v>2</v>
      </c>
      <c r="J424" s="10">
        <v>959</v>
      </c>
      <c r="K424" s="10">
        <v>37513209.061187617</v>
      </c>
    </row>
    <row r="425" spans="1:11" x14ac:dyDescent="0.35">
      <c r="A425" s="9" t="s">
        <v>492</v>
      </c>
      <c r="B425" s="10">
        <v>1381</v>
      </c>
      <c r="C425" s="10">
        <v>2</v>
      </c>
      <c r="D425" s="10">
        <v>28</v>
      </c>
      <c r="E425" s="10">
        <v>2048</v>
      </c>
      <c r="F425" s="10">
        <v>49316620.176988803</v>
      </c>
      <c r="G425" s="10">
        <v>1398</v>
      </c>
      <c r="H425" s="10">
        <v>7</v>
      </c>
      <c r="I425" s="10">
        <v>30</v>
      </c>
      <c r="J425" s="10">
        <v>1667</v>
      </c>
      <c r="K425" s="10">
        <v>57251324.357543416</v>
      </c>
    </row>
    <row r="426" spans="1:11" x14ac:dyDescent="0.35">
      <c r="A426" s="9" t="s">
        <v>493</v>
      </c>
      <c r="B426" s="10"/>
      <c r="C426" s="10"/>
      <c r="D426" s="10"/>
      <c r="E426" s="10"/>
      <c r="F426" s="10"/>
      <c r="G426" s="10"/>
      <c r="H426" s="10"/>
      <c r="I426" s="10"/>
      <c r="J426" s="10"/>
      <c r="K426" s="10"/>
    </row>
    <row r="427" spans="1:11" x14ac:dyDescent="0.35">
      <c r="A427" s="14" t="s">
        <v>156</v>
      </c>
      <c r="B427" s="13">
        <v>512758</v>
      </c>
      <c r="C427" s="13">
        <v>12573</v>
      </c>
      <c r="D427" s="13">
        <v>2164</v>
      </c>
      <c r="E427" s="13">
        <v>452768</v>
      </c>
      <c r="F427" s="13">
        <v>18622244684.903355</v>
      </c>
      <c r="G427" s="13">
        <v>391285</v>
      </c>
      <c r="H427" s="13">
        <v>11312</v>
      </c>
      <c r="I427" s="13">
        <v>1864</v>
      </c>
      <c r="J427" s="13">
        <v>356275</v>
      </c>
      <c r="K427" s="13">
        <v>15072557726.417948</v>
      </c>
    </row>
    <row r="428" spans="1:11" x14ac:dyDescent="0.35">
      <c r="A428" s="9" t="s">
        <v>493</v>
      </c>
      <c r="B428" s="10"/>
      <c r="C428" s="10"/>
      <c r="D428" s="10"/>
      <c r="E428" s="10"/>
      <c r="F428" s="10"/>
      <c r="G428" s="10"/>
      <c r="H428" s="10"/>
      <c r="I428" s="10"/>
      <c r="J428" s="10"/>
      <c r="K428" s="10"/>
    </row>
    <row r="429" spans="1:11" x14ac:dyDescent="0.35">
      <c r="A429" s="14" t="s">
        <v>156</v>
      </c>
      <c r="B429" s="13">
        <v>307283</v>
      </c>
      <c r="C429" s="13">
        <v>8677</v>
      </c>
      <c r="D429" s="13">
        <v>1226</v>
      </c>
      <c r="E429" s="13">
        <v>268338</v>
      </c>
      <c r="F429" s="13">
        <v>13152436343.974794</v>
      </c>
      <c r="G429" s="13">
        <v>303999</v>
      </c>
      <c r="H429" s="13">
        <v>11824</v>
      </c>
      <c r="I429" s="13">
        <v>1208</v>
      </c>
      <c r="J429" s="13">
        <v>267526</v>
      </c>
      <c r="K429" s="13">
        <v>13474719491.392582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2026-10-26T09:44:34Z</dcterms:modified>
</cp:coreProperties>
</file>