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85" i="3" l="1"/>
  <c r="N81" i="3"/>
  <c r="H28" i="3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<sst xmlns="http://schemas.openxmlformats.org/spreadsheetml/2006/main" count="540" uniqueCount="205">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</sst>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workbookViewId="0">
      <pane xSplit="1" ySplit="1" topLeftCell="B68" activePane="bottomRight" state="frozen"/>
      <selection pane="topRight" activeCell="C1" sqref="C1"/>
      <selection pane="bottomLeft" activeCell="A2" sqref="A2"/>
      <selection pane="bottomRight" activeCell="F2" sqref="F2:U85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5418372.904174177</v>
      </c>
      <c r="G2" s="1">
        <f>VLOOKUP(A:A,MASTER!A:K,11,0)</f>
        <v>5707183.2083690893</v>
      </c>
      <c r="H2" s="12">
        <f>IFERROR(G2/F2-1,0)</f>
        <v>5.3302035371618706E-2</v>
      </c>
      <c r="I2" s="2">
        <f>VLOOKUP(A:A,MASTER!A:E,5,0)</f>
        <v>379</v>
      </c>
      <c r="J2" s="2">
        <f>VLOOKUP(A:A,MASTER!A:J,10,0)</f>
        <v>360</v>
      </c>
      <c r="K2" s="12">
        <f>IFERROR(J2/I2-1,0)</f>
        <v>-5.0131926121372072E-2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0</v>
      </c>
      <c r="P2" s="1">
        <f>VLOOKUP(A:A,MASTER!A:H,8,0)</f>
        <v>1</v>
      </c>
      <c r="Q2" s="12">
        <f>IFERROR(P2/O2-1,0)</f>
        <v>0</v>
      </c>
      <c r="R2" s="1">
        <f>VLOOKUP(A:A,MASTER!A:B,2,0)</f>
        <v>410</v>
      </c>
      <c r="S2">
        <f>VLOOKUP(A:A,MASTER!A:G,7,0)</f>
        <v>428</v>
      </c>
      <c r="T2" s="12">
        <f>IFERROR(S2/R2-1,0)</f>
        <v>4.3902439024390283E-2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6655353.8674134156</v>
      </c>
      <c r="G3" s="1">
        <f>VLOOKUP(A:A,MASTER!A:K,11,0)</f>
        <v>5999210.9090096587</v>
      </c>
      <c r="H3" s="12">
        <f t="shared" ref="H3:H66" si="0">IFERROR(G3/F3-1,0)</f>
        <v>-9.8588740955823151E-2</v>
      </c>
      <c r="I3" s="2">
        <f>VLOOKUP(A:A,MASTER!A:E,5,0)</f>
        <v>497</v>
      </c>
      <c r="J3" s="2">
        <f>VLOOKUP(A:A,MASTER!A:J,10,0)</f>
        <v>496</v>
      </c>
      <c r="K3" s="12">
        <f t="shared" ref="K3:K66" si="1">IFERROR(J3/I3-1,0)</f>
        <v>-2.0120724346076591E-3</v>
      </c>
      <c r="L3" s="2">
        <f>VLOOKUP(A:A,MASTER!A:D,4,0)</f>
        <v>2</v>
      </c>
      <c r="M3" s="2">
        <f>VLOOKUP(A:A,MASTER!A:I,9,0)</f>
        <v>3</v>
      </c>
      <c r="N3" s="12">
        <f t="shared" ref="N3:N66" si="2">IFERROR(M3/L3-1,0)</f>
        <v>0.5</v>
      </c>
      <c r="O3" s="1">
        <f>VLOOKUP(A:A,MASTER!A:C,3,0)</f>
        <v>1</v>
      </c>
      <c r="P3" s="1">
        <f>VLOOKUP(A:A,MASTER!A:H,8,0)</f>
        <v>4</v>
      </c>
      <c r="Q3" s="12">
        <f t="shared" ref="Q3:Q66" si="3">IFERROR(P3/O3-1,0)</f>
        <v>3</v>
      </c>
      <c r="R3" s="1">
        <f>VLOOKUP(A:A,MASTER!A:B,2,0)</f>
        <v>641</v>
      </c>
      <c r="S3">
        <f>VLOOKUP(A:A,MASTER!A:G,7,0)</f>
        <v>518</v>
      </c>
      <c r="T3" s="12">
        <f t="shared" ref="T3:T66" si="4">IFERROR(S3/R3-1,0)</f>
        <v>-0.19188767550702024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6616744.8858936504</v>
      </c>
      <c r="G4" s="1">
        <f>VLOOKUP(A:A,MASTER!A:K,11,0)</f>
        <v>9113558.4483174849</v>
      </c>
      <c r="H4" s="12">
        <f t="shared" si="0"/>
        <v>0.37734771484795093</v>
      </c>
      <c r="I4" s="2">
        <f>VLOOKUP(A:A,MASTER!A:E,5,0)</f>
        <v>745</v>
      </c>
      <c r="J4" s="2">
        <f>VLOOKUP(A:A,MASTER!A:J,10,0)</f>
        <v>635</v>
      </c>
      <c r="K4" s="12">
        <f t="shared" si="1"/>
        <v>-0.1476510067114094</v>
      </c>
      <c r="L4" s="2">
        <f>VLOOKUP(A:A,MASTER!A:D,4,0)</f>
        <v>1</v>
      </c>
      <c r="M4" s="2">
        <f>VLOOKUP(A:A,MASTER!A:I,9,0)</f>
        <v>1</v>
      </c>
      <c r="N4" s="12">
        <f t="shared" si="2"/>
        <v>0</v>
      </c>
      <c r="O4" s="1">
        <f>VLOOKUP(A:A,MASTER!A:C,3,0)</f>
        <v>3</v>
      </c>
      <c r="P4" s="1">
        <f>VLOOKUP(A:A,MASTER!A:H,8,0)</f>
        <v>3</v>
      </c>
      <c r="Q4" s="12">
        <f t="shared" si="3"/>
        <v>0</v>
      </c>
      <c r="R4" s="1">
        <f>VLOOKUP(A:A,MASTER!A:B,2,0)</f>
        <v>734</v>
      </c>
      <c r="S4">
        <f>VLOOKUP(A:A,MASTER!A:G,7,0)</f>
        <v>731</v>
      </c>
      <c r="T4" s="12">
        <f t="shared" si="4"/>
        <v>-4.0871934604904681E-3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13918253.055916701</v>
      </c>
      <c r="G5" s="1">
        <f>VLOOKUP(A:A,MASTER!A:K,11,0)</f>
        <v>14881269.329693543</v>
      </c>
      <c r="H5" s="12">
        <f t="shared" si="0"/>
        <v>6.9190886953119479E-2</v>
      </c>
      <c r="I5" s="2">
        <f>VLOOKUP(A:A,MASTER!A:E,5,0)</f>
        <v>998</v>
      </c>
      <c r="J5" s="2">
        <f>VLOOKUP(A:A,MASTER!A:J,10,0)</f>
        <v>988</v>
      </c>
      <c r="K5" s="12">
        <f t="shared" si="1"/>
        <v>-1.0020040080160331E-2</v>
      </c>
      <c r="L5" s="2">
        <f>VLOOKUP(A:A,MASTER!A:D,4,0)</f>
        <v>3</v>
      </c>
      <c r="M5" s="2">
        <f>VLOOKUP(A:A,MASTER!A:I,9,0)</f>
        <v>2</v>
      </c>
      <c r="N5" s="12">
        <f t="shared" si="2"/>
        <v>-0.33333333333333337</v>
      </c>
      <c r="O5" s="1">
        <f>VLOOKUP(A:A,MASTER!A:C,3,0)</f>
        <v>2</v>
      </c>
      <c r="P5" s="1">
        <f>VLOOKUP(A:A,MASTER!A:H,8,0)</f>
        <v>2</v>
      </c>
      <c r="Q5" s="12">
        <f t="shared" si="3"/>
        <v>0</v>
      </c>
      <c r="R5" s="1">
        <f>VLOOKUP(A:A,MASTER!A:B,2,0)</f>
        <v>1207</v>
      </c>
      <c r="S5">
        <f>VLOOKUP(A:A,MASTER!A:G,7,0)</f>
        <v>1004</v>
      </c>
      <c r="T5" s="12">
        <f t="shared" si="4"/>
        <v>-0.16818558409279205</v>
      </c>
      <c r="U5">
        <v>1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5841882.1868238933</v>
      </c>
      <c r="G6" s="1">
        <f>VLOOKUP(A:A,MASTER!A:K,11,0)</f>
        <v>6630997.0932482313</v>
      </c>
      <c r="H6" s="12">
        <f t="shared" si="0"/>
        <v>0.13507888060532136</v>
      </c>
      <c r="I6" s="2">
        <f>VLOOKUP(A:A,MASTER!A:E,5,0)</f>
        <v>419</v>
      </c>
      <c r="J6" s="2">
        <f>VLOOKUP(A:A,MASTER!A:J,10,0)</f>
        <v>353</v>
      </c>
      <c r="K6" s="12">
        <f t="shared" si="1"/>
        <v>-0.15751789976133657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1</v>
      </c>
      <c r="P6" s="1">
        <f>VLOOKUP(A:A,MASTER!A:H,8,0)</f>
        <v>2</v>
      </c>
      <c r="Q6" s="12">
        <f t="shared" si="3"/>
        <v>1</v>
      </c>
      <c r="R6" s="1">
        <f>VLOOKUP(A:A,MASTER!A:B,2,0)</f>
        <v>410</v>
      </c>
      <c r="S6">
        <f>VLOOKUP(A:A,MASTER!A:G,7,0)</f>
        <v>445</v>
      </c>
      <c r="T6" s="12">
        <f t="shared" si="4"/>
        <v>8.5365853658536661E-2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5349337.4154645661</v>
      </c>
      <c r="G7" s="1">
        <f>VLOOKUP(A:A,MASTER!A:K,11,0)</f>
        <v>4066582.3899219278</v>
      </c>
      <c r="H7" s="12">
        <f t="shared" si="0"/>
        <v>-0.23979699277040967</v>
      </c>
      <c r="I7" s="2">
        <f>VLOOKUP(A:A,MASTER!A:E,5,0)</f>
        <v>301</v>
      </c>
      <c r="J7" s="2">
        <f>VLOOKUP(A:A,MASTER!A:J,10,0)</f>
        <v>240</v>
      </c>
      <c r="K7" s="12">
        <f t="shared" si="1"/>
        <v>-0.20265780730897009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2</v>
      </c>
      <c r="P7" s="1">
        <f>VLOOKUP(A:A,MASTER!A:H,8,0)</f>
        <v>0</v>
      </c>
      <c r="Q7" s="12">
        <f t="shared" si="3"/>
        <v>-1</v>
      </c>
      <c r="R7" s="1">
        <f>VLOOKUP(A:A,MASTER!A:B,2,0)</f>
        <v>378</v>
      </c>
      <c r="S7">
        <f>VLOOKUP(A:A,MASTER!A:G,7,0)</f>
        <v>275</v>
      </c>
      <c r="T7" s="12">
        <f t="shared" si="4"/>
        <v>-0.27248677248677244</v>
      </c>
      <c r="U7">
        <v>1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5992655.7814075937</v>
      </c>
      <c r="G8" s="1">
        <f>VLOOKUP(A:A,MASTER!A:K,11,0)</f>
        <v>6423048.4638235439</v>
      </c>
      <c r="H8" s="12">
        <f t="shared" si="0"/>
        <v>7.1820024061995502E-2</v>
      </c>
      <c r="I8" s="2">
        <f>VLOOKUP(A:A,MASTER!A:E,5,0)</f>
        <v>483</v>
      </c>
      <c r="J8" s="2">
        <f>VLOOKUP(A:A,MASTER!A:J,10,0)</f>
        <v>482</v>
      </c>
      <c r="K8" s="12">
        <f t="shared" si="1"/>
        <v>-2.0703933747412417E-3</v>
      </c>
      <c r="L8" s="2">
        <f>VLOOKUP(A:A,MASTER!A:D,4,0)</f>
        <v>5</v>
      </c>
      <c r="M8" s="2">
        <f>VLOOKUP(A:A,MASTER!A:I,9,0)</f>
        <v>0</v>
      </c>
      <c r="N8" s="12">
        <f t="shared" si="2"/>
        <v>-1</v>
      </c>
      <c r="O8" s="1">
        <f>VLOOKUP(A:A,MASTER!A:C,3,0)</f>
        <v>0</v>
      </c>
      <c r="P8" s="1">
        <f>VLOOKUP(A:A,MASTER!A:H,8,0)</f>
        <v>0</v>
      </c>
      <c r="Q8" s="12">
        <f t="shared" si="3"/>
        <v>0</v>
      </c>
      <c r="R8" s="1">
        <f>VLOOKUP(A:A,MASTER!A:B,2,0)</f>
        <v>592</v>
      </c>
      <c r="S8">
        <f>VLOOKUP(A:A,MASTER!A:G,7,0)</f>
        <v>570</v>
      </c>
      <c r="T8" s="12">
        <f t="shared" si="4"/>
        <v>-3.7162162162162171E-2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2745914.61837728</v>
      </c>
      <c r="G9" s="1">
        <f>VLOOKUP(A:A,MASTER!A:K,11,0)</f>
        <v>3025372.7211816409</v>
      </c>
      <c r="H9" s="12">
        <f t="shared" si="0"/>
        <v>0.10177232057182795</v>
      </c>
      <c r="I9" s="2">
        <f>VLOOKUP(A:A,MASTER!A:E,5,0)</f>
        <v>150</v>
      </c>
      <c r="J9" s="2">
        <f>VLOOKUP(A:A,MASTER!A:J,10,0)</f>
        <v>137</v>
      </c>
      <c r="K9" s="12">
        <f t="shared" si="1"/>
        <v>-8.666666666666667E-2</v>
      </c>
      <c r="L9" s="2">
        <f>VLOOKUP(A:A,MASTER!A:D,4,0)</f>
        <v>0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0</v>
      </c>
      <c r="Q9" s="12">
        <f t="shared" si="3"/>
        <v>0</v>
      </c>
      <c r="R9" s="1">
        <f>VLOOKUP(A:A,MASTER!A:B,2,0)</f>
        <v>172</v>
      </c>
      <c r="S9">
        <f>VLOOKUP(A:A,MASTER!A:G,7,0)</f>
        <v>157</v>
      </c>
      <c r="T9" s="12">
        <f t="shared" si="4"/>
        <v>-8.7209302325581439E-2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268469.072030415</v>
      </c>
      <c r="G10" s="1">
        <f>VLOOKUP(A:A,MASTER!A:K,11,0)</f>
        <v>2933312.1845007711</v>
      </c>
      <c r="H10" s="12">
        <f t="shared" si="0"/>
        <v>9.9260711571590434</v>
      </c>
      <c r="I10" s="2">
        <f>VLOOKUP(A:A,MASTER!A:E,5,0)</f>
        <v>14</v>
      </c>
      <c r="J10" s="2">
        <f>VLOOKUP(A:A,MASTER!A:J,10,0)</f>
        <v>170</v>
      </c>
      <c r="K10" s="12">
        <f t="shared" si="1"/>
        <v>11.142857142857142</v>
      </c>
      <c r="L10" s="2">
        <f>VLOOKUP(A:A,MASTER!A:D,4,0)</f>
        <v>1</v>
      </c>
      <c r="M10" s="2">
        <f>VLOOKUP(A:A,MASTER!A:I,9,0)</f>
        <v>1</v>
      </c>
      <c r="N10" s="12">
        <f t="shared" si="2"/>
        <v>0</v>
      </c>
      <c r="O10" s="1">
        <f>VLOOKUP(A:A,MASTER!A:C,3,0)</f>
        <v>0</v>
      </c>
      <c r="P10" s="1">
        <f>VLOOKUP(A:A,MASTER!A:H,8,0)</f>
        <v>0</v>
      </c>
      <c r="Q10" s="12">
        <f t="shared" si="3"/>
        <v>0</v>
      </c>
      <c r="R10" s="1">
        <f>VLOOKUP(A:A,MASTER!A:B,2,0)</f>
        <v>185</v>
      </c>
      <c r="S10">
        <f>VLOOKUP(A:A,MASTER!A:G,7,0)</f>
        <v>229</v>
      </c>
      <c r="T10" s="12">
        <f t="shared" si="4"/>
        <v>0.23783783783783785</v>
      </c>
      <c r="U10">
        <v>0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5951911.0712441681</v>
      </c>
      <c r="G11" s="1">
        <f>VLOOKUP(A:A,MASTER!A:K,11,0)</f>
        <v>4995763.6884726174</v>
      </c>
      <c r="H11" s="12">
        <f t="shared" si="0"/>
        <v>-0.16064544166176209</v>
      </c>
      <c r="I11" s="2">
        <f>VLOOKUP(A:A,MASTER!A:E,5,0)</f>
        <v>542</v>
      </c>
      <c r="J11" s="2">
        <f>VLOOKUP(A:A,MASTER!A:J,10,0)</f>
        <v>354</v>
      </c>
      <c r="K11" s="12">
        <f t="shared" si="1"/>
        <v>-0.34686346863468631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1</v>
      </c>
      <c r="P11" s="1">
        <f>VLOOKUP(A:A,MASTER!A:H,8,0)</f>
        <v>3</v>
      </c>
      <c r="Q11" s="12">
        <f t="shared" si="3"/>
        <v>2</v>
      </c>
      <c r="R11" s="1">
        <f>VLOOKUP(A:A,MASTER!A:B,2,0)</f>
        <v>373</v>
      </c>
      <c r="S11">
        <f>VLOOKUP(A:A,MASTER!A:G,7,0)</f>
        <v>442</v>
      </c>
      <c r="T11" s="12">
        <f t="shared" si="4"/>
        <v>0.18498659517426264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2626858.817443945</v>
      </c>
      <c r="G12" s="1">
        <f>VLOOKUP(A:A,MASTER!A:K,11,0)</f>
        <v>2577970.264665389</v>
      </c>
      <c r="H12" s="12">
        <f t="shared" si="0"/>
        <v>-1.8611031721197269E-2</v>
      </c>
      <c r="I12" s="2">
        <f>VLOOKUP(A:A,MASTER!A:E,5,0)</f>
        <v>578</v>
      </c>
      <c r="J12" s="2">
        <f>VLOOKUP(A:A,MASTER!A:J,10,0)</f>
        <v>219</v>
      </c>
      <c r="K12" s="12">
        <f t="shared" si="1"/>
        <v>-0.62110726643598624</v>
      </c>
      <c r="L12" s="2">
        <f>VLOOKUP(A:A,MASTER!A:D,4,0)</f>
        <v>2</v>
      </c>
      <c r="M12" s="2">
        <f>VLOOKUP(A:A,MASTER!A:I,9,0)</f>
        <v>2</v>
      </c>
      <c r="N12" s="12">
        <f t="shared" si="2"/>
        <v>0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198</v>
      </c>
      <c r="S12">
        <f>VLOOKUP(A:A,MASTER!A:G,7,0)</f>
        <v>207</v>
      </c>
      <c r="T12" s="12">
        <f t="shared" si="4"/>
        <v>4.5454545454545414E-2</v>
      </c>
      <c r="U12">
        <v>2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2936273.7854088028</v>
      </c>
      <c r="G13" s="1">
        <f>VLOOKUP(A:A,MASTER!A:K,11,0)</f>
        <v>2971619.2789878012</v>
      </c>
      <c r="H13" s="12">
        <f t="shared" si="0"/>
        <v>1.2037533337197814E-2</v>
      </c>
      <c r="I13" s="2">
        <f>VLOOKUP(A:A,MASTER!A:E,5,0)</f>
        <v>244</v>
      </c>
      <c r="J13" s="2">
        <f>VLOOKUP(A:A,MASTER!A:J,10,0)</f>
        <v>204</v>
      </c>
      <c r="K13" s="12">
        <f t="shared" si="1"/>
        <v>-0.16393442622950816</v>
      </c>
      <c r="L13" s="2">
        <f>VLOOKUP(A:A,MASTER!A:D,4,0)</f>
        <v>1</v>
      </c>
      <c r="M13" s="2">
        <f>VLOOKUP(A:A,MASTER!A:I,9,0)</f>
        <v>0</v>
      </c>
      <c r="N13" s="12">
        <f t="shared" si="2"/>
        <v>-1</v>
      </c>
      <c r="O13" s="1">
        <f>VLOOKUP(A:A,MASTER!A:C,3,0)</f>
        <v>0</v>
      </c>
      <c r="P13" s="1">
        <f>VLOOKUP(A:A,MASTER!A:H,8,0)</f>
        <v>0</v>
      </c>
      <c r="Q13" s="12">
        <f t="shared" si="3"/>
        <v>0</v>
      </c>
      <c r="R13" s="1">
        <f>VLOOKUP(A:A,MASTER!A:B,2,0)</f>
        <v>241</v>
      </c>
      <c r="S13">
        <f>VLOOKUP(A:A,MASTER!A:G,7,0)</f>
        <v>266</v>
      </c>
      <c r="T13" s="12">
        <f t="shared" si="4"/>
        <v>0.10373443983402497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8715036.5063284654</v>
      </c>
      <c r="G14" s="1">
        <f>VLOOKUP(A:A,MASTER!A:K,11,0)</f>
        <v>16895258.577605799</v>
      </c>
      <c r="H14" s="12">
        <f t="shared" si="0"/>
        <v>0.93863313886720112</v>
      </c>
      <c r="I14" s="2">
        <f>VLOOKUP(A:A,MASTER!A:E,5,0)</f>
        <v>802</v>
      </c>
      <c r="J14" s="2">
        <f>VLOOKUP(A:A,MASTER!A:J,10,0)</f>
        <v>1224</v>
      </c>
      <c r="K14" s="12">
        <f t="shared" si="1"/>
        <v>0.52618453865336656</v>
      </c>
      <c r="L14" s="2">
        <f>VLOOKUP(A:A,MASTER!A:D,4,0)</f>
        <v>3</v>
      </c>
      <c r="M14" s="2">
        <f>VLOOKUP(A:A,MASTER!A:I,9,0)</f>
        <v>5</v>
      </c>
      <c r="N14" s="12">
        <f t="shared" si="2"/>
        <v>0.66666666666666674</v>
      </c>
      <c r="O14" s="1">
        <f>VLOOKUP(A:A,MASTER!A:C,3,0)</f>
        <v>2</v>
      </c>
      <c r="P14" s="1">
        <f>VLOOKUP(A:A,MASTER!A:H,8,0)</f>
        <v>1</v>
      </c>
      <c r="Q14" s="12">
        <f t="shared" si="3"/>
        <v>-0.5</v>
      </c>
      <c r="R14" s="1">
        <f>VLOOKUP(A:A,MASTER!A:B,2,0)</f>
        <v>1427</v>
      </c>
      <c r="S14">
        <f>VLOOKUP(A:A,MASTER!A:G,7,0)</f>
        <v>1349</v>
      </c>
      <c r="T14" s="12">
        <f t="shared" si="4"/>
        <v>-5.4660126138752596E-2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19272587.974640708</v>
      </c>
      <c r="G15" s="1">
        <f>VLOOKUP(A:A,MASTER!A:K,11,0)</f>
        <v>24362280.804234408</v>
      </c>
      <c r="H15" s="12">
        <f t="shared" si="0"/>
        <v>0.26408974426739307</v>
      </c>
      <c r="I15" s="2">
        <f>VLOOKUP(A:A,MASTER!A:E,5,0)</f>
        <v>881</v>
      </c>
      <c r="J15" s="2">
        <f>VLOOKUP(A:A,MASTER!A:J,10,0)</f>
        <v>978</v>
      </c>
      <c r="K15" s="12">
        <f t="shared" si="1"/>
        <v>0.11010215664018164</v>
      </c>
      <c r="L15" s="2">
        <f>VLOOKUP(A:A,MASTER!A:D,4,0)</f>
        <v>4</v>
      </c>
      <c r="M15" s="2">
        <f>VLOOKUP(A:A,MASTER!A:I,9,0)</f>
        <v>2</v>
      </c>
      <c r="N15" s="12">
        <f t="shared" si="2"/>
        <v>-0.5</v>
      </c>
      <c r="O15" s="1">
        <f>VLOOKUP(A:A,MASTER!A:C,3,0)</f>
        <v>1</v>
      </c>
      <c r="P15" s="1">
        <f>VLOOKUP(A:A,MASTER!A:H,8,0)</f>
        <v>0</v>
      </c>
      <c r="Q15" s="12">
        <f t="shared" si="3"/>
        <v>-1</v>
      </c>
      <c r="R15" s="1">
        <f>VLOOKUP(A:A,MASTER!A:B,2,0)</f>
        <v>1240</v>
      </c>
      <c r="S15">
        <f>VLOOKUP(A:A,MASTER!A:G,7,0)</f>
        <v>1179</v>
      </c>
      <c r="T15" s="12">
        <f t="shared" si="4"/>
        <v>-4.9193548387096775E-2</v>
      </c>
      <c r="U15">
        <v>3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11480973.99568239</v>
      </c>
      <c r="G16" s="1">
        <f>VLOOKUP(A:A,MASTER!A:K,11,0)</f>
        <v>11877285.959053067</v>
      </c>
      <c r="H16" s="12">
        <f t="shared" si="0"/>
        <v>3.4519019337533319E-2</v>
      </c>
      <c r="I16" s="2">
        <f>VLOOKUP(A:A,MASTER!A:E,5,0)</f>
        <v>939</v>
      </c>
      <c r="J16" s="2">
        <f>VLOOKUP(A:A,MASTER!A:J,10,0)</f>
        <v>952</v>
      </c>
      <c r="K16" s="12">
        <f t="shared" si="1"/>
        <v>1.3844515441959526E-2</v>
      </c>
      <c r="L16" s="2">
        <f>VLOOKUP(A:A,MASTER!A:D,4,0)</f>
        <v>5</v>
      </c>
      <c r="M16" s="2">
        <f>VLOOKUP(A:A,MASTER!A:I,9,0)</f>
        <v>5</v>
      </c>
      <c r="N16" s="12">
        <f t="shared" si="2"/>
        <v>0</v>
      </c>
      <c r="O16" s="1">
        <f>VLOOKUP(A:A,MASTER!A:C,3,0)</f>
        <v>2</v>
      </c>
      <c r="P16" s="1">
        <f>VLOOKUP(A:A,MASTER!A:H,8,0)</f>
        <v>4</v>
      </c>
      <c r="Q16" s="12">
        <f t="shared" si="3"/>
        <v>1</v>
      </c>
      <c r="R16" s="1">
        <f>VLOOKUP(A:A,MASTER!A:B,2,0)</f>
        <v>1028</v>
      </c>
      <c r="S16">
        <f>VLOOKUP(A:A,MASTER!A:G,7,0)</f>
        <v>1112</v>
      </c>
      <c r="T16" s="12">
        <f t="shared" si="4"/>
        <v>8.171206225680927E-2</v>
      </c>
      <c r="U16">
        <v>3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7650094.5240737759</v>
      </c>
      <c r="G17" s="1">
        <f>VLOOKUP(A:A,MASTER!A:K,11,0)</f>
        <v>11448712.803386508</v>
      </c>
      <c r="H17" s="12">
        <f t="shared" si="0"/>
        <v>0.49654527370335266</v>
      </c>
      <c r="I17" s="2">
        <f>VLOOKUP(A:A,MASTER!A:E,5,0)</f>
        <v>696</v>
      </c>
      <c r="J17" s="2">
        <f>VLOOKUP(A:A,MASTER!A:J,10,0)</f>
        <v>713</v>
      </c>
      <c r="K17" s="12">
        <f t="shared" si="1"/>
        <v>2.4425287356321768E-2</v>
      </c>
      <c r="L17" s="2">
        <f>VLOOKUP(A:A,MASTER!A:D,4,0)</f>
        <v>4</v>
      </c>
      <c r="M17" s="2">
        <f>VLOOKUP(A:A,MASTER!A:I,9,0)</f>
        <v>3</v>
      </c>
      <c r="N17" s="12">
        <f t="shared" si="2"/>
        <v>-0.25</v>
      </c>
      <c r="O17" s="1">
        <f>VLOOKUP(A:A,MASTER!A:C,3,0)</f>
        <v>3</v>
      </c>
      <c r="P17" s="1">
        <f>VLOOKUP(A:A,MASTER!A:H,8,0)</f>
        <v>0</v>
      </c>
      <c r="Q17" s="12">
        <f t="shared" si="3"/>
        <v>-1</v>
      </c>
      <c r="R17" s="1">
        <f>VLOOKUP(A:A,MASTER!A:B,2,0)</f>
        <v>919</v>
      </c>
      <c r="S17">
        <f>VLOOKUP(A:A,MASTER!A:G,7,0)</f>
        <v>806</v>
      </c>
      <c r="T17" s="12">
        <f t="shared" si="4"/>
        <v>-0.12295973884657241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43075370.905603178</v>
      </c>
      <c r="G18" s="1">
        <f>VLOOKUP(A:A,MASTER!A:K,11,0)</f>
        <v>39477145.329366483</v>
      </c>
      <c r="H18" s="12">
        <f t="shared" si="0"/>
        <v>-8.353324650696492E-2</v>
      </c>
      <c r="I18" s="2">
        <f>VLOOKUP(A:A,MASTER!A:E,5,0)</f>
        <v>2890</v>
      </c>
      <c r="J18" s="2">
        <f>VLOOKUP(A:A,MASTER!A:J,10,0)</f>
        <v>3280</v>
      </c>
      <c r="K18" s="12">
        <f t="shared" si="1"/>
        <v>0.13494809688581322</v>
      </c>
      <c r="L18" s="2">
        <f>VLOOKUP(A:A,MASTER!A:D,4,0)</f>
        <v>10</v>
      </c>
      <c r="M18" s="2">
        <f>VLOOKUP(A:A,MASTER!A:I,9,0)</f>
        <v>13</v>
      </c>
      <c r="N18" s="12">
        <f t="shared" si="2"/>
        <v>0.30000000000000004</v>
      </c>
      <c r="O18" s="1">
        <f>VLOOKUP(A:A,MASTER!A:C,3,0)</f>
        <v>167</v>
      </c>
      <c r="P18" s="1">
        <f>VLOOKUP(A:A,MASTER!A:H,8,0)</f>
        <v>18</v>
      </c>
      <c r="Q18" s="12">
        <f t="shared" si="3"/>
        <v>-0.89221556886227549</v>
      </c>
      <c r="R18" s="1">
        <f>VLOOKUP(A:A,MASTER!A:B,2,0)</f>
        <v>2980</v>
      </c>
      <c r="S18">
        <f>VLOOKUP(A:A,MASTER!A:G,7,0)</f>
        <v>3500</v>
      </c>
      <c r="T18" s="12">
        <f t="shared" si="4"/>
        <v>0.17449664429530198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8067116.1734909713</v>
      </c>
      <c r="G19" s="1">
        <f>VLOOKUP(A:A,MASTER!A:K,11,0)</f>
        <v>21227150.504482407</v>
      </c>
      <c r="H19" s="12">
        <f t="shared" si="0"/>
        <v>1.6313183110262002</v>
      </c>
      <c r="I19" s="2">
        <f>VLOOKUP(A:A,MASTER!A:E,5,0)</f>
        <v>11</v>
      </c>
      <c r="J19" s="2">
        <f>VLOOKUP(A:A,MASTER!A:J,10,0)</f>
        <v>1242</v>
      </c>
      <c r="K19" s="12">
        <f t="shared" si="1"/>
        <v>111.90909090909091</v>
      </c>
      <c r="L19" s="2">
        <f>VLOOKUP(A:A,MASTER!A:D,4,0)</f>
        <v>1</v>
      </c>
      <c r="M19" s="2">
        <f>VLOOKUP(A:A,MASTER!A:I,9,0)</f>
        <v>2</v>
      </c>
      <c r="N19" s="12">
        <f t="shared" si="2"/>
        <v>1</v>
      </c>
      <c r="O19" s="1">
        <f>VLOOKUP(A:A,MASTER!A:C,3,0)</f>
        <v>2</v>
      </c>
      <c r="P19" s="1">
        <f>VLOOKUP(A:A,MASTER!A:H,8,0)</f>
        <v>4</v>
      </c>
      <c r="Q19" s="12">
        <f t="shared" si="3"/>
        <v>1</v>
      </c>
      <c r="R19" s="1">
        <f>VLOOKUP(A:A,MASTER!A:B,2,0)</f>
        <v>1375</v>
      </c>
      <c r="S19">
        <f>VLOOKUP(A:A,MASTER!A:G,7,0)</f>
        <v>1324</v>
      </c>
      <c r="T19" s="12">
        <f t="shared" si="4"/>
        <v>-3.7090909090909063E-2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42220482.490884878</v>
      </c>
      <c r="G20" s="1">
        <f>VLOOKUP(A:A,MASTER!A:K,11,0)</f>
        <v>37085599.836164154</v>
      </c>
      <c r="H20" s="12">
        <f t="shared" si="0"/>
        <v>-0.12162065309957815</v>
      </c>
      <c r="I20" s="2">
        <f>VLOOKUP(A:A,MASTER!A:E,5,0)</f>
        <v>2202</v>
      </c>
      <c r="J20" s="2">
        <f>VLOOKUP(A:A,MASTER!A:J,10,0)</f>
        <v>699</v>
      </c>
      <c r="K20" s="12">
        <f t="shared" si="1"/>
        <v>-0.68256130790190728</v>
      </c>
      <c r="L20" s="2">
        <f>VLOOKUP(A:A,MASTER!A:D,4,0)</f>
        <v>10</v>
      </c>
      <c r="M20" s="2">
        <f>VLOOKUP(A:A,MASTER!A:I,9,0)</f>
        <v>9</v>
      </c>
      <c r="N20" s="12">
        <f t="shared" si="2"/>
        <v>-9.9999999999999978E-2</v>
      </c>
      <c r="O20" s="1">
        <f>VLOOKUP(A:A,MASTER!A:C,3,0)</f>
        <v>8</v>
      </c>
      <c r="P20" s="1">
        <f>VLOOKUP(A:A,MASTER!A:H,8,0)</f>
        <v>3</v>
      </c>
      <c r="Q20" s="12">
        <f t="shared" si="3"/>
        <v>-0.625</v>
      </c>
      <c r="R20" s="1">
        <f>VLOOKUP(A:A,MASTER!A:B,2,0)</f>
        <v>2961</v>
      </c>
      <c r="S20">
        <f>VLOOKUP(A:A,MASTER!A:G,7,0)</f>
        <v>1451</v>
      </c>
      <c r="T20" s="12">
        <f t="shared" si="4"/>
        <v>-0.50996285038838229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6417291.9294664236</v>
      </c>
      <c r="G21" s="1">
        <f>VLOOKUP(A:A,MASTER!A:K,11,0)</f>
        <v>5975159.008832966</v>
      </c>
      <c r="H21" s="12">
        <f t="shared" si="0"/>
        <v>-6.8897118207028374E-2</v>
      </c>
      <c r="I21" s="2">
        <f>VLOOKUP(A:A,MASTER!A:E,5,0)</f>
        <v>534</v>
      </c>
      <c r="J21" s="2">
        <f>VLOOKUP(A:A,MASTER!A:J,10,0)</f>
        <v>530</v>
      </c>
      <c r="K21" s="12">
        <f t="shared" si="1"/>
        <v>-7.4906367041198685E-3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4</v>
      </c>
      <c r="P21" s="1">
        <f>VLOOKUP(A:A,MASTER!A:H,8,0)</f>
        <v>2</v>
      </c>
      <c r="Q21" s="12">
        <f t="shared" si="3"/>
        <v>-0.5</v>
      </c>
      <c r="R21" s="1">
        <f>VLOOKUP(A:A,MASTER!A:B,2,0)</f>
        <v>532</v>
      </c>
      <c r="S21">
        <f>VLOOKUP(A:A,MASTER!A:G,7,0)</f>
        <v>570</v>
      </c>
      <c r="T21" s="12">
        <f t="shared" si="4"/>
        <v>7.1428571428571397E-2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17229877.206090581</v>
      </c>
      <c r="G22" s="1">
        <f>VLOOKUP(A:A,MASTER!A:K,11,0)</f>
        <v>15938068.241658008</v>
      </c>
      <c r="H22" s="12">
        <f t="shared" si="0"/>
        <v>-7.4974937370762662E-2</v>
      </c>
      <c r="I22" s="2">
        <f>VLOOKUP(A:A,MASTER!A:E,5,0)</f>
        <v>1282</v>
      </c>
      <c r="J22" s="2">
        <f>VLOOKUP(A:A,MASTER!A:J,10,0)</f>
        <v>1640</v>
      </c>
      <c r="K22" s="12">
        <f t="shared" si="1"/>
        <v>0.27925117004680189</v>
      </c>
      <c r="L22" s="2">
        <f>VLOOKUP(A:A,MASTER!A:D,4,0)</f>
        <v>1</v>
      </c>
      <c r="M22" s="2">
        <f>VLOOKUP(A:A,MASTER!A:I,9,0)</f>
        <v>1</v>
      </c>
      <c r="N22" s="12">
        <f t="shared" si="2"/>
        <v>0</v>
      </c>
      <c r="O22" s="1">
        <f>VLOOKUP(A:A,MASTER!A:C,3,0)</f>
        <v>7</v>
      </c>
      <c r="P22" s="1">
        <f>VLOOKUP(A:A,MASTER!A:H,8,0)</f>
        <v>11</v>
      </c>
      <c r="Q22" s="12">
        <f t="shared" si="3"/>
        <v>0.5714285714285714</v>
      </c>
      <c r="R22" s="1">
        <f>VLOOKUP(A:A,MASTER!A:B,2,0)</f>
        <v>1731</v>
      </c>
      <c r="S22">
        <f>VLOOKUP(A:A,MASTER!A:G,7,0)</f>
        <v>2045</v>
      </c>
      <c r="T22" s="12">
        <f t="shared" si="4"/>
        <v>0.18139803581744651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6993776.1481950805</v>
      </c>
      <c r="G23" s="1">
        <f>VLOOKUP(A:A,MASTER!A:K,11,0)</f>
        <v>6482673.9185763011</v>
      </c>
      <c r="H23" s="12">
        <f t="shared" si="0"/>
        <v>-7.3079580871441285E-2</v>
      </c>
      <c r="I23" s="2">
        <f>VLOOKUP(A:A,MASTER!A:E,5,0)</f>
        <v>792</v>
      </c>
      <c r="J23" s="2">
        <f>VLOOKUP(A:A,MASTER!A:J,10,0)</f>
        <v>708</v>
      </c>
      <c r="K23" s="12">
        <f t="shared" si="1"/>
        <v>-0.10606060606060608</v>
      </c>
      <c r="L23" s="2">
        <f>VLOOKUP(A:A,MASTER!A:D,4,0)</f>
        <v>1</v>
      </c>
      <c r="M23" s="2">
        <f>VLOOKUP(A:A,MASTER!A:I,9,0)</f>
        <v>0</v>
      </c>
      <c r="N23" s="12">
        <f t="shared" si="2"/>
        <v>-1</v>
      </c>
      <c r="O23" s="1">
        <f>VLOOKUP(A:A,MASTER!A:C,3,0)</f>
        <v>7</v>
      </c>
      <c r="P23" s="1">
        <f>VLOOKUP(A:A,MASTER!A:H,8,0)</f>
        <v>3</v>
      </c>
      <c r="Q23" s="12">
        <f t="shared" si="3"/>
        <v>-0.5714285714285714</v>
      </c>
      <c r="R23" s="1">
        <f>VLOOKUP(A:A,MASTER!A:B,2,0)</f>
        <v>886</v>
      </c>
      <c r="S23">
        <f>VLOOKUP(A:A,MASTER!A:G,7,0)</f>
        <v>620</v>
      </c>
      <c r="T23" s="12">
        <f t="shared" si="4"/>
        <v>-0.30022573363431149</v>
      </c>
      <c r="U23">
        <v>0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8948813.0238359943</v>
      </c>
      <c r="G24" s="1">
        <f>VLOOKUP(A:A,MASTER!A:K,11,0)</f>
        <v>8155225.0072039263</v>
      </c>
      <c r="H24" s="12">
        <f t="shared" si="0"/>
        <v>-8.8680813256268975E-2</v>
      </c>
      <c r="I24" s="2">
        <f>VLOOKUP(A:A,MASTER!A:E,5,0)</f>
        <v>731</v>
      </c>
      <c r="J24" s="2">
        <f>VLOOKUP(A:A,MASTER!A:J,10,0)</f>
        <v>641</v>
      </c>
      <c r="K24" s="12">
        <f t="shared" si="1"/>
        <v>-0.12311901504787959</v>
      </c>
      <c r="L24" s="2">
        <f>VLOOKUP(A:A,MASTER!A:D,4,0)</f>
        <v>1</v>
      </c>
      <c r="M24" s="2">
        <f>VLOOKUP(A:A,MASTER!A:I,9,0)</f>
        <v>0</v>
      </c>
      <c r="N24" s="12">
        <f t="shared" si="2"/>
        <v>-1</v>
      </c>
      <c r="O24" s="1">
        <f>VLOOKUP(A:A,MASTER!A:C,3,0)</f>
        <v>4</v>
      </c>
      <c r="P24" s="1">
        <f>VLOOKUP(A:A,MASTER!A:H,8,0)</f>
        <v>1</v>
      </c>
      <c r="Q24" s="12">
        <f t="shared" si="3"/>
        <v>-0.75</v>
      </c>
      <c r="R24" s="1">
        <f>VLOOKUP(A:A,MASTER!A:B,2,0)</f>
        <v>880</v>
      </c>
      <c r="S24">
        <f>VLOOKUP(A:A,MASTER!A:G,7,0)</f>
        <v>590</v>
      </c>
      <c r="T24" s="12">
        <f t="shared" si="4"/>
        <v>-0.32954545454545459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1899025.7596012801</v>
      </c>
      <c r="G25" s="1">
        <f>VLOOKUP(A:A,MASTER!A:K,11,0)</f>
        <v>2094624.724971079</v>
      </c>
      <c r="H25" s="12">
        <f t="shared" si="0"/>
        <v>0.1029996377778819</v>
      </c>
      <c r="I25" s="2">
        <f>VLOOKUP(A:A,MASTER!A:E,5,0)</f>
        <v>2554</v>
      </c>
      <c r="J25" s="2">
        <f>VLOOKUP(A:A,MASTER!A:J,10,0)</f>
        <v>22</v>
      </c>
      <c r="K25" s="12">
        <f t="shared" si="1"/>
        <v>-0.99138606108065774</v>
      </c>
      <c r="L25" s="2">
        <f>VLOOKUP(A:A,MASTER!A:D,4,0)</f>
        <v>3</v>
      </c>
      <c r="M25" s="2">
        <f>VLOOKUP(A:A,MASTER!A:I,9,0)</f>
        <v>0</v>
      </c>
      <c r="N25" s="12">
        <f t="shared" si="2"/>
        <v>-1</v>
      </c>
      <c r="O25" s="1">
        <f>VLOOKUP(A:A,MASTER!A:C,3,0)</f>
        <v>1</v>
      </c>
      <c r="P25" s="1">
        <f>VLOOKUP(A:A,MASTER!A:H,8,0)</f>
        <v>0</v>
      </c>
      <c r="Q25" s="12">
        <f t="shared" si="3"/>
        <v>-1</v>
      </c>
      <c r="R25" s="1">
        <f>VLOOKUP(A:A,MASTER!A:B,2,0)</f>
        <v>232</v>
      </c>
      <c r="S25">
        <f>VLOOKUP(A:A,MASTER!A:G,7,0)</f>
        <v>58</v>
      </c>
      <c r="T25" s="12">
        <f t="shared" si="4"/>
        <v>-0.75</v>
      </c>
      <c r="U25">
        <v>0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16603978.693214213</v>
      </c>
      <c r="G26" s="1">
        <f>VLOOKUP(A:A,MASTER!A:K,11,0)</f>
        <v>17452844.319632899</v>
      </c>
      <c r="H26" s="12">
        <f t="shared" si="0"/>
        <v>5.1124230047681518E-2</v>
      </c>
      <c r="I26" s="2">
        <f>VLOOKUP(A:A,MASTER!A:E,5,0)</f>
        <v>1372</v>
      </c>
      <c r="J26" s="2">
        <f>VLOOKUP(A:A,MASTER!A:J,10,0)</f>
        <v>1639</v>
      </c>
      <c r="K26" s="12">
        <f t="shared" si="1"/>
        <v>0.194606413994169</v>
      </c>
      <c r="L26" s="2">
        <f>VLOOKUP(A:A,MASTER!A:D,4,0)</f>
        <v>6</v>
      </c>
      <c r="M26" s="2">
        <f>VLOOKUP(A:A,MASTER!A:I,9,0)</f>
        <v>6</v>
      </c>
      <c r="N26" s="12">
        <f t="shared" si="2"/>
        <v>0</v>
      </c>
      <c r="O26" s="1">
        <f>VLOOKUP(A:A,MASTER!A:C,3,0)</f>
        <v>9</v>
      </c>
      <c r="P26" s="1">
        <f>VLOOKUP(A:A,MASTER!A:H,8,0)</f>
        <v>2</v>
      </c>
      <c r="Q26" s="12">
        <f t="shared" si="3"/>
        <v>-0.77777777777777779</v>
      </c>
      <c r="R26" s="1">
        <f>VLOOKUP(A:A,MASTER!A:B,2,0)</f>
        <v>1653</v>
      </c>
      <c r="S26">
        <f>VLOOKUP(A:A,MASTER!A:G,7,0)</f>
        <v>2012</v>
      </c>
      <c r="T26" s="12">
        <f t="shared" si="4"/>
        <v>0.21718088324258922</v>
      </c>
      <c r="U26">
        <v>0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12922041.414067835</v>
      </c>
      <c r="G27" s="1">
        <f>VLOOKUP(A:A,MASTER!A:K,11,0)</f>
        <v>14270402.75839052</v>
      </c>
      <c r="H27" s="12">
        <f t="shared" si="0"/>
        <v>0.10434584607156294</v>
      </c>
      <c r="I27" s="2">
        <f>VLOOKUP(A:A,MASTER!A:E,5,0)</f>
        <v>816</v>
      </c>
      <c r="J27" s="2">
        <f>VLOOKUP(A:A,MASTER!A:J,10,0)</f>
        <v>686</v>
      </c>
      <c r="K27" s="12">
        <f t="shared" si="1"/>
        <v>-0.15931372549019607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0</v>
      </c>
      <c r="P27" s="1">
        <f>VLOOKUP(A:A,MASTER!A:H,8,0)</f>
        <v>2</v>
      </c>
      <c r="Q27" s="12">
        <f t="shared" si="3"/>
        <v>0</v>
      </c>
      <c r="R27" s="1">
        <f>VLOOKUP(A:A,MASTER!A:B,2,0)</f>
        <v>874</v>
      </c>
      <c r="S27">
        <f>VLOOKUP(A:A,MASTER!A:G,7,0)</f>
        <v>816</v>
      </c>
      <c r="T27" s="12">
        <f t="shared" si="4"/>
        <v>-6.6361556064073235E-2</v>
      </c>
      <c r="U27">
        <v>0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12603093.7681116</v>
      </c>
      <c r="G28" s="1">
        <f>VLOOKUP(A:A,MASTER!A:K,11,0)</f>
        <v>14117425.032966107</v>
      </c>
      <c r="H28" s="12">
        <f t="shared" si="0"/>
        <v>0.120155518376454</v>
      </c>
      <c r="I28" s="2">
        <f>VLOOKUP(A:A,MASTER!A:E,5,0)</f>
        <v>827</v>
      </c>
      <c r="J28" s="2">
        <f>VLOOKUP(A:A,MASTER!A:J,10,0)</f>
        <v>676</v>
      </c>
      <c r="K28" s="12">
        <f t="shared" si="1"/>
        <v>-0.18258766626360334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1</v>
      </c>
      <c r="P28" s="1">
        <f>VLOOKUP(A:A,MASTER!A:H,8,0)</f>
        <v>1</v>
      </c>
      <c r="Q28" s="12">
        <f t="shared" si="3"/>
        <v>0</v>
      </c>
      <c r="R28" s="1">
        <f>VLOOKUP(A:A,MASTER!A:B,2,0)</f>
        <v>1065</v>
      </c>
      <c r="S28">
        <f>VLOOKUP(A:A,MASTER!A:G,7,0)</f>
        <v>879</v>
      </c>
      <c r="T28" s="12">
        <f t="shared" si="4"/>
        <v>-0.17464788732394365</v>
      </c>
      <c r="U28">
        <v>0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17671287.974608932</v>
      </c>
      <c r="G29" s="1">
        <f>VLOOKUP(A:A,MASTER!A:K,11,0)</f>
        <v>19701935.431696255</v>
      </c>
      <c r="H29" s="12">
        <f t="shared" si="0"/>
        <v>0.1149122497468813</v>
      </c>
      <c r="I29" s="2">
        <f>VLOOKUP(A:A,MASTER!A:E,5,0)</f>
        <v>879</v>
      </c>
      <c r="J29" s="2">
        <f>VLOOKUP(A:A,MASTER!A:J,10,0)</f>
        <v>946</v>
      </c>
      <c r="K29" s="12">
        <f t="shared" si="1"/>
        <v>7.6222980659840678E-2</v>
      </c>
      <c r="L29" s="2">
        <f>VLOOKUP(A:A,MASTER!A:D,4,0)</f>
        <v>2</v>
      </c>
      <c r="M29" s="2">
        <f>VLOOKUP(A:A,MASTER!A:I,9,0)</f>
        <v>3</v>
      </c>
      <c r="N29" s="12">
        <f t="shared" si="2"/>
        <v>0.5</v>
      </c>
      <c r="O29" s="1">
        <f>VLOOKUP(A:A,MASTER!A:C,3,0)</f>
        <v>2</v>
      </c>
      <c r="P29" s="1">
        <f>VLOOKUP(A:A,MASTER!A:H,8,0)</f>
        <v>1</v>
      </c>
      <c r="Q29" s="12">
        <f t="shared" si="3"/>
        <v>-0.5</v>
      </c>
      <c r="R29" s="1">
        <f>VLOOKUP(A:A,MASTER!A:B,2,0)</f>
        <v>1111</v>
      </c>
      <c r="S29">
        <f>VLOOKUP(A:A,MASTER!A:G,7,0)</f>
        <v>1074</v>
      </c>
      <c r="T29" s="12">
        <f t="shared" si="4"/>
        <v>-3.3303330333033343E-2</v>
      </c>
      <c r="U29">
        <v>0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24965113.308334265</v>
      </c>
      <c r="G30" s="1">
        <f>VLOOKUP(A:A,MASTER!A:K,11,0)</f>
        <v>27031660.760153357</v>
      </c>
      <c r="H30" s="12">
        <f t="shared" si="0"/>
        <v>8.27774112737234E-2</v>
      </c>
      <c r="I30" s="2">
        <f>VLOOKUP(A:A,MASTER!A:E,5,0)</f>
        <v>1077</v>
      </c>
      <c r="J30" s="2">
        <f>VLOOKUP(A:A,MASTER!A:J,10,0)</f>
        <v>1225</v>
      </c>
      <c r="K30" s="12">
        <f t="shared" si="1"/>
        <v>0.13741875580315699</v>
      </c>
      <c r="L30" s="2">
        <f>VLOOKUP(A:A,MASTER!A:D,4,0)</f>
        <v>5</v>
      </c>
      <c r="M30" s="2">
        <f>VLOOKUP(A:A,MASTER!A:I,9,0)</f>
        <v>2</v>
      </c>
      <c r="N30" s="12">
        <f t="shared" si="2"/>
        <v>-0.6</v>
      </c>
      <c r="O30" s="1">
        <f>VLOOKUP(A:A,MASTER!A:C,3,0)</f>
        <v>2</v>
      </c>
      <c r="P30" s="1">
        <f>VLOOKUP(A:A,MASTER!A:H,8,0)</f>
        <v>1</v>
      </c>
      <c r="Q30" s="12">
        <f t="shared" si="3"/>
        <v>-0.5</v>
      </c>
      <c r="R30" s="1">
        <f>VLOOKUP(A:A,MASTER!A:B,2,0)</f>
        <v>1472</v>
      </c>
      <c r="S30">
        <f>VLOOKUP(A:A,MASTER!A:G,7,0)</f>
        <v>1341</v>
      </c>
      <c r="T30" s="12">
        <f t="shared" si="4"/>
        <v>-8.8994565217391353E-2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10229028.002307547</v>
      </c>
      <c r="G31" s="1">
        <f>VLOOKUP(A:A,MASTER!A:K,11,0)</f>
        <v>9576794.6715028659</v>
      </c>
      <c r="H31" s="12">
        <f t="shared" si="0"/>
        <v>-6.3762982236195365E-2</v>
      </c>
      <c r="I31" s="2">
        <f>VLOOKUP(A:A,MASTER!A:E,5,0)</f>
        <v>532</v>
      </c>
      <c r="J31" s="2">
        <f>VLOOKUP(A:A,MASTER!A:J,10,0)</f>
        <v>568</v>
      </c>
      <c r="K31" s="12">
        <f t="shared" si="1"/>
        <v>6.7669172932330879E-2</v>
      </c>
      <c r="L31" s="2">
        <f>VLOOKUP(A:A,MASTER!A:D,4,0)</f>
        <v>5</v>
      </c>
      <c r="M31" s="2">
        <f>VLOOKUP(A:A,MASTER!A:I,9,0)</f>
        <v>5</v>
      </c>
      <c r="N31" s="12">
        <f t="shared" si="2"/>
        <v>0</v>
      </c>
      <c r="O31" s="1">
        <f>VLOOKUP(A:A,MASTER!A:C,3,0)</f>
        <v>0</v>
      </c>
      <c r="P31" s="1">
        <f>VLOOKUP(A:A,MASTER!A:H,8,0)</f>
        <v>0</v>
      </c>
      <c r="Q31" s="12">
        <f t="shared" si="3"/>
        <v>0</v>
      </c>
      <c r="R31" s="1">
        <f>VLOOKUP(A:A,MASTER!A:B,2,0)</f>
        <v>680</v>
      </c>
      <c r="S31">
        <f>VLOOKUP(A:A,MASTER!A:G,7,0)</f>
        <v>630</v>
      </c>
      <c r="T31" s="12">
        <f t="shared" si="4"/>
        <v>-7.3529411764705843E-2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31206826.586882722</v>
      </c>
      <c r="G32" s="1">
        <f>VLOOKUP(A:A,MASTER!A:K,11,0)</f>
        <v>16252855.727166254</v>
      </c>
      <c r="H32" s="12">
        <f t="shared" si="0"/>
        <v>-0.47918909082547101</v>
      </c>
      <c r="I32" s="2">
        <f>VLOOKUP(A:A,MASTER!A:E,5,0)</f>
        <v>1550</v>
      </c>
      <c r="J32" s="2">
        <f>VLOOKUP(A:A,MASTER!A:J,10,0)</f>
        <v>1607</v>
      </c>
      <c r="K32" s="12">
        <f t="shared" si="1"/>
        <v>3.677419354838718E-2</v>
      </c>
      <c r="L32" s="2">
        <f>VLOOKUP(A:A,MASTER!A:D,4,0)</f>
        <v>11</v>
      </c>
      <c r="M32" s="2">
        <f>VLOOKUP(A:A,MASTER!A:I,9,0)</f>
        <v>5</v>
      </c>
      <c r="N32" s="12">
        <f t="shared" si="2"/>
        <v>-0.54545454545454541</v>
      </c>
      <c r="O32" s="1">
        <f>VLOOKUP(A:A,MASTER!A:C,3,0)</f>
        <v>4</v>
      </c>
      <c r="P32" s="1">
        <f>VLOOKUP(A:A,MASTER!A:H,8,0)</f>
        <v>2</v>
      </c>
      <c r="Q32" s="12">
        <f t="shared" si="3"/>
        <v>-0.5</v>
      </c>
      <c r="R32" s="1">
        <f>VLOOKUP(A:A,MASTER!A:B,2,0)</f>
        <v>1937</v>
      </c>
      <c r="S32">
        <f>VLOOKUP(A:A,MASTER!A:G,7,0)</f>
        <v>1681</v>
      </c>
      <c r="T32" s="12">
        <f t="shared" si="4"/>
        <v>-0.13216313887454822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10310210.981983429</v>
      </c>
      <c r="G33" s="1">
        <f>VLOOKUP(A:A,MASTER!A:K,11,0)</f>
        <v>11276359.683790486</v>
      </c>
      <c r="H33" s="12">
        <f t="shared" si="0"/>
        <v>9.3707946762229488E-2</v>
      </c>
      <c r="I33" s="2">
        <f>VLOOKUP(A:A,MASTER!A:E,5,0)</f>
        <v>645</v>
      </c>
      <c r="J33" s="2">
        <f>VLOOKUP(A:A,MASTER!A:J,10,0)</f>
        <v>714</v>
      </c>
      <c r="K33" s="12">
        <f t="shared" si="1"/>
        <v>0.10697674418604652</v>
      </c>
      <c r="L33" s="2">
        <f>VLOOKUP(A:A,MASTER!A:D,4,0)</f>
        <v>2</v>
      </c>
      <c r="M33" s="2">
        <f>VLOOKUP(A:A,MASTER!A:I,9,0)</f>
        <v>2</v>
      </c>
      <c r="N33" s="12">
        <f t="shared" si="2"/>
        <v>0</v>
      </c>
      <c r="O33" s="1">
        <f>VLOOKUP(A:A,MASTER!A:C,3,0)</f>
        <v>1</v>
      </c>
      <c r="P33" s="1">
        <f>VLOOKUP(A:A,MASTER!A:H,8,0)</f>
        <v>1</v>
      </c>
      <c r="Q33" s="12">
        <f t="shared" si="3"/>
        <v>0</v>
      </c>
      <c r="R33" s="1">
        <f>VLOOKUP(A:A,MASTER!A:B,2,0)</f>
        <v>843</v>
      </c>
      <c r="S33">
        <f>VLOOKUP(A:A,MASTER!A:G,7,0)</f>
        <v>850</v>
      </c>
      <c r="T33" s="12">
        <f t="shared" si="4"/>
        <v>8.3036773428233346E-3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9956464.4853390045</v>
      </c>
      <c r="G34" s="1">
        <f>VLOOKUP(A:A,MASTER!A:K,11,0)</f>
        <v>9737283.1264209952</v>
      </c>
      <c r="H34" s="12">
        <f t="shared" si="0"/>
        <v>-2.2013974864346308E-2</v>
      </c>
      <c r="I34" s="2">
        <f>VLOOKUP(A:A,MASTER!A:E,5,0)</f>
        <v>525</v>
      </c>
      <c r="J34" s="2">
        <f>VLOOKUP(A:A,MASTER!A:J,10,0)</f>
        <v>590</v>
      </c>
      <c r="K34" s="12">
        <f t="shared" si="1"/>
        <v>0.12380952380952381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0</v>
      </c>
      <c r="P34" s="1">
        <f>VLOOKUP(A:A,MASTER!A:H,8,0)</f>
        <v>1</v>
      </c>
      <c r="Q34" s="12">
        <f t="shared" si="3"/>
        <v>0</v>
      </c>
      <c r="R34" s="1">
        <f>VLOOKUP(A:A,MASTER!A:B,2,0)</f>
        <v>718</v>
      </c>
      <c r="S34">
        <f>VLOOKUP(A:A,MASTER!A:G,7,0)</f>
        <v>763</v>
      </c>
      <c r="T34" s="12">
        <f t="shared" si="4"/>
        <v>6.2674094707520833E-2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15247246.138250489</v>
      </c>
      <c r="G35" s="1">
        <f>VLOOKUP(A:A,MASTER!A:K,11,0)</f>
        <v>17191998.509022333</v>
      </c>
      <c r="H35" s="12">
        <f t="shared" si="0"/>
        <v>0.12754777834228559</v>
      </c>
      <c r="I35" s="2">
        <f>VLOOKUP(A:A,MASTER!A:E,5,0)</f>
        <v>852</v>
      </c>
      <c r="J35" s="2">
        <f>VLOOKUP(A:A,MASTER!A:J,10,0)</f>
        <v>915</v>
      </c>
      <c r="K35" s="12">
        <f t="shared" si="1"/>
        <v>7.3943661971830998E-2</v>
      </c>
      <c r="L35" s="2">
        <f>VLOOKUP(A:A,MASTER!A:D,4,0)</f>
        <v>1</v>
      </c>
      <c r="M35" s="2">
        <f>VLOOKUP(A:A,MASTER!A:I,9,0)</f>
        <v>2</v>
      </c>
      <c r="N35" s="12">
        <f t="shared" si="2"/>
        <v>1</v>
      </c>
      <c r="O35" s="1">
        <f>VLOOKUP(A:A,MASTER!A:C,3,0)</f>
        <v>5</v>
      </c>
      <c r="P35" s="1">
        <f>VLOOKUP(A:A,MASTER!A:H,8,0)</f>
        <v>5</v>
      </c>
      <c r="Q35" s="12">
        <f t="shared" si="3"/>
        <v>0</v>
      </c>
      <c r="R35" s="1">
        <f>VLOOKUP(A:A,MASTER!A:B,2,0)</f>
        <v>1171</v>
      </c>
      <c r="S35">
        <f>VLOOKUP(A:A,MASTER!A:G,7,0)</f>
        <v>1260</v>
      </c>
      <c r="T35" s="12">
        <f t="shared" si="4"/>
        <v>7.6003415883860059E-2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13832437.40682056</v>
      </c>
      <c r="G36" s="1">
        <f>VLOOKUP(A:A,MASTER!A:K,11,0)</f>
        <v>15900795.349667588</v>
      </c>
      <c r="H36" s="12">
        <f t="shared" si="0"/>
        <v>0.14952953568596339</v>
      </c>
      <c r="I36" s="2">
        <f>VLOOKUP(A:A,MASTER!A:E,5,0)</f>
        <v>829</v>
      </c>
      <c r="J36" s="2">
        <f>VLOOKUP(A:A,MASTER!A:J,10,0)</f>
        <v>1055</v>
      </c>
      <c r="K36" s="12">
        <f t="shared" si="1"/>
        <v>0.27261761158021702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120</v>
      </c>
      <c r="P36" s="1">
        <f>VLOOKUP(A:A,MASTER!A:H,8,0)</f>
        <v>177</v>
      </c>
      <c r="Q36" s="12">
        <f t="shared" si="3"/>
        <v>0.47500000000000009</v>
      </c>
      <c r="R36" s="1">
        <f>VLOOKUP(A:A,MASTER!A:B,2,0)</f>
        <v>1390</v>
      </c>
      <c r="S36">
        <f>VLOOKUP(A:A,MASTER!A:G,7,0)</f>
        <v>1362</v>
      </c>
      <c r="T36" s="12">
        <f t="shared" si="4"/>
        <v>-2.0143884892086295E-2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25300829.159792822</v>
      </c>
      <c r="G37" s="1">
        <f>VLOOKUP(A:A,MASTER!A:K,11,0)</f>
        <v>26215309.794850022</v>
      </c>
      <c r="H37" s="12">
        <f t="shared" si="0"/>
        <v>3.6144295085414058E-2</v>
      </c>
      <c r="I37" s="2">
        <f>VLOOKUP(A:A,MASTER!A:E,5,0)</f>
        <v>1498</v>
      </c>
      <c r="J37" s="2">
        <f>VLOOKUP(A:A,MASTER!A:J,10,0)</f>
        <v>1601</v>
      </c>
      <c r="K37" s="12">
        <f t="shared" si="1"/>
        <v>6.8758344459278975E-2</v>
      </c>
      <c r="L37" s="2">
        <f>VLOOKUP(A:A,MASTER!A:D,4,0)</f>
        <v>5</v>
      </c>
      <c r="M37" s="2">
        <f>VLOOKUP(A:A,MASTER!A:I,9,0)</f>
        <v>5</v>
      </c>
      <c r="N37" s="12">
        <f t="shared" si="2"/>
        <v>0</v>
      </c>
      <c r="O37" s="1">
        <f>VLOOKUP(A:A,MASTER!A:C,3,0)</f>
        <v>68</v>
      </c>
      <c r="P37" s="1">
        <f>VLOOKUP(A:A,MASTER!A:H,8,0)</f>
        <v>80</v>
      </c>
      <c r="Q37" s="12">
        <f t="shared" si="3"/>
        <v>0.17647058823529416</v>
      </c>
      <c r="R37" s="1">
        <f>VLOOKUP(A:A,MASTER!A:B,2,0)</f>
        <v>2522</v>
      </c>
      <c r="S37">
        <f>VLOOKUP(A:A,MASTER!A:G,7,0)</f>
        <v>2221</v>
      </c>
      <c r="T37" s="12">
        <f t="shared" si="4"/>
        <v>-0.11934972244250597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9194554.8656169791</v>
      </c>
      <c r="G38" s="1">
        <f>VLOOKUP(A:A,MASTER!A:K,11,0)</f>
        <v>9965659.0383246522</v>
      </c>
      <c r="H38" s="12">
        <f t="shared" si="0"/>
        <v>8.386530767152367E-2</v>
      </c>
      <c r="I38" s="2">
        <f>VLOOKUP(A:A,MASTER!A:E,5,0)</f>
        <v>412</v>
      </c>
      <c r="J38" s="2">
        <f>VLOOKUP(A:A,MASTER!A:J,10,0)</f>
        <v>456</v>
      </c>
      <c r="K38" s="12">
        <f t="shared" si="1"/>
        <v>0.10679611650485432</v>
      </c>
      <c r="L38" s="2">
        <f>VLOOKUP(A:A,MASTER!A:D,4,0)</f>
        <v>6</v>
      </c>
      <c r="M38" s="2">
        <f>VLOOKUP(A:A,MASTER!A:I,9,0)</f>
        <v>7</v>
      </c>
      <c r="N38" s="12">
        <f t="shared" si="2"/>
        <v>0.16666666666666674</v>
      </c>
      <c r="O38" s="1">
        <f>VLOOKUP(A:A,MASTER!A:C,3,0)</f>
        <v>0</v>
      </c>
      <c r="P38" s="1">
        <f>VLOOKUP(A:A,MASTER!A:H,8,0)</f>
        <v>2</v>
      </c>
      <c r="Q38" s="12">
        <f t="shared" si="3"/>
        <v>0</v>
      </c>
      <c r="R38" s="1">
        <f>VLOOKUP(A:A,MASTER!A:B,2,0)</f>
        <v>623</v>
      </c>
      <c r="S38">
        <f>VLOOKUP(A:A,MASTER!A:G,7,0)</f>
        <v>544</v>
      </c>
      <c r="T38" s="12">
        <f t="shared" si="4"/>
        <v>-0.12680577849117169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31018506.036188904</v>
      </c>
      <c r="G39" s="1">
        <f>VLOOKUP(A:A,MASTER!A:K,11,0)</f>
        <v>30049053.788881384</v>
      </c>
      <c r="H39" s="12">
        <f t="shared" si="0"/>
        <v>-3.1253995475361451E-2</v>
      </c>
      <c r="I39" s="2">
        <f>VLOOKUP(A:A,MASTER!A:E,5,0)</f>
        <v>1826</v>
      </c>
      <c r="J39" s="2">
        <f>VLOOKUP(A:A,MASTER!A:J,10,0)</f>
        <v>2093</v>
      </c>
      <c r="K39" s="12">
        <f t="shared" si="1"/>
        <v>0.14622124863088715</v>
      </c>
      <c r="L39" s="2">
        <f>VLOOKUP(A:A,MASTER!A:D,4,0)</f>
        <v>6</v>
      </c>
      <c r="M39" s="2">
        <f>VLOOKUP(A:A,MASTER!A:I,9,0)</f>
        <v>5</v>
      </c>
      <c r="N39" s="12">
        <f t="shared" si="2"/>
        <v>-0.16666666666666663</v>
      </c>
      <c r="O39" s="1">
        <f>VLOOKUP(A:A,MASTER!A:C,3,0)</f>
        <v>2</v>
      </c>
      <c r="P39" s="1">
        <f>VLOOKUP(A:A,MASTER!A:H,8,0)</f>
        <v>4</v>
      </c>
      <c r="Q39" s="12">
        <f t="shared" si="3"/>
        <v>1</v>
      </c>
      <c r="R39" s="1">
        <f>VLOOKUP(A:A,MASTER!A:B,2,0)</f>
        <v>2057</v>
      </c>
      <c r="S39">
        <f>VLOOKUP(A:A,MASTER!A:G,7,0)</f>
        <v>2274</v>
      </c>
      <c r="T39" s="12">
        <f t="shared" si="4"/>
        <v>0.10549343704423908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19833459.550569326</v>
      </c>
      <c r="G40" s="1">
        <f>VLOOKUP(A:A,MASTER!A:K,11,0)</f>
        <v>23691300.580843072</v>
      </c>
      <c r="H40" s="12">
        <f t="shared" si="0"/>
        <v>0.19451175527080489</v>
      </c>
      <c r="I40" s="2">
        <f>VLOOKUP(A:A,MASTER!A:E,5,0)</f>
        <v>753</v>
      </c>
      <c r="J40" s="2">
        <f>VLOOKUP(A:A,MASTER!A:J,10,0)</f>
        <v>913</v>
      </c>
      <c r="K40" s="12">
        <f t="shared" si="1"/>
        <v>0.21248339973439578</v>
      </c>
      <c r="L40" s="2">
        <f>VLOOKUP(A:A,MASTER!A:D,4,0)</f>
        <v>2</v>
      </c>
      <c r="M40" s="2">
        <f>VLOOKUP(A:A,MASTER!A:I,9,0)</f>
        <v>5</v>
      </c>
      <c r="N40" s="12">
        <f t="shared" si="2"/>
        <v>1.5</v>
      </c>
      <c r="O40" s="1">
        <f>VLOOKUP(A:A,MASTER!A:C,3,0)</f>
        <v>2</v>
      </c>
      <c r="P40" s="1">
        <f>VLOOKUP(A:A,MASTER!A:H,8,0)</f>
        <v>3</v>
      </c>
      <c r="Q40" s="12">
        <f t="shared" si="3"/>
        <v>0.5</v>
      </c>
      <c r="R40" s="1">
        <f>VLOOKUP(A:A,MASTER!A:B,2,0)</f>
        <v>896</v>
      </c>
      <c r="S40">
        <f>VLOOKUP(A:A,MASTER!A:G,7,0)</f>
        <v>1083</v>
      </c>
      <c r="T40" s="12">
        <f t="shared" si="4"/>
        <v>0.20870535714285721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8545896.9176560733</v>
      </c>
      <c r="G41" s="1">
        <f>VLOOKUP(A:A,MASTER!A:K,11,0)</f>
        <v>16991920.997420244</v>
      </c>
      <c r="H41" s="12">
        <f t="shared" si="0"/>
        <v>0.98831335799457598</v>
      </c>
      <c r="I41" s="2">
        <f>VLOOKUP(A:A,MASTER!A:E,5,0)</f>
        <v>918</v>
      </c>
      <c r="J41" s="2">
        <f>VLOOKUP(A:A,MASTER!A:J,10,0)</f>
        <v>998</v>
      </c>
      <c r="K41" s="12">
        <f t="shared" si="1"/>
        <v>8.7145969498910736E-2</v>
      </c>
      <c r="L41" s="2">
        <f>VLOOKUP(A:A,MASTER!A:D,4,0)</f>
        <v>3</v>
      </c>
      <c r="M41" s="2">
        <f>VLOOKUP(A:A,MASTER!A:I,9,0)</f>
        <v>3</v>
      </c>
      <c r="N41" s="12">
        <f t="shared" si="2"/>
        <v>0</v>
      </c>
      <c r="O41" s="1">
        <f>VLOOKUP(A:A,MASTER!A:C,3,0)</f>
        <v>0</v>
      </c>
      <c r="P41" s="1">
        <f>VLOOKUP(A:A,MASTER!A:H,8,0)</f>
        <v>4</v>
      </c>
      <c r="Q41" s="12">
        <f t="shared" si="3"/>
        <v>0</v>
      </c>
      <c r="R41" s="1">
        <f>VLOOKUP(A:A,MASTER!A:B,2,0)</f>
        <v>1087</v>
      </c>
      <c r="S41">
        <f>VLOOKUP(A:A,MASTER!A:G,7,0)</f>
        <v>1090</v>
      </c>
      <c r="T41" s="12">
        <f t="shared" si="4"/>
        <v>2.7598896044158661E-3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15666024.006812785</v>
      </c>
      <c r="G42" s="1">
        <f>VLOOKUP(A:A,MASTER!A:K,11,0)</f>
        <v>16526603.0728299</v>
      </c>
      <c r="H42" s="12">
        <f t="shared" si="0"/>
        <v>5.4932832072954074E-2</v>
      </c>
      <c r="I42" s="2">
        <f>VLOOKUP(A:A,MASTER!A:E,5,0)</f>
        <v>597</v>
      </c>
      <c r="J42" s="2">
        <f>VLOOKUP(A:A,MASTER!A:J,10,0)</f>
        <v>773</v>
      </c>
      <c r="K42" s="12">
        <f t="shared" si="1"/>
        <v>0.29480737018425462</v>
      </c>
      <c r="L42" s="2">
        <f>VLOOKUP(A:A,MASTER!A:D,4,0)</f>
        <v>4</v>
      </c>
      <c r="M42" s="2">
        <f>VLOOKUP(A:A,MASTER!A:I,9,0)</f>
        <v>4</v>
      </c>
      <c r="N42" s="12">
        <f t="shared" si="2"/>
        <v>0</v>
      </c>
      <c r="O42" s="1">
        <f>VLOOKUP(A:A,MASTER!A:C,3,0)</f>
        <v>1</v>
      </c>
      <c r="P42" s="1">
        <f>VLOOKUP(A:A,MASTER!A:H,8,0)</f>
        <v>2</v>
      </c>
      <c r="Q42" s="12">
        <f t="shared" si="3"/>
        <v>1</v>
      </c>
      <c r="R42" s="1">
        <f>VLOOKUP(A:A,MASTER!A:B,2,0)</f>
        <v>819</v>
      </c>
      <c r="S42">
        <f>VLOOKUP(A:A,MASTER!A:G,7,0)</f>
        <v>797</v>
      </c>
      <c r="T42" s="12">
        <f t="shared" si="4"/>
        <v>-2.6862026862026878E-2</v>
      </c>
      <c r="U42">
        <v>1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10003202.396590305</v>
      </c>
      <c r="G43" s="1">
        <f>VLOOKUP(A:A,MASTER!A:K,11,0)</f>
        <v>10066198.786939792</v>
      </c>
      <c r="H43" s="12">
        <f t="shared" si="0"/>
        <v>6.2976222865349651E-3</v>
      </c>
      <c r="I43" s="2">
        <f>VLOOKUP(A:A,MASTER!A:E,5,0)</f>
        <v>715</v>
      </c>
      <c r="J43" s="2">
        <f>VLOOKUP(A:A,MASTER!A:J,10,0)</f>
        <v>563</v>
      </c>
      <c r="K43" s="12">
        <f t="shared" si="1"/>
        <v>-0.21258741258741254</v>
      </c>
      <c r="L43" s="2">
        <f>VLOOKUP(A:A,MASTER!A:D,4,0)</f>
        <v>10</v>
      </c>
      <c r="M43" s="2">
        <f>VLOOKUP(A:A,MASTER!A:I,9,0)</f>
        <v>9</v>
      </c>
      <c r="N43" s="12">
        <f t="shared" si="2"/>
        <v>-9.9999999999999978E-2</v>
      </c>
      <c r="O43" s="1">
        <f>VLOOKUP(A:A,MASTER!A:C,3,0)</f>
        <v>1</v>
      </c>
      <c r="P43" s="1">
        <f>VLOOKUP(A:A,MASTER!A:H,8,0)</f>
        <v>0</v>
      </c>
      <c r="Q43" s="12">
        <f t="shared" si="3"/>
        <v>-1</v>
      </c>
      <c r="R43" s="1">
        <f>VLOOKUP(A:A,MASTER!A:B,2,0)</f>
        <v>687</v>
      </c>
      <c r="S43">
        <f>VLOOKUP(A:A,MASTER!A:G,7,0)</f>
        <v>696</v>
      </c>
      <c r="T43" s="12">
        <f t="shared" si="4"/>
        <v>1.3100436681222627E-2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8613886.9165454302</v>
      </c>
      <c r="G44" s="1">
        <f>VLOOKUP(A:A,MASTER!A:K,11,0)</f>
        <v>9221514.3309608009</v>
      </c>
      <c r="H44" s="12">
        <f t="shared" si="0"/>
        <v>7.0540444784368939E-2</v>
      </c>
      <c r="I44" s="2">
        <f>VLOOKUP(A:A,MASTER!A:E,5,0)</f>
        <v>696</v>
      </c>
      <c r="J44" s="2">
        <f>VLOOKUP(A:A,MASTER!A:J,10,0)</f>
        <v>776</v>
      </c>
      <c r="K44" s="12">
        <f t="shared" si="1"/>
        <v>0.11494252873563227</v>
      </c>
      <c r="L44" s="2">
        <f>VLOOKUP(A:A,MASTER!A:D,4,0)</f>
        <v>3</v>
      </c>
      <c r="M44" s="2">
        <f>VLOOKUP(A:A,MASTER!A:I,9,0)</f>
        <v>1</v>
      </c>
      <c r="N44" s="12">
        <f t="shared" si="2"/>
        <v>-0.66666666666666674</v>
      </c>
      <c r="O44" s="1">
        <f>VLOOKUP(A:A,MASTER!A:C,3,0)</f>
        <v>0</v>
      </c>
      <c r="P44" s="1">
        <f>VLOOKUP(A:A,MASTER!A:H,8,0)</f>
        <v>0</v>
      </c>
      <c r="Q44" s="12">
        <f t="shared" si="3"/>
        <v>0</v>
      </c>
      <c r="R44" s="1">
        <f>VLOOKUP(A:A,MASTER!A:B,2,0)</f>
        <v>687</v>
      </c>
      <c r="S44">
        <f>VLOOKUP(A:A,MASTER!A:G,7,0)</f>
        <v>794</v>
      </c>
      <c r="T44" s="12">
        <f t="shared" si="4"/>
        <v>0.15574963609898118</v>
      </c>
      <c r="U44">
        <v>2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27467989.972329855</v>
      </c>
      <c r="G45" s="1">
        <f>VLOOKUP(A:A,MASTER!A:K,11,0)</f>
        <v>31217528.946480155</v>
      </c>
      <c r="H45" s="12">
        <f t="shared" si="0"/>
        <v>0.13650576463466879</v>
      </c>
      <c r="I45" s="2">
        <f>VLOOKUP(A:A,MASTER!A:E,5,0)</f>
        <v>1154</v>
      </c>
      <c r="J45" s="2">
        <f>VLOOKUP(A:A,MASTER!A:J,10,0)</f>
        <v>1171</v>
      </c>
      <c r="K45" s="12">
        <f t="shared" si="1"/>
        <v>1.4731369150779994E-2</v>
      </c>
      <c r="L45" s="2">
        <f>VLOOKUP(A:A,MASTER!A:D,4,0)</f>
        <v>4</v>
      </c>
      <c r="M45" s="2">
        <f>VLOOKUP(A:A,MASTER!A:I,9,0)</f>
        <v>7</v>
      </c>
      <c r="N45" s="12">
        <f t="shared" si="2"/>
        <v>0.75</v>
      </c>
      <c r="O45" s="1">
        <f>VLOOKUP(A:A,MASTER!A:C,3,0)</f>
        <v>0</v>
      </c>
      <c r="P45" s="1">
        <f>VLOOKUP(A:A,MASTER!A:H,8,0)</f>
        <v>1</v>
      </c>
      <c r="Q45" s="12">
        <f t="shared" si="3"/>
        <v>0</v>
      </c>
      <c r="R45" s="1">
        <f>VLOOKUP(A:A,MASTER!A:B,2,0)</f>
        <v>1242</v>
      </c>
      <c r="S45">
        <f>VLOOKUP(A:A,MASTER!A:G,7,0)</f>
        <v>1259</v>
      </c>
      <c r="T45" s="12">
        <f t="shared" si="4"/>
        <v>1.3687600644122444E-2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13256658.952334763</v>
      </c>
      <c r="G46" s="1">
        <f>VLOOKUP(A:A,MASTER!A:K,11,0)</f>
        <v>13339622.8011395</v>
      </c>
      <c r="H46" s="12">
        <f t="shared" si="0"/>
        <v>6.2582773761503674E-3</v>
      </c>
      <c r="I46" s="2">
        <f>VLOOKUP(A:A,MASTER!A:E,5,0)</f>
        <v>887</v>
      </c>
      <c r="J46" s="2">
        <f>VLOOKUP(A:A,MASTER!A:J,10,0)</f>
        <v>914</v>
      </c>
      <c r="K46" s="12">
        <f t="shared" si="1"/>
        <v>3.0439684329199634E-2</v>
      </c>
      <c r="L46" s="2">
        <f>VLOOKUP(A:A,MASTER!A:D,4,0)</f>
        <v>5</v>
      </c>
      <c r="M46" s="2">
        <f>VLOOKUP(A:A,MASTER!A:I,9,0)</f>
        <v>4</v>
      </c>
      <c r="N46" s="12">
        <f t="shared" si="2"/>
        <v>-0.19999999999999996</v>
      </c>
      <c r="O46" s="1">
        <f>VLOOKUP(A:A,MASTER!A:C,3,0)</f>
        <v>2</v>
      </c>
      <c r="P46" s="1">
        <f>VLOOKUP(A:A,MASTER!A:H,8,0)</f>
        <v>1</v>
      </c>
      <c r="Q46" s="12">
        <f t="shared" si="3"/>
        <v>-0.5</v>
      </c>
      <c r="R46" s="1">
        <f>VLOOKUP(A:A,MASTER!A:B,2,0)</f>
        <v>917</v>
      </c>
      <c r="S46">
        <f>VLOOKUP(A:A,MASTER!A:G,7,0)</f>
        <v>921</v>
      </c>
      <c r="T46" s="12">
        <f t="shared" si="4"/>
        <v>4.362050163576825E-3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23400952.014443234</v>
      </c>
      <c r="G47" s="1">
        <f>VLOOKUP(A:A,MASTER!A:K,11,0)</f>
        <v>23990980.627384808</v>
      </c>
      <c r="H47" s="12">
        <f t="shared" si="0"/>
        <v>2.5213872178251773E-2</v>
      </c>
      <c r="I47" s="2">
        <f>VLOOKUP(A:A,MASTER!A:E,5,0)</f>
        <v>958</v>
      </c>
      <c r="J47" s="2">
        <f>VLOOKUP(A:A,MASTER!A:J,10,0)</f>
        <v>1024</v>
      </c>
      <c r="K47" s="12">
        <f t="shared" si="1"/>
        <v>6.8893528183715969E-2</v>
      </c>
      <c r="L47" s="2">
        <f>VLOOKUP(A:A,MASTER!A:D,4,0)</f>
        <v>12</v>
      </c>
      <c r="M47" s="2">
        <f>VLOOKUP(A:A,MASTER!A:I,9,0)</f>
        <v>12</v>
      </c>
      <c r="N47" s="12">
        <f t="shared" si="2"/>
        <v>0</v>
      </c>
      <c r="O47" s="1">
        <f>VLOOKUP(A:A,MASTER!A:C,3,0)</f>
        <v>3</v>
      </c>
      <c r="P47" s="1">
        <f>VLOOKUP(A:A,MASTER!A:H,8,0)</f>
        <v>1</v>
      </c>
      <c r="Q47" s="12">
        <f t="shared" si="3"/>
        <v>-0.66666666666666674</v>
      </c>
      <c r="R47" s="1">
        <f>VLOOKUP(A:A,MASTER!A:B,2,0)</f>
        <v>1362</v>
      </c>
      <c r="S47">
        <f>VLOOKUP(A:A,MASTER!A:G,7,0)</f>
        <v>1436</v>
      </c>
      <c r="T47" s="12">
        <f t="shared" si="4"/>
        <v>5.4331864904552107E-2</v>
      </c>
      <c r="U47">
        <v>5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12219412.446949225</v>
      </c>
      <c r="G48" s="1">
        <f>VLOOKUP(A:A,MASTER!A:K,11,0)</f>
        <v>11004187.151641443</v>
      </c>
      <c r="H48" s="12">
        <f t="shared" si="0"/>
        <v>-9.9450386881014263E-2</v>
      </c>
      <c r="I48" s="2">
        <f>VLOOKUP(A:A,MASTER!A:E,5,0)</f>
        <v>371</v>
      </c>
      <c r="J48" s="2">
        <f>VLOOKUP(A:A,MASTER!A:J,10,0)</f>
        <v>389</v>
      </c>
      <c r="K48" s="12">
        <f t="shared" si="1"/>
        <v>4.8517520215633381E-2</v>
      </c>
      <c r="L48" s="2">
        <f>VLOOKUP(A:A,MASTER!A:D,4,0)</f>
        <v>6</v>
      </c>
      <c r="M48" s="2">
        <f>VLOOKUP(A:A,MASTER!A:I,9,0)</f>
        <v>7</v>
      </c>
      <c r="N48" s="12">
        <f t="shared" si="2"/>
        <v>0.16666666666666674</v>
      </c>
      <c r="O48" s="1">
        <f>VLOOKUP(A:A,MASTER!A:C,3,0)</f>
        <v>0</v>
      </c>
      <c r="P48" s="1">
        <f>VLOOKUP(A:A,MASTER!A:H,8,0)</f>
        <v>2</v>
      </c>
      <c r="Q48" s="12">
        <f t="shared" si="3"/>
        <v>0</v>
      </c>
      <c r="R48" s="1">
        <f>VLOOKUP(A:A,MASTER!A:B,2,0)</f>
        <v>481</v>
      </c>
      <c r="S48">
        <f>VLOOKUP(A:A,MASTER!A:G,7,0)</f>
        <v>447</v>
      </c>
      <c r="T48" s="12">
        <f t="shared" si="4"/>
        <v>-7.068607068607069E-2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8997039.3982190322</v>
      </c>
      <c r="G49" s="1">
        <f>VLOOKUP(A:A,MASTER!A:K,11,0)</f>
        <v>9558062.0964509044</v>
      </c>
      <c r="H49" s="12">
        <f t="shared" si="0"/>
        <v>6.2356367845063154E-2</v>
      </c>
      <c r="I49" s="2">
        <f>VLOOKUP(A:A,MASTER!A:E,5,0)</f>
        <v>299</v>
      </c>
      <c r="J49" s="2">
        <f>VLOOKUP(A:A,MASTER!A:J,10,0)</f>
        <v>421</v>
      </c>
      <c r="K49" s="12">
        <f t="shared" si="1"/>
        <v>0.40802675585284276</v>
      </c>
      <c r="L49" s="2">
        <f>VLOOKUP(A:A,MASTER!A:D,4,0)</f>
        <v>4</v>
      </c>
      <c r="M49" s="2">
        <f>VLOOKUP(A:A,MASTER!A:I,9,0)</f>
        <v>3</v>
      </c>
      <c r="N49" s="12">
        <f t="shared" si="2"/>
        <v>-0.25</v>
      </c>
      <c r="O49" s="1">
        <f>VLOOKUP(A:A,MASTER!A:C,3,0)</f>
        <v>0</v>
      </c>
      <c r="P49" s="1">
        <f>VLOOKUP(A:A,MASTER!A:H,8,0)</f>
        <v>1</v>
      </c>
      <c r="Q49" s="12">
        <f t="shared" si="3"/>
        <v>0</v>
      </c>
      <c r="R49" s="1">
        <f>VLOOKUP(A:A,MASTER!A:B,2,0)</f>
        <v>455</v>
      </c>
      <c r="S49">
        <f>VLOOKUP(A:A,MASTER!A:G,7,0)</f>
        <v>509</v>
      </c>
      <c r="T49" s="12">
        <f t="shared" si="4"/>
        <v>0.1186813186813187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7677511.581466835</v>
      </c>
      <c r="G50" s="1">
        <f>VLOOKUP(A:A,MASTER!A:K,11,0)</f>
        <v>4964107.3769024704</v>
      </c>
      <c r="H50" s="12">
        <f t="shared" si="0"/>
        <v>-0.35342235251255094</v>
      </c>
      <c r="I50" s="2">
        <f>VLOOKUP(A:A,MASTER!A:E,5,0)</f>
        <v>346</v>
      </c>
      <c r="J50" s="2">
        <f>VLOOKUP(A:A,MASTER!A:J,10,0)</f>
        <v>5</v>
      </c>
      <c r="K50" s="12">
        <f t="shared" si="1"/>
        <v>-0.98554913294797686</v>
      </c>
      <c r="L50" s="2">
        <f>VLOOKUP(A:A,MASTER!A:D,4,0)</f>
        <v>3</v>
      </c>
      <c r="M50" s="2">
        <f>VLOOKUP(A:A,MASTER!A:I,9,0)</f>
        <v>2</v>
      </c>
      <c r="N50" s="12">
        <f t="shared" si="2"/>
        <v>-0.33333333333333337</v>
      </c>
      <c r="O50" s="1">
        <f>VLOOKUP(A:A,MASTER!A:C,3,0)</f>
        <v>1</v>
      </c>
      <c r="P50" s="1">
        <f>VLOOKUP(A:A,MASTER!A:H,8,0)</f>
        <v>0</v>
      </c>
      <c r="Q50" s="12">
        <f t="shared" si="3"/>
        <v>-1</v>
      </c>
      <c r="R50" s="1">
        <f>VLOOKUP(A:A,MASTER!A:B,2,0)</f>
        <v>427</v>
      </c>
      <c r="S50">
        <f>VLOOKUP(A:A,MASTER!A:G,7,0)</f>
        <v>70</v>
      </c>
      <c r="T50" s="12">
        <f t="shared" si="4"/>
        <v>-0.83606557377049184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18279450.531463213</v>
      </c>
      <c r="G51" s="1">
        <f>VLOOKUP(A:A,MASTER!A:K,11,0)</f>
        <v>19525864.837432574</v>
      </c>
      <c r="H51" s="12">
        <f t="shared" si="0"/>
        <v>6.8186639627049628E-2</v>
      </c>
      <c r="I51" s="2">
        <f>VLOOKUP(A:A,MASTER!A:E,5,0)</f>
        <v>921</v>
      </c>
      <c r="J51" s="2">
        <f>VLOOKUP(A:A,MASTER!A:J,10,0)</f>
        <v>969</v>
      </c>
      <c r="K51" s="12">
        <f t="shared" si="1"/>
        <v>5.2117263843648232E-2</v>
      </c>
      <c r="L51" s="2">
        <f>VLOOKUP(A:A,MASTER!A:D,4,0)</f>
        <v>0</v>
      </c>
      <c r="M51" s="2">
        <f>VLOOKUP(A:A,MASTER!A:I,9,0)</f>
        <v>0</v>
      </c>
      <c r="N51" s="12">
        <f t="shared" si="2"/>
        <v>0</v>
      </c>
      <c r="O51" s="1">
        <f>VLOOKUP(A:A,MASTER!A:C,3,0)</f>
        <v>0</v>
      </c>
      <c r="P51" s="1">
        <f>VLOOKUP(A:A,MASTER!A:H,8,0)</f>
        <v>2</v>
      </c>
      <c r="Q51" s="12">
        <f t="shared" si="3"/>
        <v>0</v>
      </c>
      <c r="R51" s="1">
        <f>VLOOKUP(A:A,MASTER!A:B,2,0)</f>
        <v>1100</v>
      </c>
      <c r="S51">
        <f>VLOOKUP(A:A,MASTER!A:G,7,0)</f>
        <v>1015</v>
      </c>
      <c r="T51" s="12">
        <f t="shared" si="4"/>
        <v>-7.7272727272727271E-2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15391228.564374693</v>
      </c>
      <c r="G52" s="1">
        <f>VLOOKUP(A:A,MASTER!A:K,11,0)</f>
        <v>19630506.030512787</v>
      </c>
      <c r="H52" s="12">
        <f t="shared" si="0"/>
        <v>0.27543463787878109</v>
      </c>
      <c r="I52" s="2">
        <f>VLOOKUP(A:A,MASTER!A:E,5,0)</f>
        <v>976</v>
      </c>
      <c r="J52" s="2">
        <f>VLOOKUP(A:A,MASTER!A:J,10,0)</f>
        <v>870</v>
      </c>
      <c r="K52" s="12">
        <f t="shared" si="1"/>
        <v>-0.10860655737704916</v>
      </c>
      <c r="L52" s="2">
        <f>VLOOKUP(A:A,MASTER!A:D,4,0)</f>
        <v>1</v>
      </c>
      <c r="M52" s="2">
        <f>VLOOKUP(A:A,MASTER!A:I,9,0)</f>
        <v>2</v>
      </c>
      <c r="N52" s="12">
        <f t="shared" si="2"/>
        <v>1</v>
      </c>
      <c r="O52" s="1">
        <f>VLOOKUP(A:A,MASTER!A:C,3,0)</f>
        <v>1</v>
      </c>
      <c r="P52" s="1">
        <f>VLOOKUP(A:A,MASTER!A:H,8,0)</f>
        <v>4</v>
      </c>
      <c r="Q52" s="12">
        <f t="shared" si="3"/>
        <v>3</v>
      </c>
      <c r="R52" s="1">
        <f>VLOOKUP(A:A,MASTER!A:B,2,0)</f>
        <v>966</v>
      </c>
      <c r="S52">
        <f>VLOOKUP(A:A,MASTER!A:G,7,0)</f>
        <v>1052</v>
      </c>
      <c r="T52" s="12">
        <f t="shared" si="4"/>
        <v>8.9026915113871619E-2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34708367.698853433</v>
      </c>
      <c r="G53" s="1">
        <f>VLOOKUP(A:A,MASTER!A:K,11,0)</f>
        <v>36112925.610766038</v>
      </c>
      <c r="H53" s="12">
        <f t="shared" si="0"/>
        <v>4.0467414777301869E-2</v>
      </c>
      <c r="I53" s="2">
        <f>VLOOKUP(A:A,MASTER!A:E,5,0)</f>
        <v>1483</v>
      </c>
      <c r="J53" s="2">
        <f>VLOOKUP(A:A,MASTER!A:J,10,0)</f>
        <v>1728</v>
      </c>
      <c r="K53" s="12">
        <f t="shared" si="1"/>
        <v>0.16520566419420102</v>
      </c>
      <c r="L53" s="2">
        <f>VLOOKUP(A:A,MASTER!A:D,4,0)</f>
        <v>8</v>
      </c>
      <c r="M53" s="2">
        <f>VLOOKUP(A:A,MASTER!A:I,9,0)</f>
        <v>10</v>
      </c>
      <c r="N53" s="12">
        <f t="shared" si="2"/>
        <v>0.25</v>
      </c>
      <c r="O53" s="1">
        <f>VLOOKUP(A:A,MASTER!A:C,3,0)</f>
        <v>5</v>
      </c>
      <c r="P53" s="1">
        <f>VLOOKUP(A:A,MASTER!A:H,8,0)</f>
        <v>9</v>
      </c>
      <c r="Q53" s="12">
        <f t="shared" si="3"/>
        <v>0.8</v>
      </c>
      <c r="R53" s="1">
        <f>VLOOKUP(A:A,MASTER!A:B,2,0)</f>
        <v>2055</v>
      </c>
      <c r="S53">
        <f>VLOOKUP(A:A,MASTER!A:G,7,0)</f>
        <v>1989</v>
      </c>
      <c r="T53" s="12">
        <f t="shared" si="4"/>
        <v>-3.2116788321167933E-2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7709951.7661650777</v>
      </c>
      <c r="G54" s="1">
        <f>VLOOKUP(A:A,MASTER!A:K,11,0)</f>
        <v>9671245.8545380048</v>
      </c>
      <c r="H54" s="12">
        <f t="shared" si="0"/>
        <v>0.25438474167633784</v>
      </c>
      <c r="I54" s="2">
        <f>VLOOKUP(A:A,MASTER!A:E,5,0)</f>
        <v>525</v>
      </c>
      <c r="J54" s="2">
        <f>VLOOKUP(A:A,MASTER!A:J,10,0)</f>
        <v>626</v>
      </c>
      <c r="K54" s="12">
        <f t="shared" si="1"/>
        <v>0.19238095238095232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0</v>
      </c>
      <c r="P54" s="1">
        <f>VLOOKUP(A:A,MASTER!A:H,8,0)</f>
        <v>2</v>
      </c>
      <c r="Q54" s="12">
        <f t="shared" si="3"/>
        <v>0</v>
      </c>
      <c r="R54" s="1">
        <f>VLOOKUP(A:A,MASTER!A:B,2,0)</f>
        <v>672</v>
      </c>
      <c r="S54">
        <f>VLOOKUP(A:A,MASTER!A:G,7,0)</f>
        <v>633</v>
      </c>
      <c r="T54" s="12">
        <f t="shared" si="4"/>
        <v>-5.8035714285714302E-2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13880312.991541628</v>
      </c>
      <c r="G55" s="1">
        <f>VLOOKUP(A:A,MASTER!A:K,11,0)</f>
        <v>16425350.738013152</v>
      </c>
      <c r="H55" s="12">
        <f t="shared" si="0"/>
        <v>0.18335593354576485</v>
      </c>
      <c r="I55" s="2">
        <f>VLOOKUP(A:A,MASTER!A:E,5,0)</f>
        <v>761</v>
      </c>
      <c r="J55" s="2">
        <f>VLOOKUP(A:A,MASTER!A:J,10,0)</f>
        <v>792</v>
      </c>
      <c r="K55" s="12">
        <f t="shared" si="1"/>
        <v>4.0735873850197057E-2</v>
      </c>
      <c r="L55" s="2">
        <f>VLOOKUP(A:A,MASTER!A:D,4,0)</f>
        <v>5</v>
      </c>
      <c r="M55" s="2">
        <f>VLOOKUP(A:A,MASTER!A:I,9,0)</f>
        <v>5</v>
      </c>
      <c r="N55" s="12">
        <f t="shared" si="2"/>
        <v>0</v>
      </c>
      <c r="O55" s="1">
        <f>VLOOKUP(A:A,MASTER!A:C,3,0)</f>
        <v>3</v>
      </c>
      <c r="P55" s="1">
        <f>VLOOKUP(A:A,MASTER!A:H,8,0)</f>
        <v>3</v>
      </c>
      <c r="Q55" s="12">
        <f t="shared" si="3"/>
        <v>0</v>
      </c>
      <c r="R55" s="1">
        <f>VLOOKUP(A:A,MASTER!A:B,2,0)</f>
        <v>868</v>
      </c>
      <c r="S55">
        <f>VLOOKUP(A:A,MASTER!A:G,7,0)</f>
        <v>920</v>
      </c>
      <c r="T55" s="12">
        <f t="shared" si="4"/>
        <v>5.9907834101382562E-2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8583502.2692426648</v>
      </c>
      <c r="G56" s="1">
        <f>VLOOKUP(A:A,MASTER!A:K,11,0)</f>
        <v>9350091.9942468163</v>
      </c>
      <c r="H56" s="12">
        <f t="shared" si="0"/>
        <v>8.9309666492555007E-2</v>
      </c>
      <c r="I56" s="2">
        <f>VLOOKUP(A:A,MASTER!A:E,5,0)</f>
        <v>691</v>
      </c>
      <c r="J56" s="2">
        <f>VLOOKUP(A:A,MASTER!A:J,10,0)</f>
        <v>579</v>
      </c>
      <c r="K56" s="12">
        <f t="shared" si="1"/>
        <v>-0.16208393632416784</v>
      </c>
      <c r="L56" s="2">
        <f>VLOOKUP(A:A,MASTER!A:D,4,0)</f>
        <v>1</v>
      </c>
      <c r="M56" s="2">
        <f>VLOOKUP(A:A,MASTER!A:I,9,0)</f>
        <v>0</v>
      </c>
      <c r="N56" s="12">
        <f t="shared" si="2"/>
        <v>-1</v>
      </c>
      <c r="O56" s="1">
        <f>VLOOKUP(A:A,MASTER!A:C,3,0)</f>
        <v>2</v>
      </c>
      <c r="P56" s="1">
        <f>VLOOKUP(A:A,MASTER!A:H,8,0)</f>
        <v>0</v>
      </c>
      <c r="Q56" s="12">
        <f t="shared" si="3"/>
        <v>-1</v>
      </c>
      <c r="R56" s="1">
        <f>VLOOKUP(A:A,MASTER!A:B,2,0)</f>
        <v>747</v>
      </c>
      <c r="S56">
        <f>VLOOKUP(A:A,MASTER!A:G,7,0)</f>
        <v>699</v>
      </c>
      <c r="T56" s="12">
        <f t="shared" si="4"/>
        <v>-6.4257028112449821E-2</v>
      </c>
      <c r="U56">
        <v>2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18796999.466471747</v>
      </c>
      <c r="G57" s="1">
        <f>VLOOKUP(A:A,MASTER!A:K,11,0)</f>
        <v>20710757.395298224</v>
      </c>
      <c r="H57" s="12">
        <f t="shared" si="0"/>
        <v>0.10181188397861329</v>
      </c>
      <c r="I57" s="2">
        <f>VLOOKUP(A:A,MASTER!A:E,5,0)</f>
        <v>928</v>
      </c>
      <c r="J57" s="2">
        <f>VLOOKUP(A:A,MASTER!A:J,10,0)</f>
        <v>1084</v>
      </c>
      <c r="K57" s="12">
        <f t="shared" si="1"/>
        <v>0.1681034482758621</v>
      </c>
      <c r="L57" s="2">
        <f>VLOOKUP(A:A,MASTER!A:D,4,0)</f>
        <v>0</v>
      </c>
      <c r="M57" s="2">
        <f>VLOOKUP(A:A,MASTER!A:I,9,0)</f>
        <v>0</v>
      </c>
      <c r="N57" s="12">
        <f t="shared" si="2"/>
        <v>0</v>
      </c>
      <c r="O57" s="1">
        <f>VLOOKUP(A:A,MASTER!A:C,3,0)</f>
        <v>4</v>
      </c>
      <c r="P57" s="1">
        <f>VLOOKUP(A:A,MASTER!A:H,8,0)</f>
        <v>4</v>
      </c>
      <c r="Q57" s="12">
        <f t="shared" si="3"/>
        <v>0</v>
      </c>
      <c r="R57" s="1">
        <f>VLOOKUP(A:A,MASTER!A:B,2,0)</f>
        <v>1106</v>
      </c>
      <c r="S57">
        <f>VLOOKUP(A:A,MASTER!A:G,7,0)</f>
        <v>1117</v>
      </c>
      <c r="T57" s="12">
        <f t="shared" si="4"/>
        <v>9.9457504520794604E-3</v>
      </c>
      <c r="U57">
        <v>2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22603689.648179594</v>
      </c>
      <c r="G58" s="1">
        <f>VLOOKUP(A:A,MASTER!A:K,11,0)</f>
        <v>28334777.191363901</v>
      </c>
      <c r="H58" s="12">
        <f t="shared" si="0"/>
        <v>0.25354655069093401</v>
      </c>
      <c r="I58" s="2">
        <f>VLOOKUP(A:A,MASTER!A:E,5,0)</f>
        <v>1341</v>
      </c>
      <c r="J58" s="2">
        <f>VLOOKUP(A:A,MASTER!A:J,10,0)</f>
        <v>1594</v>
      </c>
      <c r="K58" s="12">
        <f t="shared" si="1"/>
        <v>0.18866517524235649</v>
      </c>
      <c r="L58" s="2">
        <f>VLOOKUP(A:A,MASTER!A:D,4,0)</f>
        <v>4</v>
      </c>
      <c r="M58" s="2">
        <f>VLOOKUP(A:A,MASTER!A:I,9,0)</f>
        <v>5</v>
      </c>
      <c r="N58" s="12">
        <f t="shared" si="2"/>
        <v>0.25</v>
      </c>
      <c r="O58" s="1">
        <f>VLOOKUP(A:A,MASTER!A:C,3,0)</f>
        <v>1</v>
      </c>
      <c r="P58" s="1">
        <f>VLOOKUP(A:A,MASTER!A:H,8,0)</f>
        <v>5</v>
      </c>
      <c r="Q58" s="12">
        <f t="shared" si="3"/>
        <v>4</v>
      </c>
      <c r="R58" s="1">
        <f>VLOOKUP(A:A,MASTER!A:B,2,0)</f>
        <v>1387</v>
      </c>
      <c r="S58">
        <f>VLOOKUP(A:A,MASTER!A:G,7,0)</f>
        <v>1732</v>
      </c>
      <c r="T58" s="12">
        <f t="shared" si="4"/>
        <v>0.24873828406633014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12652407.113066845</v>
      </c>
      <c r="G59" s="1">
        <f>VLOOKUP(A:A,MASTER!A:K,11,0)</f>
        <v>11132592.058141153</v>
      </c>
      <c r="H59" s="12">
        <f t="shared" si="0"/>
        <v>-0.12012062537539547</v>
      </c>
      <c r="I59" s="2">
        <f>VLOOKUP(A:A,MASTER!A:E,5,0)</f>
        <v>696</v>
      </c>
      <c r="J59" s="2">
        <f>VLOOKUP(A:A,MASTER!A:J,10,0)</f>
        <v>660</v>
      </c>
      <c r="K59" s="12">
        <f t="shared" si="1"/>
        <v>-5.1724137931034475E-2</v>
      </c>
      <c r="L59" s="2">
        <f>VLOOKUP(A:A,MASTER!A:D,4,0)</f>
        <v>3</v>
      </c>
      <c r="M59" s="2">
        <f>VLOOKUP(A:A,MASTER!A:I,9,0)</f>
        <v>5</v>
      </c>
      <c r="N59" s="12">
        <f t="shared" si="2"/>
        <v>0.66666666666666674</v>
      </c>
      <c r="O59" s="1">
        <f>VLOOKUP(A:A,MASTER!A:C,3,0)</f>
        <v>1</v>
      </c>
      <c r="P59" s="1">
        <f>VLOOKUP(A:A,MASTER!A:H,8,0)</f>
        <v>1</v>
      </c>
      <c r="Q59" s="12">
        <f t="shared" si="3"/>
        <v>0</v>
      </c>
      <c r="R59" s="1">
        <f>VLOOKUP(A:A,MASTER!A:B,2,0)</f>
        <v>778</v>
      </c>
      <c r="S59">
        <f>VLOOKUP(A:A,MASTER!A:G,7,0)</f>
        <v>726</v>
      </c>
      <c r="T59" s="12">
        <f t="shared" si="4"/>
        <v>-6.6838046272493568E-2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14176749.395253856</v>
      </c>
      <c r="G60" s="1">
        <f>VLOOKUP(A:A,MASTER!A:K,11,0)</f>
        <v>14875425.452646688</v>
      </c>
      <c r="H60" s="12">
        <f t="shared" si="0"/>
        <v>4.9283233970880413E-2</v>
      </c>
      <c r="I60" s="2">
        <f>VLOOKUP(A:A,MASTER!A:E,5,0)</f>
        <v>440</v>
      </c>
      <c r="J60" s="2">
        <f>VLOOKUP(A:A,MASTER!A:J,10,0)</f>
        <v>499</v>
      </c>
      <c r="K60" s="12">
        <f t="shared" si="1"/>
        <v>0.13409090909090904</v>
      </c>
      <c r="L60" s="2">
        <f>VLOOKUP(A:A,MASTER!A:D,4,0)</f>
        <v>5</v>
      </c>
      <c r="M60" s="2">
        <f>VLOOKUP(A:A,MASTER!A:I,9,0)</f>
        <v>7</v>
      </c>
      <c r="N60" s="12">
        <f t="shared" si="2"/>
        <v>0.39999999999999991</v>
      </c>
      <c r="O60" s="1">
        <f>VLOOKUP(A:A,MASTER!A:C,3,0)</f>
        <v>2</v>
      </c>
      <c r="P60" s="1">
        <f>VLOOKUP(A:A,MASTER!A:H,8,0)</f>
        <v>3</v>
      </c>
      <c r="Q60" s="12">
        <f t="shared" si="3"/>
        <v>0.5</v>
      </c>
      <c r="R60" s="1">
        <f>VLOOKUP(A:A,MASTER!A:B,2,0)</f>
        <v>645</v>
      </c>
      <c r="S60">
        <f>VLOOKUP(A:A,MASTER!A:G,7,0)</f>
        <v>570</v>
      </c>
      <c r="T60" s="12">
        <f t="shared" si="4"/>
        <v>-0.11627906976744184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45517472.846547142</v>
      </c>
      <c r="G61" s="1">
        <f>VLOOKUP(A:A,MASTER!A:K,11,0)</f>
        <v>47979130.336084709</v>
      </c>
      <c r="H61" s="12">
        <f t="shared" si="0"/>
        <v>5.4081594069085082E-2</v>
      </c>
      <c r="I61" s="2">
        <f>VLOOKUP(A:A,MASTER!A:E,5,0)</f>
        <v>1907</v>
      </c>
      <c r="J61" s="2">
        <f>VLOOKUP(A:A,MASTER!A:J,10,0)</f>
        <v>1886</v>
      </c>
      <c r="K61" s="12">
        <f t="shared" si="1"/>
        <v>-1.101206082852646E-2</v>
      </c>
      <c r="L61" s="2">
        <f>VLOOKUP(A:A,MASTER!A:D,4,0)</f>
        <v>11</v>
      </c>
      <c r="M61" s="2">
        <f>VLOOKUP(A:A,MASTER!A:I,9,0)</f>
        <v>12</v>
      </c>
      <c r="N61" s="12">
        <f t="shared" si="2"/>
        <v>9.0909090909090828E-2</v>
      </c>
      <c r="O61" s="1">
        <f>VLOOKUP(A:A,MASTER!A:C,3,0)</f>
        <v>2</v>
      </c>
      <c r="P61" s="1">
        <f>VLOOKUP(A:A,MASTER!A:H,8,0)</f>
        <v>9</v>
      </c>
      <c r="Q61" s="12">
        <f t="shared" si="3"/>
        <v>3.5</v>
      </c>
      <c r="R61" s="1">
        <f>VLOOKUP(A:A,MASTER!A:B,2,0)</f>
        <v>2002</v>
      </c>
      <c r="S61">
        <f>VLOOKUP(A:A,MASTER!A:G,7,0)</f>
        <v>2176</v>
      </c>
      <c r="T61" s="12">
        <f t="shared" si="4"/>
        <v>8.6913086913086968E-2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31681211.281696107</v>
      </c>
      <c r="G62" s="1">
        <f>VLOOKUP(A:A,MASTER!A:K,11,0)</f>
        <v>34402523.25858365</v>
      </c>
      <c r="H62" s="12">
        <f t="shared" si="0"/>
        <v>8.5896715017957259E-2</v>
      </c>
      <c r="I62" s="2">
        <f>VLOOKUP(A:A,MASTER!A:E,5,0)</f>
        <v>1135</v>
      </c>
      <c r="J62" s="2">
        <f>VLOOKUP(A:A,MASTER!A:J,10,0)</f>
        <v>1304</v>
      </c>
      <c r="K62" s="12">
        <f t="shared" si="1"/>
        <v>0.14889867841409687</v>
      </c>
      <c r="L62" s="2">
        <f>VLOOKUP(A:A,MASTER!A:D,4,0)</f>
        <v>6</v>
      </c>
      <c r="M62" s="2">
        <f>VLOOKUP(A:A,MASTER!A:I,9,0)</f>
        <v>6</v>
      </c>
      <c r="N62" s="12">
        <f t="shared" si="2"/>
        <v>0</v>
      </c>
      <c r="O62" s="1">
        <f>VLOOKUP(A:A,MASTER!A:C,3,0)</f>
        <v>3</v>
      </c>
      <c r="P62" s="1">
        <f>VLOOKUP(A:A,MASTER!A:H,8,0)</f>
        <v>9</v>
      </c>
      <c r="Q62" s="12">
        <f t="shared" si="3"/>
        <v>2</v>
      </c>
      <c r="R62" s="1">
        <f>VLOOKUP(A:A,MASTER!A:B,2,0)</f>
        <v>1572</v>
      </c>
      <c r="S62">
        <f>VLOOKUP(A:A,MASTER!A:G,7,0)</f>
        <v>1666</v>
      </c>
      <c r="T62" s="12">
        <f t="shared" si="4"/>
        <v>5.9796437659032975E-2</v>
      </c>
      <c r="U62">
        <v>9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21721395.813196313</v>
      </c>
      <c r="G63" s="1">
        <f>VLOOKUP(A:A,MASTER!A:K,11,0)</f>
        <v>23489807.988162823</v>
      </c>
      <c r="H63" s="12">
        <f t="shared" si="0"/>
        <v>8.1413376477958765E-2</v>
      </c>
      <c r="I63" s="2">
        <f>VLOOKUP(A:A,MASTER!A:E,5,0)</f>
        <v>701</v>
      </c>
      <c r="J63" s="2">
        <f>VLOOKUP(A:A,MASTER!A:J,10,0)</f>
        <v>756</v>
      </c>
      <c r="K63" s="12">
        <f t="shared" si="1"/>
        <v>7.8459343794579084E-2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3</v>
      </c>
      <c r="P63" s="1">
        <f>VLOOKUP(A:A,MASTER!A:H,8,0)</f>
        <v>0</v>
      </c>
      <c r="Q63" s="12">
        <f t="shared" si="3"/>
        <v>-1</v>
      </c>
      <c r="R63" s="1">
        <f>VLOOKUP(A:A,MASTER!A:B,2,0)</f>
        <v>889</v>
      </c>
      <c r="S63">
        <f>VLOOKUP(A:A,MASTER!A:G,7,0)</f>
        <v>915</v>
      </c>
      <c r="T63" s="12">
        <f t="shared" si="4"/>
        <v>2.924634420697414E-2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32871046.139475159</v>
      </c>
      <c r="G64" s="1">
        <f>VLOOKUP(A:A,MASTER!A:K,11,0)</f>
        <v>30897554.610156886</v>
      </c>
      <c r="H64" s="12">
        <f t="shared" si="0"/>
        <v>-6.0037381254753774E-2</v>
      </c>
      <c r="I64" s="2">
        <f>VLOOKUP(A:A,MASTER!A:E,5,0)</f>
        <v>1462</v>
      </c>
      <c r="J64" s="2">
        <f>VLOOKUP(A:A,MASTER!A:J,10,0)</f>
        <v>1663</v>
      </c>
      <c r="K64" s="12">
        <f t="shared" si="1"/>
        <v>0.13748290013679898</v>
      </c>
      <c r="L64" s="2">
        <f>VLOOKUP(A:A,MASTER!A:D,4,0)</f>
        <v>12</v>
      </c>
      <c r="M64" s="2">
        <f>VLOOKUP(A:A,MASTER!A:I,9,0)</f>
        <v>13</v>
      </c>
      <c r="N64" s="12">
        <f t="shared" si="2"/>
        <v>8.3333333333333259E-2</v>
      </c>
      <c r="O64" s="1">
        <f>VLOOKUP(A:A,MASTER!A:C,3,0)</f>
        <v>104</v>
      </c>
      <c r="P64" s="1">
        <f>VLOOKUP(A:A,MASTER!A:H,8,0)</f>
        <v>353</v>
      </c>
      <c r="Q64" s="12">
        <f t="shared" si="3"/>
        <v>2.3942307692307692</v>
      </c>
      <c r="R64" s="1">
        <f>VLOOKUP(A:A,MASTER!A:B,2,0)</f>
        <v>2097</v>
      </c>
      <c r="S64">
        <f>VLOOKUP(A:A,MASTER!A:G,7,0)</f>
        <v>2381</v>
      </c>
      <c r="T64" s="12">
        <f t="shared" si="4"/>
        <v>0.13543156890796371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376428.60512913699</v>
      </c>
      <c r="G65" s="1">
        <f>VLOOKUP(A:A,MASTER!A:K,11,0)</f>
        <v>2539785.1785147442</v>
      </c>
      <c r="H65" s="12">
        <f t="shared" si="0"/>
        <v>5.7470567961843644</v>
      </c>
      <c r="I65" s="2">
        <f>VLOOKUP(A:A,MASTER!A:E,5,0)</f>
        <v>256</v>
      </c>
      <c r="J65" s="2">
        <f>VLOOKUP(A:A,MASTER!A:J,10,0)</f>
        <v>261</v>
      </c>
      <c r="K65" s="12">
        <f t="shared" si="1"/>
        <v>1.953125E-2</v>
      </c>
      <c r="L65" s="2">
        <f>VLOOKUP(A:A,MASTER!A:D,4,0)</f>
        <v>0</v>
      </c>
      <c r="M65" s="2">
        <f>VLOOKUP(A:A,MASTER!A:I,9,0)</f>
        <v>0</v>
      </c>
      <c r="N65" s="12">
        <f t="shared" si="2"/>
        <v>0</v>
      </c>
      <c r="O65" s="1">
        <f>VLOOKUP(A:A,MASTER!A:C,3,0)</f>
        <v>0</v>
      </c>
      <c r="P65" s="1">
        <f>VLOOKUP(A:A,MASTER!A:H,8,0)</f>
        <v>1</v>
      </c>
      <c r="Q65" s="12">
        <f t="shared" si="3"/>
        <v>0</v>
      </c>
      <c r="R65" s="1">
        <f>VLOOKUP(A:A,MASTER!A:B,2,0)</f>
        <v>251</v>
      </c>
      <c r="S65">
        <f>VLOOKUP(A:A,MASTER!A:G,7,0)</f>
        <v>262</v>
      </c>
      <c r="T65" s="12">
        <f t="shared" si="4"/>
        <v>4.3824701195219085E-2</v>
      </c>
      <c r="U65">
        <v>2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23906775.825817522</v>
      </c>
      <c r="G66" s="1">
        <f>VLOOKUP(A:A,MASTER!A:K,11,0)</f>
        <v>23490897.731469039</v>
      </c>
      <c r="H66" s="12">
        <f t="shared" si="0"/>
        <v>-1.7395825241284357E-2</v>
      </c>
      <c r="I66" s="2">
        <f>VLOOKUP(A:A,MASTER!A:E,5,0)</f>
        <v>1868</v>
      </c>
      <c r="J66" s="2">
        <f>VLOOKUP(A:A,MASTER!A:J,10,0)</f>
        <v>1507</v>
      </c>
      <c r="K66" s="12">
        <f t="shared" si="1"/>
        <v>-0.19325481798715205</v>
      </c>
      <c r="L66" s="2">
        <f>VLOOKUP(A:A,MASTER!A:D,4,0)</f>
        <v>5</v>
      </c>
      <c r="M66" s="2">
        <f>VLOOKUP(A:A,MASTER!A:I,9,0)</f>
        <v>7</v>
      </c>
      <c r="N66" s="12">
        <f t="shared" si="2"/>
        <v>0.39999999999999991</v>
      </c>
      <c r="O66" s="1">
        <f>VLOOKUP(A:A,MASTER!A:C,3,0)</f>
        <v>4</v>
      </c>
      <c r="P66" s="1">
        <f>VLOOKUP(A:A,MASTER!A:H,8,0)</f>
        <v>10</v>
      </c>
      <c r="Q66" s="12">
        <f t="shared" si="3"/>
        <v>1.5</v>
      </c>
      <c r="R66" s="1">
        <f>VLOOKUP(A:A,MASTER!A:B,2,0)</f>
        <v>1672</v>
      </c>
      <c r="S66">
        <f>VLOOKUP(A:A,MASTER!A:G,7,0)</f>
        <v>1789</v>
      </c>
      <c r="T66" s="12">
        <f t="shared" si="4"/>
        <v>6.9976076555023914E-2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11334319.395606983</v>
      </c>
      <c r="G67" s="1">
        <f>VLOOKUP(A:A,MASTER!A:K,11,0)</f>
        <v>11000514.363668248</v>
      </c>
      <c r="H67" s="12">
        <f t="shared" ref="H67:H85" si="5">IFERROR(G67/F67-1,0)</f>
        <v>-2.9450822787657982E-2</v>
      </c>
      <c r="I67" s="2">
        <f>VLOOKUP(A:A,MASTER!A:E,5,0)</f>
        <v>603</v>
      </c>
      <c r="J67" s="2">
        <f>VLOOKUP(A:A,MASTER!A:J,10,0)</f>
        <v>600</v>
      </c>
      <c r="K67" s="12">
        <f t="shared" ref="K67:K85" si="6">IFERROR(J67/I67-1,0)</f>
        <v>-4.9751243781094301E-3</v>
      </c>
      <c r="L67" s="2">
        <f>VLOOKUP(A:A,MASTER!A:D,4,0)</f>
        <v>3</v>
      </c>
      <c r="M67" s="2">
        <f>VLOOKUP(A:A,MASTER!A:I,9,0)</f>
        <v>3</v>
      </c>
      <c r="N67" s="12">
        <f t="shared" ref="N67:N85" si="7">IFERROR(M67/L67-1,0)</f>
        <v>0</v>
      </c>
      <c r="O67" s="1">
        <f>VLOOKUP(A:A,MASTER!A:C,3,0)</f>
        <v>1</v>
      </c>
      <c r="P67" s="1">
        <f>VLOOKUP(A:A,MASTER!A:H,8,0)</f>
        <v>1</v>
      </c>
      <c r="Q67" s="12">
        <f t="shared" ref="Q67:Q85" si="8">IFERROR(P67/O67-1,0)</f>
        <v>0</v>
      </c>
      <c r="R67" s="1">
        <f>VLOOKUP(A:A,MASTER!A:B,2,0)</f>
        <v>717</v>
      </c>
      <c r="S67">
        <f>VLOOKUP(A:A,MASTER!A:G,7,0)</f>
        <v>867</v>
      </c>
      <c r="T67" s="12">
        <f t="shared" ref="T67:T85" si="9">IFERROR(S67/R67-1,0)</f>
        <v>0.20920502092050208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15748546.837804995</v>
      </c>
      <c r="G68" s="1">
        <f>VLOOKUP(A:A,MASTER!A:K,11,0)</f>
        <v>17381063.69814932</v>
      </c>
      <c r="H68" s="12">
        <f t="shared" si="5"/>
        <v>0.10366142839448544</v>
      </c>
      <c r="I68" s="2">
        <f>VLOOKUP(A:A,MASTER!A:E,5,0)</f>
        <v>844</v>
      </c>
      <c r="J68" s="2">
        <f>VLOOKUP(A:A,MASTER!A:J,10,0)</f>
        <v>868</v>
      </c>
      <c r="K68" s="12">
        <f t="shared" si="6"/>
        <v>2.8436018957346043E-2</v>
      </c>
      <c r="L68" s="2">
        <f>VLOOKUP(A:A,MASTER!A:D,4,0)</f>
        <v>4</v>
      </c>
      <c r="M68" s="2">
        <f>VLOOKUP(A:A,MASTER!A:I,9,0)</f>
        <v>5</v>
      </c>
      <c r="N68" s="12">
        <f t="shared" si="7"/>
        <v>0.25</v>
      </c>
      <c r="O68" s="1">
        <f>VLOOKUP(A:A,MASTER!A:C,3,0)</f>
        <v>19</v>
      </c>
      <c r="P68" s="1">
        <f>VLOOKUP(A:A,MASTER!A:H,8,0)</f>
        <v>1</v>
      </c>
      <c r="Q68" s="12">
        <f t="shared" si="8"/>
        <v>-0.94736842105263164</v>
      </c>
      <c r="R68" s="1">
        <f>VLOOKUP(A:A,MASTER!A:B,2,0)</f>
        <v>1370</v>
      </c>
      <c r="S68">
        <f>VLOOKUP(A:A,MASTER!A:G,7,0)</f>
        <v>1433</v>
      </c>
      <c r="T68" s="12">
        <f t="shared" si="9"/>
        <v>4.598540145985397E-2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11912417.391126337</v>
      </c>
      <c r="G69" s="1">
        <f>VLOOKUP(A:A,MASTER!A:K,11,0)</f>
        <v>13859452.677682443</v>
      </c>
      <c r="H69" s="12">
        <f t="shared" si="5"/>
        <v>0.1634458584373033</v>
      </c>
      <c r="I69" s="2">
        <f>VLOOKUP(A:A,MASTER!A:E,5,0)</f>
        <v>1226</v>
      </c>
      <c r="J69" s="2">
        <f>VLOOKUP(A:A,MASTER!A:J,10,0)</f>
        <v>1445</v>
      </c>
      <c r="K69" s="12">
        <f t="shared" si="6"/>
        <v>0.17862969004893969</v>
      </c>
      <c r="L69" s="2">
        <f>VLOOKUP(A:A,MASTER!A:D,4,0)</f>
        <v>5</v>
      </c>
      <c r="M69" s="2">
        <f>VLOOKUP(A:A,MASTER!A:I,9,0)</f>
        <v>4</v>
      </c>
      <c r="N69" s="12">
        <f t="shared" si="7"/>
        <v>-0.19999999999999996</v>
      </c>
      <c r="O69" s="1">
        <f>VLOOKUP(A:A,MASTER!A:C,3,0)</f>
        <v>1</v>
      </c>
      <c r="P69" s="1">
        <f>VLOOKUP(A:A,MASTER!A:H,8,0)</f>
        <v>1</v>
      </c>
      <c r="Q69" s="12">
        <f t="shared" si="8"/>
        <v>0</v>
      </c>
      <c r="R69" s="1">
        <f>VLOOKUP(A:A,MASTER!A:B,2,0)</f>
        <v>1303</v>
      </c>
      <c r="S69">
        <f>VLOOKUP(A:A,MASTER!A:G,7,0)</f>
        <v>1583</v>
      </c>
      <c r="T69" s="12">
        <f t="shared" si="9"/>
        <v>0.21488871834228696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29134980.937509496</v>
      </c>
      <c r="G70" s="1">
        <f>VLOOKUP(A:A,MASTER!A:K,11,0)</f>
        <v>30127781.579059508</v>
      </c>
      <c r="H70" s="12">
        <f t="shared" si="5"/>
        <v>3.4075898099244828E-2</v>
      </c>
      <c r="I70" s="2">
        <f>VLOOKUP(A:A,MASTER!A:E,5,0)</f>
        <v>1158</v>
      </c>
      <c r="J70" s="2">
        <f>VLOOKUP(A:A,MASTER!A:J,10,0)</f>
        <v>1447</v>
      </c>
      <c r="K70" s="12">
        <f t="shared" si="6"/>
        <v>0.24956822107081167</v>
      </c>
      <c r="L70" s="2">
        <f>VLOOKUP(A:A,MASTER!A:D,4,0)</f>
        <v>4</v>
      </c>
      <c r="M70" s="2">
        <f>VLOOKUP(A:A,MASTER!A:I,9,0)</f>
        <v>7</v>
      </c>
      <c r="N70" s="12">
        <f t="shared" si="7"/>
        <v>0.75</v>
      </c>
      <c r="O70" s="1">
        <f>VLOOKUP(A:A,MASTER!A:C,3,0)</f>
        <v>6</v>
      </c>
      <c r="P70" s="1">
        <f>VLOOKUP(A:A,MASTER!A:H,8,0)</f>
        <v>6</v>
      </c>
      <c r="Q70" s="12">
        <f t="shared" si="8"/>
        <v>0</v>
      </c>
      <c r="R70" s="1">
        <f>VLOOKUP(A:A,MASTER!A:B,2,0)</f>
        <v>1728</v>
      </c>
      <c r="S70">
        <f>VLOOKUP(A:A,MASTER!A:G,7,0)</f>
        <v>1656</v>
      </c>
      <c r="T70" s="12">
        <f t="shared" si="9"/>
        <v>-4.166666666666663E-2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5978690.5005585346</v>
      </c>
      <c r="G71" s="1">
        <f>VLOOKUP(A:A,MASTER!A:K,11,0)</f>
        <v>5812795.1784168184</v>
      </c>
      <c r="H71" s="12">
        <f t="shared" si="5"/>
        <v>-2.7747768867817824E-2</v>
      </c>
      <c r="I71" s="2">
        <f>VLOOKUP(A:A,MASTER!A:E,5,0)</f>
        <v>501</v>
      </c>
      <c r="J71" s="2">
        <f>VLOOKUP(A:A,MASTER!A:J,10,0)</f>
        <v>431</v>
      </c>
      <c r="K71" s="12">
        <f t="shared" si="6"/>
        <v>-0.13972055888223556</v>
      </c>
      <c r="L71" s="2">
        <f>VLOOKUP(A:A,MASTER!A:D,4,0)</f>
        <v>1</v>
      </c>
      <c r="M71" s="2">
        <f>VLOOKUP(A:A,MASTER!A:I,9,0)</f>
        <v>1</v>
      </c>
      <c r="N71" s="12">
        <f t="shared" si="7"/>
        <v>0</v>
      </c>
      <c r="O71" s="1">
        <f>VLOOKUP(A:A,MASTER!A:C,3,0)</f>
        <v>2</v>
      </c>
      <c r="P71" s="1">
        <f>VLOOKUP(A:A,MASTER!A:H,8,0)</f>
        <v>1</v>
      </c>
      <c r="Q71" s="12">
        <f t="shared" si="8"/>
        <v>-0.5</v>
      </c>
      <c r="R71" s="1">
        <f>VLOOKUP(A:A,MASTER!A:B,2,0)</f>
        <v>508</v>
      </c>
      <c r="S71">
        <f>VLOOKUP(A:A,MASTER!A:G,7,0)</f>
        <v>510</v>
      </c>
      <c r="T71" s="12">
        <f t="shared" si="9"/>
        <v>3.937007874015741E-3</v>
      </c>
      <c r="U71">
        <v>1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8970756.8040506858</v>
      </c>
      <c r="G72" s="1">
        <f>VLOOKUP(A:A,MASTER!A:K,11,0)</f>
        <v>11122845.019380452</v>
      </c>
      <c r="H72" s="12">
        <f t="shared" si="5"/>
        <v>0.23990040777362331</v>
      </c>
      <c r="I72" s="2">
        <f>VLOOKUP(A:A,MASTER!A:E,5,0)</f>
        <v>920</v>
      </c>
      <c r="J72" s="2">
        <f>VLOOKUP(A:A,MASTER!A:J,10,0)</f>
        <v>794</v>
      </c>
      <c r="K72" s="12">
        <f t="shared" si="6"/>
        <v>-0.13695652173913042</v>
      </c>
      <c r="L72" s="2">
        <f>VLOOKUP(A:A,MASTER!A:D,4,0)</f>
        <v>1</v>
      </c>
      <c r="M72" s="2">
        <f>VLOOKUP(A:A,MASTER!A:I,9,0)</f>
        <v>0</v>
      </c>
      <c r="N72" s="12">
        <f t="shared" si="7"/>
        <v>-1</v>
      </c>
      <c r="O72" s="1">
        <f>VLOOKUP(A:A,MASTER!A:C,3,0)</f>
        <v>3</v>
      </c>
      <c r="P72" s="1">
        <f>VLOOKUP(A:A,MASTER!A:H,8,0)</f>
        <v>1</v>
      </c>
      <c r="Q72" s="12">
        <f t="shared" si="8"/>
        <v>-0.66666666666666674</v>
      </c>
      <c r="R72" s="1">
        <f>VLOOKUP(A:A,MASTER!A:B,2,0)</f>
        <v>892</v>
      </c>
      <c r="S72">
        <f>VLOOKUP(A:A,MASTER!A:G,7,0)</f>
        <v>793</v>
      </c>
      <c r="T72" s="12">
        <f t="shared" si="9"/>
        <v>-0.11098654708520184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8841819.8977861367</v>
      </c>
      <c r="G73" s="1">
        <f>VLOOKUP(A:A,MASTER!A:K,11,0)</f>
        <v>9636255.1745800395</v>
      </c>
      <c r="H73" s="12">
        <f t="shared" si="5"/>
        <v>8.9849746542882913E-2</v>
      </c>
      <c r="I73" s="2">
        <f>VLOOKUP(A:A,MASTER!A:E,5,0)</f>
        <v>467</v>
      </c>
      <c r="J73" s="2">
        <f>VLOOKUP(A:A,MASTER!A:J,10,0)</f>
        <v>520</v>
      </c>
      <c r="K73" s="12">
        <f t="shared" si="6"/>
        <v>0.1134903640256959</v>
      </c>
      <c r="L73" s="2">
        <f>VLOOKUP(A:A,MASTER!A:D,4,0)</f>
        <v>3</v>
      </c>
      <c r="M73" s="2">
        <f>VLOOKUP(A:A,MASTER!A:I,9,0)</f>
        <v>3</v>
      </c>
      <c r="N73" s="12">
        <f t="shared" si="7"/>
        <v>0</v>
      </c>
      <c r="O73" s="1">
        <f>VLOOKUP(A:A,MASTER!A:C,3,0)</f>
        <v>0</v>
      </c>
      <c r="P73" s="1">
        <f>VLOOKUP(A:A,MASTER!A:H,8,0)</f>
        <v>2</v>
      </c>
      <c r="Q73" s="12">
        <f t="shared" si="8"/>
        <v>0</v>
      </c>
      <c r="R73" s="1">
        <f>VLOOKUP(A:A,MASTER!A:B,2,0)</f>
        <v>649</v>
      </c>
      <c r="S73">
        <f>VLOOKUP(A:A,MASTER!A:G,7,0)</f>
        <v>595</v>
      </c>
      <c r="T73" s="12">
        <f t="shared" si="9"/>
        <v>-8.3204930662557741E-2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7892731.7209995976</v>
      </c>
      <c r="G74" s="1">
        <f>VLOOKUP(A:A,MASTER!A:K,11,0)</f>
        <v>5723974.5851804009</v>
      </c>
      <c r="H74" s="12">
        <f t="shared" si="5"/>
        <v>-0.27477902613222593</v>
      </c>
      <c r="I74" s="2">
        <f>VLOOKUP(A:A,MASTER!A:E,5,0)</f>
        <v>698</v>
      </c>
      <c r="J74" s="2">
        <f>VLOOKUP(A:A,MASTER!A:J,10,0)</f>
        <v>756</v>
      </c>
      <c r="K74" s="12">
        <f t="shared" si="6"/>
        <v>8.3094555873925557E-2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3</v>
      </c>
      <c r="P74" s="1">
        <f>VLOOKUP(A:A,MASTER!A:H,8,0)</f>
        <v>2</v>
      </c>
      <c r="Q74" s="12">
        <f t="shared" si="8"/>
        <v>-0.33333333333333337</v>
      </c>
      <c r="R74" s="1">
        <f>VLOOKUP(A:A,MASTER!A:B,2,0)</f>
        <v>587</v>
      </c>
      <c r="S74">
        <f>VLOOKUP(A:A,MASTER!A:G,7,0)</f>
        <v>775</v>
      </c>
      <c r="T74" s="12">
        <f t="shared" si="9"/>
        <v>0.32027257240204432</v>
      </c>
      <c r="U74">
        <v>1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8393359.5824498702</v>
      </c>
      <c r="G75" s="1">
        <f>VLOOKUP(A:A,MASTER!A:K,11,0)</f>
        <v>6768743.2718793042</v>
      </c>
      <c r="H75" s="12">
        <f t="shared" si="5"/>
        <v>-0.1935597176090923</v>
      </c>
      <c r="I75" s="2">
        <f>VLOOKUP(A:A,MASTER!A:E,5,0)</f>
        <v>457</v>
      </c>
      <c r="J75" s="2">
        <f>VLOOKUP(A:A,MASTER!A:J,10,0)</f>
        <v>431</v>
      </c>
      <c r="K75" s="12">
        <f t="shared" si="6"/>
        <v>-5.6892778993435478E-2</v>
      </c>
      <c r="L75" s="2">
        <f>VLOOKUP(A:A,MASTER!A:D,4,0)</f>
        <v>7</v>
      </c>
      <c r="M75" s="2">
        <f>VLOOKUP(A:A,MASTER!A:I,9,0)</f>
        <v>7</v>
      </c>
      <c r="N75" s="12">
        <f t="shared" si="7"/>
        <v>0</v>
      </c>
      <c r="O75" s="1">
        <f>VLOOKUP(A:A,MASTER!A:C,3,0)</f>
        <v>0</v>
      </c>
      <c r="P75" s="1">
        <f>VLOOKUP(A:A,MASTER!A:H,8,0)</f>
        <v>1</v>
      </c>
      <c r="Q75" s="12">
        <f t="shared" si="8"/>
        <v>0</v>
      </c>
      <c r="R75" s="1">
        <f>VLOOKUP(A:A,MASTER!A:B,2,0)</f>
        <v>443</v>
      </c>
      <c r="S75">
        <f>VLOOKUP(A:A,MASTER!A:G,7,0)</f>
        <v>441</v>
      </c>
      <c r="T75" s="12">
        <f t="shared" si="9"/>
        <v>-4.5146726862302922E-3</v>
      </c>
      <c r="U75">
        <v>0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20753881.141753986</v>
      </c>
      <c r="G76" s="1">
        <f>VLOOKUP(A:A,MASTER!A:K,11,0)</f>
        <v>17516573.102573529</v>
      </c>
      <c r="H76" s="12">
        <f t="shared" si="5"/>
        <v>-0.15598566923790624</v>
      </c>
      <c r="I76" s="2">
        <f>VLOOKUP(A:A,MASTER!A:E,5,0)</f>
        <v>672</v>
      </c>
      <c r="J76" s="2">
        <f>VLOOKUP(A:A,MASTER!A:J,10,0)</f>
        <v>560</v>
      </c>
      <c r="K76" s="12">
        <f t="shared" si="6"/>
        <v>-0.16666666666666663</v>
      </c>
      <c r="L76" s="2">
        <f>VLOOKUP(A:A,MASTER!A:D,4,0)</f>
        <v>3</v>
      </c>
      <c r="M76" s="2">
        <f>VLOOKUP(A:A,MASTER!A:I,9,0)</f>
        <v>3</v>
      </c>
      <c r="N76" s="12">
        <f t="shared" si="7"/>
        <v>0</v>
      </c>
      <c r="O76" s="1">
        <f>VLOOKUP(A:A,MASTER!A:C,3,0)</f>
        <v>4</v>
      </c>
      <c r="P76" s="1">
        <f>VLOOKUP(A:A,MASTER!A:H,8,0)</f>
        <v>3</v>
      </c>
      <c r="Q76" s="12">
        <f t="shared" si="8"/>
        <v>-0.25</v>
      </c>
      <c r="R76" s="1">
        <f>VLOOKUP(A:A,MASTER!A:B,2,0)</f>
        <v>955</v>
      </c>
      <c r="S76">
        <f>VLOOKUP(A:A,MASTER!A:G,7,0)</f>
        <v>667</v>
      </c>
      <c r="T76" s="12">
        <f t="shared" si="9"/>
        <v>-0.3015706806282723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13059811.463284357</v>
      </c>
      <c r="G77" s="1">
        <f>VLOOKUP(A:A,MASTER!A:K,11,0)</f>
        <v>12737473.338481247</v>
      </c>
      <c r="H77" s="12">
        <f t="shared" si="5"/>
        <v>-2.4681682864206245E-2</v>
      </c>
      <c r="I77" s="2">
        <f>VLOOKUP(A:A,MASTER!A:E,5,0)</f>
        <v>741</v>
      </c>
      <c r="J77" s="2">
        <f>VLOOKUP(A:A,MASTER!A:J,10,0)</f>
        <v>723</v>
      </c>
      <c r="K77" s="12">
        <f t="shared" si="6"/>
        <v>-2.4291497975708509E-2</v>
      </c>
      <c r="L77" s="2">
        <f>VLOOKUP(A:A,MASTER!A:D,4,0)</f>
        <v>10</v>
      </c>
      <c r="M77" s="2">
        <f>VLOOKUP(A:A,MASTER!A:I,9,0)</f>
        <v>9</v>
      </c>
      <c r="N77" s="12">
        <f t="shared" si="7"/>
        <v>-9.9999999999999978E-2</v>
      </c>
      <c r="O77" s="1">
        <f>VLOOKUP(A:A,MASTER!A:C,3,0)</f>
        <v>2</v>
      </c>
      <c r="P77" s="1">
        <f>VLOOKUP(A:A,MASTER!A:H,8,0)</f>
        <v>2</v>
      </c>
      <c r="Q77" s="12">
        <f t="shared" si="8"/>
        <v>0</v>
      </c>
      <c r="R77" s="1">
        <f>VLOOKUP(A:A,MASTER!A:B,2,0)</f>
        <v>779</v>
      </c>
      <c r="S77">
        <f>VLOOKUP(A:A,MASTER!A:G,7,0)</f>
        <v>797</v>
      </c>
      <c r="T77" s="12">
        <f t="shared" si="9"/>
        <v>2.3106546854942289E-2</v>
      </c>
      <c r="U77">
        <v>2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11493479.289999878</v>
      </c>
      <c r="G78" s="1">
        <f>VLOOKUP(A:A,MASTER!A:K,11,0)</f>
        <v>10928228.748410834</v>
      </c>
      <c r="H78" s="12">
        <f t="shared" si="5"/>
        <v>-4.9180107026498998E-2</v>
      </c>
      <c r="I78" s="2">
        <f>VLOOKUP(A:A,MASTER!A:E,5,0)</f>
        <v>1215</v>
      </c>
      <c r="J78" s="2">
        <f>VLOOKUP(A:A,MASTER!A:J,10,0)</f>
        <v>908</v>
      </c>
      <c r="K78" s="12">
        <f t="shared" si="6"/>
        <v>-0.25267489711934155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1</v>
      </c>
      <c r="P78" s="1">
        <f>VLOOKUP(A:A,MASTER!A:H,8,0)</f>
        <v>2</v>
      </c>
      <c r="Q78" s="12">
        <f t="shared" si="8"/>
        <v>1</v>
      </c>
      <c r="R78" s="1">
        <f>VLOOKUP(A:A,MASTER!A:B,2,0)</f>
        <v>972</v>
      </c>
      <c r="S78">
        <f>VLOOKUP(A:A,MASTER!A:G,7,0)</f>
        <v>1048</v>
      </c>
      <c r="T78" s="12">
        <f t="shared" si="9"/>
        <v>7.8189300411522611E-2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8440209.0690690875</v>
      </c>
      <c r="G79" s="1">
        <f>VLOOKUP(A:A,MASTER!A:K,11,0)</f>
        <v>12894376.810464175</v>
      </c>
      <c r="H79" s="12">
        <f t="shared" si="5"/>
        <v>0.52773192049451922</v>
      </c>
      <c r="I79" s="2">
        <f>VLOOKUP(A:A,MASTER!A:E,5,0)</f>
        <v>688</v>
      </c>
      <c r="J79" s="2">
        <f>VLOOKUP(A:A,MASTER!A:J,10,0)</f>
        <v>851</v>
      </c>
      <c r="K79" s="12">
        <f t="shared" si="6"/>
        <v>0.23691860465116288</v>
      </c>
      <c r="L79" s="2">
        <f>VLOOKUP(A:A,MASTER!A:D,4,0)</f>
        <v>4</v>
      </c>
      <c r="M79" s="2">
        <f>VLOOKUP(A:A,MASTER!A:I,9,0)</f>
        <v>4</v>
      </c>
      <c r="N79" s="12">
        <f t="shared" si="7"/>
        <v>0</v>
      </c>
      <c r="O79" s="1">
        <f>VLOOKUP(A:A,MASTER!A:C,3,0)</f>
        <v>1</v>
      </c>
      <c r="P79" s="1">
        <f>VLOOKUP(A:A,MASTER!A:H,8,0)</f>
        <v>1</v>
      </c>
      <c r="Q79" s="12">
        <f t="shared" si="8"/>
        <v>0</v>
      </c>
      <c r="R79" s="1">
        <f>VLOOKUP(A:A,MASTER!A:B,2,0)</f>
        <v>1006</v>
      </c>
      <c r="S79">
        <f>VLOOKUP(A:A,MASTER!A:G,7,0)</f>
        <v>929</v>
      </c>
      <c r="T79" s="12">
        <f t="shared" si="9"/>
        <v>-7.6540755467196853E-2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12575786.084331768</v>
      </c>
      <c r="G80" s="1">
        <f>VLOOKUP(A:A,MASTER!A:K,11,0)</f>
        <v>14976288.34804032</v>
      </c>
      <c r="H80" s="12">
        <f t="shared" si="5"/>
        <v>0.19088287981451502</v>
      </c>
      <c r="I80" s="2">
        <f>VLOOKUP(A:A,MASTER!A:E,5,0)</f>
        <v>831</v>
      </c>
      <c r="J80" s="2">
        <f>VLOOKUP(A:A,MASTER!A:J,10,0)</f>
        <v>790</v>
      </c>
      <c r="K80" s="12">
        <f t="shared" si="6"/>
        <v>-4.933814681107096E-2</v>
      </c>
      <c r="L80" s="2">
        <f>VLOOKUP(A:A,MASTER!A:D,4,0)</f>
        <v>6</v>
      </c>
      <c r="M80" s="2">
        <f>VLOOKUP(A:A,MASTER!A:I,9,0)</f>
        <v>7</v>
      </c>
      <c r="N80" s="12">
        <f t="shared" si="7"/>
        <v>0.16666666666666674</v>
      </c>
      <c r="O80" s="1">
        <f>VLOOKUP(A:A,MASTER!A:C,3,0)</f>
        <v>1</v>
      </c>
      <c r="P80" s="1">
        <f>VLOOKUP(A:A,MASTER!A:H,8,0)</f>
        <v>1</v>
      </c>
      <c r="Q80" s="12">
        <f t="shared" si="8"/>
        <v>0</v>
      </c>
      <c r="R80" s="1">
        <f>VLOOKUP(A:A,MASTER!A:B,2,0)</f>
        <v>744</v>
      </c>
      <c r="S80">
        <f>VLOOKUP(A:A,MASTER!A:G,7,0)</f>
        <v>828</v>
      </c>
      <c r="T80" s="12">
        <f t="shared" si="9"/>
        <v>0.11290322580645151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6487541.7760771597</v>
      </c>
      <c r="G81" s="1">
        <f>VLOOKUP(A:A,MASTER!A:K,11,0)</f>
        <v>6035798.0559031684</v>
      </c>
      <c r="H81" s="12">
        <f t="shared" si="5"/>
        <v>-6.9632494982891369E-2</v>
      </c>
      <c r="I81" s="2">
        <f>VLOOKUP(A:A,MASTER!A:E,5,0)</f>
        <v>575</v>
      </c>
      <c r="J81" s="2">
        <f>VLOOKUP(A:A,MASTER!A:J,10,0)</f>
        <v>516</v>
      </c>
      <c r="K81" s="12">
        <f t="shared" si="6"/>
        <v>-0.1026086956521739</v>
      </c>
      <c r="L81" s="2">
        <f>VLOOKUP(A:A,MASTER!A:D,4,0)</f>
        <v>1</v>
      </c>
      <c r="M81" s="2">
        <f>VLOOKUP(A:A,MASTER!A:I,9,0)</f>
        <v>0</v>
      </c>
      <c r="N81" s="12">
        <f t="shared" si="7"/>
        <v>-1</v>
      </c>
      <c r="O81" s="1">
        <f>VLOOKUP(A:A,MASTER!A:C,3,0)</f>
        <v>0</v>
      </c>
      <c r="P81" s="1">
        <f>VLOOKUP(A:A,MASTER!A:H,8,0)</f>
        <v>3</v>
      </c>
      <c r="Q81" s="12">
        <f t="shared" si="8"/>
        <v>0</v>
      </c>
      <c r="R81" s="1">
        <f>VLOOKUP(A:A,MASTER!A:B,2,0)</f>
        <v>570</v>
      </c>
      <c r="S81">
        <f>VLOOKUP(A:A,MASTER!A:G,7,0)</f>
        <v>586</v>
      </c>
      <c r="T81" s="12">
        <f t="shared" si="9"/>
        <v>2.8070175438596578E-2</v>
      </c>
      <c r="U81">
        <v>0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24961367.373817325</v>
      </c>
      <c r="G82" s="1">
        <f>VLOOKUP(A:A,MASTER!A:K,11,0)</f>
        <v>32354431.497194093</v>
      </c>
      <c r="H82" s="12">
        <f t="shared" si="5"/>
        <v>0.29618025377614376</v>
      </c>
      <c r="I82" s="2">
        <f>VLOOKUP(A:A,MASTER!A:E,5,0)</f>
        <v>1231</v>
      </c>
      <c r="J82" s="2">
        <f>VLOOKUP(A:A,MASTER!A:J,10,0)</f>
        <v>1416</v>
      </c>
      <c r="K82" s="12">
        <f t="shared" si="6"/>
        <v>0.1502843216896832</v>
      </c>
      <c r="L82" s="2">
        <f>VLOOKUP(A:A,MASTER!A:D,4,0)</f>
        <v>10</v>
      </c>
      <c r="M82" s="2">
        <f>VLOOKUP(A:A,MASTER!A:I,9,0)</f>
        <v>9</v>
      </c>
      <c r="N82" s="12">
        <f t="shared" si="7"/>
        <v>-9.9999999999999978E-2</v>
      </c>
      <c r="O82" s="1">
        <f>VLOOKUP(A:A,MASTER!A:C,3,0)</f>
        <v>0</v>
      </c>
      <c r="P82" s="1">
        <f>VLOOKUP(A:A,MASTER!A:H,8,0)</f>
        <v>2</v>
      </c>
      <c r="Q82" s="12">
        <f t="shared" si="8"/>
        <v>0</v>
      </c>
      <c r="R82" s="1">
        <f>VLOOKUP(A:A,MASTER!A:B,2,0)</f>
        <v>1749</v>
      </c>
      <c r="S82">
        <f>VLOOKUP(A:A,MASTER!A:G,7,0)</f>
        <v>1638</v>
      </c>
      <c r="T82" s="12">
        <f t="shared" si="9"/>
        <v>-6.3464837049742706E-2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5257767.1612561923</v>
      </c>
      <c r="G83" s="1">
        <f>VLOOKUP(A:A,MASTER!A:K,11,0)</f>
        <v>6940294.5084846998</v>
      </c>
      <c r="H83" s="12">
        <f t="shared" si="5"/>
        <v>0.32000796072272553</v>
      </c>
      <c r="I83" s="2">
        <f>VLOOKUP(A:A,MASTER!A:E,5,0)</f>
        <v>668</v>
      </c>
      <c r="J83" s="2">
        <f>VLOOKUP(A:A,MASTER!A:J,10,0)</f>
        <v>691</v>
      </c>
      <c r="K83" s="12">
        <f t="shared" si="6"/>
        <v>3.4431137724550975E-2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0</v>
      </c>
      <c r="P83" s="1">
        <f>VLOOKUP(A:A,MASTER!A:H,8,0)</f>
        <v>1</v>
      </c>
      <c r="Q83" s="12">
        <f t="shared" si="8"/>
        <v>0</v>
      </c>
      <c r="R83" s="1">
        <f>VLOOKUP(A:A,MASTER!A:B,2,0)</f>
        <v>588</v>
      </c>
      <c r="S83">
        <f>VLOOKUP(A:A,MASTER!A:G,7,0)</f>
        <v>825</v>
      </c>
      <c r="T83" s="12">
        <f t="shared" si="9"/>
        <v>0.40306122448979598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12089993.761039732</v>
      </c>
      <c r="G84" s="1">
        <f>VLOOKUP(A:A,MASTER!A:K,11,0)</f>
        <v>12306215.501017915</v>
      </c>
      <c r="H84" s="12">
        <f t="shared" si="5"/>
        <v>1.7884354967573568E-2</v>
      </c>
      <c r="I84" s="2">
        <f>VLOOKUP(A:A,MASTER!A:E,5,0)</f>
        <v>590</v>
      </c>
      <c r="J84" s="2">
        <f>VLOOKUP(A:A,MASTER!A:J,10,0)</f>
        <v>819</v>
      </c>
      <c r="K84" s="12">
        <f t="shared" si="6"/>
        <v>0.38813559322033897</v>
      </c>
      <c r="L84" s="2">
        <f>VLOOKUP(A:A,MASTER!A:D,4,0)</f>
        <v>7</v>
      </c>
      <c r="M84" s="2">
        <f>VLOOKUP(A:A,MASTER!A:I,9,0)</f>
        <v>8</v>
      </c>
      <c r="N84" s="12">
        <f t="shared" si="7"/>
        <v>0.14285714285714279</v>
      </c>
      <c r="O84" s="1">
        <f>VLOOKUP(A:A,MASTER!A:C,3,0)</f>
        <v>3</v>
      </c>
      <c r="P84" s="1">
        <f>VLOOKUP(A:A,MASTER!A:H,8,0)</f>
        <v>3</v>
      </c>
      <c r="Q84" s="12">
        <f t="shared" si="8"/>
        <v>0</v>
      </c>
      <c r="R84" s="1">
        <f>VLOOKUP(A:A,MASTER!A:B,2,0)</f>
        <v>620</v>
      </c>
      <c r="S84">
        <f>VLOOKUP(A:A,MASTER!A:G,7,0)</f>
        <v>831</v>
      </c>
      <c r="T84" s="12">
        <f t="shared" si="9"/>
        <v>0.3403225806451613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3097683.3856593869</v>
      </c>
      <c r="G85" s="1">
        <f>VLOOKUP(A:A,MASTER!A:K,11,0)</f>
        <v>3431436.0204598708</v>
      </c>
      <c r="H85" s="12">
        <f t="shared" si="5"/>
        <v>0.10774265580064757</v>
      </c>
      <c r="I85" s="2">
        <f>VLOOKUP(A:A,MASTER!A:E,5,0)</f>
        <v>312</v>
      </c>
      <c r="J85" s="2">
        <f>VLOOKUP(A:A,MASTER!A:J,10,0)</f>
        <v>374</v>
      </c>
      <c r="K85" s="12">
        <f t="shared" si="6"/>
        <v>0.19871794871794868</v>
      </c>
      <c r="L85" s="2">
        <f>VLOOKUP(A:A,MASTER!A:D,4,0)</f>
        <v>0</v>
      </c>
      <c r="M85" s="2">
        <f>VLOOKUP(A:A,MASTER!A:I,9,0)</f>
        <v>1</v>
      </c>
      <c r="N85" s="12">
        <f t="shared" si="7"/>
        <v>0</v>
      </c>
      <c r="O85" s="1">
        <f>VLOOKUP(A:A,MASTER!A:C,3,0)</f>
        <v>1</v>
      </c>
      <c r="P85" s="1">
        <f>VLOOKUP(A:A,MASTER!A:H,8,0)</f>
        <v>2</v>
      </c>
      <c r="Q85" s="12">
        <f t="shared" si="8"/>
        <v>1</v>
      </c>
      <c r="R85" s="1">
        <f>VLOOKUP(A:A,MASTER!A:B,2,0)</f>
        <v>356</v>
      </c>
      <c r="S85">
        <f>VLOOKUP(A:A,MASTER!A:G,7,0)</f>
        <v>412</v>
      </c>
      <c r="T85" s="12">
        <f t="shared" si="9"/>
        <v>0.15730337078651679</v>
      </c>
      <c r="U85">
        <v>2</v>
      </c>
    </row>
  </sheetData>
  <conditionalFormatting sqref="U2:U85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tabSelected="1" workbookViewId="0">
      <pane xSplit="1" ySplit="5" topLeftCell="B78" activePane="bottomRight" state="frozen"/>
      <selection pane="topRight" activeCell="B1" sqref="B1"/>
      <selection pane="bottomLeft" activeCell="A6" sqref="A6"/>
      <selection pane="bottomRight" activeCell="A5" sqref="A5:K91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84684</v>
      </c>
      <c r="C3" s="11">
        <f t="shared" si="0"/>
        <v>625</v>
      </c>
      <c r="D3" s="11">
        <f t="shared" si="0"/>
        <v>312</v>
      </c>
      <c r="E3" s="11">
        <f t="shared" si="0"/>
        <v>71951</v>
      </c>
      <c r="F3" s="11">
        <f t="shared" si="0"/>
        <v>1196960547.0951834</v>
      </c>
      <c r="G3" s="11">
        <f t="shared" si="0"/>
        <v>84011</v>
      </c>
      <c r="H3" s="11">
        <f t="shared" si="0"/>
        <v>807</v>
      </c>
      <c r="I3" s="11">
        <f t="shared" si="0"/>
        <v>312</v>
      </c>
      <c r="J3" s="11">
        <f t="shared" si="0"/>
        <v>72204</v>
      </c>
      <c r="K3" s="11">
        <f t="shared" si="0"/>
        <v>1274615409.4607322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410</v>
      </c>
      <c r="C6" s="10">
        <v>0</v>
      </c>
      <c r="D6" s="10">
        <v>2</v>
      </c>
      <c r="E6" s="10">
        <v>379</v>
      </c>
      <c r="F6" s="10">
        <v>5418372.904174177</v>
      </c>
      <c r="G6" s="10">
        <v>428</v>
      </c>
      <c r="H6" s="10">
        <v>1</v>
      </c>
      <c r="I6" s="10">
        <v>2</v>
      </c>
      <c r="J6" s="10">
        <v>360</v>
      </c>
      <c r="K6" s="10">
        <v>5707183.2083690893</v>
      </c>
    </row>
    <row r="7" spans="1:11" x14ac:dyDescent="0.35">
      <c r="A7" s="9" t="s">
        <v>127</v>
      </c>
      <c r="B7" s="10">
        <v>641</v>
      </c>
      <c r="C7" s="10">
        <v>1</v>
      </c>
      <c r="D7" s="10">
        <v>2</v>
      </c>
      <c r="E7" s="10">
        <v>497</v>
      </c>
      <c r="F7" s="10">
        <v>6655353.8674134156</v>
      </c>
      <c r="G7" s="10">
        <v>518</v>
      </c>
      <c r="H7" s="10">
        <v>4</v>
      </c>
      <c r="I7" s="10">
        <v>3</v>
      </c>
      <c r="J7" s="10">
        <v>496</v>
      </c>
      <c r="K7" s="10">
        <v>5999210.9090096587</v>
      </c>
    </row>
    <row r="8" spans="1:11" x14ac:dyDescent="0.35">
      <c r="A8" s="9" t="s">
        <v>119</v>
      </c>
      <c r="B8" s="10">
        <v>734</v>
      </c>
      <c r="C8" s="10">
        <v>3</v>
      </c>
      <c r="D8" s="10">
        <v>1</v>
      </c>
      <c r="E8" s="10">
        <v>745</v>
      </c>
      <c r="F8" s="10">
        <v>6616744.8858936504</v>
      </c>
      <c r="G8" s="10">
        <v>731</v>
      </c>
      <c r="H8" s="10">
        <v>3</v>
      </c>
      <c r="I8" s="10">
        <v>1</v>
      </c>
      <c r="J8" s="10">
        <v>635</v>
      </c>
      <c r="K8" s="10">
        <v>9113558.4483174849</v>
      </c>
    </row>
    <row r="9" spans="1:11" x14ac:dyDescent="0.35">
      <c r="A9" s="9" t="s">
        <v>121</v>
      </c>
      <c r="B9" s="10">
        <v>1207</v>
      </c>
      <c r="C9" s="10">
        <v>2</v>
      </c>
      <c r="D9" s="10">
        <v>3</v>
      </c>
      <c r="E9" s="10">
        <v>998</v>
      </c>
      <c r="F9" s="10">
        <v>13918253.055916701</v>
      </c>
      <c r="G9" s="10">
        <v>1004</v>
      </c>
      <c r="H9" s="10">
        <v>2</v>
      </c>
      <c r="I9" s="10">
        <v>2</v>
      </c>
      <c r="J9" s="10">
        <v>988</v>
      </c>
      <c r="K9" s="10">
        <v>14881269.329693543</v>
      </c>
    </row>
    <row r="10" spans="1:11" x14ac:dyDescent="0.35">
      <c r="A10" s="9" t="s">
        <v>123</v>
      </c>
      <c r="B10" s="10">
        <v>410</v>
      </c>
      <c r="C10" s="10">
        <v>1</v>
      </c>
      <c r="D10" s="10">
        <v>1</v>
      </c>
      <c r="E10" s="10">
        <v>419</v>
      </c>
      <c r="F10" s="10">
        <v>5841882.1868238933</v>
      </c>
      <c r="G10" s="10">
        <v>445</v>
      </c>
      <c r="H10" s="10">
        <v>2</v>
      </c>
      <c r="I10" s="10">
        <v>1</v>
      </c>
      <c r="J10" s="10">
        <v>353</v>
      </c>
      <c r="K10" s="10">
        <v>6630997.0932482313</v>
      </c>
    </row>
    <row r="11" spans="1:11" x14ac:dyDescent="0.35">
      <c r="A11" s="9" t="s">
        <v>125</v>
      </c>
      <c r="B11" s="10">
        <v>378</v>
      </c>
      <c r="C11" s="10">
        <v>2</v>
      </c>
      <c r="D11" s="10">
        <v>2</v>
      </c>
      <c r="E11" s="10">
        <v>301</v>
      </c>
      <c r="F11" s="10">
        <v>5349337.4154645661</v>
      </c>
      <c r="G11" s="10">
        <v>275</v>
      </c>
      <c r="H11" s="10">
        <v>0</v>
      </c>
      <c r="I11" s="10">
        <v>2</v>
      </c>
      <c r="J11" s="10">
        <v>240</v>
      </c>
      <c r="K11" s="10">
        <v>4066582.3899219278</v>
      </c>
    </row>
    <row r="12" spans="1:11" x14ac:dyDescent="0.35">
      <c r="A12" s="9" t="s">
        <v>131</v>
      </c>
      <c r="B12" s="10">
        <v>592</v>
      </c>
      <c r="C12" s="10">
        <v>0</v>
      </c>
      <c r="D12" s="10">
        <v>5</v>
      </c>
      <c r="E12" s="10">
        <v>483</v>
      </c>
      <c r="F12" s="10">
        <v>5992655.7814075937</v>
      </c>
      <c r="G12" s="10">
        <v>570</v>
      </c>
      <c r="H12" s="10">
        <v>0</v>
      </c>
      <c r="I12" s="10">
        <v>0</v>
      </c>
      <c r="J12" s="10">
        <v>482</v>
      </c>
      <c r="K12" s="10">
        <v>6423048.4638235439</v>
      </c>
    </row>
    <row r="13" spans="1:11" x14ac:dyDescent="0.35">
      <c r="A13" s="9" t="s">
        <v>133</v>
      </c>
      <c r="B13" s="10">
        <v>172</v>
      </c>
      <c r="C13" s="10">
        <v>0</v>
      </c>
      <c r="D13" s="10">
        <v>0</v>
      </c>
      <c r="E13" s="10">
        <v>150</v>
      </c>
      <c r="F13" s="10">
        <v>2745914.61837728</v>
      </c>
      <c r="G13" s="10">
        <v>157</v>
      </c>
      <c r="H13" s="10">
        <v>0</v>
      </c>
      <c r="I13" s="10">
        <v>1</v>
      </c>
      <c r="J13" s="10">
        <v>137</v>
      </c>
      <c r="K13" s="10">
        <v>3025372.7211816409</v>
      </c>
    </row>
    <row r="14" spans="1:11" x14ac:dyDescent="0.35">
      <c r="A14" s="9" t="s">
        <v>141</v>
      </c>
      <c r="B14" s="10">
        <v>185</v>
      </c>
      <c r="C14" s="10">
        <v>0</v>
      </c>
      <c r="D14" s="10">
        <v>1</v>
      </c>
      <c r="E14" s="10">
        <v>14</v>
      </c>
      <c r="F14" s="10">
        <v>268469.072030415</v>
      </c>
      <c r="G14" s="10">
        <v>229</v>
      </c>
      <c r="H14" s="10">
        <v>0</v>
      </c>
      <c r="I14" s="10">
        <v>1</v>
      </c>
      <c r="J14" s="10">
        <v>170</v>
      </c>
      <c r="K14" s="10">
        <v>2933312.1845007711</v>
      </c>
    </row>
    <row r="15" spans="1:11" x14ac:dyDescent="0.35">
      <c r="A15" s="9" t="s">
        <v>135</v>
      </c>
      <c r="B15" s="10">
        <v>373</v>
      </c>
      <c r="C15" s="10">
        <v>1</v>
      </c>
      <c r="D15" s="10">
        <v>1</v>
      </c>
      <c r="E15" s="10">
        <v>542</v>
      </c>
      <c r="F15" s="10">
        <v>5951911.0712441681</v>
      </c>
      <c r="G15" s="10">
        <v>442</v>
      </c>
      <c r="H15" s="10">
        <v>3</v>
      </c>
      <c r="I15" s="10">
        <v>1</v>
      </c>
      <c r="J15" s="10">
        <v>354</v>
      </c>
      <c r="K15" s="10">
        <v>4995763.6884726174</v>
      </c>
    </row>
    <row r="16" spans="1:11" x14ac:dyDescent="0.35">
      <c r="A16" s="9" t="s">
        <v>143</v>
      </c>
      <c r="B16" s="10">
        <v>198</v>
      </c>
      <c r="C16" s="10">
        <v>0</v>
      </c>
      <c r="D16" s="10">
        <v>2</v>
      </c>
      <c r="E16" s="10">
        <v>578</v>
      </c>
      <c r="F16" s="10">
        <v>2626858.817443945</v>
      </c>
      <c r="G16" s="10">
        <v>207</v>
      </c>
      <c r="H16" s="10">
        <v>0</v>
      </c>
      <c r="I16" s="10">
        <v>2</v>
      </c>
      <c r="J16" s="10">
        <v>219</v>
      </c>
      <c r="K16" s="10">
        <v>2577970.264665389</v>
      </c>
    </row>
    <row r="17" spans="1:11" x14ac:dyDescent="0.35">
      <c r="A17" s="9" t="s">
        <v>145</v>
      </c>
      <c r="B17" s="10">
        <v>241</v>
      </c>
      <c r="C17" s="10">
        <v>0</v>
      </c>
      <c r="D17" s="10">
        <v>1</v>
      </c>
      <c r="E17" s="10">
        <v>244</v>
      </c>
      <c r="F17" s="10">
        <v>2936273.7854088028</v>
      </c>
      <c r="G17" s="10">
        <v>266</v>
      </c>
      <c r="H17" s="10">
        <v>0</v>
      </c>
      <c r="I17" s="10">
        <v>0</v>
      </c>
      <c r="J17" s="10">
        <v>204</v>
      </c>
      <c r="K17" s="10">
        <v>2971619.2789878012</v>
      </c>
    </row>
    <row r="18" spans="1:11" x14ac:dyDescent="0.35">
      <c r="A18" s="9" t="s">
        <v>20</v>
      </c>
      <c r="B18" s="10">
        <v>1427</v>
      </c>
      <c r="C18" s="10">
        <v>2</v>
      </c>
      <c r="D18" s="10">
        <v>3</v>
      </c>
      <c r="E18" s="10">
        <v>802</v>
      </c>
      <c r="F18" s="10">
        <v>8715036.5063284654</v>
      </c>
      <c r="G18" s="10">
        <v>1349</v>
      </c>
      <c r="H18" s="10">
        <v>1</v>
      </c>
      <c r="I18" s="10">
        <v>5</v>
      </c>
      <c r="J18" s="10">
        <v>1224</v>
      </c>
      <c r="K18" s="10">
        <v>16895258.577605799</v>
      </c>
    </row>
    <row r="19" spans="1:11" x14ac:dyDescent="0.35">
      <c r="A19" s="9" t="s">
        <v>45</v>
      </c>
      <c r="B19" s="10">
        <v>1240</v>
      </c>
      <c r="C19" s="10">
        <v>1</v>
      </c>
      <c r="D19" s="10">
        <v>4</v>
      </c>
      <c r="E19" s="10">
        <v>881</v>
      </c>
      <c r="F19" s="10">
        <v>19272587.974640708</v>
      </c>
      <c r="G19" s="10">
        <v>1179</v>
      </c>
      <c r="H19" s="10">
        <v>0</v>
      </c>
      <c r="I19" s="10">
        <v>2</v>
      </c>
      <c r="J19" s="10">
        <v>978</v>
      </c>
      <c r="K19" s="10">
        <v>24362280.804234408</v>
      </c>
    </row>
    <row r="20" spans="1:11" x14ac:dyDescent="0.35">
      <c r="A20" s="9" t="s">
        <v>47</v>
      </c>
      <c r="B20" s="10">
        <v>1028</v>
      </c>
      <c r="C20" s="10">
        <v>2</v>
      </c>
      <c r="D20" s="10">
        <v>5</v>
      </c>
      <c r="E20" s="10">
        <v>939</v>
      </c>
      <c r="F20" s="10">
        <v>11480973.99568239</v>
      </c>
      <c r="G20" s="10">
        <v>1112</v>
      </c>
      <c r="H20" s="10">
        <v>4</v>
      </c>
      <c r="I20" s="10">
        <v>5</v>
      </c>
      <c r="J20" s="10">
        <v>952</v>
      </c>
      <c r="K20" s="10">
        <v>11877285.959053067</v>
      </c>
    </row>
    <row r="21" spans="1:11" x14ac:dyDescent="0.35">
      <c r="A21" s="9" t="s">
        <v>49</v>
      </c>
      <c r="B21" s="10">
        <v>919</v>
      </c>
      <c r="C21" s="10">
        <v>3</v>
      </c>
      <c r="D21" s="10">
        <v>4</v>
      </c>
      <c r="E21" s="10">
        <v>696</v>
      </c>
      <c r="F21" s="10">
        <v>7650094.5240737759</v>
      </c>
      <c r="G21" s="10">
        <v>806</v>
      </c>
      <c r="H21" s="10">
        <v>0</v>
      </c>
      <c r="I21" s="10">
        <v>3</v>
      </c>
      <c r="J21" s="10">
        <v>713</v>
      </c>
      <c r="K21" s="10">
        <v>11448712.803386508</v>
      </c>
    </row>
    <row r="22" spans="1:11" x14ac:dyDescent="0.35">
      <c r="A22" s="9" t="s">
        <v>51</v>
      </c>
      <c r="B22" s="10">
        <v>2980</v>
      </c>
      <c r="C22" s="10">
        <v>167</v>
      </c>
      <c r="D22" s="10">
        <v>10</v>
      </c>
      <c r="E22" s="10">
        <v>2890</v>
      </c>
      <c r="F22" s="10">
        <v>43075370.905603178</v>
      </c>
      <c r="G22" s="10">
        <v>3500</v>
      </c>
      <c r="H22" s="10">
        <v>18</v>
      </c>
      <c r="I22" s="10">
        <v>13</v>
      </c>
      <c r="J22" s="10">
        <v>3280</v>
      </c>
      <c r="K22" s="10">
        <v>39477145.329366483</v>
      </c>
    </row>
    <row r="23" spans="1:11" x14ac:dyDescent="0.35">
      <c r="A23" s="9" t="s">
        <v>53</v>
      </c>
      <c r="B23" s="10">
        <v>1375</v>
      </c>
      <c r="C23" s="10">
        <v>2</v>
      </c>
      <c r="D23" s="10">
        <v>1</v>
      </c>
      <c r="E23" s="10">
        <v>11</v>
      </c>
      <c r="F23" s="10">
        <v>8067116.1734909713</v>
      </c>
      <c r="G23" s="10">
        <v>1324</v>
      </c>
      <c r="H23" s="10">
        <v>4</v>
      </c>
      <c r="I23" s="10">
        <v>2</v>
      </c>
      <c r="J23" s="10">
        <v>1242</v>
      </c>
      <c r="K23" s="10">
        <v>21227150.504482407</v>
      </c>
    </row>
    <row r="24" spans="1:11" x14ac:dyDescent="0.35">
      <c r="A24" s="9" t="s">
        <v>55</v>
      </c>
      <c r="B24" s="10">
        <v>2961</v>
      </c>
      <c r="C24" s="10">
        <v>8</v>
      </c>
      <c r="D24" s="10">
        <v>10</v>
      </c>
      <c r="E24" s="10">
        <v>2202</v>
      </c>
      <c r="F24" s="10">
        <v>42220482.490884878</v>
      </c>
      <c r="G24" s="10">
        <v>1451</v>
      </c>
      <c r="H24" s="10">
        <v>3</v>
      </c>
      <c r="I24" s="10">
        <v>9</v>
      </c>
      <c r="J24" s="10">
        <v>699</v>
      </c>
      <c r="K24" s="10">
        <v>37085599.836164154</v>
      </c>
    </row>
    <row r="25" spans="1:11" x14ac:dyDescent="0.35">
      <c r="A25" s="9" t="s">
        <v>67</v>
      </c>
      <c r="B25" s="10">
        <v>532</v>
      </c>
      <c r="C25" s="10">
        <v>4</v>
      </c>
      <c r="D25" s="10">
        <v>1</v>
      </c>
      <c r="E25" s="10">
        <v>534</v>
      </c>
      <c r="F25" s="10">
        <v>6417291.9294664236</v>
      </c>
      <c r="G25" s="10">
        <v>570</v>
      </c>
      <c r="H25" s="10">
        <v>2</v>
      </c>
      <c r="I25" s="10">
        <v>1</v>
      </c>
      <c r="J25" s="10">
        <v>530</v>
      </c>
      <c r="K25" s="10">
        <v>5975159.008832966</v>
      </c>
    </row>
    <row r="26" spans="1:11" x14ac:dyDescent="0.35">
      <c r="A26" s="9" t="s">
        <v>74</v>
      </c>
      <c r="B26" s="10">
        <v>1731</v>
      </c>
      <c r="C26" s="10">
        <v>7</v>
      </c>
      <c r="D26" s="10">
        <v>1</v>
      </c>
      <c r="E26" s="10">
        <v>1282</v>
      </c>
      <c r="F26" s="10">
        <v>17229877.206090581</v>
      </c>
      <c r="G26" s="10">
        <v>2045</v>
      </c>
      <c r="H26" s="10">
        <v>11</v>
      </c>
      <c r="I26" s="10">
        <v>1</v>
      </c>
      <c r="J26" s="10">
        <v>1640</v>
      </c>
      <c r="K26" s="10">
        <v>15938068.241658008</v>
      </c>
    </row>
    <row r="27" spans="1:11" x14ac:dyDescent="0.35">
      <c r="A27" s="9" t="s">
        <v>70</v>
      </c>
      <c r="B27" s="10">
        <v>886</v>
      </c>
      <c r="C27" s="10">
        <v>7</v>
      </c>
      <c r="D27" s="10">
        <v>1</v>
      </c>
      <c r="E27" s="10">
        <v>792</v>
      </c>
      <c r="F27" s="10">
        <v>6993776.1481950805</v>
      </c>
      <c r="G27" s="10">
        <v>620</v>
      </c>
      <c r="H27" s="10">
        <v>3</v>
      </c>
      <c r="I27" s="10">
        <v>0</v>
      </c>
      <c r="J27" s="10">
        <v>708</v>
      </c>
      <c r="K27" s="10">
        <v>6482673.9185763011</v>
      </c>
    </row>
    <row r="28" spans="1:11" x14ac:dyDescent="0.35">
      <c r="A28" s="9" t="s">
        <v>72</v>
      </c>
      <c r="B28" s="10">
        <v>880</v>
      </c>
      <c r="C28" s="10">
        <v>4</v>
      </c>
      <c r="D28" s="10">
        <v>1</v>
      </c>
      <c r="E28" s="10">
        <v>731</v>
      </c>
      <c r="F28" s="10">
        <v>8948813.0238359943</v>
      </c>
      <c r="G28" s="10">
        <v>590</v>
      </c>
      <c r="H28" s="10">
        <v>1</v>
      </c>
      <c r="I28" s="10">
        <v>0</v>
      </c>
      <c r="J28" s="10">
        <v>641</v>
      </c>
      <c r="K28" s="10">
        <v>8155225.0072039263</v>
      </c>
    </row>
    <row r="29" spans="1:11" x14ac:dyDescent="0.35">
      <c r="A29" s="9" t="s">
        <v>79</v>
      </c>
      <c r="B29" s="10">
        <v>232</v>
      </c>
      <c r="C29" s="10">
        <v>1</v>
      </c>
      <c r="D29" s="10">
        <v>3</v>
      </c>
      <c r="E29" s="10">
        <v>2554</v>
      </c>
      <c r="F29" s="10">
        <v>1899025.7596012801</v>
      </c>
      <c r="G29" s="10">
        <v>58</v>
      </c>
      <c r="H29" s="10">
        <v>0</v>
      </c>
      <c r="I29" s="10">
        <v>0</v>
      </c>
      <c r="J29" s="10">
        <v>22</v>
      </c>
      <c r="K29" s="10">
        <v>2094624.724971079</v>
      </c>
    </row>
    <row r="30" spans="1:11" x14ac:dyDescent="0.35">
      <c r="A30" s="9" t="s">
        <v>109</v>
      </c>
      <c r="B30" s="10">
        <v>1653</v>
      </c>
      <c r="C30" s="10">
        <v>9</v>
      </c>
      <c r="D30" s="10">
        <v>6</v>
      </c>
      <c r="E30" s="10">
        <v>1372</v>
      </c>
      <c r="F30" s="10">
        <v>16603978.693214213</v>
      </c>
      <c r="G30" s="10">
        <v>2012</v>
      </c>
      <c r="H30" s="10">
        <v>2</v>
      </c>
      <c r="I30" s="10">
        <v>6</v>
      </c>
      <c r="J30" s="10">
        <v>1639</v>
      </c>
      <c r="K30" s="10">
        <v>17452844.319632899</v>
      </c>
    </row>
    <row r="31" spans="1:11" x14ac:dyDescent="0.35">
      <c r="A31" s="9" t="s">
        <v>111</v>
      </c>
      <c r="B31" s="10">
        <v>874</v>
      </c>
      <c r="C31" s="10">
        <v>0</v>
      </c>
      <c r="D31" s="10">
        <v>1</v>
      </c>
      <c r="E31" s="10">
        <v>816</v>
      </c>
      <c r="F31" s="10">
        <v>12922041.414067835</v>
      </c>
      <c r="G31" s="10">
        <v>816</v>
      </c>
      <c r="H31" s="10">
        <v>2</v>
      </c>
      <c r="I31" s="10">
        <v>1</v>
      </c>
      <c r="J31" s="10">
        <v>686</v>
      </c>
      <c r="K31" s="10">
        <v>14270402.75839052</v>
      </c>
    </row>
    <row r="32" spans="1:11" x14ac:dyDescent="0.35">
      <c r="A32" s="9" t="s">
        <v>113</v>
      </c>
      <c r="B32" s="10">
        <v>1065</v>
      </c>
      <c r="C32" s="10">
        <v>1</v>
      </c>
      <c r="D32" s="10">
        <v>1</v>
      </c>
      <c r="E32" s="10">
        <v>827</v>
      </c>
      <c r="F32" s="10">
        <v>12603093.7681116</v>
      </c>
      <c r="G32" s="10">
        <v>879</v>
      </c>
      <c r="H32" s="10">
        <v>1</v>
      </c>
      <c r="I32" s="10">
        <v>2</v>
      </c>
      <c r="J32" s="10">
        <v>676</v>
      </c>
      <c r="K32" s="10">
        <v>14117425.032966107</v>
      </c>
    </row>
    <row r="33" spans="1:11" x14ac:dyDescent="0.35">
      <c r="A33" s="9" t="s">
        <v>115</v>
      </c>
      <c r="B33" s="10">
        <v>1111</v>
      </c>
      <c r="C33" s="10">
        <v>2</v>
      </c>
      <c r="D33" s="10">
        <v>2</v>
      </c>
      <c r="E33" s="10">
        <v>879</v>
      </c>
      <c r="F33" s="10">
        <v>17671287.974608932</v>
      </c>
      <c r="G33" s="10">
        <v>1074</v>
      </c>
      <c r="H33" s="10">
        <v>1</v>
      </c>
      <c r="I33" s="10">
        <v>3</v>
      </c>
      <c r="J33" s="10">
        <v>946</v>
      </c>
      <c r="K33" s="10">
        <v>19701935.431696255</v>
      </c>
    </row>
    <row r="34" spans="1:11" x14ac:dyDescent="0.35">
      <c r="A34" s="9" t="s">
        <v>16</v>
      </c>
      <c r="B34" s="10">
        <v>1472</v>
      </c>
      <c r="C34" s="10">
        <v>2</v>
      </c>
      <c r="D34" s="10">
        <v>5</v>
      </c>
      <c r="E34" s="10">
        <v>1077</v>
      </c>
      <c r="F34" s="10">
        <v>24965113.308334265</v>
      </c>
      <c r="G34" s="10">
        <v>1341</v>
      </c>
      <c r="H34" s="10">
        <v>1</v>
      </c>
      <c r="I34" s="10">
        <v>2</v>
      </c>
      <c r="J34" s="10">
        <v>1225</v>
      </c>
      <c r="K34" s="10">
        <v>27031660.760153357</v>
      </c>
    </row>
    <row r="35" spans="1:11" x14ac:dyDescent="0.35">
      <c r="A35" s="9" t="s">
        <v>18</v>
      </c>
      <c r="B35" s="10">
        <v>680</v>
      </c>
      <c r="C35" s="10">
        <v>0</v>
      </c>
      <c r="D35" s="10">
        <v>5</v>
      </c>
      <c r="E35" s="10">
        <v>532</v>
      </c>
      <c r="F35" s="10">
        <v>10229028.002307547</v>
      </c>
      <c r="G35" s="10">
        <v>630</v>
      </c>
      <c r="H35" s="10">
        <v>0</v>
      </c>
      <c r="I35" s="10">
        <v>5</v>
      </c>
      <c r="J35" s="10">
        <v>568</v>
      </c>
      <c r="K35" s="10">
        <v>9576794.6715028659</v>
      </c>
    </row>
    <row r="36" spans="1:11" x14ac:dyDescent="0.35">
      <c r="A36" s="9" t="s">
        <v>43</v>
      </c>
      <c r="B36" s="10">
        <v>1937</v>
      </c>
      <c r="C36" s="10">
        <v>4</v>
      </c>
      <c r="D36" s="10">
        <v>11</v>
      </c>
      <c r="E36" s="10">
        <v>1550</v>
      </c>
      <c r="F36" s="10">
        <v>31206826.586882722</v>
      </c>
      <c r="G36" s="10">
        <v>1681</v>
      </c>
      <c r="H36" s="10">
        <v>2</v>
      </c>
      <c r="I36" s="10">
        <v>5</v>
      </c>
      <c r="J36" s="10">
        <v>1607</v>
      </c>
      <c r="K36" s="10">
        <v>16252855.727166254</v>
      </c>
    </row>
    <row r="37" spans="1:11" x14ac:dyDescent="0.35">
      <c r="A37" s="9" t="s">
        <v>152</v>
      </c>
      <c r="B37" s="10">
        <v>843</v>
      </c>
      <c r="C37" s="10">
        <v>1</v>
      </c>
      <c r="D37" s="10">
        <v>2</v>
      </c>
      <c r="E37" s="10">
        <v>645</v>
      </c>
      <c r="F37" s="10">
        <v>10310210.981983429</v>
      </c>
      <c r="G37" s="10">
        <v>850</v>
      </c>
      <c r="H37" s="10">
        <v>1</v>
      </c>
      <c r="I37" s="10">
        <v>2</v>
      </c>
      <c r="J37" s="10">
        <v>714</v>
      </c>
      <c r="K37" s="10">
        <v>11276359.683790486</v>
      </c>
    </row>
    <row r="38" spans="1:11" x14ac:dyDescent="0.35">
      <c r="A38" s="9" t="s">
        <v>149</v>
      </c>
      <c r="B38" s="10">
        <v>718</v>
      </c>
      <c r="C38" s="10">
        <v>0</v>
      </c>
      <c r="D38" s="10">
        <v>1</v>
      </c>
      <c r="E38" s="10">
        <v>525</v>
      </c>
      <c r="F38" s="10">
        <v>9956464.4853390045</v>
      </c>
      <c r="G38" s="10">
        <v>763</v>
      </c>
      <c r="H38" s="10">
        <v>1</v>
      </c>
      <c r="I38" s="10">
        <v>1</v>
      </c>
      <c r="J38" s="10">
        <v>590</v>
      </c>
      <c r="K38" s="10">
        <v>9737283.1264209952</v>
      </c>
    </row>
    <row r="39" spans="1:11" x14ac:dyDescent="0.35">
      <c r="A39" s="9" t="s">
        <v>154</v>
      </c>
      <c r="B39" s="10">
        <v>1171</v>
      </c>
      <c r="C39" s="10">
        <v>5</v>
      </c>
      <c r="D39" s="10">
        <v>1</v>
      </c>
      <c r="E39" s="10">
        <v>852</v>
      </c>
      <c r="F39" s="10">
        <v>15247246.138250489</v>
      </c>
      <c r="G39" s="10">
        <v>1260</v>
      </c>
      <c r="H39" s="10">
        <v>5</v>
      </c>
      <c r="I39" s="10">
        <v>2</v>
      </c>
      <c r="J39" s="10">
        <v>915</v>
      </c>
      <c r="K39" s="10">
        <v>17191998.509022333</v>
      </c>
    </row>
    <row r="40" spans="1:11" x14ac:dyDescent="0.35">
      <c r="A40" s="9" t="s">
        <v>2</v>
      </c>
      <c r="B40" s="10">
        <v>1390</v>
      </c>
      <c r="C40" s="10">
        <v>120</v>
      </c>
      <c r="D40" s="10">
        <v>1</v>
      </c>
      <c r="E40" s="10">
        <v>829</v>
      </c>
      <c r="F40" s="10">
        <v>13832437.40682056</v>
      </c>
      <c r="G40" s="10">
        <v>1362</v>
      </c>
      <c r="H40" s="10">
        <v>177</v>
      </c>
      <c r="I40" s="10">
        <v>1</v>
      </c>
      <c r="J40" s="10">
        <v>1055</v>
      </c>
      <c r="K40" s="10">
        <v>15900795.349667588</v>
      </c>
    </row>
    <row r="41" spans="1:11" x14ac:dyDescent="0.35">
      <c r="A41" s="9" t="s">
        <v>156</v>
      </c>
      <c r="B41" s="10">
        <v>2522</v>
      </c>
      <c r="C41" s="10">
        <v>68</v>
      </c>
      <c r="D41" s="10">
        <v>5</v>
      </c>
      <c r="E41" s="10">
        <v>1498</v>
      </c>
      <c r="F41" s="10">
        <v>25300829.159792822</v>
      </c>
      <c r="G41" s="10">
        <v>2221</v>
      </c>
      <c r="H41" s="10">
        <v>80</v>
      </c>
      <c r="I41" s="10">
        <v>5</v>
      </c>
      <c r="J41" s="10">
        <v>1601</v>
      </c>
      <c r="K41" s="10">
        <v>26215309.794850022</v>
      </c>
    </row>
    <row r="42" spans="1:11" x14ac:dyDescent="0.35">
      <c r="A42" s="9" t="s">
        <v>14</v>
      </c>
      <c r="B42" s="10">
        <v>623</v>
      </c>
      <c r="C42" s="10">
        <v>0</v>
      </c>
      <c r="D42" s="10">
        <v>6</v>
      </c>
      <c r="E42" s="10">
        <v>412</v>
      </c>
      <c r="F42" s="10">
        <v>9194554.8656169791</v>
      </c>
      <c r="G42" s="10">
        <v>544</v>
      </c>
      <c r="H42" s="10">
        <v>2</v>
      </c>
      <c r="I42" s="10">
        <v>7</v>
      </c>
      <c r="J42" s="10">
        <v>456</v>
      </c>
      <c r="K42" s="10">
        <v>9965659.0383246522</v>
      </c>
    </row>
    <row r="43" spans="1:11" x14ac:dyDescent="0.35">
      <c r="A43" s="9" t="s">
        <v>8</v>
      </c>
      <c r="B43" s="10">
        <v>2057</v>
      </c>
      <c r="C43" s="10">
        <v>2</v>
      </c>
      <c r="D43" s="10">
        <v>6</v>
      </c>
      <c r="E43" s="10">
        <v>1826</v>
      </c>
      <c r="F43" s="10">
        <v>31018506.036188904</v>
      </c>
      <c r="G43" s="10">
        <v>2274</v>
      </c>
      <c r="H43" s="10">
        <v>4</v>
      </c>
      <c r="I43" s="10">
        <v>5</v>
      </c>
      <c r="J43" s="10">
        <v>2093</v>
      </c>
      <c r="K43" s="10">
        <v>30049053.788881384</v>
      </c>
    </row>
    <row r="44" spans="1:11" x14ac:dyDescent="0.35">
      <c r="A44" s="9" t="s">
        <v>39</v>
      </c>
      <c r="B44" s="10">
        <v>896</v>
      </c>
      <c r="C44" s="10">
        <v>2</v>
      </c>
      <c r="D44" s="10">
        <v>2</v>
      </c>
      <c r="E44" s="10">
        <v>753</v>
      </c>
      <c r="F44" s="10">
        <v>19833459.550569326</v>
      </c>
      <c r="G44" s="10">
        <v>1083</v>
      </c>
      <c r="H44" s="10">
        <v>3</v>
      </c>
      <c r="I44" s="10">
        <v>5</v>
      </c>
      <c r="J44" s="10">
        <v>913</v>
      </c>
      <c r="K44" s="10">
        <v>23691300.580843072</v>
      </c>
    </row>
    <row r="45" spans="1:11" x14ac:dyDescent="0.35">
      <c r="A45" s="9" t="s">
        <v>6</v>
      </c>
      <c r="B45" s="10">
        <v>1087</v>
      </c>
      <c r="C45" s="10">
        <v>0</v>
      </c>
      <c r="D45" s="10">
        <v>3</v>
      </c>
      <c r="E45" s="10">
        <v>918</v>
      </c>
      <c r="F45" s="10">
        <v>8545896.9176560733</v>
      </c>
      <c r="G45" s="10">
        <v>1090</v>
      </c>
      <c r="H45" s="10">
        <v>4</v>
      </c>
      <c r="I45" s="10">
        <v>3</v>
      </c>
      <c r="J45" s="10">
        <v>998</v>
      </c>
      <c r="K45" s="10">
        <v>16991920.997420244</v>
      </c>
    </row>
    <row r="46" spans="1:11" x14ac:dyDescent="0.35">
      <c r="A46" s="9" t="s">
        <v>41</v>
      </c>
      <c r="B46" s="10">
        <v>819</v>
      </c>
      <c r="C46" s="10">
        <v>1</v>
      </c>
      <c r="D46" s="10">
        <v>4</v>
      </c>
      <c r="E46" s="10">
        <v>597</v>
      </c>
      <c r="F46" s="10">
        <v>15666024.006812785</v>
      </c>
      <c r="G46" s="10">
        <v>797</v>
      </c>
      <c r="H46" s="10">
        <v>2</v>
      </c>
      <c r="I46" s="10">
        <v>4</v>
      </c>
      <c r="J46" s="10">
        <v>773</v>
      </c>
      <c r="K46" s="10">
        <v>16526603.0728299</v>
      </c>
    </row>
    <row r="47" spans="1:11" x14ac:dyDescent="0.35">
      <c r="A47" s="9" t="s">
        <v>158</v>
      </c>
      <c r="B47" s="10">
        <v>687</v>
      </c>
      <c r="C47" s="10">
        <v>1</v>
      </c>
      <c r="D47" s="10">
        <v>10</v>
      </c>
      <c r="E47" s="10">
        <v>715</v>
      </c>
      <c r="F47" s="10">
        <v>10003202.396590305</v>
      </c>
      <c r="G47" s="10">
        <v>696</v>
      </c>
      <c r="H47" s="10">
        <v>0</v>
      </c>
      <c r="I47" s="10">
        <v>9</v>
      </c>
      <c r="J47" s="10">
        <v>563</v>
      </c>
      <c r="K47" s="10">
        <v>10066198.786939792</v>
      </c>
    </row>
    <row r="48" spans="1:11" x14ac:dyDescent="0.35">
      <c r="A48" s="9" t="s">
        <v>160</v>
      </c>
      <c r="B48" s="10">
        <v>687</v>
      </c>
      <c r="C48" s="10">
        <v>0</v>
      </c>
      <c r="D48" s="10">
        <v>3</v>
      </c>
      <c r="E48" s="10">
        <v>696</v>
      </c>
      <c r="F48" s="10">
        <v>8613886.9165454302</v>
      </c>
      <c r="G48" s="10">
        <v>794</v>
      </c>
      <c r="H48" s="10">
        <v>0</v>
      </c>
      <c r="I48" s="10">
        <v>1</v>
      </c>
      <c r="J48" s="10">
        <v>776</v>
      </c>
      <c r="K48" s="10">
        <v>9221514.3309608009</v>
      </c>
    </row>
    <row r="49" spans="1:11" x14ac:dyDescent="0.35">
      <c r="A49" s="9" t="s">
        <v>83</v>
      </c>
      <c r="B49" s="10">
        <v>1242</v>
      </c>
      <c r="C49" s="10">
        <v>0</v>
      </c>
      <c r="D49" s="10">
        <v>4</v>
      </c>
      <c r="E49" s="10">
        <v>1154</v>
      </c>
      <c r="F49" s="10">
        <v>27467989.972329855</v>
      </c>
      <c r="G49" s="10">
        <v>1259</v>
      </c>
      <c r="H49" s="10">
        <v>1</v>
      </c>
      <c r="I49" s="10">
        <v>7</v>
      </c>
      <c r="J49" s="10">
        <v>1171</v>
      </c>
      <c r="K49" s="10">
        <v>31217528.946480155</v>
      </c>
    </row>
    <row r="50" spans="1:11" x14ac:dyDescent="0.35">
      <c r="A50" s="9" t="s">
        <v>201</v>
      </c>
      <c r="B50" s="10">
        <v>433</v>
      </c>
      <c r="C50" s="10">
        <v>0</v>
      </c>
      <c r="D50" s="10">
        <v>1</v>
      </c>
      <c r="E50" s="10">
        <v>465</v>
      </c>
      <c r="F50" s="10">
        <v>4642286.4895994822</v>
      </c>
      <c r="G50" s="10">
        <v>470</v>
      </c>
      <c r="H50" s="10">
        <v>0</v>
      </c>
      <c r="I50" s="10">
        <v>1</v>
      </c>
      <c r="J50" s="10">
        <v>501</v>
      </c>
      <c r="K50" s="10">
        <v>4834154.2585893236</v>
      </c>
    </row>
    <row r="51" spans="1:11" x14ac:dyDescent="0.35">
      <c r="A51" s="9" t="s">
        <v>31</v>
      </c>
      <c r="B51" s="10">
        <v>917</v>
      </c>
      <c r="C51" s="10">
        <v>2</v>
      </c>
      <c r="D51" s="10">
        <v>5</v>
      </c>
      <c r="E51" s="10">
        <v>887</v>
      </c>
      <c r="F51" s="10">
        <v>13256658.952334763</v>
      </c>
      <c r="G51" s="10">
        <v>921</v>
      </c>
      <c r="H51" s="10">
        <v>1</v>
      </c>
      <c r="I51" s="10">
        <v>4</v>
      </c>
      <c r="J51" s="10">
        <v>914</v>
      </c>
      <c r="K51" s="10">
        <v>13339622.8011395</v>
      </c>
    </row>
    <row r="52" spans="1:11" x14ac:dyDescent="0.35">
      <c r="A52" s="9" t="s">
        <v>33</v>
      </c>
      <c r="B52" s="10">
        <v>1362</v>
      </c>
      <c r="C52" s="10">
        <v>3</v>
      </c>
      <c r="D52" s="10">
        <v>12</v>
      </c>
      <c r="E52" s="10">
        <v>958</v>
      </c>
      <c r="F52" s="10">
        <v>23400952.014443234</v>
      </c>
      <c r="G52" s="10">
        <v>1436</v>
      </c>
      <c r="H52" s="10">
        <v>1</v>
      </c>
      <c r="I52" s="10">
        <v>12</v>
      </c>
      <c r="J52" s="10">
        <v>1024</v>
      </c>
      <c r="K52" s="10">
        <v>23990980.627384808</v>
      </c>
    </row>
    <row r="53" spans="1:11" x14ac:dyDescent="0.35">
      <c r="A53" s="9" t="s">
        <v>85</v>
      </c>
      <c r="B53" s="10">
        <v>481</v>
      </c>
      <c r="C53" s="10">
        <v>0</v>
      </c>
      <c r="D53" s="10">
        <v>6</v>
      </c>
      <c r="E53" s="10">
        <v>371</v>
      </c>
      <c r="F53" s="10">
        <v>12219412.446949225</v>
      </c>
      <c r="G53" s="10">
        <v>447</v>
      </c>
      <c r="H53" s="10">
        <v>2</v>
      </c>
      <c r="I53" s="10">
        <v>7</v>
      </c>
      <c r="J53" s="10">
        <v>389</v>
      </c>
      <c r="K53" s="10">
        <v>11004187.151641443</v>
      </c>
    </row>
    <row r="54" spans="1:11" x14ac:dyDescent="0.35">
      <c r="A54" s="9" t="s">
        <v>81</v>
      </c>
      <c r="B54" s="10">
        <v>455</v>
      </c>
      <c r="C54" s="10">
        <v>0</v>
      </c>
      <c r="D54" s="10">
        <v>4</v>
      </c>
      <c r="E54" s="10">
        <v>299</v>
      </c>
      <c r="F54" s="10">
        <v>8997039.3982190322</v>
      </c>
      <c r="G54" s="10">
        <v>509</v>
      </c>
      <c r="H54" s="10">
        <v>1</v>
      </c>
      <c r="I54" s="10">
        <v>3</v>
      </c>
      <c r="J54" s="10">
        <v>421</v>
      </c>
      <c r="K54" s="10">
        <v>9558062.0964509044</v>
      </c>
    </row>
    <row r="55" spans="1:11" x14ac:dyDescent="0.35">
      <c r="A55" s="9" t="s">
        <v>87</v>
      </c>
      <c r="B55" s="10">
        <v>427</v>
      </c>
      <c r="C55" s="10">
        <v>1</v>
      </c>
      <c r="D55" s="10">
        <v>3</v>
      </c>
      <c r="E55" s="10">
        <v>346</v>
      </c>
      <c r="F55" s="10">
        <v>7677511.581466835</v>
      </c>
      <c r="G55" s="10">
        <v>70</v>
      </c>
      <c r="H55" s="10">
        <v>0</v>
      </c>
      <c r="I55" s="10">
        <v>2</v>
      </c>
      <c r="J55" s="10">
        <v>5</v>
      </c>
      <c r="K55" s="10">
        <v>4964107.3769024704</v>
      </c>
    </row>
    <row r="56" spans="1:11" x14ac:dyDescent="0.35">
      <c r="A56" s="9" t="s">
        <v>166</v>
      </c>
      <c r="B56" s="10">
        <v>1100</v>
      </c>
      <c r="C56" s="10">
        <v>0</v>
      </c>
      <c r="D56" s="10">
        <v>0</v>
      </c>
      <c r="E56" s="10">
        <v>921</v>
      </c>
      <c r="F56" s="10">
        <v>18279450.531463213</v>
      </c>
      <c r="G56" s="10">
        <v>1015</v>
      </c>
      <c r="H56" s="10">
        <v>2</v>
      </c>
      <c r="I56" s="10">
        <v>0</v>
      </c>
      <c r="J56" s="10">
        <v>969</v>
      </c>
      <c r="K56" s="10">
        <v>19525864.837432574</v>
      </c>
    </row>
    <row r="57" spans="1:11" x14ac:dyDescent="0.35">
      <c r="A57" s="9" t="s">
        <v>93</v>
      </c>
      <c r="B57" s="10">
        <v>966</v>
      </c>
      <c r="C57" s="10">
        <v>1</v>
      </c>
      <c r="D57" s="10">
        <v>1</v>
      </c>
      <c r="E57" s="10">
        <v>976</v>
      </c>
      <c r="F57" s="10">
        <v>15391228.564374693</v>
      </c>
      <c r="G57" s="10">
        <v>1052</v>
      </c>
      <c r="H57" s="10">
        <v>4</v>
      </c>
      <c r="I57" s="10">
        <v>2</v>
      </c>
      <c r="J57" s="10">
        <v>870</v>
      </c>
      <c r="K57" s="10">
        <v>19630506.030512787</v>
      </c>
    </row>
    <row r="58" spans="1:11" x14ac:dyDescent="0.35">
      <c r="A58" s="9" t="s">
        <v>95</v>
      </c>
      <c r="B58" s="10">
        <v>2055</v>
      </c>
      <c r="C58" s="10">
        <v>5</v>
      </c>
      <c r="D58" s="10">
        <v>8</v>
      </c>
      <c r="E58" s="10">
        <v>1483</v>
      </c>
      <c r="F58" s="10">
        <v>34708367.698853433</v>
      </c>
      <c r="G58" s="10">
        <v>1989</v>
      </c>
      <c r="H58" s="10">
        <v>9</v>
      </c>
      <c r="I58" s="10">
        <v>10</v>
      </c>
      <c r="J58" s="10">
        <v>1728</v>
      </c>
      <c r="K58" s="10">
        <v>36112925.610766038</v>
      </c>
    </row>
    <row r="59" spans="1:11" x14ac:dyDescent="0.35">
      <c r="A59" s="9" t="s">
        <v>174</v>
      </c>
      <c r="B59" s="10">
        <v>672</v>
      </c>
      <c r="C59" s="10">
        <v>0</v>
      </c>
      <c r="D59" s="10">
        <v>0</v>
      </c>
      <c r="E59" s="10">
        <v>525</v>
      </c>
      <c r="F59" s="10">
        <v>7709951.7661650777</v>
      </c>
      <c r="G59" s="10">
        <v>633</v>
      </c>
      <c r="H59" s="10">
        <v>2</v>
      </c>
      <c r="I59" s="10">
        <v>0</v>
      </c>
      <c r="J59" s="10">
        <v>626</v>
      </c>
      <c r="K59" s="10">
        <v>9671245.8545380048</v>
      </c>
    </row>
    <row r="60" spans="1:11" x14ac:dyDescent="0.35">
      <c r="A60" s="9" t="s">
        <v>99</v>
      </c>
      <c r="B60" s="10">
        <v>868</v>
      </c>
      <c r="C60" s="10">
        <v>3</v>
      </c>
      <c r="D60" s="10">
        <v>5</v>
      </c>
      <c r="E60" s="10">
        <v>761</v>
      </c>
      <c r="F60" s="10">
        <v>13880312.991541628</v>
      </c>
      <c r="G60" s="10">
        <v>920</v>
      </c>
      <c r="H60" s="10">
        <v>3</v>
      </c>
      <c r="I60" s="10">
        <v>5</v>
      </c>
      <c r="J60" s="10">
        <v>792</v>
      </c>
      <c r="K60" s="10">
        <v>16425350.738013152</v>
      </c>
    </row>
    <row r="61" spans="1:11" x14ac:dyDescent="0.35">
      <c r="A61" s="9" t="s">
        <v>172</v>
      </c>
      <c r="B61" s="10">
        <v>747</v>
      </c>
      <c r="C61" s="10">
        <v>2</v>
      </c>
      <c r="D61" s="10">
        <v>1</v>
      </c>
      <c r="E61" s="10">
        <v>691</v>
      </c>
      <c r="F61" s="10">
        <v>8583502.2692426648</v>
      </c>
      <c r="G61" s="10">
        <v>699</v>
      </c>
      <c r="H61" s="10">
        <v>0</v>
      </c>
      <c r="I61" s="10">
        <v>0</v>
      </c>
      <c r="J61" s="10">
        <v>579</v>
      </c>
      <c r="K61" s="10">
        <v>9350091.9942468163</v>
      </c>
    </row>
    <row r="62" spans="1:11" x14ac:dyDescent="0.35">
      <c r="A62" s="9" t="s">
        <v>168</v>
      </c>
      <c r="B62" s="10">
        <v>1106</v>
      </c>
      <c r="C62" s="10">
        <v>4</v>
      </c>
      <c r="D62" s="10">
        <v>0</v>
      </c>
      <c r="E62" s="10">
        <v>928</v>
      </c>
      <c r="F62" s="10">
        <v>18796999.466471747</v>
      </c>
      <c r="G62" s="10">
        <v>1117</v>
      </c>
      <c r="H62" s="10">
        <v>4</v>
      </c>
      <c r="I62" s="10">
        <v>0</v>
      </c>
      <c r="J62" s="10">
        <v>1084</v>
      </c>
      <c r="K62" s="10">
        <v>20710757.395298224</v>
      </c>
    </row>
    <row r="63" spans="1:11" x14ac:dyDescent="0.35">
      <c r="A63" s="9" t="s">
        <v>101</v>
      </c>
      <c r="B63" s="10">
        <v>1387</v>
      </c>
      <c r="C63" s="10">
        <v>1</v>
      </c>
      <c r="D63" s="10">
        <v>4</v>
      </c>
      <c r="E63" s="10">
        <v>1341</v>
      </c>
      <c r="F63" s="10">
        <v>22603689.648179594</v>
      </c>
      <c r="G63" s="10">
        <v>1732</v>
      </c>
      <c r="H63" s="10">
        <v>5</v>
      </c>
      <c r="I63" s="10">
        <v>5</v>
      </c>
      <c r="J63" s="10">
        <v>1594</v>
      </c>
      <c r="K63" s="10">
        <v>28334777.191363901</v>
      </c>
    </row>
    <row r="64" spans="1:11" x14ac:dyDescent="0.35">
      <c r="A64" s="9" t="s">
        <v>103</v>
      </c>
      <c r="B64" s="10">
        <v>778</v>
      </c>
      <c r="C64" s="10">
        <v>1</v>
      </c>
      <c r="D64" s="10">
        <v>3</v>
      </c>
      <c r="E64" s="10">
        <v>696</v>
      </c>
      <c r="F64" s="10">
        <v>12652407.113066845</v>
      </c>
      <c r="G64" s="10">
        <v>726</v>
      </c>
      <c r="H64" s="10">
        <v>1</v>
      </c>
      <c r="I64" s="10">
        <v>5</v>
      </c>
      <c r="J64" s="10">
        <v>660</v>
      </c>
      <c r="K64" s="10">
        <v>11132592.058141153</v>
      </c>
    </row>
    <row r="65" spans="1:11" x14ac:dyDescent="0.35">
      <c r="A65" s="9" t="s">
        <v>105</v>
      </c>
      <c r="B65" s="10">
        <v>645</v>
      </c>
      <c r="C65" s="10">
        <v>2</v>
      </c>
      <c r="D65" s="10">
        <v>5</v>
      </c>
      <c r="E65" s="10">
        <v>440</v>
      </c>
      <c r="F65" s="10">
        <v>14176749.395253856</v>
      </c>
      <c r="G65" s="10">
        <v>570</v>
      </c>
      <c r="H65" s="10">
        <v>3</v>
      </c>
      <c r="I65" s="10">
        <v>7</v>
      </c>
      <c r="J65" s="10">
        <v>499</v>
      </c>
      <c r="K65" s="10">
        <v>14875425.452646688</v>
      </c>
    </row>
    <row r="66" spans="1:11" x14ac:dyDescent="0.35">
      <c r="A66" s="9" t="s">
        <v>24</v>
      </c>
      <c r="B66" s="10">
        <v>2002</v>
      </c>
      <c r="C66" s="10">
        <v>2</v>
      </c>
      <c r="D66" s="10">
        <v>11</v>
      </c>
      <c r="E66" s="10">
        <v>1907</v>
      </c>
      <c r="F66" s="10">
        <v>45517472.846547142</v>
      </c>
      <c r="G66" s="10">
        <v>2176</v>
      </c>
      <c r="H66" s="10">
        <v>9</v>
      </c>
      <c r="I66" s="10">
        <v>12</v>
      </c>
      <c r="J66" s="10">
        <v>1886</v>
      </c>
      <c r="K66" s="10">
        <v>47979130.336084709</v>
      </c>
    </row>
    <row r="67" spans="1:11" x14ac:dyDescent="0.35">
      <c r="A67" s="9" t="s">
        <v>27</v>
      </c>
      <c r="B67" s="10">
        <v>1572</v>
      </c>
      <c r="C67" s="10">
        <v>3</v>
      </c>
      <c r="D67" s="10">
        <v>6</v>
      </c>
      <c r="E67" s="10">
        <v>1135</v>
      </c>
      <c r="F67" s="10">
        <v>31681211.281696107</v>
      </c>
      <c r="G67" s="10">
        <v>1666</v>
      </c>
      <c r="H67" s="10">
        <v>9</v>
      </c>
      <c r="I67" s="10">
        <v>6</v>
      </c>
      <c r="J67" s="10">
        <v>1304</v>
      </c>
      <c r="K67" s="10">
        <v>34402523.25858365</v>
      </c>
    </row>
    <row r="68" spans="1:11" x14ac:dyDescent="0.35">
      <c r="A68" s="9" t="s">
        <v>29</v>
      </c>
      <c r="B68" s="10">
        <v>889</v>
      </c>
      <c r="C68" s="10">
        <v>3</v>
      </c>
      <c r="D68" s="10">
        <v>1</v>
      </c>
      <c r="E68" s="10">
        <v>701</v>
      </c>
      <c r="F68" s="10">
        <v>21721395.813196313</v>
      </c>
      <c r="G68" s="10">
        <v>915</v>
      </c>
      <c r="H68" s="10">
        <v>0</v>
      </c>
      <c r="I68" s="10">
        <v>1</v>
      </c>
      <c r="J68" s="10">
        <v>756</v>
      </c>
      <c r="K68" s="10">
        <v>23489807.988162823</v>
      </c>
    </row>
    <row r="69" spans="1:11" x14ac:dyDescent="0.35">
      <c r="A69" s="9" t="s">
        <v>57</v>
      </c>
      <c r="B69" s="10">
        <v>2097</v>
      </c>
      <c r="C69" s="10">
        <v>104</v>
      </c>
      <c r="D69" s="10">
        <v>12</v>
      </c>
      <c r="E69" s="10">
        <v>1462</v>
      </c>
      <c r="F69" s="10">
        <v>32871046.139475159</v>
      </c>
      <c r="G69" s="10">
        <v>2381</v>
      </c>
      <c r="H69" s="10">
        <v>353</v>
      </c>
      <c r="I69" s="10">
        <v>13</v>
      </c>
      <c r="J69" s="10">
        <v>1663</v>
      </c>
      <c r="K69" s="10">
        <v>30897554.610156886</v>
      </c>
    </row>
    <row r="70" spans="1:11" x14ac:dyDescent="0.35">
      <c r="A70" s="9" t="s">
        <v>137</v>
      </c>
      <c r="B70" s="10">
        <v>251</v>
      </c>
      <c r="C70" s="10">
        <v>0</v>
      </c>
      <c r="D70" s="10">
        <v>0</v>
      </c>
      <c r="E70" s="10">
        <v>256</v>
      </c>
      <c r="F70" s="10">
        <v>376428.60512913699</v>
      </c>
      <c r="G70" s="10">
        <v>262</v>
      </c>
      <c r="H70" s="10">
        <v>1</v>
      </c>
      <c r="I70" s="10">
        <v>0</v>
      </c>
      <c r="J70" s="10">
        <v>261</v>
      </c>
      <c r="K70" s="10">
        <v>2539785.1785147442</v>
      </c>
    </row>
    <row r="71" spans="1:11" x14ac:dyDescent="0.35">
      <c r="A71" s="9" t="s">
        <v>10</v>
      </c>
      <c r="B71" s="10">
        <v>1672</v>
      </c>
      <c r="C71" s="10">
        <v>4</v>
      </c>
      <c r="D71" s="10">
        <v>5</v>
      </c>
      <c r="E71" s="10">
        <v>1868</v>
      </c>
      <c r="F71" s="10">
        <v>23906775.825817522</v>
      </c>
      <c r="G71" s="10">
        <v>1789</v>
      </c>
      <c r="H71" s="10">
        <v>10</v>
      </c>
      <c r="I71" s="10">
        <v>7</v>
      </c>
      <c r="J71" s="10">
        <v>1507</v>
      </c>
      <c r="K71" s="10">
        <v>23490897.731469039</v>
      </c>
    </row>
    <row r="72" spans="1:11" x14ac:dyDescent="0.35">
      <c r="A72" s="9" t="s">
        <v>12</v>
      </c>
      <c r="B72" s="10">
        <v>717</v>
      </c>
      <c r="C72" s="10">
        <v>1</v>
      </c>
      <c r="D72" s="10">
        <v>3</v>
      </c>
      <c r="E72" s="10">
        <v>603</v>
      </c>
      <c r="F72" s="10">
        <v>11334319.395606983</v>
      </c>
      <c r="G72" s="10">
        <v>867</v>
      </c>
      <c r="H72" s="10">
        <v>1</v>
      </c>
      <c r="I72" s="10">
        <v>3</v>
      </c>
      <c r="J72" s="10">
        <v>600</v>
      </c>
      <c r="K72" s="10">
        <v>11000514.363668248</v>
      </c>
    </row>
    <row r="73" spans="1:11" x14ac:dyDescent="0.35">
      <c r="A73" s="9" t="s">
        <v>162</v>
      </c>
      <c r="B73" s="10">
        <v>1370</v>
      </c>
      <c r="C73" s="10">
        <v>19</v>
      </c>
      <c r="D73" s="10">
        <v>4</v>
      </c>
      <c r="E73" s="10">
        <v>844</v>
      </c>
      <c r="F73" s="10">
        <v>15748546.837804995</v>
      </c>
      <c r="G73" s="10">
        <v>1433</v>
      </c>
      <c r="H73" s="10">
        <v>1</v>
      </c>
      <c r="I73" s="10">
        <v>5</v>
      </c>
      <c r="J73" s="10">
        <v>868</v>
      </c>
      <c r="K73" s="10">
        <v>17381063.69814932</v>
      </c>
    </row>
    <row r="74" spans="1:11" x14ac:dyDescent="0.35">
      <c r="A74" s="9" t="s">
        <v>63</v>
      </c>
      <c r="B74" s="10">
        <v>1303</v>
      </c>
      <c r="C74" s="10">
        <v>1</v>
      </c>
      <c r="D74" s="10">
        <v>5</v>
      </c>
      <c r="E74" s="10">
        <v>1226</v>
      </c>
      <c r="F74" s="10">
        <v>11912417.391126337</v>
      </c>
      <c r="G74" s="10">
        <v>1583</v>
      </c>
      <c r="H74" s="10">
        <v>1</v>
      </c>
      <c r="I74" s="10">
        <v>4</v>
      </c>
      <c r="J74" s="10">
        <v>1445</v>
      </c>
      <c r="K74" s="10">
        <v>13859452.677682443</v>
      </c>
    </row>
    <row r="75" spans="1:11" x14ac:dyDescent="0.35">
      <c r="A75" s="9" t="s">
        <v>59</v>
      </c>
      <c r="B75" s="10">
        <v>1728</v>
      </c>
      <c r="C75" s="10">
        <v>6</v>
      </c>
      <c r="D75" s="10">
        <v>4</v>
      </c>
      <c r="E75" s="10">
        <v>1158</v>
      </c>
      <c r="F75" s="10">
        <v>29134980.937509496</v>
      </c>
      <c r="G75" s="10">
        <v>1656</v>
      </c>
      <c r="H75" s="10">
        <v>6</v>
      </c>
      <c r="I75" s="10">
        <v>7</v>
      </c>
      <c r="J75" s="10">
        <v>1447</v>
      </c>
      <c r="K75" s="10">
        <v>30127781.579059508</v>
      </c>
    </row>
    <row r="76" spans="1:11" x14ac:dyDescent="0.35">
      <c r="A76" s="9" t="s">
        <v>139</v>
      </c>
      <c r="B76" s="10">
        <v>508</v>
      </c>
      <c r="C76" s="10">
        <v>2</v>
      </c>
      <c r="D76" s="10">
        <v>1</v>
      </c>
      <c r="E76" s="10">
        <v>501</v>
      </c>
      <c r="F76" s="10">
        <v>5978690.5005585346</v>
      </c>
      <c r="G76" s="10">
        <v>510</v>
      </c>
      <c r="H76" s="10">
        <v>1</v>
      </c>
      <c r="I76" s="10">
        <v>1</v>
      </c>
      <c r="J76" s="10">
        <v>431</v>
      </c>
      <c r="K76" s="10">
        <v>5812795.1784168184</v>
      </c>
    </row>
    <row r="77" spans="1:11" x14ac:dyDescent="0.35">
      <c r="A77" s="9" t="s">
        <v>170</v>
      </c>
      <c r="B77" s="10">
        <v>892</v>
      </c>
      <c r="C77" s="10">
        <v>3</v>
      </c>
      <c r="D77" s="10">
        <v>1</v>
      </c>
      <c r="E77" s="10">
        <v>920</v>
      </c>
      <c r="F77" s="10">
        <v>8970756.8040506858</v>
      </c>
      <c r="G77" s="10">
        <v>793</v>
      </c>
      <c r="H77" s="10">
        <v>1</v>
      </c>
      <c r="I77" s="10">
        <v>0</v>
      </c>
      <c r="J77" s="10">
        <v>794</v>
      </c>
      <c r="K77" s="10">
        <v>11122845.019380452</v>
      </c>
    </row>
    <row r="78" spans="1:11" x14ac:dyDescent="0.35">
      <c r="A78" s="9" t="s">
        <v>61</v>
      </c>
      <c r="B78" s="10">
        <v>649</v>
      </c>
      <c r="C78" s="10">
        <v>0</v>
      </c>
      <c r="D78" s="10">
        <v>3</v>
      </c>
      <c r="E78" s="10">
        <v>467</v>
      </c>
      <c r="F78" s="10">
        <v>8841819.8977861367</v>
      </c>
      <c r="G78" s="10">
        <v>595</v>
      </c>
      <c r="H78" s="10">
        <v>2</v>
      </c>
      <c r="I78" s="10">
        <v>3</v>
      </c>
      <c r="J78" s="10">
        <v>520</v>
      </c>
      <c r="K78" s="10">
        <v>9636255.1745800395</v>
      </c>
    </row>
    <row r="79" spans="1:11" x14ac:dyDescent="0.35">
      <c r="A79" s="9" t="s">
        <v>129</v>
      </c>
      <c r="B79" s="10">
        <v>587</v>
      </c>
      <c r="C79" s="10">
        <v>3</v>
      </c>
      <c r="D79" s="10">
        <v>1</v>
      </c>
      <c r="E79" s="10">
        <v>698</v>
      </c>
      <c r="F79" s="10">
        <v>7892731.7209995976</v>
      </c>
      <c r="G79" s="10">
        <v>775</v>
      </c>
      <c r="H79" s="10">
        <v>2</v>
      </c>
      <c r="I79" s="10">
        <v>1</v>
      </c>
      <c r="J79" s="10">
        <v>756</v>
      </c>
      <c r="K79" s="10">
        <v>5723974.5851804009</v>
      </c>
    </row>
    <row r="80" spans="1:11" x14ac:dyDescent="0.35">
      <c r="A80" s="9" t="s">
        <v>35</v>
      </c>
      <c r="B80" s="10">
        <v>443</v>
      </c>
      <c r="C80" s="10">
        <v>0</v>
      </c>
      <c r="D80" s="10">
        <v>7</v>
      </c>
      <c r="E80" s="10">
        <v>457</v>
      </c>
      <c r="F80" s="10">
        <v>8393359.5824498702</v>
      </c>
      <c r="G80" s="10">
        <v>441</v>
      </c>
      <c r="H80" s="10">
        <v>1</v>
      </c>
      <c r="I80" s="10">
        <v>7</v>
      </c>
      <c r="J80" s="10">
        <v>431</v>
      </c>
      <c r="K80" s="10">
        <v>6768743.2718793042</v>
      </c>
    </row>
    <row r="81" spans="1:11" x14ac:dyDescent="0.35">
      <c r="A81" s="9" t="s">
        <v>107</v>
      </c>
      <c r="B81" s="10">
        <v>955</v>
      </c>
      <c r="C81" s="10">
        <v>4</v>
      </c>
      <c r="D81" s="10">
        <v>3</v>
      </c>
      <c r="E81" s="10">
        <v>672</v>
      </c>
      <c r="F81" s="10">
        <v>20753881.141753986</v>
      </c>
      <c r="G81" s="10">
        <v>667</v>
      </c>
      <c r="H81" s="10">
        <v>3</v>
      </c>
      <c r="I81" s="10">
        <v>3</v>
      </c>
      <c r="J81" s="10">
        <v>560</v>
      </c>
      <c r="K81" s="10">
        <v>17516573.102573529</v>
      </c>
    </row>
    <row r="82" spans="1:11" x14ac:dyDescent="0.35">
      <c r="A82" s="9" t="s">
        <v>37</v>
      </c>
      <c r="B82" s="10">
        <v>779</v>
      </c>
      <c r="C82" s="10">
        <v>2</v>
      </c>
      <c r="D82" s="10">
        <v>10</v>
      </c>
      <c r="E82" s="10">
        <v>741</v>
      </c>
      <c r="F82" s="10">
        <v>13059811.463284357</v>
      </c>
      <c r="G82" s="10">
        <v>797</v>
      </c>
      <c r="H82" s="10">
        <v>2</v>
      </c>
      <c r="I82" s="10">
        <v>9</v>
      </c>
      <c r="J82" s="10">
        <v>723</v>
      </c>
      <c r="K82" s="10">
        <v>12737473.338481247</v>
      </c>
    </row>
    <row r="83" spans="1:11" x14ac:dyDescent="0.35">
      <c r="A83" s="9" t="s">
        <v>76</v>
      </c>
      <c r="B83" s="10">
        <v>972</v>
      </c>
      <c r="C83" s="10">
        <v>1</v>
      </c>
      <c r="D83" s="10">
        <v>2</v>
      </c>
      <c r="E83" s="10">
        <v>1215</v>
      </c>
      <c r="F83" s="10">
        <v>11493479.289999878</v>
      </c>
      <c r="G83" s="10">
        <v>1048</v>
      </c>
      <c r="H83" s="10">
        <v>2</v>
      </c>
      <c r="I83" s="10">
        <v>2</v>
      </c>
      <c r="J83" s="10">
        <v>908</v>
      </c>
      <c r="K83" s="10">
        <v>10928228.748410834</v>
      </c>
    </row>
    <row r="84" spans="1:11" x14ac:dyDescent="0.35">
      <c r="A84" s="9" t="s">
        <v>65</v>
      </c>
      <c r="B84" s="10">
        <v>1006</v>
      </c>
      <c r="C84" s="10">
        <v>1</v>
      </c>
      <c r="D84" s="10">
        <v>4</v>
      </c>
      <c r="E84" s="10">
        <v>688</v>
      </c>
      <c r="F84" s="10">
        <v>8440209.0690690875</v>
      </c>
      <c r="G84" s="10">
        <v>929</v>
      </c>
      <c r="H84" s="10">
        <v>1</v>
      </c>
      <c r="I84" s="10">
        <v>4</v>
      </c>
      <c r="J84" s="10">
        <v>851</v>
      </c>
      <c r="K84" s="10">
        <v>12894376.810464175</v>
      </c>
    </row>
    <row r="85" spans="1:11" x14ac:dyDescent="0.35">
      <c r="A85" s="9" t="s">
        <v>89</v>
      </c>
      <c r="B85" s="10">
        <v>744</v>
      </c>
      <c r="C85" s="10">
        <v>1</v>
      </c>
      <c r="D85" s="10">
        <v>6</v>
      </c>
      <c r="E85" s="10">
        <v>831</v>
      </c>
      <c r="F85" s="10">
        <v>12575786.084331768</v>
      </c>
      <c r="G85" s="10">
        <v>828</v>
      </c>
      <c r="H85" s="10">
        <v>1</v>
      </c>
      <c r="I85" s="10">
        <v>7</v>
      </c>
      <c r="J85" s="10">
        <v>790</v>
      </c>
      <c r="K85" s="10">
        <v>14976288.34804032</v>
      </c>
    </row>
    <row r="86" spans="1:11" x14ac:dyDescent="0.35">
      <c r="A86" s="9" t="s">
        <v>147</v>
      </c>
      <c r="B86" s="10">
        <v>570</v>
      </c>
      <c r="C86" s="10">
        <v>0</v>
      </c>
      <c r="D86" s="10">
        <v>1</v>
      </c>
      <c r="E86" s="10">
        <v>575</v>
      </c>
      <c r="F86" s="10">
        <v>6487541.7760771597</v>
      </c>
      <c r="G86" s="10">
        <v>586</v>
      </c>
      <c r="H86" s="10">
        <v>3</v>
      </c>
      <c r="I86" s="10">
        <v>0</v>
      </c>
      <c r="J86" s="10">
        <v>516</v>
      </c>
      <c r="K86" s="10">
        <v>6035798.0559031684</v>
      </c>
    </row>
    <row r="87" spans="1:11" x14ac:dyDescent="0.35">
      <c r="A87" s="9" t="s">
        <v>164</v>
      </c>
      <c r="B87" s="10">
        <v>1749</v>
      </c>
      <c r="C87" s="10">
        <v>0</v>
      </c>
      <c r="D87" s="10">
        <v>10</v>
      </c>
      <c r="E87" s="10">
        <v>1231</v>
      </c>
      <c r="F87" s="10">
        <v>24961367.373817325</v>
      </c>
      <c r="G87" s="10">
        <v>1638</v>
      </c>
      <c r="H87" s="10">
        <v>2</v>
      </c>
      <c r="I87" s="10">
        <v>9</v>
      </c>
      <c r="J87" s="10">
        <v>1416</v>
      </c>
      <c r="K87" s="10">
        <v>32354431.497194093</v>
      </c>
    </row>
    <row r="88" spans="1:11" x14ac:dyDescent="0.35">
      <c r="A88" s="9" t="s">
        <v>91</v>
      </c>
      <c r="B88" s="10">
        <v>588</v>
      </c>
      <c r="C88" s="10">
        <v>0</v>
      </c>
      <c r="D88" s="10">
        <v>3</v>
      </c>
      <c r="E88" s="10">
        <v>668</v>
      </c>
      <c r="F88" s="10">
        <v>5257767.1612561923</v>
      </c>
      <c r="G88" s="10">
        <v>825</v>
      </c>
      <c r="H88" s="10">
        <v>1</v>
      </c>
      <c r="I88" s="10">
        <v>3</v>
      </c>
      <c r="J88" s="10">
        <v>691</v>
      </c>
      <c r="K88" s="10">
        <v>6940294.5084846998</v>
      </c>
    </row>
    <row r="89" spans="1:11" x14ac:dyDescent="0.35">
      <c r="A89" s="9" t="s">
        <v>97</v>
      </c>
      <c r="B89" s="10">
        <v>620</v>
      </c>
      <c r="C89" s="10">
        <v>3</v>
      </c>
      <c r="D89" s="10">
        <v>7</v>
      </c>
      <c r="E89" s="10">
        <v>590</v>
      </c>
      <c r="F89" s="10">
        <v>12089993.761039732</v>
      </c>
      <c r="G89" s="10">
        <v>831</v>
      </c>
      <c r="H89" s="10">
        <v>3</v>
      </c>
      <c r="I89" s="10">
        <v>8</v>
      </c>
      <c r="J89" s="10">
        <v>819</v>
      </c>
      <c r="K89" s="10">
        <v>12306215.501017915</v>
      </c>
    </row>
    <row r="90" spans="1:11" x14ac:dyDescent="0.35">
      <c r="A90" s="9" t="s">
        <v>78</v>
      </c>
      <c r="B90" s="10">
        <v>356</v>
      </c>
      <c r="C90" s="10">
        <v>1</v>
      </c>
      <c r="D90" s="10">
        <v>0</v>
      </c>
      <c r="E90" s="10">
        <v>312</v>
      </c>
      <c r="F90" s="10">
        <v>3097683.3856593869</v>
      </c>
      <c r="G90" s="10">
        <v>412</v>
      </c>
      <c r="H90" s="10">
        <v>2</v>
      </c>
      <c r="I90" s="10">
        <v>1</v>
      </c>
      <c r="J90" s="10">
        <v>374</v>
      </c>
      <c r="K90" s="10">
        <v>3431436.0204598708</v>
      </c>
    </row>
    <row r="91" spans="1:11" x14ac:dyDescent="0.35">
      <c r="A91" s="14" t="s">
        <v>203</v>
      </c>
      <c r="B91" s="13">
        <v>84684</v>
      </c>
      <c r="C91" s="13">
        <v>625</v>
      </c>
      <c r="D91" s="13">
        <v>312</v>
      </c>
      <c r="E91" s="13">
        <v>71951</v>
      </c>
      <c r="F91" s="13">
        <v>1196960547.0951834</v>
      </c>
      <c r="G91" s="13">
        <v>84011</v>
      </c>
      <c r="H91" s="13">
        <v>807</v>
      </c>
      <c r="I91" s="13">
        <v>312</v>
      </c>
      <c r="J91" s="13">
        <v>72204</v>
      </c>
      <c r="K91" s="13">
        <v>1274615409.4607322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2026-09-10T14:09:12Z</dcterms:modified>
</cp:coreProperties>
</file>