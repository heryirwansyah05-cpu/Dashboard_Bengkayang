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<sst xmlns="http://schemas.openxmlformats.org/spreadsheetml/2006/main" count="540" uniqueCount="205">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</sst>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18813379.044018611</v>
      </c>
      <c r="G2" s="1">
        <f>VLOOKUP(A:A,MASTER!A:K,11,0)</f>
        <v>19106700.979267653</v>
      </c>
      <c r="H2" s="12">
        <f>IFERROR(G2/F2-1,0)</f>
        <v>1.5591135147106749E-2</v>
      </c>
      <c r="I2" s="2">
        <f>VLOOKUP(A:A,MASTER!A:E,5,0)</f>
        <v>354</v>
      </c>
      <c r="J2" s="2">
        <f>VLOOKUP(A:A,MASTER!A:J,10,0)</f>
        <v>528</v>
      </c>
      <c r="K2" s="12">
        <f>IFERROR(J2/I2-1,0)</f>
        <v>0.49152542372881358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4</v>
      </c>
      <c r="Q2" s="12">
        <f>IFERROR(P2/O2-1,0)</f>
        <v>0.33333333333333326</v>
      </c>
      <c r="R2" s="1">
        <f>VLOOKUP(A:A,MASTER!A:B,2,0)</f>
        <v>409</v>
      </c>
      <c r="S2">
        <f>VLOOKUP(A:A,MASTER!A:G,7,0)</f>
        <v>428</v>
      </c>
      <c r="T2" s="12">
        <f>IFERROR(S2/R2-1,0)</f>
        <v>4.6454767726161306E-2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22558388.933137473</v>
      </c>
      <c r="G3" s="1">
        <f>VLOOKUP(A:A,MASTER!A:K,11,0)</f>
        <v>22030466.753588561</v>
      </c>
      <c r="H3" s="12">
        <f t="shared" ref="H3:H66" si="0">IFERROR(G3/F3-1,0)</f>
        <v>-2.3402477061356675E-2</v>
      </c>
      <c r="I3" s="2">
        <f>VLOOKUP(A:A,MASTER!A:E,5,0)</f>
        <v>507</v>
      </c>
      <c r="J3" s="2">
        <f>VLOOKUP(A:A,MASTER!A:J,10,0)</f>
        <v>589</v>
      </c>
      <c r="K3" s="12">
        <f t="shared" ref="K3:K66" si="1">IFERROR(J3/I3-1,0)</f>
        <v>0.1617357001972386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3</v>
      </c>
      <c r="P3" s="1">
        <f>VLOOKUP(A:A,MASTER!A:H,8,0)</f>
        <v>6</v>
      </c>
      <c r="Q3" s="12">
        <f t="shared" ref="Q3:Q66" si="3">IFERROR(P3/O3-1,0)</f>
        <v>1</v>
      </c>
      <c r="R3" s="1">
        <f>VLOOKUP(A:A,MASTER!A:B,2,0)</f>
        <v>657</v>
      </c>
      <c r="S3">
        <f>VLOOKUP(A:A,MASTER!A:G,7,0)</f>
        <v>590</v>
      </c>
      <c r="T3" s="12">
        <f t="shared" ref="T3:T66" si="4">IFERROR(S3/R3-1,0)</f>
        <v>-0.10197869101978696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29159998.199690465</v>
      </c>
      <c r="G4" s="1">
        <f>VLOOKUP(A:A,MASTER!A:K,11,0)</f>
        <v>33211220.936273713</v>
      </c>
      <c r="H4" s="12">
        <f t="shared" si="0"/>
        <v>0.13893082944793367</v>
      </c>
      <c r="I4" s="2">
        <f>VLOOKUP(A:A,MASTER!A:E,5,0)</f>
        <v>749</v>
      </c>
      <c r="J4" s="2">
        <f>VLOOKUP(A:A,MASTER!A:J,10,0)</f>
        <v>1377</v>
      </c>
      <c r="K4" s="12">
        <f t="shared" si="1"/>
        <v>0.83845126835781048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14</v>
      </c>
      <c r="P4" s="1">
        <f>VLOOKUP(A:A,MASTER!A:H,8,0)</f>
        <v>13</v>
      </c>
      <c r="Q4" s="12">
        <f t="shared" si="3"/>
        <v>-7.1428571428571397E-2</v>
      </c>
      <c r="R4" s="1">
        <f>VLOOKUP(A:A,MASTER!A:B,2,0)</f>
        <v>707</v>
      </c>
      <c r="S4">
        <f>VLOOKUP(A:A,MASTER!A:G,7,0)</f>
        <v>782</v>
      </c>
      <c r="T4" s="12">
        <f t="shared" si="4"/>
        <v>0.10608203677510608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49151445.513173401</v>
      </c>
      <c r="G5" s="1">
        <f>VLOOKUP(A:A,MASTER!A:K,11,0)</f>
        <v>50807494.376513779</v>
      </c>
      <c r="H5" s="12">
        <f t="shared" si="0"/>
        <v>3.3692780467596384E-2</v>
      </c>
      <c r="I5" s="2">
        <f>VLOOKUP(A:A,MASTER!A:E,5,0)</f>
        <v>1108</v>
      </c>
      <c r="J5" s="2">
        <f>VLOOKUP(A:A,MASTER!A:J,10,0)</f>
        <v>1584</v>
      </c>
      <c r="K5" s="12">
        <f t="shared" si="1"/>
        <v>0.42960288808664271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10</v>
      </c>
      <c r="P5" s="1">
        <f>VLOOKUP(A:A,MASTER!A:H,8,0)</f>
        <v>13</v>
      </c>
      <c r="Q5" s="12">
        <f t="shared" si="3"/>
        <v>0.30000000000000004</v>
      </c>
      <c r="R5" s="1">
        <f>VLOOKUP(A:A,MASTER!A:B,2,0)</f>
        <v>1208</v>
      </c>
      <c r="S5">
        <f>VLOOKUP(A:A,MASTER!A:G,7,0)</f>
        <v>1263</v>
      </c>
      <c r="T5" s="12">
        <f t="shared" si="4"/>
        <v>4.5529801324503349E-2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19581616.552437268</v>
      </c>
      <c r="G6" s="1">
        <f>VLOOKUP(A:A,MASTER!A:K,11,0)</f>
        <v>21670211.511729233</v>
      </c>
      <c r="H6" s="12">
        <f t="shared" si="0"/>
        <v>0.10666100797648403</v>
      </c>
      <c r="I6" s="2">
        <f>VLOOKUP(A:A,MASTER!A:E,5,0)</f>
        <v>251</v>
      </c>
      <c r="J6" s="2">
        <f>VLOOKUP(A:A,MASTER!A:J,10,0)</f>
        <v>1024</v>
      </c>
      <c r="K6" s="12">
        <f t="shared" si="1"/>
        <v>3.0796812749003983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4</v>
      </c>
      <c r="P6" s="1">
        <f>VLOOKUP(A:A,MASTER!A:H,8,0)</f>
        <v>1</v>
      </c>
      <c r="Q6" s="12">
        <f t="shared" si="3"/>
        <v>-0.75</v>
      </c>
      <c r="R6" s="1">
        <f>VLOOKUP(A:A,MASTER!A:B,2,0)</f>
        <v>399</v>
      </c>
      <c r="S6">
        <f>VLOOKUP(A:A,MASTER!A:G,7,0)</f>
        <v>388</v>
      </c>
      <c r="T6" s="12">
        <f t="shared" si="4"/>
        <v>-2.7568922305764465E-2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16550523.090605283</v>
      </c>
      <c r="G7" s="1">
        <f>VLOOKUP(A:A,MASTER!A:K,11,0)</f>
        <v>18100664.897951767</v>
      </c>
      <c r="H7" s="12">
        <f t="shared" si="0"/>
        <v>9.3661197223814829E-2</v>
      </c>
      <c r="I7" s="2">
        <f>VLOOKUP(A:A,MASTER!A:E,5,0)</f>
        <v>289</v>
      </c>
      <c r="J7" s="2">
        <f>VLOOKUP(A:A,MASTER!A:J,10,0)</f>
        <v>601</v>
      </c>
      <c r="K7" s="12">
        <f t="shared" si="1"/>
        <v>1.0795847750865053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5</v>
      </c>
      <c r="Q7" s="12">
        <f t="shared" si="3"/>
        <v>0.66666666666666674</v>
      </c>
      <c r="R7" s="1">
        <f>VLOOKUP(A:A,MASTER!A:B,2,0)</f>
        <v>369</v>
      </c>
      <c r="S7">
        <f>VLOOKUP(A:A,MASTER!A:G,7,0)</f>
        <v>391</v>
      </c>
      <c r="T7" s="12">
        <f t="shared" si="4"/>
        <v>5.9620596205962162E-2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18858633.416163772</v>
      </c>
      <c r="G8" s="1">
        <f>VLOOKUP(A:A,MASTER!A:K,11,0)</f>
        <v>23572882.915616043</v>
      </c>
      <c r="H8" s="12">
        <f t="shared" si="0"/>
        <v>0.24997832003095621</v>
      </c>
      <c r="I8" s="2">
        <f>VLOOKUP(A:A,MASTER!A:E,5,0)</f>
        <v>480</v>
      </c>
      <c r="J8" s="2">
        <f>VLOOKUP(A:A,MASTER!A:J,10,0)</f>
        <v>817</v>
      </c>
      <c r="K8" s="12">
        <f t="shared" si="1"/>
        <v>0.70208333333333339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3</v>
      </c>
      <c r="P8" s="1">
        <f>VLOOKUP(A:A,MASTER!A:H,8,0)</f>
        <v>3</v>
      </c>
      <c r="Q8" s="12">
        <f t="shared" si="3"/>
        <v>0</v>
      </c>
      <c r="R8" s="1">
        <f>VLOOKUP(A:A,MASTER!A:B,2,0)</f>
        <v>585</v>
      </c>
      <c r="S8">
        <f>VLOOKUP(A:A,MASTER!A:G,7,0)</f>
        <v>629</v>
      </c>
      <c r="T8" s="12">
        <f t="shared" si="4"/>
        <v>7.5213675213675169E-2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9705828.6250593048</v>
      </c>
      <c r="G9" s="1">
        <f>VLOOKUP(A:A,MASTER!A:K,11,0)</f>
        <v>9280506.8919805847</v>
      </c>
      <c r="H9" s="12">
        <f t="shared" si="0"/>
        <v>-4.3821269621492132E-2</v>
      </c>
      <c r="I9" s="2">
        <f>VLOOKUP(A:A,MASTER!A:E,5,0)</f>
        <v>157</v>
      </c>
      <c r="J9" s="2">
        <f>VLOOKUP(A:A,MASTER!A:J,10,0)</f>
        <v>487</v>
      </c>
      <c r="K9" s="12">
        <f t="shared" si="1"/>
        <v>2.1019108280254777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171</v>
      </c>
      <c r="S9">
        <f>VLOOKUP(A:A,MASTER!A:G,7,0)</f>
        <v>188</v>
      </c>
      <c r="T9" s="12">
        <f t="shared" si="4"/>
        <v>9.9415204678362512E-2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8488785.2705028448</v>
      </c>
      <c r="G10" s="1">
        <f>VLOOKUP(A:A,MASTER!A:K,11,0)</f>
        <v>6570991.4876279542</v>
      </c>
      <c r="H10" s="12">
        <f t="shared" si="0"/>
        <v>-0.22592087345393386</v>
      </c>
      <c r="I10" s="2">
        <f>VLOOKUP(A:A,MASTER!A:E,5,0)</f>
        <v>147</v>
      </c>
      <c r="J10" s="2">
        <f>VLOOKUP(A:A,MASTER!A:J,10,0)</f>
        <v>406</v>
      </c>
      <c r="K10" s="12">
        <f t="shared" si="1"/>
        <v>1.7619047619047619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200</v>
      </c>
      <c r="S10">
        <f>VLOOKUP(A:A,MASTER!A:G,7,0)</f>
        <v>189</v>
      </c>
      <c r="T10" s="12">
        <f t="shared" si="4"/>
        <v>-5.5000000000000049E-2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13702035.889545696</v>
      </c>
      <c r="G11" s="1">
        <f>VLOOKUP(A:A,MASTER!A:K,11,0)</f>
        <v>18678321.815621376</v>
      </c>
      <c r="H11" s="12">
        <f t="shared" si="0"/>
        <v>0.36317857916811169</v>
      </c>
      <c r="I11" s="2">
        <f>VLOOKUP(A:A,MASTER!A:E,5,0)</f>
        <v>346</v>
      </c>
      <c r="J11" s="2">
        <f>VLOOKUP(A:A,MASTER!A:J,10,0)</f>
        <v>836</v>
      </c>
      <c r="K11" s="12">
        <f t="shared" si="1"/>
        <v>1.4161849710982657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5</v>
      </c>
      <c r="Q11" s="12">
        <f t="shared" si="3"/>
        <v>1.5</v>
      </c>
      <c r="R11" s="1">
        <f>VLOOKUP(A:A,MASTER!A:B,2,0)</f>
        <v>343</v>
      </c>
      <c r="S11">
        <f>VLOOKUP(A:A,MASTER!A:G,7,0)</f>
        <v>380</v>
      </c>
      <c r="T11" s="12">
        <f t="shared" si="4"/>
        <v>0.10787172011661816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6626440.3127110312</v>
      </c>
      <c r="G12" s="1">
        <f>VLOOKUP(A:A,MASTER!A:K,11,0)</f>
        <v>9964006.4783120975</v>
      </c>
      <c r="H12" s="12">
        <f t="shared" si="0"/>
        <v>0.50367407055623059</v>
      </c>
      <c r="I12" s="2">
        <f>VLOOKUP(A:A,MASTER!A:E,5,0)</f>
        <v>246</v>
      </c>
      <c r="J12" s="2">
        <f>VLOOKUP(A:A,MASTER!A:J,10,0)</f>
        <v>827</v>
      </c>
      <c r="K12" s="12">
        <f t="shared" si="1"/>
        <v>2.3617886178861789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199</v>
      </c>
      <c r="S12">
        <f>VLOOKUP(A:A,MASTER!A:G,7,0)</f>
        <v>245</v>
      </c>
      <c r="T12" s="12">
        <f t="shared" si="4"/>
        <v>0.23115577889447225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9066080.8813864999</v>
      </c>
      <c r="G13" s="1">
        <f>VLOOKUP(A:A,MASTER!A:K,11,0)</f>
        <v>10415323.147563493</v>
      </c>
      <c r="H13" s="12">
        <f t="shared" si="0"/>
        <v>0.14882310050278846</v>
      </c>
      <c r="I13" s="2">
        <f>VLOOKUP(A:A,MASTER!A:E,5,0)</f>
        <v>188</v>
      </c>
      <c r="J13" s="2">
        <f>VLOOKUP(A:A,MASTER!A:J,10,0)</f>
        <v>546</v>
      </c>
      <c r="K13" s="12">
        <f t="shared" si="1"/>
        <v>1.9042553191489362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8</v>
      </c>
      <c r="P13" s="1">
        <f>VLOOKUP(A:A,MASTER!A:H,8,0)</f>
        <v>3</v>
      </c>
      <c r="Q13" s="12">
        <f t="shared" si="3"/>
        <v>-0.625</v>
      </c>
      <c r="R13" s="1">
        <f>VLOOKUP(A:A,MASTER!A:B,2,0)</f>
        <v>245</v>
      </c>
      <c r="S13">
        <f>VLOOKUP(A:A,MASTER!A:G,7,0)</f>
        <v>251</v>
      </c>
      <c r="T13" s="12">
        <f t="shared" si="4"/>
        <v>2.4489795918367419E-2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28434988.600408819</v>
      </c>
      <c r="G14" s="1">
        <f>VLOOKUP(A:A,MASTER!A:K,11,0)</f>
        <v>46764512.260022767</v>
      </c>
      <c r="H14" s="12">
        <f t="shared" si="0"/>
        <v>0.64461160569448661</v>
      </c>
      <c r="I14" s="2">
        <f>VLOOKUP(A:A,MASTER!A:E,5,0)</f>
        <v>1122</v>
      </c>
      <c r="J14" s="2">
        <f>VLOOKUP(A:A,MASTER!A:J,10,0)</f>
        <v>1303</v>
      </c>
      <c r="K14" s="12">
        <f t="shared" si="1"/>
        <v>0.16131907308377902</v>
      </c>
      <c r="L14" s="2">
        <f>VLOOKUP(A:A,MASTER!A:D,4,0)</f>
        <v>2</v>
      </c>
      <c r="M14" s="2">
        <f>VLOOKUP(A:A,MASTER!A:I,9,0)</f>
        <v>4</v>
      </c>
      <c r="N14" s="12">
        <f t="shared" si="2"/>
        <v>1</v>
      </c>
      <c r="O14" s="1">
        <f>VLOOKUP(A:A,MASTER!A:C,3,0)</f>
        <v>0</v>
      </c>
      <c r="P14" s="1">
        <f>VLOOKUP(A:A,MASTER!A:H,8,0)</f>
        <v>6</v>
      </c>
      <c r="Q14" s="12">
        <f t="shared" si="3"/>
        <v>0</v>
      </c>
      <c r="R14" s="1">
        <f>VLOOKUP(A:A,MASTER!A:B,2,0)</f>
        <v>1447</v>
      </c>
      <c r="S14">
        <f>VLOOKUP(A:A,MASTER!A:G,7,0)</f>
        <v>1308</v>
      </c>
      <c r="T14" s="12">
        <f t="shared" si="4"/>
        <v>-9.6060815480304096E-2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56269131.775314808</v>
      </c>
      <c r="G15" s="1">
        <f>VLOOKUP(A:A,MASTER!A:K,11,0)</f>
        <v>73618323.659913346</v>
      </c>
      <c r="H15" s="12">
        <f t="shared" si="0"/>
        <v>0.30832521023915294</v>
      </c>
      <c r="I15" s="2">
        <f>VLOOKUP(A:A,MASTER!A:E,5,0)</f>
        <v>919</v>
      </c>
      <c r="J15" s="2">
        <f>VLOOKUP(A:A,MASTER!A:J,10,0)</f>
        <v>1017</v>
      </c>
      <c r="K15" s="12">
        <f t="shared" si="1"/>
        <v>0.10663764961915123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4</v>
      </c>
      <c r="P15" s="1">
        <f>VLOOKUP(A:A,MASTER!A:H,8,0)</f>
        <v>5</v>
      </c>
      <c r="Q15" s="12">
        <f t="shared" si="3"/>
        <v>0.25</v>
      </c>
      <c r="R15" s="1">
        <f>VLOOKUP(A:A,MASTER!A:B,2,0)</f>
        <v>1271</v>
      </c>
      <c r="S15">
        <f>VLOOKUP(A:A,MASTER!A:G,7,0)</f>
        <v>1214</v>
      </c>
      <c r="T15" s="12">
        <f t="shared" si="4"/>
        <v>-4.4846577498033002E-2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38417680.223594725</v>
      </c>
      <c r="G16" s="1">
        <f>VLOOKUP(A:A,MASTER!A:K,11,0)</f>
        <v>38756280.826187514</v>
      </c>
      <c r="H16" s="12">
        <f t="shared" si="0"/>
        <v>8.8136660158057989E-3</v>
      </c>
      <c r="I16" s="2">
        <f>VLOOKUP(A:A,MASTER!A:E,5,0)</f>
        <v>922</v>
      </c>
      <c r="J16" s="2">
        <f>VLOOKUP(A:A,MASTER!A:J,10,0)</f>
        <v>1309</v>
      </c>
      <c r="K16" s="12">
        <f t="shared" si="1"/>
        <v>0.41973969631236452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4</v>
      </c>
      <c r="P16" s="1">
        <f>VLOOKUP(A:A,MASTER!A:H,8,0)</f>
        <v>6</v>
      </c>
      <c r="Q16" s="12">
        <f t="shared" si="3"/>
        <v>0.5</v>
      </c>
      <c r="R16" s="1">
        <f>VLOOKUP(A:A,MASTER!A:B,2,0)</f>
        <v>1019</v>
      </c>
      <c r="S16">
        <f>VLOOKUP(A:A,MASTER!A:G,7,0)</f>
        <v>1004</v>
      </c>
      <c r="T16" s="12">
        <f t="shared" si="4"/>
        <v>-1.4720314033366044E-2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34842662.520037517</v>
      </c>
      <c r="G17" s="1">
        <f>VLOOKUP(A:A,MASTER!A:K,11,0)</f>
        <v>32612638.120771296</v>
      </c>
      <c r="H17" s="12">
        <f t="shared" si="0"/>
        <v>-6.4002697784182438E-2</v>
      </c>
      <c r="I17" s="2">
        <f>VLOOKUP(A:A,MASTER!A:E,5,0)</f>
        <v>626</v>
      </c>
      <c r="J17" s="2">
        <f>VLOOKUP(A:A,MASTER!A:J,10,0)</f>
        <v>666</v>
      </c>
      <c r="K17" s="12">
        <f t="shared" si="1"/>
        <v>6.3897763578274702E-2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5</v>
      </c>
      <c r="Q17" s="12">
        <f t="shared" si="3"/>
        <v>4</v>
      </c>
      <c r="R17" s="1">
        <f>VLOOKUP(A:A,MASTER!A:B,2,0)</f>
        <v>928</v>
      </c>
      <c r="S17">
        <f>VLOOKUP(A:A,MASTER!A:G,7,0)</f>
        <v>927</v>
      </c>
      <c r="T17" s="12">
        <f t="shared" si="4"/>
        <v>-1.0775862068965747E-3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132279499.37406828</v>
      </c>
      <c r="G18" s="1">
        <f>VLOOKUP(A:A,MASTER!A:K,11,0)</f>
        <v>137294365.67299619</v>
      </c>
      <c r="H18" s="12">
        <f t="shared" si="0"/>
        <v>3.7911137573529485E-2</v>
      </c>
      <c r="I18" s="2">
        <f>VLOOKUP(A:A,MASTER!A:E,5,0)</f>
        <v>2124</v>
      </c>
      <c r="J18" s="2">
        <f>VLOOKUP(A:A,MASTER!A:J,10,0)</f>
        <v>2176</v>
      </c>
      <c r="K18" s="12">
        <f t="shared" si="1"/>
        <v>2.4482109227871973E-2</v>
      </c>
      <c r="L18" s="2">
        <f>VLOOKUP(A:A,MASTER!A:D,4,0)</f>
        <v>11</v>
      </c>
      <c r="M18" s="2">
        <f>VLOOKUP(A:A,MASTER!A:I,9,0)</f>
        <v>10</v>
      </c>
      <c r="N18" s="12">
        <f t="shared" si="2"/>
        <v>-9.0909090909090939E-2</v>
      </c>
      <c r="O18" s="1">
        <f>VLOOKUP(A:A,MASTER!A:C,3,0)</f>
        <v>761</v>
      </c>
      <c r="P18" s="1">
        <f>VLOOKUP(A:A,MASTER!A:H,8,0)</f>
        <v>193</v>
      </c>
      <c r="Q18" s="12">
        <f t="shared" si="3"/>
        <v>-0.74638633377135344</v>
      </c>
      <c r="R18" s="1">
        <f>VLOOKUP(A:A,MASTER!A:B,2,0)</f>
        <v>2982</v>
      </c>
      <c r="S18">
        <f>VLOOKUP(A:A,MASTER!A:G,7,0)</f>
        <v>2719</v>
      </c>
      <c r="T18" s="12">
        <f t="shared" si="4"/>
        <v>-8.8195841716968482E-2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69154008.730511263</v>
      </c>
      <c r="G19" s="1">
        <f>VLOOKUP(A:A,MASTER!A:K,11,0)</f>
        <v>53050730.602928877</v>
      </c>
      <c r="H19" s="12">
        <f t="shared" si="0"/>
        <v>-0.23286109400159039</v>
      </c>
      <c r="I19" s="2">
        <f>VLOOKUP(A:A,MASTER!A:E,5,0)</f>
        <v>1198</v>
      </c>
      <c r="J19" s="2">
        <f>VLOOKUP(A:A,MASTER!A:J,10,0)</f>
        <v>1431</v>
      </c>
      <c r="K19" s="12">
        <f t="shared" si="1"/>
        <v>0.19449081803005019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3</v>
      </c>
      <c r="P19" s="1">
        <f>VLOOKUP(A:A,MASTER!A:H,8,0)</f>
        <v>9</v>
      </c>
      <c r="Q19" s="12">
        <f t="shared" si="3"/>
        <v>2</v>
      </c>
      <c r="R19" s="1">
        <f>VLOOKUP(A:A,MASTER!A:B,2,0)</f>
        <v>1421</v>
      </c>
      <c r="S19">
        <f>VLOOKUP(A:A,MASTER!A:G,7,0)</f>
        <v>1290</v>
      </c>
      <c r="T19" s="12">
        <f t="shared" si="4"/>
        <v>-9.2188599577762154E-2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140575213.15223238</v>
      </c>
      <c r="G20" s="1">
        <f>VLOOKUP(A:A,MASTER!A:K,11,0)</f>
        <v>144719676.56339702</v>
      </c>
      <c r="H20" s="12">
        <f t="shared" si="0"/>
        <v>2.9482177677201848E-2</v>
      </c>
      <c r="I20" s="2">
        <f>VLOOKUP(A:A,MASTER!A:E,5,0)</f>
        <v>2513</v>
      </c>
      <c r="J20" s="2">
        <f>VLOOKUP(A:A,MASTER!A:J,10,0)</f>
        <v>2269</v>
      </c>
      <c r="K20" s="12">
        <f t="shared" si="1"/>
        <v>-9.7095105451651453E-2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27</v>
      </c>
      <c r="P20" s="1">
        <f>VLOOKUP(A:A,MASTER!A:H,8,0)</f>
        <v>26</v>
      </c>
      <c r="Q20" s="12">
        <f t="shared" si="3"/>
        <v>-3.703703703703709E-2</v>
      </c>
      <c r="R20" s="1">
        <f>VLOOKUP(A:A,MASTER!A:B,2,0)</f>
        <v>2972</v>
      </c>
      <c r="S20">
        <f>VLOOKUP(A:A,MASTER!A:G,7,0)</f>
        <v>2791</v>
      </c>
      <c r="T20" s="12">
        <f t="shared" si="4"/>
        <v>-6.0901749663526239E-2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19657157.753250368</v>
      </c>
      <c r="G21" s="1">
        <f>VLOOKUP(A:A,MASTER!A:K,11,0)</f>
        <v>20766232.304482244</v>
      </c>
      <c r="H21" s="12">
        <f t="shared" si="0"/>
        <v>5.6420900984451183E-2</v>
      </c>
      <c r="I21" s="2">
        <f>VLOOKUP(A:A,MASTER!A:E,5,0)</f>
        <v>477</v>
      </c>
      <c r="J21" s="2">
        <f>VLOOKUP(A:A,MASTER!A:J,10,0)</f>
        <v>531</v>
      </c>
      <c r="K21" s="12">
        <f t="shared" si="1"/>
        <v>0.1132075471698113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7</v>
      </c>
      <c r="Q21" s="12">
        <f t="shared" si="3"/>
        <v>0.16666666666666674</v>
      </c>
      <c r="R21" s="1">
        <f>VLOOKUP(A:A,MASTER!A:B,2,0)</f>
        <v>541</v>
      </c>
      <c r="S21">
        <f>VLOOKUP(A:A,MASTER!A:G,7,0)</f>
        <v>505</v>
      </c>
      <c r="T21" s="12">
        <f t="shared" si="4"/>
        <v>-6.6543438077633965E-2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57086010.378074393</v>
      </c>
      <c r="G22" s="1">
        <f>VLOOKUP(A:A,MASTER!A:K,11,0)</f>
        <v>58755076.808217473</v>
      </c>
      <c r="H22" s="12">
        <f t="shared" si="0"/>
        <v>2.923774877748575E-2</v>
      </c>
      <c r="I22" s="2">
        <f>VLOOKUP(A:A,MASTER!A:E,5,0)</f>
        <v>1366</v>
      </c>
      <c r="J22" s="2">
        <f>VLOOKUP(A:A,MASTER!A:J,10,0)</f>
        <v>1716</v>
      </c>
      <c r="K22" s="12">
        <f t="shared" si="1"/>
        <v>0.2562225475841875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24</v>
      </c>
      <c r="P22" s="1">
        <f>VLOOKUP(A:A,MASTER!A:H,8,0)</f>
        <v>27</v>
      </c>
      <c r="Q22" s="12">
        <f t="shared" si="3"/>
        <v>0.125</v>
      </c>
      <c r="R22" s="1">
        <f>VLOOKUP(A:A,MASTER!A:B,2,0)</f>
        <v>1760</v>
      </c>
      <c r="S22">
        <f>VLOOKUP(A:A,MASTER!A:G,7,0)</f>
        <v>1769</v>
      </c>
      <c r="T22" s="12">
        <f t="shared" si="4"/>
        <v>5.1136363636363757E-3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24472619.304290287</v>
      </c>
      <c r="G23" s="1">
        <f>VLOOKUP(A:A,MASTER!A:K,11,0)</f>
        <v>24971652.775216985</v>
      </c>
      <c r="H23" s="12">
        <f t="shared" si="0"/>
        <v>2.0391502222208535E-2</v>
      </c>
      <c r="I23" s="2">
        <f>VLOOKUP(A:A,MASTER!A:E,5,0)</f>
        <v>726</v>
      </c>
      <c r="J23" s="2">
        <f>VLOOKUP(A:A,MASTER!A:J,10,0)</f>
        <v>857</v>
      </c>
      <c r="K23" s="12">
        <f t="shared" si="1"/>
        <v>0.18044077134986236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15</v>
      </c>
      <c r="P23" s="1">
        <f>VLOOKUP(A:A,MASTER!A:H,8,0)</f>
        <v>21</v>
      </c>
      <c r="Q23" s="12">
        <f t="shared" si="3"/>
        <v>0.39999999999999991</v>
      </c>
      <c r="R23" s="1">
        <f>VLOOKUP(A:A,MASTER!A:B,2,0)</f>
        <v>878</v>
      </c>
      <c r="S23">
        <f>VLOOKUP(A:A,MASTER!A:G,7,0)</f>
        <v>874</v>
      </c>
      <c r="T23" s="12">
        <f t="shared" si="4"/>
        <v>-4.5558086560364419E-3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28397187.498631515</v>
      </c>
      <c r="G24" s="1">
        <f>VLOOKUP(A:A,MASTER!A:K,11,0)</f>
        <v>29614773.454972342</v>
      </c>
      <c r="H24" s="12">
        <f t="shared" si="0"/>
        <v>4.2876991124543684E-2</v>
      </c>
      <c r="I24" s="2">
        <f>VLOOKUP(A:A,MASTER!A:E,5,0)</f>
        <v>834</v>
      </c>
      <c r="J24" s="2">
        <f>VLOOKUP(A:A,MASTER!A:J,10,0)</f>
        <v>759</v>
      </c>
      <c r="K24" s="12">
        <f t="shared" si="1"/>
        <v>-8.9928057553956831E-2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7</v>
      </c>
      <c r="P24" s="1">
        <f>VLOOKUP(A:A,MASTER!A:H,8,0)</f>
        <v>9</v>
      </c>
      <c r="Q24" s="12">
        <f t="shared" si="3"/>
        <v>0.28571428571428581</v>
      </c>
      <c r="R24" s="1">
        <f>VLOOKUP(A:A,MASTER!A:B,2,0)</f>
        <v>878</v>
      </c>
      <c r="S24">
        <f>VLOOKUP(A:A,MASTER!A:G,7,0)</f>
        <v>876</v>
      </c>
      <c r="T24" s="12">
        <f t="shared" si="4"/>
        <v>-2.277904328018221E-3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8463056.0790180769</v>
      </c>
      <c r="G25" s="1">
        <f>VLOOKUP(A:A,MASTER!A:K,11,0)</f>
        <v>7381965.9396235691</v>
      </c>
      <c r="H25" s="12">
        <f t="shared" si="0"/>
        <v>-0.12774228710061208</v>
      </c>
      <c r="I25" s="2">
        <f>VLOOKUP(A:A,MASTER!A:E,5,0)</f>
        <v>178</v>
      </c>
      <c r="J25" s="2">
        <f>VLOOKUP(A:A,MASTER!A:J,10,0)</f>
        <v>197</v>
      </c>
      <c r="K25" s="12">
        <f t="shared" si="1"/>
        <v>0.10674157303370779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246</v>
      </c>
      <c r="S25">
        <f>VLOOKUP(A:A,MASTER!A:G,7,0)</f>
        <v>210</v>
      </c>
      <c r="T25" s="12">
        <f t="shared" si="4"/>
        <v>-0.14634146341463417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59065756.591085412</v>
      </c>
      <c r="G26" s="1">
        <f>VLOOKUP(A:A,MASTER!A:K,11,0)</f>
        <v>56307581.920507632</v>
      </c>
      <c r="H26" s="12">
        <f t="shared" si="0"/>
        <v>-4.66966789179174E-2</v>
      </c>
      <c r="I26" s="2">
        <f>VLOOKUP(A:A,MASTER!A:E,5,0)</f>
        <v>1298</v>
      </c>
      <c r="J26" s="2">
        <f>VLOOKUP(A:A,MASTER!A:J,10,0)</f>
        <v>1615</v>
      </c>
      <c r="K26" s="12">
        <f t="shared" si="1"/>
        <v>0.24422187981510013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7</v>
      </c>
      <c r="P26" s="1">
        <f>VLOOKUP(A:A,MASTER!A:H,8,0)</f>
        <v>15</v>
      </c>
      <c r="Q26" s="12">
        <f t="shared" si="3"/>
        <v>1.1428571428571428</v>
      </c>
      <c r="R26" s="1">
        <f>VLOOKUP(A:A,MASTER!A:B,2,0)</f>
        <v>1643</v>
      </c>
      <c r="S26">
        <f>VLOOKUP(A:A,MASTER!A:G,7,0)</f>
        <v>1612</v>
      </c>
      <c r="T26" s="12">
        <f t="shared" si="4"/>
        <v>-1.8867924528301883E-2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43311805.754324168</v>
      </c>
      <c r="G27" s="1">
        <f>VLOOKUP(A:A,MASTER!A:K,11,0)</f>
        <v>48323832.292936467</v>
      </c>
      <c r="H27" s="12">
        <f t="shared" si="0"/>
        <v>0.11571963928361284</v>
      </c>
      <c r="I27" s="2">
        <f>VLOOKUP(A:A,MASTER!A:E,5,0)</f>
        <v>642</v>
      </c>
      <c r="J27" s="2">
        <f>VLOOKUP(A:A,MASTER!A:J,10,0)</f>
        <v>748</v>
      </c>
      <c r="K27" s="12">
        <f t="shared" si="1"/>
        <v>0.16510903426791268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7</v>
      </c>
      <c r="P27" s="1">
        <f>VLOOKUP(A:A,MASTER!A:H,8,0)</f>
        <v>10</v>
      </c>
      <c r="Q27" s="12">
        <f t="shared" si="3"/>
        <v>0.4285714285714286</v>
      </c>
      <c r="R27" s="1">
        <f>VLOOKUP(A:A,MASTER!A:B,2,0)</f>
        <v>858</v>
      </c>
      <c r="S27">
        <f>VLOOKUP(A:A,MASTER!A:G,7,0)</f>
        <v>896</v>
      </c>
      <c r="T27" s="12">
        <f t="shared" si="4"/>
        <v>4.4289044289044233E-2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47197323.345347665</v>
      </c>
      <c r="G28" s="1">
        <f>VLOOKUP(A:A,MASTER!A:K,11,0)</f>
        <v>45504867.765291266</v>
      </c>
      <c r="H28" s="12">
        <f t="shared" si="0"/>
        <v>-3.5859143275404182E-2</v>
      </c>
      <c r="I28" s="2">
        <f>VLOOKUP(A:A,MASTER!A:E,5,0)</f>
        <v>770</v>
      </c>
      <c r="J28" s="2">
        <f>VLOOKUP(A:A,MASTER!A:J,10,0)</f>
        <v>832</v>
      </c>
      <c r="K28" s="12">
        <f t="shared" si="1"/>
        <v>8.0519480519480435E-2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10</v>
      </c>
      <c r="P28" s="1">
        <f>VLOOKUP(A:A,MASTER!A:H,8,0)</f>
        <v>3</v>
      </c>
      <c r="Q28" s="12">
        <f t="shared" si="3"/>
        <v>-0.7</v>
      </c>
      <c r="R28" s="1">
        <f>VLOOKUP(A:A,MASTER!A:B,2,0)</f>
        <v>1072</v>
      </c>
      <c r="S28">
        <f>VLOOKUP(A:A,MASTER!A:G,7,0)</f>
        <v>999</v>
      </c>
      <c r="T28" s="12">
        <f t="shared" si="4"/>
        <v>-6.8097014925373123E-2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60617204.402205266</v>
      </c>
      <c r="G29" s="1">
        <f>VLOOKUP(A:A,MASTER!A:K,11,0)</f>
        <v>62673709.204068214</v>
      </c>
      <c r="H29" s="12">
        <f t="shared" si="0"/>
        <v>3.3926091150916493E-2</v>
      </c>
      <c r="I29" s="2">
        <f>VLOOKUP(A:A,MASTER!A:E,5,0)</f>
        <v>932</v>
      </c>
      <c r="J29" s="2">
        <f>VLOOKUP(A:A,MASTER!A:J,10,0)</f>
        <v>1139</v>
      </c>
      <c r="K29" s="12">
        <f t="shared" si="1"/>
        <v>0.22210300429184548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3</v>
      </c>
      <c r="P29" s="1">
        <f>VLOOKUP(A:A,MASTER!A:H,8,0)</f>
        <v>4</v>
      </c>
      <c r="Q29" s="12">
        <f t="shared" si="3"/>
        <v>0.33333333333333326</v>
      </c>
      <c r="R29" s="1">
        <f>VLOOKUP(A:A,MASTER!A:B,2,0)</f>
        <v>1088</v>
      </c>
      <c r="S29">
        <f>VLOOKUP(A:A,MASTER!A:G,7,0)</f>
        <v>1122</v>
      </c>
      <c r="T29" s="12">
        <f t="shared" si="4"/>
        <v>3.125E-2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88235256.274653465</v>
      </c>
      <c r="G30" s="1">
        <f>VLOOKUP(A:A,MASTER!A:K,11,0)</f>
        <v>83584167.048287451</v>
      </c>
      <c r="H30" s="12">
        <f t="shared" si="0"/>
        <v>-5.2712367173144203E-2</v>
      </c>
      <c r="I30" s="2">
        <f>VLOOKUP(A:A,MASTER!A:E,5,0)</f>
        <v>1195</v>
      </c>
      <c r="J30" s="2">
        <f>VLOOKUP(A:A,MASTER!A:J,10,0)</f>
        <v>1225</v>
      </c>
      <c r="K30" s="12">
        <f t="shared" si="1"/>
        <v>2.5104602510460206E-2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5</v>
      </c>
      <c r="P30" s="1">
        <f>VLOOKUP(A:A,MASTER!A:H,8,0)</f>
        <v>6</v>
      </c>
      <c r="Q30" s="12">
        <f t="shared" si="3"/>
        <v>0.19999999999999996</v>
      </c>
      <c r="R30" s="1">
        <f>VLOOKUP(A:A,MASTER!A:B,2,0)</f>
        <v>1459</v>
      </c>
      <c r="S30">
        <f>VLOOKUP(A:A,MASTER!A:G,7,0)</f>
        <v>1395</v>
      </c>
      <c r="T30" s="12">
        <f t="shared" si="4"/>
        <v>-4.3865661411925938E-2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34818284.105264232</v>
      </c>
      <c r="G31" s="1">
        <f>VLOOKUP(A:A,MASTER!A:K,11,0)</f>
        <v>37151352.199471571</v>
      </c>
      <c r="H31" s="12">
        <f t="shared" si="0"/>
        <v>6.7006980790721871E-2</v>
      </c>
      <c r="I31" s="2">
        <f>VLOOKUP(A:A,MASTER!A:E,5,0)</f>
        <v>623</v>
      </c>
      <c r="J31" s="2">
        <f>VLOOKUP(A:A,MASTER!A:J,10,0)</f>
        <v>685</v>
      </c>
      <c r="K31" s="12">
        <f t="shared" si="1"/>
        <v>9.9518459069020793E-2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3</v>
      </c>
      <c r="Q31" s="12">
        <f t="shared" si="3"/>
        <v>0</v>
      </c>
      <c r="R31" s="1">
        <f>VLOOKUP(A:A,MASTER!A:B,2,0)</f>
        <v>691</v>
      </c>
      <c r="S31">
        <f>VLOOKUP(A:A,MASTER!A:G,7,0)</f>
        <v>661</v>
      </c>
      <c r="T31" s="12">
        <f t="shared" si="4"/>
        <v>-4.3415340086830678E-2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104829093.68547839</v>
      </c>
      <c r="G32" s="1">
        <f>VLOOKUP(A:A,MASTER!A:K,11,0)</f>
        <v>94468682.815555841</v>
      </c>
      <c r="H32" s="12">
        <f t="shared" si="0"/>
        <v>-9.8831445600466306E-2</v>
      </c>
      <c r="I32" s="2">
        <f>VLOOKUP(A:A,MASTER!A:E,5,0)</f>
        <v>1660</v>
      </c>
      <c r="J32" s="2">
        <f>VLOOKUP(A:A,MASTER!A:J,10,0)</f>
        <v>1590</v>
      </c>
      <c r="K32" s="12">
        <f t="shared" si="1"/>
        <v>-4.216867469879515E-2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18</v>
      </c>
      <c r="P32" s="1">
        <f>VLOOKUP(A:A,MASTER!A:H,8,0)</f>
        <v>14</v>
      </c>
      <c r="Q32" s="12">
        <f t="shared" si="3"/>
        <v>-0.22222222222222221</v>
      </c>
      <c r="R32" s="1">
        <f>VLOOKUP(A:A,MASTER!A:B,2,0)</f>
        <v>1962</v>
      </c>
      <c r="S32">
        <f>VLOOKUP(A:A,MASTER!A:G,7,0)</f>
        <v>1832</v>
      </c>
      <c r="T32" s="12">
        <f t="shared" si="4"/>
        <v>-6.6258919469928679E-2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35842608.68260029</v>
      </c>
      <c r="G33" s="1">
        <f>VLOOKUP(A:A,MASTER!A:K,11,0)</f>
        <v>36487881.671502873</v>
      </c>
      <c r="H33" s="12">
        <f t="shared" si="0"/>
        <v>1.8002958283999781E-2</v>
      </c>
      <c r="I33" s="2">
        <f>VLOOKUP(A:A,MASTER!A:E,5,0)</f>
        <v>726</v>
      </c>
      <c r="J33" s="2">
        <f>VLOOKUP(A:A,MASTER!A:J,10,0)</f>
        <v>1013</v>
      </c>
      <c r="K33" s="12">
        <f t="shared" si="1"/>
        <v>0.39531680440771355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6</v>
      </c>
      <c r="P33" s="1">
        <f>VLOOKUP(A:A,MASTER!A:H,8,0)</f>
        <v>5</v>
      </c>
      <c r="Q33" s="12">
        <f t="shared" si="3"/>
        <v>-0.16666666666666663</v>
      </c>
      <c r="R33" s="1">
        <f>VLOOKUP(A:A,MASTER!A:B,2,0)</f>
        <v>857</v>
      </c>
      <c r="S33">
        <f>VLOOKUP(A:A,MASTER!A:G,7,0)</f>
        <v>854</v>
      </c>
      <c r="T33" s="12">
        <f t="shared" si="4"/>
        <v>-3.500583430571802E-3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31737570.905663542</v>
      </c>
      <c r="G34" s="1">
        <f>VLOOKUP(A:A,MASTER!A:K,11,0)</f>
        <v>33504415.132059727</v>
      </c>
      <c r="H34" s="12">
        <f t="shared" si="0"/>
        <v>5.5670430218113909E-2</v>
      </c>
      <c r="I34" s="2">
        <f>VLOOKUP(A:A,MASTER!A:E,5,0)</f>
        <v>568</v>
      </c>
      <c r="J34" s="2">
        <f>VLOOKUP(A:A,MASTER!A:J,10,0)</f>
        <v>795</v>
      </c>
      <c r="K34" s="12">
        <f t="shared" si="1"/>
        <v>0.39964788732394374</v>
      </c>
      <c r="L34" s="2">
        <f>VLOOKUP(A:A,MASTER!A:D,4,0)</f>
        <v>2</v>
      </c>
      <c r="M34" s="2">
        <f>VLOOKUP(A:A,MASTER!A:I,9,0)</f>
        <v>1</v>
      </c>
      <c r="N34" s="12">
        <f t="shared" si="2"/>
        <v>-0.5</v>
      </c>
      <c r="O34" s="1">
        <f>VLOOKUP(A:A,MASTER!A:C,3,0)</f>
        <v>24</v>
      </c>
      <c r="P34" s="1">
        <f>VLOOKUP(A:A,MASTER!A:H,8,0)</f>
        <v>5</v>
      </c>
      <c r="Q34" s="12">
        <f t="shared" si="3"/>
        <v>-0.79166666666666663</v>
      </c>
      <c r="R34" s="1">
        <f>VLOOKUP(A:A,MASTER!A:B,2,0)</f>
        <v>724</v>
      </c>
      <c r="S34">
        <f>VLOOKUP(A:A,MASTER!A:G,7,0)</f>
        <v>683</v>
      </c>
      <c r="T34" s="12">
        <f t="shared" si="4"/>
        <v>-5.6629834254143696E-2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53019126.411949456</v>
      </c>
      <c r="G35" s="1">
        <f>VLOOKUP(A:A,MASTER!A:K,11,0)</f>
        <v>53220694.849914633</v>
      </c>
      <c r="H35" s="12">
        <f t="shared" si="0"/>
        <v>3.8018060953894928E-3</v>
      </c>
      <c r="I35" s="2">
        <f>VLOOKUP(A:A,MASTER!A:E,5,0)</f>
        <v>837</v>
      </c>
      <c r="J35" s="2">
        <f>VLOOKUP(A:A,MASTER!A:J,10,0)</f>
        <v>1571</v>
      </c>
      <c r="K35" s="12">
        <f t="shared" si="1"/>
        <v>0.87694145758661879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25</v>
      </c>
      <c r="P35" s="1">
        <f>VLOOKUP(A:A,MASTER!A:H,8,0)</f>
        <v>26</v>
      </c>
      <c r="Q35" s="12">
        <f t="shared" si="3"/>
        <v>4.0000000000000036E-2</v>
      </c>
      <c r="R35" s="1">
        <f>VLOOKUP(A:A,MASTER!A:B,2,0)</f>
        <v>1160</v>
      </c>
      <c r="S35">
        <f>VLOOKUP(A:A,MASTER!A:G,7,0)</f>
        <v>1198</v>
      </c>
      <c r="T35" s="12">
        <f t="shared" si="4"/>
        <v>3.2758620689655071E-2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50981485.884451687</v>
      </c>
      <c r="G36" s="1">
        <f>VLOOKUP(A:A,MASTER!A:K,11,0)</f>
        <v>49928349.890892513</v>
      </c>
      <c r="H36" s="12">
        <f t="shared" si="0"/>
        <v>-2.0657224388204054E-2</v>
      </c>
      <c r="I36" s="2">
        <f>VLOOKUP(A:A,MASTER!A:E,5,0)</f>
        <v>877</v>
      </c>
      <c r="J36" s="2">
        <f>VLOOKUP(A:A,MASTER!A:J,10,0)</f>
        <v>1138</v>
      </c>
      <c r="K36" s="12">
        <f t="shared" si="1"/>
        <v>0.29760547320410491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294</v>
      </c>
      <c r="P36" s="1">
        <f>VLOOKUP(A:A,MASTER!A:H,8,0)</f>
        <v>468</v>
      </c>
      <c r="Q36" s="12">
        <f t="shared" si="3"/>
        <v>0.59183673469387754</v>
      </c>
      <c r="R36" s="1">
        <f>VLOOKUP(A:A,MASTER!A:B,2,0)</f>
        <v>1251</v>
      </c>
      <c r="S36">
        <f>VLOOKUP(A:A,MASTER!A:G,7,0)</f>
        <v>1330</v>
      </c>
      <c r="T36" s="12">
        <f t="shared" si="4"/>
        <v>6.3149480415667369E-2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80939558.457129061</v>
      </c>
      <c r="G37" s="1">
        <f>VLOOKUP(A:A,MASTER!A:K,11,0)</f>
        <v>87486312.617114156</v>
      </c>
      <c r="H37" s="12">
        <f t="shared" si="0"/>
        <v>8.0884480775277323E-2</v>
      </c>
      <c r="I37" s="2">
        <f>VLOOKUP(A:A,MASTER!A:E,5,0)</f>
        <v>1469</v>
      </c>
      <c r="J37" s="2">
        <f>VLOOKUP(A:A,MASTER!A:J,10,0)</f>
        <v>2065</v>
      </c>
      <c r="K37" s="12">
        <f t="shared" si="1"/>
        <v>0.40571817562968016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705</v>
      </c>
      <c r="P37" s="1">
        <f>VLOOKUP(A:A,MASTER!A:H,8,0)</f>
        <v>195</v>
      </c>
      <c r="Q37" s="12">
        <f t="shared" si="3"/>
        <v>-0.72340425531914887</v>
      </c>
      <c r="R37" s="1">
        <f>VLOOKUP(A:A,MASTER!A:B,2,0)</f>
        <v>2454</v>
      </c>
      <c r="S37">
        <f>VLOOKUP(A:A,MASTER!A:G,7,0)</f>
        <v>2249</v>
      </c>
      <c r="T37" s="12">
        <f t="shared" si="4"/>
        <v>-8.3537082314588451E-2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26242380.688157607</v>
      </c>
      <c r="G38" s="1">
        <f>VLOOKUP(A:A,MASTER!A:K,11,0)</f>
        <v>31911637.941774253</v>
      </c>
      <c r="H38" s="12">
        <f t="shared" si="0"/>
        <v>0.21603441093951559</v>
      </c>
      <c r="I38" s="2">
        <f>VLOOKUP(A:A,MASTER!A:E,5,0)</f>
        <v>452</v>
      </c>
      <c r="J38" s="2">
        <f>VLOOKUP(A:A,MASTER!A:J,10,0)</f>
        <v>470</v>
      </c>
      <c r="K38" s="12">
        <f t="shared" si="1"/>
        <v>3.9823008849557473E-2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2</v>
      </c>
      <c r="Q38" s="12">
        <f t="shared" si="3"/>
        <v>0</v>
      </c>
      <c r="R38" s="1">
        <f>VLOOKUP(A:A,MASTER!A:B,2,0)</f>
        <v>608</v>
      </c>
      <c r="S38">
        <f>VLOOKUP(A:A,MASTER!A:G,7,0)</f>
        <v>589</v>
      </c>
      <c r="T38" s="12">
        <f t="shared" si="4"/>
        <v>-3.125E-2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96752302.477565348</v>
      </c>
      <c r="G39" s="1">
        <f>VLOOKUP(A:A,MASTER!A:K,11,0)</f>
        <v>102412981.25261556</v>
      </c>
      <c r="H39" s="12">
        <f t="shared" si="0"/>
        <v>5.8506915392145808E-2</v>
      </c>
      <c r="I39" s="2">
        <f>VLOOKUP(A:A,MASTER!A:E,5,0)</f>
        <v>2338</v>
      </c>
      <c r="J39" s="2">
        <f>VLOOKUP(A:A,MASTER!A:J,10,0)</f>
        <v>2124</v>
      </c>
      <c r="K39" s="12">
        <f t="shared" si="1"/>
        <v>-9.1531223267750206E-2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14</v>
      </c>
      <c r="P39" s="1">
        <f>VLOOKUP(A:A,MASTER!A:H,8,0)</f>
        <v>13</v>
      </c>
      <c r="Q39" s="12">
        <f t="shared" si="3"/>
        <v>-7.1428571428571397E-2</v>
      </c>
      <c r="R39" s="1">
        <f>VLOOKUP(A:A,MASTER!A:B,2,0)</f>
        <v>2067</v>
      </c>
      <c r="S39">
        <f>VLOOKUP(A:A,MASTER!A:G,7,0)</f>
        <v>2086</v>
      </c>
      <c r="T39" s="12">
        <f t="shared" si="4"/>
        <v>9.1920657958393104E-3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66745940.713292941</v>
      </c>
      <c r="G40" s="1">
        <f>VLOOKUP(A:A,MASTER!A:K,11,0)</f>
        <v>71304383.073477671</v>
      </c>
      <c r="H40" s="12">
        <f t="shared" si="0"/>
        <v>6.8295424582679898E-2</v>
      </c>
      <c r="I40" s="2">
        <f>VLOOKUP(A:A,MASTER!A:E,5,0)</f>
        <v>800</v>
      </c>
      <c r="J40" s="2">
        <f>VLOOKUP(A:A,MASTER!A:J,10,0)</f>
        <v>1043</v>
      </c>
      <c r="K40" s="12">
        <f t="shared" si="1"/>
        <v>0.30374999999999996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9</v>
      </c>
      <c r="P40" s="1">
        <f>VLOOKUP(A:A,MASTER!A:H,8,0)</f>
        <v>15</v>
      </c>
      <c r="Q40" s="12">
        <f t="shared" si="3"/>
        <v>0.66666666666666674</v>
      </c>
      <c r="R40" s="1">
        <f>VLOOKUP(A:A,MASTER!A:B,2,0)</f>
        <v>886</v>
      </c>
      <c r="S40">
        <f>VLOOKUP(A:A,MASTER!A:G,7,0)</f>
        <v>930</v>
      </c>
      <c r="T40" s="12">
        <f t="shared" si="4"/>
        <v>4.9661399548532659E-2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55580474.582698487</v>
      </c>
      <c r="G41" s="1">
        <f>VLOOKUP(A:A,MASTER!A:K,11,0)</f>
        <v>45092507.887922965</v>
      </c>
      <c r="H41" s="12">
        <f t="shared" si="0"/>
        <v>-0.18869876109406769</v>
      </c>
      <c r="I41" s="2">
        <f>VLOOKUP(A:A,MASTER!A:E,5,0)</f>
        <v>1869</v>
      </c>
      <c r="J41" s="2">
        <f>VLOOKUP(A:A,MASTER!A:J,10,0)</f>
        <v>1277</v>
      </c>
      <c r="K41" s="12">
        <f t="shared" si="1"/>
        <v>-0.31674692348849653</v>
      </c>
      <c r="L41" s="2">
        <f>VLOOKUP(A:A,MASTER!A:D,4,0)</f>
        <v>4</v>
      </c>
      <c r="M41" s="2">
        <f>VLOOKUP(A:A,MASTER!A:I,9,0)</f>
        <v>4</v>
      </c>
      <c r="N41" s="12">
        <f t="shared" si="2"/>
        <v>0</v>
      </c>
      <c r="O41" s="1">
        <f>VLOOKUP(A:A,MASTER!A:C,3,0)</f>
        <v>5</v>
      </c>
      <c r="P41" s="1">
        <f>VLOOKUP(A:A,MASTER!A:H,8,0)</f>
        <v>9</v>
      </c>
      <c r="Q41" s="12">
        <f t="shared" si="3"/>
        <v>0.8</v>
      </c>
      <c r="R41" s="1">
        <f>VLOOKUP(A:A,MASTER!A:B,2,0)</f>
        <v>1109</v>
      </c>
      <c r="S41">
        <f>VLOOKUP(A:A,MASTER!A:G,7,0)</f>
        <v>1067</v>
      </c>
      <c r="T41" s="12">
        <f t="shared" si="4"/>
        <v>-3.7871956717763777E-2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51784070.968395308</v>
      </c>
      <c r="G42" s="1">
        <f>VLOOKUP(A:A,MASTER!A:K,11,0)</f>
        <v>53046603.959963858</v>
      </c>
      <c r="H42" s="12">
        <f t="shared" si="0"/>
        <v>2.4380721097402525E-2</v>
      </c>
      <c r="I42" s="2">
        <f>VLOOKUP(A:A,MASTER!A:E,5,0)</f>
        <v>627</v>
      </c>
      <c r="J42" s="2">
        <f>VLOOKUP(A:A,MASTER!A:J,10,0)</f>
        <v>709</v>
      </c>
      <c r="K42" s="12">
        <f t="shared" si="1"/>
        <v>0.13078149920255178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1</v>
      </c>
      <c r="P42" s="1">
        <f>VLOOKUP(A:A,MASTER!A:H,8,0)</f>
        <v>11</v>
      </c>
      <c r="Q42" s="12">
        <f t="shared" si="3"/>
        <v>10</v>
      </c>
      <c r="R42" s="1">
        <f>VLOOKUP(A:A,MASTER!A:B,2,0)</f>
        <v>850</v>
      </c>
      <c r="S42">
        <f>VLOOKUP(A:A,MASTER!A:G,7,0)</f>
        <v>805</v>
      </c>
      <c r="T42" s="12">
        <f t="shared" si="4"/>
        <v>-5.2941176470588269E-2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32601622.40021256</v>
      </c>
      <c r="G43" s="1">
        <f>VLOOKUP(A:A,MASTER!A:K,11,0)</f>
        <v>33674666.597797081</v>
      </c>
      <c r="H43" s="12">
        <f t="shared" si="0"/>
        <v>3.291382816511379E-2</v>
      </c>
      <c r="I43" s="2">
        <f>VLOOKUP(A:A,MASTER!A:E,5,0)</f>
        <v>581</v>
      </c>
      <c r="J43" s="2">
        <f>VLOOKUP(A:A,MASTER!A:J,10,0)</f>
        <v>841</v>
      </c>
      <c r="K43" s="12">
        <f t="shared" si="1"/>
        <v>0.44750430292598975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6</v>
      </c>
      <c r="P43" s="1">
        <f>VLOOKUP(A:A,MASTER!A:H,8,0)</f>
        <v>5</v>
      </c>
      <c r="Q43" s="12">
        <f t="shared" si="3"/>
        <v>-0.16666666666666663</v>
      </c>
      <c r="R43" s="1">
        <f>VLOOKUP(A:A,MASTER!A:B,2,0)</f>
        <v>684</v>
      </c>
      <c r="S43">
        <f>VLOOKUP(A:A,MASTER!A:G,7,0)</f>
        <v>732</v>
      </c>
      <c r="T43" s="12">
        <f t="shared" si="4"/>
        <v>7.0175438596491224E-2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31915382.671804514</v>
      </c>
      <c r="G44" s="1">
        <f>VLOOKUP(A:A,MASTER!A:K,11,0)</f>
        <v>29468354.797198515</v>
      </c>
      <c r="H44" s="12">
        <f t="shared" si="0"/>
        <v>-7.6672365165397549E-2</v>
      </c>
      <c r="I44" s="2">
        <f>VLOOKUP(A:A,MASTER!A:E,5,0)</f>
        <v>695</v>
      </c>
      <c r="J44" s="2">
        <f>VLOOKUP(A:A,MASTER!A:J,10,0)</f>
        <v>834</v>
      </c>
      <c r="K44" s="12">
        <f t="shared" si="1"/>
        <v>0.19999999999999996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3</v>
      </c>
      <c r="P44" s="1">
        <f>VLOOKUP(A:A,MASTER!A:H,8,0)</f>
        <v>3</v>
      </c>
      <c r="Q44" s="12">
        <f t="shared" si="3"/>
        <v>0</v>
      </c>
      <c r="R44" s="1">
        <f>VLOOKUP(A:A,MASTER!A:B,2,0)</f>
        <v>699</v>
      </c>
      <c r="S44">
        <f>VLOOKUP(A:A,MASTER!A:G,7,0)</f>
        <v>708</v>
      </c>
      <c r="T44" s="12">
        <f t="shared" si="4"/>
        <v>1.2875536480686733E-2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97906051.86029537</v>
      </c>
      <c r="G45" s="1">
        <f>VLOOKUP(A:A,MASTER!A:K,11,0)</f>
        <v>96247426.169247314</v>
      </c>
      <c r="H45" s="12">
        <f t="shared" si="0"/>
        <v>-1.6940992507948227E-2</v>
      </c>
      <c r="I45" s="2">
        <f>VLOOKUP(A:A,MASTER!A:E,5,0)</f>
        <v>1050</v>
      </c>
      <c r="J45" s="2">
        <f>VLOOKUP(A:A,MASTER!A:J,10,0)</f>
        <v>1154</v>
      </c>
      <c r="K45" s="12">
        <f t="shared" si="1"/>
        <v>9.9047619047619051E-2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14</v>
      </c>
      <c r="P45" s="1">
        <f>VLOOKUP(A:A,MASTER!A:H,8,0)</f>
        <v>11</v>
      </c>
      <c r="Q45" s="12">
        <f t="shared" si="3"/>
        <v>-0.2142857142857143</v>
      </c>
      <c r="R45" s="1">
        <f>VLOOKUP(A:A,MASTER!A:B,2,0)</f>
        <v>1249</v>
      </c>
      <c r="S45">
        <f>VLOOKUP(A:A,MASTER!A:G,7,0)</f>
        <v>1263</v>
      </c>
      <c r="T45" s="12">
        <f t="shared" si="4"/>
        <v>1.1208967173738982E-2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44365088.551900133</v>
      </c>
      <c r="G46" s="1">
        <f>VLOOKUP(A:A,MASTER!A:K,11,0)</f>
        <v>44204556.482187405</v>
      </c>
      <c r="H46" s="12">
        <f t="shared" si="0"/>
        <v>-3.6184323068561008E-3</v>
      </c>
      <c r="I46" s="2">
        <f>VLOOKUP(A:A,MASTER!A:E,5,0)</f>
        <v>886</v>
      </c>
      <c r="J46" s="2">
        <f>VLOOKUP(A:A,MASTER!A:J,10,0)</f>
        <v>1009</v>
      </c>
      <c r="K46" s="12">
        <f t="shared" si="1"/>
        <v>0.13882618510158018</v>
      </c>
      <c r="L46" s="2">
        <f>VLOOKUP(A:A,MASTER!A:D,4,0)</f>
        <v>5</v>
      </c>
      <c r="M46" s="2">
        <f>VLOOKUP(A:A,MASTER!A:I,9,0)</f>
        <v>5</v>
      </c>
      <c r="N46" s="12">
        <f t="shared" si="2"/>
        <v>0</v>
      </c>
      <c r="O46" s="1">
        <f>VLOOKUP(A:A,MASTER!A:C,3,0)</f>
        <v>4</v>
      </c>
      <c r="P46" s="1">
        <f>VLOOKUP(A:A,MASTER!A:H,8,0)</f>
        <v>5</v>
      </c>
      <c r="Q46" s="12">
        <f t="shared" si="3"/>
        <v>0.25</v>
      </c>
      <c r="R46" s="1">
        <f>VLOOKUP(A:A,MASTER!A:B,2,0)</f>
        <v>883</v>
      </c>
      <c r="S46">
        <f>VLOOKUP(A:A,MASTER!A:G,7,0)</f>
        <v>920</v>
      </c>
      <c r="T46" s="12">
        <f t="shared" si="4"/>
        <v>4.1902604756511863E-2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70293843.502737358</v>
      </c>
      <c r="G47" s="1">
        <f>VLOOKUP(A:A,MASTER!A:K,11,0)</f>
        <v>78963425.464954257</v>
      </c>
      <c r="H47" s="12">
        <f t="shared" si="0"/>
        <v>0.1233334461485136</v>
      </c>
      <c r="I47" s="2">
        <f>VLOOKUP(A:A,MASTER!A:E,5,0)</f>
        <v>1032</v>
      </c>
      <c r="J47" s="2">
        <f>VLOOKUP(A:A,MASTER!A:J,10,0)</f>
        <v>1468</v>
      </c>
      <c r="K47" s="12">
        <f t="shared" si="1"/>
        <v>0.42248062015503884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22</v>
      </c>
      <c r="P47" s="1">
        <f>VLOOKUP(A:A,MASTER!A:H,8,0)</f>
        <v>8</v>
      </c>
      <c r="Q47" s="12">
        <f t="shared" si="3"/>
        <v>-0.63636363636363635</v>
      </c>
      <c r="R47" s="1">
        <f>VLOOKUP(A:A,MASTER!A:B,2,0)</f>
        <v>1327</v>
      </c>
      <c r="S47">
        <f>VLOOKUP(A:A,MASTER!A:G,7,0)</f>
        <v>1418</v>
      </c>
      <c r="T47" s="12">
        <f t="shared" si="4"/>
        <v>6.8575734740015104E-2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36827963.94646024</v>
      </c>
      <c r="G48" s="1">
        <f>VLOOKUP(A:A,MASTER!A:K,11,0)</f>
        <v>39793830.224359959</v>
      </c>
      <c r="H48" s="12">
        <f t="shared" si="0"/>
        <v>8.0532996127927081E-2</v>
      </c>
      <c r="I48" s="2">
        <f>VLOOKUP(A:A,MASTER!A:E,5,0)</f>
        <v>394</v>
      </c>
      <c r="J48" s="2">
        <f>VLOOKUP(A:A,MASTER!A:J,10,0)</f>
        <v>398</v>
      </c>
      <c r="K48" s="12">
        <f t="shared" si="1"/>
        <v>1.0152284263959421E-2</v>
      </c>
      <c r="L48" s="2">
        <f>VLOOKUP(A:A,MASTER!A:D,4,0)</f>
        <v>5</v>
      </c>
      <c r="M48" s="2">
        <f>VLOOKUP(A:A,MASTER!A:I,9,0)</f>
        <v>5</v>
      </c>
      <c r="N48" s="12">
        <f t="shared" si="2"/>
        <v>0</v>
      </c>
      <c r="O48" s="1">
        <f>VLOOKUP(A:A,MASTER!A:C,3,0)</f>
        <v>10</v>
      </c>
      <c r="P48" s="1">
        <f>VLOOKUP(A:A,MASTER!A:H,8,0)</f>
        <v>4</v>
      </c>
      <c r="Q48" s="12">
        <f t="shared" si="3"/>
        <v>-0.6</v>
      </c>
      <c r="R48" s="1">
        <f>VLOOKUP(A:A,MASTER!A:B,2,0)</f>
        <v>479</v>
      </c>
      <c r="S48">
        <f>VLOOKUP(A:A,MASTER!A:G,7,0)</f>
        <v>470</v>
      </c>
      <c r="T48" s="12">
        <f t="shared" si="4"/>
        <v>-1.8789144050104345E-2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32706062.389469188</v>
      </c>
      <c r="G49" s="1">
        <f>VLOOKUP(A:A,MASTER!A:K,11,0)</f>
        <v>30190271.62808999</v>
      </c>
      <c r="H49" s="12">
        <f t="shared" si="0"/>
        <v>-7.6921236540820614E-2</v>
      </c>
      <c r="I49" s="2">
        <f>VLOOKUP(A:A,MASTER!A:E,5,0)</f>
        <v>361</v>
      </c>
      <c r="J49" s="2">
        <f>VLOOKUP(A:A,MASTER!A:J,10,0)</f>
        <v>408</v>
      </c>
      <c r="K49" s="12">
        <f t="shared" si="1"/>
        <v>0.1301939058171746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4</v>
      </c>
      <c r="P49" s="1">
        <f>VLOOKUP(A:A,MASTER!A:H,8,0)</f>
        <v>4</v>
      </c>
      <c r="Q49" s="12">
        <f t="shared" si="3"/>
        <v>0</v>
      </c>
      <c r="R49" s="1">
        <f>VLOOKUP(A:A,MASTER!A:B,2,0)</f>
        <v>452</v>
      </c>
      <c r="S49">
        <f>VLOOKUP(A:A,MASTER!A:G,7,0)</f>
        <v>459</v>
      </c>
      <c r="T49" s="12">
        <f t="shared" si="4"/>
        <v>1.5486725663716783E-2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27855777.108106978</v>
      </c>
      <c r="G50" s="1">
        <f>VLOOKUP(A:A,MASTER!A:K,11,0)</f>
        <v>26520875.013012554</v>
      </c>
      <c r="H50" s="12">
        <f t="shared" si="0"/>
        <v>-4.7921911850232424E-2</v>
      </c>
      <c r="I50" s="2">
        <f>VLOOKUP(A:A,MASTER!A:E,5,0)</f>
        <v>336</v>
      </c>
      <c r="J50" s="2">
        <f>VLOOKUP(A:A,MASTER!A:J,10,0)</f>
        <v>530</v>
      </c>
      <c r="K50" s="12">
        <f t="shared" si="1"/>
        <v>0.57738095238095233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13</v>
      </c>
      <c r="P50" s="1">
        <f>VLOOKUP(A:A,MASTER!A:H,8,0)</f>
        <v>5</v>
      </c>
      <c r="Q50" s="12">
        <f t="shared" si="3"/>
        <v>-0.61538461538461542</v>
      </c>
      <c r="R50" s="1">
        <f>VLOOKUP(A:A,MASTER!A:B,2,0)</f>
        <v>423</v>
      </c>
      <c r="S50">
        <f>VLOOKUP(A:A,MASTER!A:G,7,0)</f>
        <v>399</v>
      </c>
      <c r="T50" s="12">
        <f t="shared" si="4"/>
        <v>-5.673758865248224E-2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60970077.042355917</v>
      </c>
      <c r="G51" s="1">
        <f>VLOOKUP(A:A,MASTER!A:K,11,0)</f>
        <v>60111160.2986276</v>
      </c>
      <c r="H51" s="12">
        <f t="shared" si="0"/>
        <v>-1.4087512848829586E-2</v>
      </c>
      <c r="I51" s="2">
        <f>VLOOKUP(A:A,MASTER!A:E,5,0)</f>
        <v>930</v>
      </c>
      <c r="J51" s="2">
        <f>VLOOKUP(A:A,MASTER!A:J,10,0)</f>
        <v>940</v>
      </c>
      <c r="K51" s="12">
        <f t="shared" si="1"/>
        <v>1.0752688172043001E-2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7</v>
      </c>
      <c r="P51" s="1">
        <f>VLOOKUP(A:A,MASTER!A:H,8,0)</f>
        <v>10</v>
      </c>
      <c r="Q51" s="12">
        <f t="shared" si="3"/>
        <v>0.4285714285714286</v>
      </c>
      <c r="R51" s="1">
        <f>VLOOKUP(A:A,MASTER!A:B,2,0)</f>
        <v>1122</v>
      </c>
      <c r="S51">
        <f>VLOOKUP(A:A,MASTER!A:G,7,0)</f>
        <v>1085</v>
      </c>
      <c r="T51" s="12">
        <f t="shared" si="4"/>
        <v>-3.2976827094474137E-2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63473308.845725581</v>
      </c>
      <c r="G52" s="1">
        <f>VLOOKUP(A:A,MASTER!A:K,11,0)</f>
        <v>53650578.311345041</v>
      </c>
      <c r="H52" s="12">
        <f t="shared" si="0"/>
        <v>-0.15475371794867476</v>
      </c>
      <c r="I52" s="2">
        <f>VLOOKUP(A:A,MASTER!A:E,5,0)</f>
        <v>728</v>
      </c>
      <c r="J52" s="2">
        <f>VLOOKUP(A:A,MASTER!A:J,10,0)</f>
        <v>1376</v>
      </c>
      <c r="K52" s="12">
        <f t="shared" si="1"/>
        <v>0.89010989010989006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15</v>
      </c>
      <c r="P52" s="1">
        <f>VLOOKUP(A:A,MASTER!A:H,8,0)</f>
        <v>7</v>
      </c>
      <c r="Q52" s="12">
        <f t="shared" si="3"/>
        <v>-0.53333333333333333</v>
      </c>
      <c r="R52" s="1">
        <f>VLOOKUP(A:A,MASTER!A:B,2,0)</f>
        <v>969</v>
      </c>
      <c r="S52">
        <f>VLOOKUP(A:A,MASTER!A:G,7,0)</f>
        <v>955</v>
      </c>
      <c r="T52" s="12">
        <f t="shared" si="4"/>
        <v>-1.4447884416924683E-2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96328741.671867356</v>
      </c>
      <c r="G53" s="1">
        <f>VLOOKUP(A:A,MASTER!A:K,11,0)</f>
        <v>119362203.94001356</v>
      </c>
      <c r="H53" s="12">
        <f t="shared" si="0"/>
        <v>0.23911308160348455</v>
      </c>
      <c r="I53" s="2">
        <f>VLOOKUP(A:A,MASTER!A:E,5,0)</f>
        <v>1607</v>
      </c>
      <c r="J53" s="2">
        <f>VLOOKUP(A:A,MASTER!A:J,10,0)</f>
        <v>1854</v>
      </c>
      <c r="K53" s="12">
        <f t="shared" si="1"/>
        <v>0.15370255133789668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43</v>
      </c>
      <c r="P53" s="1">
        <f>VLOOKUP(A:A,MASTER!A:H,8,0)</f>
        <v>17</v>
      </c>
      <c r="Q53" s="12">
        <f t="shared" si="3"/>
        <v>-0.60465116279069764</v>
      </c>
      <c r="R53" s="1">
        <f>VLOOKUP(A:A,MASTER!A:B,2,0)</f>
        <v>2012</v>
      </c>
      <c r="S53">
        <f>VLOOKUP(A:A,MASTER!A:G,7,0)</f>
        <v>2039</v>
      </c>
      <c r="T53" s="12">
        <f t="shared" si="4"/>
        <v>1.3419483101391627E-2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28479366.822211664</v>
      </c>
      <c r="G54" s="1">
        <f>VLOOKUP(A:A,MASTER!A:K,11,0)</f>
        <v>28733637.833457574</v>
      </c>
      <c r="H54" s="12">
        <f t="shared" si="0"/>
        <v>8.9282536663559675E-3</v>
      </c>
      <c r="I54" s="2">
        <f>VLOOKUP(A:A,MASTER!A:E,5,0)</f>
        <v>482</v>
      </c>
      <c r="J54" s="2">
        <f>VLOOKUP(A:A,MASTER!A:J,10,0)</f>
        <v>656</v>
      </c>
      <c r="K54" s="12">
        <f t="shared" si="1"/>
        <v>0.36099585062240669</v>
      </c>
      <c r="L54" s="2">
        <f>VLOOKUP(A:A,MASTER!A:D,4,0)</f>
        <v>0</v>
      </c>
      <c r="M54" s="2">
        <f>VLOOKUP(A:A,MASTER!A:I,9,0)</f>
        <v>1</v>
      </c>
      <c r="N54" s="12">
        <f t="shared" si="2"/>
        <v>0</v>
      </c>
      <c r="O54" s="1">
        <f>VLOOKUP(A:A,MASTER!A:C,3,0)</f>
        <v>3</v>
      </c>
      <c r="P54" s="1">
        <f>VLOOKUP(A:A,MASTER!A:H,8,0)</f>
        <v>5</v>
      </c>
      <c r="Q54" s="12">
        <f t="shared" si="3"/>
        <v>0.66666666666666674</v>
      </c>
      <c r="R54" s="1">
        <f>VLOOKUP(A:A,MASTER!A:B,2,0)</f>
        <v>684</v>
      </c>
      <c r="S54">
        <f>VLOOKUP(A:A,MASTER!A:G,7,0)</f>
        <v>641</v>
      </c>
      <c r="T54" s="12">
        <f t="shared" si="4"/>
        <v>-6.2865497076023402E-2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45909139.536325142</v>
      </c>
      <c r="G55" s="1">
        <f>VLOOKUP(A:A,MASTER!A:K,11,0)</f>
        <v>50511886.786456153</v>
      </c>
      <c r="H55" s="12">
        <f t="shared" si="0"/>
        <v>0.10025775470021903</v>
      </c>
      <c r="I55" s="2">
        <f>VLOOKUP(A:A,MASTER!A:E,5,0)</f>
        <v>886</v>
      </c>
      <c r="J55" s="2">
        <f>VLOOKUP(A:A,MASTER!A:J,10,0)</f>
        <v>853</v>
      </c>
      <c r="K55" s="12">
        <f t="shared" si="1"/>
        <v>-3.724604966139955E-2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12</v>
      </c>
      <c r="P55" s="1">
        <f>VLOOKUP(A:A,MASTER!A:H,8,0)</f>
        <v>9</v>
      </c>
      <c r="Q55" s="12">
        <f t="shared" si="3"/>
        <v>-0.25</v>
      </c>
      <c r="R55" s="1">
        <f>VLOOKUP(A:A,MASTER!A:B,2,0)</f>
        <v>871</v>
      </c>
      <c r="S55">
        <f>VLOOKUP(A:A,MASTER!A:G,7,0)</f>
        <v>890</v>
      </c>
      <c r="T55" s="12">
        <f t="shared" si="4"/>
        <v>2.1814006888633664E-2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34606752.92799139</v>
      </c>
      <c r="G56" s="1">
        <f>VLOOKUP(A:A,MASTER!A:K,11,0)</f>
        <v>29960043.318234809</v>
      </c>
      <c r="H56" s="12">
        <f t="shared" si="0"/>
        <v>-0.13427175960210147</v>
      </c>
      <c r="I56" s="2">
        <f>VLOOKUP(A:A,MASTER!A:E,5,0)</f>
        <v>602</v>
      </c>
      <c r="J56" s="2">
        <f>VLOOKUP(A:A,MASTER!A:J,10,0)</f>
        <v>711</v>
      </c>
      <c r="K56" s="12">
        <f t="shared" si="1"/>
        <v>0.18106312292358795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4</v>
      </c>
      <c r="P56" s="1">
        <f>VLOOKUP(A:A,MASTER!A:H,8,0)</f>
        <v>4</v>
      </c>
      <c r="Q56" s="12">
        <f t="shared" si="3"/>
        <v>0</v>
      </c>
      <c r="R56" s="1">
        <f>VLOOKUP(A:A,MASTER!A:B,2,0)</f>
        <v>776</v>
      </c>
      <c r="S56">
        <f>VLOOKUP(A:A,MASTER!A:G,7,0)</f>
        <v>682</v>
      </c>
      <c r="T56" s="12">
        <f t="shared" si="4"/>
        <v>-0.12113402061855671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61236073.249962188</v>
      </c>
      <c r="G57" s="1">
        <f>VLOOKUP(A:A,MASTER!A:K,11,0)</f>
        <v>64061627.129171327</v>
      </c>
      <c r="H57" s="12">
        <f t="shared" si="0"/>
        <v>4.6141983462515412E-2</v>
      </c>
      <c r="I57" s="2">
        <f>VLOOKUP(A:A,MASTER!A:E,5,0)</f>
        <v>1094</v>
      </c>
      <c r="J57" s="2">
        <f>VLOOKUP(A:A,MASTER!A:J,10,0)</f>
        <v>1006</v>
      </c>
      <c r="K57" s="12">
        <f t="shared" si="1"/>
        <v>-8.0438756855575888E-2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14</v>
      </c>
      <c r="P57" s="1">
        <f>VLOOKUP(A:A,MASTER!A:H,8,0)</f>
        <v>8</v>
      </c>
      <c r="Q57" s="12">
        <f t="shared" si="3"/>
        <v>-0.4285714285714286</v>
      </c>
      <c r="R57" s="1">
        <f>VLOOKUP(A:A,MASTER!A:B,2,0)</f>
        <v>1088</v>
      </c>
      <c r="S57">
        <f>VLOOKUP(A:A,MASTER!A:G,7,0)</f>
        <v>1084</v>
      </c>
      <c r="T57" s="12">
        <f t="shared" si="4"/>
        <v>-3.6764705882352811E-3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79424572.818030417</v>
      </c>
      <c r="G58" s="1">
        <f>VLOOKUP(A:A,MASTER!A:K,11,0)</f>
        <v>82024311.005796999</v>
      </c>
      <c r="H58" s="12">
        <f t="shared" si="0"/>
        <v>3.2732164562255139E-2</v>
      </c>
      <c r="I58" s="2">
        <f>VLOOKUP(A:A,MASTER!A:E,5,0)</f>
        <v>1401</v>
      </c>
      <c r="J58" s="2">
        <f>VLOOKUP(A:A,MASTER!A:J,10,0)</f>
        <v>1580</v>
      </c>
      <c r="K58" s="12">
        <f t="shared" si="1"/>
        <v>0.12776588151320478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18</v>
      </c>
      <c r="P58" s="1">
        <f>VLOOKUP(A:A,MASTER!A:H,8,0)</f>
        <v>17</v>
      </c>
      <c r="Q58" s="12">
        <f t="shared" si="3"/>
        <v>-5.555555555555558E-2</v>
      </c>
      <c r="R58" s="1">
        <f>VLOOKUP(A:A,MASTER!A:B,2,0)</f>
        <v>1367</v>
      </c>
      <c r="S58">
        <f>VLOOKUP(A:A,MASTER!A:G,7,0)</f>
        <v>1566</v>
      </c>
      <c r="T58" s="12">
        <f t="shared" si="4"/>
        <v>0.14557425018288228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40044513.330088608</v>
      </c>
      <c r="G59" s="1">
        <f>VLOOKUP(A:A,MASTER!A:K,11,0)</f>
        <v>43598530.058410957</v>
      </c>
      <c r="H59" s="12">
        <f t="shared" si="0"/>
        <v>8.8751652418058935E-2</v>
      </c>
      <c r="I59" s="2">
        <f>VLOOKUP(A:A,MASTER!A:E,5,0)</f>
        <v>712</v>
      </c>
      <c r="J59" s="2">
        <f>VLOOKUP(A:A,MASTER!A:J,10,0)</f>
        <v>782</v>
      </c>
      <c r="K59" s="12">
        <f t="shared" si="1"/>
        <v>9.8314606741572996E-2</v>
      </c>
      <c r="L59" s="2">
        <f>VLOOKUP(A:A,MASTER!A:D,4,0)</f>
        <v>4</v>
      </c>
      <c r="M59" s="2">
        <f>VLOOKUP(A:A,MASTER!A:I,9,0)</f>
        <v>4</v>
      </c>
      <c r="N59" s="12">
        <f t="shared" si="2"/>
        <v>0</v>
      </c>
      <c r="O59" s="1">
        <f>VLOOKUP(A:A,MASTER!A:C,3,0)</f>
        <v>7</v>
      </c>
      <c r="P59" s="1">
        <f>VLOOKUP(A:A,MASTER!A:H,8,0)</f>
        <v>6</v>
      </c>
      <c r="Q59" s="12">
        <f t="shared" si="3"/>
        <v>-0.1428571428571429</v>
      </c>
      <c r="R59" s="1">
        <f>VLOOKUP(A:A,MASTER!A:B,2,0)</f>
        <v>778</v>
      </c>
      <c r="S59">
        <f>VLOOKUP(A:A,MASTER!A:G,7,0)</f>
        <v>773</v>
      </c>
      <c r="T59" s="12">
        <f t="shared" si="4"/>
        <v>-6.4267352185090054E-3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46786746.429686174</v>
      </c>
      <c r="G60" s="1">
        <f>VLOOKUP(A:A,MASTER!A:K,11,0)</f>
        <v>46831424.729506738</v>
      </c>
      <c r="H60" s="12">
        <f t="shared" si="0"/>
        <v>9.5493495979059873E-4</v>
      </c>
      <c r="I60" s="2">
        <f>VLOOKUP(A:A,MASTER!A:E,5,0)</f>
        <v>465</v>
      </c>
      <c r="J60" s="2">
        <f>VLOOKUP(A:A,MASTER!A:J,10,0)</f>
        <v>479</v>
      </c>
      <c r="K60" s="12">
        <f t="shared" si="1"/>
        <v>3.0107526881720359E-2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8</v>
      </c>
      <c r="P60" s="1">
        <f>VLOOKUP(A:A,MASTER!A:H,8,0)</f>
        <v>14</v>
      </c>
      <c r="Q60" s="12">
        <f t="shared" si="3"/>
        <v>0.75</v>
      </c>
      <c r="R60" s="1">
        <f>VLOOKUP(A:A,MASTER!A:B,2,0)</f>
        <v>663</v>
      </c>
      <c r="S60">
        <f>VLOOKUP(A:A,MASTER!A:G,7,0)</f>
        <v>633</v>
      </c>
      <c r="T60" s="12">
        <f t="shared" si="4"/>
        <v>-4.5248868778280493E-2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130631021.1162684</v>
      </c>
      <c r="G61" s="1">
        <f>VLOOKUP(A:A,MASTER!A:K,11,0)</f>
        <v>154952741.2124263</v>
      </c>
      <c r="H61" s="12">
        <f t="shared" si="0"/>
        <v>0.18618640418121135</v>
      </c>
      <c r="I61" s="2">
        <f>VLOOKUP(A:A,MASTER!A:E,5,0)</f>
        <v>1665</v>
      </c>
      <c r="J61" s="2">
        <f>VLOOKUP(A:A,MASTER!A:J,10,0)</f>
        <v>1851</v>
      </c>
      <c r="K61" s="12">
        <f t="shared" si="1"/>
        <v>0.11171171171171168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34</v>
      </c>
      <c r="P61" s="1">
        <f>VLOOKUP(A:A,MASTER!A:H,8,0)</f>
        <v>19</v>
      </c>
      <c r="Q61" s="12">
        <f t="shared" si="3"/>
        <v>-0.44117647058823528</v>
      </c>
      <c r="R61" s="1">
        <f>VLOOKUP(A:A,MASTER!A:B,2,0)</f>
        <v>2037</v>
      </c>
      <c r="S61">
        <f>VLOOKUP(A:A,MASTER!A:G,7,0)</f>
        <v>1983</v>
      </c>
      <c r="T61" s="12">
        <f t="shared" si="4"/>
        <v>-2.6509572901325495E-2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109399044.35993075</v>
      </c>
      <c r="G62" s="1">
        <f>VLOOKUP(A:A,MASTER!A:K,11,0)</f>
        <v>117836729.99392901</v>
      </c>
      <c r="H62" s="12">
        <f t="shared" si="0"/>
        <v>7.7127599087956078E-2</v>
      </c>
      <c r="I62" s="2">
        <f>VLOOKUP(A:A,MASTER!A:E,5,0)</f>
        <v>1123</v>
      </c>
      <c r="J62" s="2">
        <f>VLOOKUP(A:A,MASTER!A:J,10,0)</f>
        <v>1348</v>
      </c>
      <c r="K62" s="12">
        <f t="shared" si="1"/>
        <v>0.20035618878005335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28</v>
      </c>
      <c r="P62" s="1">
        <f>VLOOKUP(A:A,MASTER!A:H,8,0)</f>
        <v>29</v>
      </c>
      <c r="Q62" s="12">
        <f t="shared" si="3"/>
        <v>3.5714285714285809E-2</v>
      </c>
      <c r="R62" s="1">
        <f>VLOOKUP(A:A,MASTER!A:B,2,0)</f>
        <v>1562</v>
      </c>
      <c r="S62">
        <f>VLOOKUP(A:A,MASTER!A:G,7,0)</f>
        <v>1584</v>
      </c>
      <c r="T62" s="12">
        <f t="shared" si="4"/>
        <v>1.4084507042253502E-2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70103027.862181619</v>
      </c>
      <c r="G63" s="1">
        <f>VLOOKUP(A:A,MASTER!A:K,11,0)</f>
        <v>76241635.573840454</v>
      </c>
      <c r="H63" s="12">
        <f t="shared" si="0"/>
        <v>8.7565514626942731E-2</v>
      </c>
      <c r="I63" s="2">
        <f>VLOOKUP(A:A,MASTER!A:E,5,0)</f>
        <v>786</v>
      </c>
      <c r="J63" s="2">
        <f>VLOOKUP(A:A,MASTER!A:J,10,0)</f>
        <v>763</v>
      </c>
      <c r="K63" s="12">
        <f t="shared" si="1"/>
        <v>-2.9262086513994867E-2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4</v>
      </c>
      <c r="P63" s="1">
        <f>VLOOKUP(A:A,MASTER!A:H,8,0)</f>
        <v>13</v>
      </c>
      <c r="Q63" s="12">
        <f t="shared" si="3"/>
        <v>2.25</v>
      </c>
      <c r="R63" s="1">
        <f>VLOOKUP(A:A,MASTER!A:B,2,0)</f>
        <v>862</v>
      </c>
      <c r="S63">
        <f>VLOOKUP(A:A,MASTER!A:G,7,0)</f>
        <v>907</v>
      </c>
      <c r="T63" s="12">
        <f t="shared" si="4"/>
        <v>5.2204176334106789E-2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105453004.52573301</v>
      </c>
      <c r="G64" s="1">
        <f>VLOOKUP(A:A,MASTER!A:K,11,0)</f>
        <v>108334199.6946615</v>
      </c>
      <c r="H64" s="12">
        <f t="shared" si="0"/>
        <v>2.7322077563237235E-2</v>
      </c>
      <c r="I64" s="2">
        <f>VLOOKUP(A:A,MASTER!A:E,5,0)</f>
        <v>1320</v>
      </c>
      <c r="J64" s="2">
        <f>VLOOKUP(A:A,MASTER!A:J,10,0)</f>
        <v>1412</v>
      </c>
      <c r="K64" s="12">
        <f t="shared" si="1"/>
        <v>6.9696969696969591E-2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477</v>
      </c>
      <c r="P64" s="1">
        <f>VLOOKUP(A:A,MASTER!A:H,8,0)</f>
        <v>691</v>
      </c>
      <c r="Q64" s="12">
        <f t="shared" si="3"/>
        <v>0.44863731656184491</v>
      </c>
      <c r="R64" s="1">
        <f>VLOOKUP(A:A,MASTER!A:B,2,0)</f>
        <v>2110</v>
      </c>
      <c r="S64">
        <f>VLOOKUP(A:A,MASTER!A:G,7,0)</f>
        <v>2301</v>
      </c>
      <c r="T64" s="12">
        <f t="shared" si="4"/>
        <v>9.0521327014218E-2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7917119.7331427829</v>
      </c>
      <c r="G65" s="1">
        <f>VLOOKUP(A:A,MASTER!A:K,11,0)</f>
        <v>5688003.8497831644</v>
      </c>
      <c r="H65" s="12">
        <f t="shared" si="0"/>
        <v>-0.28155641931598629</v>
      </c>
      <c r="I65" s="2">
        <f>VLOOKUP(A:A,MASTER!A:E,5,0)</f>
        <v>273</v>
      </c>
      <c r="J65" s="2">
        <f>VLOOKUP(A:A,MASTER!A:J,10,0)</f>
        <v>388</v>
      </c>
      <c r="K65" s="12">
        <f t="shared" si="1"/>
        <v>0.4212454212454213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1</v>
      </c>
      <c r="Q65" s="12">
        <f t="shared" si="3"/>
        <v>-0.5</v>
      </c>
      <c r="R65" s="1">
        <f>VLOOKUP(A:A,MASTER!A:B,2,0)</f>
        <v>267</v>
      </c>
      <c r="S65">
        <f>VLOOKUP(A:A,MASTER!A:G,7,0)</f>
        <v>231</v>
      </c>
      <c r="T65" s="12">
        <f t="shared" si="4"/>
        <v>-0.1348314606741573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76125920.967077076</v>
      </c>
      <c r="G66" s="1">
        <f>VLOOKUP(A:A,MASTER!A:K,11,0)</f>
        <v>79037642.567849338</v>
      </c>
      <c r="H66" s="12">
        <f t="shared" si="0"/>
        <v>3.8248753693653548E-2</v>
      </c>
      <c r="I66" s="2">
        <f>VLOOKUP(A:A,MASTER!A:E,5,0)</f>
        <v>23</v>
      </c>
      <c r="J66" s="2">
        <f>VLOOKUP(A:A,MASTER!A:J,10,0)</f>
        <v>1727</v>
      </c>
      <c r="K66" s="12">
        <f t="shared" si="1"/>
        <v>74.086956521739125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7</v>
      </c>
      <c r="P66" s="1">
        <f>VLOOKUP(A:A,MASTER!A:H,8,0)</f>
        <v>18</v>
      </c>
      <c r="Q66" s="12">
        <f t="shared" si="3"/>
        <v>1.5714285714285716</v>
      </c>
      <c r="R66" s="1">
        <f>VLOOKUP(A:A,MASTER!A:B,2,0)</f>
        <v>1710</v>
      </c>
      <c r="S66">
        <f>VLOOKUP(A:A,MASTER!A:G,7,0)</f>
        <v>1604</v>
      </c>
      <c r="T66" s="12">
        <f t="shared" si="4"/>
        <v>-6.1988304093567259E-2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34547706.702124022</v>
      </c>
      <c r="G67" s="1">
        <f>VLOOKUP(A:A,MASTER!A:K,11,0)</f>
        <v>36786655.430095419</v>
      </c>
      <c r="H67" s="12">
        <f t="shared" ref="H67:H85" si="5">IFERROR(G67/F67-1,0)</f>
        <v>6.4807448647054233E-2</v>
      </c>
      <c r="I67" s="2">
        <f>VLOOKUP(A:A,MASTER!A:E,5,0)</f>
        <v>629</v>
      </c>
      <c r="J67" s="2">
        <f>VLOOKUP(A:A,MASTER!A:J,10,0)</f>
        <v>717</v>
      </c>
      <c r="K67" s="12">
        <f t="shared" ref="K67:K85" si="6">IFERROR(J67/I67-1,0)</f>
        <v>0.13990461049284586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3</v>
      </c>
      <c r="P67" s="1">
        <f>VLOOKUP(A:A,MASTER!A:H,8,0)</f>
        <v>6</v>
      </c>
      <c r="Q67" s="12">
        <f t="shared" ref="Q67:Q85" si="8">IFERROR(P67/O67-1,0)</f>
        <v>1</v>
      </c>
      <c r="R67" s="1">
        <f>VLOOKUP(A:A,MASTER!A:B,2,0)</f>
        <v>666</v>
      </c>
      <c r="S67">
        <f>VLOOKUP(A:A,MASTER!A:G,7,0)</f>
        <v>792</v>
      </c>
      <c r="T67" s="12">
        <f t="shared" ref="T67:T85" si="9">IFERROR(S67/R67-1,0)</f>
        <v>0.18918918918918926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54847136.452819146</v>
      </c>
      <c r="G68" s="1">
        <f>VLOOKUP(A:A,MASTER!A:K,11,0)</f>
        <v>57906843.358277619</v>
      </c>
      <c r="H68" s="12">
        <f t="shared" si="5"/>
        <v>5.5786082981570173E-2</v>
      </c>
      <c r="I68" s="2">
        <f>VLOOKUP(A:A,MASTER!A:E,5,0)</f>
        <v>1053</v>
      </c>
      <c r="J68" s="2">
        <f>VLOOKUP(A:A,MASTER!A:J,10,0)</f>
        <v>1339</v>
      </c>
      <c r="K68" s="12">
        <f t="shared" si="6"/>
        <v>0.27160493827160503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64</v>
      </c>
      <c r="P68" s="1">
        <f>VLOOKUP(A:A,MASTER!A:H,8,0)</f>
        <v>82</v>
      </c>
      <c r="Q68" s="12">
        <f t="shared" si="8"/>
        <v>0.28125</v>
      </c>
      <c r="R68" s="1">
        <f>VLOOKUP(A:A,MASTER!A:B,2,0)</f>
        <v>1346</v>
      </c>
      <c r="S68">
        <f>VLOOKUP(A:A,MASTER!A:G,7,0)</f>
        <v>1313</v>
      </c>
      <c r="T68" s="12">
        <f t="shared" si="9"/>
        <v>-2.4517087667161985E-2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29126978.298287258</v>
      </c>
      <c r="G69" s="1">
        <f>VLOOKUP(A:A,MASTER!A:K,11,0)</f>
        <v>40855278.346187778</v>
      </c>
      <c r="H69" s="12">
        <f t="shared" si="5"/>
        <v>0.40266106314880501</v>
      </c>
      <c r="I69" s="2">
        <f>VLOOKUP(A:A,MASTER!A:E,5,0)</f>
        <v>1427</v>
      </c>
      <c r="J69" s="2">
        <f>VLOOKUP(A:A,MASTER!A:J,10,0)</f>
        <v>1405</v>
      </c>
      <c r="K69" s="12">
        <f t="shared" si="6"/>
        <v>-1.5416958654519974E-2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15</v>
      </c>
      <c r="P69" s="1">
        <f>VLOOKUP(A:A,MASTER!A:H,8,0)</f>
        <v>14</v>
      </c>
      <c r="Q69" s="12">
        <f t="shared" si="8"/>
        <v>-6.6666666666666652E-2</v>
      </c>
      <c r="R69" s="1">
        <f>VLOOKUP(A:A,MASTER!A:B,2,0)</f>
        <v>1313</v>
      </c>
      <c r="S69">
        <f>VLOOKUP(A:A,MASTER!A:G,7,0)</f>
        <v>1266</v>
      </c>
      <c r="T69" s="12">
        <f t="shared" si="9"/>
        <v>-3.5795887281035776E-2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98315347.098174065</v>
      </c>
      <c r="G70" s="1">
        <f>VLOOKUP(A:A,MASTER!A:K,11,0)</f>
        <v>100819403.76663657</v>
      </c>
      <c r="H70" s="12">
        <f t="shared" si="5"/>
        <v>2.5469641743338878E-2</v>
      </c>
      <c r="I70" s="2">
        <f>VLOOKUP(A:A,MASTER!A:E,5,0)</f>
        <v>1163</v>
      </c>
      <c r="J70" s="2">
        <f>VLOOKUP(A:A,MASTER!A:J,10,0)</f>
        <v>1221</v>
      </c>
      <c r="K70" s="12">
        <f t="shared" si="6"/>
        <v>4.9871023215821042E-2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14</v>
      </c>
      <c r="P70" s="1">
        <f>VLOOKUP(A:A,MASTER!A:H,8,0)</f>
        <v>19</v>
      </c>
      <c r="Q70" s="12">
        <f t="shared" si="8"/>
        <v>0.35714285714285721</v>
      </c>
      <c r="R70" s="1">
        <f>VLOOKUP(A:A,MASTER!A:B,2,0)</f>
        <v>1752</v>
      </c>
      <c r="S70">
        <f>VLOOKUP(A:A,MASTER!A:G,7,0)</f>
        <v>1719</v>
      </c>
      <c r="T70" s="12">
        <f t="shared" si="9"/>
        <v>-1.8835616438356184E-2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19683996.910329919</v>
      </c>
      <c r="G71" s="1">
        <f>VLOOKUP(A:A,MASTER!A:K,11,0)</f>
        <v>20686498.135920927</v>
      </c>
      <c r="H71" s="12">
        <f t="shared" si="5"/>
        <v>5.0929759345009318E-2</v>
      </c>
      <c r="I71" s="2">
        <f>VLOOKUP(A:A,MASTER!A:E,5,0)</f>
        <v>453</v>
      </c>
      <c r="J71" s="2">
        <f>VLOOKUP(A:A,MASTER!A:J,10,0)</f>
        <v>770</v>
      </c>
      <c r="K71" s="12">
        <f t="shared" si="6"/>
        <v>0.69977924944812364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6</v>
      </c>
      <c r="P71" s="1">
        <f>VLOOKUP(A:A,MASTER!A:H,8,0)</f>
        <v>4</v>
      </c>
      <c r="Q71" s="12">
        <f t="shared" si="8"/>
        <v>-0.33333333333333337</v>
      </c>
      <c r="R71" s="1">
        <f>VLOOKUP(A:A,MASTER!A:B,2,0)</f>
        <v>499</v>
      </c>
      <c r="S71">
        <f>VLOOKUP(A:A,MASTER!A:G,7,0)</f>
        <v>511</v>
      </c>
      <c r="T71" s="12">
        <f t="shared" si="9"/>
        <v>2.4048096192384794E-2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32160041.736018367</v>
      </c>
      <c r="G72" s="1">
        <f>VLOOKUP(A:A,MASTER!A:K,11,0)</f>
        <v>32996093.214375857</v>
      </c>
      <c r="H72" s="12">
        <f t="shared" si="5"/>
        <v>2.5996591833434612E-2</v>
      </c>
      <c r="I72" s="2">
        <f>VLOOKUP(A:A,MASTER!A:E,5,0)</f>
        <v>810</v>
      </c>
      <c r="J72" s="2">
        <f>VLOOKUP(A:A,MASTER!A:J,10,0)</f>
        <v>809</v>
      </c>
      <c r="K72" s="12">
        <f t="shared" si="6"/>
        <v>-1.2345679012345512E-3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6</v>
      </c>
      <c r="P72" s="1">
        <f>VLOOKUP(A:A,MASTER!A:H,8,0)</f>
        <v>7</v>
      </c>
      <c r="Q72" s="12">
        <f t="shared" si="8"/>
        <v>0.16666666666666674</v>
      </c>
      <c r="R72" s="1">
        <f>VLOOKUP(A:A,MASTER!A:B,2,0)</f>
        <v>903</v>
      </c>
      <c r="S72">
        <f>VLOOKUP(A:A,MASTER!A:G,7,0)</f>
        <v>885</v>
      </c>
      <c r="T72" s="12">
        <f t="shared" si="9"/>
        <v>-1.9933554817275767E-2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21407137.642230976</v>
      </c>
      <c r="G73" s="1">
        <f>VLOOKUP(A:A,MASTER!A:K,11,0)</f>
        <v>32774773.091488261</v>
      </c>
      <c r="H73" s="12">
        <f t="shared" si="5"/>
        <v>0.53102080433358623</v>
      </c>
      <c r="I73" s="2">
        <f>VLOOKUP(A:A,MASTER!A:E,5,0)</f>
        <v>490</v>
      </c>
      <c r="J73" s="2">
        <f>VLOOKUP(A:A,MASTER!A:J,10,0)</f>
        <v>501</v>
      </c>
      <c r="K73" s="12">
        <f t="shared" si="6"/>
        <v>2.2448979591836782E-2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648</v>
      </c>
      <c r="S73">
        <f>VLOOKUP(A:A,MASTER!A:G,7,0)</f>
        <v>627</v>
      </c>
      <c r="T73" s="12">
        <f t="shared" si="9"/>
        <v>-3.240740740740744E-2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16536642.207860889</v>
      </c>
      <c r="G74" s="1">
        <f>VLOOKUP(A:A,MASTER!A:K,11,0)</f>
        <v>21146171.079158921</v>
      </c>
      <c r="H74" s="12">
        <f t="shared" si="5"/>
        <v>0.27874636297729394</v>
      </c>
      <c r="I74" s="2">
        <f>VLOOKUP(A:A,MASTER!A:E,5,0)</f>
        <v>548</v>
      </c>
      <c r="J74" s="2">
        <f>VLOOKUP(A:A,MASTER!A:J,10,0)</f>
        <v>679</v>
      </c>
      <c r="K74" s="12">
        <f t="shared" si="6"/>
        <v>0.23905109489051091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7</v>
      </c>
      <c r="Q74" s="12">
        <f t="shared" si="8"/>
        <v>0.39999999999999991</v>
      </c>
      <c r="R74" s="1">
        <f>VLOOKUP(A:A,MASTER!A:B,2,0)</f>
        <v>568</v>
      </c>
      <c r="S74">
        <f>VLOOKUP(A:A,MASTER!A:G,7,0)</f>
        <v>580</v>
      </c>
      <c r="T74" s="12">
        <f t="shared" si="9"/>
        <v>2.1126760563380254E-2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24837632.190980133</v>
      </c>
      <c r="G75" s="1">
        <f>VLOOKUP(A:A,MASTER!A:K,11,0)</f>
        <v>26477086.777779728</v>
      </c>
      <c r="H75" s="12">
        <f t="shared" si="5"/>
        <v>6.6006879166000676E-2</v>
      </c>
      <c r="I75" s="2">
        <f>VLOOKUP(A:A,MASTER!A:E,5,0)</f>
        <v>417</v>
      </c>
      <c r="J75" s="2">
        <f>VLOOKUP(A:A,MASTER!A:J,10,0)</f>
        <v>517</v>
      </c>
      <c r="K75" s="12">
        <f t="shared" si="6"/>
        <v>0.23980815347721829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436</v>
      </c>
      <c r="S75">
        <f>VLOOKUP(A:A,MASTER!A:G,7,0)</f>
        <v>450</v>
      </c>
      <c r="T75" s="12">
        <f t="shared" si="9"/>
        <v>3.2110091743119185E-2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71186313.463551417</v>
      </c>
      <c r="G76" s="1">
        <f>VLOOKUP(A:A,MASTER!A:K,11,0)</f>
        <v>69229976.611934304</v>
      </c>
      <c r="H76" s="12">
        <f t="shared" si="5"/>
        <v>-2.7481923932172525E-2</v>
      </c>
      <c r="I76" s="2">
        <f>VLOOKUP(A:A,MASTER!A:E,5,0)</f>
        <v>728</v>
      </c>
      <c r="J76" s="2">
        <f>VLOOKUP(A:A,MASTER!A:J,10,0)</f>
        <v>690</v>
      </c>
      <c r="K76" s="12">
        <f t="shared" si="6"/>
        <v>-5.2197802197802234E-2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19</v>
      </c>
      <c r="P76" s="1">
        <f>VLOOKUP(A:A,MASTER!A:H,8,0)</f>
        <v>11</v>
      </c>
      <c r="Q76" s="12">
        <f t="shared" si="8"/>
        <v>-0.42105263157894735</v>
      </c>
      <c r="R76" s="1">
        <f>VLOOKUP(A:A,MASTER!A:B,2,0)</f>
        <v>962</v>
      </c>
      <c r="S76">
        <f>VLOOKUP(A:A,MASTER!A:G,7,0)</f>
        <v>905</v>
      </c>
      <c r="T76" s="12">
        <f t="shared" si="9"/>
        <v>-5.9251559251559227E-2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42014374.495212048</v>
      </c>
      <c r="G77" s="1">
        <f>VLOOKUP(A:A,MASTER!A:K,11,0)</f>
        <v>41482355.29842566</v>
      </c>
      <c r="H77" s="12">
        <f t="shared" si="5"/>
        <v>-1.2662789894611337E-2</v>
      </c>
      <c r="I77" s="2">
        <f>VLOOKUP(A:A,MASTER!A:E,5,0)</f>
        <v>761</v>
      </c>
      <c r="J77" s="2">
        <f>VLOOKUP(A:A,MASTER!A:J,10,0)</f>
        <v>767</v>
      </c>
      <c r="K77" s="12">
        <f t="shared" si="6"/>
        <v>7.8843626806832656E-3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8</v>
      </c>
      <c r="P77" s="1">
        <f>VLOOKUP(A:A,MASTER!A:H,8,0)</f>
        <v>6</v>
      </c>
      <c r="Q77" s="12">
        <f t="shared" si="8"/>
        <v>-0.25</v>
      </c>
      <c r="R77" s="1">
        <f>VLOOKUP(A:A,MASTER!A:B,2,0)</f>
        <v>788</v>
      </c>
      <c r="S77">
        <f>VLOOKUP(A:A,MASTER!A:G,7,0)</f>
        <v>782</v>
      </c>
      <c r="T77" s="12">
        <f t="shared" si="9"/>
        <v>-7.6142131979695105E-3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35492494.507336438</v>
      </c>
      <c r="G78" s="1">
        <f>VLOOKUP(A:A,MASTER!A:K,11,0)</f>
        <v>36210217.788931936</v>
      </c>
      <c r="H78" s="12">
        <f t="shared" si="5"/>
        <v>2.0221832574972787E-2</v>
      </c>
      <c r="I78" s="2">
        <f>VLOOKUP(A:A,MASTER!A:E,5,0)</f>
        <v>914</v>
      </c>
      <c r="J78" s="2">
        <f>VLOOKUP(A:A,MASTER!A:J,10,0)</f>
        <v>946</v>
      </c>
      <c r="K78" s="12">
        <f t="shared" si="6"/>
        <v>3.5010940919037115E-2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2</v>
      </c>
      <c r="P78" s="1">
        <f>VLOOKUP(A:A,MASTER!A:H,8,0)</f>
        <v>8</v>
      </c>
      <c r="Q78" s="12">
        <f t="shared" si="8"/>
        <v>3</v>
      </c>
      <c r="R78" s="1">
        <f>VLOOKUP(A:A,MASTER!A:B,2,0)</f>
        <v>945</v>
      </c>
      <c r="S78">
        <f>VLOOKUP(A:A,MASTER!A:G,7,0)</f>
        <v>944</v>
      </c>
      <c r="T78" s="12">
        <f t="shared" si="9"/>
        <v>-1.0582010582010914E-3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39246929.902227499</v>
      </c>
      <c r="G79" s="1">
        <f>VLOOKUP(A:A,MASTER!A:K,11,0)</f>
        <v>39249603.519122563</v>
      </c>
      <c r="H79" s="12">
        <f t="shared" si="5"/>
        <v>6.8122956412786095E-5</v>
      </c>
      <c r="I79" s="2">
        <f>VLOOKUP(A:A,MASTER!A:E,5,0)</f>
        <v>814</v>
      </c>
      <c r="J79" s="2">
        <f>VLOOKUP(A:A,MASTER!A:J,10,0)</f>
        <v>886</v>
      </c>
      <c r="K79" s="12">
        <f t="shared" si="6"/>
        <v>8.8452088452088518E-2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9</v>
      </c>
      <c r="P79" s="1">
        <f>VLOOKUP(A:A,MASTER!A:H,8,0)</f>
        <v>5</v>
      </c>
      <c r="Q79" s="12">
        <f t="shared" si="8"/>
        <v>-0.44444444444444442</v>
      </c>
      <c r="R79" s="1">
        <f>VLOOKUP(A:A,MASTER!A:B,2,0)</f>
        <v>1004</v>
      </c>
      <c r="S79">
        <f>VLOOKUP(A:A,MASTER!A:G,7,0)</f>
        <v>949</v>
      </c>
      <c r="T79" s="12">
        <f t="shared" si="9"/>
        <v>-5.4780876494023856E-2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43434600.920144811</v>
      </c>
      <c r="G80" s="1">
        <f>VLOOKUP(A:A,MASTER!A:K,11,0)</f>
        <v>48234097.097117387</v>
      </c>
      <c r="H80" s="12">
        <f t="shared" si="5"/>
        <v>0.11049937320240422</v>
      </c>
      <c r="I80" s="2">
        <f>VLOOKUP(A:A,MASTER!A:E,5,0)</f>
        <v>671</v>
      </c>
      <c r="J80" s="2">
        <f>VLOOKUP(A:A,MASTER!A:J,10,0)</f>
        <v>795</v>
      </c>
      <c r="K80" s="12">
        <f t="shared" si="6"/>
        <v>0.18479880774962743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11</v>
      </c>
      <c r="P80" s="1">
        <f>VLOOKUP(A:A,MASTER!A:H,8,0)</f>
        <v>3</v>
      </c>
      <c r="Q80" s="12">
        <f t="shared" si="8"/>
        <v>-0.72727272727272729</v>
      </c>
      <c r="R80" s="1">
        <f>VLOOKUP(A:A,MASTER!A:B,2,0)</f>
        <v>761</v>
      </c>
      <c r="S80">
        <f>VLOOKUP(A:A,MASTER!A:G,7,0)</f>
        <v>749</v>
      </c>
      <c r="T80" s="12">
        <f t="shared" si="9"/>
        <v>-1.5768725361366642E-2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18399345.194895476</v>
      </c>
      <c r="G81" s="1">
        <f>VLOOKUP(A:A,MASTER!A:K,11,0)</f>
        <v>21690659.164879039</v>
      </c>
      <c r="H81" s="12">
        <f t="shared" si="5"/>
        <v>0.17888212515827306</v>
      </c>
      <c r="I81" s="2">
        <f>VLOOKUP(A:A,MASTER!A:E,5,0)</f>
        <v>476</v>
      </c>
      <c r="J81" s="2">
        <f>VLOOKUP(A:A,MASTER!A:J,10,0)</f>
        <v>735</v>
      </c>
      <c r="K81" s="12">
        <f t="shared" si="6"/>
        <v>0.54411764705882359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5</v>
      </c>
      <c r="Q81" s="12">
        <f t="shared" si="8"/>
        <v>1.5</v>
      </c>
      <c r="R81" s="1">
        <f>VLOOKUP(A:A,MASTER!A:B,2,0)</f>
        <v>565</v>
      </c>
      <c r="S81">
        <f>VLOOKUP(A:A,MASTER!A:G,7,0)</f>
        <v>590</v>
      </c>
      <c r="T81" s="12">
        <f t="shared" si="9"/>
        <v>4.4247787610619538E-2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82273473.200688198</v>
      </c>
      <c r="G82" s="1">
        <f>VLOOKUP(A:A,MASTER!A:K,11,0)</f>
        <v>94241217.026786476</v>
      </c>
      <c r="H82" s="12">
        <f t="shared" si="5"/>
        <v>0.14546297075493064</v>
      </c>
      <c r="I82" s="2">
        <f>VLOOKUP(A:A,MASTER!A:E,5,0)</f>
        <v>1372</v>
      </c>
      <c r="J82" s="2">
        <f>VLOOKUP(A:A,MASTER!A:J,10,0)</f>
        <v>1414</v>
      </c>
      <c r="K82" s="12">
        <f t="shared" si="6"/>
        <v>3.0612244897959107E-2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10</v>
      </c>
      <c r="P82" s="1">
        <f>VLOOKUP(A:A,MASTER!A:H,8,0)</f>
        <v>14</v>
      </c>
      <c r="Q82" s="12">
        <f t="shared" si="8"/>
        <v>0.39999999999999991</v>
      </c>
      <c r="R82" s="1">
        <f>VLOOKUP(A:A,MASTER!A:B,2,0)</f>
        <v>1713</v>
      </c>
      <c r="S82">
        <f>VLOOKUP(A:A,MASTER!A:G,7,0)</f>
        <v>1753</v>
      </c>
      <c r="T82" s="12">
        <f t="shared" si="9"/>
        <v>2.3350846468184416E-2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23804055.591650765</v>
      </c>
      <c r="G83" s="1">
        <f>VLOOKUP(A:A,MASTER!A:K,11,0)</f>
        <v>21615723.380328029</v>
      </c>
      <c r="H83" s="12">
        <f t="shared" si="5"/>
        <v>-9.1931066237733505E-2</v>
      </c>
      <c r="I83" s="2">
        <f>VLOOKUP(A:A,MASTER!A:E,5,0)</f>
        <v>717</v>
      </c>
      <c r="J83" s="2">
        <f>VLOOKUP(A:A,MASTER!A:J,10,0)</f>
        <v>1002</v>
      </c>
      <c r="K83" s="12">
        <f t="shared" si="6"/>
        <v>0.39748953974895396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8</v>
      </c>
      <c r="P83" s="1">
        <f>VLOOKUP(A:A,MASTER!A:H,8,0)</f>
        <v>2</v>
      </c>
      <c r="Q83" s="12">
        <f t="shared" si="8"/>
        <v>-0.75</v>
      </c>
      <c r="R83" s="1">
        <f>VLOOKUP(A:A,MASTER!A:B,2,0)</f>
        <v>618</v>
      </c>
      <c r="S83">
        <f>VLOOKUP(A:A,MASTER!A:G,7,0)</f>
        <v>630</v>
      </c>
      <c r="T83" s="12">
        <f t="shared" si="9"/>
        <v>1.9417475728155331E-2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37443384.64732296</v>
      </c>
      <c r="G84" s="1">
        <f>VLOOKUP(A:A,MASTER!A:K,11,0)</f>
        <v>40709026.746087454</v>
      </c>
      <c r="H84" s="12">
        <f t="shared" si="5"/>
        <v>8.7215462211105876E-2</v>
      </c>
      <c r="I84" s="2">
        <f>VLOOKUP(A:A,MASTER!A:E,5,0)</f>
        <v>556</v>
      </c>
      <c r="J84" s="2">
        <f>VLOOKUP(A:A,MASTER!A:J,10,0)</f>
        <v>611</v>
      </c>
      <c r="K84" s="12">
        <f t="shared" si="6"/>
        <v>9.8920863309352569E-2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17</v>
      </c>
      <c r="P84" s="1">
        <f>VLOOKUP(A:A,MASTER!A:H,8,0)</f>
        <v>8</v>
      </c>
      <c r="Q84" s="12">
        <f t="shared" si="8"/>
        <v>-0.52941176470588236</v>
      </c>
      <c r="R84" s="1">
        <f>VLOOKUP(A:A,MASTER!A:B,2,0)</f>
        <v>588</v>
      </c>
      <c r="S84">
        <f>VLOOKUP(A:A,MASTER!A:G,7,0)</f>
        <v>671</v>
      </c>
      <c r="T84" s="12">
        <f t="shared" si="9"/>
        <v>0.14115646258503411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9766247.4008819219</v>
      </c>
      <c r="G85" s="1">
        <f>VLOOKUP(A:A,MASTER!A:K,11,0)</f>
        <v>9290162.7166413236</v>
      </c>
      <c r="H85" s="12">
        <f t="shared" si="5"/>
        <v>-4.874796477074772E-2</v>
      </c>
      <c r="I85" s="2">
        <f>VLOOKUP(A:A,MASTER!A:E,5,0)</f>
        <v>299</v>
      </c>
      <c r="J85" s="2">
        <f>VLOOKUP(A:A,MASTER!A:J,10,0)</f>
        <v>363</v>
      </c>
      <c r="K85" s="12">
        <f t="shared" si="6"/>
        <v>0.214046822742475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2</v>
      </c>
      <c r="Q85" s="12">
        <f t="shared" si="8"/>
        <v>-0.33333333333333337</v>
      </c>
      <c r="R85" s="1">
        <f>VLOOKUP(A:A,MASTER!A:B,2,0)</f>
        <v>354</v>
      </c>
      <c r="S85">
        <f>VLOOKUP(A:A,MASTER!A:G,7,0)</f>
        <v>362</v>
      </c>
      <c r="T85" s="12">
        <f t="shared" si="9"/>
        <v>2.2598870056497189E-2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84528</v>
      </c>
      <c r="C3" s="11">
        <f t="shared" si="0"/>
        <v>3015</v>
      </c>
      <c r="D3" s="11">
        <f t="shared" si="0"/>
        <v>311</v>
      </c>
      <c r="E3" s="11">
        <f t="shared" si="0"/>
        <v>69689</v>
      </c>
      <c r="F3" s="11">
        <f t="shared" si="0"/>
        <v>4031848683.3072886</v>
      </c>
      <c r="G3" s="11">
        <f t="shared" si="0"/>
        <v>83766</v>
      </c>
      <c r="H3" s="11">
        <f t="shared" si="0"/>
        <v>2294</v>
      </c>
      <c r="I3" s="11">
        <f t="shared" si="0"/>
        <v>319</v>
      </c>
      <c r="J3" s="11">
        <f t="shared" si="0"/>
        <v>84970</v>
      </c>
      <c r="K3" s="11">
        <f t="shared" si="0"/>
        <v>4212218317.8509955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409</v>
      </c>
      <c r="C6" s="10">
        <v>3</v>
      </c>
      <c r="D6" s="10">
        <v>2</v>
      </c>
      <c r="E6" s="10">
        <v>354</v>
      </c>
      <c r="F6" s="10">
        <v>18813379.044018611</v>
      </c>
      <c r="G6" s="10">
        <v>428</v>
      </c>
      <c r="H6" s="10">
        <v>4</v>
      </c>
      <c r="I6" s="10">
        <v>2</v>
      </c>
      <c r="J6" s="10">
        <v>528</v>
      </c>
      <c r="K6" s="10">
        <v>19106700.979267653</v>
      </c>
    </row>
    <row r="7" spans="1:11" x14ac:dyDescent="0.35">
      <c r="A7" s="9" t="s">
        <v>127</v>
      </c>
      <c r="B7" s="10">
        <v>657</v>
      </c>
      <c r="C7" s="10">
        <v>3</v>
      </c>
      <c r="D7" s="10">
        <v>1</v>
      </c>
      <c r="E7" s="10">
        <v>507</v>
      </c>
      <c r="F7" s="10">
        <v>22558388.933137473</v>
      </c>
      <c r="G7" s="10">
        <v>590</v>
      </c>
      <c r="H7" s="10">
        <v>6</v>
      </c>
      <c r="I7" s="10">
        <v>2</v>
      </c>
      <c r="J7" s="10">
        <v>589</v>
      </c>
      <c r="K7" s="10">
        <v>22030466.753588561</v>
      </c>
    </row>
    <row r="8" spans="1:11" x14ac:dyDescent="0.35">
      <c r="A8" s="9" t="s">
        <v>119</v>
      </c>
      <c r="B8" s="10">
        <v>707</v>
      </c>
      <c r="C8" s="10">
        <v>14</v>
      </c>
      <c r="D8" s="10">
        <v>2</v>
      </c>
      <c r="E8" s="10">
        <v>749</v>
      </c>
      <c r="F8" s="10">
        <v>29159998.199690465</v>
      </c>
      <c r="G8" s="10">
        <v>782</v>
      </c>
      <c r="H8" s="10">
        <v>13</v>
      </c>
      <c r="I8" s="10">
        <v>1</v>
      </c>
      <c r="J8" s="10">
        <v>1377</v>
      </c>
      <c r="K8" s="10">
        <v>33211220.936273713</v>
      </c>
    </row>
    <row r="9" spans="1:11" x14ac:dyDescent="0.35">
      <c r="A9" s="9" t="s">
        <v>121</v>
      </c>
      <c r="B9" s="10">
        <v>1208</v>
      </c>
      <c r="C9" s="10">
        <v>10</v>
      </c>
      <c r="D9" s="10">
        <v>3</v>
      </c>
      <c r="E9" s="10">
        <v>1108</v>
      </c>
      <c r="F9" s="10">
        <v>49151445.513173401</v>
      </c>
      <c r="G9" s="10">
        <v>1263</v>
      </c>
      <c r="H9" s="10">
        <v>13</v>
      </c>
      <c r="I9" s="10">
        <v>3</v>
      </c>
      <c r="J9" s="10">
        <v>1584</v>
      </c>
      <c r="K9" s="10">
        <v>50807494.376513779</v>
      </c>
    </row>
    <row r="10" spans="1:11" x14ac:dyDescent="0.35">
      <c r="A10" s="9" t="s">
        <v>123</v>
      </c>
      <c r="B10" s="10">
        <v>399</v>
      </c>
      <c r="C10" s="10">
        <v>4</v>
      </c>
      <c r="D10" s="10">
        <v>1</v>
      </c>
      <c r="E10" s="10">
        <v>251</v>
      </c>
      <c r="F10" s="10">
        <v>19581616.552437268</v>
      </c>
      <c r="G10" s="10">
        <v>388</v>
      </c>
      <c r="H10" s="10">
        <v>1</v>
      </c>
      <c r="I10" s="10">
        <v>1</v>
      </c>
      <c r="J10" s="10">
        <v>1024</v>
      </c>
      <c r="K10" s="10">
        <v>21670211.511729233</v>
      </c>
    </row>
    <row r="11" spans="1:11" x14ac:dyDescent="0.35">
      <c r="A11" s="9" t="s">
        <v>125</v>
      </c>
      <c r="B11" s="10">
        <v>369</v>
      </c>
      <c r="C11" s="10">
        <v>3</v>
      </c>
      <c r="D11" s="10">
        <v>2</v>
      </c>
      <c r="E11" s="10">
        <v>289</v>
      </c>
      <c r="F11" s="10">
        <v>16550523.090605283</v>
      </c>
      <c r="G11" s="10">
        <v>391</v>
      </c>
      <c r="H11" s="10">
        <v>5</v>
      </c>
      <c r="I11" s="10">
        <v>2</v>
      </c>
      <c r="J11" s="10">
        <v>601</v>
      </c>
      <c r="K11" s="10">
        <v>18100664.897951767</v>
      </c>
    </row>
    <row r="12" spans="1:11" x14ac:dyDescent="0.35">
      <c r="A12" s="9" t="s">
        <v>131</v>
      </c>
      <c r="B12" s="10">
        <v>585</v>
      </c>
      <c r="C12" s="10">
        <v>3</v>
      </c>
      <c r="D12" s="10">
        <v>1</v>
      </c>
      <c r="E12" s="10">
        <v>480</v>
      </c>
      <c r="F12" s="10">
        <v>18858633.416163772</v>
      </c>
      <c r="G12" s="10">
        <v>629</v>
      </c>
      <c r="H12" s="10">
        <v>3</v>
      </c>
      <c r="I12" s="10">
        <v>2</v>
      </c>
      <c r="J12" s="10">
        <v>817</v>
      </c>
      <c r="K12" s="10">
        <v>23572882.915616043</v>
      </c>
    </row>
    <row r="13" spans="1:11" x14ac:dyDescent="0.35">
      <c r="A13" s="9" t="s">
        <v>133</v>
      </c>
      <c r="B13" s="10">
        <v>171</v>
      </c>
      <c r="C13" s="10">
        <v>1</v>
      </c>
      <c r="D13" s="10">
        <v>1</v>
      </c>
      <c r="E13" s="10">
        <v>157</v>
      </c>
      <c r="F13" s="10">
        <v>9705828.6250593048</v>
      </c>
      <c r="G13" s="10">
        <v>188</v>
      </c>
      <c r="H13" s="10">
        <v>0</v>
      </c>
      <c r="I13" s="10">
        <v>1</v>
      </c>
      <c r="J13" s="10">
        <v>487</v>
      </c>
      <c r="K13" s="10">
        <v>9280506.8919805847</v>
      </c>
    </row>
    <row r="14" spans="1:11" x14ac:dyDescent="0.35">
      <c r="A14" s="9" t="s">
        <v>141</v>
      </c>
      <c r="B14" s="10">
        <v>200</v>
      </c>
      <c r="C14" s="10">
        <v>1</v>
      </c>
      <c r="D14" s="10">
        <v>1</v>
      </c>
      <c r="E14" s="10">
        <v>147</v>
      </c>
      <c r="F14" s="10">
        <v>8488785.2705028448</v>
      </c>
      <c r="G14" s="10">
        <v>189</v>
      </c>
      <c r="H14" s="10">
        <v>1</v>
      </c>
      <c r="I14" s="10">
        <v>1</v>
      </c>
      <c r="J14" s="10">
        <v>406</v>
      </c>
      <c r="K14" s="10">
        <v>6570991.4876279542</v>
      </c>
    </row>
    <row r="15" spans="1:11" x14ac:dyDescent="0.35">
      <c r="A15" s="9" t="s">
        <v>135</v>
      </c>
      <c r="B15" s="10">
        <v>343</v>
      </c>
      <c r="C15" s="10">
        <v>2</v>
      </c>
      <c r="D15" s="10">
        <v>1</v>
      </c>
      <c r="E15" s="10">
        <v>346</v>
      </c>
      <c r="F15" s="10">
        <v>13702035.889545696</v>
      </c>
      <c r="G15" s="10">
        <v>380</v>
      </c>
      <c r="H15" s="10">
        <v>5</v>
      </c>
      <c r="I15" s="10">
        <v>1</v>
      </c>
      <c r="J15" s="10">
        <v>836</v>
      </c>
      <c r="K15" s="10">
        <v>18678321.815621376</v>
      </c>
    </row>
    <row r="16" spans="1:11" x14ac:dyDescent="0.35">
      <c r="A16" s="9" t="s">
        <v>143</v>
      </c>
      <c r="B16" s="10">
        <v>199</v>
      </c>
      <c r="C16" s="10">
        <v>0</v>
      </c>
      <c r="D16" s="10">
        <v>1</v>
      </c>
      <c r="E16" s="10">
        <v>246</v>
      </c>
      <c r="F16" s="10">
        <v>6626440.3127110312</v>
      </c>
      <c r="G16" s="10">
        <v>245</v>
      </c>
      <c r="H16" s="10">
        <v>0</v>
      </c>
      <c r="I16" s="10">
        <v>2</v>
      </c>
      <c r="J16" s="10">
        <v>827</v>
      </c>
      <c r="K16" s="10">
        <v>9964006.4783120975</v>
      </c>
    </row>
    <row r="17" spans="1:11" x14ac:dyDescent="0.35">
      <c r="A17" s="9" t="s">
        <v>145</v>
      </c>
      <c r="B17" s="10">
        <v>245</v>
      </c>
      <c r="C17" s="10">
        <v>8</v>
      </c>
      <c r="D17" s="10">
        <v>1</v>
      </c>
      <c r="E17" s="10">
        <v>188</v>
      </c>
      <c r="F17" s="10">
        <v>9066080.8813864999</v>
      </c>
      <c r="G17" s="10">
        <v>251</v>
      </c>
      <c r="H17" s="10">
        <v>3</v>
      </c>
      <c r="I17" s="10">
        <v>1</v>
      </c>
      <c r="J17" s="10">
        <v>546</v>
      </c>
      <c r="K17" s="10">
        <v>10415323.147563493</v>
      </c>
    </row>
    <row r="18" spans="1:11" x14ac:dyDescent="0.35">
      <c r="A18" s="9" t="s">
        <v>20</v>
      </c>
      <c r="B18" s="10">
        <v>1447</v>
      </c>
      <c r="C18" s="10">
        <v>0</v>
      </c>
      <c r="D18" s="10">
        <v>2</v>
      </c>
      <c r="E18" s="10">
        <v>1122</v>
      </c>
      <c r="F18" s="10">
        <v>28434988.600408819</v>
      </c>
      <c r="G18" s="10">
        <v>1308</v>
      </c>
      <c r="H18" s="10">
        <v>6</v>
      </c>
      <c r="I18" s="10">
        <v>4</v>
      </c>
      <c r="J18" s="10">
        <v>1303</v>
      </c>
      <c r="K18" s="10">
        <v>46764512.260022767</v>
      </c>
    </row>
    <row r="19" spans="1:11" x14ac:dyDescent="0.35">
      <c r="A19" s="9" t="s">
        <v>45</v>
      </c>
      <c r="B19" s="10">
        <v>1271</v>
      </c>
      <c r="C19" s="10">
        <v>4</v>
      </c>
      <c r="D19" s="10">
        <v>3</v>
      </c>
      <c r="E19" s="10">
        <v>919</v>
      </c>
      <c r="F19" s="10">
        <v>56269131.775314808</v>
      </c>
      <c r="G19" s="10">
        <v>1214</v>
      </c>
      <c r="H19" s="10">
        <v>5</v>
      </c>
      <c r="I19" s="10">
        <v>3</v>
      </c>
      <c r="J19" s="10">
        <v>1017</v>
      </c>
      <c r="K19" s="10">
        <v>73618323.659913346</v>
      </c>
    </row>
    <row r="20" spans="1:11" x14ac:dyDescent="0.35">
      <c r="A20" s="9" t="s">
        <v>47</v>
      </c>
      <c r="B20" s="10">
        <v>1019</v>
      </c>
      <c r="C20" s="10">
        <v>4</v>
      </c>
      <c r="D20" s="10">
        <v>4</v>
      </c>
      <c r="E20" s="10">
        <v>922</v>
      </c>
      <c r="F20" s="10">
        <v>38417680.223594725</v>
      </c>
      <c r="G20" s="10">
        <v>1004</v>
      </c>
      <c r="H20" s="10">
        <v>6</v>
      </c>
      <c r="I20" s="10">
        <v>5</v>
      </c>
      <c r="J20" s="10">
        <v>1309</v>
      </c>
      <c r="K20" s="10">
        <v>38756280.826187514</v>
      </c>
    </row>
    <row r="21" spans="1:11" x14ac:dyDescent="0.35">
      <c r="A21" s="9" t="s">
        <v>49</v>
      </c>
      <c r="B21" s="10">
        <v>928</v>
      </c>
      <c r="C21" s="10">
        <v>1</v>
      </c>
      <c r="D21" s="10">
        <v>3</v>
      </c>
      <c r="E21" s="10">
        <v>626</v>
      </c>
      <c r="F21" s="10">
        <v>34842662.520037517</v>
      </c>
      <c r="G21" s="10">
        <v>927</v>
      </c>
      <c r="H21" s="10">
        <v>5</v>
      </c>
      <c r="I21" s="10">
        <v>3</v>
      </c>
      <c r="J21" s="10">
        <v>666</v>
      </c>
      <c r="K21" s="10">
        <v>32612638.120771296</v>
      </c>
    </row>
    <row r="22" spans="1:11" x14ac:dyDescent="0.35">
      <c r="A22" s="9" t="s">
        <v>51</v>
      </c>
      <c r="B22" s="10">
        <v>2982</v>
      </c>
      <c r="C22" s="10">
        <v>761</v>
      </c>
      <c r="D22" s="10">
        <v>11</v>
      </c>
      <c r="E22" s="10">
        <v>2124</v>
      </c>
      <c r="F22" s="10">
        <v>132279499.37406828</v>
      </c>
      <c r="G22" s="10">
        <v>2719</v>
      </c>
      <c r="H22" s="10">
        <v>193</v>
      </c>
      <c r="I22" s="10">
        <v>10</v>
      </c>
      <c r="J22" s="10">
        <v>2176</v>
      </c>
      <c r="K22" s="10">
        <v>137294365.67299619</v>
      </c>
    </row>
    <row r="23" spans="1:11" x14ac:dyDescent="0.35">
      <c r="A23" s="9" t="s">
        <v>53</v>
      </c>
      <c r="B23" s="10">
        <v>1421</v>
      </c>
      <c r="C23" s="10">
        <v>3</v>
      </c>
      <c r="D23" s="10">
        <v>2</v>
      </c>
      <c r="E23" s="10">
        <v>1198</v>
      </c>
      <c r="F23" s="10">
        <v>69154008.730511263</v>
      </c>
      <c r="G23" s="10">
        <v>1290</v>
      </c>
      <c r="H23" s="10">
        <v>9</v>
      </c>
      <c r="I23" s="10">
        <v>2</v>
      </c>
      <c r="J23" s="10">
        <v>1431</v>
      </c>
      <c r="K23" s="10">
        <v>53050730.602928877</v>
      </c>
    </row>
    <row r="24" spans="1:11" x14ac:dyDescent="0.35">
      <c r="A24" s="9" t="s">
        <v>55</v>
      </c>
      <c r="B24" s="10">
        <v>2972</v>
      </c>
      <c r="C24" s="10">
        <v>27</v>
      </c>
      <c r="D24" s="10">
        <v>11</v>
      </c>
      <c r="E24" s="10">
        <v>2513</v>
      </c>
      <c r="F24" s="10">
        <v>140575213.15223238</v>
      </c>
      <c r="G24" s="10">
        <v>2791</v>
      </c>
      <c r="H24" s="10">
        <v>26</v>
      </c>
      <c r="I24" s="10">
        <v>10</v>
      </c>
      <c r="J24" s="10">
        <v>2269</v>
      </c>
      <c r="K24" s="10">
        <v>144719676.56339702</v>
      </c>
    </row>
    <row r="25" spans="1:11" x14ac:dyDescent="0.35">
      <c r="A25" s="9" t="s">
        <v>67</v>
      </c>
      <c r="B25" s="10">
        <v>541</v>
      </c>
      <c r="C25" s="10">
        <v>6</v>
      </c>
      <c r="D25" s="10">
        <v>1</v>
      </c>
      <c r="E25" s="10">
        <v>477</v>
      </c>
      <c r="F25" s="10">
        <v>19657157.753250368</v>
      </c>
      <c r="G25" s="10">
        <v>505</v>
      </c>
      <c r="H25" s="10">
        <v>7</v>
      </c>
      <c r="I25" s="10">
        <v>1</v>
      </c>
      <c r="J25" s="10">
        <v>531</v>
      </c>
      <c r="K25" s="10">
        <v>20766232.304482244</v>
      </c>
    </row>
    <row r="26" spans="1:11" x14ac:dyDescent="0.35">
      <c r="A26" s="9" t="s">
        <v>74</v>
      </c>
      <c r="B26" s="10">
        <v>1760</v>
      </c>
      <c r="C26" s="10">
        <v>24</v>
      </c>
      <c r="D26" s="10">
        <v>1</v>
      </c>
      <c r="E26" s="10">
        <v>1366</v>
      </c>
      <c r="F26" s="10">
        <v>57086010.378074393</v>
      </c>
      <c r="G26" s="10">
        <v>1769</v>
      </c>
      <c r="H26" s="10">
        <v>27</v>
      </c>
      <c r="I26" s="10">
        <v>2</v>
      </c>
      <c r="J26" s="10">
        <v>1716</v>
      </c>
      <c r="K26" s="10">
        <v>58755076.808217473</v>
      </c>
    </row>
    <row r="27" spans="1:11" x14ac:dyDescent="0.35">
      <c r="A27" s="9" t="s">
        <v>70</v>
      </c>
      <c r="B27" s="10">
        <v>878</v>
      </c>
      <c r="C27" s="10">
        <v>15</v>
      </c>
      <c r="D27" s="10">
        <v>1</v>
      </c>
      <c r="E27" s="10">
        <v>726</v>
      </c>
      <c r="F27" s="10">
        <v>24472619.304290287</v>
      </c>
      <c r="G27" s="10">
        <v>874</v>
      </c>
      <c r="H27" s="10">
        <v>21</v>
      </c>
      <c r="I27" s="10">
        <v>1</v>
      </c>
      <c r="J27" s="10">
        <v>857</v>
      </c>
      <c r="K27" s="10">
        <v>24971652.775216985</v>
      </c>
    </row>
    <row r="28" spans="1:11" x14ac:dyDescent="0.35">
      <c r="A28" s="9" t="s">
        <v>72</v>
      </c>
      <c r="B28" s="10">
        <v>878</v>
      </c>
      <c r="C28" s="10">
        <v>7</v>
      </c>
      <c r="D28" s="10">
        <v>1</v>
      </c>
      <c r="E28" s="10">
        <v>834</v>
      </c>
      <c r="F28" s="10">
        <v>28397187.498631515</v>
      </c>
      <c r="G28" s="10">
        <v>876</v>
      </c>
      <c r="H28" s="10">
        <v>9</v>
      </c>
      <c r="I28" s="10">
        <v>1</v>
      </c>
      <c r="J28" s="10">
        <v>759</v>
      </c>
      <c r="K28" s="10">
        <v>29614773.454972342</v>
      </c>
    </row>
    <row r="29" spans="1:11" x14ac:dyDescent="0.35">
      <c r="A29" s="9" t="s">
        <v>79</v>
      </c>
      <c r="B29" s="10">
        <v>246</v>
      </c>
      <c r="C29" s="10">
        <v>1</v>
      </c>
      <c r="D29" s="10">
        <v>0</v>
      </c>
      <c r="E29" s="10">
        <v>178</v>
      </c>
      <c r="F29" s="10">
        <v>8463056.0790180769</v>
      </c>
      <c r="G29" s="10">
        <v>210</v>
      </c>
      <c r="H29" s="10">
        <v>1</v>
      </c>
      <c r="I29" s="10">
        <v>1</v>
      </c>
      <c r="J29" s="10">
        <v>197</v>
      </c>
      <c r="K29" s="10">
        <v>7381965.9396235691</v>
      </c>
    </row>
    <row r="30" spans="1:11" x14ac:dyDescent="0.35">
      <c r="A30" s="9" t="s">
        <v>109</v>
      </c>
      <c r="B30" s="10">
        <v>1643</v>
      </c>
      <c r="C30" s="10">
        <v>7</v>
      </c>
      <c r="D30" s="10">
        <v>5</v>
      </c>
      <c r="E30" s="10">
        <v>1298</v>
      </c>
      <c r="F30" s="10">
        <v>59065756.591085412</v>
      </c>
      <c r="G30" s="10">
        <v>1612</v>
      </c>
      <c r="H30" s="10">
        <v>15</v>
      </c>
      <c r="I30" s="10">
        <v>5</v>
      </c>
      <c r="J30" s="10">
        <v>1615</v>
      </c>
      <c r="K30" s="10">
        <v>56307581.920507632</v>
      </c>
    </row>
    <row r="31" spans="1:11" x14ac:dyDescent="0.35">
      <c r="A31" s="9" t="s">
        <v>111</v>
      </c>
      <c r="B31" s="10">
        <v>858</v>
      </c>
      <c r="C31" s="10">
        <v>7</v>
      </c>
      <c r="D31" s="10">
        <v>1</v>
      </c>
      <c r="E31" s="10">
        <v>642</v>
      </c>
      <c r="F31" s="10">
        <v>43311805.754324168</v>
      </c>
      <c r="G31" s="10">
        <v>896</v>
      </c>
      <c r="H31" s="10">
        <v>10</v>
      </c>
      <c r="I31" s="10">
        <v>1</v>
      </c>
      <c r="J31" s="10">
        <v>748</v>
      </c>
      <c r="K31" s="10">
        <v>48323832.292936467</v>
      </c>
    </row>
    <row r="32" spans="1:11" x14ac:dyDescent="0.35">
      <c r="A32" s="9" t="s">
        <v>113</v>
      </c>
      <c r="B32" s="10">
        <v>1072</v>
      </c>
      <c r="C32" s="10">
        <v>10</v>
      </c>
      <c r="D32" s="10">
        <v>1</v>
      </c>
      <c r="E32" s="10">
        <v>770</v>
      </c>
      <c r="F32" s="10">
        <v>47197323.345347665</v>
      </c>
      <c r="G32" s="10">
        <v>999</v>
      </c>
      <c r="H32" s="10">
        <v>3</v>
      </c>
      <c r="I32" s="10">
        <v>2</v>
      </c>
      <c r="J32" s="10">
        <v>832</v>
      </c>
      <c r="K32" s="10">
        <v>45504867.765291266</v>
      </c>
    </row>
    <row r="33" spans="1:11" x14ac:dyDescent="0.35">
      <c r="A33" s="9" t="s">
        <v>115</v>
      </c>
      <c r="B33" s="10">
        <v>1088</v>
      </c>
      <c r="C33" s="10">
        <v>3</v>
      </c>
      <c r="D33" s="10">
        <v>2</v>
      </c>
      <c r="E33" s="10">
        <v>932</v>
      </c>
      <c r="F33" s="10">
        <v>60617204.402205266</v>
      </c>
      <c r="G33" s="10">
        <v>1122</v>
      </c>
      <c r="H33" s="10">
        <v>4</v>
      </c>
      <c r="I33" s="10">
        <v>2</v>
      </c>
      <c r="J33" s="10">
        <v>1139</v>
      </c>
      <c r="K33" s="10">
        <v>62673709.204068214</v>
      </c>
    </row>
    <row r="34" spans="1:11" x14ac:dyDescent="0.35">
      <c r="A34" s="9" t="s">
        <v>16</v>
      </c>
      <c r="B34" s="10">
        <v>1459</v>
      </c>
      <c r="C34" s="10">
        <v>5</v>
      </c>
      <c r="D34" s="10">
        <v>5</v>
      </c>
      <c r="E34" s="10">
        <v>1195</v>
      </c>
      <c r="F34" s="10">
        <v>88235256.274653465</v>
      </c>
      <c r="G34" s="10">
        <v>1395</v>
      </c>
      <c r="H34" s="10">
        <v>6</v>
      </c>
      <c r="I34" s="10">
        <v>4</v>
      </c>
      <c r="J34" s="10">
        <v>1225</v>
      </c>
      <c r="K34" s="10">
        <v>83584167.048287451</v>
      </c>
    </row>
    <row r="35" spans="1:11" x14ac:dyDescent="0.35">
      <c r="A35" s="9" t="s">
        <v>18</v>
      </c>
      <c r="B35" s="10">
        <v>691</v>
      </c>
      <c r="C35" s="10">
        <v>3</v>
      </c>
      <c r="D35" s="10">
        <v>3</v>
      </c>
      <c r="E35" s="10">
        <v>623</v>
      </c>
      <c r="F35" s="10">
        <v>34818284.105264232</v>
      </c>
      <c r="G35" s="10">
        <v>661</v>
      </c>
      <c r="H35" s="10">
        <v>3</v>
      </c>
      <c r="I35" s="10">
        <v>5</v>
      </c>
      <c r="J35" s="10">
        <v>685</v>
      </c>
      <c r="K35" s="10">
        <v>37151352.199471571</v>
      </c>
    </row>
    <row r="36" spans="1:11" x14ac:dyDescent="0.35">
      <c r="A36" s="9" t="s">
        <v>43</v>
      </c>
      <c r="B36" s="10">
        <v>1962</v>
      </c>
      <c r="C36" s="10">
        <v>18</v>
      </c>
      <c r="D36" s="10">
        <v>11</v>
      </c>
      <c r="E36" s="10">
        <v>1660</v>
      </c>
      <c r="F36" s="10">
        <v>104829093.68547839</v>
      </c>
      <c r="G36" s="10">
        <v>1832</v>
      </c>
      <c r="H36" s="10">
        <v>14</v>
      </c>
      <c r="I36" s="10">
        <v>9</v>
      </c>
      <c r="J36" s="10">
        <v>1590</v>
      </c>
      <c r="K36" s="10">
        <v>94468682.815555841</v>
      </c>
    </row>
    <row r="37" spans="1:11" x14ac:dyDescent="0.35">
      <c r="A37" s="9" t="s">
        <v>152</v>
      </c>
      <c r="B37" s="10">
        <v>857</v>
      </c>
      <c r="C37" s="10">
        <v>6</v>
      </c>
      <c r="D37" s="10">
        <v>2</v>
      </c>
      <c r="E37" s="10">
        <v>726</v>
      </c>
      <c r="F37" s="10">
        <v>35842608.68260029</v>
      </c>
      <c r="G37" s="10">
        <v>854</v>
      </c>
      <c r="H37" s="10">
        <v>5</v>
      </c>
      <c r="I37" s="10">
        <v>2</v>
      </c>
      <c r="J37" s="10">
        <v>1013</v>
      </c>
      <c r="K37" s="10">
        <v>36487881.671502873</v>
      </c>
    </row>
    <row r="38" spans="1:11" x14ac:dyDescent="0.35">
      <c r="A38" s="9" t="s">
        <v>149</v>
      </c>
      <c r="B38" s="10">
        <v>724</v>
      </c>
      <c r="C38" s="10">
        <v>24</v>
      </c>
      <c r="D38" s="10">
        <v>2</v>
      </c>
      <c r="E38" s="10">
        <v>568</v>
      </c>
      <c r="F38" s="10">
        <v>31737570.905663542</v>
      </c>
      <c r="G38" s="10">
        <v>683</v>
      </c>
      <c r="H38" s="10">
        <v>5</v>
      </c>
      <c r="I38" s="10">
        <v>1</v>
      </c>
      <c r="J38" s="10">
        <v>795</v>
      </c>
      <c r="K38" s="10">
        <v>33504415.132059727</v>
      </c>
    </row>
    <row r="39" spans="1:11" x14ac:dyDescent="0.35">
      <c r="A39" s="9" t="s">
        <v>154</v>
      </c>
      <c r="B39" s="10">
        <v>1160</v>
      </c>
      <c r="C39" s="10">
        <v>25</v>
      </c>
      <c r="D39" s="10">
        <v>2</v>
      </c>
      <c r="E39" s="10">
        <v>837</v>
      </c>
      <c r="F39" s="10">
        <v>53019126.411949456</v>
      </c>
      <c r="G39" s="10">
        <v>1198</v>
      </c>
      <c r="H39" s="10">
        <v>26</v>
      </c>
      <c r="I39" s="10">
        <v>1</v>
      </c>
      <c r="J39" s="10">
        <v>1571</v>
      </c>
      <c r="K39" s="10">
        <v>53220694.849914633</v>
      </c>
    </row>
    <row r="40" spans="1:11" x14ac:dyDescent="0.35">
      <c r="A40" s="9" t="s">
        <v>2</v>
      </c>
      <c r="B40" s="10">
        <v>1251</v>
      </c>
      <c r="C40" s="10">
        <v>294</v>
      </c>
      <c r="D40" s="10">
        <v>1</v>
      </c>
      <c r="E40" s="10">
        <v>877</v>
      </c>
      <c r="F40" s="10">
        <v>50981485.884451687</v>
      </c>
      <c r="G40" s="10">
        <v>1330</v>
      </c>
      <c r="H40" s="10">
        <v>468</v>
      </c>
      <c r="I40" s="10">
        <v>1</v>
      </c>
      <c r="J40" s="10">
        <v>1138</v>
      </c>
      <c r="K40" s="10">
        <v>49928349.890892513</v>
      </c>
    </row>
    <row r="41" spans="1:11" x14ac:dyDescent="0.35">
      <c r="A41" s="9" t="s">
        <v>156</v>
      </c>
      <c r="B41" s="10">
        <v>2454</v>
      </c>
      <c r="C41" s="10">
        <v>705</v>
      </c>
      <c r="D41" s="10">
        <v>4</v>
      </c>
      <c r="E41" s="10">
        <v>1469</v>
      </c>
      <c r="F41" s="10">
        <v>80939558.457129061</v>
      </c>
      <c r="G41" s="10">
        <v>2249</v>
      </c>
      <c r="H41" s="10">
        <v>195</v>
      </c>
      <c r="I41" s="10">
        <v>5</v>
      </c>
      <c r="J41" s="10">
        <v>2065</v>
      </c>
      <c r="K41" s="10">
        <v>87486312.617114156</v>
      </c>
    </row>
    <row r="42" spans="1:11" x14ac:dyDescent="0.35">
      <c r="A42" s="9" t="s">
        <v>14</v>
      </c>
      <c r="B42" s="10">
        <v>608</v>
      </c>
      <c r="C42" s="10">
        <v>2</v>
      </c>
      <c r="D42" s="10">
        <v>5</v>
      </c>
      <c r="E42" s="10">
        <v>452</v>
      </c>
      <c r="F42" s="10">
        <v>26242380.688157607</v>
      </c>
      <c r="G42" s="10">
        <v>589</v>
      </c>
      <c r="H42" s="10">
        <v>2</v>
      </c>
      <c r="I42" s="10">
        <v>6</v>
      </c>
      <c r="J42" s="10">
        <v>470</v>
      </c>
      <c r="K42" s="10">
        <v>31911637.941774253</v>
      </c>
    </row>
    <row r="43" spans="1:11" x14ac:dyDescent="0.35">
      <c r="A43" s="9" t="s">
        <v>8</v>
      </c>
      <c r="B43" s="10">
        <v>2067</v>
      </c>
      <c r="C43" s="10">
        <v>14</v>
      </c>
      <c r="D43" s="10">
        <v>5</v>
      </c>
      <c r="E43" s="10">
        <v>2338</v>
      </c>
      <c r="F43" s="10">
        <v>96752302.477565348</v>
      </c>
      <c r="G43" s="10">
        <v>2086</v>
      </c>
      <c r="H43" s="10">
        <v>13</v>
      </c>
      <c r="I43" s="10">
        <v>6</v>
      </c>
      <c r="J43" s="10">
        <v>2124</v>
      </c>
      <c r="K43" s="10">
        <v>102412981.25261556</v>
      </c>
    </row>
    <row r="44" spans="1:11" x14ac:dyDescent="0.35">
      <c r="A44" s="9" t="s">
        <v>39</v>
      </c>
      <c r="B44" s="10">
        <v>886</v>
      </c>
      <c r="C44" s="10">
        <v>9</v>
      </c>
      <c r="D44" s="10">
        <v>4</v>
      </c>
      <c r="E44" s="10">
        <v>800</v>
      </c>
      <c r="F44" s="10">
        <v>66745940.713292941</v>
      </c>
      <c r="G44" s="10">
        <v>930</v>
      </c>
      <c r="H44" s="10">
        <v>15</v>
      </c>
      <c r="I44" s="10">
        <v>4</v>
      </c>
      <c r="J44" s="10">
        <v>1043</v>
      </c>
      <c r="K44" s="10">
        <v>71304383.073477671</v>
      </c>
    </row>
    <row r="45" spans="1:11" x14ac:dyDescent="0.35">
      <c r="A45" s="9" t="s">
        <v>6</v>
      </c>
      <c r="B45" s="10">
        <v>1109</v>
      </c>
      <c r="C45" s="10">
        <v>5</v>
      </c>
      <c r="D45" s="10">
        <v>4</v>
      </c>
      <c r="E45" s="10">
        <v>1869</v>
      </c>
      <c r="F45" s="10">
        <v>55580474.582698487</v>
      </c>
      <c r="G45" s="10">
        <v>1067</v>
      </c>
      <c r="H45" s="10">
        <v>9</v>
      </c>
      <c r="I45" s="10">
        <v>4</v>
      </c>
      <c r="J45" s="10">
        <v>1277</v>
      </c>
      <c r="K45" s="10">
        <v>45092507.887922965</v>
      </c>
    </row>
    <row r="46" spans="1:11" x14ac:dyDescent="0.35">
      <c r="A46" s="9" t="s">
        <v>41</v>
      </c>
      <c r="B46" s="10">
        <v>850</v>
      </c>
      <c r="C46" s="10">
        <v>1</v>
      </c>
      <c r="D46" s="10">
        <v>4</v>
      </c>
      <c r="E46" s="10">
        <v>627</v>
      </c>
      <c r="F46" s="10">
        <v>51784070.968395308</v>
      </c>
      <c r="G46" s="10">
        <v>805</v>
      </c>
      <c r="H46" s="10">
        <v>11</v>
      </c>
      <c r="I46" s="10">
        <v>4</v>
      </c>
      <c r="J46" s="10">
        <v>709</v>
      </c>
      <c r="K46" s="10">
        <v>53046603.959963858</v>
      </c>
    </row>
    <row r="47" spans="1:11" x14ac:dyDescent="0.35">
      <c r="A47" s="9" t="s">
        <v>158</v>
      </c>
      <c r="B47" s="10">
        <v>684</v>
      </c>
      <c r="C47" s="10">
        <v>6</v>
      </c>
      <c r="D47" s="10">
        <v>10</v>
      </c>
      <c r="E47" s="10">
        <v>581</v>
      </c>
      <c r="F47" s="10">
        <v>32601622.40021256</v>
      </c>
      <c r="G47" s="10">
        <v>732</v>
      </c>
      <c r="H47" s="10">
        <v>5</v>
      </c>
      <c r="I47" s="10">
        <v>10</v>
      </c>
      <c r="J47" s="10">
        <v>841</v>
      </c>
      <c r="K47" s="10">
        <v>33674666.597797081</v>
      </c>
    </row>
    <row r="48" spans="1:11" x14ac:dyDescent="0.35">
      <c r="A48" s="9" t="s">
        <v>160</v>
      </c>
      <c r="B48" s="10">
        <v>699</v>
      </c>
      <c r="C48" s="10">
        <v>3</v>
      </c>
      <c r="D48" s="10">
        <v>1</v>
      </c>
      <c r="E48" s="10">
        <v>695</v>
      </c>
      <c r="F48" s="10">
        <v>31915382.671804514</v>
      </c>
      <c r="G48" s="10">
        <v>708</v>
      </c>
      <c r="H48" s="10">
        <v>3</v>
      </c>
      <c r="I48" s="10">
        <v>1</v>
      </c>
      <c r="J48" s="10">
        <v>834</v>
      </c>
      <c r="K48" s="10">
        <v>29468354.797198515</v>
      </c>
    </row>
    <row r="49" spans="1:11" x14ac:dyDescent="0.35">
      <c r="A49" s="9" t="s">
        <v>83</v>
      </c>
      <c r="B49" s="10">
        <v>1249</v>
      </c>
      <c r="C49" s="10">
        <v>14</v>
      </c>
      <c r="D49" s="10">
        <v>5</v>
      </c>
      <c r="E49" s="10">
        <v>1050</v>
      </c>
      <c r="F49" s="10">
        <v>97906051.86029537</v>
      </c>
      <c r="G49" s="10">
        <v>1263</v>
      </c>
      <c r="H49" s="10">
        <v>11</v>
      </c>
      <c r="I49" s="10">
        <v>5</v>
      </c>
      <c r="J49" s="10">
        <v>1154</v>
      </c>
      <c r="K49" s="10">
        <v>96247426.169247314</v>
      </c>
    </row>
    <row r="50" spans="1:11" x14ac:dyDescent="0.35">
      <c r="A50" s="9" t="s">
        <v>201</v>
      </c>
      <c r="B50" s="10">
        <v>451</v>
      </c>
      <c r="C50" s="10">
        <v>3</v>
      </c>
      <c r="D50" s="10">
        <v>2</v>
      </c>
      <c r="E50" s="10">
        <v>449</v>
      </c>
      <c r="F50" s="10">
        <v>17952006.026860859</v>
      </c>
      <c r="G50" s="10">
        <v>442</v>
      </c>
      <c r="H50" s="10">
        <v>1</v>
      </c>
      <c r="I50" s="10">
        <v>1</v>
      </c>
      <c r="J50" s="10">
        <v>543</v>
      </c>
      <c r="K50" s="10">
        <v>15691729.916331291</v>
      </c>
    </row>
    <row r="51" spans="1:11" x14ac:dyDescent="0.35">
      <c r="A51" s="9" t="s">
        <v>31</v>
      </c>
      <c r="B51" s="10">
        <v>883</v>
      </c>
      <c r="C51" s="10">
        <v>4</v>
      </c>
      <c r="D51" s="10">
        <v>5</v>
      </c>
      <c r="E51" s="10">
        <v>886</v>
      </c>
      <c r="F51" s="10">
        <v>44365088.551900133</v>
      </c>
      <c r="G51" s="10">
        <v>920</v>
      </c>
      <c r="H51" s="10">
        <v>5</v>
      </c>
      <c r="I51" s="10">
        <v>5</v>
      </c>
      <c r="J51" s="10">
        <v>1009</v>
      </c>
      <c r="K51" s="10">
        <v>44204556.482187405</v>
      </c>
    </row>
    <row r="52" spans="1:11" x14ac:dyDescent="0.35">
      <c r="A52" s="9" t="s">
        <v>33</v>
      </c>
      <c r="B52" s="10">
        <v>1327</v>
      </c>
      <c r="C52" s="10">
        <v>22</v>
      </c>
      <c r="D52" s="10">
        <v>12</v>
      </c>
      <c r="E52" s="10">
        <v>1032</v>
      </c>
      <c r="F52" s="10">
        <v>70293843.502737358</v>
      </c>
      <c r="G52" s="10">
        <v>1418</v>
      </c>
      <c r="H52" s="10">
        <v>8</v>
      </c>
      <c r="I52" s="10">
        <v>12</v>
      </c>
      <c r="J52" s="10">
        <v>1468</v>
      </c>
      <c r="K52" s="10">
        <v>78963425.464954257</v>
      </c>
    </row>
    <row r="53" spans="1:11" x14ac:dyDescent="0.35">
      <c r="A53" s="9" t="s">
        <v>85</v>
      </c>
      <c r="B53" s="10">
        <v>479</v>
      </c>
      <c r="C53" s="10">
        <v>10</v>
      </c>
      <c r="D53" s="10">
        <v>5</v>
      </c>
      <c r="E53" s="10">
        <v>394</v>
      </c>
      <c r="F53" s="10">
        <v>36827963.94646024</v>
      </c>
      <c r="G53" s="10">
        <v>470</v>
      </c>
      <c r="H53" s="10">
        <v>4</v>
      </c>
      <c r="I53" s="10">
        <v>5</v>
      </c>
      <c r="J53" s="10">
        <v>398</v>
      </c>
      <c r="K53" s="10">
        <v>39793830.224359959</v>
      </c>
    </row>
    <row r="54" spans="1:11" x14ac:dyDescent="0.35">
      <c r="A54" s="9" t="s">
        <v>81</v>
      </c>
      <c r="B54" s="10">
        <v>452</v>
      </c>
      <c r="C54" s="10">
        <v>4</v>
      </c>
      <c r="D54" s="10">
        <v>6</v>
      </c>
      <c r="E54" s="10">
        <v>361</v>
      </c>
      <c r="F54" s="10">
        <v>32706062.389469188</v>
      </c>
      <c r="G54" s="10">
        <v>459</v>
      </c>
      <c r="H54" s="10">
        <v>4</v>
      </c>
      <c r="I54" s="10">
        <v>4</v>
      </c>
      <c r="J54" s="10">
        <v>408</v>
      </c>
      <c r="K54" s="10">
        <v>30190271.62808999</v>
      </c>
    </row>
    <row r="55" spans="1:11" x14ac:dyDescent="0.35">
      <c r="A55" s="9" t="s">
        <v>87</v>
      </c>
      <c r="B55" s="10">
        <v>423</v>
      </c>
      <c r="C55" s="10">
        <v>13</v>
      </c>
      <c r="D55" s="10">
        <v>2</v>
      </c>
      <c r="E55" s="10">
        <v>336</v>
      </c>
      <c r="F55" s="10">
        <v>27855777.108106978</v>
      </c>
      <c r="G55" s="10">
        <v>399</v>
      </c>
      <c r="H55" s="10">
        <v>5</v>
      </c>
      <c r="I55" s="10">
        <v>3</v>
      </c>
      <c r="J55" s="10">
        <v>530</v>
      </c>
      <c r="K55" s="10">
        <v>26520875.013012554</v>
      </c>
    </row>
    <row r="56" spans="1:11" x14ac:dyDescent="0.35">
      <c r="A56" s="9" t="s">
        <v>166</v>
      </c>
      <c r="B56" s="10">
        <v>1122</v>
      </c>
      <c r="C56" s="10">
        <v>7</v>
      </c>
      <c r="D56" s="10">
        <v>1</v>
      </c>
      <c r="E56" s="10">
        <v>930</v>
      </c>
      <c r="F56" s="10">
        <v>60970077.042355917</v>
      </c>
      <c r="G56" s="10">
        <v>1085</v>
      </c>
      <c r="H56" s="10">
        <v>10</v>
      </c>
      <c r="I56" s="10">
        <v>1</v>
      </c>
      <c r="J56" s="10">
        <v>940</v>
      </c>
      <c r="K56" s="10">
        <v>60111160.2986276</v>
      </c>
    </row>
    <row r="57" spans="1:11" x14ac:dyDescent="0.35">
      <c r="A57" s="9" t="s">
        <v>93</v>
      </c>
      <c r="B57" s="10">
        <v>969</v>
      </c>
      <c r="C57" s="10">
        <v>15</v>
      </c>
      <c r="D57" s="10">
        <v>2</v>
      </c>
      <c r="E57" s="10">
        <v>728</v>
      </c>
      <c r="F57" s="10">
        <v>63473308.845725581</v>
      </c>
      <c r="G57" s="10">
        <v>955</v>
      </c>
      <c r="H57" s="10">
        <v>7</v>
      </c>
      <c r="I57" s="10">
        <v>1</v>
      </c>
      <c r="J57" s="10">
        <v>1376</v>
      </c>
      <c r="K57" s="10">
        <v>53650578.311345041</v>
      </c>
    </row>
    <row r="58" spans="1:11" x14ac:dyDescent="0.35">
      <c r="A58" s="9" t="s">
        <v>95</v>
      </c>
      <c r="B58" s="10">
        <v>2012</v>
      </c>
      <c r="C58" s="10">
        <v>43</v>
      </c>
      <c r="D58" s="10">
        <v>7</v>
      </c>
      <c r="E58" s="10">
        <v>1607</v>
      </c>
      <c r="F58" s="10">
        <v>96328741.671867356</v>
      </c>
      <c r="G58" s="10">
        <v>2039</v>
      </c>
      <c r="H58" s="10">
        <v>17</v>
      </c>
      <c r="I58" s="10">
        <v>8</v>
      </c>
      <c r="J58" s="10">
        <v>1854</v>
      </c>
      <c r="K58" s="10">
        <v>119362203.94001356</v>
      </c>
    </row>
    <row r="59" spans="1:11" x14ac:dyDescent="0.35">
      <c r="A59" s="9" t="s">
        <v>174</v>
      </c>
      <c r="B59" s="10">
        <v>684</v>
      </c>
      <c r="C59" s="10">
        <v>3</v>
      </c>
      <c r="D59" s="10">
        <v>0</v>
      </c>
      <c r="E59" s="10">
        <v>482</v>
      </c>
      <c r="F59" s="10">
        <v>28479366.822211664</v>
      </c>
      <c r="G59" s="10">
        <v>641</v>
      </c>
      <c r="H59" s="10">
        <v>5</v>
      </c>
      <c r="I59" s="10">
        <v>1</v>
      </c>
      <c r="J59" s="10">
        <v>656</v>
      </c>
      <c r="K59" s="10">
        <v>28733637.833457574</v>
      </c>
    </row>
    <row r="60" spans="1:11" x14ac:dyDescent="0.35">
      <c r="A60" s="9" t="s">
        <v>99</v>
      </c>
      <c r="B60" s="10">
        <v>871</v>
      </c>
      <c r="C60" s="10">
        <v>12</v>
      </c>
      <c r="D60" s="10">
        <v>5</v>
      </c>
      <c r="E60" s="10">
        <v>886</v>
      </c>
      <c r="F60" s="10">
        <v>45909139.536325142</v>
      </c>
      <c r="G60" s="10">
        <v>890</v>
      </c>
      <c r="H60" s="10">
        <v>9</v>
      </c>
      <c r="I60" s="10">
        <v>5</v>
      </c>
      <c r="J60" s="10">
        <v>853</v>
      </c>
      <c r="K60" s="10">
        <v>50511886.786456153</v>
      </c>
    </row>
    <row r="61" spans="1:11" x14ac:dyDescent="0.35">
      <c r="A61" s="9" t="s">
        <v>172</v>
      </c>
      <c r="B61" s="10">
        <v>776</v>
      </c>
      <c r="C61" s="10">
        <v>4</v>
      </c>
      <c r="D61" s="10">
        <v>1</v>
      </c>
      <c r="E61" s="10">
        <v>602</v>
      </c>
      <c r="F61" s="10">
        <v>34606752.92799139</v>
      </c>
      <c r="G61" s="10">
        <v>682</v>
      </c>
      <c r="H61" s="10">
        <v>4</v>
      </c>
      <c r="I61" s="10">
        <v>1</v>
      </c>
      <c r="J61" s="10">
        <v>711</v>
      </c>
      <c r="K61" s="10">
        <v>29960043.318234809</v>
      </c>
    </row>
    <row r="62" spans="1:11" x14ac:dyDescent="0.35">
      <c r="A62" s="9" t="s">
        <v>168</v>
      </c>
      <c r="B62" s="10">
        <v>1088</v>
      </c>
      <c r="C62" s="10">
        <v>14</v>
      </c>
      <c r="D62" s="10">
        <v>1</v>
      </c>
      <c r="E62" s="10">
        <v>1094</v>
      </c>
      <c r="F62" s="10">
        <v>61236073.249962188</v>
      </c>
      <c r="G62" s="10">
        <v>1084</v>
      </c>
      <c r="H62" s="10">
        <v>8</v>
      </c>
      <c r="I62" s="10">
        <v>1</v>
      </c>
      <c r="J62" s="10">
        <v>1006</v>
      </c>
      <c r="K62" s="10">
        <v>64061627.129171327</v>
      </c>
    </row>
    <row r="63" spans="1:11" x14ac:dyDescent="0.35">
      <c r="A63" s="9" t="s">
        <v>101</v>
      </c>
      <c r="B63" s="10">
        <v>1367</v>
      </c>
      <c r="C63" s="10">
        <v>18</v>
      </c>
      <c r="D63" s="10">
        <v>4</v>
      </c>
      <c r="E63" s="10">
        <v>1401</v>
      </c>
      <c r="F63" s="10">
        <v>79424572.818030417</v>
      </c>
      <c r="G63" s="10">
        <v>1566</v>
      </c>
      <c r="H63" s="10">
        <v>17</v>
      </c>
      <c r="I63" s="10">
        <v>5</v>
      </c>
      <c r="J63" s="10">
        <v>1580</v>
      </c>
      <c r="K63" s="10">
        <v>82024311.005796999</v>
      </c>
    </row>
    <row r="64" spans="1:11" x14ac:dyDescent="0.35">
      <c r="A64" s="9" t="s">
        <v>103</v>
      </c>
      <c r="B64" s="10">
        <v>778</v>
      </c>
      <c r="C64" s="10">
        <v>7</v>
      </c>
      <c r="D64" s="10">
        <v>4</v>
      </c>
      <c r="E64" s="10">
        <v>712</v>
      </c>
      <c r="F64" s="10">
        <v>40044513.330088608</v>
      </c>
      <c r="G64" s="10">
        <v>773</v>
      </c>
      <c r="H64" s="10">
        <v>6</v>
      </c>
      <c r="I64" s="10">
        <v>4</v>
      </c>
      <c r="J64" s="10">
        <v>782</v>
      </c>
      <c r="K64" s="10">
        <v>43598530.058410957</v>
      </c>
    </row>
    <row r="65" spans="1:11" x14ac:dyDescent="0.35">
      <c r="A65" s="9" t="s">
        <v>105</v>
      </c>
      <c r="B65" s="10">
        <v>663</v>
      </c>
      <c r="C65" s="10">
        <v>8</v>
      </c>
      <c r="D65" s="10">
        <v>5</v>
      </c>
      <c r="E65" s="10">
        <v>465</v>
      </c>
      <c r="F65" s="10">
        <v>46786746.429686174</v>
      </c>
      <c r="G65" s="10">
        <v>633</v>
      </c>
      <c r="H65" s="10">
        <v>14</v>
      </c>
      <c r="I65" s="10">
        <v>6</v>
      </c>
      <c r="J65" s="10">
        <v>479</v>
      </c>
      <c r="K65" s="10">
        <v>46831424.729506738</v>
      </c>
    </row>
    <row r="66" spans="1:11" x14ac:dyDescent="0.35">
      <c r="A66" s="9" t="s">
        <v>24</v>
      </c>
      <c r="B66" s="10">
        <v>2037</v>
      </c>
      <c r="C66" s="10">
        <v>34</v>
      </c>
      <c r="D66" s="10">
        <v>10</v>
      </c>
      <c r="E66" s="10">
        <v>1665</v>
      </c>
      <c r="F66" s="10">
        <v>130631021.1162684</v>
      </c>
      <c r="G66" s="10">
        <v>1983</v>
      </c>
      <c r="H66" s="10">
        <v>19</v>
      </c>
      <c r="I66" s="10">
        <v>11</v>
      </c>
      <c r="J66" s="10">
        <v>1851</v>
      </c>
      <c r="K66" s="10">
        <v>154952741.2124263</v>
      </c>
    </row>
    <row r="67" spans="1:11" x14ac:dyDescent="0.35">
      <c r="A67" s="9" t="s">
        <v>27</v>
      </c>
      <c r="B67" s="10">
        <v>1562</v>
      </c>
      <c r="C67" s="10">
        <v>28</v>
      </c>
      <c r="D67" s="10">
        <v>7</v>
      </c>
      <c r="E67" s="10">
        <v>1123</v>
      </c>
      <c r="F67" s="10">
        <v>109399044.35993075</v>
      </c>
      <c r="G67" s="10">
        <v>1584</v>
      </c>
      <c r="H67" s="10">
        <v>29</v>
      </c>
      <c r="I67" s="10">
        <v>6</v>
      </c>
      <c r="J67" s="10">
        <v>1348</v>
      </c>
      <c r="K67" s="10">
        <v>117836729.99392901</v>
      </c>
    </row>
    <row r="68" spans="1:11" x14ac:dyDescent="0.35">
      <c r="A68" s="9" t="s">
        <v>29</v>
      </c>
      <c r="B68" s="10">
        <v>862</v>
      </c>
      <c r="C68" s="10">
        <v>4</v>
      </c>
      <c r="D68" s="10">
        <v>1</v>
      </c>
      <c r="E68" s="10">
        <v>786</v>
      </c>
      <c r="F68" s="10">
        <v>70103027.862181619</v>
      </c>
      <c r="G68" s="10">
        <v>907</v>
      </c>
      <c r="H68" s="10">
        <v>13</v>
      </c>
      <c r="I68" s="10">
        <v>1</v>
      </c>
      <c r="J68" s="10">
        <v>763</v>
      </c>
      <c r="K68" s="10">
        <v>76241635.573840454</v>
      </c>
    </row>
    <row r="69" spans="1:11" x14ac:dyDescent="0.35">
      <c r="A69" s="9" t="s">
        <v>57</v>
      </c>
      <c r="B69" s="10">
        <v>2110</v>
      </c>
      <c r="C69" s="10">
        <v>477</v>
      </c>
      <c r="D69" s="10">
        <v>13</v>
      </c>
      <c r="E69" s="10">
        <v>1320</v>
      </c>
      <c r="F69" s="10">
        <v>105453004.52573301</v>
      </c>
      <c r="G69" s="10">
        <v>2301</v>
      </c>
      <c r="H69" s="10">
        <v>691</v>
      </c>
      <c r="I69" s="10">
        <v>12</v>
      </c>
      <c r="J69" s="10">
        <v>1412</v>
      </c>
      <c r="K69" s="10">
        <v>108334199.6946615</v>
      </c>
    </row>
    <row r="70" spans="1:11" x14ac:dyDescent="0.35">
      <c r="A70" s="9" t="s">
        <v>137</v>
      </c>
      <c r="B70" s="10">
        <v>267</v>
      </c>
      <c r="C70" s="10">
        <v>2</v>
      </c>
      <c r="D70" s="10">
        <v>1</v>
      </c>
      <c r="E70" s="10">
        <v>273</v>
      </c>
      <c r="F70" s="10">
        <v>7917119.7331427829</v>
      </c>
      <c r="G70" s="10">
        <v>231</v>
      </c>
      <c r="H70" s="10">
        <v>1</v>
      </c>
      <c r="I70" s="10">
        <v>1</v>
      </c>
      <c r="J70" s="10">
        <v>388</v>
      </c>
      <c r="K70" s="10">
        <v>5688003.8497831644</v>
      </c>
    </row>
    <row r="71" spans="1:11" x14ac:dyDescent="0.35">
      <c r="A71" s="9" t="s">
        <v>10</v>
      </c>
      <c r="B71" s="10">
        <v>1710</v>
      </c>
      <c r="C71" s="10">
        <v>7</v>
      </c>
      <c r="D71" s="10">
        <v>7</v>
      </c>
      <c r="E71" s="10">
        <v>23</v>
      </c>
      <c r="F71" s="10">
        <v>76125920.967077076</v>
      </c>
      <c r="G71" s="10">
        <v>1604</v>
      </c>
      <c r="H71" s="10">
        <v>18</v>
      </c>
      <c r="I71" s="10">
        <v>6</v>
      </c>
      <c r="J71" s="10">
        <v>1727</v>
      </c>
      <c r="K71" s="10">
        <v>79037642.567849338</v>
      </c>
    </row>
    <row r="72" spans="1:11" x14ac:dyDescent="0.35">
      <c r="A72" s="9" t="s">
        <v>12</v>
      </c>
      <c r="B72" s="10">
        <v>666</v>
      </c>
      <c r="C72" s="10">
        <v>3</v>
      </c>
      <c r="D72" s="10">
        <v>2</v>
      </c>
      <c r="E72" s="10">
        <v>629</v>
      </c>
      <c r="F72" s="10">
        <v>34547706.702124022</v>
      </c>
      <c r="G72" s="10">
        <v>792</v>
      </c>
      <c r="H72" s="10">
        <v>6</v>
      </c>
      <c r="I72" s="10">
        <v>3</v>
      </c>
      <c r="J72" s="10">
        <v>717</v>
      </c>
      <c r="K72" s="10">
        <v>36786655.430095419</v>
      </c>
    </row>
    <row r="73" spans="1:11" x14ac:dyDescent="0.35">
      <c r="A73" s="9" t="s">
        <v>162</v>
      </c>
      <c r="B73" s="10">
        <v>1346</v>
      </c>
      <c r="C73" s="10">
        <v>64</v>
      </c>
      <c r="D73" s="10">
        <v>5</v>
      </c>
      <c r="E73" s="10">
        <v>1053</v>
      </c>
      <c r="F73" s="10">
        <v>54847136.452819146</v>
      </c>
      <c r="G73" s="10">
        <v>1313</v>
      </c>
      <c r="H73" s="10">
        <v>82</v>
      </c>
      <c r="I73" s="10">
        <v>5</v>
      </c>
      <c r="J73" s="10">
        <v>1339</v>
      </c>
      <c r="K73" s="10">
        <v>57906843.358277619</v>
      </c>
    </row>
    <row r="74" spans="1:11" x14ac:dyDescent="0.35">
      <c r="A74" s="9" t="s">
        <v>63</v>
      </c>
      <c r="B74" s="10">
        <v>1313</v>
      </c>
      <c r="C74" s="10">
        <v>15</v>
      </c>
      <c r="D74" s="10">
        <v>5</v>
      </c>
      <c r="E74" s="10">
        <v>1427</v>
      </c>
      <c r="F74" s="10">
        <v>29126978.298287258</v>
      </c>
      <c r="G74" s="10">
        <v>1266</v>
      </c>
      <c r="H74" s="10">
        <v>14</v>
      </c>
      <c r="I74" s="10">
        <v>5</v>
      </c>
      <c r="J74" s="10">
        <v>1405</v>
      </c>
      <c r="K74" s="10">
        <v>40855278.346187778</v>
      </c>
    </row>
    <row r="75" spans="1:11" x14ac:dyDescent="0.35">
      <c r="A75" s="9" t="s">
        <v>59</v>
      </c>
      <c r="B75" s="10">
        <v>1752</v>
      </c>
      <c r="C75" s="10">
        <v>14</v>
      </c>
      <c r="D75" s="10">
        <v>5</v>
      </c>
      <c r="E75" s="10">
        <v>1163</v>
      </c>
      <c r="F75" s="10">
        <v>98315347.098174065</v>
      </c>
      <c r="G75" s="10">
        <v>1719</v>
      </c>
      <c r="H75" s="10">
        <v>19</v>
      </c>
      <c r="I75" s="10">
        <v>5</v>
      </c>
      <c r="J75" s="10">
        <v>1221</v>
      </c>
      <c r="K75" s="10">
        <v>100819403.76663657</v>
      </c>
    </row>
    <row r="76" spans="1:11" x14ac:dyDescent="0.35">
      <c r="A76" s="9" t="s">
        <v>139</v>
      </c>
      <c r="B76" s="10">
        <v>499</v>
      </c>
      <c r="C76" s="10">
        <v>6</v>
      </c>
      <c r="D76" s="10">
        <v>2</v>
      </c>
      <c r="E76" s="10">
        <v>453</v>
      </c>
      <c r="F76" s="10">
        <v>19683996.910329919</v>
      </c>
      <c r="G76" s="10">
        <v>511</v>
      </c>
      <c r="H76" s="10">
        <v>4</v>
      </c>
      <c r="I76" s="10">
        <v>1</v>
      </c>
      <c r="J76" s="10">
        <v>770</v>
      </c>
      <c r="K76" s="10">
        <v>20686498.135920927</v>
      </c>
    </row>
    <row r="77" spans="1:11" x14ac:dyDescent="0.35">
      <c r="A77" s="9" t="s">
        <v>170</v>
      </c>
      <c r="B77" s="10">
        <v>903</v>
      </c>
      <c r="C77" s="10">
        <v>6</v>
      </c>
      <c r="D77" s="10">
        <v>1</v>
      </c>
      <c r="E77" s="10">
        <v>810</v>
      </c>
      <c r="F77" s="10">
        <v>32160041.736018367</v>
      </c>
      <c r="G77" s="10">
        <v>885</v>
      </c>
      <c r="H77" s="10">
        <v>7</v>
      </c>
      <c r="I77" s="10">
        <v>1</v>
      </c>
      <c r="J77" s="10">
        <v>809</v>
      </c>
      <c r="K77" s="10">
        <v>32996093.214375857</v>
      </c>
    </row>
    <row r="78" spans="1:11" x14ac:dyDescent="0.35">
      <c r="A78" s="9" t="s">
        <v>61</v>
      </c>
      <c r="B78" s="10">
        <v>648</v>
      </c>
      <c r="C78" s="10">
        <v>2</v>
      </c>
      <c r="D78" s="10">
        <v>4</v>
      </c>
      <c r="E78" s="10">
        <v>490</v>
      </c>
      <c r="F78" s="10">
        <v>21407137.642230976</v>
      </c>
      <c r="G78" s="10">
        <v>627</v>
      </c>
      <c r="H78" s="10">
        <v>2</v>
      </c>
      <c r="I78" s="10">
        <v>3</v>
      </c>
      <c r="J78" s="10">
        <v>501</v>
      </c>
      <c r="K78" s="10">
        <v>32774773.091488261</v>
      </c>
    </row>
    <row r="79" spans="1:11" x14ac:dyDescent="0.35">
      <c r="A79" s="9" t="s">
        <v>129</v>
      </c>
      <c r="B79" s="10">
        <v>568</v>
      </c>
      <c r="C79" s="10">
        <v>5</v>
      </c>
      <c r="D79" s="10">
        <v>1</v>
      </c>
      <c r="E79" s="10">
        <v>548</v>
      </c>
      <c r="F79" s="10">
        <v>16536642.207860889</v>
      </c>
      <c r="G79" s="10">
        <v>580</v>
      </c>
      <c r="H79" s="10">
        <v>7</v>
      </c>
      <c r="I79" s="10">
        <v>1</v>
      </c>
      <c r="J79" s="10">
        <v>679</v>
      </c>
      <c r="K79" s="10">
        <v>21146171.079158921</v>
      </c>
    </row>
    <row r="80" spans="1:11" x14ac:dyDescent="0.35">
      <c r="A80" s="9" t="s">
        <v>35</v>
      </c>
      <c r="B80" s="10">
        <v>436</v>
      </c>
      <c r="C80" s="10">
        <v>6</v>
      </c>
      <c r="D80" s="10">
        <v>6</v>
      </c>
      <c r="E80" s="10">
        <v>417</v>
      </c>
      <c r="F80" s="10">
        <v>24837632.190980133</v>
      </c>
      <c r="G80" s="10">
        <v>450</v>
      </c>
      <c r="H80" s="10">
        <v>2</v>
      </c>
      <c r="I80" s="10">
        <v>7</v>
      </c>
      <c r="J80" s="10">
        <v>517</v>
      </c>
      <c r="K80" s="10">
        <v>26477086.777779728</v>
      </c>
    </row>
    <row r="81" spans="1:11" x14ac:dyDescent="0.35">
      <c r="A81" s="9" t="s">
        <v>107</v>
      </c>
      <c r="B81" s="10">
        <v>962</v>
      </c>
      <c r="C81" s="10">
        <v>19</v>
      </c>
      <c r="D81" s="10">
        <v>3</v>
      </c>
      <c r="E81" s="10">
        <v>728</v>
      </c>
      <c r="F81" s="10">
        <v>71186313.463551417</v>
      </c>
      <c r="G81" s="10">
        <v>905</v>
      </c>
      <c r="H81" s="10">
        <v>11</v>
      </c>
      <c r="I81" s="10">
        <v>3</v>
      </c>
      <c r="J81" s="10">
        <v>690</v>
      </c>
      <c r="K81" s="10">
        <v>69229976.611934304</v>
      </c>
    </row>
    <row r="82" spans="1:11" x14ac:dyDescent="0.35">
      <c r="A82" s="9" t="s">
        <v>37</v>
      </c>
      <c r="B82" s="10">
        <v>788</v>
      </c>
      <c r="C82" s="10">
        <v>8</v>
      </c>
      <c r="D82" s="10">
        <v>10</v>
      </c>
      <c r="E82" s="10">
        <v>761</v>
      </c>
      <c r="F82" s="10">
        <v>42014374.495212048</v>
      </c>
      <c r="G82" s="10">
        <v>782</v>
      </c>
      <c r="H82" s="10">
        <v>6</v>
      </c>
      <c r="I82" s="10">
        <v>9</v>
      </c>
      <c r="J82" s="10">
        <v>767</v>
      </c>
      <c r="K82" s="10">
        <v>41482355.29842566</v>
      </c>
    </row>
    <row r="83" spans="1:11" x14ac:dyDescent="0.35">
      <c r="A83" s="9" t="s">
        <v>76</v>
      </c>
      <c r="B83" s="10">
        <v>945</v>
      </c>
      <c r="C83" s="10">
        <v>2</v>
      </c>
      <c r="D83" s="10">
        <v>2</v>
      </c>
      <c r="E83" s="10">
        <v>914</v>
      </c>
      <c r="F83" s="10">
        <v>35492494.507336438</v>
      </c>
      <c r="G83" s="10">
        <v>944</v>
      </c>
      <c r="H83" s="10">
        <v>8</v>
      </c>
      <c r="I83" s="10">
        <v>2</v>
      </c>
      <c r="J83" s="10">
        <v>946</v>
      </c>
      <c r="K83" s="10">
        <v>36210217.788931936</v>
      </c>
    </row>
    <row r="84" spans="1:11" x14ac:dyDescent="0.35">
      <c r="A84" s="9" t="s">
        <v>65</v>
      </c>
      <c r="B84" s="10">
        <v>1004</v>
      </c>
      <c r="C84" s="10">
        <v>9</v>
      </c>
      <c r="D84" s="10">
        <v>4</v>
      </c>
      <c r="E84" s="10">
        <v>814</v>
      </c>
      <c r="F84" s="10">
        <v>39246929.902227499</v>
      </c>
      <c r="G84" s="10">
        <v>949</v>
      </c>
      <c r="H84" s="10">
        <v>5</v>
      </c>
      <c r="I84" s="10">
        <v>5</v>
      </c>
      <c r="J84" s="10">
        <v>886</v>
      </c>
      <c r="K84" s="10">
        <v>39249603.519122563</v>
      </c>
    </row>
    <row r="85" spans="1:11" x14ac:dyDescent="0.35">
      <c r="A85" s="9" t="s">
        <v>89</v>
      </c>
      <c r="B85" s="10">
        <v>761</v>
      </c>
      <c r="C85" s="10">
        <v>11</v>
      </c>
      <c r="D85" s="10">
        <v>5</v>
      </c>
      <c r="E85" s="10">
        <v>671</v>
      </c>
      <c r="F85" s="10">
        <v>43434600.920144811</v>
      </c>
      <c r="G85" s="10">
        <v>749</v>
      </c>
      <c r="H85" s="10">
        <v>3</v>
      </c>
      <c r="I85" s="10">
        <v>6</v>
      </c>
      <c r="J85" s="10">
        <v>795</v>
      </c>
      <c r="K85" s="10">
        <v>48234097.097117387</v>
      </c>
    </row>
    <row r="86" spans="1:11" x14ac:dyDescent="0.35">
      <c r="A86" s="9" t="s">
        <v>147</v>
      </c>
      <c r="B86" s="10">
        <v>565</v>
      </c>
      <c r="C86" s="10">
        <v>2</v>
      </c>
      <c r="D86" s="10">
        <v>1</v>
      </c>
      <c r="E86" s="10">
        <v>476</v>
      </c>
      <c r="F86" s="10">
        <v>18399345.194895476</v>
      </c>
      <c r="G86" s="10">
        <v>590</v>
      </c>
      <c r="H86" s="10">
        <v>5</v>
      </c>
      <c r="I86" s="10">
        <v>1</v>
      </c>
      <c r="J86" s="10">
        <v>735</v>
      </c>
      <c r="K86" s="10">
        <v>21690659.164879039</v>
      </c>
    </row>
    <row r="87" spans="1:11" x14ac:dyDescent="0.35">
      <c r="A87" s="9" t="s">
        <v>164</v>
      </c>
      <c r="B87" s="10">
        <v>1713</v>
      </c>
      <c r="C87" s="10">
        <v>10</v>
      </c>
      <c r="D87" s="10">
        <v>10</v>
      </c>
      <c r="E87" s="10">
        <v>1372</v>
      </c>
      <c r="F87" s="10">
        <v>82273473.200688198</v>
      </c>
      <c r="G87" s="10">
        <v>1753</v>
      </c>
      <c r="H87" s="10">
        <v>14</v>
      </c>
      <c r="I87" s="10">
        <v>10</v>
      </c>
      <c r="J87" s="10">
        <v>1414</v>
      </c>
      <c r="K87" s="10">
        <v>94241217.026786476</v>
      </c>
    </row>
    <row r="88" spans="1:11" x14ac:dyDescent="0.35">
      <c r="A88" s="9" t="s">
        <v>91</v>
      </c>
      <c r="B88" s="10">
        <v>618</v>
      </c>
      <c r="C88" s="10">
        <v>8</v>
      </c>
      <c r="D88" s="10">
        <v>3</v>
      </c>
      <c r="E88" s="10">
        <v>717</v>
      </c>
      <c r="F88" s="10">
        <v>23804055.591650765</v>
      </c>
      <c r="G88" s="10">
        <v>630</v>
      </c>
      <c r="H88" s="10">
        <v>2</v>
      </c>
      <c r="I88" s="10">
        <v>3</v>
      </c>
      <c r="J88" s="10">
        <v>1002</v>
      </c>
      <c r="K88" s="10">
        <v>21615723.380328029</v>
      </c>
    </row>
    <row r="89" spans="1:11" x14ac:dyDescent="0.35">
      <c r="A89" s="9" t="s">
        <v>97</v>
      </c>
      <c r="B89" s="10">
        <v>588</v>
      </c>
      <c r="C89" s="10">
        <v>17</v>
      </c>
      <c r="D89" s="10">
        <v>6</v>
      </c>
      <c r="E89" s="10">
        <v>556</v>
      </c>
      <c r="F89" s="10">
        <v>37443384.64732296</v>
      </c>
      <c r="G89" s="10">
        <v>671</v>
      </c>
      <c r="H89" s="10">
        <v>8</v>
      </c>
      <c r="I89" s="10">
        <v>8</v>
      </c>
      <c r="J89" s="10">
        <v>611</v>
      </c>
      <c r="K89" s="10">
        <v>40709026.746087454</v>
      </c>
    </row>
    <row r="90" spans="1:11" x14ac:dyDescent="0.35">
      <c r="A90" s="9" t="s">
        <v>78</v>
      </c>
      <c r="B90" s="10">
        <v>354</v>
      </c>
      <c r="C90" s="10">
        <v>3</v>
      </c>
      <c r="D90" s="10">
        <v>1</v>
      </c>
      <c r="E90" s="10">
        <v>299</v>
      </c>
      <c r="F90" s="10">
        <v>9766247.4008819219</v>
      </c>
      <c r="G90" s="10">
        <v>362</v>
      </c>
      <c r="H90" s="10">
        <v>2</v>
      </c>
      <c r="I90" s="10">
        <v>1</v>
      </c>
      <c r="J90" s="10">
        <v>363</v>
      </c>
      <c r="K90" s="10">
        <v>9290162.7166413236</v>
      </c>
    </row>
    <row r="91" spans="1:11" x14ac:dyDescent="0.35">
      <c r="A91" s="14" t="s">
        <v>203</v>
      </c>
      <c r="B91" s="13">
        <v>84528</v>
      </c>
      <c r="C91" s="13">
        <v>3015</v>
      </c>
      <c r="D91" s="13">
        <v>311</v>
      </c>
      <c r="E91" s="13">
        <v>69689</v>
      </c>
      <c r="F91" s="13">
        <v>4031848683.3072886</v>
      </c>
      <c r="G91" s="13">
        <v>83766</v>
      </c>
      <c r="H91" s="13">
        <v>2294</v>
      </c>
      <c r="I91" s="13">
        <v>319</v>
      </c>
      <c r="J91" s="13">
        <v>84970</v>
      </c>
      <c r="K91" s="13">
        <v>4212218317.8509955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2026-08-30T10:08:26Z</dcterms:modified>
</cp:coreProperties>
</file>