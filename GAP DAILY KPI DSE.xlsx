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MN-IOH\Documents\DASHBOARD MS\"/>
    </mc:Choice>
  </mc:AlternateContent>
  <bookViews>
    <workbookView xWindow="0" yWindow="0" windowWidth="19200" windowHeight="6640"/>
  </bookViews>
  <sheets>
    <sheet name="Sheet1" sheetId="1" r:id="rId1"/>
  </sheets>
  <externalReferences>
    <externalReference r:id="rId2"/>
  </externalReferences>
  <definedNames>
    <definedName name="_xlnm._FilterDatabase" localSheetId="0" hidden="1">Sheet1!$A$3:$D$3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2" i="1" l="1"/>
  <c r="E12" i="1"/>
  <c r="D12" i="1"/>
  <c r="C12" i="1"/>
  <c r="H11" i="1"/>
  <c r="G11" i="1"/>
  <c r="H10" i="1"/>
  <c r="G10" i="1"/>
  <c r="H9" i="1"/>
  <c r="G9" i="1"/>
  <c r="H8" i="1"/>
  <c r="G8" i="1"/>
  <c r="H7" i="1"/>
  <c r="G7" i="1"/>
  <c r="H6" i="1"/>
  <c r="G6" i="1"/>
  <c r="G12" i="1" l="1"/>
  <c r="H12" i="1"/>
  <c r="K9" i="1" l="1"/>
  <c r="J6" i="1"/>
  <c r="I10" i="1"/>
  <c r="O10" i="1" s="1"/>
  <c r="L9" i="1" l="1"/>
  <c r="J9" i="1"/>
  <c r="P9" i="1" s="1"/>
  <c r="K7" i="1"/>
  <c r="K11" i="1"/>
  <c r="I11" i="1"/>
  <c r="O11" i="1" s="1"/>
  <c r="L7" i="1"/>
  <c r="I8" i="1"/>
  <c r="O8" i="1" s="1"/>
  <c r="J11" i="1"/>
  <c r="P11" i="1" s="1"/>
  <c r="J8" i="1"/>
  <c r="P8" i="1" s="1"/>
  <c r="I9" i="1"/>
  <c r="O9" i="1" s="1"/>
  <c r="I6" i="1"/>
  <c r="P6" i="1"/>
  <c r="Q9" i="1"/>
  <c r="K8" i="1"/>
  <c r="I7" i="1"/>
  <c r="O7" i="1" s="1"/>
  <c r="J7" i="1"/>
  <c r="P7" i="1" s="1"/>
  <c r="L11" i="1"/>
  <c r="L8" i="1"/>
  <c r="K6" i="1"/>
  <c r="K10" i="1"/>
  <c r="L6" i="1"/>
  <c r="J10" i="1"/>
  <c r="P10" i="1" s="1"/>
  <c r="L10" i="1"/>
  <c r="P12" i="1" l="1"/>
  <c r="R6" i="1"/>
  <c r="L12" i="1"/>
  <c r="N6" i="1"/>
  <c r="O6" i="1"/>
  <c r="O12" i="1" s="1"/>
  <c r="I12" i="1"/>
  <c r="M10" i="1"/>
  <c r="S10" i="1" s="1"/>
  <c r="Q10" i="1"/>
  <c r="Q6" i="1"/>
  <c r="K12" i="1"/>
  <c r="M6" i="1"/>
  <c r="R11" i="1"/>
  <c r="N11" i="1"/>
  <c r="T11" i="1" s="1"/>
  <c r="R7" i="1"/>
  <c r="N7" i="1"/>
  <c r="T7" i="1" s="1"/>
  <c r="R8" i="1"/>
  <c r="N8" i="1"/>
  <c r="T8" i="1" s="1"/>
  <c r="Q8" i="1"/>
  <c r="M8" i="1"/>
  <c r="S8" i="1" s="1"/>
  <c r="M11" i="1"/>
  <c r="S11" i="1" s="1"/>
  <c r="Q11" i="1"/>
  <c r="Q7" i="1"/>
  <c r="M7" i="1"/>
  <c r="S7" i="1" s="1"/>
  <c r="M9" i="1"/>
  <c r="S9" i="1" s="1"/>
  <c r="R10" i="1"/>
  <c r="N10" i="1"/>
  <c r="T10" i="1" s="1"/>
  <c r="J12" i="1"/>
  <c r="N9" i="1"/>
  <c r="T9" i="1" s="1"/>
  <c r="R9" i="1"/>
  <c r="S6" i="1" l="1"/>
  <c r="S12" i="1" s="1"/>
  <c r="M12" i="1"/>
  <c r="T6" i="1"/>
  <c r="T12" i="1" s="1"/>
  <c r="N12" i="1"/>
  <c r="R12" i="1"/>
  <c r="Q12" i="1"/>
</calcChain>
</file>

<file path=xl/sharedStrings.xml><?xml version="1.0" encoding="utf-8"?>
<sst xmlns="http://schemas.openxmlformats.org/spreadsheetml/2006/main" count="45" uniqueCount="23">
  <si>
    <t>TARGET KPI</t>
  </si>
  <si>
    <t>ACHIEVEMENT</t>
  </si>
  <si>
    <t>ACHIEVEMENT %</t>
  </si>
  <si>
    <t>IM3</t>
  </si>
  <si>
    <t>3ID</t>
  </si>
  <si>
    <t>IOH</t>
  </si>
  <si>
    <t>DSE NAME</t>
  </si>
  <si>
    <t>DSE IM3 | DSE 3ID</t>
  </si>
  <si>
    <t>OSA</t>
  </si>
  <si>
    <t>SELL IN SP</t>
  </si>
  <si>
    <t>SLAMET HOIRI</t>
  </si>
  <si>
    <t>DSEKL086 | DSEKL0863ID</t>
  </si>
  <si>
    <t>JULAIHA</t>
  </si>
  <si>
    <t>DSEKL087 | DSEKL0873ID</t>
  </si>
  <si>
    <t>APRIANUS</t>
  </si>
  <si>
    <t>DSEKL088 | DSEKL0883ID</t>
  </si>
  <si>
    <t>DARIANUS</t>
  </si>
  <si>
    <t>DSEKL089 | DSEKL0893ID</t>
  </si>
  <si>
    <t>URAY ILHAM</t>
  </si>
  <si>
    <t>DSEKL092 | DSEKL0923ID</t>
  </si>
  <si>
    <t>EFENDI</t>
  </si>
  <si>
    <t>DSEKL513 | DSEKL5133ID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</si>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</sst>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#,##0;[Red]\-#,##0;&quot;–&quot;"/>
    <numFmt numFmtId="167" formatCode="0.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rgb="FFFFC000"/>
      <name val="Calibri"/>
      <charset val="134"/>
      <scheme val="minor"/>
    </font>
    <font>
      <b/>
      <sz val="11"/>
      <color rgb="FFFFFFFF"/>
      <name val="Calibri"/>
      <charset val="134"/>
    </font>
    <font>
      <b/>
      <sz val="11"/>
      <color theme="1"/>
      <name val="Calibri"/>
      <charset val="134"/>
    </font>
    <font>
      <sz val="11"/>
      <name val="Calibri"/>
      <charset val="134"/>
    </font>
    <font>
      <b/>
      <sz val="11"/>
      <name val="Calibri"/>
      <charset val="134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F1F1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222222"/>
        <bgColor indexed="64"/>
      </patternFill>
    </fill>
    <fill>
      <patternFill patternType="solid">
        <fgColor rgb="FFFFF2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D9D9D9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1">
    <xf numFmtId="0" fontId="0" fillId="0" borderId="0" xfId="0"/>
    <xf numFmtId="9" fontId="4" fillId="2" borderId="0" xfId="2" applyFont="1" applyFill="1" applyBorder="1" applyAlignment="1">
      <alignment vertical="center" wrapText="1"/>
    </xf>
    <xf numFmtId="17" fontId="2" fillId="2" borderId="0" xfId="0" applyNumberFormat="1" applyFont="1" applyFill="1" applyBorder="1"/>
    <xf numFmtId="0" fontId="3" fillId="2" borderId="0" xfId="0" applyFont="1" applyFill="1" applyBorder="1"/>
    <xf numFmtId="0" fontId="2" fillId="2" borderId="0" xfId="0" applyFont="1" applyFill="1" applyBorder="1"/>
    <xf numFmtId="0" fontId="3" fillId="2" borderId="0" xfId="0" applyFont="1" applyFill="1" applyBorder="1" applyAlignment="1">
      <alignment horizontal="left"/>
    </xf>
    <xf numFmtId="0" fontId="6" fillId="4" borderId="3" xfId="0" applyFont="1" applyFill="1" applyBorder="1" applyAlignment="1">
      <alignment horizontal="center" vertical="center" wrapText="1"/>
    </xf>
    <xf numFmtId="0" fontId="6" fillId="4" borderId="0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>
      <alignment horizontal="center" vertical="center"/>
    </xf>
    <xf numFmtId="165" fontId="5" fillId="3" borderId="8" xfId="1" applyNumberFormat="1" applyFont="1" applyFill="1" applyBorder="1" applyAlignment="1">
      <alignment horizontal="center" vertical="center"/>
    </xf>
    <xf numFmtId="165" fontId="5" fillId="3" borderId="9" xfId="1" applyNumberFormat="1" applyFont="1" applyFill="1" applyBorder="1" applyAlignment="1">
      <alignment horizontal="center" vertical="center"/>
    </xf>
    <xf numFmtId="165" fontId="5" fillId="3" borderId="10" xfId="1" applyNumberFormat="1" applyFont="1" applyFill="1" applyBorder="1" applyAlignment="1">
      <alignment horizontal="center" vertical="center"/>
    </xf>
    <xf numFmtId="165" fontId="5" fillId="3" borderId="11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0" fillId="0" borderId="12" xfId="0" applyNumberFormat="1" applyBorder="1" applyAlignment="1">
      <alignment horizontal="center" vertical="center"/>
    </xf>
    <xf numFmtId="9" fontId="0" fillId="0" borderId="12" xfId="2" applyNumberFormat="1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left" vertical="center"/>
    </xf>
    <xf numFmtId="0" fontId="9" fillId="7" borderId="1" xfId="0" applyFont="1" applyFill="1" applyBorder="1" applyAlignment="1">
      <alignment horizontal="center" vertical="center"/>
    </xf>
    <xf numFmtId="166" fontId="9" fillId="7" borderId="1" xfId="0" applyNumberFormat="1" applyFont="1" applyFill="1" applyBorder="1" applyAlignment="1">
      <alignment horizontal="center" vertical="center"/>
    </xf>
    <xf numFmtId="167" fontId="9" fillId="7" borderId="1" xfId="2" applyNumberFormat="1" applyFont="1" applyFill="1" applyBorder="1" applyAlignment="1">
      <alignment horizontal="center" vertical="center"/>
    </xf>
    <xf numFmtId="165" fontId="7" fillId="5" borderId="6" xfId="1" applyNumberFormat="1" applyFont="1" applyFill="1" applyBorder="1" applyAlignment="1">
      <alignment horizontal="center" vertical="center" wrapText="1"/>
    </xf>
    <xf numFmtId="165" fontId="7" fillId="5" borderId="7" xfId="1" applyNumberFormat="1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/>
    </xf>
    <xf numFmtId="165" fontId="7" fillId="5" borderId="2" xfId="1" applyNumberFormat="1" applyFont="1" applyFill="1" applyBorder="1" applyAlignment="1">
      <alignment horizontal="center" vertical="center" wrapText="1"/>
    </xf>
    <xf numFmtId="165" fontId="7" fillId="5" borderId="4" xfId="1" applyNumberFormat="1" applyFont="1" applyFill="1" applyBorder="1" applyAlignment="1">
      <alignment horizontal="center" vertical="center" wrapText="1"/>
    </xf>
    <xf numFmtId="165" fontId="7" fillId="5" borderId="5" xfId="1" applyNumberFormat="1" applyFont="1" applyFill="1" applyBorder="1" applyAlignment="1">
      <alignment horizontal="center" vertical="center" wrapText="1"/>
    </xf>
  </cellXfs>
  <cellStyles count="4">
    <cellStyle name="Comma" xfId="1" builtinId="3"/>
    <cellStyle name="Comma 3 2" xf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ETAIL%20OUTL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MASTER"/>
    </sheetNames>
    <sheetDataSet>
      <sheetData sheetId="0">
        <row r="4">
          <cell r="T4">
            <v>444353300</v>
          </cell>
          <cell r="U4">
            <v>1740</v>
          </cell>
          <cell r="Y4">
            <v>88050000</v>
          </cell>
          <cell r="Z4">
            <v>5</v>
          </cell>
        </row>
        <row r="5">
          <cell r="T5" t="str">
            <v>IM3</v>
          </cell>
          <cell r="Y5" t="str">
            <v>3ID</v>
          </cell>
        </row>
        <row r="6">
          <cell r="A6" t="str">
            <v>NAMA SALES</v>
          </cell>
          <cell r="T6" t="str">
            <v>OSA</v>
          </cell>
          <cell r="U6" t="str">
            <v>SELL IN SP</v>
          </cell>
          <cell r="Y6" t="str">
            <v>OSA</v>
          </cell>
          <cell r="Z6" t="str">
            <v>SELL IN SP</v>
          </cell>
        </row>
        <row r="7">
          <cell r="A7" t="str">
            <v>URAY ILHAM</v>
          </cell>
          <cell r="T7">
            <v>4410500</v>
          </cell>
          <cell r="U7">
            <v>31</v>
          </cell>
          <cell r="Y7" t="str">
            <v/>
          </cell>
          <cell r="Z7" t="str">
            <v/>
          </cell>
        </row>
        <row r="8">
          <cell r="A8" t="str">
            <v>SLAMET HOIRI</v>
          </cell>
          <cell r="T8">
            <v>428900</v>
          </cell>
          <cell r="U8">
            <v>22</v>
          </cell>
          <cell r="Y8" t="str">
            <v/>
          </cell>
          <cell r="Z8" t="str">
            <v/>
          </cell>
        </row>
        <row r="9">
          <cell r="A9" t="str">
            <v>SLAMET HOIRI</v>
          </cell>
          <cell r="T9">
            <v>0</v>
          </cell>
          <cell r="U9">
            <v>22</v>
          </cell>
          <cell r="Y9" t="str">
            <v/>
          </cell>
          <cell r="Z9" t="str">
            <v/>
          </cell>
        </row>
        <row r="10">
          <cell r="A10" t="str">
            <v>EFENDI</v>
          </cell>
          <cell r="T10">
            <v>486000</v>
          </cell>
          <cell r="U10">
            <v>51</v>
          </cell>
          <cell r="Y10" t="str">
            <v/>
          </cell>
          <cell r="Z10" t="str">
            <v/>
          </cell>
        </row>
        <row r="11">
          <cell r="A11" t="str">
            <v>EFENDI</v>
          </cell>
          <cell r="T11">
            <v>1115000</v>
          </cell>
          <cell r="U11">
            <v>5</v>
          </cell>
          <cell r="Y11" t="str">
            <v/>
          </cell>
          <cell r="Z11" t="str">
            <v/>
          </cell>
        </row>
        <row r="12">
          <cell r="A12" t="str">
            <v>DARIANUS</v>
          </cell>
          <cell r="T12">
            <v>2444000</v>
          </cell>
          <cell r="U12">
            <v>5</v>
          </cell>
          <cell r="Y12" t="str">
            <v/>
          </cell>
          <cell r="Z12" t="str">
            <v/>
          </cell>
        </row>
        <row r="13">
          <cell r="A13" t="str">
            <v>SLAMET HOIRI</v>
          </cell>
          <cell r="T13">
            <v>510000</v>
          </cell>
          <cell r="U13">
            <v>25</v>
          </cell>
          <cell r="Y13" t="str">
            <v/>
          </cell>
          <cell r="Z13" t="str">
            <v/>
          </cell>
        </row>
        <row r="14">
          <cell r="A14" t="str">
            <v>EFENDI</v>
          </cell>
          <cell r="T14">
            <v>403000</v>
          </cell>
          <cell r="U14">
            <v>27</v>
          </cell>
          <cell r="Y14" t="str">
            <v/>
          </cell>
          <cell r="Z14" t="str">
            <v/>
          </cell>
        </row>
        <row r="15">
          <cell r="A15" t="str">
            <v>URAY ILHAM</v>
          </cell>
          <cell r="T15">
            <v>602800</v>
          </cell>
          <cell r="U15">
            <v>23</v>
          </cell>
          <cell r="Y15" t="str">
            <v/>
          </cell>
          <cell r="Z15" t="str">
            <v/>
          </cell>
        </row>
        <row r="16">
          <cell r="A16" t="str">
            <v>JULAIHA</v>
          </cell>
          <cell r="T16">
            <v>0</v>
          </cell>
          <cell r="U16">
            <v>22</v>
          </cell>
          <cell r="Y16" t="str">
            <v/>
          </cell>
          <cell r="Z16" t="str">
            <v/>
          </cell>
        </row>
        <row r="17">
          <cell r="A17" t="str">
            <v>SLAMET HOIRI</v>
          </cell>
          <cell r="T17">
            <v>403000</v>
          </cell>
          <cell r="U17">
            <v>14</v>
          </cell>
          <cell r="Y17" t="str">
            <v/>
          </cell>
          <cell r="Z17" t="str">
            <v/>
          </cell>
        </row>
        <row r="18">
          <cell r="A18" t="str">
            <v>DARIANUS</v>
          </cell>
          <cell r="T18">
            <v>1122000</v>
          </cell>
          <cell r="U18">
            <v>15</v>
          </cell>
          <cell r="Y18" t="str">
            <v/>
          </cell>
          <cell r="Z18" t="str">
            <v/>
          </cell>
        </row>
        <row r="19">
          <cell r="A19" t="str">
            <v>EFENDI</v>
          </cell>
          <cell r="T19">
            <v>394000</v>
          </cell>
          <cell r="U19">
            <v>10</v>
          </cell>
          <cell r="Y19" t="str">
            <v/>
          </cell>
          <cell r="Z19" t="str">
            <v/>
          </cell>
        </row>
        <row r="20">
          <cell r="A20" t="str">
            <v>URAY ILHAM</v>
          </cell>
          <cell r="T20">
            <v>1047600</v>
          </cell>
          <cell r="U20">
            <v>7</v>
          </cell>
          <cell r="Y20" t="str">
            <v/>
          </cell>
          <cell r="Z20" t="str">
            <v/>
          </cell>
        </row>
        <row r="21">
          <cell r="A21" t="str">
            <v>DARIANUS</v>
          </cell>
          <cell r="T21">
            <v>1104000</v>
          </cell>
          <cell r="U21">
            <v>20</v>
          </cell>
          <cell r="Y21" t="str">
            <v/>
          </cell>
          <cell r="Z21" t="str">
            <v/>
          </cell>
        </row>
        <row r="22">
          <cell r="A22" t="str">
            <v>APRIANUS</v>
          </cell>
          <cell r="T22">
            <v>0</v>
          </cell>
          <cell r="U22">
            <v>10</v>
          </cell>
          <cell r="Y22" t="str">
            <v/>
          </cell>
          <cell r="Z22" t="str">
            <v/>
          </cell>
        </row>
        <row r="23">
          <cell r="A23" t="str">
            <v>EFENDI</v>
          </cell>
          <cell r="T23">
            <v>394000</v>
          </cell>
          <cell r="U23">
            <v>10</v>
          </cell>
          <cell r="Y23" t="str">
            <v/>
          </cell>
          <cell r="Z23" t="str">
            <v/>
          </cell>
        </row>
        <row r="24">
          <cell r="A24" t="str">
            <v>URAY ILHAM</v>
          </cell>
          <cell r="T24">
            <v>1832000</v>
          </cell>
          <cell r="U24">
            <v>9</v>
          </cell>
          <cell r="Y24" t="str">
            <v/>
          </cell>
          <cell r="Z24" t="str">
            <v/>
          </cell>
        </row>
        <row r="25">
          <cell r="A25" t="str">
            <v>APRIANUS</v>
          </cell>
          <cell r="T25">
            <v>0</v>
          </cell>
          <cell r="U25">
            <v>6</v>
          </cell>
          <cell r="Y25" t="str">
            <v/>
          </cell>
          <cell r="Z25" t="str">
            <v/>
          </cell>
        </row>
        <row r="26">
          <cell r="A26" t="str">
            <v>APRIANUS</v>
          </cell>
          <cell r="T26">
            <v>631800</v>
          </cell>
          <cell r="U26">
            <v>16</v>
          </cell>
          <cell r="Y26" t="str">
            <v/>
          </cell>
          <cell r="Z26" t="str">
            <v/>
          </cell>
        </row>
        <row r="27">
          <cell r="A27" t="str">
            <v>DARIANUS</v>
          </cell>
          <cell r="T27">
            <v>963000</v>
          </cell>
          <cell r="U27">
            <v>18</v>
          </cell>
          <cell r="Y27" t="str">
            <v/>
          </cell>
          <cell r="Z27" t="str">
            <v/>
          </cell>
        </row>
        <row r="28">
          <cell r="A28" t="str">
            <v>SLAMET HOIRI</v>
          </cell>
          <cell r="T28">
            <v>0</v>
          </cell>
          <cell r="U28">
            <v>10</v>
          </cell>
          <cell r="Y28" t="str">
            <v/>
          </cell>
          <cell r="Z28" t="str">
            <v/>
          </cell>
        </row>
        <row r="29">
          <cell r="A29" t="str">
            <v>SLAMET HOIRI</v>
          </cell>
          <cell r="T29">
            <v>168000</v>
          </cell>
          <cell r="U29">
            <v>0</v>
          </cell>
          <cell r="Y29" t="str">
            <v/>
          </cell>
          <cell r="Z29" t="str">
            <v/>
          </cell>
        </row>
        <row r="30">
          <cell r="A30" t="str">
            <v>SLAMET HOIRI</v>
          </cell>
          <cell r="T30">
            <v>648300</v>
          </cell>
          <cell r="U30">
            <v>9</v>
          </cell>
          <cell r="Y30" t="str">
            <v/>
          </cell>
          <cell r="Z30" t="str">
            <v/>
          </cell>
        </row>
        <row r="31">
          <cell r="A31" t="str">
            <v>DARIANUS</v>
          </cell>
          <cell r="T31">
            <v>787000</v>
          </cell>
          <cell r="U31">
            <v>18</v>
          </cell>
          <cell r="Y31" t="str">
            <v/>
          </cell>
          <cell r="Z31" t="str">
            <v/>
          </cell>
        </row>
        <row r="32">
          <cell r="A32" t="str">
            <v>URAY ILHAM</v>
          </cell>
          <cell r="T32">
            <v>1320200</v>
          </cell>
          <cell r="U32">
            <v>14</v>
          </cell>
          <cell r="Y32">
            <v>0</v>
          </cell>
          <cell r="Z32">
            <v>0</v>
          </cell>
        </row>
        <row r="33">
          <cell r="A33" t="str">
            <v>SLAMET HOIRI</v>
          </cell>
          <cell r="T33">
            <v>0</v>
          </cell>
          <cell r="U33">
            <v>0</v>
          </cell>
          <cell r="Y33" t="str">
            <v/>
          </cell>
          <cell r="Z33" t="str">
            <v/>
          </cell>
        </row>
        <row r="34">
          <cell r="A34" t="str">
            <v>URAY ILHAM</v>
          </cell>
          <cell r="T34">
            <v>1267200</v>
          </cell>
          <cell r="U34">
            <v>5</v>
          </cell>
          <cell r="Y34">
            <v>0</v>
          </cell>
          <cell r="Z34">
            <v>0</v>
          </cell>
        </row>
        <row r="35">
          <cell r="A35" t="str">
            <v>SLAMET HOIRI</v>
          </cell>
          <cell r="T35">
            <v>1619100</v>
          </cell>
          <cell r="U35">
            <v>15</v>
          </cell>
          <cell r="Y35" t="str">
            <v/>
          </cell>
          <cell r="Z35" t="str">
            <v/>
          </cell>
        </row>
        <row r="36">
          <cell r="A36" t="str">
            <v>DARIANUS</v>
          </cell>
          <cell r="T36">
            <v>12915000</v>
          </cell>
          <cell r="U36">
            <v>28</v>
          </cell>
          <cell r="Y36">
            <v>400000</v>
          </cell>
          <cell r="Z36">
            <v>0</v>
          </cell>
        </row>
        <row r="37">
          <cell r="A37" t="str">
            <v>DARIANUS</v>
          </cell>
          <cell r="T37">
            <v>546000</v>
          </cell>
          <cell r="U37">
            <v>5</v>
          </cell>
          <cell r="Y37" t="str">
            <v/>
          </cell>
          <cell r="Z37" t="str">
            <v/>
          </cell>
        </row>
        <row r="38">
          <cell r="A38" t="str">
            <v>APRIANUS</v>
          </cell>
          <cell r="T38">
            <v>12407400</v>
          </cell>
          <cell r="U38">
            <v>5</v>
          </cell>
          <cell r="Y38">
            <v>300000</v>
          </cell>
          <cell r="Z38">
            <v>0</v>
          </cell>
        </row>
        <row r="39">
          <cell r="A39" t="str">
            <v>DARIANUS</v>
          </cell>
          <cell r="T39">
            <v>1876000</v>
          </cell>
          <cell r="U39">
            <v>18</v>
          </cell>
          <cell r="Y39" t="str">
            <v/>
          </cell>
          <cell r="Z39" t="str">
            <v/>
          </cell>
        </row>
        <row r="40">
          <cell r="A40" t="str">
            <v>DARIANUS</v>
          </cell>
          <cell r="T40">
            <v>4777000</v>
          </cell>
          <cell r="U40">
            <v>37</v>
          </cell>
          <cell r="Y40">
            <v>0</v>
          </cell>
          <cell r="Z40">
            <v>0</v>
          </cell>
        </row>
        <row r="41">
          <cell r="A41" t="str">
            <v>URAY ILHAM</v>
          </cell>
          <cell r="T41">
            <v>3602200</v>
          </cell>
          <cell r="U41">
            <v>6</v>
          </cell>
          <cell r="Y41">
            <v>400000</v>
          </cell>
          <cell r="Z41">
            <v>1</v>
          </cell>
        </row>
        <row r="42">
          <cell r="A42" t="str">
            <v>SLAMET HOIRI</v>
          </cell>
          <cell r="T42">
            <v>10500000</v>
          </cell>
          <cell r="U42">
            <v>0</v>
          </cell>
          <cell r="Y42" t="str">
            <v/>
          </cell>
          <cell r="Z42" t="str">
            <v/>
          </cell>
        </row>
        <row r="43">
          <cell r="A43" t="str">
            <v>EFENDI</v>
          </cell>
          <cell r="T43">
            <v>626500</v>
          </cell>
          <cell r="U43">
            <v>0</v>
          </cell>
          <cell r="Y43">
            <v>510000</v>
          </cell>
          <cell r="Z43">
            <v>0</v>
          </cell>
        </row>
        <row r="44">
          <cell r="A44" t="str">
            <v>SLAMET HOIRI</v>
          </cell>
          <cell r="T44">
            <v>450000</v>
          </cell>
          <cell r="U44">
            <v>0</v>
          </cell>
          <cell r="Y44" t="str">
            <v/>
          </cell>
          <cell r="Z44" t="str">
            <v/>
          </cell>
        </row>
        <row r="45">
          <cell r="A45" t="str">
            <v>JULAIHA</v>
          </cell>
          <cell r="T45">
            <v>3488000</v>
          </cell>
          <cell r="U45">
            <v>10</v>
          </cell>
          <cell r="Y45">
            <v>19170000</v>
          </cell>
          <cell r="Z45">
            <v>0</v>
          </cell>
        </row>
        <row r="46">
          <cell r="A46" t="str">
            <v>JULAIHA</v>
          </cell>
          <cell r="T46">
            <v>1029600</v>
          </cell>
          <cell r="U46">
            <v>7</v>
          </cell>
          <cell r="Y46">
            <v>300000</v>
          </cell>
          <cell r="Z46">
            <v>1</v>
          </cell>
        </row>
        <row r="47">
          <cell r="A47" t="str">
            <v>SLAMET HOIRI</v>
          </cell>
          <cell r="T47">
            <v>1785600</v>
          </cell>
          <cell r="U47">
            <v>0</v>
          </cell>
          <cell r="Y47" t="str">
            <v/>
          </cell>
          <cell r="Z47" t="str">
            <v/>
          </cell>
        </row>
        <row r="48">
          <cell r="A48" t="str">
            <v>DARIANUS</v>
          </cell>
          <cell r="T48">
            <v>2384000</v>
          </cell>
          <cell r="U48">
            <v>5</v>
          </cell>
          <cell r="Y48">
            <v>0</v>
          </cell>
          <cell r="Z48">
            <v>0</v>
          </cell>
        </row>
        <row r="49">
          <cell r="A49" t="str">
            <v>EFENDI</v>
          </cell>
          <cell r="T49">
            <v>3153000</v>
          </cell>
          <cell r="U49">
            <v>20</v>
          </cell>
          <cell r="Y49">
            <v>0</v>
          </cell>
          <cell r="Z49">
            <v>0</v>
          </cell>
        </row>
        <row r="50">
          <cell r="A50" t="str">
            <v>EFENDI</v>
          </cell>
          <cell r="T50">
            <v>586000</v>
          </cell>
          <cell r="U50">
            <v>5</v>
          </cell>
          <cell r="Y50" t="str">
            <v/>
          </cell>
          <cell r="Z50" t="str">
            <v/>
          </cell>
        </row>
        <row r="51">
          <cell r="A51" t="str">
            <v>JULAIHA</v>
          </cell>
          <cell r="T51">
            <v>3146000</v>
          </cell>
          <cell r="U51">
            <v>10</v>
          </cell>
          <cell r="Y51" t="str">
            <v/>
          </cell>
          <cell r="Z51" t="str">
            <v/>
          </cell>
        </row>
        <row r="52">
          <cell r="A52" t="str">
            <v>URAY ILHAM</v>
          </cell>
          <cell r="T52">
            <v>2596400</v>
          </cell>
          <cell r="U52">
            <v>5</v>
          </cell>
          <cell r="Y52">
            <v>500000</v>
          </cell>
          <cell r="Z52">
            <v>0</v>
          </cell>
        </row>
        <row r="53">
          <cell r="A53" t="str">
            <v>URAY ILHAM</v>
          </cell>
          <cell r="T53">
            <v>977400</v>
          </cell>
          <cell r="U53">
            <v>5</v>
          </cell>
          <cell r="Y53">
            <v>0</v>
          </cell>
          <cell r="Z53">
            <v>0</v>
          </cell>
        </row>
        <row r="54">
          <cell r="A54" t="str">
            <v>JULAIHA</v>
          </cell>
          <cell r="T54">
            <v>1590500</v>
          </cell>
          <cell r="U54">
            <v>7</v>
          </cell>
          <cell r="Y54">
            <v>200000</v>
          </cell>
          <cell r="Z54">
            <v>0</v>
          </cell>
        </row>
        <row r="55">
          <cell r="A55" t="str">
            <v>SLAMET HOIRI</v>
          </cell>
          <cell r="T55">
            <v>168000</v>
          </cell>
          <cell r="U55">
            <v>0</v>
          </cell>
          <cell r="Y55" t="str">
            <v/>
          </cell>
          <cell r="Z55" t="str">
            <v/>
          </cell>
        </row>
        <row r="56">
          <cell r="A56" t="str">
            <v>DARIANUS</v>
          </cell>
          <cell r="T56">
            <v>1742000</v>
          </cell>
          <cell r="U56">
            <v>5</v>
          </cell>
          <cell r="Y56" t="str">
            <v/>
          </cell>
          <cell r="Z56" t="str">
            <v/>
          </cell>
        </row>
        <row r="57">
          <cell r="A57" t="str">
            <v>EFENDI</v>
          </cell>
          <cell r="T57">
            <v>1655200</v>
          </cell>
          <cell r="U57">
            <v>20</v>
          </cell>
          <cell r="Y57">
            <v>0</v>
          </cell>
          <cell r="Z57">
            <v>0</v>
          </cell>
        </row>
        <row r="58">
          <cell r="A58" t="str">
            <v>EFENDI</v>
          </cell>
          <cell r="T58">
            <v>1064000</v>
          </cell>
          <cell r="U58">
            <v>20</v>
          </cell>
          <cell r="Y58">
            <v>0</v>
          </cell>
          <cell r="Z58">
            <v>0</v>
          </cell>
        </row>
        <row r="59">
          <cell r="A59" t="str">
            <v>DARIANUS</v>
          </cell>
          <cell r="T59">
            <v>3961000</v>
          </cell>
          <cell r="U59">
            <v>12</v>
          </cell>
          <cell r="Y59" t="str">
            <v/>
          </cell>
          <cell r="Z59" t="str">
            <v/>
          </cell>
        </row>
        <row r="60">
          <cell r="A60" t="str">
            <v>URAY ILHAM</v>
          </cell>
          <cell r="T60" t="str">
            <v/>
          </cell>
          <cell r="U60" t="str">
            <v/>
          </cell>
          <cell r="Y60">
            <v>0</v>
          </cell>
          <cell r="Z60">
            <v>0</v>
          </cell>
        </row>
        <row r="61">
          <cell r="A61" t="str">
            <v>SLAMET HOIRI</v>
          </cell>
          <cell r="T61">
            <v>3696300</v>
          </cell>
          <cell r="U61">
            <v>11</v>
          </cell>
          <cell r="Y61" t="str">
            <v/>
          </cell>
          <cell r="Z61" t="str">
            <v/>
          </cell>
        </row>
        <row r="62">
          <cell r="A62" t="str">
            <v>EFENDI</v>
          </cell>
          <cell r="T62">
            <v>9823000</v>
          </cell>
          <cell r="U62">
            <v>5</v>
          </cell>
          <cell r="Y62" t="str">
            <v/>
          </cell>
          <cell r="Z62" t="str">
            <v/>
          </cell>
        </row>
        <row r="63">
          <cell r="A63" t="str">
            <v>SLAMET HOIRI</v>
          </cell>
          <cell r="T63">
            <v>1243300</v>
          </cell>
          <cell r="U63">
            <v>3</v>
          </cell>
          <cell r="Y63" t="str">
            <v/>
          </cell>
          <cell r="Z63" t="str">
            <v/>
          </cell>
        </row>
        <row r="64">
          <cell r="A64" t="str">
            <v>EFENDI</v>
          </cell>
          <cell r="T64">
            <v>949000</v>
          </cell>
          <cell r="U64">
            <v>0</v>
          </cell>
          <cell r="Y64">
            <v>0</v>
          </cell>
          <cell r="Z64">
            <v>1</v>
          </cell>
        </row>
        <row r="65">
          <cell r="A65" t="str">
            <v>APRIANUS</v>
          </cell>
          <cell r="T65" t="str">
            <v/>
          </cell>
          <cell r="U65" t="str">
            <v/>
          </cell>
          <cell r="Y65">
            <v>0</v>
          </cell>
          <cell r="Z65">
            <v>0</v>
          </cell>
        </row>
        <row r="66">
          <cell r="A66" t="str">
            <v>DARIANUS</v>
          </cell>
          <cell r="T66">
            <v>3086000</v>
          </cell>
          <cell r="U66">
            <v>5</v>
          </cell>
          <cell r="Y66">
            <v>0</v>
          </cell>
          <cell r="Z66">
            <v>0</v>
          </cell>
        </row>
        <row r="67">
          <cell r="A67" t="str">
            <v>DARIANUS</v>
          </cell>
          <cell r="T67">
            <v>26534000</v>
          </cell>
          <cell r="U67">
            <v>5</v>
          </cell>
          <cell r="Y67">
            <v>0</v>
          </cell>
          <cell r="Z67">
            <v>0</v>
          </cell>
        </row>
        <row r="68">
          <cell r="A68" t="str">
            <v>DARIANUS</v>
          </cell>
          <cell r="T68">
            <v>3828000</v>
          </cell>
          <cell r="U68">
            <v>5</v>
          </cell>
          <cell r="Y68">
            <v>0</v>
          </cell>
          <cell r="Z68">
            <v>0</v>
          </cell>
        </row>
        <row r="69">
          <cell r="A69" t="str">
            <v>EFENDI</v>
          </cell>
          <cell r="T69">
            <v>3077000</v>
          </cell>
          <cell r="U69">
            <v>10</v>
          </cell>
          <cell r="Y69">
            <v>500000</v>
          </cell>
          <cell r="Z69">
            <v>1</v>
          </cell>
        </row>
        <row r="70">
          <cell r="A70" t="str">
            <v>EFENDI</v>
          </cell>
          <cell r="T70">
            <v>7084000</v>
          </cell>
          <cell r="U70">
            <v>10</v>
          </cell>
          <cell r="Y70">
            <v>4120000</v>
          </cell>
          <cell r="Z70">
            <v>0</v>
          </cell>
        </row>
        <row r="71">
          <cell r="A71" t="str">
            <v>APRIANUS</v>
          </cell>
          <cell r="T71">
            <v>4488800</v>
          </cell>
          <cell r="U71">
            <v>15</v>
          </cell>
          <cell r="Y71">
            <v>1800000</v>
          </cell>
          <cell r="Z71">
            <v>0</v>
          </cell>
        </row>
        <row r="72">
          <cell r="A72" t="str">
            <v>JULAIHA</v>
          </cell>
          <cell r="T72">
            <v>1664300</v>
          </cell>
          <cell r="U72">
            <v>7</v>
          </cell>
          <cell r="Y72">
            <v>300000</v>
          </cell>
          <cell r="Z72">
            <v>0</v>
          </cell>
        </row>
        <row r="73">
          <cell r="A73" t="str">
            <v>URAY ILHAM</v>
          </cell>
          <cell r="T73">
            <v>3009600</v>
          </cell>
          <cell r="U73">
            <v>15</v>
          </cell>
          <cell r="Y73">
            <v>2000000</v>
          </cell>
          <cell r="Z73">
            <v>0</v>
          </cell>
        </row>
        <row r="74">
          <cell r="A74" t="str">
            <v>URAY ILHAM</v>
          </cell>
          <cell r="T74">
            <v>1858600</v>
          </cell>
          <cell r="U74">
            <v>5</v>
          </cell>
          <cell r="Y74">
            <v>0</v>
          </cell>
          <cell r="Z74">
            <v>0</v>
          </cell>
        </row>
        <row r="75">
          <cell r="A75" t="str">
            <v>DARIANUS</v>
          </cell>
          <cell r="T75">
            <v>867400</v>
          </cell>
          <cell r="U75">
            <v>5</v>
          </cell>
          <cell r="Y75" t="str">
            <v/>
          </cell>
          <cell r="Z75" t="str">
            <v/>
          </cell>
        </row>
        <row r="76">
          <cell r="A76" t="str">
            <v>SLAMET HOIRI</v>
          </cell>
          <cell r="T76">
            <v>366000</v>
          </cell>
          <cell r="U76">
            <v>5</v>
          </cell>
          <cell r="Y76" t="str">
            <v/>
          </cell>
          <cell r="Z76" t="str">
            <v/>
          </cell>
        </row>
        <row r="77">
          <cell r="A77" t="str">
            <v>SLAMET HOIRI</v>
          </cell>
          <cell r="T77" t="str">
            <v/>
          </cell>
          <cell r="U77" t="str">
            <v/>
          </cell>
          <cell r="Y77">
            <v>5000000</v>
          </cell>
          <cell r="Z77">
            <v>0</v>
          </cell>
        </row>
        <row r="78">
          <cell r="A78" t="str">
            <v>SLAMET HOIRI</v>
          </cell>
          <cell r="T78">
            <v>1053600</v>
          </cell>
          <cell r="U78">
            <v>20</v>
          </cell>
          <cell r="Y78" t="str">
            <v/>
          </cell>
          <cell r="Z78" t="str">
            <v/>
          </cell>
        </row>
        <row r="79">
          <cell r="A79" t="str">
            <v>SLAMET HOIRI</v>
          </cell>
          <cell r="T79">
            <v>756800</v>
          </cell>
          <cell r="U79">
            <v>0</v>
          </cell>
          <cell r="Y79" t="str">
            <v/>
          </cell>
          <cell r="Z79" t="str">
            <v/>
          </cell>
        </row>
        <row r="80">
          <cell r="A80" t="str">
            <v>APRIANUS</v>
          </cell>
          <cell r="T80">
            <v>654000</v>
          </cell>
          <cell r="U80">
            <v>5</v>
          </cell>
          <cell r="Y80" t="str">
            <v/>
          </cell>
          <cell r="Z80" t="str">
            <v/>
          </cell>
        </row>
        <row r="81">
          <cell r="A81" t="str">
            <v>DARIANUS</v>
          </cell>
          <cell r="T81">
            <v>960000</v>
          </cell>
          <cell r="U81">
            <v>12</v>
          </cell>
          <cell r="Y81" t="str">
            <v/>
          </cell>
          <cell r="Z81" t="str">
            <v/>
          </cell>
        </row>
        <row r="82">
          <cell r="A82" t="str">
            <v>DARIANUS</v>
          </cell>
          <cell r="T82">
            <v>2774000</v>
          </cell>
          <cell r="U82">
            <v>8</v>
          </cell>
          <cell r="Y82" t="str">
            <v/>
          </cell>
          <cell r="Z82" t="str">
            <v/>
          </cell>
        </row>
        <row r="83">
          <cell r="A83" t="str">
            <v>DARIANUS</v>
          </cell>
          <cell r="T83">
            <v>2358000</v>
          </cell>
          <cell r="U83">
            <v>13</v>
          </cell>
          <cell r="Y83">
            <v>300000</v>
          </cell>
          <cell r="Z83">
            <v>0</v>
          </cell>
        </row>
        <row r="84">
          <cell r="A84" t="str">
            <v>DARIANUS</v>
          </cell>
          <cell r="T84">
            <v>852000</v>
          </cell>
          <cell r="U84">
            <v>5</v>
          </cell>
          <cell r="Y84" t="str">
            <v/>
          </cell>
          <cell r="Z84" t="str">
            <v/>
          </cell>
        </row>
        <row r="85">
          <cell r="A85" t="str">
            <v>APRIANUS</v>
          </cell>
          <cell r="T85">
            <v>190000</v>
          </cell>
          <cell r="U85">
            <v>0</v>
          </cell>
          <cell r="Y85" t="str">
            <v/>
          </cell>
          <cell r="Z85" t="str">
            <v/>
          </cell>
        </row>
        <row r="86">
          <cell r="A86" t="str">
            <v>JULAIHA</v>
          </cell>
          <cell r="T86">
            <v>318000</v>
          </cell>
          <cell r="U86">
            <v>0</v>
          </cell>
          <cell r="Y86" t="str">
            <v/>
          </cell>
          <cell r="Z86" t="str">
            <v/>
          </cell>
        </row>
        <row r="87">
          <cell r="A87" t="str">
            <v>EFENDI</v>
          </cell>
          <cell r="T87" t="str">
            <v/>
          </cell>
          <cell r="U87" t="str">
            <v/>
          </cell>
          <cell r="Y87">
            <v>500000</v>
          </cell>
          <cell r="Z87">
            <v>1</v>
          </cell>
        </row>
        <row r="88">
          <cell r="A88" t="str">
            <v>JULAIHA</v>
          </cell>
          <cell r="T88">
            <v>1955000</v>
          </cell>
          <cell r="U88">
            <v>10</v>
          </cell>
          <cell r="Y88">
            <v>0</v>
          </cell>
          <cell r="Z88">
            <v>0</v>
          </cell>
        </row>
        <row r="89">
          <cell r="A89" t="str">
            <v>URAY ILHAM</v>
          </cell>
          <cell r="T89">
            <v>3508400</v>
          </cell>
          <cell r="U89">
            <v>5</v>
          </cell>
          <cell r="Y89">
            <v>0</v>
          </cell>
          <cell r="Z89">
            <v>0</v>
          </cell>
        </row>
        <row r="90">
          <cell r="A90" t="str">
            <v>SLAMET HOIRI</v>
          </cell>
          <cell r="T90">
            <v>403000</v>
          </cell>
          <cell r="U90">
            <v>5</v>
          </cell>
          <cell r="Y90" t="str">
            <v/>
          </cell>
          <cell r="Z90" t="str">
            <v/>
          </cell>
        </row>
        <row r="91">
          <cell r="A91" t="str">
            <v>SLAMET HOIRI</v>
          </cell>
          <cell r="T91">
            <v>660500</v>
          </cell>
          <cell r="U91">
            <v>5</v>
          </cell>
          <cell r="Y91" t="str">
            <v/>
          </cell>
          <cell r="Z91" t="str">
            <v/>
          </cell>
        </row>
        <row r="92">
          <cell r="A92" t="str">
            <v>DARIANUS</v>
          </cell>
          <cell r="T92">
            <v>10665000</v>
          </cell>
          <cell r="U92">
            <v>28</v>
          </cell>
          <cell r="Y92" t="str">
            <v/>
          </cell>
          <cell r="Z92" t="str">
            <v/>
          </cell>
        </row>
        <row r="93">
          <cell r="A93" t="str">
            <v>DARIANUS</v>
          </cell>
          <cell r="T93">
            <v>869500</v>
          </cell>
          <cell r="U93">
            <v>13</v>
          </cell>
          <cell r="Y93" t="str">
            <v/>
          </cell>
          <cell r="Z93" t="str">
            <v/>
          </cell>
        </row>
        <row r="94">
          <cell r="A94" t="str">
            <v>JULAIHA</v>
          </cell>
          <cell r="T94">
            <v>0</v>
          </cell>
          <cell r="U94">
            <v>0</v>
          </cell>
          <cell r="Y94" t="str">
            <v/>
          </cell>
          <cell r="Z94" t="str">
            <v/>
          </cell>
        </row>
        <row r="95">
          <cell r="A95" t="str">
            <v>JULAIHA</v>
          </cell>
          <cell r="T95">
            <v>0</v>
          </cell>
          <cell r="U95">
            <v>0</v>
          </cell>
          <cell r="Y95">
            <v>0</v>
          </cell>
          <cell r="Z95">
            <v>0</v>
          </cell>
        </row>
        <row r="96">
          <cell r="A96" t="str">
            <v>APRIANUS</v>
          </cell>
          <cell r="T96" t="str">
            <v/>
          </cell>
          <cell r="U96" t="str">
            <v/>
          </cell>
          <cell r="Y96" t="str">
            <v/>
          </cell>
          <cell r="Z96" t="str">
            <v/>
          </cell>
        </row>
        <row r="97">
          <cell r="A97" t="str">
            <v>APRIANUS</v>
          </cell>
          <cell r="T97">
            <v>350000</v>
          </cell>
          <cell r="U97">
            <v>0</v>
          </cell>
          <cell r="Y97" t="str">
            <v/>
          </cell>
          <cell r="Z97" t="str">
            <v/>
          </cell>
        </row>
        <row r="98">
          <cell r="A98" t="str">
            <v>APRIANUS</v>
          </cell>
          <cell r="T98">
            <v>1131000</v>
          </cell>
          <cell r="U98">
            <v>15</v>
          </cell>
          <cell r="Y98" t="str">
            <v/>
          </cell>
          <cell r="Z98" t="str">
            <v/>
          </cell>
        </row>
        <row r="99">
          <cell r="A99" t="str">
            <v>APRIANUS</v>
          </cell>
          <cell r="T99">
            <v>430800</v>
          </cell>
          <cell r="U99">
            <v>5</v>
          </cell>
          <cell r="Y99" t="str">
            <v/>
          </cell>
          <cell r="Z99" t="str">
            <v/>
          </cell>
        </row>
        <row r="100">
          <cell r="A100" t="str">
            <v>EFENDI</v>
          </cell>
          <cell r="T100">
            <v>602500</v>
          </cell>
          <cell r="U100">
            <v>10</v>
          </cell>
          <cell r="Y100" t="str">
            <v/>
          </cell>
          <cell r="Z100" t="str">
            <v/>
          </cell>
        </row>
        <row r="101">
          <cell r="A101" t="str">
            <v>EFENDI</v>
          </cell>
          <cell r="T101">
            <v>1912700</v>
          </cell>
          <cell r="U101">
            <v>15</v>
          </cell>
          <cell r="Y101" t="str">
            <v/>
          </cell>
          <cell r="Z101" t="str">
            <v/>
          </cell>
        </row>
        <row r="102">
          <cell r="A102" t="str">
            <v>EFENDI</v>
          </cell>
          <cell r="T102">
            <v>1706200</v>
          </cell>
          <cell r="U102">
            <v>25</v>
          </cell>
          <cell r="Y102" t="str">
            <v/>
          </cell>
          <cell r="Z102" t="str">
            <v/>
          </cell>
        </row>
        <row r="103">
          <cell r="A103" t="str">
            <v>EFENDI</v>
          </cell>
          <cell r="T103">
            <v>1763000</v>
          </cell>
          <cell r="U103">
            <v>5</v>
          </cell>
          <cell r="Y103" t="str">
            <v/>
          </cell>
          <cell r="Z103" t="str">
            <v/>
          </cell>
        </row>
        <row r="104">
          <cell r="A104" t="str">
            <v>EFENDI</v>
          </cell>
          <cell r="T104">
            <v>463000</v>
          </cell>
          <cell r="U104">
            <v>5</v>
          </cell>
          <cell r="Y104" t="str">
            <v/>
          </cell>
          <cell r="Z104" t="str">
            <v/>
          </cell>
        </row>
        <row r="105">
          <cell r="A105" t="str">
            <v>EFENDI</v>
          </cell>
          <cell r="T105" t="str">
            <v/>
          </cell>
          <cell r="U105" t="str">
            <v/>
          </cell>
          <cell r="Y105" t="str">
            <v/>
          </cell>
          <cell r="Z105" t="str">
            <v/>
          </cell>
        </row>
        <row r="106">
          <cell r="A106" t="str">
            <v>EFENDI</v>
          </cell>
          <cell r="T106">
            <v>1511000</v>
          </cell>
          <cell r="U106">
            <v>20</v>
          </cell>
          <cell r="Y106" t="str">
            <v/>
          </cell>
          <cell r="Z106" t="str">
            <v/>
          </cell>
        </row>
        <row r="107">
          <cell r="A107" t="str">
            <v>EFENDI</v>
          </cell>
          <cell r="T107" t="str">
            <v/>
          </cell>
          <cell r="U107" t="str">
            <v/>
          </cell>
          <cell r="Y107">
            <v>0</v>
          </cell>
          <cell r="Z107">
            <v>0</v>
          </cell>
        </row>
        <row r="108">
          <cell r="A108" t="str">
            <v>EFENDI</v>
          </cell>
          <cell r="T108" t="str">
            <v/>
          </cell>
          <cell r="U108" t="str">
            <v/>
          </cell>
          <cell r="Y108" t="str">
            <v/>
          </cell>
          <cell r="Z108" t="str">
            <v/>
          </cell>
        </row>
        <row r="109">
          <cell r="A109" t="str">
            <v>EFENDI</v>
          </cell>
          <cell r="T109">
            <v>2545000</v>
          </cell>
          <cell r="U109">
            <v>10</v>
          </cell>
          <cell r="Y109" t="str">
            <v/>
          </cell>
          <cell r="Z109" t="str">
            <v/>
          </cell>
        </row>
        <row r="110">
          <cell r="A110" t="str">
            <v>EFENDI</v>
          </cell>
          <cell r="T110">
            <v>813000</v>
          </cell>
          <cell r="U110">
            <v>10</v>
          </cell>
          <cell r="Y110" t="str">
            <v/>
          </cell>
          <cell r="Z110" t="str">
            <v/>
          </cell>
        </row>
        <row r="111">
          <cell r="A111" t="str">
            <v>DARIANUS</v>
          </cell>
          <cell r="T111">
            <v>2946000</v>
          </cell>
          <cell r="U111">
            <v>12</v>
          </cell>
          <cell r="Y111" t="str">
            <v/>
          </cell>
          <cell r="Z111" t="str">
            <v/>
          </cell>
        </row>
        <row r="112">
          <cell r="A112" t="str">
            <v>DARIANUS</v>
          </cell>
          <cell r="T112">
            <v>1021000</v>
          </cell>
          <cell r="U112">
            <v>12</v>
          </cell>
          <cell r="Y112" t="str">
            <v/>
          </cell>
          <cell r="Z112" t="str">
            <v/>
          </cell>
        </row>
        <row r="113">
          <cell r="A113" t="str">
            <v>DARIANUS</v>
          </cell>
          <cell r="T113">
            <v>865000</v>
          </cell>
          <cell r="U113">
            <v>10</v>
          </cell>
          <cell r="Y113">
            <v>0</v>
          </cell>
          <cell r="Z113">
            <v>0</v>
          </cell>
        </row>
        <row r="114">
          <cell r="A114" t="str">
            <v>URAY ILHAM</v>
          </cell>
          <cell r="T114">
            <v>2290000</v>
          </cell>
          <cell r="U114">
            <v>5</v>
          </cell>
          <cell r="Y114" t="str">
            <v/>
          </cell>
          <cell r="Z114" t="str">
            <v/>
          </cell>
        </row>
        <row r="115">
          <cell r="A115" t="str">
            <v>URAY ILHAM</v>
          </cell>
          <cell r="T115">
            <v>1337200</v>
          </cell>
          <cell r="U115">
            <v>5</v>
          </cell>
          <cell r="Y115" t="str">
            <v/>
          </cell>
          <cell r="Z115" t="str">
            <v/>
          </cell>
        </row>
        <row r="116">
          <cell r="A116" t="str">
            <v>URAY ILHAM</v>
          </cell>
          <cell r="T116" t="str">
            <v/>
          </cell>
          <cell r="U116" t="str">
            <v/>
          </cell>
          <cell r="Y116">
            <v>0</v>
          </cell>
          <cell r="Z116">
            <v>0</v>
          </cell>
        </row>
        <row r="117">
          <cell r="A117" t="str">
            <v>URAY ILHAM</v>
          </cell>
          <cell r="T117">
            <v>1195600</v>
          </cell>
          <cell r="U117">
            <v>6</v>
          </cell>
          <cell r="Y117" t="str">
            <v/>
          </cell>
          <cell r="Z117" t="str">
            <v/>
          </cell>
        </row>
        <row r="118">
          <cell r="A118" t="str">
            <v>URAY ILHAM</v>
          </cell>
          <cell r="T118">
            <v>1690200</v>
          </cell>
          <cell r="U118">
            <v>7</v>
          </cell>
          <cell r="Y118" t="str">
            <v/>
          </cell>
          <cell r="Z118" t="str">
            <v/>
          </cell>
        </row>
        <row r="119">
          <cell r="A119" t="str">
            <v>APRIANUS</v>
          </cell>
          <cell r="T119">
            <v>84000</v>
          </cell>
          <cell r="U119">
            <v>0</v>
          </cell>
          <cell r="Y119" t="str">
            <v/>
          </cell>
          <cell r="Z119" t="str">
            <v/>
          </cell>
        </row>
        <row r="120">
          <cell r="A120" t="str">
            <v>APRIANUS</v>
          </cell>
          <cell r="T120">
            <v>918400</v>
          </cell>
          <cell r="U120">
            <v>5</v>
          </cell>
          <cell r="Y120" t="str">
            <v/>
          </cell>
          <cell r="Z120" t="str">
            <v/>
          </cell>
        </row>
        <row r="121">
          <cell r="A121" t="str">
            <v>APRIANUS</v>
          </cell>
          <cell r="T121">
            <v>0</v>
          </cell>
          <cell r="U121">
            <v>0</v>
          </cell>
          <cell r="Y121" t="str">
            <v/>
          </cell>
          <cell r="Z121" t="str">
            <v/>
          </cell>
        </row>
        <row r="122">
          <cell r="A122" t="str">
            <v>APRIANUS</v>
          </cell>
          <cell r="T122">
            <v>0</v>
          </cell>
          <cell r="U122">
            <v>0</v>
          </cell>
          <cell r="Y122" t="str">
            <v/>
          </cell>
          <cell r="Z122" t="str">
            <v/>
          </cell>
        </row>
        <row r="123">
          <cell r="A123" t="str">
            <v>APRIANUS</v>
          </cell>
          <cell r="T123">
            <v>0</v>
          </cell>
          <cell r="U123">
            <v>10</v>
          </cell>
          <cell r="Y123" t="str">
            <v/>
          </cell>
          <cell r="Z123" t="str">
            <v/>
          </cell>
        </row>
        <row r="124">
          <cell r="A124" t="str">
            <v>APRIANUS</v>
          </cell>
          <cell r="T124">
            <v>0</v>
          </cell>
          <cell r="U124">
            <v>0</v>
          </cell>
          <cell r="Y124" t="str">
            <v/>
          </cell>
          <cell r="Z124" t="str">
            <v/>
          </cell>
        </row>
        <row r="125">
          <cell r="A125" t="str">
            <v>DARIANUS</v>
          </cell>
          <cell r="T125">
            <v>2022000</v>
          </cell>
          <cell r="U125">
            <v>5</v>
          </cell>
          <cell r="Y125" t="str">
            <v/>
          </cell>
          <cell r="Z125" t="str">
            <v/>
          </cell>
        </row>
        <row r="126">
          <cell r="A126" t="str">
            <v>DARIANUS</v>
          </cell>
          <cell r="T126" t="str">
            <v/>
          </cell>
          <cell r="U126" t="str">
            <v/>
          </cell>
          <cell r="Y126" t="str">
            <v/>
          </cell>
          <cell r="Z126" t="str">
            <v/>
          </cell>
        </row>
        <row r="127">
          <cell r="A127" t="str">
            <v>DARIANUS</v>
          </cell>
          <cell r="T127">
            <v>1612000</v>
          </cell>
          <cell r="U127">
            <v>5</v>
          </cell>
          <cell r="Y127" t="str">
            <v/>
          </cell>
          <cell r="Z127" t="str">
            <v/>
          </cell>
        </row>
        <row r="128">
          <cell r="A128" t="str">
            <v>DARIANUS</v>
          </cell>
          <cell r="T128">
            <v>2582000</v>
          </cell>
          <cell r="U128">
            <v>5</v>
          </cell>
          <cell r="Y128" t="str">
            <v/>
          </cell>
          <cell r="Z128" t="str">
            <v/>
          </cell>
        </row>
        <row r="129">
          <cell r="A129" t="str">
            <v>DARIANUS</v>
          </cell>
          <cell r="T129">
            <v>852000</v>
          </cell>
          <cell r="U129">
            <v>5</v>
          </cell>
          <cell r="Y129" t="str">
            <v/>
          </cell>
          <cell r="Z129" t="str">
            <v/>
          </cell>
        </row>
        <row r="130">
          <cell r="A130" t="str">
            <v>EFENDI</v>
          </cell>
          <cell r="T130">
            <v>18786000</v>
          </cell>
          <cell r="U130">
            <v>5</v>
          </cell>
          <cell r="Y130">
            <v>7000000</v>
          </cell>
          <cell r="Z130">
            <v>0</v>
          </cell>
        </row>
        <row r="131">
          <cell r="A131" t="str">
            <v>EFENDI</v>
          </cell>
          <cell r="T131">
            <v>3972000</v>
          </cell>
          <cell r="U131">
            <v>5</v>
          </cell>
          <cell r="Y131">
            <v>3000000</v>
          </cell>
          <cell r="Z131">
            <v>0</v>
          </cell>
        </row>
        <row r="132">
          <cell r="A132" t="str">
            <v>EFENDI</v>
          </cell>
          <cell r="T132">
            <v>450000</v>
          </cell>
          <cell r="U132">
            <v>5</v>
          </cell>
          <cell r="Y132">
            <v>100000</v>
          </cell>
          <cell r="Z132">
            <v>0</v>
          </cell>
        </row>
        <row r="133">
          <cell r="A133" t="str">
            <v>EFENDI</v>
          </cell>
          <cell r="T133" t="str">
            <v/>
          </cell>
          <cell r="U133" t="str">
            <v/>
          </cell>
          <cell r="Y133" t="str">
            <v/>
          </cell>
          <cell r="Z133" t="str">
            <v/>
          </cell>
        </row>
        <row r="134">
          <cell r="A134" t="str">
            <v>APRIANUS</v>
          </cell>
          <cell r="T134">
            <v>0</v>
          </cell>
          <cell r="U134">
            <v>0</v>
          </cell>
          <cell r="Y134" t="str">
            <v/>
          </cell>
          <cell r="Z134" t="str">
            <v/>
          </cell>
        </row>
        <row r="135">
          <cell r="A135" t="str">
            <v>APRIANUS</v>
          </cell>
          <cell r="T135">
            <v>1000000</v>
          </cell>
          <cell r="U135">
            <v>0</v>
          </cell>
          <cell r="Y135" t="str">
            <v/>
          </cell>
          <cell r="Z135" t="str">
            <v/>
          </cell>
        </row>
        <row r="136">
          <cell r="A136" t="str">
            <v>APRIANUS</v>
          </cell>
          <cell r="T136">
            <v>1387400</v>
          </cell>
          <cell r="U136">
            <v>15</v>
          </cell>
          <cell r="Y136" t="str">
            <v/>
          </cell>
          <cell r="Z136" t="str">
            <v/>
          </cell>
        </row>
        <row r="137">
          <cell r="A137" t="str">
            <v>APRIANUS</v>
          </cell>
          <cell r="T137">
            <v>1041000</v>
          </cell>
          <cell r="U137">
            <v>15</v>
          </cell>
          <cell r="Y137" t="str">
            <v/>
          </cell>
          <cell r="Z137" t="str">
            <v/>
          </cell>
        </row>
        <row r="138">
          <cell r="A138" t="str">
            <v>APRIANUS</v>
          </cell>
          <cell r="T138" t="str">
            <v/>
          </cell>
          <cell r="U138" t="str">
            <v/>
          </cell>
          <cell r="Y138">
            <v>0</v>
          </cell>
          <cell r="Z138">
            <v>0</v>
          </cell>
        </row>
        <row r="139">
          <cell r="A139" t="str">
            <v>JULAIHA</v>
          </cell>
          <cell r="T139">
            <v>1828400</v>
          </cell>
          <cell r="U139">
            <v>5</v>
          </cell>
          <cell r="Y139" t="str">
            <v/>
          </cell>
          <cell r="Z139" t="str">
            <v/>
          </cell>
        </row>
        <row r="140">
          <cell r="A140" t="str">
            <v>JULAIHA</v>
          </cell>
          <cell r="T140" t="str">
            <v/>
          </cell>
          <cell r="U140" t="str">
            <v/>
          </cell>
          <cell r="Y140" t="str">
            <v/>
          </cell>
          <cell r="Z140" t="str">
            <v/>
          </cell>
        </row>
        <row r="141">
          <cell r="A141" t="str">
            <v>JULAIHA</v>
          </cell>
          <cell r="T141">
            <v>981400</v>
          </cell>
          <cell r="U141">
            <v>10</v>
          </cell>
          <cell r="Y141" t="str">
            <v/>
          </cell>
          <cell r="Z141" t="str">
            <v/>
          </cell>
        </row>
        <row r="142">
          <cell r="A142" t="str">
            <v>JULAIHA</v>
          </cell>
          <cell r="T142">
            <v>804500</v>
          </cell>
          <cell r="U142">
            <v>6</v>
          </cell>
          <cell r="Y142" t="str">
            <v/>
          </cell>
          <cell r="Z142" t="str">
            <v/>
          </cell>
        </row>
        <row r="143">
          <cell r="A143" t="str">
            <v>JULAIHA</v>
          </cell>
          <cell r="T143" t="str">
            <v/>
          </cell>
          <cell r="U143" t="str">
            <v/>
          </cell>
          <cell r="Y143">
            <v>0</v>
          </cell>
          <cell r="Z143">
            <v>0</v>
          </cell>
        </row>
        <row r="144">
          <cell r="A144" t="str">
            <v>JULAIHA</v>
          </cell>
          <cell r="T144" t="str">
            <v/>
          </cell>
          <cell r="U144" t="str">
            <v/>
          </cell>
          <cell r="Y144" t="str">
            <v/>
          </cell>
          <cell r="Z144" t="str">
            <v/>
          </cell>
        </row>
        <row r="145">
          <cell r="A145" t="str">
            <v>JULAIHA</v>
          </cell>
          <cell r="T145" t="str">
            <v/>
          </cell>
          <cell r="U145" t="str">
            <v/>
          </cell>
          <cell r="Y145" t="str">
            <v/>
          </cell>
          <cell r="Z145" t="str">
            <v/>
          </cell>
        </row>
        <row r="146">
          <cell r="A146" t="str">
            <v>URAY ILHAM</v>
          </cell>
          <cell r="T146">
            <v>2589600</v>
          </cell>
          <cell r="U146">
            <v>15</v>
          </cell>
          <cell r="Y146">
            <v>7000000</v>
          </cell>
          <cell r="Z146">
            <v>0</v>
          </cell>
        </row>
        <row r="147">
          <cell r="A147" t="str">
            <v>URAY ILHAM</v>
          </cell>
          <cell r="T147">
            <v>697400</v>
          </cell>
          <cell r="U147">
            <v>5</v>
          </cell>
          <cell r="Y147">
            <v>0</v>
          </cell>
          <cell r="Z147">
            <v>0</v>
          </cell>
        </row>
        <row r="148">
          <cell r="A148" t="str">
            <v>URAY ILHAM</v>
          </cell>
          <cell r="T148">
            <v>1167600</v>
          </cell>
          <cell r="U148">
            <v>15</v>
          </cell>
          <cell r="Y148" t="str">
            <v/>
          </cell>
          <cell r="Z148" t="str">
            <v/>
          </cell>
        </row>
        <row r="149">
          <cell r="A149" t="str">
            <v>URAY ILHAM</v>
          </cell>
          <cell r="T149">
            <v>6366200</v>
          </cell>
          <cell r="U149">
            <v>5</v>
          </cell>
          <cell r="Y149" t="str">
            <v/>
          </cell>
          <cell r="Z149" t="str">
            <v/>
          </cell>
        </row>
        <row r="150">
          <cell r="A150" t="str">
            <v>JULAIHA</v>
          </cell>
          <cell r="T150">
            <v>5557300</v>
          </cell>
          <cell r="U150">
            <v>20</v>
          </cell>
          <cell r="Y150">
            <v>4000000</v>
          </cell>
          <cell r="Z150">
            <v>0</v>
          </cell>
        </row>
        <row r="151">
          <cell r="A151" t="str">
            <v>JULAIHA</v>
          </cell>
          <cell r="T151">
            <v>3310500</v>
          </cell>
          <cell r="U151">
            <v>20</v>
          </cell>
          <cell r="Y151" t="str">
            <v/>
          </cell>
          <cell r="Z151" t="str">
            <v/>
          </cell>
        </row>
        <row r="152">
          <cell r="A152" t="str">
            <v>JULAIHA</v>
          </cell>
          <cell r="T152" t="str">
            <v/>
          </cell>
          <cell r="U152" t="str">
            <v/>
          </cell>
          <cell r="Y152" t="str">
            <v/>
          </cell>
          <cell r="Z152" t="str">
            <v/>
          </cell>
        </row>
        <row r="153">
          <cell r="A153" t="str">
            <v>JULAIHA</v>
          </cell>
          <cell r="T153" t="str">
            <v/>
          </cell>
          <cell r="U153" t="str">
            <v/>
          </cell>
          <cell r="Y153" t="str">
            <v/>
          </cell>
          <cell r="Z153" t="str">
            <v/>
          </cell>
        </row>
        <row r="154">
          <cell r="A154" t="str">
            <v>JULAIHA</v>
          </cell>
          <cell r="T154">
            <v>6986300</v>
          </cell>
          <cell r="U154">
            <v>10</v>
          </cell>
          <cell r="Y154">
            <v>0</v>
          </cell>
          <cell r="Z154">
            <v>0</v>
          </cell>
        </row>
        <row r="155">
          <cell r="A155" t="str">
            <v>JULAIHA</v>
          </cell>
          <cell r="T155">
            <v>615500</v>
          </cell>
          <cell r="U155">
            <v>5</v>
          </cell>
          <cell r="Y155" t="str">
            <v/>
          </cell>
          <cell r="Z155" t="str">
            <v/>
          </cell>
        </row>
        <row r="156">
          <cell r="A156" t="str">
            <v>JULAIHA</v>
          </cell>
          <cell r="T156">
            <v>246500</v>
          </cell>
          <cell r="U156">
            <v>4</v>
          </cell>
          <cell r="Y156" t="str">
            <v/>
          </cell>
          <cell r="Z156" t="str">
            <v/>
          </cell>
        </row>
        <row r="157">
          <cell r="A157" t="str">
            <v>URAY ILHAM</v>
          </cell>
          <cell r="T157">
            <v>2000400</v>
          </cell>
          <cell r="U157">
            <v>5</v>
          </cell>
          <cell r="Y157" t="str">
            <v/>
          </cell>
          <cell r="Z157" t="str">
            <v/>
          </cell>
        </row>
        <row r="158">
          <cell r="A158" t="str">
            <v>URAY ILHAM</v>
          </cell>
          <cell r="T158">
            <v>5896000</v>
          </cell>
          <cell r="U158">
            <v>12</v>
          </cell>
          <cell r="Y158">
            <v>1000000</v>
          </cell>
          <cell r="Z158">
            <v>0</v>
          </cell>
        </row>
        <row r="159">
          <cell r="A159" t="str">
            <v>URAY ILHAM</v>
          </cell>
          <cell r="T159">
            <v>2125000</v>
          </cell>
          <cell r="U159">
            <v>5</v>
          </cell>
          <cell r="Y159">
            <v>0</v>
          </cell>
          <cell r="Z159">
            <v>0</v>
          </cell>
        </row>
        <row r="160">
          <cell r="A160" t="str">
            <v>URAY ILHAM</v>
          </cell>
          <cell r="T160">
            <v>5042200</v>
          </cell>
          <cell r="U160">
            <v>5</v>
          </cell>
          <cell r="Y160">
            <v>2250000</v>
          </cell>
          <cell r="Z160">
            <v>0</v>
          </cell>
        </row>
        <row r="161">
          <cell r="A161" t="str">
            <v>URAY ILHAM</v>
          </cell>
          <cell r="T161">
            <v>2105900</v>
          </cell>
          <cell r="U161">
            <v>5</v>
          </cell>
          <cell r="Y161">
            <v>0</v>
          </cell>
          <cell r="Z161">
            <v>0</v>
          </cell>
        </row>
        <row r="162">
          <cell r="A162" t="str">
            <v>URAY ILHAM</v>
          </cell>
          <cell r="T162">
            <v>1455200</v>
          </cell>
          <cell r="U162">
            <v>5</v>
          </cell>
          <cell r="Y162">
            <v>300000</v>
          </cell>
          <cell r="Z162">
            <v>0</v>
          </cell>
        </row>
        <row r="163">
          <cell r="A163" t="str">
            <v>URAY ILHAM</v>
          </cell>
          <cell r="T163">
            <v>2314800</v>
          </cell>
          <cell r="U163">
            <v>23</v>
          </cell>
          <cell r="Y163" t="str">
            <v/>
          </cell>
          <cell r="Z163" t="str">
            <v/>
          </cell>
        </row>
        <row r="164">
          <cell r="A164" t="str">
            <v>URAY ILHAM</v>
          </cell>
          <cell r="T164">
            <v>1099200</v>
          </cell>
          <cell r="U164">
            <v>5</v>
          </cell>
          <cell r="Y164" t="str">
            <v/>
          </cell>
          <cell r="Z164" t="str">
            <v/>
          </cell>
        </row>
        <row r="165">
          <cell r="A165" t="str">
            <v>URAY ILHAM</v>
          </cell>
          <cell r="T165">
            <v>1382400</v>
          </cell>
          <cell r="U165">
            <v>5</v>
          </cell>
          <cell r="Y165" t="str">
            <v/>
          </cell>
          <cell r="Z165" t="str">
            <v/>
          </cell>
        </row>
        <row r="166">
          <cell r="A166" t="str">
            <v>URAY ILHAM</v>
          </cell>
          <cell r="T166">
            <v>1827400</v>
          </cell>
          <cell r="U166">
            <v>5</v>
          </cell>
          <cell r="Y166" t="str">
            <v/>
          </cell>
          <cell r="Z166" t="str">
            <v/>
          </cell>
        </row>
        <row r="167">
          <cell r="A167" t="str">
            <v>URAY ILHAM</v>
          </cell>
          <cell r="T167" t="str">
            <v/>
          </cell>
          <cell r="U167" t="str">
            <v/>
          </cell>
          <cell r="Y167" t="str">
            <v/>
          </cell>
          <cell r="Z167" t="str">
            <v/>
          </cell>
        </row>
        <row r="168">
          <cell r="A168" t="str">
            <v>URAY ILHAM</v>
          </cell>
          <cell r="T168" t="str">
            <v/>
          </cell>
          <cell r="U168" t="str">
            <v/>
          </cell>
          <cell r="Y168">
            <v>0</v>
          </cell>
          <cell r="Z168">
            <v>0</v>
          </cell>
        </row>
        <row r="169">
          <cell r="A169" t="str">
            <v>URAY ILHAM</v>
          </cell>
          <cell r="T169" t="str">
            <v/>
          </cell>
          <cell r="U169" t="str">
            <v/>
          </cell>
          <cell r="Y169">
            <v>0</v>
          </cell>
          <cell r="Z169">
            <v>0</v>
          </cell>
        </row>
        <row r="170">
          <cell r="A170" t="str">
            <v>JULAIHA</v>
          </cell>
          <cell r="T170">
            <v>546500</v>
          </cell>
          <cell r="U170">
            <v>5</v>
          </cell>
          <cell r="Y170" t="str">
            <v/>
          </cell>
          <cell r="Z170" t="str">
            <v/>
          </cell>
        </row>
        <row r="171">
          <cell r="A171" t="str">
            <v>JULAIHA</v>
          </cell>
          <cell r="T171">
            <v>536400</v>
          </cell>
          <cell r="U171">
            <v>5</v>
          </cell>
          <cell r="Y171" t="str">
            <v/>
          </cell>
          <cell r="Z171" t="str">
            <v/>
          </cell>
        </row>
        <row r="172">
          <cell r="A172" t="str">
            <v>JULAIHA</v>
          </cell>
          <cell r="T172">
            <v>0</v>
          </cell>
          <cell r="U172">
            <v>0</v>
          </cell>
          <cell r="Y172" t="str">
            <v/>
          </cell>
          <cell r="Z172" t="str">
            <v/>
          </cell>
        </row>
        <row r="173">
          <cell r="A173" t="str">
            <v>JULAIHA</v>
          </cell>
          <cell r="T173">
            <v>971000</v>
          </cell>
          <cell r="U173">
            <v>5</v>
          </cell>
          <cell r="Y173" t="str">
            <v/>
          </cell>
          <cell r="Z173" t="str">
            <v/>
          </cell>
        </row>
        <row r="174">
          <cell r="A174" t="str">
            <v>JULAIHA</v>
          </cell>
          <cell r="T174">
            <v>961700</v>
          </cell>
          <cell r="U174">
            <v>15</v>
          </cell>
          <cell r="Y174">
            <v>0</v>
          </cell>
          <cell r="Z174">
            <v>0</v>
          </cell>
        </row>
        <row r="175">
          <cell r="A175" t="str">
            <v>JULAIHA</v>
          </cell>
          <cell r="T175">
            <v>3584700</v>
          </cell>
          <cell r="U175">
            <v>15</v>
          </cell>
          <cell r="Y175">
            <v>1300000</v>
          </cell>
          <cell r="Z175">
            <v>0</v>
          </cell>
        </row>
        <row r="176">
          <cell r="A176" t="str">
            <v>JULAIHA</v>
          </cell>
          <cell r="T176">
            <v>627500</v>
          </cell>
          <cell r="U176">
            <v>10</v>
          </cell>
          <cell r="Y176" t="str">
            <v/>
          </cell>
          <cell r="Z176" t="str">
            <v/>
          </cell>
        </row>
        <row r="177">
          <cell r="A177" t="str">
            <v>JULAIHA</v>
          </cell>
          <cell r="T177">
            <v>961700</v>
          </cell>
          <cell r="U177">
            <v>15</v>
          </cell>
          <cell r="Y177" t="str">
            <v/>
          </cell>
          <cell r="Z177" t="str">
            <v/>
          </cell>
        </row>
        <row r="178">
          <cell r="A178" t="str">
            <v>DARIANUS</v>
          </cell>
          <cell r="T178">
            <v>1353000</v>
          </cell>
          <cell r="U178">
            <v>5</v>
          </cell>
          <cell r="Y178" t="str">
            <v/>
          </cell>
          <cell r="Z178" t="str">
            <v/>
          </cell>
        </row>
        <row r="179">
          <cell r="A179" t="str">
            <v>DARIANUS</v>
          </cell>
          <cell r="T179">
            <v>3150000</v>
          </cell>
          <cell r="U179">
            <v>5</v>
          </cell>
          <cell r="Y179" t="str">
            <v/>
          </cell>
          <cell r="Z179" t="str">
            <v/>
          </cell>
        </row>
        <row r="180">
          <cell r="A180" t="str">
            <v>DARIANUS</v>
          </cell>
          <cell r="T180">
            <v>1597000</v>
          </cell>
          <cell r="U180">
            <v>5</v>
          </cell>
          <cell r="Y180" t="str">
            <v/>
          </cell>
          <cell r="Z180" t="str">
            <v/>
          </cell>
        </row>
        <row r="181">
          <cell r="A181" t="str">
            <v>DARIANUS</v>
          </cell>
          <cell r="T181">
            <v>1300000</v>
          </cell>
          <cell r="U181">
            <v>5</v>
          </cell>
          <cell r="Y181" t="str">
            <v/>
          </cell>
          <cell r="Z181" t="str">
            <v/>
          </cell>
        </row>
        <row r="182">
          <cell r="A182" t="str">
            <v>DARIANUS</v>
          </cell>
          <cell r="T182">
            <v>921000</v>
          </cell>
          <cell r="U182">
            <v>5</v>
          </cell>
          <cell r="Y182" t="str">
            <v/>
          </cell>
          <cell r="Z182" t="str">
            <v/>
          </cell>
        </row>
        <row r="183">
          <cell r="A183" t="str">
            <v>DARIANUS</v>
          </cell>
          <cell r="T183" t="str">
            <v/>
          </cell>
          <cell r="U183" t="str">
            <v/>
          </cell>
          <cell r="Y183">
            <v>7000000</v>
          </cell>
          <cell r="Z183">
            <v>0</v>
          </cell>
        </row>
        <row r="184">
          <cell r="A184" t="str">
            <v>SLAMET HOIRI</v>
          </cell>
          <cell r="T184">
            <v>1000000</v>
          </cell>
          <cell r="U184">
            <v>0</v>
          </cell>
          <cell r="Y184" t="str">
            <v/>
          </cell>
          <cell r="Z184" t="str">
            <v/>
          </cell>
        </row>
        <row r="185">
          <cell r="A185" t="str">
            <v>SLAMET HOIRI</v>
          </cell>
          <cell r="T185">
            <v>2419000</v>
          </cell>
          <cell r="U185">
            <v>8</v>
          </cell>
          <cell r="Y185" t="str">
            <v/>
          </cell>
          <cell r="Z185" t="str">
            <v/>
          </cell>
        </row>
        <row r="186">
          <cell r="A186" t="str">
            <v>SLAMET HOIRI</v>
          </cell>
          <cell r="T186">
            <v>6534000</v>
          </cell>
          <cell r="U186">
            <v>5</v>
          </cell>
          <cell r="Y186" t="str">
            <v/>
          </cell>
          <cell r="Z186" t="str">
            <v/>
          </cell>
        </row>
        <row r="187">
          <cell r="A187" t="str">
            <v>SLAMET HOIRI</v>
          </cell>
          <cell r="T187">
            <v>403000</v>
          </cell>
          <cell r="U187">
            <v>5</v>
          </cell>
          <cell r="Y187" t="str">
            <v/>
          </cell>
          <cell r="Z187" t="str">
            <v/>
          </cell>
        </row>
        <row r="188">
          <cell r="A188" t="str">
            <v>SLAMET HOIRI</v>
          </cell>
          <cell r="T188">
            <v>218400</v>
          </cell>
          <cell r="U188">
            <v>0</v>
          </cell>
          <cell r="Y188" t="str">
            <v/>
          </cell>
          <cell r="Z188" t="str">
            <v/>
          </cell>
        </row>
        <row r="189">
          <cell r="A189" t="str">
            <v>SLAMET HOIRI</v>
          </cell>
          <cell r="T189">
            <v>2266000</v>
          </cell>
          <cell r="U189">
            <v>5</v>
          </cell>
          <cell r="Y189" t="str">
            <v/>
          </cell>
          <cell r="Z189" t="str">
            <v/>
          </cell>
        </row>
        <row r="190">
          <cell r="A190" t="str">
            <v>SLAMET HOIRI</v>
          </cell>
          <cell r="T190">
            <v>872400</v>
          </cell>
          <cell r="U190">
            <v>3</v>
          </cell>
          <cell r="Y190">
            <v>2300000</v>
          </cell>
          <cell r="Z190">
            <v>0</v>
          </cell>
        </row>
        <row r="191">
          <cell r="A191" t="str">
            <v>SLAMET HOIRI</v>
          </cell>
          <cell r="T191">
            <v>0</v>
          </cell>
          <cell r="U191">
            <v>0</v>
          </cell>
          <cell r="Y191" t="str">
            <v/>
          </cell>
          <cell r="Z191" t="str">
            <v/>
          </cell>
        </row>
        <row r="192">
          <cell r="A192" t="str">
            <v>SLAMET HOIRI</v>
          </cell>
          <cell r="T192">
            <v>462000</v>
          </cell>
          <cell r="U192">
            <v>7</v>
          </cell>
          <cell r="Y192" t="str">
            <v/>
          </cell>
          <cell r="Z192" t="str">
            <v/>
          </cell>
        </row>
        <row r="193">
          <cell r="A193" t="str">
            <v>SLAMET HOIRI</v>
          </cell>
          <cell r="T193" t="str">
            <v/>
          </cell>
          <cell r="U193" t="str">
            <v/>
          </cell>
          <cell r="Y193">
            <v>5000000</v>
          </cell>
          <cell r="Z193">
            <v>0</v>
          </cell>
        </row>
        <row r="194">
          <cell r="A194" t="str">
            <v>SLAMET HOIRI</v>
          </cell>
          <cell r="T194">
            <v>18601600</v>
          </cell>
          <cell r="U194">
            <v>13</v>
          </cell>
          <cell r="Y194">
            <v>0</v>
          </cell>
          <cell r="Z194">
            <v>0</v>
          </cell>
        </row>
        <row r="195">
          <cell r="A195" t="str">
            <v>SLAMET HOIRI</v>
          </cell>
          <cell r="T195">
            <v>9322400</v>
          </cell>
          <cell r="U195">
            <v>30</v>
          </cell>
          <cell r="Y195" t="str">
            <v/>
          </cell>
          <cell r="Z195" t="str">
            <v/>
          </cell>
        </row>
        <row r="196">
          <cell r="A196" t="str">
            <v>SLAMET HOIRI</v>
          </cell>
          <cell r="T196">
            <v>841200</v>
          </cell>
          <cell r="U196">
            <v>8</v>
          </cell>
          <cell r="Y196" t="str">
            <v/>
          </cell>
          <cell r="Z196" t="str">
            <v/>
          </cell>
        </row>
        <row r="197">
          <cell r="A197" t="str">
            <v>SLAMET HOIRI</v>
          </cell>
          <cell r="T197" t="str">
            <v/>
          </cell>
          <cell r="U197" t="str">
            <v/>
          </cell>
          <cell r="Y197" t="str">
            <v/>
          </cell>
          <cell r="Z197" t="str">
            <v/>
          </cell>
        </row>
        <row r="198">
          <cell r="A198" t="str">
            <v>SLAMET HOIRI</v>
          </cell>
          <cell r="T198" t="str">
            <v/>
          </cell>
          <cell r="U198" t="str">
            <v/>
          </cell>
          <cell r="Y198">
            <v>0</v>
          </cell>
          <cell r="Z198">
            <v>0</v>
          </cell>
        </row>
        <row r="199">
          <cell r="A199" t="str">
            <v>SLAMET HOIRI</v>
          </cell>
          <cell r="T199">
            <v>8728900</v>
          </cell>
          <cell r="U199">
            <v>10</v>
          </cell>
          <cell r="Y199">
            <v>2500000</v>
          </cell>
          <cell r="Z199">
            <v>0</v>
          </cell>
        </row>
        <row r="200">
          <cell r="A200" t="str">
            <v>SLAMET HOIRI</v>
          </cell>
          <cell r="T200">
            <v>428900</v>
          </cell>
          <cell r="U200">
            <v>0</v>
          </cell>
          <cell r="Y200" t="str">
            <v/>
          </cell>
          <cell r="Z200" t="str">
            <v/>
          </cell>
        </row>
        <row r="201">
          <cell r="A201" t="str">
            <v>SLAMET HOIRI</v>
          </cell>
          <cell r="T201">
            <v>386400</v>
          </cell>
          <cell r="U201">
            <v>0</v>
          </cell>
          <cell r="Y201" t="str">
            <v/>
          </cell>
          <cell r="Z201" t="str">
            <v/>
          </cell>
        </row>
        <row r="202">
          <cell r="A202" t="str">
            <v>SLAMET HOIRI</v>
          </cell>
          <cell r="T202">
            <v>2478500</v>
          </cell>
          <cell r="U202">
            <v>20</v>
          </cell>
          <cell r="Y202" t="str">
            <v/>
          </cell>
          <cell r="Z202" t="str">
            <v/>
          </cell>
        </row>
        <row r="203">
          <cell r="A203" t="str">
            <v>SLAMET HOIRI</v>
          </cell>
          <cell r="T203" t="str">
            <v/>
          </cell>
          <cell r="U203" t="str">
            <v/>
          </cell>
          <cell r="Y203">
            <v>9000000</v>
          </cell>
          <cell r="Z203">
            <v>0</v>
          </cell>
        </row>
        <row r="204">
          <cell r="A204" t="str">
            <v>SLAMET HOIRI</v>
          </cell>
          <cell r="T204" t="str">
            <v/>
          </cell>
          <cell r="U204" t="str">
            <v/>
          </cell>
          <cell r="Y204">
            <v>0</v>
          </cell>
          <cell r="Z204">
            <v>0</v>
          </cell>
        </row>
        <row r="205">
          <cell r="A205" t="str">
            <v>SLAMET HOIRI</v>
          </cell>
          <cell r="T205" t="str">
            <v/>
          </cell>
          <cell r="U205" t="str">
            <v/>
          </cell>
          <cell r="Y205">
            <v>0</v>
          </cell>
          <cell r="Z205">
            <v>0</v>
          </cell>
        </row>
        <row r="206">
          <cell r="A206" t="str">
            <v>SLAMET HOIRI</v>
          </cell>
          <cell r="T206">
            <v>0</v>
          </cell>
          <cell r="U206">
            <v>0</v>
          </cell>
          <cell r="Y206" t="str">
            <v/>
          </cell>
          <cell r="Z206" t="str">
            <v/>
          </cell>
        </row>
        <row r="207">
          <cell r="A207" t="str">
            <v>APRIANUS</v>
          </cell>
          <cell r="T207">
            <v>562000</v>
          </cell>
          <cell r="U207">
            <v>0</v>
          </cell>
          <cell r="Y207" t="str">
            <v/>
          </cell>
          <cell r="Z207" t="str">
            <v/>
          </cell>
        </row>
        <row r="208">
          <cell r="A208" t="str">
            <v>DARIANUS</v>
          </cell>
          <cell r="T208">
            <v>1245000</v>
          </cell>
          <cell r="U208">
            <v>9</v>
          </cell>
          <cell r="Y208" t="str">
            <v/>
          </cell>
          <cell r="Z208" t="str">
            <v/>
          </cell>
        </row>
        <row r="209">
          <cell r="A209" t="str">
            <v>DARIANUS</v>
          </cell>
          <cell r="T209">
            <v>1033000</v>
          </cell>
          <cell r="U209">
            <v>5</v>
          </cell>
          <cell r="Y209" t="str">
            <v/>
          </cell>
          <cell r="Z209" t="str">
            <v/>
          </cell>
        </row>
        <row r="210">
          <cell r="A210" t="str">
            <v>DARIANUS</v>
          </cell>
          <cell r="T210">
            <v>720000</v>
          </cell>
          <cell r="U210">
            <v>5</v>
          </cell>
          <cell r="Y210" t="str">
            <v/>
          </cell>
          <cell r="Z210" t="str">
            <v/>
          </cell>
        </row>
        <row r="211">
          <cell r="A211" t="str">
            <v>DARIANUS</v>
          </cell>
          <cell r="T211">
            <v>4349000</v>
          </cell>
          <cell r="U211">
            <v>17</v>
          </cell>
          <cell r="Y211" t="str">
            <v/>
          </cell>
          <cell r="Z211" t="str">
            <v/>
          </cell>
        </row>
        <row r="212">
          <cell r="A212" t="str">
            <v>DARIANUS</v>
          </cell>
          <cell r="T212">
            <v>1272000</v>
          </cell>
          <cell r="U212">
            <v>8</v>
          </cell>
          <cell r="Y212" t="str">
            <v/>
          </cell>
          <cell r="Z212" t="str">
            <v/>
          </cell>
        </row>
        <row r="213">
          <cell r="A213" t="str">
            <v>DARIANUS</v>
          </cell>
          <cell r="T213" t="str">
            <v/>
          </cell>
          <cell r="U213" t="str">
            <v/>
          </cell>
          <cell r="Y213">
            <v>0</v>
          </cell>
          <cell r="Z213">
            <v>0</v>
          </cell>
        </row>
        <row r="214">
          <cell r="A214" t="str">
            <v>DARIANUS</v>
          </cell>
          <cell r="T214" t="str">
            <v/>
          </cell>
          <cell r="U214" t="str">
            <v/>
          </cell>
          <cell r="Y214">
            <v>0</v>
          </cell>
          <cell r="Z214">
            <v>0</v>
          </cell>
        </row>
        <row r="215">
          <cell r="A215" t="str">
            <v>DARIANUS</v>
          </cell>
          <cell r="T215">
            <v>708000</v>
          </cell>
          <cell r="U215">
            <v>8</v>
          </cell>
          <cell r="Y215" t="str">
            <v/>
          </cell>
          <cell r="Z215" t="str">
            <v/>
          </cell>
        </row>
        <row r="216">
          <cell r="A216" t="str">
            <v>DARIANUS</v>
          </cell>
          <cell r="T216">
            <v>741000</v>
          </cell>
          <cell r="U216">
            <v>3</v>
          </cell>
          <cell r="Y216" t="str">
            <v/>
          </cell>
          <cell r="Z216" t="str">
            <v/>
          </cell>
        </row>
        <row r="217">
          <cell r="A217" t="str">
            <v>DARIANUS</v>
          </cell>
          <cell r="T217">
            <v>1069000</v>
          </cell>
          <cell r="U217">
            <v>3</v>
          </cell>
          <cell r="Y217" t="str">
            <v/>
          </cell>
          <cell r="Z217" t="str">
            <v/>
          </cell>
        </row>
        <row r="218">
          <cell r="A218" t="str">
            <v>DARIANUS</v>
          </cell>
          <cell r="T218">
            <v>1731000</v>
          </cell>
          <cell r="U218">
            <v>5</v>
          </cell>
          <cell r="Y218" t="str">
            <v/>
          </cell>
          <cell r="Z218" t="str">
            <v/>
          </cell>
        </row>
        <row r="219">
          <cell r="A219" t="str">
            <v>DARIANUS</v>
          </cell>
          <cell r="T219">
            <v>852500</v>
          </cell>
          <cell r="U219">
            <v>5</v>
          </cell>
          <cell r="Y219" t="str">
            <v/>
          </cell>
          <cell r="Z219" t="str">
            <v/>
          </cell>
        </row>
        <row r="220">
          <cell r="A220" t="str">
            <v>DARIANUS</v>
          </cell>
          <cell r="T220">
            <v>1218000</v>
          </cell>
          <cell r="U220">
            <v>5</v>
          </cell>
          <cell r="Y220" t="str">
            <v/>
          </cell>
          <cell r="Z220" t="str">
            <v/>
          </cell>
        </row>
        <row r="221">
          <cell r="A221" t="str">
            <v>DARIANUS</v>
          </cell>
          <cell r="T221">
            <v>1446000</v>
          </cell>
          <cell r="U221">
            <v>7</v>
          </cell>
          <cell r="Y221" t="str">
            <v/>
          </cell>
          <cell r="Z221" t="str">
            <v/>
          </cell>
        </row>
        <row r="222">
          <cell r="A222" t="str">
            <v>DARIANUS</v>
          </cell>
          <cell r="T222">
            <v>2945000</v>
          </cell>
          <cell r="U222">
            <v>5</v>
          </cell>
          <cell r="Y222" t="str">
            <v/>
          </cell>
          <cell r="Z222" t="str">
            <v/>
          </cell>
        </row>
        <row r="223">
          <cell r="A223" t="str">
            <v>DARIANUS</v>
          </cell>
          <cell r="T223">
            <v>10351000</v>
          </cell>
          <cell r="U223">
            <v>5</v>
          </cell>
          <cell r="Y223" t="str">
            <v/>
          </cell>
          <cell r="Z223" t="str">
            <v/>
          </cell>
        </row>
        <row r="224">
          <cell r="A224" t="str">
            <v>DARIANUS</v>
          </cell>
          <cell r="T224">
            <v>3778000</v>
          </cell>
          <cell r="U224">
            <v>5</v>
          </cell>
          <cell r="Y224" t="str">
            <v/>
          </cell>
          <cell r="Z224" t="str">
            <v/>
          </cell>
        </row>
        <row r="225">
          <cell r="A225" t="str">
            <v>DARIANUS</v>
          </cell>
          <cell r="T225">
            <v>3230000</v>
          </cell>
          <cell r="U225">
            <v>0</v>
          </cell>
          <cell r="Y225" t="str">
            <v/>
          </cell>
          <cell r="Z225" t="str">
            <v/>
          </cell>
        </row>
        <row r="226">
          <cell r="A226" t="str">
            <v>URAY ILHAM</v>
          </cell>
          <cell r="T226" t="str">
            <v/>
          </cell>
          <cell r="U226" t="str">
            <v/>
          </cell>
          <cell r="Y226">
            <v>0</v>
          </cell>
          <cell r="Z226">
            <v>0</v>
          </cell>
        </row>
        <row r="227">
          <cell r="A227" t="str">
            <v>APRIANUS</v>
          </cell>
          <cell r="T227">
            <v>718000</v>
          </cell>
          <cell r="U227">
            <v>0</v>
          </cell>
          <cell r="Y227" t="str">
            <v/>
          </cell>
          <cell r="Z227" t="str">
            <v/>
          </cell>
        </row>
        <row r="228">
          <cell r="A228" t="str">
            <v>JULAIHA</v>
          </cell>
          <cell r="T228">
            <v>1234000</v>
          </cell>
          <cell r="U228">
            <v>0</v>
          </cell>
          <cell r="Y228" t="str">
            <v/>
          </cell>
          <cell r="Z228" t="str">
            <v/>
          </cell>
        </row>
        <row r="229">
          <cell r="A229" t="str">
            <v>JULAIHA</v>
          </cell>
          <cell r="T229">
            <v>234000</v>
          </cell>
          <cell r="U229">
            <v>0</v>
          </cell>
          <cell r="Y229" t="str">
            <v/>
          </cell>
          <cell r="Z229" t="str">
            <v/>
          </cell>
        </row>
        <row r="230">
          <cell r="A230" t="str">
            <v>JULAIHA</v>
          </cell>
          <cell r="T230">
            <v>284600</v>
          </cell>
          <cell r="U230">
            <v>0</v>
          </cell>
          <cell r="Y230" t="str">
            <v/>
          </cell>
          <cell r="Z230" t="str">
            <v/>
          </cell>
        </row>
        <row r="231">
          <cell r="A231" t="str">
            <v>EFENDI</v>
          </cell>
          <cell r="T231">
            <v>2098000</v>
          </cell>
          <cell r="U231">
            <v>10</v>
          </cell>
          <cell r="Y231" t="str">
            <v/>
          </cell>
          <cell r="Z231" t="str">
            <v/>
          </cell>
        </row>
        <row r="232">
          <cell r="A232" t="str">
            <v>EFENDI</v>
          </cell>
          <cell r="T232">
            <v>1122000</v>
          </cell>
          <cell r="U232">
            <v>15</v>
          </cell>
          <cell r="Y232" t="str">
            <v/>
          </cell>
          <cell r="Z232" t="str">
            <v/>
          </cell>
        </row>
        <row r="233">
          <cell r="A233" t="str">
            <v>EFENDI</v>
          </cell>
          <cell r="T233">
            <v>1721000</v>
          </cell>
          <cell r="U233">
            <v>10</v>
          </cell>
          <cell r="Y233" t="str">
            <v/>
          </cell>
          <cell r="Z233" t="str">
            <v/>
          </cell>
        </row>
        <row r="234">
          <cell r="A234" t="str">
            <v>EFENDI</v>
          </cell>
          <cell r="T234">
            <v>5485000</v>
          </cell>
          <cell r="U234">
            <v>5</v>
          </cell>
          <cell r="Y234" t="str">
            <v/>
          </cell>
          <cell r="Z234" t="str">
            <v/>
          </cell>
        </row>
        <row r="235">
          <cell r="A235" t="str">
            <v>EFENDI</v>
          </cell>
          <cell r="T235" t="str">
            <v/>
          </cell>
          <cell r="U235" t="str">
            <v/>
          </cell>
          <cell r="Y235">
            <v>0</v>
          </cell>
          <cell r="Z235">
            <v>0</v>
          </cell>
        </row>
        <row r="236">
          <cell r="A236" t="str">
            <v>EFENDI</v>
          </cell>
          <cell r="T236">
            <v>2316000</v>
          </cell>
          <cell r="U236">
            <v>10</v>
          </cell>
          <cell r="Y236" t="str">
            <v/>
          </cell>
          <cell r="Z236" t="str">
            <v/>
          </cell>
        </row>
        <row r="237">
          <cell r="A237" t="str">
            <v>EFENDI</v>
          </cell>
          <cell r="T237">
            <v>870000</v>
          </cell>
          <cell r="U237">
            <v>10</v>
          </cell>
          <cell r="Y237" t="str">
            <v/>
          </cell>
          <cell r="Z237" t="str">
            <v/>
          </cell>
        </row>
        <row r="238">
          <cell r="A238" t="str">
            <v>EFENDI</v>
          </cell>
          <cell r="T238">
            <v>2316000</v>
          </cell>
          <cell r="U238">
            <v>10</v>
          </cell>
          <cell r="Y238" t="str">
            <v/>
          </cell>
          <cell r="Z238" t="str">
            <v/>
          </cell>
        </row>
        <row r="239">
          <cell r="A239" t="str">
            <v>EFENDI</v>
          </cell>
          <cell r="T239">
            <v>870000</v>
          </cell>
          <cell r="U239">
            <v>10</v>
          </cell>
          <cell r="Y239" t="str">
            <v/>
          </cell>
          <cell r="Z239" t="str">
            <v/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06"/>
  <sheetViews>
    <sheetView tabSelected="1" topLeftCell="D1" workbookViewId="0">
      <selection activeCell="J15" sqref="J15"/>
    </sheetView>
  </sheetViews>
  <sheetFormatPr defaultColWidth="9.453125" defaultRowHeight="13"/>
  <cols>
    <col min="1" max="1" width="12.7265625" style="3" bestFit="1" customWidth="1"/>
    <col min="2" max="2" width="21.7265625" style="3" bestFit="1" customWidth="1"/>
    <col min="3" max="3" width="10.90625" style="3" bestFit="1" customWidth="1"/>
    <col min="4" max="4" width="10.36328125" style="3" bestFit="1" customWidth="1"/>
    <col min="5" max="5" width="10.90625" style="3" bestFit="1" customWidth="1"/>
    <col min="6" max="6" width="10.36328125" style="3" bestFit="1" customWidth="1"/>
    <col min="7" max="7" width="12.453125" style="3" bestFit="1" customWidth="1"/>
    <col min="8" max="8" width="10.36328125" style="3" bestFit="1" customWidth="1"/>
    <col min="9" max="9" width="10.90625" style="3" bestFit="1" customWidth="1"/>
    <col min="10" max="10" width="10.36328125" style="3" bestFit="1" customWidth="1"/>
    <col min="11" max="11" width="9.90625" style="3" bestFit="1" customWidth="1"/>
    <col min="12" max="12" width="10.36328125" style="3" bestFit="1" customWidth="1"/>
    <col min="13" max="13" width="10.90625" style="3" bestFit="1" customWidth="1"/>
    <col min="14" max="14" width="10.36328125" style="3" bestFit="1" customWidth="1"/>
    <col min="15" max="15" width="5.81640625" style="3" bestFit="1" customWidth="1"/>
    <col min="16" max="16" width="10.36328125" style="3" bestFit="1" customWidth="1"/>
    <col min="17" max="17" width="5.81640625" style="3" bestFit="1" customWidth="1"/>
    <col min="18" max="18" width="10.36328125" style="3" bestFit="1" customWidth="1"/>
    <col min="19" max="19" width="5.81640625" style="3" bestFit="1" customWidth="1"/>
    <col min="20" max="20" width="10.36328125" style="3" bestFit="1" customWidth="1"/>
    <col min="21" max="16384" width="9.453125" style="3"/>
  </cols>
  <sheetData>
    <row r="1" spans="1:20" ht="11.15" customHeight="1">
      <c r="A1" s="2"/>
    </row>
    <row r="2" spans="1:20">
      <c r="A2" s="1"/>
      <c r="B2" s="1"/>
      <c r="C2" s="1"/>
      <c r="D2" s="1"/>
    </row>
    <row r="3" spans="1:20" ht="32" customHeight="1" thickBot="1">
      <c r="A3"/>
      <c r="B3"/>
      <c r="C3" s="27" t="s">
        <v>0</v>
      </c>
      <c r="D3" s="27"/>
      <c r="E3" s="27"/>
      <c r="F3" s="27"/>
      <c r="G3" s="27"/>
      <c r="H3" s="27"/>
      <c r="I3" s="27" t="s">
        <v>1</v>
      </c>
      <c r="J3" s="27"/>
      <c r="K3" s="27"/>
      <c r="L3" s="27"/>
      <c r="M3" s="27"/>
      <c r="N3" s="27"/>
      <c r="O3" s="27" t="s">
        <v>2</v>
      </c>
      <c r="P3" s="27"/>
      <c r="Q3" s="27"/>
      <c r="R3" s="27"/>
      <c r="S3" s="27"/>
      <c r="T3" s="27"/>
    </row>
    <row r="4" spans="1:20" ht="13" customHeight="1">
      <c r="A4" s="6"/>
      <c r="B4" s="7"/>
      <c r="C4" s="28" t="s">
        <v>3</v>
      </c>
      <c r="D4" s="28"/>
      <c r="E4" s="28" t="s">
        <v>4</v>
      </c>
      <c r="F4" s="28"/>
      <c r="G4" s="28" t="s">
        <v>5</v>
      </c>
      <c r="H4" s="29"/>
      <c r="I4" s="30" t="s">
        <v>3</v>
      </c>
      <c r="J4" s="25"/>
      <c r="K4" s="25" t="s">
        <v>4</v>
      </c>
      <c r="L4" s="25"/>
      <c r="M4" s="25" t="s">
        <v>5</v>
      </c>
      <c r="N4" s="26"/>
      <c r="O4" s="30" t="s">
        <v>3</v>
      </c>
      <c r="P4" s="25"/>
      <c r="Q4" s="25" t="s">
        <v>4</v>
      </c>
      <c r="R4" s="25"/>
      <c r="S4" s="25" t="s">
        <v>5</v>
      </c>
      <c r="T4" s="26"/>
    </row>
    <row r="5" spans="1:20" ht="15" thickBot="1">
      <c r="A5" s="8" t="s">
        <v>6</v>
      </c>
      <c r="B5" s="9" t="s">
        <v>7</v>
      </c>
      <c r="C5" s="10" t="s">
        <v>8</v>
      </c>
      <c r="D5" s="10" t="s">
        <v>9</v>
      </c>
      <c r="E5" s="10" t="s">
        <v>8</v>
      </c>
      <c r="F5" s="10" t="s">
        <v>9</v>
      </c>
      <c r="G5" s="10" t="s">
        <v>8</v>
      </c>
      <c r="H5" s="11" t="s">
        <v>9</v>
      </c>
      <c r="I5" s="12" t="s">
        <v>8</v>
      </c>
      <c r="J5" s="13" t="s">
        <v>9</v>
      </c>
      <c r="K5" s="13" t="s">
        <v>8</v>
      </c>
      <c r="L5" s="13" t="s">
        <v>9</v>
      </c>
      <c r="M5" s="13" t="s">
        <v>8</v>
      </c>
      <c r="N5" s="14" t="s">
        <v>9</v>
      </c>
      <c r="O5" s="12" t="s">
        <v>8</v>
      </c>
      <c r="P5" s="13" t="s">
        <v>9</v>
      </c>
      <c r="Q5" s="13" t="s">
        <v>8</v>
      </c>
      <c r="R5" s="13" t="s">
        <v>9</v>
      </c>
      <c r="S5" s="13" t="s">
        <v>8</v>
      </c>
      <c r="T5" s="14" t="s">
        <v>9</v>
      </c>
    </row>
    <row r="6" spans="1:20" ht="14.5">
      <c r="A6" s="15" t="s">
        <v>10</v>
      </c>
      <c r="B6" s="16" t="s">
        <v>11</v>
      </c>
      <c r="C6" s="17">
        <v>146350445.005178</v>
      </c>
      <c r="D6" s="17">
        <v>213</v>
      </c>
      <c r="E6" s="17">
        <v>19182117.9948222</v>
      </c>
      <c r="F6" s="17">
        <v>42</v>
      </c>
      <c r="G6" s="17">
        <f>E6+C6</f>
        <v>165532563.00000021</v>
      </c>
      <c r="H6" s="17">
        <f>F6+D6</f>
        <v>255</v>
      </c>
      <c r="I6" s="18">
        <f>SUMIF([1]Sheet1!$A:$A,A6,[1]Sheet1!$T:$T)</f>
        <v>79823100</v>
      </c>
      <c r="J6" s="18">
        <f>SUMIF([1]Sheet1!$A:$A,A6,[1]Sheet1!$U:$U)</f>
        <v>280</v>
      </c>
      <c r="K6" s="18">
        <f>SUMIF([1]Sheet1!$A:$A,A6,[1]Sheet1!$Y:$Y)</f>
        <v>23800000</v>
      </c>
      <c r="L6" s="18">
        <f>SUMIF([1]Sheet1!$A:$A,A6,[1]Sheet1!$Z:$Z)</f>
        <v>0</v>
      </c>
      <c r="M6" s="17">
        <f>K6+I6</f>
        <v>103623100</v>
      </c>
      <c r="N6" s="17">
        <f>L6+J6</f>
        <v>280</v>
      </c>
      <c r="O6" s="19">
        <f t="shared" ref="O6:T11" si="0">I6/C6</f>
        <v>0.54542437501420504</v>
      </c>
      <c r="P6" s="19">
        <f t="shared" si="0"/>
        <v>1.3145539906103287</v>
      </c>
      <c r="Q6" s="19">
        <f t="shared" si="0"/>
        <v>1.2407389010131362</v>
      </c>
      <c r="R6" s="19">
        <f t="shared" si="0"/>
        <v>0</v>
      </c>
      <c r="S6" s="19">
        <f t="shared" si="0"/>
        <v>0.62599828167947758</v>
      </c>
      <c r="T6" s="19">
        <f t="shared" si="0"/>
        <v>1.0980392156862746</v>
      </c>
    </row>
    <row r="7" spans="1:20" ht="14.5">
      <c r="A7" s="15" t="s">
        <v>12</v>
      </c>
      <c r="B7" s="16" t="s">
        <v>13</v>
      </c>
      <c r="C7" s="17">
        <v>68628887.046662599</v>
      </c>
      <c r="D7" s="17">
        <v>202</v>
      </c>
      <c r="E7" s="17">
        <v>14162100.953337399</v>
      </c>
      <c r="F7" s="17">
        <v>23</v>
      </c>
      <c r="G7" s="17">
        <f t="shared" ref="G7:H11" si="1">E7+C7</f>
        <v>82790988</v>
      </c>
      <c r="H7" s="17">
        <f t="shared" si="1"/>
        <v>225</v>
      </c>
      <c r="I7" s="18">
        <f>SUMIF([1]Sheet1!$A:$A,A7,[1]Sheet1!$T:$T)</f>
        <v>43463900</v>
      </c>
      <c r="J7" s="18">
        <f>SUMIF([1]Sheet1!$A:$A,A7,[1]Sheet1!$U:$U)</f>
        <v>223</v>
      </c>
      <c r="K7" s="18">
        <f>SUMIF([1]Sheet1!$A:$A,A7,[1]Sheet1!$Y:$Y)</f>
        <v>25270000</v>
      </c>
      <c r="L7" s="18">
        <f>SUMIF([1]Sheet1!$A:$A,A7,[1]Sheet1!$Z:$Z)</f>
        <v>1</v>
      </c>
      <c r="M7" s="17">
        <f t="shared" ref="M7:N11" si="2">K7+I7</f>
        <v>68733900</v>
      </c>
      <c r="N7" s="17">
        <f t="shared" si="2"/>
        <v>224</v>
      </c>
      <c r="O7" s="19">
        <f t="shared" si="0"/>
        <v>0.63331786176931215</v>
      </c>
      <c r="P7" s="19">
        <f t="shared" si="0"/>
        <v>1.1039603960396041</v>
      </c>
      <c r="Q7" s="19">
        <f t="shared" si="0"/>
        <v>1.7843397729801485</v>
      </c>
      <c r="R7" s="19">
        <f t="shared" si="0"/>
        <v>4.3478260869565216E-2</v>
      </c>
      <c r="S7" s="19">
        <f t="shared" si="0"/>
        <v>0.83020992574699071</v>
      </c>
      <c r="T7" s="19">
        <f t="shared" si="0"/>
        <v>0.99555555555555553</v>
      </c>
    </row>
    <row r="8" spans="1:20" ht="14.5">
      <c r="A8" s="15" t="s">
        <v>14</v>
      </c>
      <c r="B8" s="16" t="s">
        <v>15</v>
      </c>
      <c r="C8" s="17">
        <v>93113163.450450793</v>
      </c>
      <c r="D8" s="17">
        <v>225</v>
      </c>
      <c r="E8" s="17">
        <v>4183931.2495491598</v>
      </c>
      <c r="F8" s="17">
        <v>5</v>
      </c>
      <c r="G8" s="17">
        <f t="shared" si="1"/>
        <v>97297094.699999958</v>
      </c>
      <c r="H8" s="17">
        <f t="shared" si="1"/>
        <v>230</v>
      </c>
      <c r="I8" s="18">
        <f>SUMIF([1]Sheet1!$A:$A,A8,[1]Sheet1!$T:$T)</f>
        <v>25994600</v>
      </c>
      <c r="J8" s="18">
        <f>SUMIF([1]Sheet1!$A:$A,A8,[1]Sheet1!$U:$U)</f>
        <v>122</v>
      </c>
      <c r="K8" s="18">
        <f>SUMIF([1]Sheet1!$A:$A,A8,[1]Sheet1!$Y:$Y)</f>
        <v>2100000</v>
      </c>
      <c r="L8" s="18">
        <f>SUMIF([1]Sheet1!$A:$A,A8,[1]Sheet1!$Z:$Z)</f>
        <v>0</v>
      </c>
      <c r="M8" s="17">
        <f t="shared" si="2"/>
        <v>28094600</v>
      </c>
      <c r="N8" s="17">
        <f t="shared" si="2"/>
        <v>122</v>
      </c>
      <c r="O8" s="19">
        <f t="shared" si="0"/>
        <v>0.27917212815814979</v>
      </c>
      <c r="P8" s="19">
        <f t="shared" si="0"/>
        <v>0.54222222222222227</v>
      </c>
      <c r="Q8" s="19">
        <f t="shared" si="0"/>
        <v>0.50192029331894161</v>
      </c>
      <c r="R8" s="19">
        <f t="shared" si="0"/>
        <v>0</v>
      </c>
      <c r="S8" s="19">
        <f t="shared" si="0"/>
        <v>0.28875065680661083</v>
      </c>
      <c r="T8" s="19">
        <f t="shared" si="0"/>
        <v>0.5304347826086957</v>
      </c>
    </row>
    <row r="9" spans="1:20" ht="14.5">
      <c r="A9" s="15" t="s">
        <v>16</v>
      </c>
      <c r="B9" s="16" t="s">
        <v>17</v>
      </c>
      <c r="C9" s="17">
        <v>306587256.26414698</v>
      </c>
      <c r="D9" s="17">
        <v>360</v>
      </c>
      <c r="E9" s="17">
        <v>17826966.735853199</v>
      </c>
      <c r="F9" s="17">
        <v>85</v>
      </c>
      <c r="G9" s="17">
        <f t="shared" si="1"/>
        <v>324414223.00000018</v>
      </c>
      <c r="H9" s="17">
        <f t="shared" si="1"/>
        <v>445</v>
      </c>
      <c r="I9" s="18">
        <f>SUMIF([1]Sheet1!$A:$A,A9,[1]Sheet1!$T:$T)</f>
        <v>144324400</v>
      </c>
      <c r="J9" s="18">
        <f>SUMIF([1]Sheet1!$A:$A,A9,[1]Sheet1!$U:$U)</f>
        <v>459</v>
      </c>
      <c r="K9" s="18">
        <f>SUMIF([1]Sheet1!$A:$A,A9,[1]Sheet1!$Y:$Y)</f>
        <v>7700000</v>
      </c>
      <c r="L9" s="18">
        <f>SUMIF([1]Sheet1!$A:$A,A9,[1]Sheet1!$Z:$Z)</f>
        <v>0</v>
      </c>
      <c r="M9" s="17">
        <f t="shared" si="2"/>
        <v>152024400</v>
      </c>
      <c r="N9" s="17">
        <f t="shared" si="2"/>
        <v>459</v>
      </c>
      <c r="O9" s="19">
        <f t="shared" si="0"/>
        <v>0.47074494145201567</v>
      </c>
      <c r="P9" s="19">
        <f t="shared" si="0"/>
        <v>1.2749999999999999</v>
      </c>
      <c r="Q9" s="19">
        <f t="shared" si="0"/>
        <v>0.43192990227069483</v>
      </c>
      <c r="R9" s="19">
        <f t="shared" si="0"/>
        <v>0</v>
      </c>
      <c r="S9" s="19">
        <f t="shared" si="0"/>
        <v>0.46861200657037749</v>
      </c>
      <c r="T9" s="19">
        <f t="shared" si="0"/>
        <v>1.0314606741573034</v>
      </c>
    </row>
    <row r="10" spans="1:20" ht="14.5">
      <c r="A10" s="15" t="s">
        <v>18</v>
      </c>
      <c r="B10" s="16" t="s">
        <v>19</v>
      </c>
      <c r="C10" s="17">
        <v>124089169.968555</v>
      </c>
      <c r="D10" s="17">
        <v>243</v>
      </c>
      <c r="E10" s="17">
        <v>32507408.331445001</v>
      </c>
      <c r="F10" s="17">
        <v>184</v>
      </c>
      <c r="G10" s="17">
        <f t="shared" si="1"/>
        <v>156596578.30000001</v>
      </c>
      <c r="H10" s="17">
        <f t="shared" si="1"/>
        <v>427</v>
      </c>
      <c r="I10" s="18">
        <f>SUMIF([1]Sheet1!$A:$A,A10,[1]Sheet1!$T:$T)</f>
        <v>68615200</v>
      </c>
      <c r="J10" s="18">
        <f>SUMIF([1]Sheet1!$A:$A,A10,[1]Sheet1!$U:$U)</f>
        <v>268</v>
      </c>
      <c r="K10" s="18">
        <f>SUMIF([1]Sheet1!$A:$A,A10,[1]Sheet1!$Y:$Y)</f>
        <v>13450000</v>
      </c>
      <c r="L10" s="18">
        <f>SUMIF([1]Sheet1!$A:$A,A10,[1]Sheet1!$Z:$Z)</f>
        <v>1</v>
      </c>
      <c r="M10" s="17">
        <f t="shared" si="2"/>
        <v>82065200</v>
      </c>
      <c r="N10" s="17">
        <f t="shared" si="2"/>
        <v>269</v>
      </c>
      <c r="O10" s="19">
        <f t="shared" si="0"/>
        <v>0.55295075321551057</v>
      </c>
      <c r="P10" s="19">
        <f t="shared" si="0"/>
        <v>1.1028806584362141</v>
      </c>
      <c r="Q10" s="19">
        <f t="shared" si="0"/>
        <v>0.41375183966879248</v>
      </c>
      <c r="R10" s="19">
        <f t="shared" si="0"/>
        <v>5.434782608695652E-3</v>
      </c>
      <c r="S10" s="19">
        <f t="shared" si="0"/>
        <v>0.5240548732985949</v>
      </c>
      <c r="T10" s="19">
        <f t="shared" si="0"/>
        <v>0.62997658079625296</v>
      </c>
    </row>
    <row r="11" spans="1:20" ht="14.5">
      <c r="A11" s="15" t="s">
        <v>20</v>
      </c>
      <c r="B11" s="20" t="s">
        <v>21</v>
      </c>
      <c r="C11" s="17">
        <v>259391662.99710801</v>
      </c>
      <c r="D11" s="17">
        <v>357</v>
      </c>
      <c r="E11" s="17">
        <v>37597537.002892002</v>
      </c>
      <c r="F11" s="17">
        <v>73</v>
      </c>
      <c r="G11" s="17">
        <f t="shared" si="1"/>
        <v>296989200</v>
      </c>
      <c r="H11" s="17">
        <f t="shared" si="1"/>
        <v>430</v>
      </c>
      <c r="I11" s="18">
        <f>SUMIF([1]Sheet1!$A:$A,A11,[1]Sheet1!$T:$T)</f>
        <v>82132100</v>
      </c>
      <c r="J11" s="18">
        <f>SUMIF([1]Sheet1!$A:$A,A11,[1]Sheet1!$U:$U)</f>
        <v>388</v>
      </c>
      <c r="K11" s="18">
        <f>SUMIF([1]Sheet1!$A:$A,A11,[1]Sheet1!$Y:$Y)</f>
        <v>15730000</v>
      </c>
      <c r="L11" s="18">
        <f>SUMIF([1]Sheet1!$A:$A,A11,[1]Sheet1!$Z:$Z)</f>
        <v>3</v>
      </c>
      <c r="M11" s="17">
        <f t="shared" si="2"/>
        <v>97862100</v>
      </c>
      <c r="N11" s="17">
        <f t="shared" si="2"/>
        <v>391</v>
      </c>
      <c r="O11" s="19">
        <f t="shared" si="0"/>
        <v>0.3166335380675504</v>
      </c>
      <c r="P11" s="19">
        <f t="shared" si="0"/>
        <v>1.0868347338935573</v>
      </c>
      <c r="Q11" s="19">
        <f t="shared" si="0"/>
        <v>0.4183784698127978</v>
      </c>
      <c r="R11" s="19">
        <f t="shared" si="0"/>
        <v>4.1095890410958902E-2</v>
      </c>
      <c r="S11" s="19">
        <f t="shared" si="0"/>
        <v>0.3295140025293849</v>
      </c>
      <c r="T11" s="19">
        <f t="shared" si="0"/>
        <v>0.90930232558139534</v>
      </c>
    </row>
    <row r="12" spans="1:20" ht="14.5">
      <c r="A12" s="21"/>
      <c r="B12" s="22" t="s">
        <v>22</v>
      </c>
      <c r="C12" s="23">
        <f t="shared" ref="C12:N12" si="3">SUM(C6:C11)</f>
        <v>998160584.73210132</v>
      </c>
      <c r="D12" s="23">
        <f t="shared" si="3"/>
        <v>1600</v>
      </c>
      <c r="E12" s="23">
        <f t="shared" si="3"/>
        <v>125460062.26789896</v>
      </c>
      <c r="F12" s="23">
        <f t="shared" si="3"/>
        <v>412</v>
      </c>
      <c r="G12" s="23">
        <f t="shared" si="3"/>
        <v>1123620647.0000002</v>
      </c>
      <c r="H12" s="23">
        <f t="shared" si="3"/>
        <v>2012</v>
      </c>
      <c r="I12" s="23">
        <f t="shared" si="3"/>
        <v>444353300</v>
      </c>
      <c r="J12" s="23">
        <f t="shared" si="3"/>
        <v>1740</v>
      </c>
      <c r="K12" s="23">
        <f t="shared" si="3"/>
        <v>88050000</v>
      </c>
      <c r="L12" s="23">
        <f t="shared" si="3"/>
        <v>5</v>
      </c>
      <c r="M12" s="23">
        <f t="shared" si="3"/>
        <v>532403300</v>
      </c>
      <c r="N12" s="23">
        <f t="shared" si="3"/>
        <v>1745</v>
      </c>
      <c r="O12" s="24">
        <f>AVERAGE(O6:O11)</f>
        <v>0.466373932946124</v>
      </c>
      <c r="P12" s="24">
        <f t="shared" ref="P12:T12" si="4">AVERAGE(P6:P11)</f>
        <v>1.0709086668669876</v>
      </c>
      <c r="Q12" s="24">
        <f t="shared" si="4"/>
        <v>0.79850986317741868</v>
      </c>
      <c r="R12" s="24">
        <f t="shared" si="4"/>
        <v>1.5001488981536628E-2</v>
      </c>
      <c r="S12" s="24">
        <f t="shared" si="4"/>
        <v>0.51118995777190601</v>
      </c>
      <c r="T12" s="24">
        <f t="shared" si="4"/>
        <v>0.86579485573091286</v>
      </c>
    </row>
    <row r="13" spans="1:20">
      <c r="B13" s="5"/>
    </row>
    <row r="14" spans="1:20">
      <c r="B14" s="5"/>
    </row>
    <row r="15" spans="1:20">
      <c r="B15" s="5"/>
    </row>
    <row r="16" spans="1:20">
      <c r="B16" s="5"/>
    </row>
    <row r="17" spans="2:2">
      <c r="B17" s="5"/>
    </row>
    <row r="18" spans="2:2">
      <c r="B18" s="5"/>
    </row>
    <row r="19" spans="2:2">
      <c r="B19" s="5"/>
    </row>
    <row r="20" spans="2:2">
      <c r="B20" s="5"/>
    </row>
    <row r="21" spans="2:2">
      <c r="B21" s="5"/>
    </row>
    <row r="22" spans="2:2">
      <c r="B22" s="5"/>
    </row>
    <row r="23" spans="2:2">
      <c r="B23" s="5"/>
    </row>
    <row r="24" spans="2:2">
      <c r="B24" s="5"/>
    </row>
    <row r="25" spans="2:2">
      <c r="B25" s="5"/>
    </row>
    <row r="26" spans="2:2">
      <c r="B26" s="5"/>
    </row>
    <row r="27" spans="2:2">
      <c r="B27" s="5"/>
    </row>
    <row r="28" spans="2:2">
      <c r="B28" s="5"/>
    </row>
    <row r="29" spans="2:2">
      <c r="B29" s="5"/>
    </row>
    <row r="30" spans="2:2">
      <c r="B30" s="5"/>
    </row>
    <row r="31" spans="2:2">
      <c r="B31" s="5"/>
    </row>
    <row r="32" spans="2:2">
      <c r="B32" s="5"/>
    </row>
    <row r="33" spans="1:4">
      <c r="B33" s="5"/>
    </row>
    <row r="34" spans="1:4">
      <c r="B34" s="5"/>
    </row>
    <row r="35" spans="1:4">
      <c r="B35" s="5"/>
    </row>
    <row r="36" spans="1:4" s="4" customFormat="1">
      <c r="A36" s="3"/>
      <c r="B36" s="5"/>
      <c r="C36" s="3"/>
      <c r="D36" s="3"/>
    </row>
    <row r="37" spans="1:4" s="4" customFormat="1">
      <c r="A37" s="3"/>
      <c r="B37" s="5"/>
      <c r="C37" s="3"/>
      <c r="D37" s="3"/>
    </row>
    <row r="38" spans="1:4" s="4" customFormat="1">
      <c r="A38" s="3"/>
      <c r="B38" s="5"/>
      <c r="C38" s="3"/>
      <c r="D38" s="3"/>
    </row>
    <row r="39" spans="1:4" s="4" customFormat="1">
      <c r="A39" s="3"/>
      <c r="B39" s="5"/>
      <c r="C39" s="3"/>
      <c r="D39" s="3"/>
    </row>
    <row r="40" spans="1:4">
      <c r="B40" s="5"/>
    </row>
    <row r="41" spans="1:4">
      <c r="B41" s="5"/>
    </row>
    <row r="42" spans="1:4">
      <c r="B42" s="5"/>
    </row>
    <row r="43" spans="1:4">
      <c r="B43" s="5"/>
    </row>
    <row r="44" spans="1:4">
      <c r="B44" s="5"/>
    </row>
    <row r="45" spans="1:4">
      <c r="B45" s="5"/>
    </row>
    <row r="46" spans="1:4">
      <c r="B46" s="5"/>
    </row>
    <row r="47" spans="1:4">
      <c r="B47" s="5"/>
    </row>
    <row r="48" spans="1:4">
      <c r="B48" s="5"/>
    </row>
    <row r="49" spans="2:2">
      <c r="B49" s="5"/>
    </row>
    <row r="50" spans="2:2">
      <c r="B50" s="5"/>
    </row>
    <row r="51" spans="2:2">
      <c r="B51" s="5"/>
    </row>
    <row r="52" spans="2:2">
      <c r="B52" s="5"/>
    </row>
    <row r="53" spans="2:2">
      <c r="B53" s="5"/>
    </row>
    <row r="54" spans="2:2">
      <c r="B54" s="5"/>
    </row>
    <row r="55" spans="2:2">
      <c r="B55" s="5"/>
    </row>
    <row r="56" spans="2:2">
      <c r="B56" s="5"/>
    </row>
    <row r="57" spans="2:2">
      <c r="B57" s="5"/>
    </row>
    <row r="58" spans="2:2">
      <c r="B58" s="5"/>
    </row>
    <row r="59" spans="2:2">
      <c r="B59" s="5"/>
    </row>
    <row r="60" spans="2:2">
      <c r="B60" s="5"/>
    </row>
    <row r="61" spans="2:2">
      <c r="B61" s="5"/>
    </row>
    <row r="62" spans="2:2">
      <c r="B62" s="5"/>
    </row>
    <row r="63" spans="2:2">
      <c r="B63" s="5"/>
    </row>
    <row r="64" spans="2:2">
      <c r="B64" s="5"/>
    </row>
    <row r="65" spans="2:2">
      <c r="B65" s="5"/>
    </row>
    <row r="66" spans="2:2">
      <c r="B66" s="5"/>
    </row>
    <row r="67" spans="2:2">
      <c r="B67" s="5"/>
    </row>
    <row r="68" spans="2:2">
      <c r="B68" s="5"/>
    </row>
    <row r="69" spans="2:2">
      <c r="B69" s="5"/>
    </row>
    <row r="70" spans="2:2">
      <c r="B70" s="5"/>
    </row>
    <row r="71" spans="2:2">
      <c r="B71" s="5"/>
    </row>
    <row r="72" spans="2:2">
      <c r="B72" s="5"/>
    </row>
    <row r="73" spans="2:2">
      <c r="B73" s="5"/>
    </row>
    <row r="74" spans="2:2">
      <c r="B74" s="5"/>
    </row>
    <row r="75" spans="2:2">
      <c r="B75" s="5"/>
    </row>
    <row r="76" spans="2:2">
      <c r="B76" s="5"/>
    </row>
    <row r="77" spans="2:2">
      <c r="B77" s="5"/>
    </row>
    <row r="78" spans="2:2">
      <c r="B78" s="5"/>
    </row>
    <row r="79" spans="2:2">
      <c r="B79" s="5"/>
    </row>
    <row r="80" spans="2:2">
      <c r="B80" s="5"/>
    </row>
    <row r="81" spans="2:2">
      <c r="B81" s="5"/>
    </row>
    <row r="82" spans="2:2">
      <c r="B82" s="5"/>
    </row>
    <row r="83" spans="2:2">
      <c r="B83" s="5"/>
    </row>
    <row r="84" spans="2:2">
      <c r="B84" s="5"/>
    </row>
    <row r="85" spans="2:2">
      <c r="B85" s="5"/>
    </row>
    <row r="86" spans="2:2">
      <c r="B86" s="5"/>
    </row>
    <row r="87" spans="2:2">
      <c r="B87" s="5"/>
    </row>
    <row r="88" spans="2:2">
      <c r="B88" s="5"/>
    </row>
    <row r="89" spans="2:2">
      <c r="B89" s="5"/>
    </row>
    <row r="90" spans="2:2">
      <c r="B90" s="5"/>
    </row>
    <row r="91" spans="2:2">
      <c r="B91" s="5"/>
    </row>
    <row r="92" spans="2:2">
      <c r="B92" s="5"/>
    </row>
    <row r="93" spans="2:2">
      <c r="B93" s="5"/>
    </row>
    <row r="94" spans="2:2">
      <c r="B94" s="5"/>
    </row>
    <row r="95" spans="2:2">
      <c r="B95" s="5"/>
    </row>
    <row r="96" spans="2:2">
      <c r="B96" s="5"/>
    </row>
    <row r="97" spans="2:2">
      <c r="B97" s="5"/>
    </row>
    <row r="98" spans="2:2">
      <c r="B98" s="5"/>
    </row>
    <row r="99" spans="2:2">
      <c r="B99" s="5"/>
    </row>
    <row r="100" spans="2:2">
      <c r="B100" s="5"/>
    </row>
    <row r="101" spans="2:2">
      <c r="B101" s="5"/>
    </row>
    <row r="102" spans="2:2">
      <c r="B102" s="5"/>
    </row>
    <row r="103" spans="2:2">
      <c r="B103" s="5"/>
    </row>
    <row r="104" spans="2:2">
      <c r="B104" s="5"/>
    </row>
    <row r="105" spans="2:2">
      <c r="B105" s="5"/>
    </row>
    <row r="106" spans="2:2">
      <c r="B106" s="5"/>
    </row>
    <row r="107" spans="2:2">
      <c r="B107" s="5"/>
    </row>
    <row r="108" spans="2:2">
      <c r="B108" s="5"/>
    </row>
    <row r="109" spans="2:2">
      <c r="B109" s="5"/>
    </row>
    <row r="110" spans="2:2">
      <c r="B110" s="5"/>
    </row>
    <row r="111" spans="2:2">
      <c r="B111" s="5"/>
    </row>
    <row r="112" spans="2:2">
      <c r="B112" s="5"/>
    </row>
    <row r="113" spans="2:2">
      <c r="B113" s="5"/>
    </row>
    <row r="114" spans="2:2">
      <c r="B114" s="5"/>
    </row>
    <row r="115" spans="2:2">
      <c r="B115" s="5"/>
    </row>
    <row r="116" spans="2:2">
      <c r="B116" s="5"/>
    </row>
    <row r="117" spans="2:2">
      <c r="B117" s="5"/>
    </row>
    <row r="118" spans="2:2">
      <c r="B118" s="5"/>
    </row>
    <row r="119" spans="2:2">
      <c r="B119" s="5"/>
    </row>
    <row r="120" spans="2:2">
      <c r="B120" s="5"/>
    </row>
    <row r="121" spans="2:2">
      <c r="B121" s="5"/>
    </row>
    <row r="122" spans="2:2">
      <c r="B122" s="5"/>
    </row>
    <row r="123" spans="2:2">
      <c r="B123" s="5"/>
    </row>
    <row r="124" spans="2:2">
      <c r="B124" s="5"/>
    </row>
    <row r="125" spans="2:2">
      <c r="B125" s="5"/>
    </row>
    <row r="126" spans="2:2">
      <c r="B126" s="5"/>
    </row>
    <row r="127" spans="2:2">
      <c r="B127" s="5"/>
    </row>
    <row r="128" spans="2:2">
      <c r="B128" s="5"/>
    </row>
    <row r="129" spans="2:2">
      <c r="B129" s="5"/>
    </row>
    <row r="130" spans="2:2">
      <c r="B130" s="5"/>
    </row>
    <row r="131" spans="2:2">
      <c r="B131" s="5"/>
    </row>
    <row r="132" spans="2:2">
      <c r="B132" s="5"/>
    </row>
    <row r="133" spans="2:2">
      <c r="B133" s="5"/>
    </row>
    <row r="134" spans="2:2">
      <c r="B134" s="5"/>
    </row>
    <row r="135" spans="2:2">
      <c r="B135" s="5"/>
    </row>
    <row r="136" spans="2:2">
      <c r="B136" s="5"/>
    </row>
    <row r="137" spans="2:2">
      <c r="B137" s="5"/>
    </row>
    <row r="138" spans="2:2">
      <c r="B138" s="5"/>
    </row>
    <row r="139" spans="2:2">
      <c r="B139" s="5"/>
    </row>
    <row r="140" spans="2:2">
      <c r="B140" s="5"/>
    </row>
    <row r="141" spans="2:2">
      <c r="B141" s="5"/>
    </row>
    <row r="142" spans="2:2">
      <c r="B142" s="5"/>
    </row>
    <row r="143" spans="2:2">
      <c r="B143" s="5"/>
    </row>
    <row r="144" spans="2:2">
      <c r="B144" s="5"/>
    </row>
    <row r="145" spans="2:2">
      <c r="B145" s="5"/>
    </row>
    <row r="146" spans="2:2">
      <c r="B146" s="5"/>
    </row>
    <row r="147" spans="2:2">
      <c r="B147" s="5"/>
    </row>
    <row r="148" spans="2:2">
      <c r="B148" s="5"/>
    </row>
    <row r="149" spans="2:2">
      <c r="B149" s="5"/>
    </row>
    <row r="150" spans="2:2">
      <c r="B150" s="5"/>
    </row>
    <row r="151" spans="2:2">
      <c r="B151" s="5"/>
    </row>
    <row r="152" spans="2:2">
      <c r="B152" s="5"/>
    </row>
    <row r="153" spans="2:2">
      <c r="B153" s="5"/>
    </row>
    <row r="154" spans="2:2">
      <c r="B154" s="5"/>
    </row>
    <row r="155" spans="2:2">
      <c r="B155" s="5"/>
    </row>
    <row r="156" spans="2:2">
      <c r="B156" s="5"/>
    </row>
    <row r="157" spans="2:2">
      <c r="B157" s="5"/>
    </row>
    <row r="158" spans="2:2">
      <c r="B158" s="5"/>
    </row>
    <row r="159" spans="2:2">
      <c r="B159" s="5"/>
    </row>
    <row r="160" spans="2:2">
      <c r="B160" s="5"/>
    </row>
    <row r="161" spans="2:2">
      <c r="B161" s="5"/>
    </row>
    <row r="162" spans="2:2">
      <c r="B162" s="5"/>
    </row>
    <row r="163" spans="2:2">
      <c r="B163" s="5"/>
    </row>
    <row r="164" spans="2:2">
      <c r="B164" s="5"/>
    </row>
    <row r="165" spans="2:2">
      <c r="B165" s="5"/>
    </row>
    <row r="166" spans="2:2">
      <c r="B166" s="5"/>
    </row>
    <row r="167" spans="2:2">
      <c r="B167" s="5"/>
    </row>
    <row r="168" spans="2:2">
      <c r="B168" s="5"/>
    </row>
    <row r="169" spans="2:2">
      <c r="B169" s="5"/>
    </row>
    <row r="170" spans="2:2">
      <c r="B170" s="5"/>
    </row>
    <row r="171" spans="2:2">
      <c r="B171" s="5"/>
    </row>
    <row r="172" spans="2:2">
      <c r="B172" s="5"/>
    </row>
    <row r="173" spans="2:2">
      <c r="B173" s="5"/>
    </row>
    <row r="174" spans="2:2">
      <c r="B174" s="5"/>
    </row>
    <row r="175" spans="2:2">
      <c r="B175" s="5"/>
    </row>
    <row r="176" spans="2:2">
      <c r="B176" s="5"/>
    </row>
    <row r="177" spans="2:2">
      <c r="B177" s="5"/>
    </row>
    <row r="178" spans="2:2">
      <c r="B178" s="5"/>
    </row>
    <row r="179" spans="2:2">
      <c r="B179" s="5"/>
    </row>
    <row r="180" spans="2:2">
      <c r="B180" s="5"/>
    </row>
    <row r="181" spans="2:2">
      <c r="B181" s="5"/>
    </row>
    <row r="182" spans="2:2">
      <c r="B182" s="5"/>
    </row>
    <row r="183" spans="2:2">
      <c r="B183" s="5"/>
    </row>
    <row r="184" spans="2:2">
      <c r="B184" s="5"/>
    </row>
    <row r="185" spans="2:2">
      <c r="B185" s="5"/>
    </row>
    <row r="186" spans="2:2">
      <c r="B186" s="5"/>
    </row>
    <row r="187" spans="2:2">
      <c r="B187" s="5"/>
    </row>
    <row r="188" spans="2:2">
      <c r="B188" s="5"/>
    </row>
    <row r="189" spans="2:2">
      <c r="B189" s="5"/>
    </row>
    <row r="190" spans="2:2">
      <c r="B190" s="5"/>
    </row>
    <row r="191" spans="2:2">
      <c r="B191" s="5"/>
    </row>
    <row r="192" spans="2:2">
      <c r="B192" s="5"/>
    </row>
    <row r="193" spans="2:2">
      <c r="B193" s="5"/>
    </row>
    <row r="194" spans="2:2">
      <c r="B194" s="5"/>
    </row>
    <row r="195" spans="2:2">
      <c r="B195" s="5"/>
    </row>
    <row r="196" spans="2:2">
      <c r="B196" s="5"/>
    </row>
    <row r="197" spans="2:2">
      <c r="B197" s="5"/>
    </row>
    <row r="198" spans="2:2">
      <c r="B198" s="5"/>
    </row>
    <row r="199" spans="2:2">
      <c r="B199" s="5"/>
    </row>
    <row r="200" spans="2:2">
      <c r="B200" s="5"/>
    </row>
    <row r="201" spans="2:2">
      <c r="B201" s="5"/>
    </row>
    <row r="202" spans="2:2">
      <c r="B202" s="5"/>
    </row>
    <row r="203" spans="2:2">
      <c r="B203" s="5"/>
    </row>
    <row r="204" spans="2:2">
      <c r="B204" s="5"/>
    </row>
    <row r="205" spans="2:2">
      <c r="B205" s="5"/>
    </row>
    <row r="206" spans="2:2">
      <c r="B206" s="5"/>
    </row>
    <row r="207" spans="2:2">
      <c r="B207" s="5"/>
    </row>
    <row r="208" spans="2:2">
      <c r="B208" s="5"/>
    </row>
    <row r="209" spans="2:2">
      <c r="B209" s="5"/>
    </row>
    <row r="210" spans="2:2">
      <c r="B210" s="5"/>
    </row>
    <row r="211" spans="2:2">
      <c r="B211" s="5"/>
    </row>
    <row r="212" spans="2:2">
      <c r="B212" s="5"/>
    </row>
    <row r="213" spans="2:2">
      <c r="B213" s="5"/>
    </row>
    <row r="214" spans="2:2">
      <c r="B214" s="5"/>
    </row>
    <row r="215" spans="2:2">
      <c r="B215" s="5"/>
    </row>
    <row r="216" spans="2:2">
      <c r="B216" s="5"/>
    </row>
    <row r="217" spans="2:2">
      <c r="B217" s="5"/>
    </row>
    <row r="218" spans="2:2">
      <c r="B218" s="5"/>
    </row>
    <row r="219" spans="2:2">
      <c r="B219" s="5"/>
    </row>
    <row r="220" spans="2:2">
      <c r="B220" s="5"/>
    </row>
    <row r="221" spans="2:2">
      <c r="B221" s="5"/>
    </row>
    <row r="222" spans="2:2">
      <c r="B222" s="5"/>
    </row>
    <row r="223" spans="2:2">
      <c r="B223" s="5"/>
    </row>
    <row r="224" spans="2:2">
      <c r="B224" s="5"/>
    </row>
    <row r="225" spans="2:2">
      <c r="B225" s="5"/>
    </row>
    <row r="226" spans="2:2">
      <c r="B226" s="5"/>
    </row>
    <row r="227" spans="2:2">
      <c r="B227" s="5"/>
    </row>
    <row r="228" spans="2:2">
      <c r="B228" s="5"/>
    </row>
    <row r="229" spans="2:2">
      <c r="B229" s="5"/>
    </row>
    <row r="230" spans="2:2">
      <c r="B230" s="5"/>
    </row>
    <row r="231" spans="2:2">
      <c r="B231" s="5"/>
    </row>
    <row r="232" spans="2:2">
      <c r="B232" s="5"/>
    </row>
    <row r="233" spans="2:2">
      <c r="B233" s="5"/>
    </row>
    <row r="234" spans="2:2">
      <c r="B234" s="5"/>
    </row>
    <row r="235" spans="2:2">
      <c r="B235" s="5"/>
    </row>
    <row r="236" spans="2:2">
      <c r="B236" s="5"/>
    </row>
    <row r="237" spans="2:2">
      <c r="B237" s="5"/>
    </row>
    <row r="238" spans="2:2">
      <c r="B238" s="5"/>
    </row>
    <row r="239" spans="2:2">
      <c r="B239" s="5"/>
    </row>
    <row r="240" spans="2:2">
      <c r="B240" s="5"/>
    </row>
    <row r="241" spans="2:2">
      <c r="B241" s="5"/>
    </row>
    <row r="242" spans="2:2">
      <c r="B242" s="5"/>
    </row>
    <row r="243" spans="2:2">
      <c r="B243" s="5"/>
    </row>
    <row r="244" spans="2:2">
      <c r="B244" s="5"/>
    </row>
    <row r="245" spans="2:2">
      <c r="B245" s="5"/>
    </row>
    <row r="246" spans="2:2">
      <c r="B246" s="5"/>
    </row>
    <row r="247" spans="2:2">
      <c r="B247" s="5"/>
    </row>
    <row r="248" spans="2:2">
      <c r="B248" s="5"/>
    </row>
    <row r="249" spans="2:2">
      <c r="B249" s="5"/>
    </row>
    <row r="250" spans="2:2">
      <c r="B250" s="5"/>
    </row>
    <row r="251" spans="2:2">
      <c r="B251" s="5"/>
    </row>
    <row r="252" spans="2:2">
      <c r="B252" s="5"/>
    </row>
    <row r="253" spans="2:2">
      <c r="B253" s="5"/>
    </row>
    <row r="254" spans="2:2">
      <c r="B254" s="5"/>
    </row>
    <row r="255" spans="2:2">
      <c r="B255" s="5"/>
    </row>
    <row r="256" spans="2:2">
      <c r="B256" s="5"/>
    </row>
    <row r="257" spans="2:2">
      <c r="B257" s="5"/>
    </row>
    <row r="258" spans="2:2">
      <c r="B258" s="5"/>
    </row>
    <row r="259" spans="2:2">
      <c r="B259" s="5"/>
    </row>
    <row r="260" spans="2:2">
      <c r="B260" s="5"/>
    </row>
    <row r="261" spans="2:2">
      <c r="B261" s="5"/>
    </row>
    <row r="262" spans="2:2">
      <c r="B262" s="5"/>
    </row>
    <row r="263" spans="2:2">
      <c r="B263" s="5"/>
    </row>
    <row r="264" spans="2:2">
      <c r="B264" s="5"/>
    </row>
    <row r="265" spans="2:2">
      <c r="B265" s="5"/>
    </row>
    <row r="266" spans="2:2">
      <c r="B266" s="5"/>
    </row>
    <row r="267" spans="2:2">
      <c r="B267" s="5"/>
    </row>
    <row r="268" spans="2:2">
      <c r="B268" s="5"/>
    </row>
    <row r="269" spans="2:2">
      <c r="B269" s="5"/>
    </row>
    <row r="270" spans="2:2">
      <c r="B270" s="5"/>
    </row>
    <row r="271" spans="2:2">
      <c r="B271" s="5"/>
    </row>
    <row r="272" spans="2:2">
      <c r="B272" s="5"/>
    </row>
    <row r="273" spans="2:2">
      <c r="B273" s="5"/>
    </row>
    <row r="274" spans="2:2">
      <c r="B274" s="5"/>
    </row>
    <row r="275" spans="2:2">
      <c r="B275" s="5"/>
    </row>
    <row r="276" spans="2:2">
      <c r="B276" s="5"/>
    </row>
    <row r="277" spans="2:2">
      <c r="B277" s="5"/>
    </row>
    <row r="278" spans="2:2">
      <c r="B278" s="5"/>
    </row>
    <row r="279" spans="2:2">
      <c r="B279" s="5"/>
    </row>
    <row r="280" spans="2:2">
      <c r="B280" s="5"/>
    </row>
    <row r="281" spans="2:2">
      <c r="B281" s="5"/>
    </row>
    <row r="282" spans="2:2">
      <c r="B282" s="5"/>
    </row>
    <row r="283" spans="2:2">
      <c r="B283" s="5"/>
    </row>
    <row r="284" spans="2:2">
      <c r="B284" s="5"/>
    </row>
    <row r="285" spans="2:2">
      <c r="B285" s="5"/>
    </row>
    <row r="286" spans="2:2">
      <c r="B286" s="5"/>
    </row>
    <row r="287" spans="2:2">
      <c r="B287" s="5"/>
    </row>
    <row r="288" spans="2:2">
      <c r="B288" s="5"/>
    </row>
    <row r="289" spans="2:2">
      <c r="B289" s="5"/>
    </row>
    <row r="290" spans="2:2">
      <c r="B290" s="5"/>
    </row>
    <row r="291" spans="2:2">
      <c r="B291" s="5"/>
    </row>
    <row r="292" spans="2:2">
      <c r="B292" s="5"/>
    </row>
    <row r="293" spans="2:2">
      <c r="B293" s="5"/>
    </row>
    <row r="294" spans="2:2">
      <c r="B294" s="5"/>
    </row>
    <row r="295" spans="2:2">
      <c r="B295" s="5"/>
    </row>
    <row r="296" spans="2:2">
      <c r="B296" s="5"/>
    </row>
    <row r="297" spans="2:2">
      <c r="B297" s="5"/>
    </row>
    <row r="298" spans="2:2">
      <c r="B298" s="5"/>
    </row>
    <row r="299" spans="2:2">
      <c r="B299" s="5"/>
    </row>
    <row r="300" spans="2:2">
      <c r="B300" s="5"/>
    </row>
    <row r="301" spans="2:2">
      <c r="B301" s="5"/>
    </row>
    <row r="302" spans="2:2">
      <c r="B302" s="5"/>
    </row>
    <row r="303" spans="2:2">
      <c r="B303" s="5"/>
    </row>
    <row r="304" spans="2:2">
      <c r="B304" s="5"/>
    </row>
    <row r="305" spans="2:2">
      <c r="B305" s="5"/>
    </row>
    <row r="306" spans="2:2">
      <c r="B306" s="5"/>
    </row>
  </sheetData>
  <autoFilter ref="A3:D3"/>
  <sortState ref="A4:K27">
    <sortCondition ref="B11"/>
  </sortState>
  <mergeCells count="12">
    <mergeCell ref="Q4:R4"/>
    <mergeCell ref="S4:T4"/>
    <mergeCell ref="C3:H3"/>
    <mergeCell ref="I3:N3"/>
    <mergeCell ref="O3:T3"/>
    <mergeCell ref="C4:D4"/>
    <mergeCell ref="E4:F4"/>
    <mergeCell ref="G4:H4"/>
    <mergeCell ref="I4:J4"/>
    <mergeCell ref="K4:L4"/>
    <mergeCell ref="M4:N4"/>
    <mergeCell ref="O4:P4"/>
  </mergeCells>
  <conditionalFormatting sqref="B314:B319">
    <cfRule type="duplicateValues" dxfId="1" priority="1"/>
    <cfRule type="duplicateValues" dxfId="0" priority="2"/>
  </conditionalFormatting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AMN-IOH</dc:creator>
  <cp:lastModifiedBy>AMN-IOH</cp:lastModifiedBy>
  <dcterms:created xsi:type="dcterms:W3CDTF">2026-08-02T10:17:34Z</dcterms:created>
  <dcterms:modified xsi:type="dcterms:W3CDTF">2026-10-31T07:20:49Z</dcterms:modified>
</cp:coreProperties>
</file>