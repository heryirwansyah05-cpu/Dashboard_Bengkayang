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K9" i="1" l="1"/>
  <c r="J6" i="1"/>
  <c r="I10" i="1"/>
  <c r="O10" i="1" s="1"/>
  <c r="L9" i="1" l="1"/>
  <c r="J9" i="1"/>
  <c r="P9" i="1" s="1"/>
  <c r="K7" i="1"/>
  <c r="K11" i="1"/>
  <c r="I11" i="1"/>
  <c r="O11" i="1" s="1"/>
  <c r="L7" i="1"/>
  <c r="I8" i="1"/>
  <c r="O8" i="1" s="1"/>
  <c r="J11" i="1"/>
  <c r="P11" i="1" s="1"/>
  <c r="J8" i="1"/>
  <c r="P8" i="1" s="1"/>
  <c r="I9" i="1"/>
  <c r="O9" i="1" s="1"/>
  <c r="I6" i="1"/>
  <c r="P6" i="1"/>
  <c r="Q9" i="1"/>
  <c r="K8" i="1"/>
  <c r="I7" i="1"/>
  <c r="O7" i="1" s="1"/>
  <c r="J7" i="1"/>
  <c r="P7" i="1" s="1"/>
  <c r="L11" i="1"/>
  <c r="L8" i="1"/>
  <c r="K6" i="1"/>
  <c r="K10" i="1"/>
  <c r="L6" i="1"/>
  <c r="J10" i="1"/>
  <c r="P10" i="1" s="1"/>
  <c r="L10" i="1"/>
  <c r="P12" i="1" l="1"/>
  <c r="R6" i="1"/>
  <c r="L12" i="1"/>
  <c r="N6" i="1"/>
  <c r="O6" i="1"/>
  <c r="O12" i="1" s="1"/>
  <c r="I12" i="1"/>
  <c r="M10" i="1"/>
  <c r="S10" i="1" s="1"/>
  <c r="Q10" i="1"/>
  <c r="Q6" i="1"/>
  <c r="K12" i="1"/>
  <c r="M6" i="1"/>
  <c r="R11" i="1"/>
  <c r="N11" i="1"/>
  <c r="T11" i="1" s="1"/>
  <c r="R7" i="1"/>
  <c r="N7" i="1"/>
  <c r="T7" i="1" s="1"/>
  <c r="R8" i="1"/>
  <c r="N8" i="1"/>
  <c r="T8" i="1" s="1"/>
  <c r="Q8" i="1"/>
  <c r="M8" i="1"/>
  <c r="S8" i="1" s="1"/>
  <c r="M11" i="1"/>
  <c r="S11" i="1" s="1"/>
  <c r="Q11" i="1"/>
  <c r="Q7" i="1"/>
  <c r="M7" i="1"/>
  <c r="S7" i="1" s="1"/>
  <c r="M9" i="1"/>
  <c r="S9" i="1" s="1"/>
  <c r="R10" i="1"/>
  <c r="N10" i="1"/>
  <c r="T10" i="1" s="1"/>
  <c r="J12" i="1"/>
  <c r="N9" i="1"/>
  <c r="T9" i="1" s="1"/>
  <c r="R9" i="1"/>
  <c r="S6" i="1" l="1"/>
  <c r="S12" i="1" s="1"/>
  <c r="M12" i="1"/>
  <c r="T6" i="1"/>
  <c r="T12" i="1" s="1"/>
  <c r="N12" i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<sst xmlns="http://schemas.openxmlformats.org/spreadsheetml/2006/main" count="45" uniqueCount="23">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</sst>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383748300</v>
          </cell>
          <cell r="U4">
            <v>1675</v>
          </cell>
          <cell r="Y4">
            <v>45450000</v>
          </cell>
          <cell r="Z4">
            <v>6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3420500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2108000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954000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394000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543600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1104000</v>
          </cell>
          <cell r="U21">
            <v>20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394000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1172000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631800</v>
          </cell>
          <cell r="U26">
            <v>16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963000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648300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787000</v>
          </cell>
          <cell r="U31">
            <v>18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1320200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595200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1619100</v>
          </cell>
          <cell r="U35">
            <v>15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12915000</v>
          </cell>
          <cell r="U36">
            <v>28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1876000</v>
          </cell>
          <cell r="U39">
            <v>18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4777000</v>
          </cell>
          <cell r="U40">
            <v>37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2594200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10500000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626500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3104000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1785600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2048000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3021000</v>
          </cell>
          <cell r="U49">
            <v>20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3146000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1756400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977400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1188500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1320000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1523200</v>
          </cell>
          <cell r="U57">
            <v>20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1064000</v>
          </cell>
          <cell r="U58">
            <v>20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3461000</v>
          </cell>
          <cell r="U59">
            <v>12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3696300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8823000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817000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2822000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20034000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2988000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6952000</v>
          </cell>
          <cell r="U70">
            <v>10</v>
          </cell>
          <cell r="Y70">
            <v>3720000</v>
          </cell>
          <cell r="Z70">
            <v>0</v>
          </cell>
        </row>
        <row r="71">
          <cell r="A71" t="str">
            <v>APRIANUS</v>
          </cell>
          <cell r="T71">
            <v>4488800</v>
          </cell>
          <cell r="U71">
            <v>15</v>
          </cell>
          <cell r="Y71">
            <v>1650000</v>
          </cell>
          <cell r="Z71">
            <v>0</v>
          </cell>
        </row>
        <row r="72">
          <cell r="A72" t="str">
            <v>JULAIHA</v>
          </cell>
          <cell r="T72">
            <v>1359500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3009600</v>
          </cell>
          <cell r="U73">
            <v>15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1858600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735400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1053600</v>
          </cell>
          <cell r="U78">
            <v>20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960000</v>
          </cell>
          <cell r="U81">
            <v>12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2004000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2358000</v>
          </cell>
          <cell r="U83">
            <v>13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720000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500000</v>
          </cell>
          <cell r="Z87">
            <v>1</v>
          </cell>
        </row>
        <row r="88">
          <cell r="A88" t="str">
            <v>JULAIHA</v>
          </cell>
          <cell r="T88">
            <v>1955000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3508400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10665000</v>
          </cell>
          <cell r="U92">
            <v>28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869500</v>
          </cell>
          <cell r="U93">
            <v>13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1131000</v>
          </cell>
          <cell r="U98">
            <v>15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602500</v>
          </cell>
          <cell r="U100">
            <v>10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1252700</v>
          </cell>
          <cell r="U101">
            <v>15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1574200</v>
          </cell>
          <cell r="U102">
            <v>25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1499000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1511000</v>
          </cell>
          <cell r="U106">
            <v>20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2545000</v>
          </cell>
          <cell r="U109">
            <v>10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813000</v>
          </cell>
          <cell r="U110">
            <v>10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2946000</v>
          </cell>
          <cell r="U111">
            <v>12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1021000</v>
          </cell>
          <cell r="U112">
            <v>12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1418000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809200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1195600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1488000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848000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1188000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13618000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3340000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1387400</v>
          </cell>
          <cell r="U137">
            <v>15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1041000</v>
          </cell>
          <cell r="U138">
            <v>15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747400</v>
          </cell>
          <cell r="U142">
            <v>10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1</v>
          </cell>
        </row>
        <row r="147">
          <cell r="A147" t="str">
            <v>URAY ILHAM</v>
          </cell>
          <cell r="T147">
            <v>1749600</v>
          </cell>
          <cell r="U147">
            <v>15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1167600</v>
          </cell>
          <cell r="U149">
            <v>15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6366200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4547300</v>
          </cell>
          <cell r="U151">
            <v>20</v>
          </cell>
          <cell r="Y151">
            <v>3000000</v>
          </cell>
          <cell r="Z151">
            <v>0</v>
          </cell>
        </row>
        <row r="152">
          <cell r="A152" t="str">
            <v>JULAIHA</v>
          </cell>
          <cell r="T152">
            <v>3310500</v>
          </cell>
          <cell r="U152">
            <v>20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6752300</v>
          </cell>
          <cell r="U155">
            <v>10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615500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1010400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3906000</v>
          </cell>
          <cell r="U159">
            <v>12</v>
          </cell>
          <cell r="Y159">
            <v>1000000</v>
          </cell>
          <cell r="Z159">
            <v>0</v>
          </cell>
        </row>
        <row r="160">
          <cell r="A160" t="str">
            <v>URAY ILHAM</v>
          </cell>
          <cell r="T160">
            <v>1135000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4414200</v>
          </cell>
          <cell r="U161">
            <v>5</v>
          </cell>
          <cell r="Y161">
            <v>2050000</v>
          </cell>
          <cell r="Z161">
            <v>0</v>
          </cell>
        </row>
        <row r="162">
          <cell r="A162" t="str">
            <v>URAY ILHAM</v>
          </cell>
          <cell r="T162">
            <v>2105900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1455200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1654800</v>
          </cell>
          <cell r="U164">
            <v>23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1099200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1382400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1827400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546500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536400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737000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811700</v>
          </cell>
          <cell r="U175">
            <v>15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3434700</v>
          </cell>
          <cell r="U176">
            <v>15</v>
          </cell>
          <cell r="Y176">
            <v>1300000</v>
          </cell>
          <cell r="Z176">
            <v>0</v>
          </cell>
        </row>
        <row r="177">
          <cell r="A177" t="str">
            <v>JULAIHA</v>
          </cell>
          <cell r="T177">
            <v>477500</v>
          </cell>
          <cell r="U177">
            <v>10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811700</v>
          </cell>
          <cell r="U178">
            <v>15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1221000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3075000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1465000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1066000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921000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5402000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872400</v>
          </cell>
          <cell r="U191">
            <v>3</v>
          </cell>
          <cell r="Y191">
            <v>2300000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18535600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9256400</v>
          </cell>
          <cell r="U196">
            <v>30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8728900</v>
          </cell>
          <cell r="U200">
            <v>10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2478500</v>
          </cell>
          <cell r="U203">
            <v>20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883000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865000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4349000</v>
          </cell>
          <cell r="U212">
            <v>17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1104000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708000</v>
          </cell>
          <cell r="U217">
            <v>8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741000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1069000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1467000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720500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1086000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1446000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2213000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8521000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3280000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2966000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2098000</v>
          </cell>
          <cell r="U233">
            <v>10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1122000</v>
          </cell>
          <cell r="U234">
            <v>15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1721000</v>
          </cell>
          <cell r="U235">
            <v>10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2316000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870000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D1" workbookViewId="0">
      <selection activeCell="N12" sqref="N12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76925900</v>
      </c>
      <c r="J6" s="18">
        <f>SUMIF([1]Sheet1!$A:$A,A6,[1]Sheet1!$U:$U)</f>
        <v>265</v>
      </c>
      <c r="K6" s="18">
        <f>SUMIF([1]Sheet1!$A:$A,A6,[1]Sheet1!$Y:$Y)</f>
        <v>6800000</v>
      </c>
      <c r="L6" s="18">
        <f>SUMIF([1]Sheet1!$A:$A,A6,[1]Sheet1!$Z:$Z)</f>
        <v>0</v>
      </c>
      <c r="M6" s="17">
        <f>K6+I6</f>
        <v>83725900</v>
      </c>
      <c r="N6" s="17">
        <f>L6+J6</f>
        <v>265</v>
      </c>
      <c r="O6" s="19">
        <f t="shared" ref="O6:T11" si="0">I6/C6</f>
        <v>0.52562805666411394</v>
      </c>
      <c r="P6" s="19">
        <f t="shared" si="0"/>
        <v>1.244131455399061</v>
      </c>
      <c r="Q6" s="19">
        <f t="shared" si="0"/>
        <v>0.35449682886089606</v>
      </c>
      <c r="R6" s="19">
        <f t="shared" si="0"/>
        <v>0</v>
      </c>
      <c r="S6" s="19">
        <f t="shared" si="0"/>
        <v>0.50579715847207596</v>
      </c>
      <c r="T6" s="19">
        <f t="shared" si="0"/>
        <v>1.0392156862745099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38109100</v>
      </c>
      <c r="J7" s="18">
        <f>SUMIF([1]Sheet1!$A:$A,A7,[1]Sheet1!$U:$U)</f>
        <v>223</v>
      </c>
      <c r="K7" s="18">
        <f>SUMIF([1]Sheet1!$A:$A,A7,[1]Sheet1!$Y:$Y)</f>
        <v>16120000</v>
      </c>
      <c r="L7" s="18">
        <f>SUMIF([1]Sheet1!$A:$A,A7,[1]Sheet1!$Z:$Z)</f>
        <v>2</v>
      </c>
      <c r="M7" s="17">
        <f t="shared" ref="M7:N11" si="2">K7+I7</f>
        <v>54229100</v>
      </c>
      <c r="N7" s="17">
        <f t="shared" si="2"/>
        <v>225</v>
      </c>
      <c r="O7" s="19">
        <f t="shared" si="0"/>
        <v>0.55529240877953645</v>
      </c>
      <c r="P7" s="19">
        <f t="shared" si="0"/>
        <v>1.1039603960396041</v>
      </c>
      <c r="Q7" s="19">
        <f t="shared" si="0"/>
        <v>1.138249194318955</v>
      </c>
      <c r="R7" s="19">
        <f t="shared" si="0"/>
        <v>8.6956521739130432E-2</v>
      </c>
      <c r="S7" s="19">
        <f t="shared" si="0"/>
        <v>0.65501211315415153</v>
      </c>
      <c r="T7" s="19">
        <f t="shared" si="0"/>
        <v>1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24258600</v>
      </c>
      <c r="J8" s="18">
        <f>SUMIF([1]Sheet1!$A:$A,A8,[1]Sheet1!$U:$U)</f>
        <v>112</v>
      </c>
      <c r="K8" s="18">
        <f>SUMIF([1]Sheet1!$A:$A,A8,[1]Sheet1!$Y:$Y)</f>
        <v>1950000</v>
      </c>
      <c r="L8" s="18">
        <f>SUMIF([1]Sheet1!$A:$A,A8,[1]Sheet1!$Z:$Z)</f>
        <v>0</v>
      </c>
      <c r="M8" s="17">
        <f t="shared" si="2"/>
        <v>26208600</v>
      </c>
      <c r="N8" s="17">
        <f t="shared" si="2"/>
        <v>112</v>
      </c>
      <c r="O8" s="19">
        <f t="shared" si="0"/>
        <v>0.26052814769749461</v>
      </c>
      <c r="P8" s="19">
        <f t="shared" si="0"/>
        <v>0.49777777777777776</v>
      </c>
      <c r="Q8" s="19">
        <f t="shared" si="0"/>
        <v>0.46606884379616004</v>
      </c>
      <c r="R8" s="19">
        <f t="shared" si="0"/>
        <v>0</v>
      </c>
      <c r="S8" s="19">
        <f t="shared" si="0"/>
        <v>0.26936672755553526</v>
      </c>
      <c r="T8" s="19">
        <f t="shared" si="0"/>
        <v>0.48695652173913045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124158400</v>
      </c>
      <c r="J9" s="18">
        <f>SUMIF([1]Sheet1!$A:$A,A9,[1]Sheet1!$U:$U)</f>
        <v>444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124158400</v>
      </c>
      <c r="N9" s="17">
        <f t="shared" si="2"/>
        <v>444</v>
      </c>
      <c r="O9" s="19">
        <f t="shared" si="0"/>
        <v>0.40496921337470271</v>
      </c>
      <c r="P9" s="19">
        <f t="shared" si="0"/>
        <v>1.2333333333333334</v>
      </c>
      <c r="Q9" s="19">
        <f t="shared" si="0"/>
        <v>0</v>
      </c>
      <c r="R9" s="19">
        <f t="shared" si="0"/>
        <v>0</v>
      </c>
      <c r="S9" s="19">
        <f t="shared" si="0"/>
        <v>0.38271564930739776</v>
      </c>
      <c r="T9" s="19">
        <f t="shared" si="0"/>
        <v>0.99775280898876406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55483200</v>
      </c>
      <c r="J10" s="18">
        <f>SUMIF([1]Sheet1!$A:$A,A10,[1]Sheet1!$U:$U)</f>
        <v>268</v>
      </c>
      <c r="K10" s="18">
        <f>SUMIF([1]Sheet1!$A:$A,A10,[1]Sheet1!$Y:$Y)</f>
        <v>6250000</v>
      </c>
      <c r="L10" s="18">
        <f>SUMIF([1]Sheet1!$A:$A,A10,[1]Sheet1!$Z:$Z)</f>
        <v>1</v>
      </c>
      <c r="M10" s="17">
        <f t="shared" si="2"/>
        <v>61733200</v>
      </c>
      <c r="N10" s="17">
        <f t="shared" si="2"/>
        <v>269</v>
      </c>
      <c r="O10" s="19">
        <f t="shared" si="0"/>
        <v>0.44712362903273351</v>
      </c>
      <c r="P10" s="19">
        <f t="shared" si="0"/>
        <v>1.1028806584362141</v>
      </c>
      <c r="Q10" s="19">
        <f t="shared" si="0"/>
        <v>0.19226386601709686</v>
      </c>
      <c r="R10" s="19">
        <f t="shared" si="0"/>
        <v>5.434782608695652E-3</v>
      </c>
      <c r="S10" s="19">
        <f t="shared" si="0"/>
        <v>0.39421806446967556</v>
      </c>
      <c r="T10" s="19">
        <f t="shared" si="0"/>
        <v>0.62997658079625296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64813100</v>
      </c>
      <c r="J11" s="18">
        <f>SUMIF([1]Sheet1!$A:$A,A11,[1]Sheet1!$U:$U)</f>
        <v>363</v>
      </c>
      <c r="K11" s="18">
        <f>SUMIF([1]Sheet1!$A:$A,A11,[1]Sheet1!$Y:$Y)</f>
        <v>14330000</v>
      </c>
      <c r="L11" s="18">
        <f>SUMIF([1]Sheet1!$A:$A,A11,[1]Sheet1!$Z:$Z)</f>
        <v>3</v>
      </c>
      <c r="M11" s="17">
        <f t="shared" si="2"/>
        <v>79143100</v>
      </c>
      <c r="N11" s="17">
        <f t="shared" si="2"/>
        <v>366</v>
      </c>
      <c r="O11" s="19">
        <f t="shared" si="0"/>
        <v>0.2498657792279261</v>
      </c>
      <c r="P11" s="19">
        <f t="shared" si="0"/>
        <v>1.0168067226890756</v>
      </c>
      <c r="Q11" s="19">
        <f t="shared" si="0"/>
        <v>0.38114198807485011</v>
      </c>
      <c r="R11" s="19">
        <f t="shared" si="0"/>
        <v>4.1095890410958902E-2</v>
      </c>
      <c r="S11" s="19">
        <f t="shared" si="0"/>
        <v>0.26648477453052166</v>
      </c>
      <c r="T11" s="19">
        <f t="shared" si="0"/>
        <v>0.85116279069767442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383748300</v>
      </c>
      <c r="J12" s="23">
        <f t="shared" si="3"/>
        <v>1675</v>
      </c>
      <c r="K12" s="23">
        <f t="shared" si="3"/>
        <v>45450000</v>
      </c>
      <c r="L12" s="23">
        <f t="shared" si="3"/>
        <v>6</v>
      </c>
      <c r="M12" s="23">
        <f t="shared" si="3"/>
        <v>429198300</v>
      </c>
      <c r="N12" s="23">
        <f t="shared" si="3"/>
        <v>1681</v>
      </c>
      <c r="O12" s="24">
        <f>AVERAGE(O6:O11)</f>
        <v>0.40723453912941787</v>
      </c>
      <c r="P12" s="24">
        <f t="shared" ref="P12:T12" si="4">AVERAGE(P6:P11)</f>
        <v>1.033148390612511</v>
      </c>
      <c r="Q12" s="24">
        <f t="shared" si="4"/>
        <v>0.42203678684465967</v>
      </c>
      <c r="R12" s="24">
        <f t="shared" si="4"/>
        <v>2.224786579313083E-2</v>
      </c>
      <c r="S12" s="24">
        <f t="shared" si="4"/>
        <v>0.41226574791489295</v>
      </c>
      <c r="T12" s="24">
        <f t="shared" si="4"/>
        <v>0.83417739808272184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2026-10-28T09:21:39Z</dcterms:modified>
</cp:coreProperties>
</file>