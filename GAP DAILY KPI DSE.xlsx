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" i="1" l="1"/>
  <c r="L7" i="1"/>
  <c r="K9" i="1"/>
  <c r="L9" i="1"/>
  <c r="K8" i="1"/>
  <c r="L11" i="1"/>
  <c r="L8" i="1"/>
  <c r="K10" i="1"/>
  <c r="K11" i="1"/>
  <c r="L10" i="1"/>
  <c r="L6" i="1"/>
  <c r="K6" i="1"/>
  <c r="J9" i="1"/>
  <c r="J10" i="1"/>
  <c r="J11" i="1"/>
  <c r="J8" i="1"/>
  <c r="J7" i="1"/>
  <c r="J6" i="1"/>
  <c r="I10" i="1"/>
  <c r="I11" i="1"/>
  <c r="I7" i="1"/>
  <c r="I8" i="1"/>
  <c r="I9" i="1"/>
  <c r="I6" i="1"/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R6" i="1" l="1"/>
  <c r="O10" i="1"/>
  <c r="P10" i="1"/>
  <c r="M10" i="1"/>
  <c r="S10" i="1" s="1"/>
  <c r="Q6" i="1"/>
  <c r="Q7" i="1"/>
  <c r="Q9" i="1"/>
  <c r="R9" i="1"/>
  <c r="O8" i="1"/>
  <c r="Q8" i="1"/>
  <c r="Q11" i="1"/>
  <c r="O11" i="1"/>
  <c r="O9" i="1"/>
  <c r="O7" i="1"/>
  <c r="P8" i="1"/>
  <c r="R8" i="1"/>
  <c r="P11" i="1"/>
  <c r="P9" i="1"/>
  <c r="P7" i="1"/>
  <c r="O6" i="1"/>
  <c r="M11" i="1" l="1"/>
  <c r="S11" i="1" s="1"/>
  <c r="L12" i="1"/>
  <c r="M6" i="1"/>
  <c r="S6" i="1" s="1"/>
  <c r="K12" i="1"/>
  <c r="N11" i="1"/>
  <c r="T11" i="1" s="1"/>
  <c r="N6" i="1"/>
  <c r="T6" i="1" s="1"/>
  <c r="Q10" i="1"/>
  <c r="Q12" i="1" s="1"/>
  <c r="N10" i="1"/>
  <c r="T10" i="1" s="1"/>
  <c r="N9" i="1"/>
  <c r="T9" i="1" s="1"/>
  <c r="O12" i="1"/>
  <c r="J12" i="1"/>
  <c r="N7" i="1"/>
  <c r="T7" i="1" s="1"/>
  <c r="I12" i="1"/>
  <c r="P6" i="1"/>
  <c r="P12" i="1" s="1"/>
  <c r="R7" i="1"/>
  <c r="R10" i="1"/>
  <c r="R11" i="1"/>
  <c r="M9" i="1"/>
  <c r="S9" i="1" s="1"/>
  <c r="N8" i="1"/>
  <c r="T8" i="1" s="1"/>
  <c r="M7" i="1"/>
  <c r="S7" i="1" s="1"/>
  <c r="M8" i="1"/>
  <c r="S8" i="1" s="1"/>
  <c r="R12" i="1" l="1"/>
  <c r="N12" i="1"/>
  <c r="T12" i="1"/>
  <c r="M12" i="1"/>
  <c r="S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<sst xmlns="http://schemas.openxmlformats.org/spreadsheetml/2006/main" count="45" uniqueCount="23">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</sst>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2965700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210500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0</v>
          </cell>
          <cell r="U10">
            <v>46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898000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690000</v>
          </cell>
          <cell r="U12">
            <v>3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168000</v>
          </cell>
          <cell r="U13">
            <v>22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0</v>
          </cell>
          <cell r="U14">
            <v>22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253000</v>
          </cell>
          <cell r="U17">
            <v>9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636000</v>
          </cell>
          <cell r="U18">
            <v>10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58000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151200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492000</v>
          </cell>
          <cell r="U21">
            <v>13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58000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203000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0</v>
          </cell>
          <cell r="U26">
            <v>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726000</v>
          </cell>
          <cell r="U27">
            <v>13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463500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324000</v>
          </cell>
          <cell r="U31">
            <v>13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361400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255600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967500</v>
          </cell>
          <cell r="U35">
            <v>0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8165000</v>
          </cell>
          <cell r="U36">
            <v>3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132000</v>
          </cell>
          <cell r="U37">
            <v>0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10000000</v>
          </cell>
          <cell r="U38">
            <v>0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1426000</v>
          </cell>
          <cell r="U39">
            <v>3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993000</v>
          </cell>
          <cell r="U40">
            <v>3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1807400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7500000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126500</v>
          </cell>
          <cell r="U43">
            <v>0</v>
          </cell>
          <cell r="Y43">
            <v>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1843200</v>
          </cell>
          <cell r="U45">
            <v>5</v>
          </cell>
          <cell r="Y45">
            <v>7000000</v>
          </cell>
          <cell r="Z45">
            <v>0</v>
          </cell>
        </row>
        <row r="46">
          <cell r="A46" t="str">
            <v>JULAIHA</v>
          </cell>
          <cell r="T46">
            <v>461600</v>
          </cell>
          <cell r="U46">
            <v>2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668000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1140000</v>
          </cell>
          <cell r="U48">
            <v>0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2000000</v>
          </cell>
          <cell r="U49">
            <v>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0</v>
          </cell>
          <cell r="U50">
            <v>0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2328000</v>
          </cell>
          <cell r="U51">
            <v>5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909600</v>
          </cell>
          <cell r="U52">
            <v>3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323400</v>
          </cell>
          <cell r="U53">
            <v>0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628000</v>
          </cell>
          <cell r="U54">
            <v>2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594000</v>
          </cell>
          <cell r="U56">
            <v>3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357200</v>
          </cell>
          <cell r="U57">
            <v>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295000</v>
          </cell>
          <cell r="U58">
            <v>5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2110000</v>
          </cell>
          <cell r="U59">
            <v>3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2261500</v>
          </cell>
          <cell r="U61">
            <v>0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5252000</v>
          </cell>
          <cell r="U62">
            <v>0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934900</v>
          </cell>
          <cell r="U63">
            <v>0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313000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1850000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17700000</v>
          </cell>
          <cell r="U67">
            <v>0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1842000</v>
          </cell>
          <cell r="U68">
            <v>0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2295000</v>
          </cell>
          <cell r="U69">
            <v>5</v>
          </cell>
          <cell r="Y69">
            <v>0</v>
          </cell>
          <cell r="Z69">
            <v>1</v>
          </cell>
        </row>
        <row r="70">
          <cell r="A70" t="str">
            <v>EFENDI</v>
          </cell>
          <cell r="T70">
            <v>4602000</v>
          </cell>
          <cell r="U70">
            <v>5</v>
          </cell>
          <cell r="Y70">
            <v>2620000</v>
          </cell>
          <cell r="Z70">
            <v>0</v>
          </cell>
        </row>
        <row r="71">
          <cell r="A71" t="str">
            <v>APRIANUS</v>
          </cell>
          <cell r="T71">
            <v>2050000</v>
          </cell>
          <cell r="U71">
            <v>0</v>
          </cell>
          <cell r="Y71">
            <v>1200000</v>
          </cell>
          <cell r="Z71">
            <v>0</v>
          </cell>
        </row>
        <row r="72">
          <cell r="A72" t="str">
            <v>JULAIHA</v>
          </cell>
          <cell r="T72">
            <v>999000</v>
          </cell>
          <cell r="U72">
            <v>2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1653600</v>
          </cell>
          <cell r="U73">
            <v>0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204600</v>
          </cell>
          <cell r="U74">
            <v>0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535000</v>
          </cell>
          <cell r="U75">
            <v>3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0</v>
          </cell>
          <cell r="U76">
            <v>0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318000</v>
          </cell>
          <cell r="U78">
            <v>5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556400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0</v>
          </cell>
          <cell r="U80">
            <v>0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468000</v>
          </cell>
          <cell r="U81">
            <v>0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768000</v>
          </cell>
          <cell r="U82">
            <v>0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1558000</v>
          </cell>
          <cell r="U83">
            <v>3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426000</v>
          </cell>
          <cell r="U84">
            <v>3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84000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0</v>
          </cell>
          <cell r="Z87">
            <v>1</v>
          </cell>
        </row>
        <row r="88">
          <cell r="A88" t="str">
            <v>JULAIHA</v>
          </cell>
          <cell r="T88">
            <v>1721000</v>
          </cell>
          <cell r="U88">
            <v>5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385600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253000</v>
          </cell>
          <cell r="U90">
            <v>0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342500</v>
          </cell>
          <cell r="U91">
            <v>0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7145000</v>
          </cell>
          <cell r="U92">
            <v>0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290000</v>
          </cell>
          <cell r="U93">
            <v>0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200000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0</v>
          </cell>
          <cell r="U98">
            <v>0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0</v>
          </cell>
          <cell r="U99">
            <v>0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217500</v>
          </cell>
          <cell r="U100">
            <v>0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198500</v>
          </cell>
          <cell r="U101">
            <v>0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235200</v>
          </cell>
          <cell r="U102">
            <v>0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143000</v>
          </cell>
          <cell r="U103">
            <v>0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226000</v>
          </cell>
          <cell r="U106">
            <v>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1695000</v>
          </cell>
          <cell r="U109">
            <v>5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495000</v>
          </cell>
          <cell r="U110">
            <v>5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1500000</v>
          </cell>
          <cell r="U111">
            <v>3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698000</v>
          </cell>
          <cell r="U112">
            <v>3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934000</v>
          </cell>
          <cell r="U115">
            <v>0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359200</v>
          </cell>
          <cell r="U116">
            <v>0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376000</v>
          </cell>
          <cell r="U118">
            <v>0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322200</v>
          </cell>
          <cell r="U119">
            <v>0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250400</v>
          </cell>
          <cell r="U121">
            <v>0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936000</v>
          </cell>
          <cell r="U126">
            <v>0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500000</v>
          </cell>
          <cell r="U128">
            <v>0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792000</v>
          </cell>
          <cell r="U129">
            <v>3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234000</v>
          </cell>
          <cell r="U130">
            <v>0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8473000</v>
          </cell>
          <cell r="U131">
            <v>5</v>
          </cell>
          <cell r="Y131">
            <v>0</v>
          </cell>
          <cell r="Z131">
            <v>0</v>
          </cell>
        </row>
        <row r="132">
          <cell r="A132" t="str">
            <v>EFENDI</v>
          </cell>
          <cell r="T132">
            <v>2690000</v>
          </cell>
          <cell r="U132">
            <v>0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300000</v>
          </cell>
          <cell r="U133">
            <v>0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50400</v>
          </cell>
          <cell r="U137">
            <v>0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0</v>
          </cell>
          <cell r="U138">
            <v>0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1544000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0</v>
          </cell>
          <cell r="Z141">
            <v>0</v>
          </cell>
        </row>
        <row r="142">
          <cell r="A142" t="str">
            <v>JULAIHA</v>
          </cell>
          <cell r="T142">
            <v>363400</v>
          </cell>
          <cell r="U142">
            <v>0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240500</v>
          </cell>
          <cell r="U143">
            <v>0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0</v>
          </cell>
        </row>
        <row r="147">
          <cell r="A147" t="str">
            <v>URAY ILHAM</v>
          </cell>
          <cell r="T147">
            <v>562800</v>
          </cell>
          <cell r="U147">
            <v>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313400</v>
          </cell>
          <cell r="U148">
            <v>0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219600</v>
          </cell>
          <cell r="U149">
            <v>0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5158200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2944000</v>
          </cell>
          <cell r="U151">
            <v>5</v>
          </cell>
          <cell r="Y151">
            <v>2000000</v>
          </cell>
          <cell r="Z151">
            <v>0</v>
          </cell>
        </row>
        <row r="152">
          <cell r="A152" t="str">
            <v>JULAIHA</v>
          </cell>
          <cell r="T152">
            <v>1790000</v>
          </cell>
          <cell r="U152">
            <v>10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6115300</v>
          </cell>
          <cell r="U155">
            <v>0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255000</v>
          </cell>
          <cell r="U156">
            <v>0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0</v>
          </cell>
          <cell r="U157">
            <v>0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52800</v>
          </cell>
          <cell r="U158">
            <v>0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2356400</v>
          </cell>
          <cell r="U159">
            <v>5</v>
          </cell>
          <cell r="Y159">
            <v>500000</v>
          </cell>
          <cell r="Z159">
            <v>0</v>
          </cell>
        </row>
        <row r="160">
          <cell r="A160" t="str">
            <v>URAY ILHAM</v>
          </cell>
          <cell r="T160">
            <v>251000</v>
          </cell>
          <cell r="U160">
            <v>0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2764200</v>
          </cell>
          <cell r="U161">
            <v>0</v>
          </cell>
          <cell r="Y161">
            <v>1400000</v>
          </cell>
          <cell r="Z161">
            <v>0</v>
          </cell>
        </row>
        <row r="162">
          <cell r="A162" t="str">
            <v>URAY ILHAM</v>
          </cell>
          <cell r="T162">
            <v>217900</v>
          </cell>
          <cell r="U162">
            <v>0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603200</v>
          </cell>
          <cell r="U163">
            <v>0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206400</v>
          </cell>
          <cell r="U164">
            <v>0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255600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0</v>
          </cell>
          <cell r="U166">
            <v>0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267400</v>
          </cell>
          <cell r="U167">
            <v>0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186000</v>
          </cell>
          <cell r="U171">
            <v>0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218400</v>
          </cell>
          <cell r="U172">
            <v>0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352000</v>
          </cell>
          <cell r="U174">
            <v>0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235200</v>
          </cell>
          <cell r="U175">
            <v>0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1858200</v>
          </cell>
          <cell r="U176">
            <v>0</v>
          </cell>
          <cell r="Y176">
            <v>700000</v>
          </cell>
          <cell r="Z176">
            <v>0</v>
          </cell>
        </row>
        <row r="177">
          <cell r="A177" t="str">
            <v>JULAIHA</v>
          </cell>
          <cell r="T177">
            <v>51000</v>
          </cell>
          <cell r="U177">
            <v>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361700</v>
          </cell>
          <cell r="U178">
            <v>0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558000</v>
          </cell>
          <cell r="U179">
            <v>3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1650000</v>
          </cell>
          <cell r="U180">
            <v>0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870000</v>
          </cell>
          <cell r="U181">
            <v>0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458000</v>
          </cell>
          <cell r="U182">
            <v>0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626000</v>
          </cell>
          <cell r="U183">
            <v>0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0</v>
          </cell>
          <cell r="U186">
            <v>0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3000000</v>
          </cell>
          <cell r="U187">
            <v>0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253000</v>
          </cell>
          <cell r="U188">
            <v>0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1900000</v>
          </cell>
          <cell r="U190">
            <v>0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518400</v>
          </cell>
          <cell r="U191">
            <v>0</v>
          </cell>
          <cell r="Y191">
            <v>1000000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16100000</v>
          </cell>
          <cell r="U195">
            <v>8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8204000</v>
          </cell>
          <cell r="U196">
            <v>5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5210500</v>
          </cell>
          <cell r="U200">
            <v>0</v>
          </cell>
          <cell r="Y200">
            <v>1000000</v>
          </cell>
          <cell r="Z200">
            <v>0</v>
          </cell>
        </row>
        <row r="201">
          <cell r="A201" t="str">
            <v>SLAMET HOIRI</v>
          </cell>
          <cell r="T201">
            <v>210500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168000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694500</v>
          </cell>
          <cell r="U203">
            <v>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613000</v>
          </cell>
          <cell r="U209">
            <v>0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547000</v>
          </cell>
          <cell r="U210">
            <v>0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2155000</v>
          </cell>
          <cell r="U212">
            <v>3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468000</v>
          </cell>
          <cell r="U213">
            <v>0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324000</v>
          </cell>
          <cell r="U217">
            <v>3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324000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324000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792000</v>
          </cell>
          <cell r="U220">
            <v>3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588000</v>
          </cell>
          <cell r="U221">
            <v>3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858000</v>
          </cell>
          <cell r="U222">
            <v>3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828000</v>
          </cell>
          <cell r="U223">
            <v>3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870000</v>
          </cell>
          <cell r="U224">
            <v>0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4656000</v>
          </cell>
          <cell r="U225">
            <v>0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1812000</v>
          </cell>
          <cell r="U226">
            <v>0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1862000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600000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50600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1095000</v>
          </cell>
          <cell r="U233">
            <v>5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318000</v>
          </cell>
          <cell r="U234">
            <v>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1318000</v>
          </cell>
          <cell r="U235">
            <v>5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1252000</v>
          </cell>
          <cell r="U238">
            <v>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168000</v>
          </cell>
          <cell r="U239">
            <v>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workbookViewId="0">
      <selection activeCell="K6" sqref="K6:L11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52992100</v>
      </c>
      <c r="J6" s="18">
        <f>SUMIF([1]Sheet1!$A:$A,A6,[1]Sheet1!$U:$U)</f>
        <v>112</v>
      </c>
      <c r="K6" s="18">
        <f>SUMIF([1]Sheet1!$A:$A,A6,[1]Sheet1!$Y:$Y)</f>
        <v>5000000</v>
      </c>
      <c r="L6" s="18">
        <f>SUMIF([1]Sheet1!$A:$A,A6,[1]Sheet1!$Z:$Z)</f>
        <v>0</v>
      </c>
      <c r="M6" s="17">
        <f>K6+I6</f>
        <v>57992100</v>
      </c>
      <c r="N6" s="17">
        <f>L6+J6</f>
        <v>112</v>
      </c>
      <c r="O6" s="19">
        <f t="shared" ref="O6:T11" si="0">I6/C6</f>
        <v>0.36209046032026138</v>
      </c>
      <c r="P6" s="19">
        <f t="shared" si="0"/>
        <v>0.5258215962441315</v>
      </c>
      <c r="Q6" s="19">
        <f t="shared" si="0"/>
        <v>0.26065943298595295</v>
      </c>
      <c r="R6" s="19">
        <f t="shared" si="0"/>
        <v>0</v>
      </c>
      <c r="S6" s="19">
        <f t="shared" si="0"/>
        <v>0.35033650750638062</v>
      </c>
      <c r="T6" s="19">
        <f t="shared" si="0"/>
        <v>0.4392156862745098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25230100</v>
      </c>
      <c r="J7" s="18">
        <f>SUMIF([1]Sheet1!$A:$A,A7,[1]Sheet1!$U:$U)</f>
        <v>63</v>
      </c>
      <c r="K7" s="18">
        <f>SUMIF([1]Sheet1!$A:$A,A7,[1]Sheet1!$Y:$Y)</f>
        <v>12400000</v>
      </c>
      <c r="L7" s="18">
        <f>SUMIF([1]Sheet1!$A:$A,A7,[1]Sheet1!$Z:$Z)</f>
        <v>1</v>
      </c>
      <c r="M7" s="17">
        <f t="shared" ref="M7:N11" si="2">K7+I7</f>
        <v>37630100</v>
      </c>
      <c r="N7" s="17">
        <f t="shared" si="2"/>
        <v>64</v>
      </c>
      <c r="O7" s="19">
        <f t="shared" si="0"/>
        <v>0.36763090712581986</v>
      </c>
      <c r="P7" s="19">
        <f t="shared" si="0"/>
        <v>0.31188118811881188</v>
      </c>
      <c r="Q7" s="19">
        <f t="shared" si="0"/>
        <v>0.8755763033222731</v>
      </c>
      <c r="R7" s="19">
        <f t="shared" si="0"/>
        <v>4.3478260869565216E-2</v>
      </c>
      <c r="S7" s="19">
        <f t="shared" si="0"/>
        <v>0.45451927690487276</v>
      </c>
      <c r="T7" s="19">
        <f t="shared" si="0"/>
        <v>0.28444444444444444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14072800</v>
      </c>
      <c r="J8" s="18">
        <f>SUMIF([1]Sheet1!$A:$A,A8,[1]Sheet1!$U:$U)</f>
        <v>22</v>
      </c>
      <c r="K8" s="18">
        <f>SUMIF([1]Sheet1!$A:$A,A8,[1]Sheet1!$Y:$Y)</f>
        <v>1500000</v>
      </c>
      <c r="L8" s="18">
        <f>SUMIF([1]Sheet1!$A:$A,A8,[1]Sheet1!$Z:$Z)</f>
        <v>0</v>
      </c>
      <c r="M8" s="17">
        <f t="shared" si="2"/>
        <v>15572800</v>
      </c>
      <c r="N8" s="17">
        <f t="shared" si="2"/>
        <v>22</v>
      </c>
      <c r="O8" s="19">
        <f t="shared" si="0"/>
        <v>0.1511365254762147</v>
      </c>
      <c r="P8" s="19">
        <f t="shared" si="0"/>
        <v>9.7777777777777783E-2</v>
      </c>
      <c r="Q8" s="19">
        <f t="shared" si="0"/>
        <v>0.35851449522781542</v>
      </c>
      <c r="R8" s="19">
        <f t="shared" si="0"/>
        <v>0</v>
      </c>
      <c r="S8" s="19">
        <f t="shared" si="0"/>
        <v>0.16005411105045059</v>
      </c>
      <c r="T8" s="19">
        <f t="shared" si="0"/>
        <v>9.5652173913043481E-2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75853000</v>
      </c>
      <c r="J9" s="18">
        <f>SUMIF([1]Sheet1!$A:$A,A9,[1]Sheet1!$U:$U)</f>
        <v>117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75853000</v>
      </c>
      <c r="N9" s="17">
        <f t="shared" si="2"/>
        <v>117</v>
      </c>
      <c r="O9" s="19">
        <f t="shared" si="0"/>
        <v>0.24741080540753846</v>
      </c>
      <c r="P9" s="19">
        <f t="shared" si="0"/>
        <v>0.32500000000000001</v>
      </c>
      <c r="Q9" s="19">
        <f t="shared" si="0"/>
        <v>0</v>
      </c>
      <c r="R9" s="19">
        <f t="shared" si="0"/>
        <v>0</v>
      </c>
      <c r="S9" s="19">
        <f t="shared" si="0"/>
        <v>0.23381527264296287</v>
      </c>
      <c r="T9" s="19">
        <f t="shared" si="0"/>
        <v>0.26292134831460673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24876200</v>
      </c>
      <c r="J10" s="18">
        <f>SUMIF([1]Sheet1!$A:$A,A10,[1]Sheet1!$U:$U)</f>
        <v>123</v>
      </c>
      <c r="K10" s="18">
        <f>SUMIF([1]Sheet1!$A:$A,A10,[1]Sheet1!$Y:$Y)</f>
        <v>5100000</v>
      </c>
      <c r="L10" s="18">
        <f>SUMIF([1]Sheet1!$A:$A,A10,[1]Sheet1!$Z:$Z)</f>
        <v>1</v>
      </c>
      <c r="M10" s="17">
        <f t="shared" si="2"/>
        <v>29976200</v>
      </c>
      <c r="N10" s="17">
        <f t="shared" si="2"/>
        <v>124</v>
      </c>
      <c r="O10" s="19">
        <f t="shared" si="0"/>
        <v>0.20047035536061519</v>
      </c>
      <c r="P10" s="19">
        <f t="shared" si="0"/>
        <v>0.50617283950617287</v>
      </c>
      <c r="Q10" s="19">
        <f t="shared" si="0"/>
        <v>0.15688731466995104</v>
      </c>
      <c r="R10" s="19">
        <f t="shared" si="0"/>
        <v>5.434782608695652E-3</v>
      </c>
      <c r="S10" s="19">
        <f t="shared" si="0"/>
        <v>0.19142308424244794</v>
      </c>
      <c r="T10" s="19">
        <f t="shared" si="0"/>
        <v>0.29039812646370022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35541900</v>
      </c>
      <c r="J11" s="18">
        <f>SUMIF([1]Sheet1!$A:$A,A11,[1]Sheet1!$U:$U)</f>
        <v>143</v>
      </c>
      <c r="K11" s="18">
        <f>SUMIF([1]Sheet1!$A:$A,A11,[1]Sheet1!$Y:$Y)</f>
        <v>4720000</v>
      </c>
      <c r="L11" s="18">
        <f>SUMIF([1]Sheet1!$A:$A,A11,[1]Sheet1!$Z:$Z)</f>
        <v>3</v>
      </c>
      <c r="M11" s="17">
        <f t="shared" si="2"/>
        <v>40261900</v>
      </c>
      <c r="N11" s="17">
        <f t="shared" si="2"/>
        <v>146</v>
      </c>
      <c r="O11" s="19">
        <f t="shared" si="0"/>
        <v>0.13702020947526081</v>
      </c>
      <c r="P11" s="19">
        <f t="shared" si="0"/>
        <v>0.40056022408963587</v>
      </c>
      <c r="Q11" s="19">
        <f t="shared" si="0"/>
        <v>0.12554013843079501</v>
      </c>
      <c r="R11" s="19">
        <f t="shared" si="0"/>
        <v>4.1095890410958902E-2</v>
      </c>
      <c r="S11" s="19">
        <f t="shared" si="0"/>
        <v>0.13556688256677346</v>
      </c>
      <c r="T11" s="19">
        <f t="shared" si="0"/>
        <v>0.33953488372093021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228566100</v>
      </c>
      <c r="J12" s="23">
        <f t="shared" si="3"/>
        <v>580</v>
      </c>
      <c r="K12" s="23">
        <f t="shared" si="3"/>
        <v>28720000</v>
      </c>
      <c r="L12" s="23">
        <f t="shared" si="3"/>
        <v>5</v>
      </c>
      <c r="M12" s="23">
        <f t="shared" si="3"/>
        <v>257286100</v>
      </c>
      <c r="N12" s="23">
        <f t="shared" si="3"/>
        <v>585</v>
      </c>
      <c r="O12" s="24">
        <f>AVERAGE(O6:O11)</f>
        <v>0.2442932105276184</v>
      </c>
      <c r="P12" s="24">
        <f t="shared" ref="P12:T12" si="4">AVERAGE(P6:P11)</f>
        <v>0.36120227095608831</v>
      </c>
      <c r="Q12" s="24">
        <f t="shared" si="4"/>
        <v>0.29619628077279792</v>
      </c>
      <c r="R12" s="24">
        <f t="shared" si="4"/>
        <v>1.5001488981536628E-2</v>
      </c>
      <c r="S12" s="24">
        <f t="shared" si="4"/>
        <v>0.25428585581898139</v>
      </c>
      <c r="T12" s="24">
        <f t="shared" si="4"/>
        <v>0.28536111052187252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2026-10-20T08:27:35Z</dcterms:modified>
</cp:coreProperties>
</file>