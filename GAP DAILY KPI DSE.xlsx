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K9" i="1" l="1"/>
  <c r="J6" i="1"/>
  <c r="I10" i="1"/>
  <c r="O10" i="1" s="1"/>
  <c r="L9" i="1" l="1"/>
  <c r="J9" i="1"/>
  <c r="P9" i="1" s="1"/>
  <c r="K7" i="1"/>
  <c r="K11" i="1"/>
  <c r="I11" i="1"/>
  <c r="O11" i="1" s="1"/>
  <c r="L7" i="1"/>
  <c r="I8" i="1"/>
  <c r="O8" i="1" s="1"/>
  <c r="J11" i="1"/>
  <c r="P11" i="1" s="1"/>
  <c r="J8" i="1"/>
  <c r="P8" i="1" s="1"/>
  <c r="I9" i="1"/>
  <c r="O9" i="1" s="1"/>
  <c r="I6" i="1"/>
  <c r="P6" i="1"/>
  <c r="Q9" i="1"/>
  <c r="K8" i="1"/>
  <c r="I7" i="1"/>
  <c r="O7" i="1" s="1"/>
  <c r="J7" i="1"/>
  <c r="P7" i="1" s="1"/>
  <c r="L11" i="1"/>
  <c r="L8" i="1"/>
  <c r="K6" i="1"/>
  <c r="K10" i="1"/>
  <c r="L6" i="1"/>
  <c r="J10" i="1"/>
  <c r="P10" i="1" s="1"/>
  <c r="L10" i="1"/>
  <c r="P12" i="1" l="1"/>
  <c r="R6" i="1"/>
  <c r="L12" i="1"/>
  <c r="N6" i="1"/>
  <c r="O6" i="1"/>
  <c r="O12" i="1" s="1"/>
  <c r="I12" i="1"/>
  <c r="M10" i="1"/>
  <c r="S10" i="1" s="1"/>
  <c r="Q10" i="1"/>
  <c r="Q6" i="1"/>
  <c r="K12" i="1"/>
  <c r="M6" i="1"/>
  <c r="R11" i="1"/>
  <c r="N11" i="1"/>
  <c r="T11" i="1" s="1"/>
  <c r="R7" i="1"/>
  <c r="N7" i="1"/>
  <c r="T7" i="1" s="1"/>
  <c r="R8" i="1"/>
  <c r="N8" i="1"/>
  <c r="T8" i="1" s="1"/>
  <c r="Q8" i="1"/>
  <c r="M8" i="1"/>
  <c r="S8" i="1" s="1"/>
  <c r="M11" i="1"/>
  <c r="S11" i="1" s="1"/>
  <c r="Q11" i="1"/>
  <c r="Q7" i="1"/>
  <c r="M7" i="1"/>
  <c r="S7" i="1" s="1"/>
  <c r="M9" i="1"/>
  <c r="S9" i="1" s="1"/>
  <c r="R10" i="1"/>
  <c r="N10" i="1"/>
  <c r="T10" i="1" s="1"/>
  <c r="J12" i="1"/>
  <c r="N9" i="1"/>
  <c r="T9" i="1" s="1"/>
  <c r="R9" i="1"/>
  <c r="S6" i="1" l="1"/>
  <c r="S12" i="1" s="1"/>
  <c r="M12" i="1"/>
  <c r="T6" i="1"/>
  <c r="T12" i="1" s="1"/>
  <c r="N12" i="1"/>
  <c r="R12" i="1"/>
  <c r="Q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<sst xmlns="http://schemas.openxmlformats.org/spreadsheetml/2006/main" count="45" uniqueCount="23">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</sst>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4">
          <cell r="T4">
            <v>441167300</v>
          </cell>
          <cell r="U4">
            <v>1720</v>
          </cell>
          <cell r="Y4">
            <v>76950000</v>
          </cell>
          <cell r="Z4">
            <v>5</v>
          </cell>
        </row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4410500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428900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486000</v>
          </cell>
          <cell r="U10">
            <v>51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1115000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2444000</v>
          </cell>
          <cell r="U12">
            <v>5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510000</v>
          </cell>
          <cell r="U13">
            <v>25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403000</v>
          </cell>
          <cell r="U14">
            <v>27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602800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403000</v>
          </cell>
          <cell r="U17">
            <v>14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1122000</v>
          </cell>
          <cell r="U18">
            <v>15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394000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1047600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1104000</v>
          </cell>
          <cell r="U21">
            <v>20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394000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1832000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631800</v>
          </cell>
          <cell r="U26">
            <v>16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963000</v>
          </cell>
          <cell r="U27">
            <v>18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648300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787000</v>
          </cell>
          <cell r="U31">
            <v>18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1320200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1267200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1619100</v>
          </cell>
          <cell r="U35">
            <v>15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12915000</v>
          </cell>
          <cell r="U36">
            <v>28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546000</v>
          </cell>
          <cell r="U37">
            <v>5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12407400</v>
          </cell>
          <cell r="U38">
            <v>5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1876000</v>
          </cell>
          <cell r="U39">
            <v>18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4777000</v>
          </cell>
          <cell r="U40">
            <v>37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3602200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10500000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626500</v>
          </cell>
          <cell r="U43">
            <v>0</v>
          </cell>
          <cell r="Y43">
            <v>510000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3488000</v>
          </cell>
          <cell r="U45">
            <v>10</v>
          </cell>
          <cell r="Y45">
            <v>9020000</v>
          </cell>
          <cell r="Z45">
            <v>0</v>
          </cell>
        </row>
        <row r="46">
          <cell r="A46" t="str">
            <v>JULAIHA</v>
          </cell>
          <cell r="T46">
            <v>1029600</v>
          </cell>
          <cell r="U46">
            <v>7</v>
          </cell>
          <cell r="Y46">
            <v>300000</v>
          </cell>
          <cell r="Z46">
            <v>1</v>
          </cell>
        </row>
        <row r="47">
          <cell r="A47" t="str">
            <v>SLAMET HOIRI</v>
          </cell>
          <cell r="T47">
            <v>1785600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2384000</v>
          </cell>
          <cell r="U48">
            <v>5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3153000</v>
          </cell>
          <cell r="U49">
            <v>20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586000</v>
          </cell>
          <cell r="U50">
            <v>5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3146000</v>
          </cell>
          <cell r="U51">
            <v>10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2596400</v>
          </cell>
          <cell r="U52">
            <v>5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977400</v>
          </cell>
          <cell r="U53">
            <v>5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1590500</v>
          </cell>
          <cell r="U54">
            <v>7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168000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1742000</v>
          </cell>
          <cell r="U56">
            <v>5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1655200</v>
          </cell>
          <cell r="U57">
            <v>20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1064000</v>
          </cell>
          <cell r="U58">
            <v>20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3961000</v>
          </cell>
          <cell r="U59">
            <v>12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3696300</v>
          </cell>
          <cell r="U61">
            <v>11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9823000</v>
          </cell>
          <cell r="U62">
            <v>5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1243300</v>
          </cell>
          <cell r="U63">
            <v>3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949000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3086000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26534000</v>
          </cell>
          <cell r="U67">
            <v>5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3828000</v>
          </cell>
          <cell r="U68">
            <v>5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3077000</v>
          </cell>
          <cell r="U69">
            <v>10</v>
          </cell>
          <cell r="Y69">
            <v>500000</v>
          </cell>
          <cell r="Z69">
            <v>1</v>
          </cell>
        </row>
        <row r="70">
          <cell r="A70" t="str">
            <v>EFENDI</v>
          </cell>
          <cell r="T70">
            <v>7084000</v>
          </cell>
          <cell r="U70">
            <v>10</v>
          </cell>
          <cell r="Y70">
            <v>4120000</v>
          </cell>
          <cell r="Z70">
            <v>0</v>
          </cell>
        </row>
        <row r="71">
          <cell r="A71" t="str">
            <v>APRIANUS</v>
          </cell>
          <cell r="T71">
            <v>4488800</v>
          </cell>
          <cell r="U71">
            <v>15</v>
          </cell>
          <cell r="Y71">
            <v>1650000</v>
          </cell>
          <cell r="Z71">
            <v>0</v>
          </cell>
        </row>
        <row r="72">
          <cell r="A72" t="str">
            <v>JULAIHA</v>
          </cell>
          <cell r="T72">
            <v>1664300</v>
          </cell>
          <cell r="U72">
            <v>7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3009600</v>
          </cell>
          <cell r="U73">
            <v>15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1858600</v>
          </cell>
          <cell r="U74">
            <v>5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867400</v>
          </cell>
          <cell r="U75">
            <v>5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366000</v>
          </cell>
          <cell r="U76">
            <v>5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5000000</v>
          </cell>
          <cell r="Z77">
            <v>0</v>
          </cell>
        </row>
        <row r="78">
          <cell r="A78" t="str">
            <v>SLAMET HOIRI</v>
          </cell>
          <cell r="T78">
            <v>1053600</v>
          </cell>
          <cell r="U78">
            <v>20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756800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654000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960000</v>
          </cell>
          <cell r="U81">
            <v>12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2774000</v>
          </cell>
          <cell r="U82">
            <v>8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2358000</v>
          </cell>
          <cell r="U83">
            <v>13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852000</v>
          </cell>
          <cell r="U84">
            <v>5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318000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500000</v>
          </cell>
          <cell r="Z87">
            <v>1</v>
          </cell>
        </row>
        <row r="88">
          <cell r="A88" t="str">
            <v>JULAIHA</v>
          </cell>
          <cell r="T88">
            <v>1955000</v>
          </cell>
          <cell r="U88">
            <v>10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3508400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403000</v>
          </cell>
          <cell r="U90">
            <v>5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660500</v>
          </cell>
          <cell r="U91">
            <v>5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10665000</v>
          </cell>
          <cell r="U92">
            <v>28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869500</v>
          </cell>
          <cell r="U93">
            <v>13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350000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1131000</v>
          </cell>
          <cell r="U98">
            <v>15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430800</v>
          </cell>
          <cell r="U99">
            <v>5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602500</v>
          </cell>
          <cell r="U100">
            <v>10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1912700</v>
          </cell>
          <cell r="U101">
            <v>15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1706200</v>
          </cell>
          <cell r="U102">
            <v>25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1763000</v>
          </cell>
          <cell r="U103">
            <v>5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1511000</v>
          </cell>
          <cell r="U106">
            <v>20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 t="str">
            <v/>
          </cell>
          <cell r="Z108" t="str">
            <v/>
          </cell>
        </row>
        <row r="109">
          <cell r="A109" t="str">
            <v>EFENDI</v>
          </cell>
          <cell r="T109">
            <v>2545000</v>
          </cell>
          <cell r="U109">
            <v>10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813000</v>
          </cell>
          <cell r="U110">
            <v>10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2946000</v>
          </cell>
          <cell r="U111">
            <v>12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1021000</v>
          </cell>
          <cell r="U112">
            <v>12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>
            <v>865000</v>
          </cell>
          <cell r="U113">
            <v>10</v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2290000</v>
          </cell>
          <cell r="U115">
            <v>5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1337200</v>
          </cell>
          <cell r="U116">
            <v>5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1195600</v>
          </cell>
          <cell r="U118">
            <v>6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1690200</v>
          </cell>
          <cell r="U119">
            <v>7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918400</v>
          </cell>
          <cell r="U121">
            <v>5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>
            <v>0</v>
          </cell>
          <cell r="U122">
            <v>0</v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>
            <v>0</v>
          </cell>
          <cell r="U124">
            <v>10</v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>
            <v>0</v>
          </cell>
          <cell r="U125">
            <v>0</v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2022000</v>
          </cell>
          <cell r="U126">
            <v>5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 t="str">
            <v/>
          </cell>
          <cell r="Z127" t="str">
            <v/>
          </cell>
        </row>
        <row r="128">
          <cell r="A128" t="str">
            <v>DARIANUS</v>
          </cell>
          <cell r="T128">
            <v>1612000</v>
          </cell>
          <cell r="U128">
            <v>5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2582000</v>
          </cell>
          <cell r="U129">
            <v>5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852000</v>
          </cell>
          <cell r="U130">
            <v>5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18786000</v>
          </cell>
          <cell r="U131">
            <v>5</v>
          </cell>
          <cell r="Y131">
            <v>7000000</v>
          </cell>
          <cell r="Z131">
            <v>0</v>
          </cell>
        </row>
        <row r="132">
          <cell r="A132" t="str">
            <v>EFENDI</v>
          </cell>
          <cell r="T132">
            <v>3972000</v>
          </cell>
          <cell r="U132">
            <v>5</v>
          </cell>
          <cell r="Y132">
            <v>3000000</v>
          </cell>
          <cell r="Z132">
            <v>0</v>
          </cell>
        </row>
        <row r="133">
          <cell r="A133" t="str">
            <v>EFENDI</v>
          </cell>
          <cell r="T133">
            <v>450000</v>
          </cell>
          <cell r="U133">
            <v>5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1387400</v>
          </cell>
          <cell r="U137">
            <v>15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1041000</v>
          </cell>
          <cell r="U138">
            <v>15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1828400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 t="str">
            <v/>
          </cell>
          <cell r="Z141" t="str">
            <v/>
          </cell>
        </row>
        <row r="142">
          <cell r="A142" t="str">
            <v>JULAIHA</v>
          </cell>
          <cell r="T142">
            <v>981400</v>
          </cell>
          <cell r="U142">
            <v>10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804500</v>
          </cell>
          <cell r="U143">
            <v>6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 t="str">
            <v/>
          </cell>
          <cell r="Z145" t="str">
            <v/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 t="str">
            <v/>
          </cell>
          <cell r="Z146" t="str">
            <v/>
          </cell>
        </row>
        <row r="147">
          <cell r="A147" t="str">
            <v>URAY ILHAM</v>
          </cell>
          <cell r="T147">
            <v>2589600</v>
          </cell>
          <cell r="U147">
            <v>15</v>
          </cell>
          <cell r="Y147">
            <v>7000000</v>
          </cell>
          <cell r="Z147">
            <v>0</v>
          </cell>
        </row>
        <row r="148">
          <cell r="A148" t="str">
            <v>URAY ILHAM</v>
          </cell>
          <cell r="T148">
            <v>697400</v>
          </cell>
          <cell r="U148">
            <v>5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1167600</v>
          </cell>
          <cell r="U149">
            <v>15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6366200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5557300</v>
          </cell>
          <cell r="U151">
            <v>20</v>
          </cell>
          <cell r="Y151">
            <v>4000000</v>
          </cell>
          <cell r="Z151">
            <v>0</v>
          </cell>
        </row>
        <row r="152">
          <cell r="A152" t="str">
            <v>JULAIHA</v>
          </cell>
          <cell r="T152">
            <v>3310500</v>
          </cell>
          <cell r="U152">
            <v>20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 t="str">
            <v/>
          </cell>
          <cell r="Z154" t="str">
            <v/>
          </cell>
        </row>
        <row r="155">
          <cell r="A155" t="str">
            <v>JULAIHA</v>
          </cell>
          <cell r="T155">
            <v>6986300</v>
          </cell>
          <cell r="U155">
            <v>10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615500</v>
          </cell>
          <cell r="U156">
            <v>5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246500</v>
          </cell>
          <cell r="U157">
            <v>4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2000400</v>
          </cell>
          <cell r="U158">
            <v>5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5896000</v>
          </cell>
          <cell r="U159">
            <v>12</v>
          </cell>
          <cell r="Y159">
            <v>1000000</v>
          </cell>
          <cell r="Z159">
            <v>0</v>
          </cell>
        </row>
        <row r="160">
          <cell r="A160" t="str">
            <v>URAY ILHAM</v>
          </cell>
          <cell r="T160">
            <v>2125000</v>
          </cell>
          <cell r="U160">
            <v>5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5042200</v>
          </cell>
          <cell r="U161">
            <v>5</v>
          </cell>
          <cell r="Y161">
            <v>2150000</v>
          </cell>
          <cell r="Z161">
            <v>0</v>
          </cell>
        </row>
        <row r="162">
          <cell r="A162" t="str">
            <v>URAY ILHAM</v>
          </cell>
          <cell r="T162">
            <v>2105900</v>
          </cell>
          <cell r="U162">
            <v>5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1455200</v>
          </cell>
          <cell r="U163">
            <v>5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2314800</v>
          </cell>
          <cell r="U164">
            <v>23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1099200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1382400</v>
          </cell>
          <cell r="U166">
            <v>5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1827400</v>
          </cell>
          <cell r="U167">
            <v>5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546500</v>
          </cell>
          <cell r="U171">
            <v>5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536400</v>
          </cell>
          <cell r="U172">
            <v>5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>
            <v>0</v>
          </cell>
          <cell r="U173">
            <v>0</v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971000</v>
          </cell>
          <cell r="U174">
            <v>5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961700</v>
          </cell>
          <cell r="U175">
            <v>15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3584700</v>
          </cell>
          <cell r="U176">
            <v>15</v>
          </cell>
          <cell r="Y176">
            <v>1300000</v>
          </cell>
          <cell r="Z176">
            <v>0</v>
          </cell>
        </row>
        <row r="177">
          <cell r="A177" t="str">
            <v>JULAIHA</v>
          </cell>
          <cell r="T177">
            <v>627500</v>
          </cell>
          <cell r="U177">
            <v>10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961700</v>
          </cell>
          <cell r="U178">
            <v>15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1353000</v>
          </cell>
          <cell r="U179">
            <v>5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3150000</v>
          </cell>
          <cell r="U180">
            <v>5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1597000</v>
          </cell>
          <cell r="U181">
            <v>5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1300000</v>
          </cell>
          <cell r="U182">
            <v>5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921000</v>
          </cell>
          <cell r="U183">
            <v>5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7000000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2419000</v>
          </cell>
          <cell r="U186">
            <v>8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6534000</v>
          </cell>
          <cell r="U187">
            <v>5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403000</v>
          </cell>
          <cell r="U188">
            <v>5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2266000</v>
          </cell>
          <cell r="U190">
            <v>5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872400</v>
          </cell>
          <cell r="U191">
            <v>3</v>
          </cell>
          <cell r="Y191">
            <v>2300000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>
            <v>462000</v>
          </cell>
          <cell r="U193">
            <v>7</v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5000000</v>
          </cell>
          <cell r="Z194">
            <v>0</v>
          </cell>
        </row>
        <row r="195">
          <cell r="A195" t="str">
            <v>SLAMET HOIRI</v>
          </cell>
          <cell r="T195">
            <v>18601600</v>
          </cell>
          <cell r="U195">
            <v>13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9322400</v>
          </cell>
          <cell r="U196">
            <v>30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>
            <v>841200</v>
          </cell>
          <cell r="U197">
            <v>8</v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8728900</v>
          </cell>
          <cell r="U200">
            <v>10</v>
          </cell>
          <cell r="Y200">
            <v>2500000</v>
          </cell>
          <cell r="Z200">
            <v>0</v>
          </cell>
        </row>
        <row r="201">
          <cell r="A201" t="str">
            <v>SLAMET HOIRI</v>
          </cell>
          <cell r="T201">
            <v>428900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386400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2478500</v>
          </cell>
          <cell r="U203">
            <v>20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9000000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562000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1245000</v>
          </cell>
          <cell r="U209">
            <v>9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1033000</v>
          </cell>
          <cell r="U210">
            <v>5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>
            <v>720000</v>
          </cell>
          <cell r="U211">
            <v>5</v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4349000</v>
          </cell>
          <cell r="U212">
            <v>17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1272000</v>
          </cell>
          <cell r="U213">
            <v>8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708000</v>
          </cell>
          <cell r="U217">
            <v>8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741000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1069000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1731000</v>
          </cell>
          <cell r="U220">
            <v>5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852500</v>
          </cell>
          <cell r="U221">
            <v>5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1218000</v>
          </cell>
          <cell r="U222">
            <v>5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1446000</v>
          </cell>
          <cell r="U223">
            <v>7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2945000</v>
          </cell>
          <cell r="U224">
            <v>5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10351000</v>
          </cell>
          <cell r="U225">
            <v>5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3778000</v>
          </cell>
          <cell r="U226">
            <v>5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3230000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718000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1234000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234000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284600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2098000</v>
          </cell>
          <cell r="U233">
            <v>10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1122000</v>
          </cell>
          <cell r="U234">
            <v>15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1721000</v>
          </cell>
          <cell r="U235">
            <v>10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>
            <v>5485000</v>
          </cell>
          <cell r="U236">
            <v>5</v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2316000</v>
          </cell>
          <cell r="U238">
            <v>10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870000</v>
          </cell>
          <cell r="U239">
            <v>10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topLeftCell="D1" workbookViewId="0">
      <selection activeCell="J15" sqref="J15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79823100</v>
      </c>
      <c r="J6" s="18">
        <f>SUMIF([1]Sheet1!$A:$A,A6,[1]Sheet1!$U:$U)</f>
        <v>280</v>
      </c>
      <c r="K6" s="18">
        <f>SUMIF([1]Sheet1!$A:$A,A6,[1]Sheet1!$Y:$Y)</f>
        <v>23800000</v>
      </c>
      <c r="L6" s="18">
        <f>SUMIF([1]Sheet1!$A:$A,A6,[1]Sheet1!$Z:$Z)</f>
        <v>0</v>
      </c>
      <c r="M6" s="17">
        <f>K6+I6</f>
        <v>103623100</v>
      </c>
      <c r="N6" s="17">
        <f>L6+J6</f>
        <v>280</v>
      </c>
      <c r="O6" s="19">
        <f t="shared" ref="O6:T11" si="0">I6/C6</f>
        <v>0.54542437501420504</v>
      </c>
      <c r="P6" s="19">
        <f t="shared" si="0"/>
        <v>1.3145539906103287</v>
      </c>
      <c r="Q6" s="19">
        <f t="shared" si="0"/>
        <v>1.2407389010131362</v>
      </c>
      <c r="R6" s="19">
        <f t="shared" si="0"/>
        <v>0</v>
      </c>
      <c r="S6" s="19">
        <f t="shared" si="0"/>
        <v>0.62599828167947758</v>
      </c>
      <c r="T6" s="19">
        <f t="shared" si="0"/>
        <v>1.0980392156862746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43463900</v>
      </c>
      <c r="J7" s="18">
        <f>SUMIF([1]Sheet1!$A:$A,A7,[1]Sheet1!$U:$U)</f>
        <v>223</v>
      </c>
      <c r="K7" s="18">
        <f>SUMIF([1]Sheet1!$A:$A,A7,[1]Sheet1!$Y:$Y)</f>
        <v>15120000</v>
      </c>
      <c r="L7" s="18">
        <f>SUMIF([1]Sheet1!$A:$A,A7,[1]Sheet1!$Z:$Z)</f>
        <v>1</v>
      </c>
      <c r="M7" s="17">
        <f t="shared" ref="M7:N11" si="2">K7+I7</f>
        <v>58583900</v>
      </c>
      <c r="N7" s="17">
        <f t="shared" si="2"/>
        <v>224</v>
      </c>
      <c r="O7" s="19">
        <f t="shared" si="0"/>
        <v>0.63331786176931215</v>
      </c>
      <c r="P7" s="19">
        <f t="shared" si="0"/>
        <v>1.1039603960396041</v>
      </c>
      <c r="Q7" s="19">
        <f t="shared" si="0"/>
        <v>1.0676382021155459</v>
      </c>
      <c r="R7" s="19">
        <f t="shared" si="0"/>
        <v>4.3478260869565216E-2</v>
      </c>
      <c r="S7" s="19">
        <f t="shared" si="0"/>
        <v>0.70761204105934816</v>
      </c>
      <c r="T7" s="19">
        <f t="shared" si="0"/>
        <v>0.99555555555555553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25994600</v>
      </c>
      <c r="J8" s="18">
        <f>SUMIF([1]Sheet1!$A:$A,A8,[1]Sheet1!$U:$U)</f>
        <v>122</v>
      </c>
      <c r="K8" s="18">
        <f>SUMIF([1]Sheet1!$A:$A,A8,[1]Sheet1!$Y:$Y)</f>
        <v>1950000</v>
      </c>
      <c r="L8" s="18">
        <f>SUMIF([1]Sheet1!$A:$A,A8,[1]Sheet1!$Z:$Z)</f>
        <v>0</v>
      </c>
      <c r="M8" s="17">
        <f t="shared" si="2"/>
        <v>27944600</v>
      </c>
      <c r="N8" s="17">
        <f t="shared" si="2"/>
        <v>122</v>
      </c>
      <c r="O8" s="19">
        <f t="shared" si="0"/>
        <v>0.27917212815814979</v>
      </c>
      <c r="P8" s="19">
        <f t="shared" si="0"/>
        <v>0.54222222222222227</v>
      </c>
      <c r="Q8" s="19">
        <f t="shared" si="0"/>
        <v>0.46606884379616004</v>
      </c>
      <c r="R8" s="19">
        <f t="shared" si="0"/>
        <v>0</v>
      </c>
      <c r="S8" s="19">
        <f t="shared" si="0"/>
        <v>0.28720898692980207</v>
      </c>
      <c r="T8" s="19">
        <f t="shared" si="0"/>
        <v>0.5304347826086957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144324400</v>
      </c>
      <c r="J9" s="18">
        <f>SUMIF([1]Sheet1!$A:$A,A9,[1]Sheet1!$U:$U)</f>
        <v>459</v>
      </c>
      <c r="K9" s="18">
        <f>SUMIF([1]Sheet1!$A:$A,A9,[1]Sheet1!$Y:$Y)</f>
        <v>7000000</v>
      </c>
      <c r="L9" s="18">
        <f>SUMIF([1]Sheet1!$A:$A,A9,[1]Sheet1!$Z:$Z)</f>
        <v>0</v>
      </c>
      <c r="M9" s="17">
        <f t="shared" si="2"/>
        <v>151324400</v>
      </c>
      <c r="N9" s="17">
        <f t="shared" si="2"/>
        <v>459</v>
      </c>
      <c r="O9" s="19">
        <f t="shared" si="0"/>
        <v>0.47074494145201567</v>
      </c>
      <c r="P9" s="19">
        <f t="shared" si="0"/>
        <v>1.2749999999999999</v>
      </c>
      <c r="Q9" s="19">
        <f t="shared" si="0"/>
        <v>0.39266354751881349</v>
      </c>
      <c r="R9" s="19">
        <f t="shared" si="0"/>
        <v>0</v>
      </c>
      <c r="S9" s="19">
        <f t="shared" si="0"/>
        <v>0.46645427133445971</v>
      </c>
      <c r="T9" s="19">
        <f t="shared" si="0"/>
        <v>1.0314606741573034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68615200</v>
      </c>
      <c r="J10" s="18">
        <f>SUMIF([1]Sheet1!$A:$A,A10,[1]Sheet1!$U:$U)</f>
        <v>268</v>
      </c>
      <c r="K10" s="18">
        <f>SUMIF([1]Sheet1!$A:$A,A10,[1]Sheet1!$Y:$Y)</f>
        <v>13350000</v>
      </c>
      <c r="L10" s="18">
        <f>SUMIF([1]Sheet1!$A:$A,A10,[1]Sheet1!$Z:$Z)</f>
        <v>1</v>
      </c>
      <c r="M10" s="17">
        <f t="shared" si="2"/>
        <v>81965200</v>
      </c>
      <c r="N10" s="17">
        <f t="shared" si="2"/>
        <v>269</v>
      </c>
      <c r="O10" s="19">
        <f t="shared" si="0"/>
        <v>0.55295075321551057</v>
      </c>
      <c r="P10" s="19">
        <f t="shared" si="0"/>
        <v>1.1028806584362141</v>
      </c>
      <c r="Q10" s="19">
        <f t="shared" si="0"/>
        <v>0.41067561781251888</v>
      </c>
      <c r="R10" s="19">
        <f t="shared" si="0"/>
        <v>5.434782608695652E-3</v>
      </c>
      <c r="S10" s="19">
        <f t="shared" si="0"/>
        <v>0.52341628974149812</v>
      </c>
      <c r="T10" s="19">
        <f t="shared" si="0"/>
        <v>0.62997658079625296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78946100</v>
      </c>
      <c r="J11" s="18">
        <f>SUMIF([1]Sheet1!$A:$A,A11,[1]Sheet1!$U:$U)</f>
        <v>368</v>
      </c>
      <c r="K11" s="18">
        <f>SUMIF([1]Sheet1!$A:$A,A11,[1]Sheet1!$Y:$Y)</f>
        <v>15730000</v>
      </c>
      <c r="L11" s="18">
        <f>SUMIF([1]Sheet1!$A:$A,A11,[1]Sheet1!$Z:$Z)</f>
        <v>3</v>
      </c>
      <c r="M11" s="17">
        <f t="shared" si="2"/>
        <v>94676100</v>
      </c>
      <c r="N11" s="17">
        <f t="shared" si="2"/>
        <v>371</v>
      </c>
      <c r="O11" s="19">
        <f t="shared" si="0"/>
        <v>0.3043509536421769</v>
      </c>
      <c r="P11" s="19">
        <f t="shared" si="0"/>
        <v>1.0308123249299719</v>
      </c>
      <c r="Q11" s="19">
        <f t="shared" si="0"/>
        <v>0.4183784698127978</v>
      </c>
      <c r="R11" s="19">
        <f t="shared" si="0"/>
        <v>4.1095890410958902E-2</v>
      </c>
      <c r="S11" s="19">
        <f t="shared" si="0"/>
        <v>0.3187863397052822</v>
      </c>
      <c r="T11" s="19">
        <f t="shared" si="0"/>
        <v>0.86279069767441863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441167300</v>
      </c>
      <c r="J12" s="23">
        <f t="shared" si="3"/>
        <v>1720</v>
      </c>
      <c r="K12" s="23">
        <f t="shared" si="3"/>
        <v>76950000</v>
      </c>
      <c r="L12" s="23">
        <f t="shared" si="3"/>
        <v>5</v>
      </c>
      <c r="M12" s="23">
        <f t="shared" si="3"/>
        <v>518117300</v>
      </c>
      <c r="N12" s="23">
        <f t="shared" si="3"/>
        <v>1725</v>
      </c>
      <c r="O12" s="24">
        <f>AVERAGE(O6:O11)</f>
        <v>0.46432683554189502</v>
      </c>
      <c r="P12" s="24">
        <f t="shared" ref="P12:T12" si="4">AVERAGE(P6:P11)</f>
        <v>1.0615715987063901</v>
      </c>
      <c r="Q12" s="24">
        <f t="shared" si="4"/>
        <v>0.66602726367816201</v>
      </c>
      <c r="R12" s="24">
        <f t="shared" si="4"/>
        <v>1.5001488981536628E-2</v>
      </c>
      <c r="S12" s="24">
        <f t="shared" si="4"/>
        <v>0.48824603507497794</v>
      </c>
      <c r="T12" s="24">
        <f t="shared" si="4"/>
        <v>0.85804291774641683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2026-10-30T11:28:30Z</dcterms:modified>
</cp:coreProperties>
</file>