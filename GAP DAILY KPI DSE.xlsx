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Sheet2" sheetId="2" r:id="rId2"/>
  </sheets>
  <externalReferences>
    <externalReference r:id="rId3"/>
  </externalReferences>
  <definedNames>
    <definedName name="_xlnm._FilterDatabase" localSheetId="0" hidden="1">Sheet1!$A$3:$D$3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5" i="1" l="1"/>
  <c r="D14" i="1"/>
  <c r="D13" i="1"/>
  <c r="D12" i="1"/>
  <c r="D11" i="1"/>
  <c r="D8" i="1"/>
  <c r="D7" i="1"/>
  <c r="D6" i="1"/>
  <c r="D5" i="1"/>
  <c r="D4" i="1"/>
  <c r="F15" i="1" l="1"/>
  <c r="G15" i="1" s="1"/>
  <c r="F14" i="1"/>
  <c r="G14" i="1" s="1"/>
  <c r="F13" i="1"/>
  <c r="G13" i="1" s="1"/>
  <c r="F12" i="1"/>
  <c r="G12" i="1" s="1"/>
  <c r="F11" i="1"/>
  <c r="G11" i="1" s="1"/>
  <c r="F5" i="1"/>
  <c r="G5" i="1" s="1"/>
  <c r="F6" i="1"/>
  <c r="G6" i="1" s="1"/>
  <c r="F7" i="1"/>
  <c r="G7" i="1" s="1"/>
  <c r="F8" i="1"/>
  <c r="G8" i="1" s="1"/>
  <c r="F4" i="1"/>
  <c r="G4" i="1" s="1"/>
  <c r="E15" i="1"/>
  <c r="E14" i="1"/>
  <c r="E13" i="1"/>
  <c r="E12" i="1"/>
  <c r="E11" i="1"/>
  <c r="E5" i="1"/>
  <c r="E6" i="1"/>
  <c r="E7" i="1"/>
  <c r="E8" i="1"/>
  <c r="E4" i="1"/>
</calcChain>
</file>

<file path=xl/sharedStrings.xml><?xml version="1.0" encoding="utf-8"?>
<sst xmlns="http://schemas.openxmlformats.org/spreadsheetml/2006/main" count="220" uniqueCount="93">
  <si>
    <t>DSE Code</t>
  </si>
  <si>
    <t>Micro Cluster Name</t>
  </si>
  <si>
    <t>DSE1082</t>
  </si>
  <si>
    <t>MC-BENGKAYANG</t>
  </si>
  <si>
    <t>DSE1147</t>
  </si>
  <si>
    <t>DSE-BENGKAYANG01</t>
  </si>
  <si>
    <t>DSE-JAGOIBABNG01</t>
  </si>
  <si>
    <t>DSE-JAGOIBABNG02</t>
  </si>
  <si>
    <t>ACH %</t>
  </si>
  <si>
    <t>TARGET SP SELL IN</t>
  </si>
  <si>
    <t>TARGET OSA</t>
  </si>
  <si>
    <t>#OUTLET PJP</t>
  </si>
  <si>
    <t>#OUTLET VISITED PJP</t>
  </si>
  <si>
    <t>%OUTLET VISITED VS PJP</t>
  </si>
  <si>
    <t>#OUTLET VISITED AD HOC</t>
  </si>
  <si>
    <t>%OUTLET VISITED VS AD HOC</t>
  </si>
  <si>
    <t>#OUTLET EFECTIVE CALL</t>
  </si>
  <si>
    <t>%OUTLET EFECTIVE CALL</t>
  </si>
  <si>
    <t>#OUTLET SP TAGGING</t>
  </si>
  <si>
    <t>#OUTLET SP TAGGING GA</t>
  </si>
  <si>
    <t>#OUTLET SP TAGGING INCENTIVE</t>
  </si>
  <si>
    <t>#OUTLET BIOMETRIC INCENTIVE</t>
  </si>
  <si>
    <t>#OUTLET LOW STOCK SALDO</t>
  </si>
  <si>
    <t>#OUTLET LOW STOCK SP</t>
  </si>
  <si>
    <t>#OUTLET LOW STOCK VOUCHER</t>
  </si>
  <si>
    <t>OSA AMOUNT (LMTD)</t>
  </si>
  <si>
    <t>OSA AMOUNT (MTD)</t>
  </si>
  <si>
    <t>%TARGET OSA ACH</t>
  </si>
  <si>
    <t>OSA MoM</t>
  </si>
  <si>
    <t>TARGET SP SELLIN 3GB</t>
  </si>
  <si>
    <t>SP SELLIN 3GB (LMTD)</t>
  </si>
  <si>
    <t>SP SELLIN 3GB (MTD)</t>
  </si>
  <si>
    <t>%TARGET SELLIN SP ACH</t>
  </si>
  <si>
    <t>SP SELLIN 3GB MoM</t>
  </si>
  <si>
    <t>#SP ORI + INJECT SELLIN</t>
  </si>
  <si>
    <t>#SP ZERO SELLIN</t>
  </si>
  <si>
    <t>OUTLET SP ORI + INJECT SELLIN</t>
  </si>
  <si>
    <t>OUTLET SP ZERO SELLIN</t>
  </si>
  <si>
    <t>#VOUCHER ORI SELLIN</t>
  </si>
  <si>
    <t>#VOUCHER ZERO SELLIN</t>
  </si>
  <si>
    <t>#GA TRADE TOTAL</t>
  </si>
  <si>
    <t>#GA TRADE BIOMETRIC</t>
  </si>
  <si>
    <t>#GA TRADE NIK NOKK</t>
  </si>
  <si>
    <t>#GA TRADE 500MB</t>
  </si>
  <si>
    <t>#GA TRADE 500MB BIOMETRIC</t>
  </si>
  <si>
    <t>#GA TRADE 500MB NIK NOKK</t>
  </si>
  <si>
    <t>INCENTIVE INDICATIVE</t>
  </si>
  <si>
    <t>#GA TRADE 100MB</t>
  </si>
  <si>
    <t>#GA TRADE 100MB BIOMETRIC</t>
  </si>
  <si>
    <t>#GA TRADE 100MB NIK NOKK</t>
  </si>
  <si>
    <t>#SP TAGGING</t>
  </si>
  <si>
    <t>#SP TAGGING GA</t>
  </si>
  <si>
    <t>#SP TAGGING INCENTIVE</t>
  </si>
  <si>
    <t>AVG OUTLET VISIT DURATION</t>
  </si>
  <si>
    <t>ONO</t>
  </si>
  <si>
    <t>#OUTLET ONLINE PURCHASE</t>
  </si>
  <si>
    <t>AMOUNT ONLINE PURCHASE</t>
  </si>
  <si>
    <t>SUGGESTION SELLIN</t>
  </si>
  <si>
    <t>branch</t>
  </si>
  <si>
    <t>mc_cluster</t>
  </si>
  <si>
    <t>dse_code</t>
  </si>
  <si>
    <t>partner</t>
  </si>
  <si>
    <t>value</t>
  </si>
  <si>
    <t>SINGKAWANG</t>
  </si>
  <si>
    <t>SDP MONTERADO BENGKAYANG</t>
  </si>
  <si>
    <t>SDP JAGOI BABANG BENGKAYANG</t>
  </si>
  <si>
    <t>MC-MEMPAWAH</t>
  </si>
  <si>
    <t>2613051242</t>
  </si>
  <si>
    <t>AUTOLOAD TELEMEDIA, PT</t>
  </si>
  <si>
    <t>DSE-MEMPAWAH01</t>
  </si>
  <si>
    <t>DSE-MEMPAWAH02</t>
  </si>
  <si>
    <t>DSE-MEMPAWAH04</t>
  </si>
  <si>
    <t>DSE-MEMPAWAH05</t>
  </si>
  <si>
    <t>MC-SAMBAS</t>
  </si>
  <si>
    <t>CSOSDPSUKMA1</t>
  </si>
  <si>
    <t>SDP Sukma Cell Jawai Sambas</t>
  </si>
  <si>
    <t>CSOSDPSUKMA2</t>
  </si>
  <si>
    <t>DSE-PEMANGKAT01</t>
  </si>
  <si>
    <t>SUKSES JAYA KOMUNIKA, PT</t>
  </si>
  <si>
    <t>DSE-PEMANGKAT02</t>
  </si>
  <si>
    <t>DSE-PEMANGKAT03</t>
  </si>
  <si>
    <t>DSE-SAMBAS01</t>
  </si>
  <si>
    <t>SDP SAMBAS SAMBAS</t>
  </si>
  <si>
    <t>DSE-SAMBAS02</t>
  </si>
  <si>
    <t>MC-SINGKAWANG</t>
  </si>
  <si>
    <t>DSECBH-SKW2</t>
  </si>
  <si>
    <t>CENGLI BAWA HOKI, PT</t>
  </si>
  <si>
    <t>DSECBH-SKW3</t>
  </si>
  <si>
    <t>DSECBH-SKW5</t>
  </si>
  <si>
    <t>DSECBH-SKW6</t>
  </si>
  <si>
    <t>ACH MTD</t>
  </si>
  <si>
    <t>GAP MONTHLY</t>
  </si>
  <si>
    <t>GAP 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</si>
</sst>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indexed="8"/>
      <name val="Aptos Narrow"/>
      <charset val="134"/>
    </font>
    <font>
      <b/>
      <sz val="10"/>
      <color indexed="9"/>
      <name val="Aptos Narrow"/>
      <charset val="134"/>
    </font>
    <font>
      <b/>
      <sz val="10"/>
      <name val="Aptos Narrow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51154A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1">
    <xf numFmtId="0" fontId="0" fillId="0" borderId="0" xfId="0"/>
    <xf numFmtId="9" fontId="4" fillId="4" borderId="0" xfId="2" applyFont="1" applyFill="1" applyBorder="1" applyAlignment="1">
      <alignment vertical="center" wrapText="1"/>
    </xf>
    <xf numFmtId="17" fontId="2" fillId="4" borderId="0" xfId="0" applyNumberFormat="1" applyFont="1" applyFill="1" applyBorder="1"/>
    <xf numFmtId="0" fontId="3" fillId="4" borderId="0" xfId="0" applyFont="1" applyFill="1" applyBorder="1"/>
    <xf numFmtId="0" fontId="2" fillId="4" borderId="0" xfId="0" applyFont="1" applyFill="1" applyBorder="1"/>
    <xf numFmtId="0" fontId="3" fillId="4" borderId="0" xfId="0" applyFont="1" applyFill="1" applyBorder="1" applyAlignment="1">
      <alignment horizontal="left"/>
    </xf>
    <xf numFmtId="0" fontId="7" fillId="2" borderId="1" xfId="0" applyNumberFormat="1" applyFont="1" applyFill="1" applyBorder="1" applyAlignment="1" applyProtection="1">
      <alignment horizontal="center" vertical="center"/>
    </xf>
    <xf numFmtId="0" fontId="5" fillId="0" borderId="1" xfId="0" applyNumberFormat="1" applyFont="1" applyFill="1" applyBorder="1" applyAlignment="1" applyProtection="1">
      <alignment horizontal="left"/>
    </xf>
    <xf numFmtId="9" fontId="6" fillId="3" borderId="1" xfId="0" applyNumberFormat="1" applyFont="1" applyFill="1" applyBorder="1" applyAlignment="1" applyProtection="1">
      <alignment vertical="center" wrapText="1"/>
    </xf>
    <xf numFmtId="10" fontId="5" fillId="0" borderId="1" xfId="2" applyNumberFormat="1" applyFont="1" applyFill="1" applyBorder="1" applyAlignment="1" applyProtection="1"/>
    <xf numFmtId="165" fontId="5" fillId="0" borderId="1" xfId="1" applyNumberFormat="1" applyFont="1" applyFill="1" applyBorder="1" applyAlignment="1" applyProtection="1"/>
    <xf numFmtId="0" fontId="0" fillId="0" borderId="0" xfId="0" applyAlignment="1"/>
    <xf numFmtId="165" fontId="0" fillId="0" borderId="0" xfId="1" applyNumberFormat="1" applyFont="1" applyAlignment="1"/>
    <xf numFmtId="165" fontId="0" fillId="0" borderId="0" xfId="1" applyNumberFormat="1" applyFont="1" applyAlignment="1">
      <alignment vertical="top"/>
    </xf>
    <xf numFmtId="0" fontId="0" fillId="0" borderId="2" xfId="0" applyBorder="1"/>
    <xf numFmtId="165" fontId="0" fillId="0" borderId="2" xfId="1" applyNumberFormat="1" applyFont="1" applyBorder="1"/>
    <xf numFmtId="0" fontId="0" fillId="0" borderId="0" xfId="0" applyAlignment="1">
      <alignment vertical="top"/>
    </xf>
    <xf numFmtId="165" fontId="0" fillId="0" borderId="3" xfId="1" applyNumberFormat="1" applyFont="1" applyBorder="1"/>
    <xf numFmtId="165" fontId="0" fillId="0" borderId="0" xfId="1" applyNumberFormat="1" applyFont="1"/>
    <xf numFmtId="43" fontId="5" fillId="0" borderId="1" xfId="1" applyNumberFormat="1" applyFont="1" applyFill="1" applyBorder="1" applyAlignment="1" applyProtection="1"/>
    <xf numFmtId="165" fontId="3" fillId="4" borderId="1" xfId="1" applyNumberFormat="1" applyFont="1" applyFill="1" applyBorder="1"/>
  </cellXfs>
  <cellStyles count="4">
    <cellStyle name="Comma" xfId="1" builtinId="3"/>
    <cellStyle name="Comma 3 2" xfId="3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ETAIL%20OUTL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MASTER"/>
    </sheetNames>
    <sheetDataSet>
      <sheetData sheetId="0">
        <row r="5">
          <cell r="C5" t="str">
            <v>DSE Code</v>
          </cell>
          <cell r="I5" t="str">
            <v>SP SELL IN</v>
          </cell>
          <cell r="M5" t="str">
            <v>ACH OSA</v>
          </cell>
        </row>
        <row r="6">
          <cell r="C6" t="str">
            <v>DSE-BENGKAYANG01</v>
          </cell>
          <cell r="I6">
            <v>0</v>
          </cell>
          <cell r="M6">
            <v>58000</v>
          </cell>
        </row>
        <row r="7">
          <cell r="C7" t="str">
            <v>DSE-BENGKAYANG01</v>
          </cell>
          <cell r="I7">
            <v>3</v>
          </cell>
          <cell r="M7">
            <v>90000</v>
          </cell>
        </row>
        <row r="8">
          <cell r="C8" t="str">
            <v>DSE-BENGKAYANG01</v>
          </cell>
          <cell r="I8">
            <v>3</v>
          </cell>
          <cell r="M8">
            <v>90000</v>
          </cell>
        </row>
        <row r="9">
          <cell r="C9" t="str">
            <v>DSE-BENGKAYANG01</v>
          </cell>
          <cell r="I9">
            <v>3</v>
          </cell>
          <cell r="M9">
            <v>90000</v>
          </cell>
        </row>
        <row r="10">
          <cell r="C10" t="str">
            <v>DSE-BENGKAYANG01</v>
          </cell>
          <cell r="I10">
            <v>3</v>
          </cell>
          <cell r="M10">
            <v>90000</v>
          </cell>
        </row>
        <row r="11">
          <cell r="C11" t="str">
            <v>DSE-BENGKAYANG01</v>
          </cell>
          <cell r="I11">
            <v>3</v>
          </cell>
          <cell r="M11">
            <v>148000</v>
          </cell>
        </row>
        <row r="12">
          <cell r="C12" t="str">
            <v>DSE-BENGKAYANG01</v>
          </cell>
          <cell r="I12">
            <v>3</v>
          </cell>
          <cell r="M12">
            <v>90000</v>
          </cell>
        </row>
        <row r="13">
          <cell r="C13" t="str">
            <v>DSE-BENGKAYANG01</v>
          </cell>
          <cell r="I13">
            <v>5</v>
          </cell>
          <cell r="M13">
            <v>208000</v>
          </cell>
        </row>
        <row r="14">
          <cell r="C14" t="str">
            <v>DSE-BENGKAYANG01</v>
          </cell>
          <cell r="I14">
            <v>3</v>
          </cell>
          <cell r="M14">
            <v>148000</v>
          </cell>
        </row>
        <row r="15">
          <cell r="C15" t="str">
            <v>DSE-BENGKAYANG01</v>
          </cell>
          <cell r="I15">
            <v>3</v>
          </cell>
          <cell r="M15">
            <v>1090000</v>
          </cell>
        </row>
        <row r="16">
          <cell r="C16" t="str">
            <v>DSE-BENGKAYANG01</v>
          </cell>
          <cell r="I16">
            <v>3</v>
          </cell>
          <cell r="M16">
            <v>790000</v>
          </cell>
        </row>
        <row r="17">
          <cell r="C17" t="str">
            <v>DSE-BENGKAYANG01</v>
          </cell>
          <cell r="I17">
            <v>3</v>
          </cell>
          <cell r="M17">
            <v>90000</v>
          </cell>
        </row>
        <row r="18">
          <cell r="C18" t="str">
            <v>DSE-BENGKAYANG01</v>
          </cell>
          <cell r="I18">
            <v>3</v>
          </cell>
          <cell r="M18">
            <v>90000</v>
          </cell>
        </row>
        <row r="19">
          <cell r="C19" t="str">
            <v>DSE-BENGKAYANG01</v>
          </cell>
          <cell r="I19">
            <v>3</v>
          </cell>
          <cell r="M19">
            <v>2090000</v>
          </cell>
        </row>
        <row r="20">
          <cell r="C20" t="str">
            <v>DSE-BENGKAYANG01</v>
          </cell>
          <cell r="I20">
            <v>3</v>
          </cell>
          <cell r="M20">
            <v>90000</v>
          </cell>
        </row>
        <row r="21">
          <cell r="C21" t="str">
            <v>DSE-BENGKAYANG01</v>
          </cell>
          <cell r="I21">
            <v>3</v>
          </cell>
          <cell r="M21">
            <v>1090000</v>
          </cell>
        </row>
        <row r="22">
          <cell r="C22" t="str">
            <v>DSE-BENGKAYANG01</v>
          </cell>
          <cell r="I22">
            <v>5</v>
          </cell>
          <cell r="M22">
            <v>2150000</v>
          </cell>
        </row>
        <row r="23">
          <cell r="C23" t="str">
            <v>DSE-BENGKAYANG01</v>
          </cell>
          <cell r="I23">
            <v>3</v>
          </cell>
          <cell r="M23">
            <v>90000</v>
          </cell>
        </row>
        <row r="24">
          <cell r="C24" t="str">
            <v>DSE-BENGKAYANG01</v>
          </cell>
          <cell r="I24">
            <v>0</v>
          </cell>
          <cell r="M24">
            <v>2000000</v>
          </cell>
        </row>
        <row r="25">
          <cell r="C25" t="str">
            <v>DSE-BENGKAYANG01</v>
          </cell>
          <cell r="I25">
            <v>3</v>
          </cell>
          <cell r="M25">
            <v>90000</v>
          </cell>
        </row>
        <row r="26">
          <cell r="C26" t="str">
            <v>DSE-BENGKAYANG01</v>
          </cell>
          <cell r="I26">
            <v>3</v>
          </cell>
          <cell r="M26">
            <v>90000</v>
          </cell>
        </row>
        <row r="27">
          <cell r="C27" t="str">
            <v>DSE-BENGKAYANG01</v>
          </cell>
          <cell r="I27">
            <v>4</v>
          </cell>
          <cell r="M27">
            <v>120000</v>
          </cell>
        </row>
        <row r="28">
          <cell r="C28" t="str">
            <v>DSE-BENGKAYANG01</v>
          </cell>
          <cell r="I28">
            <v>4</v>
          </cell>
          <cell r="M28">
            <v>3120000</v>
          </cell>
        </row>
        <row r="29">
          <cell r="C29" t="str">
            <v>DSE-BENGKAYANG01</v>
          </cell>
          <cell r="I29">
            <v>0</v>
          </cell>
          <cell r="M29">
            <v>58000</v>
          </cell>
        </row>
        <row r="30">
          <cell r="C30" t="str">
            <v>DSE-BENGKAYANG01</v>
          </cell>
          <cell r="I30">
            <v>3</v>
          </cell>
          <cell r="M30">
            <v>90000</v>
          </cell>
        </row>
        <row r="31">
          <cell r="C31" t="str">
            <v>DSE-BENGKAYANG01</v>
          </cell>
          <cell r="I31">
            <v>5</v>
          </cell>
          <cell r="M31">
            <v>150000</v>
          </cell>
        </row>
        <row r="32">
          <cell r="C32" t="str">
            <v>DSE-BENGKAYANG01</v>
          </cell>
          <cell r="I32">
            <v>0</v>
          </cell>
          <cell r="M32">
            <v>58000</v>
          </cell>
        </row>
        <row r="33">
          <cell r="C33" t="str">
            <v>DSE-BENGKAYANG01</v>
          </cell>
          <cell r="I33">
            <v>5</v>
          </cell>
          <cell r="M33">
            <v>150000</v>
          </cell>
        </row>
        <row r="34">
          <cell r="C34" t="str">
            <v>DSE-BENGKAYANG01</v>
          </cell>
          <cell r="I34">
            <v>3</v>
          </cell>
          <cell r="M34">
            <v>90000</v>
          </cell>
        </row>
        <row r="35">
          <cell r="C35" t="str">
            <v>DSE-BENGKAYANG01</v>
          </cell>
          <cell r="I35">
            <v>3</v>
          </cell>
          <cell r="M35">
            <v>90000</v>
          </cell>
        </row>
        <row r="36">
          <cell r="C36" t="str">
            <v>DSE-BENGKAYANG01</v>
          </cell>
          <cell r="I36">
            <v>3</v>
          </cell>
          <cell r="M36">
            <v>90000</v>
          </cell>
        </row>
        <row r="37">
          <cell r="C37" t="str">
            <v>DSE-BENGKAYANG01</v>
          </cell>
          <cell r="I37">
            <v>3</v>
          </cell>
          <cell r="M37">
            <v>133500</v>
          </cell>
        </row>
        <row r="38">
          <cell r="C38" t="str">
            <v>DSE-BENGKAYANG01</v>
          </cell>
          <cell r="I38">
            <v>3</v>
          </cell>
          <cell r="M38">
            <v>235000</v>
          </cell>
        </row>
        <row r="39">
          <cell r="C39" t="str">
            <v>DSE-BENGKAYANG01</v>
          </cell>
          <cell r="I39">
            <v>0</v>
          </cell>
          <cell r="M39">
            <v>58000</v>
          </cell>
        </row>
        <row r="40">
          <cell r="C40" t="str">
            <v>DSE-BENGKAYANG01</v>
          </cell>
          <cell r="I40">
            <v>3</v>
          </cell>
          <cell r="M40">
            <v>1090000</v>
          </cell>
        </row>
        <row r="41">
          <cell r="C41" t="str">
            <v>DSE-BENGKAYANG01</v>
          </cell>
          <cell r="I41">
            <v>3</v>
          </cell>
          <cell r="M41">
            <v>90000</v>
          </cell>
        </row>
        <row r="42">
          <cell r="C42" t="str">
            <v>DSE-BENGKAYANG01</v>
          </cell>
          <cell r="I42">
            <v>3</v>
          </cell>
          <cell r="M42">
            <v>206000</v>
          </cell>
        </row>
        <row r="43">
          <cell r="C43" t="str">
            <v>DSE-BENGKAYANG01</v>
          </cell>
          <cell r="I43">
            <v>0</v>
          </cell>
          <cell r="M43">
            <v>0</v>
          </cell>
        </row>
        <row r="44">
          <cell r="C44" t="str">
            <v>DSE1082</v>
          </cell>
          <cell r="I44">
            <v>23</v>
          </cell>
          <cell r="M44">
            <v>6016000</v>
          </cell>
        </row>
        <row r="45">
          <cell r="C45" t="str">
            <v>DSE1082</v>
          </cell>
          <cell r="I45">
            <v>3</v>
          </cell>
          <cell r="M45">
            <v>5211000</v>
          </cell>
        </row>
        <row r="46">
          <cell r="C46" t="str">
            <v>DSE1082</v>
          </cell>
          <cell r="I46">
            <v>3</v>
          </cell>
          <cell r="M46">
            <v>5211000</v>
          </cell>
        </row>
        <row r="47">
          <cell r="C47" t="str">
            <v>DSE1082</v>
          </cell>
          <cell r="I47">
            <v>10</v>
          </cell>
          <cell r="M47">
            <v>2515000</v>
          </cell>
        </row>
        <row r="48">
          <cell r="C48" t="str">
            <v>DSE1082</v>
          </cell>
          <cell r="I48">
            <v>10</v>
          </cell>
          <cell r="M48">
            <v>2355000</v>
          </cell>
        </row>
        <row r="49">
          <cell r="C49" t="str">
            <v>DSE1082</v>
          </cell>
          <cell r="I49">
            <v>10</v>
          </cell>
          <cell r="M49">
            <v>2103000</v>
          </cell>
        </row>
        <row r="50">
          <cell r="C50" t="str">
            <v>DSE1082</v>
          </cell>
          <cell r="I50">
            <v>0</v>
          </cell>
          <cell r="M50">
            <v>3368000</v>
          </cell>
        </row>
        <row r="51">
          <cell r="C51" t="str">
            <v>DSE1082</v>
          </cell>
          <cell r="I51">
            <v>20</v>
          </cell>
          <cell r="M51">
            <v>8866000</v>
          </cell>
        </row>
        <row r="52">
          <cell r="C52" t="str">
            <v>DSE1082</v>
          </cell>
          <cell r="I52">
            <v>10</v>
          </cell>
          <cell r="M52">
            <v>7194000</v>
          </cell>
        </row>
        <row r="53">
          <cell r="C53" t="str">
            <v>DSE1082</v>
          </cell>
          <cell r="I53">
            <v>10</v>
          </cell>
          <cell r="M53">
            <v>4873000</v>
          </cell>
        </row>
        <row r="54">
          <cell r="C54" t="str">
            <v>DSE-BENGKAYANG01</v>
          </cell>
          <cell r="I54">
            <v>30</v>
          </cell>
          <cell r="M54">
            <v>4831000</v>
          </cell>
        </row>
        <row r="55">
          <cell r="C55" t="str">
            <v>DSE-BENGKAYANG01</v>
          </cell>
          <cell r="I55">
            <v>30</v>
          </cell>
          <cell r="M55">
            <v>4557000</v>
          </cell>
        </row>
        <row r="56">
          <cell r="C56" t="str">
            <v>DSE1082</v>
          </cell>
          <cell r="I56">
            <v>48</v>
          </cell>
          <cell r="M56">
            <v>4426000</v>
          </cell>
        </row>
        <row r="57">
          <cell r="C57" t="str">
            <v>DSE1082</v>
          </cell>
          <cell r="I57">
            <v>10</v>
          </cell>
          <cell r="M57">
            <v>4340000</v>
          </cell>
        </row>
        <row r="58">
          <cell r="C58" t="str">
            <v>DSE1082</v>
          </cell>
          <cell r="I58">
            <v>0</v>
          </cell>
          <cell r="M58">
            <v>1140000</v>
          </cell>
        </row>
        <row r="59">
          <cell r="C59" t="str">
            <v>DSE1082</v>
          </cell>
          <cell r="I59">
            <v>20</v>
          </cell>
          <cell r="M59">
            <v>4808000</v>
          </cell>
        </row>
        <row r="60">
          <cell r="C60" t="str">
            <v>DSE1082</v>
          </cell>
          <cell r="I60">
            <v>10</v>
          </cell>
          <cell r="M60">
            <v>2535000</v>
          </cell>
        </row>
        <row r="61">
          <cell r="C61" t="str">
            <v>DSE1082</v>
          </cell>
          <cell r="I61">
            <v>20</v>
          </cell>
          <cell r="M61">
            <v>2835000</v>
          </cell>
        </row>
        <row r="62">
          <cell r="C62" t="str">
            <v>DSE1082</v>
          </cell>
          <cell r="I62">
            <v>0</v>
          </cell>
          <cell r="M62">
            <v>4056000</v>
          </cell>
        </row>
        <row r="63">
          <cell r="C63" t="str">
            <v>DSE1082</v>
          </cell>
          <cell r="I63">
            <v>0</v>
          </cell>
          <cell r="M63">
            <v>4237000</v>
          </cell>
        </row>
        <row r="64">
          <cell r="C64" t="str">
            <v>DSE1082</v>
          </cell>
          <cell r="I64">
            <v>10</v>
          </cell>
          <cell r="M64">
            <v>1826000</v>
          </cell>
        </row>
        <row r="65">
          <cell r="C65" t="str">
            <v>DSE1082</v>
          </cell>
          <cell r="I65">
            <v>23</v>
          </cell>
          <cell r="M65">
            <v>14105000</v>
          </cell>
        </row>
        <row r="66">
          <cell r="C66" t="str">
            <v>DSE1082</v>
          </cell>
          <cell r="I66">
            <v>10</v>
          </cell>
          <cell r="M66">
            <v>4010000</v>
          </cell>
        </row>
        <row r="67">
          <cell r="C67" t="str">
            <v>DSE1082</v>
          </cell>
          <cell r="I67">
            <v>10</v>
          </cell>
          <cell r="M67">
            <v>2535000</v>
          </cell>
        </row>
        <row r="68">
          <cell r="C68" t="str">
            <v>DSE1082</v>
          </cell>
          <cell r="I68">
            <v>23</v>
          </cell>
          <cell r="M68">
            <v>4476000</v>
          </cell>
        </row>
        <row r="69">
          <cell r="C69" t="str">
            <v>DSE1082</v>
          </cell>
          <cell r="I69">
            <v>13</v>
          </cell>
          <cell r="M69">
            <v>3689000</v>
          </cell>
        </row>
        <row r="70">
          <cell r="C70" t="str">
            <v>DSE1082</v>
          </cell>
          <cell r="I70">
            <v>23</v>
          </cell>
          <cell r="M70">
            <v>7911000</v>
          </cell>
        </row>
        <row r="71">
          <cell r="C71" t="str">
            <v>DSE1082</v>
          </cell>
          <cell r="I71">
            <v>23</v>
          </cell>
          <cell r="M71">
            <v>8415000</v>
          </cell>
        </row>
        <row r="72">
          <cell r="C72" t="str">
            <v>DSE1082</v>
          </cell>
          <cell r="I72">
            <v>23</v>
          </cell>
          <cell r="M72">
            <v>3103000</v>
          </cell>
        </row>
        <row r="73">
          <cell r="C73" t="str">
            <v>DSE1082</v>
          </cell>
          <cell r="I73">
            <v>10</v>
          </cell>
          <cell r="M73">
            <v>1385000</v>
          </cell>
        </row>
        <row r="74">
          <cell r="C74" t="str">
            <v>DSE1082</v>
          </cell>
          <cell r="I74">
            <v>23</v>
          </cell>
          <cell r="M74">
            <v>3241000</v>
          </cell>
        </row>
        <row r="75">
          <cell r="C75" t="str">
            <v>DSE1082</v>
          </cell>
          <cell r="I75">
            <v>23</v>
          </cell>
          <cell r="M75">
            <v>4243000</v>
          </cell>
        </row>
        <row r="76">
          <cell r="C76" t="str">
            <v>DSE1082</v>
          </cell>
          <cell r="I76">
            <v>23</v>
          </cell>
          <cell r="M76">
            <v>2650000</v>
          </cell>
        </row>
        <row r="77">
          <cell r="C77" t="str">
            <v>DSE1082</v>
          </cell>
          <cell r="I77">
            <v>23</v>
          </cell>
          <cell r="M77">
            <v>2663000</v>
          </cell>
        </row>
        <row r="78">
          <cell r="C78" t="str">
            <v>DSE1082</v>
          </cell>
          <cell r="I78">
            <v>10</v>
          </cell>
          <cell r="M78">
            <v>1296000</v>
          </cell>
        </row>
        <row r="79">
          <cell r="C79" t="str">
            <v>DSE-JAGOIBABNG02</v>
          </cell>
          <cell r="I79">
            <v>8</v>
          </cell>
          <cell r="M79">
            <v>961000</v>
          </cell>
        </row>
        <row r="80">
          <cell r="C80" t="str">
            <v>DSE-JAGOIBABNG01</v>
          </cell>
          <cell r="I80">
            <v>4</v>
          </cell>
          <cell r="M80">
            <v>406800</v>
          </cell>
        </row>
        <row r="81">
          <cell r="C81" t="str">
            <v>DSE-JAGOIBABNG01</v>
          </cell>
          <cell r="I81">
            <v>4</v>
          </cell>
          <cell r="M81">
            <v>406800</v>
          </cell>
        </row>
        <row r="82">
          <cell r="C82" t="str">
            <v>DSE-JAGOIBABNG01</v>
          </cell>
          <cell r="I82">
            <v>3</v>
          </cell>
          <cell r="M82">
            <v>515400</v>
          </cell>
        </row>
        <row r="83">
          <cell r="C83" t="str">
            <v>DSE-JAGOIBABNG01</v>
          </cell>
          <cell r="I83">
            <v>3</v>
          </cell>
          <cell r="M83">
            <v>953200</v>
          </cell>
        </row>
        <row r="84">
          <cell r="C84" t="str">
            <v>DSE-JAGOIBABNG01</v>
          </cell>
          <cell r="I84">
            <v>9</v>
          </cell>
          <cell r="M84">
            <v>1704400</v>
          </cell>
        </row>
        <row r="85">
          <cell r="C85" t="str">
            <v>DSE-JAGOIBABNG01</v>
          </cell>
          <cell r="I85">
            <v>14</v>
          </cell>
          <cell r="M85">
            <v>2575000</v>
          </cell>
        </row>
        <row r="86">
          <cell r="C86" t="str">
            <v>DSE-JAGOIBABNG02</v>
          </cell>
          <cell r="I86">
            <v>16</v>
          </cell>
          <cell r="M86">
            <v>6830800</v>
          </cell>
        </row>
        <row r="87">
          <cell r="C87" t="str">
            <v>DSE-JAGOIBABNG02</v>
          </cell>
          <cell r="I87">
            <v>26</v>
          </cell>
          <cell r="M87">
            <v>1680000</v>
          </cell>
        </row>
        <row r="88">
          <cell r="C88" t="str">
            <v>DSE-JAGOIBABNG02</v>
          </cell>
          <cell r="I88">
            <v>3</v>
          </cell>
          <cell r="M88">
            <v>721800</v>
          </cell>
        </row>
        <row r="89">
          <cell r="C89" t="str">
            <v>DSE-JAGOIBABNG02</v>
          </cell>
          <cell r="I89">
            <v>15</v>
          </cell>
          <cell r="M89">
            <v>1886000</v>
          </cell>
        </row>
        <row r="90">
          <cell r="C90" t="str">
            <v>DSE-JAGOIBABNG02</v>
          </cell>
          <cell r="I90">
            <v>14</v>
          </cell>
          <cell r="M90">
            <v>849400</v>
          </cell>
        </row>
        <row r="91">
          <cell r="C91" t="str">
            <v>DSE-JAGOIBABNG01</v>
          </cell>
          <cell r="I91">
            <v>11</v>
          </cell>
          <cell r="M91">
            <v>1105800</v>
          </cell>
        </row>
        <row r="92">
          <cell r="C92" t="str">
            <v>DSE-JAGOIBABNG01</v>
          </cell>
          <cell r="I92">
            <v>13</v>
          </cell>
          <cell r="M92">
            <v>1634000</v>
          </cell>
        </row>
        <row r="93">
          <cell r="C93" t="str">
            <v>DSE-JAGOIBABNG01</v>
          </cell>
          <cell r="I93">
            <v>30</v>
          </cell>
          <cell r="M93">
            <v>1445800</v>
          </cell>
        </row>
        <row r="94">
          <cell r="C94" t="str">
            <v>DSE-JAGOIBABNG01</v>
          </cell>
          <cell r="I94">
            <v>6</v>
          </cell>
          <cell r="M94">
            <v>1774600</v>
          </cell>
        </row>
        <row r="95">
          <cell r="C95" t="str">
            <v>DSE-JAGOIBABNG01</v>
          </cell>
          <cell r="I95">
            <v>6</v>
          </cell>
          <cell r="M95">
            <v>1144600</v>
          </cell>
        </row>
        <row r="96">
          <cell r="C96" t="str">
            <v>DSE-JAGOIBABNG01</v>
          </cell>
          <cell r="I96">
            <v>6</v>
          </cell>
          <cell r="M96">
            <v>1329800</v>
          </cell>
        </row>
        <row r="97">
          <cell r="C97" t="str">
            <v>DSE-JAGOIBABNG01</v>
          </cell>
          <cell r="I97">
            <v>6</v>
          </cell>
          <cell r="M97">
            <v>1117800</v>
          </cell>
        </row>
        <row r="98">
          <cell r="C98" t="str">
            <v>DSE-JAGOIBABNG02</v>
          </cell>
          <cell r="I98">
            <v>3</v>
          </cell>
          <cell r="M98">
            <v>1541000</v>
          </cell>
        </row>
        <row r="99">
          <cell r="C99" t="str">
            <v>DSE-JAGOIBABNG01</v>
          </cell>
          <cell r="I99">
            <v>29</v>
          </cell>
          <cell r="M99">
            <v>885000</v>
          </cell>
        </row>
        <row r="100">
          <cell r="C100" t="str">
            <v>DSE-JAGOIBABNG01</v>
          </cell>
          <cell r="I100">
            <v>14</v>
          </cell>
          <cell r="M100">
            <v>5300000</v>
          </cell>
        </row>
        <row r="101">
          <cell r="C101" t="str">
            <v>DSE-JAGOIBABNG01</v>
          </cell>
          <cell r="I101">
            <v>6</v>
          </cell>
          <cell r="M101">
            <v>3119600</v>
          </cell>
        </row>
        <row r="102">
          <cell r="C102" t="str">
            <v>DSE-JAGOIBABNG01</v>
          </cell>
          <cell r="I102">
            <v>11</v>
          </cell>
          <cell r="M102">
            <v>2278000</v>
          </cell>
        </row>
        <row r="103">
          <cell r="C103" t="str">
            <v>DSE-JAGOIBABNG01</v>
          </cell>
          <cell r="I103">
            <v>8</v>
          </cell>
          <cell r="M103">
            <v>2083800</v>
          </cell>
        </row>
        <row r="104">
          <cell r="C104" t="str">
            <v>DSE-JAGOIBABNG01</v>
          </cell>
          <cell r="I104">
            <v>8</v>
          </cell>
          <cell r="M104">
            <v>2865200</v>
          </cell>
        </row>
        <row r="105">
          <cell r="C105" t="str">
            <v>DSE-JAGOIBABNG02</v>
          </cell>
          <cell r="I105">
            <v>6</v>
          </cell>
          <cell r="M105">
            <v>4779500</v>
          </cell>
        </row>
        <row r="106">
          <cell r="C106" t="str">
            <v>DSE-JAGOIBABNG01</v>
          </cell>
          <cell r="I106">
            <v>8</v>
          </cell>
          <cell r="M106">
            <v>1003000</v>
          </cell>
        </row>
        <row r="107">
          <cell r="C107" t="str">
            <v>DSE-JAGOIBABNG01</v>
          </cell>
          <cell r="I107">
            <v>6</v>
          </cell>
          <cell r="M107">
            <v>992000</v>
          </cell>
        </row>
        <row r="108">
          <cell r="C108" t="str">
            <v>DSE-JAGOIBABNG01</v>
          </cell>
          <cell r="I108">
            <v>11</v>
          </cell>
          <cell r="M108">
            <v>3816800</v>
          </cell>
        </row>
        <row r="109">
          <cell r="C109" t="str">
            <v>DSE-JAGOIBABNG01</v>
          </cell>
          <cell r="I109">
            <v>8</v>
          </cell>
          <cell r="M109">
            <v>547800</v>
          </cell>
        </row>
        <row r="110">
          <cell r="C110" t="str">
            <v>DSE-JAGOIBABNG01</v>
          </cell>
          <cell r="I110">
            <v>9</v>
          </cell>
          <cell r="M110">
            <v>1099600</v>
          </cell>
        </row>
        <row r="111">
          <cell r="C111" t="str">
            <v>DSE-JAGOIBABNG01</v>
          </cell>
          <cell r="I111">
            <v>28</v>
          </cell>
          <cell r="M111">
            <v>1141600</v>
          </cell>
        </row>
        <row r="112">
          <cell r="C112" t="str">
            <v>DSE-JAGOIBABNG01</v>
          </cell>
          <cell r="I112">
            <v>11</v>
          </cell>
          <cell r="M112">
            <v>1272800</v>
          </cell>
        </row>
        <row r="113">
          <cell r="C113" t="str">
            <v>DSE-JAGOIBABNG01</v>
          </cell>
          <cell r="I113">
            <v>9</v>
          </cell>
          <cell r="M113">
            <v>3280000</v>
          </cell>
        </row>
        <row r="114">
          <cell r="C114" t="str">
            <v>DSE-JAGOIBABNG02</v>
          </cell>
          <cell r="I114">
            <v>6</v>
          </cell>
          <cell r="M114">
            <v>2505200</v>
          </cell>
        </row>
        <row r="115">
          <cell r="C115" t="str">
            <v>DSE-JAGOIBABNG01</v>
          </cell>
          <cell r="I115">
            <v>11</v>
          </cell>
          <cell r="M115">
            <v>1617600</v>
          </cell>
        </row>
        <row r="116">
          <cell r="C116" t="str">
            <v>DSE-JAGOIBABNG01</v>
          </cell>
          <cell r="I116">
            <v>3</v>
          </cell>
          <cell r="M116">
            <v>555000</v>
          </cell>
        </row>
        <row r="117">
          <cell r="C117" t="str">
            <v>DSE-JAGOIBABNG01</v>
          </cell>
          <cell r="I117">
            <v>3</v>
          </cell>
          <cell r="M117">
            <v>1907800</v>
          </cell>
        </row>
        <row r="118">
          <cell r="C118" t="str">
            <v>DSE-JAGOIBABNG01</v>
          </cell>
          <cell r="I118">
            <v>8</v>
          </cell>
          <cell r="M118">
            <v>717800</v>
          </cell>
        </row>
        <row r="119">
          <cell r="C119" t="str">
            <v>DSE-JAGOIBABNG01</v>
          </cell>
          <cell r="I119">
            <v>3</v>
          </cell>
          <cell r="M119">
            <v>1077200</v>
          </cell>
        </row>
        <row r="120">
          <cell r="C120" t="str">
            <v>DSE-JAGOIBABNG01</v>
          </cell>
          <cell r="I120">
            <v>8</v>
          </cell>
          <cell r="M120">
            <v>632800</v>
          </cell>
        </row>
        <row r="121">
          <cell r="C121" t="str">
            <v>DSE-JAGOIBABNG01</v>
          </cell>
          <cell r="I121">
            <v>11</v>
          </cell>
          <cell r="M121">
            <v>968000</v>
          </cell>
        </row>
        <row r="122">
          <cell r="C122" t="str">
            <v>DSE-JAGOIBABNG02</v>
          </cell>
          <cell r="I122">
            <v>12</v>
          </cell>
          <cell r="M122">
            <v>2560500</v>
          </cell>
        </row>
        <row r="123">
          <cell r="C123" t="str">
            <v>DSE-JAGOIBABNG01</v>
          </cell>
          <cell r="I123">
            <v>3</v>
          </cell>
          <cell r="M123">
            <v>599400</v>
          </cell>
        </row>
        <row r="124">
          <cell r="C124" t="str">
            <v>DSE-JAGOIBABNG01</v>
          </cell>
          <cell r="I124">
            <v>6</v>
          </cell>
          <cell r="M124">
            <v>1078400</v>
          </cell>
        </row>
        <row r="125">
          <cell r="C125" t="str">
            <v>DSE-JAGOIBABNG01</v>
          </cell>
          <cell r="I125">
            <v>6</v>
          </cell>
          <cell r="M125">
            <v>1731400</v>
          </cell>
        </row>
        <row r="126">
          <cell r="C126" t="str">
            <v>DSE-JAGOIBABNG02</v>
          </cell>
          <cell r="I126">
            <v>3</v>
          </cell>
          <cell r="M126">
            <v>1366200</v>
          </cell>
        </row>
        <row r="127">
          <cell r="C127" t="str">
            <v>DSE-JAGOIBABNG02</v>
          </cell>
          <cell r="I127">
            <v>3</v>
          </cell>
          <cell r="M127">
            <v>5979800</v>
          </cell>
        </row>
        <row r="128">
          <cell r="C128" t="str">
            <v>DSE-JAGOIBABNG01</v>
          </cell>
          <cell r="I128">
            <v>3</v>
          </cell>
          <cell r="M128">
            <v>957400</v>
          </cell>
        </row>
        <row r="129">
          <cell r="C129" t="str">
            <v>DSE-JAGOIBABNG02</v>
          </cell>
          <cell r="I129">
            <v>22</v>
          </cell>
          <cell r="M129">
            <v>3223900</v>
          </cell>
        </row>
        <row r="130">
          <cell r="C130" t="str">
            <v>DSE-JAGOIBABNG01</v>
          </cell>
          <cell r="I130">
            <v>3</v>
          </cell>
          <cell r="M130">
            <v>3345000</v>
          </cell>
        </row>
        <row r="131">
          <cell r="C131" t="str">
            <v>DSE-JAGOIBABNG02</v>
          </cell>
          <cell r="I131">
            <v>13</v>
          </cell>
          <cell r="M131">
            <v>1890000</v>
          </cell>
        </row>
        <row r="132">
          <cell r="C132" t="str">
            <v>DSE-JAGOIBABNG02</v>
          </cell>
          <cell r="I132">
            <v>18</v>
          </cell>
          <cell r="M132">
            <v>9161000</v>
          </cell>
        </row>
        <row r="133">
          <cell r="C133" t="str">
            <v>DSE-JAGOIBABNG02</v>
          </cell>
          <cell r="I133">
            <v>3</v>
          </cell>
          <cell r="M133">
            <v>511200</v>
          </cell>
        </row>
        <row r="134">
          <cell r="C134" t="str">
            <v>DSE-JAGOIBABNG01</v>
          </cell>
          <cell r="I134">
            <v>9</v>
          </cell>
          <cell r="M134">
            <v>1940400</v>
          </cell>
        </row>
        <row r="135">
          <cell r="C135" t="str">
            <v>DSE-JAGOIBABNG01</v>
          </cell>
          <cell r="I135">
            <v>6</v>
          </cell>
          <cell r="M135">
            <v>1678600</v>
          </cell>
        </row>
        <row r="136">
          <cell r="C136" t="str">
            <v>DSE-JAGOIBABNG01</v>
          </cell>
          <cell r="I136">
            <v>8</v>
          </cell>
          <cell r="M136">
            <v>2040600</v>
          </cell>
        </row>
        <row r="137">
          <cell r="C137" t="str">
            <v>DSE-JAGOIBABNG01</v>
          </cell>
          <cell r="I137">
            <v>8</v>
          </cell>
          <cell r="M137">
            <v>1266400</v>
          </cell>
        </row>
        <row r="138">
          <cell r="C138" t="str">
            <v>DSE-JAGOIBABNG02</v>
          </cell>
          <cell r="I138">
            <v>5</v>
          </cell>
          <cell r="M138">
            <v>2100000</v>
          </cell>
        </row>
        <row r="139">
          <cell r="C139" t="str">
            <v>DSE-JAGOIBABNG02</v>
          </cell>
          <cell r="I139">
            <v>5</v>
          </cell>
          <cell r="M139">
            <v>2301000</v>
          </cell>
        </row>
        <row r="140">
          <cell r="C140" t="str">
            <v>DSE-JAGOIBABNG02</v>
          </cell>
          <cell r="I140">
            <v>7</v>
          </cell>
          <cell r="M140">
            <v>1229000</v>
          </cell>
        </row>
        <row r="141">
          <cell r="C141" t="str">
            <v>DSE-JAGOIBABNG01</v>
          </cell>
          <cell r="I141">
            <v>3</v>
          </cell>
          <cell r="M141">
            <v>599400</v>
          </cell>
        </row>
        <row r="142">
          <cell r="C142" t="str">
            <v>DSE-JAGOIBABNG02</v>
          </cell>
          <cell r="I142">
            <v>3</v>
          </cell>
          <cell r="M142">
            <v>375000</v>
          </cell>
        </row>
        <row r="143">
          <cell r="C143" t="str">
            <v>DSE-JAGOIBABNG01</v>
          </cell>
          <cell r="I143">
            <v>8</v>
          </cell>
          <cell r="M143">
            <v>1819100</v>
          </cell>
        </row>
        <row r="144">
          <cell r="C144" t="str">
            <v>DSE-JAGOIBABNG02</v>
          </cell>
          <cell r="I144">
            <v>6</v>
          </cell>
          <cell r="M144">
            <v>1572000</v>
          </cell>
        </row>
        <row r="145">
          <cell r="C145" t="str">
            <v>DSE-JAGOIBABNG02</v>
          </cell>
          <cell r="I145">
            <v>3</v>
          </cell>
          <cell r="M145">
            <v>1111000</v>
          </cell>
        </row>
        <row r="146">
          <cell r="C146" t="str">
            <v>DSE-JAGOIBABNG01</v>
          </cell>
          <cell r="I146">
            <v>11</v>
          </cell>
          <cell r="M146">
            <v>1745700</v>
          </cell>
        </row>
        <row r="147">
          <cell r="C147" t="str">
            <v>DSE-JAGOIBABNG01</v>
          </cell>
          <cell r="I147">
            <v>3</v>
          </cell>
          <cell r="M147">
            <v>1243500</v>
          </cell>
        </row>
        <row r="148">
          <cell r="C148" t="str">
            <v>DSE-JAGOIBABNG01</v>
          </cell>
          <cell r="I148">
            <v>10</v>
          </cell>
          <cell r="M148">
            <v>978000</v>
          </cell>
        </row>
        <row r="149">
          <cell r="C149" t="str">
            <v>DSE-JAGOIBABNG01</v>
          </cell>
          <cell r="I149">
            <v>10</v>
          </cell>
          <cell r="M149">
            <v>1991200</v>
          </cell>
        </row>
        <row r="150">
          <cell r="C150" t="str">
            <v>DSE1147</v>
          </cell>
          <cell r="I150">
            <v>0</v>
          </cell>
          <cell r="M150">
            <v>411000</v>
          </cell>
        </row>
        <row r="151">
          <cell r="C151" t="str">
            <v>DSE1147</v>
          </cell>
          <cell r="I151">
            <v>6</v>
          </cell>
          <cell r="M151">
            <v>744000</v>
          </cell>
        </row>
        <row r="152">
          <cell r="C152" t="str">
            <v>DSE1147</v>
          </cell>
          <cell r="I152">
            <v>21</v>
          </cell>
          <cell r="M152">
            <v>17210000</v>
          </cell>
        </row>
        <row r="153">
          <cell r="C153" t="str">
            <v>DSE1147</v>
          </cell>
          <cell r="I153">
            <v>5</v>
          </cell>
          <cell r="M153">
            <v>450000</v>
          </cell>
        </row>
        <row r="154">
          <cell r="C154" t="str">
            <v>DSE1147</v>
          </cell>
          <cell r="I154">
            <v>5</v>
          </cell>
          <cell r="M154">
            <v>682000</v>
          </cell>
        </row>
        <row r="155">
          <cell r="C155" t="str">
            <v>DSE-JAGOIBABNG02</v>
          </cell>
          <cell r="I155">
            <v>8</v>
          </cell>
          <cell r="M155">
            <v>625000</v>
          </cell>
        </row>
        <row r="156">
          <cell r="C156" t="str">
            <v>DSE-JAGOIBABNG02</v>
          </cell>
          <cell r="I156">
            <v>23</v>
          </cell>
          <cell r="M156">
            <v>324000</v>
          </cell>
        </row>
        <row r="157">
          <cell r="C157" t="str">
            <v>DSE-JAGOIBABNG02</v>
          </cell>
          <cell r="I157">
            <v>3</v>
          </cell>
          <cell r="M157">
            <v>358000</v>
          </cell>
        </row>
        <row r="158">
          <cell r="C158" t="str">
            <v>DSE-JAGOIBABNG02</v>
          </cell>
          <cell r="I158">
            <v>23</v>
          </cell>
          <cell r="M158">
            <v>324000</v>
          </cell>
        </row>
        <row r="159">
          <cell r="C159" t="str">
            <v>DSE-JAGOIBABNG02</v>
          </cell>
          <cell r="I159">
            <v>13</v>
          </cell>
          <cell r="M159">
            <v>3621500</v>
          </cell>
        </row>
        <row r="160">
          <cell r="C160" t="str">
            <v>DSE-JAGOIBABNG02</v>
          </cell>
          <cell r="I160">
            <v>13</v>
          </cell>
          <cell r="M160">
            <v>6973000</v>
          </cell>
        </row>
        <row r="161">
          <cell r="C161" t="str">
            <v>DSE-JAGOIBABNG02</v>
          </cell>
          <cell r="I161">
            <v>11</v>
          </cell>
          <cell r="M161">
            <v>415000</v>
          </cell>
        </row>
        <row r="162">
          <cell r="C162" t="str">
            <v>DSE-JAGOIBABNG02</v>
          </cell>
          <cell r="I162">
            <v>18</v>
          </cell>
          <cell r="M162">
            <v>16757000</v>
          </cell>
        </row>
        <row r="163">
          <cell r="C163" t="str">
            <v>DSE-JAGOIBABNG02</v>
          </cell>
          <cell r="I163">
            <v>13</v>
          </cell>
          <cell r="M163">
            <v>6230000</v>
          </cell>
        </row>
        <row r="164">
          <cell r="C164" t="str">
            <v>DSE1147</v>
          </cell>
          <cell r="I164">
            <v>6</v>
          </cell>
          <cell r="M164">
            <v>1584000</v>
          </cell>
        </row>
        <row r="165">
          <cell r="C165" t="str">
            <v>DSE1147</v>
          </cell>
          <cell r="I165">
            <v>6</v>
          </cell>
          <cell r="M165">
            <v>1501000</v>
          </cell>
        </row>
        <row r="166">
          <cell r="C166" t="str">
            <v>DSE1147</v>
          </cell>
          <cell r="I166">
            <v>6</v>
          </cell>
          <cell r="M166">
            <v>2308000</v>
          </cell>
        </row>
        <row r="167">
          <cell r="C167" t="str">
            <v>DSE1147</v>
          </cell>
          <cell r="I167">
            <v>3</v>
          </cell>
          <cell r="M167">
            <v>3185000</v>
          </cell>
        </row>
        <row r="168">
          <cell r="C168" t="str">
            <v>DSE1147</v>
          </cell>
          <cell r="I168">
            <v>6</v>
          </cell>
          <cell r="M168">
            <v>1831000</v>
          </cell>
        </row>
        <row r="169">
          <cell r="C169" t="str">
            <v>DSE1147</v>
          </cell>
          <cell r="I169">
            <v>0</v>
          </cell>
          <cell r="M169">
            <v>1119000</v>
          </cell>
        </row>
        <row r="170">
          <cell r="C170" t="str">
            <v>DSE1147</v>
          </cell>
          <cell r="I170">
            <v>6</v>
          </cell>
          <cell r="M170">
            <v>2997500</v>
          </cell>
        </row>
        <row r="171">
          <cell r="C171" t="str">
            <v>DSE1147</v>
          </cell>
          <cell r="I171">
            <v>6</v>
          </cell>
          <cell r="M171">
            <v>769000</v>
          </cell>
        </row>
        <row r="172">
          <cell r="C172" t="str">
            <v>DSE1147</v>
          </cell>
          <cell r="I172">
            <v>6</v>
          </cell>
          <cell r="M172">
            <v>1567000</v>
          </cell>
        </row>
        <row r="173">
          <cell r="C173" t="str">
            <v>DSE1147</v>
          </cell>
          <cell r="I173">
            <v>6</v>
          </cell>
          <cell r="M173">
            <v>601000</v>
          </cell>
        </row>
        <row r="174">
          <cell r="C174" t="str">
            <v>DSE-JAGOIBABNG02</v>
          </cell>
          <cell r="I174">
            <v>20</v>
          </cell>
          <cell r="M174">
            <v>1834000</v>
          </cell>
        </row>
        <row r="175">
          <cell r="C175" t="str">
            <v>DSE-JAGOIBABNG02</v>
          </cell>
          <cell r="I175">
            <v>10</v>
          </cell>
          <cell r="M175">
            <v>861600</v>
          </cell>
        </row>
        <row r="176">
          <cell r="C176" t="str">
            <v>DSE-JAGOIBABNG02</v>
          </cell>
          <cell r="I176">
            <v>20</v>
          </cell>
          <cell r="M176">
            <v>3747000</v>
          </cell>
        </row>
        <row r="177">
          <cell r="C177" t="str">
            <v>DSE-JAGOIBABNG02</v>
          </cell>
          <cell r="I177">
            <v>20</v>
          </cell>
          <cell r="M177">
            <v>927600</v>
          </cell>
        </row>
        <row r="178">
          <cell r="C178" t="str">
            <v>DSE-JAGOIBABNG02</v>
          </cell>
          <cell r="I178">
            <v>40</v>
          </cell>
          <cell r="M178">
            <v>904200</v>
          </cell>
        </row>
        <row r="179">
          <cell r="C179" t="str">
            <v>DSE1147</v>
          </cell>
          <cell r="I179">
            <v>9</v>
          </cell>
          <cell r="M179">
            <v>4916000</v>
          </cell>
        </row>
        <row r="180">
          <cell r="C180" t="str">
            <v>DSE1147</v>
          </cell>
          <cell r="I180">
            <v>3</v>
          </cell>
          <cell r="M180">
            <v>4090000</v>
          </cell>
        </row>
        <row r="181">
          <cell r="C181" t="str">
            <v>DSE1147</v>
          </cell>
          <cell r="I181">
            <v>20</v>
          </cell>
          <cell r="M181">
            <v>704000</v>
          </cell>
        </row>
        <row r="182">
          <cell r="C182" t="str">
            <v>DSE1147</v>
          </cell>
          <cell r="I182">
            <v>0</v>
          </cell>
          <cell r="M182">
            <v>385000</v>
          </cell>
        </row>
        <row r="183">
          <cell r="C183" t="str">
            <v>DSE1147</v>
          </cell>
          <cell r="I183">
            <v>11</v>
          </cell>
          <cell r="M183">
            <v>1044000</v>
          </cell>
        </row>
        <row r="184">
          <cell r="C184" t="str">
            <v>DSE1147</v>
          </cell>
          <cell r="I184">
            <v>19</v>
          </cell>
          <cell r="M184">
            <v>6642000</v>
          </cell>
        </row>
        <row r="185">
          <cell r="C185" t="str">
            <v>DSE1147</v>
          </cell>
          <cell r="I185">
            <v>13</v>
          </cell>
          <cell r="M185">
            <v>990000</v>
          </cell>
        </row>
        <row r="186">
          <cell r="C186" t="str">
            <v>DSE1147</v>
          </cell>
          <cell r="I186">
            <v>3</v>
          </cell>
          <cell r="M186">
            <v>1028000</v>
          </cell>
        </row>
        <row r="187">
          <cell r="C187" t="str">
            <v>DSE1147</v>
          </cell>
          <cell r="I187">
            <v>23</v>
          </cell>
          <cell r="M187">
            <v>11160000</v>
          </cell>
        </row>
        <row r="188">
          <cell r="C188" t="str">
            <v>DSE1147</v>
          </cell>
          <cell r="I188">
            <v>13</v>
          </cell>
          <cell r="M188">
            <v>5040000</v>
          </cell>
        </row>
        <row r="189">
          <cell r="C189" t="str">
            <v>DSE1147</v>
          </cell>
          <cell r="I189">
            <v>3</v>
          </cell>
          <cell r="M189">
            <v>3038000</v>
          </cell>
        </row>
        <row r="190">
          <cell r="C190" t="str">
            <v>DSE1147</v>
          </cell>
          <cell r="I190">
            <v>13</v>
          </cell>
          <cell r="M190">
            <v>490000</v>
          </cell>
        </row>
        <row r="191">
          <cell r="C191" t="str">
            <v>DSE-JAGOIBABNG02</v>
          </cell>
          <cell r="I191">
            <v>10</v>
          </cell>
          <cell r="M191">
            <v>604200</v>
          </cell>
        </row>
        <row r="192">
          <cell r="C192" t="str">
            <v>DSE-JAGOIBABNG02</v>
          </cell>
          <cell r="I192">
            <v>0</v>
          </cell>
          <cell r="M192">
            <v>2354200</v>
          </cell>
        </row>
        <row r="193">
          <cell r="C193" t="str">
            <v>DSE1147</v>
          </cell>
          <cell r="I193">
            <v>5</v>
          </cell>
          <cell r="M193">
            <v>4093000</v>
          </cell>
        </row>
        <row r="194">
          <cell r="C194" t="str">
            <v>DSE1147</v>
          </cell>
          <cell r="I194">
            <v>8</v>
          </cell>
          <cell r="M194">
            <v>942000</v>
          </cell>
        </row>
        <row r="195">
          <cell r="C195" t="str">
            <v>DSE1147</v>
          </cell>
          <cell r="I195">
            <v>8</v>
          </cell>
          <cell r="M195">
            <v>942000</v>
          </cell>
        </row>
        <row r="196">
          <cell r="C196" t="str">
            <v>DSE1147</v>
          </cell>
          <cell r="I196">
            <v>10</v>
          </cell>
          <cell r="M196">
            <v>2390000</v>
          </cell>
        </row>
        <row r="197">
          <cell r="C197" t="str">
            <v>DSE1147</v>
          </cell>
          <cell r="I197">
            <v>8</v>
          </cell>
          <cell r="M197">
            <v>883000</v>
          </cell>
        </row>
        <row r="198">
          <cell r="C198" t="str">
            <v>DSE1147</v>
          </cell>
          <cell r="I198">
            <v>8</v>
          </cell>
          <cell r="M198">
            <v>1051000</v>
          </cell>
        </row>
        <row r="199">
          <cell r="C199" t="str">
            <v>DSE1147</v>
          </cell>
          <cell r="I199">
            <v>5</v>
          </cell>
          <cell r="M199">
            <v>684000</v>
          </cell>
        </row>
        <row r="200">
          <cell r="C200" t="str">
            <v>DSE-JAGOIBABNG02</v>
          </cell>
          <cell r="I200">
            <v>10</v>
          </cell>
          <cell r="M200">
            <v>768000</v>
          </cell>
        </row>
        <row r="201">
          <cell r="C201" t="str">
            <v>DSE-JAGOIBABNG02</v>
          </cell>
          <cell r="I201">
            <v>10</v>
          </cell>
          <cell r="M201">
            <v>768000</v>
          </cell>
        </row>
        <row r="202">
          <cell r="C202" t="str">
            <v>DSE-JAGOIBABNG02</v>
          </cell>
          <cell r="I202">
            <v>2</v>
          </cell>
          <cell r="M202">
            <v>6324200</v>
          </cell>
        </row>
        <row r="203">
          <cell r="C203" t="str">
            <v>DSE-JAGOIBABNG02</v>
          </cell>
          <cell r="I203">
            <v>0</v>
          </cell>
          <cell r="M203">
            <v>5824200</v>
          </cell>
        </row>
        <row r="204">
          <cell r="C204" t="str">
            <v>DSE1147</v>
          </cell>
          <cell r="I204">
            <v>3</v>
          </cell>
          <cell r="M204">
            <v>6446000</v>
          </cell>
        </row>
        <row r="205">
          <cell r="C205" t="str">
            <v>DSE1147</v>
          </cell>
          <cell r="I205">
            <v>0</v>
          </cell>
          <cell r="M205">
            <v>302000</v>
          </cell>
        </row>
        <row r="206">
          <cell r="C206" t="str">
            <v>DSE1147</v>
          </cell>
          <cell r="I206">
            <v>0</v>
          </cell>
          <cell r="M206">
            <v>302000</v>
          </cell>
        </row>
        <row r="207">
          <cell r="C207" t="str">
            <v>DSE1147</v>
          </cell>
          <cell r="I207">
            <v>3</v>
          </cell>
          <cell r="M207">
            <v>626000</v>
          </cell>
        </row>
        <row r="208">
          <cell r="C208" t="str">
            <v>DSE1147</v>
          </cell>
          <cell r="I208">
            <v>0</v>
          </cell>
          <cell r="M208">
            <v>666000</v>
          </cell>
        </row>
        <row r="209">
          <cell r="C209" t="str">
            <v>DSE1147</v>
          </cell>
          <cell r="I209">
            <v>8</v>
          </cell>
          <cell r="M209">
            <v>672000</v>
          </cell>
        </row>
        <row r="210">
          <cell r="C210" t="str">
            <v>DSE1147</v>
          </cell>
          <cell r="I210">
            <v>5</v>
          </cell>
          <cell r="M210">
            <v>582000</v>
          </cell>
        </row>
        <row r="211">
          <cell r="C211" t="str">
            <v>DSE1147</v>
          </cell>
          <cell r="I211">
            <v>8</v>
          </cell>
          <cell r="M211">
            <v>942000</v>
          </cell>
        </row>
        <row r="212">
          <cell r="C212" t="str">
            <v>DSE1147</v>
          </cell>
          <cell r="I212">
            <v>3</v>
          </cell>
          <cell r="M212">
            <v>939000</v>
          </cell>
        </row>
        <row r="213">
          <cell r="C213" t="str">
            <v>DSE1147</v>
          </cell>
          <cell r="I213">
            <v>5</v>
          </cell>
          <cell r="M213">
            <v>5184000</v>
          </cell>
        </row>
        <row r="214">
          <cell r="C214" t="str">
            <v>DSE1147</v>
          </cell>
          <cell r="I214">
            <v>3</v>
          </cell>
          <cell r="M214">
            <v>1160000</v>
          </cell>
        </row>
        <row r="215">
          <cell r="C215" t="str">
            <v>DSE1147</v>
          </cell>
          <cell r="I215">
            <v>3</v>
          </cell>
          <cell r="M215">
            <v>926000</v>
          </cell>
        </row>
        <row r="216">
          <cell r="C216" t="str">
            <v>DSE1147</v>
          </cell>
          <cell r="I216">
            <v>8</v>
          </cell>
          <cell r="M216">
            <v>2178000</v>
          </cell>
        </row>
        <row r="217">
          <cell r="C217" t="str">
            <v>DSE1147</v>
          </cell>
          <cell r="I217">
            <v>13</v>
          </cell>
          <cell r="M217">
            <v>924000</v>
          </cell>
        </row>
        <row r="218">
          <cell r="C218" t="str">
            <v>DSE1147</v>
          </cell>
          <cell r="I218">
            <v>8</v>
          </cell>
          <cell r="M218">
            <v>1410000</v>
          </cell>
        </row>
        <row r="219">
          <cell r="C219" t="str">
            <v>DSE1147</v>
          </cell>
          <cell r="I219">
            <v>8</v>
          </cell>
          <cell r="M219">
            <v>1970000</v>
          </cell>
        </row>
        <row r="220">
          <cell r="C220" t="str">
            <v>DSE1147</v>
          </cell>
          <cell r="I220">
            <v>0</v>
          </cell>
          <cell r="M220">
            <v>470000</v>
          </cell>
        </row>
        <row r="221">
          <cell r="C221" t="str">
            <v>DSE1147</v>
          </cell>
          <cell r="I221">
            <v>13</v>
          </cell>
          <cell r="M221">
            <v>3120000</v>
          </cell>
        </row>
        <row r="222">
          <cell r="C222" t="str">
            <v>DSE1147</v>
          </cell>
          <cell r="I222">
            <v>6</v>
          </cell>
          <cell r="M222">
            <v>5654000</v>
          </cell>
        </row>
        <row r="223">
          <cell r="C223" t="str">
            <v>DSE1147</v>
          </cell>
          <cell r="I223">
            <v>3</v>
          </cell>
          <cell r="M223">
            <v>1869000</v>
          </cell>
        </row>
        <row r="224">
          <cell r="C224" t="str">
            <v>DSE1147</v>
          </cell>
          <cell r="I224">
            <v>3</v>
          </cell>
          <cell r="M224">
            <v>811000</v>
          </cell>
        </row>
        <row r="225">
          <cell r="C225" t="str">
            <v>DSE1147</v>
          </cell>
          <cell r="I225">
            <v>3</v>
          </cell>
          <cell r="M225">
            <v>3030000</v>
          </cell>
        </row>
        <row r="226">
          <cell r="C226" t="str">
            <v>DSE1147</v>
          </cell>
          <cell r="I226">
            <v>3</v>
          </cell>
          <cell r="M226">
            <v>745000</v>
          </cell>
        </row>
        <row r="227">
          <cell r="C227" t="str">
            <v>DSE1147</v>
          </cell>
          <cell r="I227">
            <v>3</v>
          </cell>
          <cell r="M227">
            <v>2267000</v>
          </cell>
        </row>
        <row r="228">
          <cell r="C228" t="str">
            <v>DSE1147</v>
          </cell>
          <cell r="I228">
            <v>3</v>
          </cell>
          <cell r="M228">
            <v>2735000</v>
          </cell>
        </row>
        <row r="229">
          <cell r="C229" t="str">
            <v>DSE1147</v>
          </cell>
          <cell r="I229">
            <v>3</v>
          </cell>
          <cell r="M229">
            <v>939000</v>
          </cell>
        </row>
        <row r="230">
          <cell r="C230" t="str">
            <v>DSE1147</v>
          </cell>
          <cell r="I230">
            <v>6</v>
          </cell>
          <cell r="M230">
            <v>15225000</v>
          </cell>
        </row>
        <row r="231">
          <cell r="C231" t="str">
            <v>DSE1147</v>
          </cell>
          <cell r="I231">
            <v>3</v>
          </cell>
          <cell r="M231">
            <v>656000</v>
          </cell>
        </row>
        <row r="232">
          <cell r="C232" t="str">
            <v>DSE1147</v>
          </cell>
          <cell r="I232">
            <v>3</v>
          </cell>
          <cell r="M232">
            <v>1737000</v>
          </cell>
        </row>
        <row r="233">
          <cell r="C233" t="str">
            <v>DSE1147</v>
          </cell>
          <cell r="I233">
            <v>6</v>
          </cell>
          <cell r="M233">
            <v>9326000</v>
          </cell>
        </row>
        <row r="234">
          <cell r="C234" t="str">
            <v>DSE1147</v>
          </cell>
          <cell r="I234">
            <v>6</v>
          </cell>
          <cell r="M234">
            <v>1850000</v>
          </cell>
        </row>
        <row r="235">
          <cell r="C235" t="str">
            <v>DSE1147</v>
          </cell>
          <cell r="I235">
            <v>20</v>
          </cell>
          <cell r="M235">
            <v>6541000</v>
          </cell>
        </row>
        <row r="236">
          <cell r="C236" t="str">
            <v>DSE1147</v>
          </cell>
          <cell r="I236">
            <v>3</v>
          </cell>
          <cell r="M236">
            <v>2250000</v>
          </cell>
        </row>
        <row r="237">
          <cell r="C237" t="str">
            <v>DSE1147</v>
          </cell>
          <cell r="I237">
            <v>3</v>
          </cell>
          <cell r="M237">
            <v>788000</v>
          </cell>
        </row>
        <row r="238">
          <cell r="C238" t="str">
            <v>DSE1147</v>
          </cell>
          <cell r="I238">
            <v>3</v>
          </cell>
          <cell r="M238">
            <v>722000</v>
          </cell>
        </row>
        <row r="239">
          <cell r="C239" t="str">
            <v>DSE1147</v>
          </cell>
          <cell r="I239">
            <v>3</v>
          </cell>
          <cell r="M239">
            <v>3826000</v>
          </cell>
        </row>
        <row r="240">
          <cell r="C240" t="str">
            <v>DSE1147</v>
          </cell>
          <cell r="I240">
            <v>3</v>
          </cell>
          <cell r="M240">
            <v>1022000</v>
          </cell>
        </row>
        <row r="241">
          <cell r="C241" t="str">
            <v>DSE1147</v>
          </cell>
          <cell r="I241">
            <v>0</v>
          </cell>
          <cell r="M241">
            <v>4036000</v>
          </cell>
        </row>
        <row r="242">
          <cell r="C242" t="str">
            <v>DSE1147</v>
          </cell>
          <cell r="I242">
            <v>3</v>
          </cell>
          <cell r="M242">
            <v>656000</v>
          </cell>
        </row>
        <row r="243">
          <cell r="C243" t="str">
            <v>DSE1147</v>
          </cell>
          <cell r="I243">
            <v>0</v>
          </cell>
          <cell r="M243">
            <v>800000</v>
          </cell>
        </row>
        <row r="244">
          <cell r="C244" t="str">
            <v>DSE-BENGKAYANG01</v>
          </cell>
          <cell r="I244">
            <v>33</v>
          </cell>
          <cell r="M244">
            <v>1542000</v>
          </cell>
        </row>
        <row r="245">
          <cell r="C245" t="str">
            <v>DSE1082</v>
          </cell>
          <cell r="I245">
            <v>5</v>
          </cell>
          <cell r="M245">
            <v>4499000</v>
          </cell>
        </row>
        <row r="246">
          <cell r="C246" t="str">
            <v>DSE-BENGKAYANG01</v>
          </cell>
          <cell r="I246">
            <v>19</v>
          </cell>
          <cell r="M246">
            <v>4645000</v>
          </cell>
        </row>
        <row r="247">
          <cell r="C247" t="str">
            <v>DSE1082</v>
          </cell>
          <cell r="I247">
            <v>35</v>
          </cell>
          <cell r="M247">
            <v>7744000</v>
          </cell>
        </row>
        <row r="248">
          <cell r="C248" t="str">
            <v>DSE-BENGKAYANG01</v>
          </cell>
          <cell r="I248">
            <v>14</v>
          </cell>
          <cell r="M248">
            <v>1275500</v>
          </cell>
        </row>
        <row r="249">
          <cell r="C249" t="str">
            <v>DSE-BENGKAYANG01</v>
          </cell>
          <cell r="I249">
            <v>16</v>
          </cell>
          <cell r="M249">
            <v>3524000</v>
          </cell>
        </row>
        <row r="250">
          <cell r="C250" t="str">
            <v>DSE-BENGKAYANG01</v>
          </cell>
          <cell r="I250">
            <v>19</v>
          </cell>
          <cell r="M250">
            <v>4891500</v>
          </cell>
        </row>
        <row r="251">
          <cell r="C251" t="str">
            <v>DSE1082</v>
          </cell>
          <cell r="I251">
            <v>43</v>
          </cell>
          <cell r="M251">
            <v>9398000</v>
          </cell>
        </row>
        <row r="252">
          <cell r="C252" t="str">
            <v>DSE-BENGKAYANG01</v>
          </cell>
          <cell r="I252">
            <v>19</v>
          </cell>
          <cell r="M252">
            <v>5178500</v>
          </cell>
        </row>
        <row r="253">
          <cell r="C253" t="str">
            <v>DSE-BENGKAYANG01</v>
          </cell>
          <cell r="I253">
            <v>5</v>
          </cell>
          <cell r="M253">
            <v>150000</v>
          </cell>
        </row>
        <row r="254">
          <cell r="C254" t="str">
            <v>DSE-BENGKAYANG01</v>
          </cell>
          <cell r="I254">
            <v>3</v>
          </cell>
          <cell r="M254">
            <v>90000</v>
          </cell>
        </row>
        <row r="255">
          <cell r="C255" t="str">
            <v>DSE-JAGOIBABNG02</v>
          </cell>
          <cell r="I255">
            <v>6</v>
          </cell>
          <cell r="M255">
            <v>6117000</v>
          </cell>
        </row>
        <row r="256">
          <cell r="C256" t="str">
            <v>DSE-JAGOIBABNG02</v>
          </cell>
          <cell r="I256">
            <v>9</v>
          </cell>
          <cell r="M256">
            <v>3805200</v>
          </cell>
        </row>
        <row r="257">
          <cell r="C257" t="str">
            <v>DSE-JAGOIBABNG02</v>
          </cell>
          <cell r="I257">
            <v>9</v>
          </cell>
          <cell r="M257">
            <v>2621000</v>
          </cell>
        </row>
        <row r="258">
          <cell r="C258" t="str">
            <v>DSE-JAGOIBABNG02</v>
          </cell>
          <cell r="I258">
            <v>23</v>
          </cell>
          <cell r="M258">
            <v>2755500</v>
          </cell>
        </row>
        <row r="259">
          <cell r="C259" t="str">
            <v>DSE-JAGOIBABNG02</v>
          </cell>
          <cell r="I259">
            <v>13</v>
          </cell>
          <cell r="M259">
            <v>3470000</v>
          </cell>
        </row>
        <row r="260">
          <cell r="C260" t="str">
            <v>DSE-JAGOIBABNG02</v>
          </cell>
          <cell r="I260">
            <v>4</v>
          </cell>
          <cell r="M260">
            <v>826200</v>
          </cell>
        </row>
        <row r="261">
          <cell r="C261" t="str">
            <v>DSE-JAGOIBABNG01</v>
          </cell>
          <cell r="I261">
            <v>3</v>
          </cell>
          <cell r="M261">
            <v>925200</v>
          </cell>
        </row>
        <row r="262">
          <cell r="C262" t="str">
            <v>DSE-JAGOIBABNG01</v>
          </cell>
          <cell r="I262">
            <v>11</v>
          </cell>
          <cell r="M262">
            <v>1557600</v>
          </cell>
        </row>
        <row r="263">
          <cell r="C263" t="str">
            <v>DSE-JAGOIBABNG01</v>
          </cell>
          <cell r="I263">
            <v>3</v>
          </cell>
          <cell r="M263">
            <v>932400</v>
          </cell>
        </row>
        <row r="264">
          <cell r="C264" t="str">
            <v>DSE-JAGOIBABNG01</v>
          </cell>
          <cell r="I264">
            <v>8</v>
          </cell>
          <cell r="M264">
            <v>1235100</v>
          </cell>
        </row>
        <row r="265">
          <cell r="C265" t="str">
            <v>DSE-JAGOIBABNG01</v>
          </cell>
          <cell r="I265">
            <v>14</v>
          </cell>
          <cell r="M265">
            <v>2730700</v>
          </cell>
        </row>
        <row r="266">
          <cell r="C266" t="str">
            <v>DSE-JAGOIBABNG01</v>
          </cell>
          <cell r="I266">
            <v>8</v>
          </cell>
          <cell r="M266">
            <v>2097000</v>
          </cell>
        </row>
        <row r="267">
          <cell r="C267" t="str">
            <v>DSE-JAGOIBABNG01</v>
          </cell>
          <cell r="I267">
            <v>11</v>
          </cell>
          <cell r="M267">
            <v>2718400</v>
          </cell>
        </row>
        <row r="268">
          <cell r="C268" t="str">
            <v>DSE1082</v>
          </cell>
          <cell r="I268">
            <v>10</v>
          </cell>
          <cell r="M268">
            <v>3395000</v>
          </cell>
        </row>
        <row r="269">
          <cell r="C269" t="str">
            <v>DSE1082</v>
          </cell>
          <cell r="I269">
            <v>10</v>
          </cell>
          <cell r="M269">
            <v>3995000</v>
          </cell>
        </row>
        <row r="270">
          <cell r="C270" t="str">
            <v>DSE1082</v>
          </cell>
          <cell r="I270">
            <v>0</v>
          </cell>
          <cell r="M270">
            <v>2350000</v>
          </cell>
        </row>
        <row r="271">
          <cell r="C271" t="str">
            <v>DSE1082</v>
          </cell>
          <cell r="I271">
            <v>10</v>
          </cell>
          <cell r="M271">
            <v>1440000</v>
          </cell>
        </row>
        <row r="272">
          <cell r="C272" t="str">
            <v>DSE1082</v>
          </cell>
          <cell r="I272">
            <v>43</v>
          </cell>
          <cell r="M272">
            <v>8921000</v>
          </cell>
        </row>
        <row r="273">
          <cell r="C273" t="str">
            <v>DSE1082</v>
          </cell>
          <cell r="I273">
            <v>23</v>
          </cell>
          <cell r="M273">
            <v>5018000</v>
          </cell>
        </row>
        <row r="274">
          <cell r="C274" t="str">
            <v>DSE1082</v>
          </cell>
          <cell r="I274">
            <v>13</v>
          </cell>
          <cell r="M274">
            <v>4793000</v>
          </cell>
        </row>
        <row r="275">
          <cell r="C275" t="str">
            <v>DSE1082</v>
          </cell>
          <cell r="I275">
            <v>0</v>
          </cell>
          <cell r="M275">
            <v>0</v>
          </cell>
        </row>
        <row r="276">
          <cell r="C276" t="str">
            <v>DSE-BENGKAYANG01</v>
          </cell>
          <cell r="I276">
            <v>3</v>
          </cell>
          <cell r="M276">
            <v>119000</v>
          </cell>
        </row>
        <row r="277">
          <cell r="C277" t="str">
            <v>DSE-JAGOIBABNG02</v>
          </cell>
          <cell r="I277">
            <v>20</v>
          </cell>
          <cell r="M277">
            <v>904200</v>
          </cell>
        </row>
        <row r="278">
          <cell r="C278" t="str">
            <v>DSE-JAGOIBABNG02</v>
          </cell>
          <cell r="I278">
            <v>20</v>
          </cell>
          <cell r="M278">
            <v>904200</v>
          </cell>
        </row>
        <row r="279">
          <cell r="C279" t="str">
            <v>DSE-JAGOIBABNG02</v>
          </cell>
          <cell r="I279">
            <v>20</v>
          </cell>
          <cell r="M279">
            <v>904200</v>
          </cell>
        </row>
        <row r="280">
          <cell r="C280" t="str">
            <v>DSE1082</v>
          </cell>
          <cell r="I280">
            <v>18</v>
          </cell>
          <cell r="M280">
            <v>3601000</v>
          </cell>
        </row>
        <row r="281">
          <cell r="C281" t="str">
            <v>DSE1082</v>
          </cell>
          <cell r="I281">
            <v>23</v>
          </cell>
          <cell r="M281">
            <v>3751000</v>
          </cell>
        </row>
        <row r="282">
          <cell r="C282" t="str">
            <v>DSE1082</v>
          </cell>
          <cell r="I282">
            <v>13</v>
          </cell>
          <cell r="M282">
            <v>5511000</v>
          </cell>
        </row>
        <row r="283">
          <cell r="C283" t="str">
            <v>DSE1082</v>
          </cell>
          <cell r="I283">
            <v>3</v>
          </cell>
          <cell r="M283">
            <v>4551000</v>
          </cell>
        </row>
        <row r="284">
          <cell r="C284" t="str">
            <v>DSE1082</v>
          </cell>
          <cell r="I284">
            <v>13</v>
          </cell>
          <cell r="M284">
            <v>4121000</v>
          </cell>
        </row>
        <row r="285">
          <cell r="C285" t="str">
            <v>DSE1082</v>
          </cell>
          <cell r="I285">
            <v>13</v>
          </cell>
          <cell r="M285">
            <v>2856000</v>
          </cell>
        </row>
        <row r="286">
          <cell r="C286" t="str">
            <v>DSE1082</v>
          </cell>
          <cell r="I286">
            <v>13</v>
          </cell>
          <cell r="M286">
            <v>6394000</v>
          </cell>
        </row>
        <row r="287">
          <cell r="C287" t="str">
            <v>DSE-BENGKAYANG01</v>
          </cell>
          <cell r="I287">
            <v>3</v>
          </cell>
          <cell r="M287">
            <v>148000</v>
          </cell>
        </row>
        <row r="288">
          <cell r="C288" t="str">
            <v>DSE1147</v>
          </cell>
          <cell r="I288">
            <v>3</v>
          </cell>
          <cell r="M288">
            <v>670000</v>
          </cell>
        </row>
        <row r="289">
          <cell r="C289" t="str">
            <v>DSE1147</v>
          </cell>
          <cell r="I289">
            <v>3</v>
          </cell>
          <cell r="M289">
            <v>1637000</v>
          </cell>
        </row>
        <row r="290">
          <cell r="C290" t="str">
            <v>DSE1147</v>
          </cell>
          <cell r="I290">
            <v>3</v>
          </cell>
          <cell r="M290">
            <v>962000</v>
          </cell>
        </row>
        <row r="291">
          <cell r="C291" t="str">
            <v>DSE1147</v>
          </cell>
          <cell r="I291">
            <v>3</v>
          </cell>
          <cell r="M291">
            <v>3296000</v>
          </cell>
        </row>
        <row r="292">
          <cell r="C292" t="str">
            <v>DSE-JAGOIBABNG02</v>
          </cell>
          <cell r="I292">
            <v>0</v>
          </cell>
          <cell r="M292">
            <v>0</v>
          </cell>
        </row>
        <row r="293">
          <cell r="C293" t="str">
            <v>DSE-JAGOIBABNG02</v>
          </cell>
          <cell r="I293">
            <v>0</v>
          </cell>
          <cell r="M293">
            <v>0</v>
          </cell>
        </row>
        <row r="294">
          <cell r="C294" t="str">
            <v>DSE1082</v>
          </cell>
          <cell r="I294">
            <v>3</v>
          </cell>
          <cell r="M294">
            <v>1266000</v>
          </cell>
        </row>
        <row r="295">
          <cell r="C295" t="str">
            <v>DSE1082</v>
          </cell>
          <cell r="I295">
            <v>23</v>
          </cell>
          <cell r="M295">
            <v>4476000</v>
          </cell>
        </row>
        <row r="296">
          <cell r="C296" t="str">
            <v>DSE1082</v>
          </cell>
          <cell r="I296">
            <v>3</v>
          </cell>
          <cell r="M296">
            <v>1266000</v>
          </cell>
        </row>
        <row r="297">
          <cell r="C297" t="str">
            <v>DSE1082</v>
          </cell>
          <cell r="I297">
            <v>0</v>
          </cell>
          <cell r="M297">
            <v>2385000</v>
          </cell>
        </row>
        <row r="298">
          <cell r="C298" t="str">
            <v>DSE1082</v>
          </cell>
          <cell r="I298">
            <v>0</v>
          </cell>
          <cell r="M298">
            <v>0</v>
          </cell>
        </row>
        <row r="299">
          <cell r="C299" t="str">
            <v>DSE1082</v>
          </cell>
          <cell r="I299">
            <v>0</v>
          </cell>
          <cell r="M299">
            <v>2735000</v>
          </cell>
        </row>
        <row r="300">
          <cell r="C300" t="str">
            <v>DSE1147</v>
          </cell>
          <cell r="I300">
            <v>3</v>
          </cell>
          <cell r="M300">
            <v>522000</v>
          </cell>
        </row>
        <row r="301">
          <cell r="C301" t="str">
            <v>DSE1147</v>
          </cell>
          <cell r="I301">
            <v>3</v>
          </cell>
          <cell r="M301">
            <v>654000</v>
          </cell>
        </row>
        <row r="302">
          <cell r="C302" t="str">
            <v>DSE1147</v>
          </cell>
          <cell r="I302">
            <v>3</v>
          </cell>
          <cell r="M302">
            <v>522000</v>
          </cell>
        </row>
        <row r="303">
          <cell r="C303" t="str">
            <v>DSE-JAGOIBABNG01</v>
          </cell>
          <cell r="I303">
            <v>0</v>
          </cell>
          <cell r="M303">
            <v>528600</v>
          </cell>
        </row>
        <row r="304">
          <cell r="C304" t="str">
            <v>DSE-JAGOIBABNG01</v>
          </cell>
          <cell r="I304">
            <v>0</v>
          </cell>
          <cell r="M304">
            <v>436200</v>
          </cell>
        </row>
        <row r="305">
          <cell r="C305" t="str">
            <v>DSE1147</v>
          </cell>
          <cell r="I305">
            <v>23</v>
          </cell>
          <cell r="M305">
            <v>841000</v>
          </cell>
        </row>
        <row r="306">
          <cell r="C306" t="str">
            <v>DSE1147</v>
          </cell>
          <cell r="I306">
            <v>3</v>
          </cell>
          <cell r="M306">
            <v>860000</v>
          </cell>
        </row>
        <row r="307">
          <cell r="C307" t="str">
            <v>DSE1147</v>
          </cell>
          <cell r="I307">
            <v>9</v>
          </cell>
          <cell r="M307">
            <v>2548000</v>
          </cell>
        </row>
        <row r="308">
          <cell r="C308" t="str">
            <v>DSE1147</v>
          </cell>
          <cell r="I308">
            <v>9</v>
          </cell>
          <cell r="M308">
            <v>1871000</v>
          </cell>
        </row>
        <row r="309">
          <cell r="C309" t="str">
            <v>DSE1147</v>
          </cell>
          <cell r="I309">
            <v>6</v>
          </cell>
          <cell r="M309">
            <v>1935000</v>
          </cell>
        </row>
        <row r="310">
          <cell r="C310" t="str">
            <v>DSE1147</v>
          </cell>
          <cell r="I310">
            <v>3</v>
          </cell>
          <cell r="M310">
            <v>745000</v>
          </cell>
        </row>
        <row r="311">
          <cell r="C311" t="str">
            <v>DSE1147</v>
          </cell>
          <cell r="I311">
            <v>19</v>
          </cell>
          <cell r="M311">
            <v>8056000</v>
          </cell>
        </row>
        <row r="312">
          <cell r="C312" t="str">
            <v>DSE1147</v>
          </cell>
          <cell r="I312">
            <v>6</v>
          </cell>
          <cell r="M312">
            <v>3225000</v>
          </cell>
        </row>
        <row r="313">
          <cell r="C313" t="str">
            <v>DSE1147</v>
          </cell>
          <cell r="I313">
            <v>3</v>
          </cell>
          <cell r="M313">
            <v>90000</v>
          </cell>
        </row>
        <row r="314">
          <cell r="C314" t="str">
            <v>DSE1082</v>
          </cell>
          <cell r="I314">
            <v>3</v>
          </cell>
          <cell r="M314">
            <v>851000</v>
          </cell>
        </row>
        <row r="315">
          <cell r="C315" t="str">
            <v>DSE1082</v>
          </cell>
          <cell r="I315">
            <v>3</v>
          </cell>
          <cell r="M315">
            <v>626000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9"/>
  <sheetViews>
    <sheetView tabSelected="1" workbookViewId="0">
      <selection activeCell="D11" sqref="D11:D15"/>
    </sheetView>
  </sheetViews>
  <sheetFormatPr defaultColWidth="9.453125" defaultRowHeight="13"/>
  <cols>
    <col min="1" max="1" width="15.453125" style="3" bestFit="1" customWidth="1"/>
    <col min="2" max="2" width="21.26953125" style="3" bestFit="1" customWidth="1"/>
    <col min="3" max="3" width="18" style="3" bestFit="1" customWidth="1"/>
    <col min="4" max="7" width="14.54296875" style="3" customWidth="1"/>
    <col min="8" max="16384" width="9.453125" style="3"/>
  </cols>
  <sheetData>
    <row r="1" spans="1:7" ht="11.15" customHeight="1">
      <c r="A1" s="2"/>
    </row>
    <row r="2" spans="1:7">
      <c r="A2" s="1"/>
      <c r="B2" s="1"/>
      <c r="C2" s="1"/>
      <c r="D2" s="1"/>
    </row>
    <row r="3" spans="1:7" ht="32" customHeight="1">
      <c r="A3" s="8" t="s">
        <v>0</v>
      </c>
      <c r="B3" s="8" t="s">
        <v>1</v>
      </c>
      <c r="C3" s="6" t="s">
        <v>10</v>
      </c>
      <c r="D3" s="6" t="s">
        <v>90</v>
      </c>
      <c r="E3" s="6" t="s">
        <v>8</v>
      </c>
      <c r="F3" s="6" t="s">
        <v>91</v>
      </c>
      <c r="G3" s="6" t="s">
        <v>92</v>
      </c>
    </row>
    <row r="4" spans="1:7" ht="13" customHeight="1">
      <c r="A4" s="7" t="s">
        <v>2</v>
      </c>
      <c r="B4" s="10" t="s">
        <v>3</v>
      </c>
      <c r="C4" s="10">
        <v>437430636.51666558</v>
      </c>
      <c r="D4" s="20">
        <f>SUMIF([1]Sheet1!$C:$C,A4,[1]Sheet1!$M:$M)</f>
        <v>237580000</v>
      </c>
      <c r="E4" s="9">
        <f>D4/C4</f>
        <v>0.54312610998600797</v>
      </c>
      <c r="F4" s="10">
        <f>D4-C4</f>
        <v>-199850636.51666558</v>
      </c>
      <c r="G4" s="19">
        <f>F4/18</f>
        <v>-11102813.139814755</v>
      </c>
    </row>
    <row r="5" spans="1:7" ht="13.5">
      <c r="A5" s="7" t="s">
        <v>4</v>
      </c>
      <c r="B5" s="10" t="s">
        <v>3</v>
      </c>
      <c r="C5" s="10">
        <v>440736791.41455084</v>
      </c>
      <c r="D5" s="20">
        <f>SUMIF([1]Sheet1!$C:$C,A5,[1]Sheet1!$M:$M)</f>
        <v>212209500</v>
      </c>
      <c r="E5" s="9">
        <f t="shared" ref="E5:E8" si="0">D5/C5</f>
        <v>0.48148805394464728</v>
      </c>
      <c r="F5" s="10">
        <f t="shared" ref="F5:F8" si="1">D5-C5</f>
        <v>-228527291.41455084</v>
      </c>
      <c r="G5" s="19">
        <f t="shared" ref="G5:G8" si="2">F5/18</f>
        <v>-12695960.634141713</v>
      </c>
    </row>
    <row r="6" spans="1:7" ht="13.5">
      <c r="A6" s="7" t="s">
        <v>5</v>
      </c>
      <c r="B6" s="10" t="s">
        <v>3</v>
      </c>
      <c r="C6" s="10">
        <v>159896651.12237126</v>
      </c>
      <c r="D6" s="20">
        <f>SUMIF([1]Sheet1!$C:$C,A6,[1]Sheet1!$M:$M)</f>
        <v>47542000</v>
      </c>
      <c r="E6" s="9">
        <f t="shared" si="0"/>
        <v>0.29732955422321766</v>
      </c>
      <c r="F6" s="10">
        <f t="shared" si="1"/>
        <v>-112354651.12237126</v>
      </c>
      <c r="G6" s="19">
        <f t="shared" si="2"/>
        <v>-6241925.0623539584</v>
      </c>
    </row>
    <row r="7" spans="1:7" ht="13.5">
      <c r="A7" s="7" t="s">
        <v>6</v>
      </c>
      <c r="B7" s="10" t="s">
        <v>3</v>
      </c>
      <c r="C7" s="10">
        <v>254596480.11616376</v>
      </c>
      <c r="D7" s="20">
        <f>SUMIF([1]Sheet1!$C:$C,A7,[1]Sheet1!$M:$M)</f>
        <v>89451100</v>
      </c>
      <c r="E7" s="9">
        <f t="shared" si="0"/>
        <v>0.35134460601806627</v>
      </c>
      <c r="F7" s="10">
        <f t="shared" si="1"/>
        <v>-165145380.11616376</v>
      </c>
      <c r="G7" s="19">
        <f t="shared" si="2"/>
        <v>-9174743.339786876</v>
      </c>
    </row>
    <row r="8" spans="1:7" ht="13.5">
      <c r="A8" s="7" t="s">
        <v>7</v>
      </c>
      <c r="B8" s="10" t="s">
        <v>3</v>
      </c>
      <c r="C8" s="10">
        <v>379558512.40149158</v>
      </c>
      <c r="D8" s="20">
        <f>SUMIF([1]Sheet1!$C:$C,A8,[1]Sheet1!$M:$M)</f>
        <v>137987500</v>
      </c>
      <c r="E8" s="9">
        <f t="shared" si="0"/>
        <v>0.36354737278040228</v>
      </c>
      <c r="F8" s="10">
        <f t="shared" si="1"/>
        <v>-241571012.40149158</v>
      </c>
      <c r="G8" s="19">
        <f t="shared" si="2"/>
        <v>-13420611.800082866</v>
      </c>
    </row>
    <row r="9" spans="1:7">
      <c r="B9" s="5"/>
    </row>
    <row r="10" spans="1:7">
      <c r="A10" s="8" t="s">
        <v>0</v>
      </c>
      <c r="B10" s="8" t="s">
        <v>1</v>
      </c>
      <c r="C10" s="6" t="s">
        <v>9</v>
      </c>
      <c r="D10" s="6" t="s">
        <v>90</v>
      </c>
      <c r="E10" s="6" t="s">
        <v>8</v>
      </c>
      <c r="F10" s="6" t="s">
        <v>91</v>
      </c>
      <c r="G10" s="6" t="s">
        <v>92</v>
      </c>
    </row>
    <row r="11" spans="1:7" ht="13.5">
      <c r="A11" s="7" t="s">
        <v>2</v>
      </c>
      <c r="B11" s="10" t="s">
        <v>3</v>
      </c>
      <c r="C11" s="10">
        <v>820</v>
      </c>
      <c r="D11" s="10">
        <f>SUMIF([1]Sheet1!$C:$C,A11,[1]Sheet1!$I:$I)</f>
        <v>800</v>
      </c>
      <c r="E11" s="9">
        <f t="shared" ref="E11:E15" si="3">D11/C11</f>
        <v>0.97560975609756095</v>
      </c>
      <c r="F11" s="10">
        <f>D11-C11</f>
        <v>-20</v>
      </c>
      <c r="G11" s="19">
        <f>F11/18</f>
        <v>-1.1111111111111112</v>
      </c>
    </row>
    <row r="12" spans="1:7" ht="13.5">
      <c r="A12" s="7" t="s">
        <v>4</v>
      </c>
      <c r="B12" s="10" t="s">
        <v>3</v>
      </c>
      <c r="C12" s="10">
        <v>474</v>
      </c>
      <c r="D12" s="10">
        <f>SUMIF([1]Sheet1!$C:$C,A12,[1]Sheet1!$I:$I)</f>
        <v>552</v>
      </c>
      <c r="E12" s="9">
        <f t="shared" si="3"/>
        <v>1.1645569620253164</v>
      </c>
      <c r="F12" s="10">
        <f t="shared" ref="F12:F15" si="4">D12-C12</f>
        <v>78</v>
      </c>
      <c r="G12" s="19">
        <f t="shared" ref="G12:G15" si="5">F12/18</f>
        <v>4.333333333333333</v>
      </c>
    </row>
    <row r="13" spans="1:7" ht="13.5">
      <c r="A13" s="7" t="s">
        <v>5</v>
      </c>
      <c r="B13" s="10" t="s">
        <v>3</v>
      </c>
      <c r="C13" s="10">
        <v>246</v>
      </c>
      <c r="D13" s="10">
        <f>SUMIF([1]Sheet1!$C:$C,A13,[1]Sheet1!$I:$I)</f>
        <v>300</v>
      </c>
      <c r="E13" s="9">
        <f t="shared" si="3"/>
        <v>1.2195121951219512</v>
      </c>
      <c r="F13" s="10">
        <f t="shared" si="4"/>
        <v>54</v>
      </c>
      <c r="G13" s="19">
        <f t="shared" si="5"/>
        <v>3</v>
      </c>
    </row>
    <row r="14" spans="1:7" ht="13.5">
      <c r="A14" s="7" t="s">
        <v>6</v>
      </c>
      <c r="B14" s="10" t="s">
        <v>3</v>
      </c>
      <c r="C14" s="10">
        <v>428</v>
      </c>
      <c r="D14" s="10">
        <f>SUMIF([1]Sheet1!$C:$C,A14,[1]Sheet1!$I:$I)</f>
        <v>483</v>
      </c>
      <c r="E14" s="9">
        <f t="shared" si="3"/>
        <v>1.1285046728971964</v>
      </c>
      <c r="F14" s="10">
        <f t="shared" si="4"/>
        <v>55</v>
      </c>
      <c r="G14" s="19">
        <f t="shared" si="5"/>
        <v>3.0555555555555554</v>
      </c>
    </row>
    <row r="15" spans="1:7" ht="13.5">
      <c r="A15" s="7" t="s">
        <v>7</v>
      </c>
      <c r="B15" s="10" t="s">
        <v>3</v>
      </c>
      <c r="C15" s="10">
        <v>453</v>
      </c>
      <c r="D15" s="10">
        <f>SUMIF([1]Sheet1!$C:$C,A15,[1]Sheet1!$I:$I)</f>
        <v>591</v>
      </c>
      <c r="E15" s="9">
        <f t="shared" si="3"/>
        <v>1.304635761589404</v>
      </c>
      <c r="F15" s="10">
        <f t="shared" si="4"/>
        <v>138</v>
      </c>
      <c r="G15" s="19">
        <f t="shared" si="5"/>
        <v>7.666666666666667</v>
      </c>
    </row>
    <row r="16" spans="1:7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1:4">
      <c r="B33" s="5"/>
    </row>
    <row r="34" spans="1:4">
      <c r="B34" s="5"/>
    </row>
    <row r="35" spans="1:4">
      <c r="B35" s="5"/>
    </row>
    <row r="36" spans="1:4">
      <c r="B36" s="5"/>
    </row>
    <row r="37" spans="1:4">
      <c r="B37" s="5"/>
    </row>
    <row r="38" spans="1:4">
      <c r="B38" s="5"/>
    </row>
    <row r="39" spans="1:4" s="4" customFormat="1">
      <c r="A39" s="3"/>
      <c r="B39" s="5"/>
      <c r="C39" s="3"/>
      <c r="D39" s="3"/>
    </row>
    <row r="40" spans="1:4" s="4" customFormat="1">
      <c r="A40" s="3"/>
      <c r="B40" s="5"/>
      <c r="C40" s="3"/>
      <c r="D40" s="3"/>
    </row>
    <row r="41" spans="1:4" s="4" customFormat="1">
      <c r="A41" s="3"/>
      <c r="B41" s="5"/>
      <c r="C41" s="3"/>
      <c r="D41" s="3"/>
    </row>
    <row r="42" spans="1:4" s="4" customFormat="1">
      <c r="A42" s="3"/>
      <c r="B42" s="5"/>
      <c r="C42" s="3"/>
      <c r="D42" s="3"/>
    </row>
    <row r="43" spans="1:4">
      <c r="B43" s="5"/>
    </row>
    <row r="44" spans="1:4">
      <c r="B44" s="5"/>
    </row>
    <row r="45" spans="1:4">
      <c r="B45" s="5"/>
    </row>
    <row r="46" spans="1:4">
      <c r="B46" s="5"/>
    </row>
    <row r="47" spans="1:4">
      <c r="B47" s="5"/>
    </row>
    <row r="48" spans="1:4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</sheetData>
  <autoFilter ref="A3:D3"/>
  <sortState ref="A4:K27">
    <sortCondition ref="B11"/>
  </sortState>
  <conditionalFormatting sqref="B317:B322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23"/>
  <sheetViews>
    <sheetView workbookViewId="0">
      <selection sqref="A1:XFD1048576"/>
    </sheetView>
  </sheetViews>
  <sheetFormatPr defaultRowHeight="14.5"/>
  <cols>
    <col min="1" max="1" width="12.54296875" bestFit="1" customWidth="1"/>
    <col min="2" max="2" width="16.08984375" bestFit="1" customWidth="1"/>
    <col min="3" max="3" width="19.6328125" style="18" bestFit="1" customWidth="1"/>
    <col min="4" max="4" width="30.7265625" style="18" bestFit="1" customWidth="1"/>
    <col min="5" max="5" width="12.6328125" style="18" bestFit="1" customWidth="1"/>
    <col min="6" max="6" width="19.6328125" style="18" bestFit="1" customWidth="1"/>
    <col min="7" max="7" width="22.6328125" style="18" bestFit="1" customWidth="1"/>
    <col min="8" max="8" width="23.7265625" style="18" bestFit="1" customWidth="1"/>
    <col min="9" max="9" width="26.7265625" style="18" bestFit="1" customWidth="1"/>
    <col min="10" max="10" width="22.26953125" style="18" bestFit="1" customWidth="1"/>
    <col min="11" max="11" width="22.7265625" style="18" bestFit="1" customWidth="1"/>
    <col min="12" max="12" width="20.36328125" style="18" bestFit="1" customWidth="1"/>
    <col min="13" max="13" width="23.36328125" style="18" bestFit="1" customWidth="1"/>
    <col min="14" max="14" width="29.90625" style="18" bestFit="1" customWidth="1"/>
    <col min="15" max="15" width="29.08984375" style="18" bestFit="1" customWidth="1"/>
    <col min="16" max="16" width="26.1796875" style="18" bestFit="1" customWidth="1"/>
    <col min="17" max="17" width="22.453125" style="18" bestFit="1" customWidth="1"/>
    <col min="18" max="18" width="28.81640625" style="18" bestFit="1" customWidth="1"/>
    <col min="19" max="19" width="12.54296875" style="18" bestFit="1" customWidth="1"/>
    <col min="20" max="20" width="20.54296875" style="18" bestFit="1" customWidth="1"/>
    <col min="21" max="21" width="19.7265625" style="18" bestFit="1" customWidth="1"/>
    <col min="22" max="22" width="18.1796875" style="18" bestFit="1" customWidth="1"/>
    <col min="23" max="23" width="10.54296875" style="18" bestFit="1" customWidth="1"/>
    <col min="24" max="24" width="20.81640625" style="18" bestFit="1" customWidth="1"/>
    <col min="25" max="25" width="20.36328125" style="18" bestFit="1" customWidth="1"/>
    <col min="26" max="26" width="19.54296875" style="18" bestFit="1" customWidth="1"/>
    <col min="27" max="27" width="22.54296875" style="18" bestFit="1" customWidth="1"/>
    <col min="28" max="28" width="18.81640625" style="18" bestFit="1" customWidth="1"/>
    <col min="29" max="29" width="22" style="18" bestFit="1" customWidth="1"/>
    <col min="30" max="30" width="15.7265625" style="18" bestFit="1" customWidth="1"/>
    <col min="31" max="31" width="28" style="18" bestFit="1" customWidth="1"/>
    <col min="32" max="32" width="21.81640625" style="18" bestFit="1" customWidth="1"/>
    <col min="33" max="33" width="20.7265625" style="18" bestFit="1" customWidth="1"/>
    <col min="34" max="34" width="22.1796875" style="18" bestFit="1" customWidth="1"/>
    <col min="35" max="35" width="17.54296875" style="18" bestFit="1" customWidth="1"/>
    <col min="36" max="36" width="21.7265625" style="18" bestFit="1" customWidth="1"/>
    <col min="37" max="37" width="20.08984375" style="18" bestFit="1" customWidth="1"/>
    <col min="38" max="38" width="18" style="18" bestFit="1" customWidth="1"/>
    <col min="39" max="39" width="28.08984375" style="18" bestFit="1" customWidth="1"/>
    <col min="40" max="40" width="26.54296875" style="18" bestFit="1" customWidth="1"/>
    <col min="41" max="41" width="21.1796875" style="18" bestFit="1" customWidth="1"/>
    <col min="42" max="42" width="18" style="18" bestFit="1" customWidth="1"/>
    <col min="43" max="43" width="28.08984375" style="18" bestFit="1" customWidth="1"/>
    <col min="44" max="44" width="26.54296875" style="18" bestFit="1" customWidth="1"/>
    <col min="45" max="45" width="13.36328125" style="18" bestFit="1" customWidth="1"/>
    <col min="46" max="46" width="16.26953125" style="18" bestFit="1" customWidth="1"/>
    <col min="47" max="47" width="22.81640625" style="18" bestFit="1" customWidth="1"/>
    <col min="48" max="48" width="26.90625" style="18" bestFit="1" customWidth="1"/>
    <col min="49" max="49" width="6.54296875" style="18" bestFit="1" customWidth="1"/>
    <col min="50" max="50" width="25.90625" style="18" bestFit="1" customWidth="1"/>
    <col min="51" max="51" width="26.26953125" style="18" bestFit="1" customWidth="1"/>
    <col min="52" max="52" width="18.90625" style="18" bestFit="1" customWidth="1"/>
    <col min="53" max="53" width="19.6328125" style="18" bestFit="1" customWidth="1"/>
  </cols>
  <sheetData>
    <row r="1" spans="1:53">
      <c r="A1" s="11"/>
      <c r="B1" s="11"/>
      <c r="C1" s="12"/>
      <c r="D1" s="12"/>
      <c r="E1" s="13" t="s">
        <v>11</v>
      </c>
      <c r="F1" s="13" t="s">
        <v>12</v>
      </c>
      <c r="G1" s="13" t="s">
        <v>13</v>
      </c>
      <c r="H1" s="13" t="s">
        <v>14</v>
      </c>
      <c r="I1" s="13" t="s">
        <v>15</v>
      </c>
      <c r="J1" s="13" t="s">
        <v>16</v>
      </c>
      <c r="K1" s="13" t="s">
        <v>17</v>
      </c>
      <c r="L1" s="13" t="s">
        <v>18</v>
      </c>
      <c r="M1" s="13" t="s">
        <v>19</v>
      </c>
      <c r="N1" s="13" t="s">
        <v>20</v>
      </c>
      <c r="O1" s="13" t="s">
        <v>21</v>
      </c>
      <c r="P1" s="13" t="s">
        <v>22</v>
      </c>
      <c r="Q1" s="13" t="s">
        <v>23</v>
      </c>
      <c r="R1" s="13" t="s">
        <v>24</v>
      </c>
      <c r="S1" s="13" t="s">
        <v>10</v>
      </c>
      <c r="T1" s="13" t="s">
        <v>25</v>
      </c>
      <c r="U1" s="13" t="s">
        <v>26</v>
      </c>
      <c r="V1" s="13" t="s">
        <v>27</v>
      </c>
      <c r="W1" s="13" t="s">
        <v>28</v>
      </c>
      <c r="X1" s="13" t="s">
        <v>29</v>
      </c>
      <c r="Y1" s="13" t="s">
        <v>30</v>
      </c>
      <c r="Z1" s="13" t="s">
        <v>31</v>
      </c>
      <c r="AA1" s="13" t="s">
        <v>32</v>
      </c>
      <c r="AB1" s="13" t="s">
        <v>33</v>
      </c>
      <c r="AC1" s="13" t="s">
        <v>34</v>
      </c>
      <c r="AD1" s="13" t="s">
        <v>35</v>
      </c>
      <c r="AE1" s="13" t="s">
        <v>36</v>
      </c>
      <c r="AF1" s="13" t="s">
        <v>37</v>
      </c>
      <c r="AG1" s="13" t="s">
        <v>38</v>
      </c>
      <c r="AH1" s="13" t="s">
        <v>39</v>
      </c>
      <c r="AI1" s="13" t="s">
        <v>40</v>
      </c>
      <c r="AJ1" s="13" t="s">
        <v>41</v>
      </c>
      <c r="AK1" s="13" t="s">
        <v>42</v>
      </c>
      <c r="AL1" s="13" t="s">
        <v>43</v>
      </c>
      <c r="AM1" s="13" t="s">
        <v>44</v>
      </c>
      <c r="AN1" s="13" t="s">
        <v>45</v>
      </c>
      <c r="AO1" s="13" t="s">
        <v>46</v>
      </c>
      <c r="AP1" s="13" t="s">
        <v>47</v>
      </c>
      <c r="AQ1" s="13" t="s">
        <v>48</v>
      </c>
      <c r="AR1" s="13" t="s">
        <v>49</v>
      </c>
      <c r="AS1" s="13" t="s">
        <v>50</v>
      </c>
      <c r="AT1" s="13" t="s">
        <v>51</v>
      </c>
      <c r="AU1" s="13" t="s">
        <v>52</v>
      </c>
      <c r="AV1" s="13" t="s">
        <v>53</v>
      </c>
      <c r="AW1" s="13" t="s">
        <v>54</v>
      </c>
      <c r="AX1" s="13" t="s">
        <v>55</v>
      </c>
      <c r="AY1" s="13" t="s">
        <v>56</v>
      </c>
      <c r="AZ1" s="13" t="s">
        <v>57</v>
      </c>
      <c r="BA1" s="13" t="s">
        <v>12</v>
      </c>
    </row>
    <row r="2" spans="1:53">
      <c r="A2" s="14" t="s">
        <v>58</v>
      </c>
      <c r="B2" s="14" t="s">
        <v>59</v>
      </c>
      <c r="C2" s="15" t="s">
        <v>60</v>
      </c>
      <c r="D2" s="15" t="s">
        <v>61</v>
      </c>
      <c r="E2" s="15" t="s">
        <v>62</v>
      </c>
      <c r="F2" s="15" t="s">
        <v>62</v>
      </c>
      <c r="G2" s="15" t="s">
        <v>62</v>
      </c>
      <c r="H2" s="15" t="s">
        <v>62</v>
      </c>
      <c r="I2" s="15" t="s">
        <v>62</v>
      </c>
      <c r="J2" s="15" t="s">
        <v>62</v>
      </c>
      <c r="K2" s="15" t="s">
        <v>62</v>
      </c>
      <c r="L2" s="15" t="s">
        <v>62</v>
      </c>
      <c r="M2" s="15" t="s">
        <v>62</v>
      </c>
      <c r="N2" s="15" t="s">
        <v>62</v>
      </c>
      <c r="O2" s="15" t="s">
        <v>62</v>
      </c>
      <c r="P2" s="15" t="s">
        <v>62</v>
      </c>
      <c r="Q2" s="15" t="s">
        <v>62</v>
      </c>
      <c r="R2" s="15" t="s">
        <v>62</v>
      </c>
      <c r="S2" s="15" t="s">
        <v>62</v>
      </c>
      <c r="T2" s="15" t="s">
        <v>62</v>
      </c>
      <c r="U2" s="15" t="s">
        <v>62</v>
      </c>
      <c r="V2" s="15" t="s">
        <v>62</v>
      </c>
      <c r="W2" s="15" t="s">
        <v>62</v>
      </c>
      <c r="X2" s="15" t="s">
        <v>62</v>
      </c>
      <c r="Y2" s="15" t="s">
        <v>62</v>
      </c>
      <c r="Z2" s="15" t="s">
        <v>62</v>
      </c>
      <c r="AA2" s="15" t="s">
        <v>62</v>
      </c>
      <c r="AB2" s="15" t="s">
        <v>62</v>
      </c>
      <c r="AC2" s="15" t="s">
        <v>62</v>
      </c>
      <c r="AD2" s="15" t="s">
        <v>62</v>
      </c>
      <c r="AE2" s="15" t="s">
        <v>62</v>
      </c>
      <c r="AF2" s="15" t="s">
        <v>62</v>
      </c>
      <c r="AG2" s="15" t="s">
        <v>62</v>
      </c>
      <c r="AH2" s="15" t="s">
        <v>62</v>
      </c>
      <c r="AI2" s="15" t="s">
        <v>62</v>
      </c>
      <c r="AJ2" s="15" t="s">
        <v>62</v>
      </c>
      <c r="AK2" s="15" t="s">
        <v>62</v>
      </c>
      <c r="AL2" s="15" t="s">
        <v>62</v>
      </c>
      <c r="AM2" s="15" t="s">
        <v>62</v>
      </c>
      <c r="AN2" s="15" t="s">
        <v>62</v>
      </c>
      <c r="AO2" s="15" t="s">
        <v>62</v>
      </c>
      <c r="AP2" s="15" t="s">
        <v>62</v>
      </c>
      <c r="AQ2" s="15" t="s">
        <v>62</v>
      </c>
      <c r="AR2" s="15" t="s">
        <v>62</v>
      </c>
      <c r="AS2" s="15" t="s">
        <v>62</v>
      </c>
      <c r="AT2" s="15" t="s">
        <v>62</v>
      </c>
      <c r="AU2" s="15" t="s">
        <v>62</v>
      </c>
      <c r="AV2" s="15" t="s">
        <v>62</v>
      </c>
      <c r="AW2" s="15" t="s">
        <v>62</v>
      </c>
      <c r="AX2" s="15" t="s">
        <v>62</v>
      </c>
      <c r="AY2" s="15" t="s">
        <v>62</v>
      </c>
      <c r="AZ2" s="15" t="s">
        <v>62</v>
      </c>
      <c r="BA2" s="15" t="s">
        <v>62</v>
      </c>
    </row>
    <row r="3" spans="1:53">
      <c r="A3" s="16" t="s">
        <v>63</v>
      </c>
      <c r="B3" s="16" t="s">
        <v>3</v>
      </c>
      <c r="C3" s="13" t="s">
        <v>2</v>
      </c>
      <c r="D3" s="17" t="s">
        <v>64</v>
      </c>
      <c r="E3" s="18">
        <v>78</v>
      </c>
      <c r="F3" s="18">
        <v>28</v>
      </c>
      <c r="G3" s="18">
        <v>0.35897435897435898</v>
      </c>
      <c r="H3" s="18">
        <v>0</v>
      </c>
      <c r="I3" s="18">
        <v>0</v>
      </c>
      <c r="J3" s="18">
        <v>11</v>
      </c>
      <c r="K3" s="18">
        <v>0.14102564102564102</v>
      </c>
      <c r="L3" s="18">
        <v>5</v>
      </c>
      <c r="M3" s="18">
        <v>4</v>
      </c>
      <c r="N3" s="18">
        <v>0</v>
      </c>
      <c r="O3" s="18">
        <v>0</v>
      </c>
      <c r="P3" s="18">
        <v>62</v>
      </c>
      <c r="Q3" s="18">
        <v>3</v>
      </c>
      <c r="R3" s="18">
        <v>1</v>
      </c>
      <c r="T3" s="18">
        <v>126853000</v>
      </c>
      <c r="U3" s="18">
        <v>31417500</v>
      </c>
      <c r="V3" s="18">
        <v>0</v>
      </c>
      <c r="W3" s="18">
        <v>-0.75233143875194119</v>
      </c>
      <c r="Y3" s="18">
        <v>57</v>
      </c>
      <c r="Z3" s="18">
        <v>150</v>
      </c>
      <c r="AA3" s="18">
        <v>0</v>
      </c>
      <c r="AB3" s="18">
        <v>1.6315789473684212</v>
      </c>
      <c r="AC3" s="18">
        <v>0</v>
      </c>
      <c r="AD3" s="18">
        <v>0</v>
      </c>
      <c r="AE3" s="18">
        <v>0</v>
      </c>
      <c r="AF3" s="18">
        <v>0</v>
      </c>
      <c r="AG3" s="18">
        <v>34</v>
      </c>
      <c r="AH3" s="18">
        <v>34</v>
      </c>
      <c r="AI3" s="18">
        <v>25</v>
      </c>
      <c r="AJ3" s="18">
        <v>25</v>
      </c>
      <c r="AK3" s="18">
        <v>0</v>
      </c>
      <c r="AL3" s="18">
        <v>16</v>
      </c>
      <c r="AM3" s="18">
        <v>16</v>
      </c>
      <c r="AN3" s="18">
        <v>0</v>
      </c>
      <c r="AO3" s="18">
        <v>0</v>
      </c>
      <c r="AP3" s="18">
        <v>18</v>
      </c>
      <c r="AQ3" s="18">
        <v>18</v>
      </c>
      <c r="AR3" s="18">
        <v>0</v>
      </c>
      <c r="AS3" s="18">
        <v>155</v>
      </c>
      <c r="AT3" s="18">
        <v>4</v>
      </c>
      <c r="AU3" s="18">
        <v>0</v>
      </c>
      <c r="AV3" s="18">
        <v>58.325000000000003</v>
      </c>
      <c r="AW3" s="18">
        <v>0</v>
      </c>
      <c r="AX3" s="18">
        <v>0</v>
      </c>
      <c r="AY3" s="18">
        <v>0</v>
      </c>
      <c r="AZ3" s="18">
        <v>0</v>
      </c>
      <c r="BA3" s="18">
        <v>28</v>
      </c>
    </row>
    <row r="4" spans="1:53">
      <c r="A4" s="16" t="s">
        <v>63</v>
      </c>
      <c r="B4" s="16" t="s">
        <v>3</v>
      </c>
      <c r="C4" s="13" t="s">
        <v>4</v>
      </c>
      <c r="D4" s="17" t="s">
        <v>65</v>
      </c>
      <c r="E4" s="18">
        <v>89</v>
      </c>
      <c r="F4" s="18">
        <v>45</v>
      </c>
      <c r="G4" s="18">
        <v>0.5056179775280899</v>
      </c>
      <c r="H4" s="18">
        <v>7</v>
      </c>
      <c r="I4" s="18">
        <v>0.13461538461538461</v>
      </c>
      <c r="J4" s="18">
        <v>9</v>
      </c>
      <c r="K4" s="18">
        <v>0.10112359550561797</v>
      </c>
      <c r="L4" s="18">
        <v>14</v>
      </c>
      <c r="M4" s="18">
        <v>4</v>
      </c>
      <c r="N4" s="18">
        <v>0</v>
      </c>
      <c r="O4" s="18">
        <v>0</v>
      </c>
      <c r="P4" s="18">
        <v>45</v>
      </c>
      <c r="Q4" s="18">
        <v>1</v>
      </c>
      <c r="R4" s="18">
        <v>1</v>
      </c>
      <c r="T4" s="18">
        <v>103714750</v>
      </c>
      <c r="U4" s="18">
        <v>24432000</v>
      </c>
      <c r="V4" s="18">
        <v>0</v>
      </c>
      <c r="W4" s="18">
        <v>-0.76443080661140295</v>
      </c>
      <c r="Y4" s="18">
        <v>216</v>
      </c>
      <c r="Z4" s="18">
        <v>31</v>
      </c>
      <c r="AA4" s="18">
        <v>0</v>
      </c>
      <c r="AB4" s="18">
        <v>-0.85648148148148151</v>
      </c>
      <c r="AC4" s="18">
        <v>0</v>
      </c>
      <c r="AD4" s="18">
        <v>0</v>
      </c>
      <c r="AE4" s="18">
        <v>0</v>
      </c>
      <c r="AF4" s="18">
        <v>0</v>
      </c>
      <c r="AG4" s="18">
        <v>43</v>
      </c>
      <c r="AH4" s="18">
        <v>43</v>
      </c>
      <c r="AI4" s="18">
        <v>30</v>
      </c>
      <c r="AJ4" s="18">
        <v>30</v>
      </c>
      <c r="AK4" s="18">
        <v>0</v>
      </c>
      <c r="AL4" s="18">
        <v>26</v>
      </c>
      <c r="AM4" s="18">
        <v>26</v>
      </c>
      <c r="AN4" s="18">
        <v>0</v>
      </c>
      <c r="AO4" s="18">
        <v>0</v>
      </c>
      <c r="AP4" s="18">
        <v>26</v>
      </c>
      <c r="AQ4" s="18">
        <v>26</v>
      </c>
      <c r="AR4" s="18">
        <v>0</v>
      </c>
      <c r="AS4" s="18">
        <v>84</v>
      </c>
      <c r="AT4" s="18">
        <v>5</v>
      </c>
      <c r="AU4" s="18">
        <v>0</v>
      </c>
      <c r="AV4" s="18">
        <v>10.421052632</v>
      </c>
      <c r="AW4" s="18">
        <v>0</v>
      </c>
      <c r="AX4" s="18">
        <v>2</v>
      </c>
      <c r="AY4" s="18">
        <v>775000</v>
      </c>
      <c r="AZ4" s="18">
        <v>0</v>
      </c>
      <c r="BA4" s="18">
        <v>45</v>
      </c>
    </row>
    <row r="5" spans="1:53">
      <c r="A5" s="16" t="s">
        <v>63</v>
      </c>
      <c r="B5" s="16" t="s">
        <v>3</v>
      </c>
      <c r="C5" s="13" t="s">
        <v>5</v>
      </c>
      <c r="D5" s="17" t="s">
        <v>64</v>
      </c>
      <c r="E5" s="18">
        <v>50</v>
      </c>
      <c r="F5" s="18">
        <v>0</v>
      </c>
      <c r="G5" s="18">
        <v>0</v>
      </c>
      <c r="H5" s="18">
        <v>0</v>
      </c>
      <c r="I5" s="18">
        <v>0</v>
      </c>
      <c r="J5" s="18">
        <v>0</v>
      </c>
      <c r="K5" s="18">
        <v>0</v>
      </c>
      <c r="L5" s="18">
        <v>0</v>
      </c>
      <c r="M5" s="18">
        <v>1</v>
      </c>
      <c r="N5" s="18">
        <v>0</v>
      </c>
      <c r="O5" s="18">
        <v>0</v>
      </c>
      <c r="P5" s="18">
        <v>49</v>
      </c>
      <c r="Q5" s="18">
        <v>5</v>
      </c>
      <c r="R5" s="18">
        <v>1</v>
      </c>
      <c r="T5" s="18">
        <v>800000</v>
      </c>
      <c r="U5" s="18">
        <v>0</v>
      </c>
      <c r="V5" s="18">
        <v>0</v>
      </c>
      <c r="W5" s="18">
        <v>-1</v>
      </c>
      <c r="Y5" s="18">
        <v>0</v>
      </c>
      <c r="Z5" s="18">
        <v>0</v>
      </c>
      <c r="AA5" s="18">
        <v>0</v>
      </c>
      <c r="AB5" s="18">
        <v>-1</v>
      </c>
      <c r="AC5" s="18">
        <v>0</v>
      </c>
      <c r="AD5" s="18">
        <v>0</v>
      </c>
      <c r="AE5" s="18">
        <v>0</v>
      </c>
      <c r="AF5" s="18">
        <v>0</v>
      </c>
      <c r="AG5" s="18">
        <v>0</v>
      </c>
      <c r="AH5" s="18">
        <v>0</v>
      </c>
      <c r="AI5" s="18">
        <v>5</v>
      </c>
      <c r="AJ5" s="18">
        <v>5</v>
      </c>
      <c r="AK5" s="18">
        <v>0</v>
      </c>
      <c r="AL5" s="18">
        <v>5</v>
      </c>
      <c r="AM5" s="18">
        <v>5</v>
      </c>
      <c r="AN5" s="18">
        <v>0</v>
      </c>
      <c r="AO5" s="18">
        <v>0</v>
      </c>
      <c r="AP5" s="18">
        <v>5</v>
      </c>
      <c r="AQ5" s="18">
        <v>5</v>
      </c>
      <c r="AR5" s="18">
        <v>0</v>
      </c>
      <c r="AS5" s="18">
        <v>0</v>
      </c>
      <c r="AT5" s="18">
        <v>1</v>
      </c>
      <c r="AU5" s="18">
        <v>0</v>
      </c>
      <c r="AV5" s="18">
        <v>0</v>
      </c>
      <c r="AW5" s="18">
        <v>0</v>
      </c>
      <c r="AX5" s="18">
        <v>0</v>
      </c>
      <c r="AY5" s="18">
        <v>0</v>
      </c>
      <c r="AZ5" s="18">
        <v>0</v>
      </c>
      <c r="BA5" s="18">
        <v>0</v>
      </c>
    </row>
    <row r="6" spans="1:53">
      <c r="A6" s="16" t="s">
        <v>63</v>
      </c>
      <c r="B6" s="16" t="s">
        <v>3</v>
      </c>
      <c r="C6" s="13" t="s">
        <v>6</v>
      </c>
      <c r="D6" s="17" t="s">
        <v>65</v>
      </c>
      <c r="E6" s="18">
        <v>59</v>
      </c>
      <c r="F6" s="18">
        <v>29</v>
      </c>
      <c r="G6" s="18">
        <v>0.49152542372881358</v>
      </c>
      <c r="H6" s="18">
        <v>2</v>
      </c>
      <c r="I6" s="18">
        <v>6.4516129032258063E-2</v>
      </c>
      <c r="J6" s="18">
        <v>15</v>
      </c>
      <c r="K6" s="18">
        <v>0.25423728813559321</v>
      </c>
      <c r="L6" s="18">
        <v>1</v>
      </c>
      <c r="M6" s="18">
        <v>0</v>
      </c>
      <c r="N6" s="18">
        <v>0</v>
      </c>
      <c r="O6" s="18">
        <v>0</v>
      </c>
      <c r="P6" s="18">
        <v>33</v>
      </c>
      <c r="Q6" s="18">
        <v>4</v>
      </c>
      <c r="R6" s="18">
        <v>3</v>
      </c>
      <c r="T6" s="18">
        <v>25916000</v>
      </c>
      <c r="U6" s="18">
        <v>16543200</v>
      </c>
      <c r="V6" s="18">
        <v>0</v>
      </c>
      <c r="W6" s="18">
        <v>-0.3616607501157586</v>
      </c>
      <c r="Y6" s="18">
        <v>68</v>
      </c>
      <c r="Z6" s="18">
        <v>0</v>
      </c>
      <c r="AA6" s="18">
        <v>0</v>
      </c>
      <c r="AB6" s="18">
        <v>-1</v>
      </c>
      <c r="AC6" s="18">
        <v>0</v>
      </c>
      <c r="AD6" s="18">
        <v>0</v>
      </c>
      <c r="AE6" s="18">
        <v>0</v>
      </c>
      <c r="AF6" s="18">
        <v>0</v>
      </c>
      <c r="AG6" s="18">
        <v>50</v>
      </c>
      <c r="AH6" s="18">
        <v>50</v>
      </c>
      <c r="AI6" s="18">
        <v>3</v>
      </c>
      <c r="AJ6" s="18">
        <v>2</v>
      </c>
      <c r="AK6" s="18">
        <v>1</v>
      </c>
      <c r="AL6" s="18">
        <v>1</v>
      </c>
      <c r="AM6" s="18">
        <v>1</v>
      </c>
      <c r="AN6" s="18">
        <v>0</v>
      </c>
      <c r="AO6" s="18">
        <v>0</v>
      </c>
      <c r="AP6" s="18">
        <v>2</v>
      </c>
      <c r="AQ6" s="18">
        <v>2</v>
      </c>
      <c r="AR6" s="18">
        <v>0</v>
      </c>
      <c r="AS6" s="18">
        <v>1</v>
      </c>
      <c r="AT6" s="18">
        <v>0</v>
      </c>
      <c r="AU6" s="18">
        <v>0</v>
      </c>
      <c r="AV6" s="18">
        <v>14.433734940000001</v>
      </c>
      <c r="AW6" s="18">
        <v>0</v>
      </c>
      <c r="AX6" s="18">
        <v>0</v>
      </c>
      <c r="AY6" s="18">
        <v>0</v>
      </c>
      <c r="AZ6" s="18">
        <v>0</v>
      </c>
      <c r="BA6" s="18">
        <v>29</v>
      </c>
    </row>
    <row r="7" spans="1:53">
      <c r="A7" s="16" t="s">
        <v>63</v>
      </c>
      <c r="B7" s="16" t="s">
        <v>3</v>
      </c>
      <c r="C7" s="13" t="s">
        <v>7</v>
      </c>
      <c r="D7" s="17" t="s">
        <v>65</v>
      </c>
      <c r="E7" s="18">
        <v>60</v>
      </c>
      <c r="F7" s="18">
        <v>24</v>
      </c>
      <c r="G7" s="18">
        <v>0.4</v>
      </c>
      <c r="H7" s="18">
        <v>2</v>
      </c>
      <c r="I7" s="18">
        <v>7.6923076923076927E-2</v>
      </c>
      <c r="J7" s="18">
        <v>11</v>
      </c>
      <c r="K7" s="18">
        <v>0.18333333333333332</v>
      </c>
      <c r="L7" s="18">
        <v>6</v>
      </c>
      <c r="M7" s="18">
        <v>6</v>
      </c>
      <c r="N7" s="18">
        <v>0</v>
      </c>
      <c r="O7" s="18">
        <v>0</v>
      </c>
      <c r="P7" s="18">
        <v>18</v>
      </c>
      <c r="Q7" s="18">
        <v>3</v>
      </c>
      <c r="R7" s="18">
        <v>1</v>
      </c>
      <c r="T7" s="18">
        <v>35973250</v>
      </c>
      <c r="U7" s="18">
        <v>58965500</v>
      </c>
      <c r="V7" s="18">
        <v>0</v>
      </c>
      <c r="W7" s="18">
        <v>0.63914853398011018</v>
      </c>
      <c r="Y7" s="18">
        <v>118</v>
      </c>
      <c r="Z7" s="18">
        <v>4</v>
      </c>
      <c r="AA7" s="18">
        <v>0</v>
      </c>
      <c r="AB7" s="18">
        <v>-0.96610169491525422</v>
      </c>
      <c r="AC7" s="18">
        <v>0</v>
      </c>
      <c r="AD7" s="18">
        <v>0</v>
      </c>
      <c r="AE7" s="18">
        <v>0</v>
      </c>
      <c r="AF7" s="18">
        <v>0</v>
      </c>
      <c r="AG7" s="18">
        <v>32</v>
      </c>
      <c r="AH7" s="18">
        <v>32</v>
      </c>
      <c r="AI7" s="18">
        <v>26</v>
      </c>
      <c r="AJ7" s="18">
        <v>23</v>
      </c>
      <c r="AK7" s="18">
        <v>3</v>
      </c>
      <c r="AL7" s="18">
        <v>10</v>
      </c>
      <c r="AM7" s="18">
        <v>10</v>
      </c>
      <c r="AN7" s="18">
        <v>0</v>
      </c>
      <c r="AO7" s="18">
        <v>0</v>
      </c>
      <c r="AP7" s="18">
        <v>18</v>
      </c>
      <c r="AQ7" s="18">
        <v>18</v>
      </c>
      <c r="AR7" s="18">
        <v>0</v>
      </c>
      <c r="AS7" s="18">
        <v>16</v>
      </c>
      <c r="AT7" s="18">
        <v>10</v>
      </c>
      <c r="AU7" s="18">
        <v>0</v>
      </c>
      <c r="AV7" s="18">
        <v>37.696969697</v>
      </c>
      <c r="AW7" s="18">
        <v>0</v>
      </c>
      <c r="AX7" s="18">
        <v>0</v>
      </c>
      <c r="AY7" s="18">
        <v>0</v>
      </c>
      <c r="AZ7" s="18">
        <v>0</v>
      </c>
      <c r="BA7" s="18">
        <v>24</v>
      </c>
    </row>
    <row r="8" spans="1:53">
      <c r="A8" s="16" t="s">
        <v>63</v>
      </c>
      <c r="B8" s="16" t="s">
        <v>66</v>
      </c>
      <c r="C8" s="13" t="s">
        <v>67</v>
      </c>
      <c r="D8" s="17" t="s">
        <v>68</v>
      </c>
      <c r="E8" s="18">
        <v>57</v>
      </c>
      <c r="F8" s="18">
        <v>14</v>
      </c>
      <c r="G8" s="18">
        <v>0.24561403508771928</v>
      </c>
      <c r="H8" s="18">
        <v>3</v>
      </c>
      <c r="I8" s="18">
        <v>0.17647058823529413</v>
      </c>
      <c r="J8" s="18">
        <v>5</v>
      </c>
      <c r="K8" s="18">
        <v>8.771929824561403E-2</v>
      </c>
      <c r="L8" s="18">
        <v>10</v>
      </c>
      <c r="M8" s="18">
        <v>1</v>
      </c>
      <c r="N8" s="18">
        <v>0</v>
      </c>
      <c r="O8" s="18">
        <v>0</v>
      </c>
      <c r="P8" s="18">
        <v>36</v>
      </c>
      <c r="Q8" s="18">
        <v>2</v>
      </c>
      <c r="R8" s="18">
        <v>3</v>
      </c>
      <c r="T8" s="18">
        <v>3503000</v>
      </c>
      <c r="U8" s="18">
        <v>1863000</v>
      </c>
      <c r="V8" s="18">
        <v>0</v>
      </c>
      <c r="W8" s="18">
        <v>-0.46817013988010281</v>
      </c>
      <c r="Y8" s="18">
        <v>0</v>
      </c>
      <c r="Z8" s="18">
        <v>11</v>
      </c>
      <c r="AA8" s="18">
        <v>0</v>
      </c>
      <c r="AB8" s="18">
        <v>-1</v>
      </c>
      <c r="AC8" s="18">
        <v>0</v>
      </c>
      <c r="AD8" s="18">
        <v>0</v>
      </c>
      <c r="AE8" s="18">
        <v>0</v>
      </c>
      <c r="AF8" s="18">
        <v>0</v>
      </c>
      <c r="AG8" s="18">
        <v>15</v>
      </c>
      <c r="AH8" s="18">
        <v>15</v>
      </c>
      <c r="AI8" s="18">
        <v>19</v>
      </c>
      <c r="AJ8" s="18">
        <v>19</v>
      </c>
      <c r="AK8" s="18">
        <v>0</v>
      </c>
      <c r="AL8" s="18">
        <v>13</v>
      </c>
      <c r="AM8" s="18">
        <v>13</v>
      </c>
      <c r="AN8" s="18">
        <v>0</v>
      </c>
      <c r="AO8" s="18">
        <v>0</v>
      </c>
      <c r="AP8" s="18">
        <v>15</v>
      </c>
      <c r="AQ8" s="18">
        <v>15</v>
      </c>
      <c r="AR8" s="18">
        <v>0</v>
      </c>
      <c r="AS8" s="18">
        <v>69</v>
      </c>
      <c r="AT8" s="18">
        <v>2</v>
      </c>
      <c r="AU8" s="18">
        <v>0</v>
      </c>
      <c r="AV8" s="18">
        <v>50.444444443999998</v>
      </c>
      <c r="AW8" s="18">
        <v>0</v>
      </c>
      <c r="AX8" s="18">
        <v>1</v>
      </c>
      <c r="AY8" s="18">
        <v>200000</v>
      </c>
      <c r="AZ8" s="18">
        <v>15171274.851989249</v>
      </c>
      <c r="BA8" s="18">
        <v>14</v>
      </c>
    </row>
    <row r="9" spans="1:53">
      <c r="A9" s="16" t="s">
        <v>63</v>
      </c>
      <c r="B9" s="16" t="s">
        <v>66</v>
      </c>
      <c r="C9" s="13" t="s">
        <v>69</v>
      </c>
      <c r="D9" s="17" t="s">
        <v>68</v>
      </c>
      <c r="E9" s="18">
        <v>50</v>
      </c>
      <c r="F9" s="18">
        <v>45</v>
      </c>
      <c r="G9" s="18">
        <v>0.9</v>
      </c>
      <c r="H9" s="18">
        <v>0</v>
      </c>
      <c r="I9" s="18">
        <v>0</v>
      </c>
      <c r="J9" s="18">
        <v>30</v>
      </c>
      <c r="K9" s="18">
        <v>0.6</v>
      </c>
      <c r="L9" s="18">
        <v>7</v>
      </c>
      <c r="M9" s="18">
        <v>0</v>
      </c>
      <c r="N9" s="18">
        <v>0</v>
      </c>
      <c r="O9" s="18">
        <v>0</v>
      </c>
      <c r="P9" s="18">
        <v>20</v>
      </c>
      <c r="Q9" s="18">
        <v>0</v>
      </c>
      <c r="R9" s="18">
        <v>0</v>
      </c>
      <c r="T9" s="18">
        <v>8527000</v>
      </c>
      <c r="U9" s="18">
        <v>5975100</v>
      </c>
      <c r="V9" s="18">
        <v>0</v>
      </c>
      <c r="W9" s="18">
        <v>-0.2992728978538759</v>
      </c>
      <c r="Y9" s="18">
        <v>0</v>
      </c>
      <c r="Z9" s="18">
        <v>30</v>
      </c>
      <c r="AA9" s="18">
        <v>0</v>
      </c>
      <c r="AB9" s="18">
        <v>-1</v>
      </c>
      <c r="AC9" s="18">
        <v>0</v>
      </c>
      <c r="AD9" s="18">
        <v>0</v>
      </c>
      <c r="AE9" s="18">
        <v>0</v>
      </c>
      <c r="AF9" s="18">
        <v>1</v>
      </c>
      <c r="AG9" s="18">
        <v>42</v>
      </c>
      <c r="AH9" s="18">
        <v>42</v>
      </c>
      <c r="AI9" s="18">
        <v>9</v>
      </c>
      <c r="AJ9" s="18">
        <v>9</v>
      </c>
      <c r="AK9" s="18">
        <v>0</v>
      </c>
      <c r="AL9" s="18">
        <v>6</v>
      </c>
      <c r="AM9" s="18">
        <v>6</v>
      </c>
      <c r="AN9" s="18">
        <v>0</v>
      </c>
      <c r="AO9" s="18">
        <v>0</v>
      </c>
      <c r="AP9" s="18">
        <v>7</v>
      </c>
      <c r="AQ9" s="18">
        <v>7</v>
      </c>
      <c r="AR9" s="18">
        <v>0</v>
      </c>
      <c r="AS9" s="18">
        <v>54</v>
      </c>
      <c r="AT9" s="18">
        <v>0</v>
      </c>
      <c r="AU9" s="18">
        <v>0</v>
      </c>
      <c r="AV9" s="18">
        <v>9.8666666670000005</v>
      </c>
      <c r="AW9" s="18">
        <v>0</v>
      </c>
      <c r="AX9" s="18">
        <v>0</v>
      </c>
      <c r="AY9" s="18">
        <v>0</v>
      </c>
      <c r="AZ9" s="18">
        <v>40346489.739149243</v>
      </c>
      <c r="BA9" s="18">
        <v>45</v>
      </c>
    </row>
    <row r="10" spans="1:53">
      <c r="A10" s="16" t="s">
        <v>63</v>
      </c>
      <c r="B10" s="16" t="s">
        <v>66</v>
      </c>
      <c r="C10" s="13" t="s">
        <v>70</v>
      </c>
      <c r="D10" s="17" t="s">
        <v>68</v>
      </c>
      <c r="E10" s="18">
        <v>71</v>
      </c>
      <c r="F10" s="18">
        <v>35</v>
      </c>
      <c r="G10" s="18">
        <v>0.49295774647887325</v>
      </c>
      <c r="H10" s="18">
        <v>3</v>
      </c>
      <c r="I10" s="18">
        <v>7.8947368421052627E-2</v>
      </c>
      <c r="J10" s="18">
        <v>23</v>
      </c>
      <c r="K10" s="18">
        <v>0.323943661971831</v>
      </c>
      <c r="L10" s="18">
        <v>11</v>
      </c>
      <c r="M10" s="18">
        <v>3</v>
      </c>
      <c r="N10" s="18">
        <v>0</v>
      </c>
      <c r="O10" s="18">
        <v>0</v>
      </c>
      <c r="P10" s="18">
        <v>42</v>
      </c>
      <c r="Q10" s="18">
        <v>8</v>
      </c>
      <c r="R10" s="18">
        <v>1</v>
      </c>
      <c r="T10" s="18">
        <v>12323000</v>
      </c>
      <c r="U10" s="18">
        <v>4329000</v>
      </c>
      <c r="V10" s="18">
        <v>0</v>
      </c>
      <c r="W10" s="18">
        <v>-0.64870567232005194</v>
      </c>
      <c r="Y10" s="18">
        <v>2</v>
      </c>
      <c r="Z10" s="18">
        <v>14</v>
      </c>
      <c r="AA10" s="18">
        <v>0</v>
      </c>
      <c r="AB10" s="18">
        <v>6</v>
      </c>
      <c r="AC10" s="18">
        <v>0</v>
      </c>
      <c r="AD10" s="18">
        <v>0</v>
      </c>
      <c r="AE10" s="18">
        <v>0</v>
      </c>
      <c r="AF10" s="18">
        <v>0</v>
      </c>
      <c r="AG10" s="18">
        <v>31</v>
      </c>
      <c r="AH10" s="18">
        <v>31</v>
      </c>
      <c r="AI10" s="18">
        <v>26</v>
      </c>
      <c r="AJ10" s="18">
        <v>26</v>
      </c>
      <c r="AK10" s="18">
        <v>0</v>
      </c>
      <c r="AL10" s="18">
        <v>16</v>
      </c>
      <c r="AM10" s="18">
        <v>16</v>
      </c>
      <c r="AN10" s="18">
        <v>0</v>
      </c>
      <c r="AO10" s="18">
        <v>0</v>
      </c>
      <c r="AP10" s="18">
        <v>20</v>
      </c>
      <c r="AQ10" s="18">
        <v>20</v>
      </c>
      <c r="AR10" s="18">
        <v>0</v>
      </c>
      <c r="AS10" s="18">
        <v>70</v>
      </c>
      <c r="AT10" s="18">
        <v>3</v>
      </c>
      <c r="AU10" s="18">
        <v>0</v>
      </c>
      <c r="AV10" s="18">
        <v>8</v>
      </c>
      <c r="AW10" s="18">
        <v>0</v>
      </c>
      <c r="AX10" s="18">
        <v>1</v>
      </c>
      <c r="AY10" s="18">
        <v>350000</v>
      </c>
      <c r="AZ10" s="18">
        <v>23814538.449422691</v>
      </c>
      <c r="BA10" s="18">
        <v>35</v>
      </c>
    </row>
    <row r="11" spans="1:53">
      <c r="A11" s="16" t="s">
        <v>63</v>
      </c>
      <c r="B11" s="16" t="s">
        <v>66</v>
      </c>
      <c r="C11" s="13" t="s">
        <v>71</v>
      </c>
      <c r="D11" s="17" t="s">
        <v>68</v>
      </c>
      <c r="E11" s="18">
        <v>63</v>
      </c>
      <c r="F11" s="18">
        <v>42</v>
      </c>
      <c r="G11" s="18">
        <v>0.66666666666666663</v>
      </c>
      <c r="H11" s="18">
        <v>4</v>
      </c>
      <c r="I11" s="18">
        <v>8.6956521739130432E-2</v>
      </c>
      <c r="J11" s="18">
        <v>20</v>
      </c>
      <c r="K11" s="18">
        <v>0.31746031746031744</v>
      </c>
      <c r="L11" s="18">
        <v>14</v>
      </c>
      <c r="M11" s="18">
        <v>1</v>
      </c>
      <c r="N11" s="18">
        <v>0</v>
      </c>
      <c r="O11" s="18">
        <v>0</v>
      </c>
      <c r="P11" s="18">
        <v>40</v>
      </c>
      <c r="Q11" s="18">
        <v>8</v>
      </c>
      <c r="R11" s="18">
        <v>0</v>
      </c>
      <c r="T11" s="18">
        <v>14208000</v>
      </c>
      <c r="U11" s="18">
        <v>5568500</v>
      </c>
      <c r="V11" s="18">
        <v>0</v>
      </c>
      <c r="W11" s="18">
        <v>-0.60807291666666674</v>
      </c>
      <c r="Y11" s="18">
        <v>0</v>
      </c>
      <c r="Z11" s="18">
        <v>132</v>
      </c>
      <c r="AA11" s="18">
        <v>0</v>
      </c>
      <c r="AB11" s="18">
        <v>-1</v>
      </c>
      <c r="AC11" s="18">
        <v>0</v>
      </c>
      <c r="AD11" s="18">
        <v>0</v>
      </c>
      <c r="AE11" s="18">
        <v>0</v>
      </c>
      <c r="AF11" s="18">
        <v>0</v>
      </c>
      <c r="AG11" s="18">
        <v>36</v>
      </c>
      <c r="AH11" s="18">
        <v>36</v>
      </c>
      <c r="AI11" s="18">
        <v>12</v>
      </c>
      <c r="AJ11" s="18">
        <v>12</v>
      </c>
      <c r="AK11" s="18">
        <v>0</v>
      </c>
      <c r="AL11" s="18">
        <v>8</v>
      </c>
      <c r="AM11" s="18">
        <v>8</v>
      </c>
      <c r="AN11" s="18">
        <v>0</v>
      </c>
      <c r="AO11" s="18">
        <v>0</v>
      </c>
      <c r="AP11" s="18">
        <v>10</v>
      </c>
      <c r="AQ11" s="18">
        <v>10</v>
      </c>
      <c r="AR11" s="18">
        <v>0</v>
      </c>
      <c r="AS11" s="18">
        <v>303</v>
      </c>
      <c r="AT11" s="18">
        <v>1</v>
      </c>
      <c r="AU11" s="18">
        <v>0</v>
      </c>
      <c r="AV11" s="18">
        <v>11.717391304</v>
      </c>
      <c r="AW11" s="18">
        <v>0</v>
      </c>
      <c r="AX11" s="18">
        <v>1</v>
      </c>
      <c r="AY11" s="18">
        <v>100000</v>
      </c>
      <c r="AZ11" s="18">
        <v>29021535.488115862</v>
      </c>
      <c r="BA11" s="18">
        <v>42</v>
      </c>
    </row>
    <row r="12" spans="1:53">
      <c r="A12" s="16" t="s">
        <v>63</v>
      </c>
      <c r="B12" s="16" t="s">
        <v>66</v>
      </c>
      <c r="C12" s="13" t="s">
        <v>72</v>
      </c>
      <c r="D12" s="17" t="s">
        <v>68</v>
      </c>
      <c r="E12" s="18">
        <v>56</v>
      </c>
      <c r="F12" s="18">
        <v>43</v>
      </c>
      <c r="G12" s="18">
        <v>0.7678571428571429</v>
      </c>
      <c r="H12" s="18">
        <v>7</v>
      </c>
      <c r="I12" s="18">
        <v>0.14000000000000001</v>
      </c>
      <c r="J12" s="18">
        <v>21</v>
      </c>
      <c r="K12" s="18">
        <v>0.375</v>
      </c>
      <c r="L12" s="18">
        <v>19</v>
      </c>
      <c r="M12" s="18">
        <v>6</v>
      </c>
      <c r="N12" s="18">
        <v>0</v>
      </c>
      <c r="O12" s="18">
        <v>0</v>
      </c>
      <c r="P12" s="18">
        <v>35</v>
      </c>
      <c r="Q12" s="18">
        <v>2</v>
      </c>
      <c r="R12" s="18">
        <v>0</v>
      </c>
      <c r="T12" s="18">
        <v>47809750</v>
      </c>
      <c r="U12" s="18">
        <v>8753500</v>
      </c>
      <c r="V12" s="18">
        <v>0</v>
      </c>
      <c r="W12" s="18">
        <v>-0.8169097307557559</v>
      </c>
      <c r="Y12" s="18">
        <v>0</v>
      </c>
      <c r="Z12" s="18">
        <v>110</v>
      </c>
      <c r="AA12" s="18">
        <v>0</v>
      </c>
      <c r="AB12" s="18">
        <v>-1</v>
      </c>
      <c r="AC12" s="18">
        <v>0</v>
      </c>
      <c r="AD12" s="18">
        <v>0</v>
      </c>
      <c r="AE12" s="18">
        <v>0</v>
      </c>
      <c r="AF12" s="18">
        <v>0</v>
      </c>
      <c r="AG12" s="18">
        <v>41</v>
      </c>
      <c r="AH12" s="18">
        <v>41</v>
      </c>
      <c r="AI12" s="18">
        <v>28</v>
      </c>
      <c r="AJ12" s="18">
        <v>28</v>
      </c>
      <c r="AK12" s="18">
        <v>0</v>
      </c>
      <c r="AL12" s="18">
        <v>19</v>
      </c>
      <c r="AM12" s="18">
        <v>19</v>
      </c>
      <c r="AN12" s="18">
        <v>0</v>
      </c>
      <c r="AO12" s="18">
        <v>0</v>
      </c>
      <c r="AP12" s="18">
        <v>25</v>
      </c>
      <c r="AQ12" s="18">
        <v>25</v>
      </c>
      <c r="AR12" s="18">
        <v>0</v>
      </c>
      <c r="AS12" s="18">
        <v>143</v>
      </c>
      <c r="AT12" s="18">
        <v>7</v>
      </c>
      <c r="AU12" s="18">
        <v>0</v>
      </c>
      <c r="AV12" s="18">
        <v>12.078431373000001</v>
      </c>
      <c r="AW12" s="18">
        <v>0</v>
      </c>
      <c r="AX12" s="18">
        <v>2</v>
      </c>
      <c r="AY12" s="18">
        <v>400000</v>
      </c>
      <c r="AZ12" s="18">
        <v>42507522.583409846</v>
      </c>
      <c r="BA12" s="18">
        <v>43</v>
      </c>
    </row>
    <row r="13" spans="1:53">
      <c r="A13" s="16" t="s">
        <v>63</v>
      </c>
      <c r="B13" s="16" t="s">
        <v>73</v>
      </c>
      <c r="C13" s="13" t="s">
        <v>74</v>
      </c>
      <c r="D13" s="17" t="s">
        <v>75</v>
      </c>
      <c r="E13" s="18">
        <v>50</v>
      </c>
      <c r="F13" s="18">
        <v>18</v>
      </c>
      <c r="G13" s="18">
        <v>0.36</v>
      </c>
      <c r="H13" s="18">
        <v>8</v>
      </c>
      <c r="I13" s="18">
        <v>0.30769230769230771</v>
      </c>
      <c r="J13" s="18">
        <v>3</v>
      </c>
      <c r="K13" s="18">
        <v>0.06</v>
      </c>
      <c r="L13" s="18">
        <v>0</v>
      </c>
      <c r="M13" s="18">
        <v>3</v>
      </c>
      <c r="N13" s="18">
        <v>0</v>
      </c>
      <c r="O13" s="18">
        <v>0</v>
      </c>
      <c r="P13" s="18">
        <v>32</v>
      </c>
      <c r="Q13" s="18">
        <v>0</v>
      </c>
      <c r="R13" s="18">
        <v>0</v>
      </c>
      <c r="T13" s="18">
        <v>7552500</v>
      </c>
      <c r="U13" s="18">
        <v>5066400</v>
      </c>
      <c r="V13" s="18">
        <v>0</v>
      </c>
      <c r="W13" s="18">
        <v>-0.329175769612711</v>
      </c>
      <c r="Y13" s="18">
        <v>39</v>
      </c>
      <c r="Z13" s="18">
        <v>0</v>
      </c>
      <c r="AA13" s="18">
        <v>0</v>
      </c>
      <c r="AB13" s="18">
        <v>-1</v>
      </c>
      <c r="AC13" s="18">
        <v>0</v>
      </c>
      <c r="AD13" s="18">
        <v>0</v>
      </c>
      <c r="AE13" s="18">
        <v>0</v>
      </c>
      <c r="AF13" s="18">
        <v>0</v>
      </c>
      <c r="AG13" s="18">
        <v>18</v>
      </c>
      <c r="AH13" s="18">
        <v>18</v>
      </c>
      <c r="AI13" s="18">
        <v>5</v>
      </c>
      <c r="AJ13" s="18">
        <v>5</v>
      </c>
      <c r="AK13" s="18">
        <v>0</v>
      </c>
      <c r="AL13" s="18">
        <v>2</v>
      </c>
      <c r="AM13" s="18">
        <v>2</v>
      </c>
      <c r="AN13" s="18">
        <v>0</v>
      </c>
      <c r="AO13" s="18">
        <v>0</v>
      </c>
      <c r="AP13" s="18">
        <v>3</v>
      </c>
      <c r="AQ13" s="18">
        <v>3</v>
      </c>
      <c r="AR13" s="18">
        <v>0</v>
      </c>
      <c r="AS13" s="18">
        <v>0</v>
      </c>
      <c r="AT13" s="18">
        <v>3</v>
      </c>
      <c r="AU13" s="18">
        <v>0</v>
      </c>
      <c r="AV13" s="18">
        <v>28.7</v>
      </c>
      <c r="AW13" s="18">
        <v>0</v>
      </c>
      <c r="AX13" s="18">
        <v>0</v>
      </c>
      <c r="AY13" s="18">
        <v>0</v>
      </c>
      <c r="AZ13" s="18">
        <v>15521416.491985671</v>
      </c>
      <c r="BA13" s="18">
        <v>18</v>
      </c>
    </row>
    <row r="14" spans="1:53">
      <c r="A14" s="16" t="s">
        <v>63</v>
      </c>
      <c r="B14" s="16" t="s">
        <v>73</v>
      </c>
      <c r="C14" s="13" t="s">
        <v>76</v>
      </c>
      <c r="D14" s="17" t="s">
        <v>75</v>
      </c>
      <c r="E14" s="18">
        <v>48</v>
      </c>
      <c r="F14" s="18">
        <v>17</v>
      </c>
      <c r="G14" s="18">
        <v>0.35416666666666669</v>
      </c>
      <c r="H14" s="18">
        <v>3</v>
      </c>
      <c r="I14" s="18">
        <v>0.15</v>
      </c>
      <c r="J14" s="18">
        <v>7</v>
      </c>
      <c r="K14" s="18">
        <v>0.14583333333333334</v>
      </c>
      <c r="L14" s="18">
        <v>4</v>
      </c>
      <c r="M14" s="18">
        <v>2</v>
      </c>
      <c r="N14" s="18">
        <v>0</v>
      </c>
      <c r="O14" s="18">
        <v>0</v>
      </c>
      <c r="P14" s="18">
        <v>19</v>
      </c>
      <c r="Q14" s="18">
        <v>0</v>
      </c>
      <c r="R14" s="18">
        <v>0</v>
      </c>
      <c r="T14" s="18">
        <v>20634000</v>
      </c>
      <c r="U14" s="18">
        <v>8006900</v>
      </c>
      <c r="V14" s="18">
        <v>0</v>
      </c>
      <c r="W14" s="18">
        <v>-0.61195599495977515</v>
      </c>
      <c r="Y14" s="18">
        <v>41</v>
      </c>
      <c r="Z14" s="18">
        <v>4</v>
      </c>
      <c r="AA14" s="18">
        <v>0</v>
      </c>
      <c r="AB14" s="18">
        <v>-0.90243902439024393</v>
      </c>
      <c r="AC14" s="18">
        <v>0</v>
      </c>
      <c r="AD14" s="18">
        <v>0</v>
      </c>
      <c r="AE14" s="18">
        <v>0</v>
      </c>
      <c r="AF14" s="18">
        <v>0</v>
      </c>
      <c r="AG14" s="18">
        <v>16</v>
      </c>
      <c r="AH14" s="18">
        <v>16</v>
      </c>
      <c r="AI14" s="18">
        <v>44</v>
      </c>
      <c r="AJ14" s="18">
        <v>44</v>
      </c>
      <c r="AK14" s="18">
        <v>0</v>
      </c>
      <c r="AL14" s="18">
        <v>29</v>
      </c>
      <c r="AM14" s="18">
        <v>29</v>
      </c>
      <c r="AN14" s="18">
        <v>0</v>
      </c>
      <c r="AO14" s="18">
        <v>0</v>
      </c>
      <c r="AP14" s="18">
        <v>31</v>
      </c>
      <c r="AQ14" s="18">
        <v>31</v>
      </c>
      <c r="AR14" s="18">
        <v>0</v>
      </c>
      <c r="AS14" s="18">
        <v>8</v>
      </c>
      <c r="AT14" s="18">
        <v>5</v>
      </c>
      <c r="AU14" s="18">
        <v>0</v>
      </c>
      <c r="AV14" s="18">
        <v>23.032258065000001</v>
      </c>
      <c r="AW14" s="18">
        <v>0</v>
      </c>
      <c r="AX14" s="18">
        <v>0</v>
      </c>
      <c r="AY14" s="18">
        <v>0</v>
      </c>
      <c r="AZ14" s="18">
        <v>33983731.168369323</v>
      </c>
      <c r="BA14" s="18">
        <v>17</v>
      </c>
    </row>
    <row r="15" spans="1:53">
      <c r="A15" s="16" t="s">
        <v>63</v>
      </c>
      <c r="B15" s="16" t="s">
        <v>73</v>
      </c>
      <c r="C15" s="13" t="s">
        <v>77</v>
      </c>
      <c r="D15" s="17" t="s">
        <v>78</v>
      </c>
      <c r="E15" s="18">
        <v>49</v>
      </c>
      <c r="F15" s="18">
        <v>37</v>
      </c>
      <c r="G15" s="18">
        <v>0.75510204081632648</v>
      </c>
      <c r="H15" s="18">
        <v>0</v>
      </c>
      <c r="I15" s="18">
        <v>0</v>
      </c>
      <c r="J15" s="18">
        <v>23</v>
      </c>
      <c r="K15" s="18">
        <v>0.46938775510204084</v>
      </c>
      <c r="L15" s="18">
        <v>3</v>
      </c>
      <c r="M15" s="18">
        <v>3</v>
      </c>
      <c r="N15" s="18">
        <v>0</v>
      </c>
      <c r="O15" s="18">
        <v>0</v>
      </c>
      <c r="P15" s="18">
        <v>17</v>
      </c>
      <c r="Q15" s="18">
        <v>0</v>
      </c>
      <c r="R15" s="18">
        <v>0</v>
      </c>
      <c r="T15" s="18">
        <v>10172000</v>
      </c>
      <c r="U15" s="18">
        <v>8242500</v>
      </c>
      <c r="V15" s="18">
        <v>0</v>
      </c>
      <c r="W15" s="18">
        <v>-0.18968737711364525</v>
      </c>
      <c r="Y15" s="18">
        <v>68</v>
      </c>
      <c r="Z15" s="18">
        <v>19</v>
      </c>
      <c r="AA15" s="18">
        <v>0</v>
      </c>
      <c r="AB15" s="18">
        <v>-0.72058823529411764</v>
      </c>
      <c r="AC15" s="18">
        <v>0</v>
      </c>
      <c r="AD15" s="18">
        <v>0</v>
      </c>
      <c r="AE15" s="18">
        <v>9</v>
      </c>
      <c r="AF15" s="18">
        <v>0</v>
      </c>
      <c r="AG15" s="18">
        <v>32</v>
      </c>
      <c r="AH15" s="18">
        <v>32</v>
      </c>
      <c r="AI15" s="18">
        <v>26</v>
      </c>
      <c r="AJ15" s="18">
        <v>25</v>
      </c>
      <c r="AK15" s="18">
        <v>1</v>
      </c>
      <c r="AL15" s="18">
        <v>15</v>
      </c>
      <c r="AM15" s="18">
        <v>15</v>
      </c>
      <c r="AN15" s="18">
        <v>0</v>
      </c>
      <c r="AO15" s="18">
        <v>0</v>
      </c>
      <c r="AP15" s="18">
        <v>16</v>
      </c>
      <c r="AQ15" s="18">
        <v>16</v>
      </c>
      <c r="AR15" s="18">
        <v>0</v>
      </c>
      <c r="AS15" s="18">
        <v>41</v>
      </c>
      <c r="AT15" s="18">
        <v>4</v>
      </c>
      <c r="AU15" s="18">
        <v>0</v>
      </c>
      <c r="AV15" s="18">
        <v>22.196078431</v>
      </c>
      <c r="AW15" s="18">
        <v>0</v>
      </c>
      <c r="AX15" s="18">
        <v>1</v>
      </c>
      <c r="AY15" s="18">
        <v>300000</v>
      </c>
      <c r="AZ15" s="18">
        <v>27717464.974208351</v>
      </c>
      <c r="BA15" s="18">
        <v>37</v>
      </c>
    </row>
    <row r="16" spans="1:53">
      <c r="A16" s="16" t="s">
        <v>63</v>
      </c>
      <c r="B16" s="16" t="s">
        <v>73</v>
      </c>
      <c r="C16" s="13" t="s">
        <v>79</v>
      </c>
      <c r="D16" s="17" t="s">
        <v>78</v>
      </c>
      <c r="E16" s="18">
        <v>43</v>
      </c>
      <c r="F16" s="18">
        <v>20</v>
      </c>
      <c r="G16" s="18">
        <v>0.46511627906976744</v>
      </c>
      <c r="H16" s="18">
        <v>3</v>
      </c>
      <c r="I16" s="18">
        <v>0.13043478260869565</v>
      </c>
      <c r="J16" s="18">
        <v>13</v>
      </c>
      <c r="K16" s="18">
        <v>0.30232558139534882</v>
      </c>
      <c r="L16" s="18">
        <v>5</v>
      </c>
      <c r="M16" s="18">
        <v>4</v>
      </c>
      <c r="N16" s="18">
        <v>0</v>
      </c>
      <c r="O16" s="18">
        <v>0</v>
      </c>
      <c r="P16" s="18">
        <v>23</v>
      </c>
      <c r="Q16" s="18">
        <v>3</v>
      </c>
      <c r="R16" s="18">
        <v>4</v>
      </c>
      <c r="T16" s="18">
        <v>11276500</v>
      </c>
      <c r="U16" s="18">
        <v>1829000</v>
      </c>
      <c r="V16" s="18">
        <v>0</v>
      </c>
      <c r="W16" s="18">
        <v>-0.83780428324391432</v>
      </c>
      <c r="Y16" s="18">
        <v>51</v>
      </c>
      <c r="Z16" s="18">
        <v>3</v>
      </c>
      <c r="AA16" s="18">
        <v>0</v>
      </c>
      <c r="AB16" s="18">
        <v>-0.94117647058823528</v>
      </c>
      <c r="AC16" s="18">
        <v>0</v>
      </c>
      <c r="AD16" s="18">
        <v>0</v>
      </c>
      <c r="AE16" s="18">
        <v>0</v>
      </c>
      <c r="AF16" s="18">
        <v>0</v>
      </c>
      <c r="AG16" s="18">
        <v>17</v>
      </c>
      <c r="AH16" s="18">
        <v>17</v>
      </c>
      <c r="AI16" s="18">
        <v>20</v>
      </c>
      <c r="AJ16" s="18">
        <v>20</v>
      </c>
      <c r="AK16" s="18">
        <v>0</v>
      </c>
      <c r="AL16" s="18">
        <v>12</v>
      </c>
      <c r="AM16" s="18">
        <v>12</v>
      </c>
      <c r="AN16" s="18">
        <v>0</v>
      </c>
      <c r="AO16" s="18">
        <v>0</v>
      </c>
      <c r="AP16" s="18">
        <v>15</v>
      </c>
      <c r="AQ16" s="18">
        <v>15</v>
      </c>
      <c r="AR16" s="18">
        <v>0</v>
      </c>
      <c r="AS16" s="18">
        <v>11</v>
      </c>
      <c r="AT16" s="18">
        <v>4</v>
      </c>
      <c r="AU16" s="18">
        <v>0</v>
      </c>
      <c r="AV16" s="18">
        <v>43</v>
      </c>
      <c r="AW16" s="18">
        <v>0</v>
      </c>
      <c r="AX16" s="18">
        <v>1</v>
      </c>
      <c r="AY16" s="18">
        <v>25000</v>
      </c>
      <c r="AZ16" s="18">
        <v>19221972.570128288</v>
      </c>
      <c r="BA16" s="18">
        <v>20</v>
      </c>
    </row>
    <row r="17" spans="1:53">
      <c r="A17" s="16" t="s">
        <v>63</v>
      </c>
      <c r="B17" s="16" t="s">
        <v>73</v>
      </c>
      <c r="C17" s="13" t="s">
        <v>80</v>
      </c>
      <c r="D17" s="17" t="s">
        <v>78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8">
        <v>0</v>
      </c>
      <c r="K17" s="18">
        <v>0</v>
      </c>
      <c r="L17" s="18">
        <v>0</v>
      </c>
      <c r="M17" s="18">
        <v>0</v>
      </c>
      <c r="N17" s="18">
        <v>0</v>
      </c>
      <c r="O17" s="18">
        <v>0</v>
      </c>
      <c r="P17" s="18">
        <v>1</v>
      </c>
      <c r="Q17" s="18">
        <v>0</v>
      </c>
      <c r="R17" s="18">
        <v>0</v>
      </c>
      <c r="T17" s="18">
        <v>0</v>
      </c>
      <c r="U17" s="18">
        <v>54000</v>
      </c>
      <c r="V17" s="18">
        <v>0</v>
      </c>
      <c r="W17" s="18">
        <v>-1</v>
      </c>
      <c r="Y17" s="18">
        <v>0</v>
      </c>
      <c r="Z17" s="18">
        <v>0</v>
      </c>
      <c r="AA17" s="18">
        <v>0</v>
      </c>
      <c r="AB17" s="18">
        <v>-1</v>
      </c>
      <c r="AC17" s="18">
        <v>0</v>
      </c>
      <c r="AD17" s="18">
        <v>0</v>
      </c>
      <c r="AE17" s="18">
        <v>0</v>
      </c>
      <c r="AF17" s="18">
        <v>0</v>
      </c>
      <c r="AG17" s="18">
        <v>1</v>
      </c>
      <c r="AH17" s="18">
        <v>1</v>
      </c>
      <c r="AI17" s="18">
        <v>0</v>
      </c>
      <c r="AJ17" s="18">
        <v>0</v>
      </c>
      <c r="AK17" s="18">
        <v>0</v>
      </c>
      <c r="AL17" s="18">
        <v>0</v>
      </c>
      <c r="AM17" s="18">
        <v>0</v>
      </c>
      <c r="AN17" s="18">
        <v>0</v>
      </c>
      <c r="AO17" s="18">
        <v>0</v>
      </c>
      <c r="AP17" s="18">
        <v>0</v>
      </c>
      <c r="AQ17" s="18">
        <v>0</v>
      </c>
      <c r="AR17" s="18">
        <v>0</v>
      </c>
      <c r="AS17" s="18">
        <v>0</v>
      </c>
      <c r="AT17" s="18">
        <v>0</v>
      </c>
      <c r="AU17" s="18">
        <v>0</v>
      </c>
      <c r="AV17" s="18">
        <v>0</v>
      </c>
      <c r="AW17" s="18">
        <v>0</v>
      </c>
      <c r="AX17" s="18">
        <v>0</v>
      </c>
      <c r="AY17" s="18">
        <v>0</v>
      </c>
      <c r="AZ17" s="18">
        <v>99250</v>
      </c>
      <c r="BA17" s="18">
        <v>0</v>
      </c>
    </row>
    <row r="18" spans="1:53">
      <c r="A18" s="16" t="s">
        <v>63</v>
      </c>
      <c r="B18" s="16" t="s">
        <v>73</v>
      </c>
      <c r="C18" s="13" t="s">
        <v>81</v>
      </c>
      <c r="D18" s="17" t="s">
        <v>82</v>
      </c>
      <c r="E18" s="18">
        <v>39</v>
      </c>
      <c r="F18" s="18">
        <v>32</v>
      </c>
      <c r="G18" s="18">
        <v>0.82051282051282048</v>
      </c>
      <c r="H18" s="18">
        <v>2</v>
      </c>
      <c r="I18" s="18">
        <v>5.8823529411764705E-2</v>
      </c>
      <c r="J18" s="18">
        <v>19</v>
      </c>
      <c r="K18" s="18">
        <v>0.48717948717948717</v>
      </c>
      <c r="L18" s="18">
        <v>5</v>
      </c>
      <c r="M18" s="18">
        <v>3</v>
      </c>
      <c r="N18" s="18">
        <v>0</v>
      </c>
      <c r="O18" s="18">
        <v>0</v>
      </c>
      <c r="P18" s="18">
        <v>23</v>
      </c>
      <c r="Q18" s="18">
        <v>0</v>
      </c>
      <c r="R18" s="18">
        <v>0</v>
      </c>
      <c r="T18" s="18">
        <v>33476000</v>
      </c>
      <c r="U18" s="18">
        <v>15293900</v>
      </c>
      <c r="V18" s="18">
        <v>0</v>
      </c>
      <c r="W18" s="18">
        <v>-0.54313836778587643</v>
      </c>
      <c r="Y18" s="18">
        <v>95</v>
      </c>
      <c r="Z18" s="18">
        <v>12</v>
      </c>
      <c r="AA18" s="18">
        <v>0</v>
      </c>
      <c r="AB18" s="18">
        <v>-0.87368421052631584</v>
      </c>
      <c r="AC18" s="18">
        <v>0</v>
      </c>
      <c r="AD18" s="18">
        <v>0</v>
      </c>
      <c r="AE18" s="18">
        <v>0</v>
      </c>
      <c r="AF18" s="18">
        <v>0</v>
      </c>
      <c r="AG18" s="18">
        <v>32</v>
      </c>
      <c r="AH18" s="18">
        <v>32</v>
      </c>
      <c r="AI18" s="18">
        <v>20</v>
      </c>
      <c r="AJ18" s="18">
        <v>20</v>
      </c>
      <c r="AK18" s="18">
        <v>0</v>
      </c>
      <c r="AL18" s="18">
        <v>11</v>
      </c>
      <c r="AM18" s="18">
        <v>11</v>
      </c>
      <c r="AN18" s="18">
        <v>0</v>
      </c>
      <c r="AO18" s="18">
        <v>0</v>
      </c>
      <c r="AP18" s="18">
        <v>13</v>
      </c>
      <c r="AQ18" s="18">
        <v>13</v>
      </c>
      <c r="AR18" s="18">
        <v>0</v>
      </c>
      <c r="AS18" s="18">
        <v>36</v>
      </c>
      <c r="AT18" s="18">
        <v>3</v>
      </c>
      <c r="AU18" s="18">
        <v>0</v>
      </c>
      <c r="AV18" s="18">
        <v>7.4285714289999998</v>
      </c>
      <c r="AW18" s="18">
        <v>0</v>
      </c>
      <c r="AX18" s="18">
        <v>0</v>
      </c>
      <c r="AY18" s="18">
        <v>0</v>
      </c>
      <c r="AZ18" s="18">
        <v>21985828.668709639</v>
      </c>
      <c r="BA18" s="18">
        <v>32</v>
      </c>
    </row>
    <row r="19" spans="1:53">
      <c r="A19" s="16" t="s">
        <v>63</v>
      </c>
      <c r="B19" s="16" t="s">
        <v>73</v>
      </c>
      <c r="C19" s="13" t="s">
        <v>83</v>
      </c>
      <c r="D19" s="17" t="s">
        <v>82</v>
      </c>
      <c r="E19" s="18">
        <v>63</v>
      </c>
      <c r="F19" s="18">
        <v>35</v>
      </c>
      <c r="G19" s="18">
        <v>0.55555555555555558</v>
      </c>
      <c r="H19" s="18">
        <v>0</v>
      </c>
      <c r="I19" s="18">
        <v>0</v>
      </c>
      <c r="J19" s="18">
        <v>9</v>
      </c>
      <c r="K19" s="18">
        <v>0.14285714285714285</v>
      </c>
      <c r="L19" s="18">
        <v>2</v>
      </c>
      <c r="M19" s="18">
        <v>6</v>
      </c>
      <c r="N19" s="18">
        <v>0</v>
      </c>
      <c r="O19" s="18">
        <v>0</v>
      </c>
      <c r="P19" s="18">
        <v>52</v>
      </c>
      <c r="Q19" s="18">
        <v>3</v>
      </c>
      <c r="R19" s="18">
        <v>2</v>
      </c>
      <c r="T19" s="18">
        <v>72496500</v>
      </c>
      <c r="U19" s="18">
        <v>100731800</v>
      </c>
      <c r="V19" s="18">
        <v>0</v>
      </c>
      <c r="W19" s="18">
        <v>0.38947121585179967</v>
      </c>
      <c r="Y19" s="18">
        <v>228</v>
      </c>
      <c r="Z19" s="18">
        <v>10</v>
      </c>
      <c r="AA19" s="18">
        <v>0</v>
      </c>
      <c r="AB19" s="18">
        <v>-0.95614035087719296</v>
      </c>
      <c r="AC19" s="18">
        <v>0</v>
      </c>
      <c r="AD19" s="18">
        <v>0</v>
      </c>
      <c r="AE19" s="18">
        <v>0</v>
      </c>
      <c r="AF19" s="18">
        <v>0</v>
      </c>
      <c r="AG19" s="18">
        <v>30</v>
      </c>
      <c r="AH19" s="18">
        <v>30</v>
      </c>
      <c r="AI19" s="18">
        <v>42</v>
      </c>
      <c r="AJ19" s="18">
        <v>41</v>
      </c>
      <c r="AK19" s="18">
        <v>1</v>
      </c>
      <c r="AL19" s="18">
        <v>22</v>
      </c>
      <c r="AM19" s="18">
        <v>22</v>
      </c>
      <c r="AN19" s="18">
        <v>0</v>
      </c>
      <c r="AO19" s="18">
        <v>0</v>
      </c>
      <c r="AP19" s="18">
        <v>29</v>
      </c>
      <c r="AQ19" s="18">
        <v>29</v>
      </c>
      <c r="AR19" s="18">
        <v>0</v>
      </c>
      <c r="AS19" s="18">
        <v>14</v>
      </c>
      <c r="AT19" s="18">
        <v>14</v>
      </c>
      <c r="AU19" s="18">
        <v>0</v>
      </c>
      <c r="AV19" s="18">
        <v>20.3125</v>
      </c>
      <c r="AW19" s="18">
        <v>0</v>
      </c>
      <c r="AX19" s="18">
        <v>2</v>
      </c>
      <c r="AY19" s="18">
        <v>300000</v>
      </c>
      <c r="AZ19" s="18">
        <v>28330148.378621832</v>
      </c>
      <c r="BA19" s="18">
        <v>35</v>
      </c>
    </row>
    <row r="20" spans="1:53">
      <c r="A20" s="16" t="s">
        <v>63</v>
      </c>
      <c r="B20" s="16" t="s">
        <v>84</v>
      </c>
      <c r="C20" s="13" t="s">
        <v>85</v>
      </c>
      <c r="D20" s="17" t="s">
        <v>86</v>
      </c>
      <c r="E20" s="18">
        <v>48</v>
      </c>
      <c r="F20" s="18">
        <v>40</v>
      </c>
      <c r="G20" s="18">
        <v>0.83333333333333337</v>
      </c>
      <c r="H20" s="18">
        <v>5</v>
      </c>
      <c r="I20" s="18">
        <v>0.1111111111111111</v>
      </c>
      <c r="J20" s="18">
        <v>23</v>
      </c>
      <c r="K20" s="18">
        <v>0.47916666666666669</v>
      </c>
      <c r="L20" s="18">
        <v>2</v>
      </c>
      <c r="M20" s="18">
        <v>1</v>
      </c>
      <c r="N20" s="18">
        <v>0</v>
      </c>
      <c r="O20" s="18">
        <v>0</v>
      </c>
      <c r="P20" s="18">
        <v>26</v>
      </c>
      <c r="Q20" s="18">
        <v>0</v>
      </c>
      <c r="R20" s="18">
        <v>0</v>
      </c>
      <c r="T20" s="18">
        <v>11993750</v>
      </c>
      <c r="U20" s="18">
        <v>5192000</v>
      </c>
      <c r="V20" s="18">
        <v>0</v>
      </c>
      <c r="W20" s="18">
        <v>-0.56710786868160501</v>
      </c>
      <c r="Y20" s="18">
        <v>67</v>
      </c>
      <c r="Z20" s="18">
        <v>22</v>
      </c>
      <c r="AA20" s="18">
        <v>0</v>
      </c>
      <c r="AB20" s="18">
        <v>-0.67164179104477606</v>
      </c>
      <c r="AC20" s="18">
        <v>0</v>
      </c>
      <c r="AD20" s="18">
        <v>0</v>
      </c>
      <c r="AE20" s="18">
        <v>7</v>
      </c>
      <c r="AF20" s="18">
        <v>0</v>
      </c>
      <c r="AG20" s="18">
        <v>34</v>
      </c>
      <c r="AH20" s="18">
        <v>34</v>
      </c>
      <c r="AI20" s="18">
        <v>19</v>
      </c>
      <c r="AJ20" s="18">
        <v>19</v>
      </c>
      <c r="AK20" s="18">
        <v>0</v>
      </c>
      <c r="AL20" s="18">
        <v>9</v>
      </c>
      <c r="AM20" s="18">
        <v>9</v>
      </c>
      <c r="AN20" s="18">
        <v>0</v>
      </c>
      <c r="AO20" s="18">
        <v>0</v>
      </c>
      <c r="AP20" s="18">
        <v>12</v>
      </c>
      <c r="AQ20" s="18">
        <v>12</v>
      </c>
      <c r="AR20" s="18">
        <v>0</v>
      </c>
      <c r="AS20" s="18">
        <v>3</v>
      </c>
      <c r="AT20" s="18">
        <v>1</v>
      </c>
      <c r="AU20" s="18">
        <v>0</v>
      </c>
      <c r="AV20" s="18">
        <v>10.729166666999999</v>
      </c>
      <c r="AW20" s="18">
        <v>0</v>
      </c>
      <c r="AX20" s="18">
        <v>1</v>
      </c>
      <c r="AY20" s="18">
        <v>150000</v>
      </c>
      <c r="AZ20" s="18">
        <v>19884551.466284662</v>
      </c>
      <c r="BA20" s="18">
        <v>40</v>
      </c>
    </row>
    <row r="21" spans="1:53">
      <c r="A21" s="16" t="s">
        <v>63</v>
      </c>
      <c r="B21" s="16" t="s">
        <v>84</v>
      </c>
      <c r="C21" s="13" t="s">
        <v>87</v>
      </c>
      <c r="D21" s="17" t="s">
        <v>86</v>
      </c>
      <c r="E21" s="18">
        <v>53</v>
      </c>
      <c r="F21" s="18">
        <v>44</v>
      </c>
      <c r="G21" s="18">
        <v>0.83018867924528306</v>
      </c>
      <c r="H21" s="18">
        <v>1</v>
      </c>
      <c r="I21" s="18">
        <v>2.2222222222222223E-2</v>
      </c>
      <c r="J21" s="18">
        <v>21</v>
      </c>
      <c r="K21" s="18">
        <v>0.39622641509433965</v>
      </c>
      <c r="L21" s="18">
        <v>5</v>
      </c>
      <c r="M21" s="18">
        <v>6</v>
      </c>
      <c r="N21" s="18">
        <v>0</v>
      </c>
      <c r="O21" s="18">
        <v>0</v>
      </c>
      <c r="P21" s="18">
        <v>29</v>
      </c>
      <c r="Q21" s="18">
        <v>1</v>
      </c>
      <c r="R21" s="18">
        <v>1</v>
      </c>
      <c r="T21" s="18">
        <v>9578500</v>
      </c>
      <c r="U21" s="18">
        <v>4524100</v>
      </c>
      <c r="V21" s="18">
        <v>0</v>
      </c>
      <c r="W21" s="18">
        <v>-0.52768178733622173</v>
      </c>
      <c r="Y21" s="18">
        <v>7</v>
      </c>
      <c r="Z21" s="18">
        <v>8</v>
      </c>
      <c r="AA21" s="18">
        <v>0</v>
      </c>
      <c r="AB21" s="18">
        <v>0.14285714285714279</v>
      </c>
      <c r="AC21" s="18">
        <v>0</v>
      </c>
      <c r="AD21" s="18">
        <v>0</v>
      </c>
      <c r="AE21" s="18">
        <v>0</v>
      </c>
      <c r="AF21" s="18">
        <v>0</v>
      </c>
      <c r="AG21" s="18">
        <v>37</v>
      </c>
      <c r="AH21" s="18">
        <v>37</v>
      </c>
      <c r="AI21" s="18">
        <v>31</v>
      </c>
      <c r="AJ21" s="18">
        <v>31</v>
      </c>
      <c r="AK21" s="18">
        <v>0</v>
      </c>
      <c r="AL21" s="18">
        <v>13</v>
      </c>
      <c r="AM21" s="18">
        <v>13</v>
      </c>
      <c r="AN21" s="18">
        <v>0</v>
      </c>
      <c r="AO21" s="18">
        <v>0</v>
      </c>
      <c r="AP21" s="18">
        <v>19</v>
      </c>
      <c r="AQ21" s="18">
        <v>19</v>
      </c>
      <c r="AR21" s="18">
        <v>0</v>
      </c>
      <c r="AS21" s="18">
        <v>20</v>
      </c>
      <c r="AT21" s="18">
        <v>8</v>
      </c>
      <c r="AU21" s="18">
        <v>0</v>
      </c>
      <c r="AV21" s="18">
        <v>9.4791666669999994</v>
      </c>
      <c r="AW21" s="18">
        <v>0</v>
      </c>
      <c r="AX21" s="18">
        <v>0</v>
      </c>
      <c r="AY21" s="18">
        <v>0</v>
      </c>
      <c r="AZ21" s="18">
        <v>15773891.221654708</v>
      </c>
      <c r="BA21" s="18">
        <v>44</v>
      </c>
    </row>
    <row r="22" spans="1:53">
      <c r="A22" s="16" t="s">
        <v>63</v>
      </c>
      <c r="B22" s="16" t="s">
        <v>84</v>
      </c>
      <c r="C22" s="13" t="s">
        <v>88</v>
      </c>
      <c r="D22" s="17" t="s">
        <v>86</v>
      </c>
      <c r="E22" s="18">
        <v>48</v>
      </c>
      <c r="F22" s="18">
        <v>42</v>
      </c>
      <c r="G22" s="18">
        <v>0.875</v>
      </c>
      <c r="H22" s="18">
        <v>7</v>
      </c>
      <c r="I22" s="18">
        <v>0.14285714285714285</v>
      </c>
      <c r="J22" s="18">
        <v>17</v>
      </c>
      <c r="K22" s="18">
        <v>0.35416666666666669</v>
      </c>
      <c r="L22" s="18">
        <v>19</v>
      </c>
      <c r="M22" s="18">
        <v>0</v>
      </c>
      <c r="N22" s="18">
        <v>0</v>
      </c>
      <c r="O22" s="18">
        <v>0</v>
      </c>
      <c r="P22" s="18">
        <v>29</v>
      </c>
      <c r="Q22" s="18">
        <v>6</v>
      </c>
      <c r="R22" s="18">
        <v>1</v>
      </c>
      <c r="T22" s="18">
        <v>8685000</v>
      </c>
      <c r="U22" s="18">
        <v>6911000</v>
      </c>
      <c r="V22" s="18">
        <v>0</v>
      </c>
      <c r="W22" s="18">
        <v>-0.20426021876799083</v>
      </c>
      <c r="Y22" s="18">
        <v>3</v>
      </c>
      <c r="Z22" s="18">
        <v>64</v>
      </c>
      <c r="AA22" s="18">
        <v>0</v>
      </c>
      <c r="AB22" s="18">
        <v>20.333333333333332</v>
      </c>
      <c r="AC22" s="18">
        <v>0</v>
      </c>
      <c r="AD22" s="18">
        <v>0</v>
      </c>
      <c r="AE22" s="18">
        <v>0</v>
      </c>
      <c r="AF22" s="18">
        <v>0</v>
      </c>
      <c r="AG22" s="18">
        <v>42</v>
      </c>
      <c r="AH22" s="18">
        <v>42</v>
      </c>
      <c r="AI22" s="18">
        <v>23</v>
      </c>
      <c r="AJ22" s="18">
        <v>23</v>
      </c>
      <c r="AK22" s="18">
        <v>0</v>
      </c>
      <c r="AL22" s="18">
        <v>15</v>
      </c>
      <c r="AM22" s="18">
        <v>15</v>
      </c>
      <c r="AN22" s="18">
        <v>0</v>
      </c>
      <c r="AO22" s="18">
        <v>0</v>
      </c>
      <c r="AP22" s="18">
        <v>19</v>
      </c>
      <c r="AQ22" s="18">
        <v>19</v>
      </c>
      <c r="AR22" s="18">
        <v>0</v>
      </c>
      <c r="AS22" s="18">
        <v>73</v>
      </c>
      <c r="AT22" s="18">
        <v>0</v>
      </c>
      <c r="AU22" s="18">
        <v>0</v>
      </c>
      <c r="AV22" s="18">
        <v>21.611111111</v>
      </c>
      <c r="AW22" s="18">
        <v>0</v>
      </c>
      <c r="AX22" s="18">
        <v>0</v>
      </c>
      <c r="AY22" s="18">
        <v>0</v>
      </c>
      <c r="AZ22" s="18">
        <v>22399021.778644077</v>
      </c>
      <c r="BA22" s="18">
        <v>42</v>
      </c>
    </row>
    <row r="23" spans="1:53">
      <c r="A23" s="16" t="s">
        <v>63</v>
      </c>
      <c r="B23" s="16" t="s">
        <v>84</v>
      </c>
      <c r="C23" s="13" t="s">
        <v>89</v>
      </c>
      <c r="D23" s="17" t="s">
        <v>86</v>
      </c>
      <c r="E23" s="18">
        <v>49</v>
      </c>
      <c r="F23" s="18">
        <v>46</v>
      </c>
      <c r="G23" s="18">
        <v>0.93877551020408168</v>
      </c>
      <c r="H23" s="18">
        <v>0</v>
      </c>
      <c r="I23" s="18">
        <v>0</v>
      </c>
      <c r="J23" s="18">
        <v>28</v>
      </c>
      <c r="K23" s="18">
        <v>0.5714285714285714</v>
      </c>
      <c r="L23" s="18">
        <v>5</v>
      </c>
      <c r="M23" s="18">
        <v>2</v>
      </c>
      <c r="N23" s="18">
        <v>0</v>
      </c>
      <c r="O23" s="18">
        <v>0</v>
      </c>
      <c r="P23" s="18">
        <v>22</v>
      </c>
      <c r="Q23" s="18">
        <v>0</v>
      </c>
      <c r="R23" s="18">
        <v>0</v>
      </c>
      <c r="T23" s="18">
        <v>11519500</v>
      </c>
      <c r="U23" s="18">
        <v>12061250</v>
      </c>
      <c r="V23" s="18">
        <v>0</v>
      </c>
      <c r="W23" s="18">
        <v>4.7028950909327571E-2</v>
      </c>
      <c r="Y23" s="18">
        <v>30</v>
      </c>
      <c r="Z23" s="18">
        <v>6</v>
      </c>
      <c r="AA23" s="18">
        <v>0</v>
      </c>
      <c r="AB23" s="18">
        <v>-0.8</v>
      </c>
      <c r="AC23" s="18">
        <v>0</v>
      </c>
      <c r="AD23" s="18">
        <v>0</v>
      </c>
      <c r="AE23" s="18">
        <v>0</v>
      </c>
      <c r="AF23" s="18">
        <v>0</v>
      </c>
      <c r="AG23" s="18">
        <v>35</v>
      </c>
      <c r="AH23" s="18">
        <v>35</v>
      </c>
      <c r="AI23" s="18">
        <v>11</v>
      </c>
      <c r="AJ23" s="18">
        <v>10</v>
      </c>
      <c r="AK23" s="18">
        <v>1</v>
      </c>
      <c r="AL23" s="18">
        <v>2</v>
      </c>
      <c r="AM23" s="18">
        <v>2</v>
      </c>
      <c r="AN23" s="18">
        <v>0</v>
      </c>
      <c r="AO23" s="18">
        <v>0</v>
      </c>
      <c r="AP23" s="18">
        <v>5</v>
      </c>
      <c r="AQ23" s="18">
        <v>5</v>
      </c>
      <c r="AR23" s="18">
        <v>0</v>
      </c>
      <c r="AS23" s="18">
        <v>7</v>
      </c>
      <c r="AT23" s="18">
        <v>5</v>
      </c>
      <c r="AU23" s="18">
        <v>0</v>
      </c>
      <c r="AV23" s="18">
        <v>7.4042553189999998</v>
      </c>
      <c r="AW23" s="18">
        <v>0</v>
      </c>
      <c r="AX23" s="18">
        <v>0</v>
      </c>
      <c r="AY23" s="18">
        <v>0</v>
      </c>
      <c r="AZ23" s="18">
        <v>23069031.69257547</v>
      </c>
      <c r="BA23" s="18">
        <v>46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2026-09-27T12:39:40Z</dcterms:modified>
</cp:coreProperties>
</file>