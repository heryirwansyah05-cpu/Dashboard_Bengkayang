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E12" i="1"/>
  <c r="D12" i="1"/>
  <c r="C12" i="1"/>
  <c r="H11" i="1"/>
  <c r="G11" i="1"/>
  <c r="H10" i="1"/>
  <c r="G10" i="1"/>
  <c r="H9" i="1"/>
  <c r="G9" i="1"/>
  <c r="H8" i="1"/>
  <c r="G8" i="1"/>
  <c r="H7" i="1"/>
  <c r="G7" i="1"/>
  <c r="H6" i="1"/>
  <c r="G6" i="1"/>
  <c r="G12" i="1" l="1"/>
  <c r="H12" i="1"/>
  <c r="L6" i="1" l="1"/>
  <c r="I10" i="1"/>
  <c r="O10" i="1" s="1"/>
  <c r="L10" i="1"/>
  <c r="N10" i="1" s="1"/>
  <c r="T10" i="1" s="1"/>
  <c r="J10" i="1"/>
  <c r="P10" i="1" s="1"/>
  <c r="I6" i="1"/>
  <c r="K10" i="1"/>
  <c r="K6" i="1"/>
  <c r="K7" i="1"/>
  <c r="Q7" i="1" s="1"/>
  <c r="K9" i="1"/>
  <c r="Q9" i="1" s="1"/>
  <c r="L7" i="1"/>
  <c r="L12" i="1" s="1"/>
  <c r="L9" i="1"/>
  <c r="R9" i="1" s="1"/>
  <c r="I8" i="1"/>
  <c r="O8" i="1" s="1"/>
  <c r="K8" i="1"/>
  <c r="K11" i="1"/>
  <c r="I11" i="1"/>
  <c r="O11" i="1" s="1"/>
  <c r="I9" i="1"/>
  <c r="O9" i="1" s="1"/>
  <c r="I7" i="1"/>
  <c r="O7" i="1" s="1"/>
  <c r="J8" i="1"/>
  <c r="P8" i="1" s="1"/>
  <c r="L8" i="1"/>
  <c r="R8" i="1" s="1"/>
  <c r="L11" i="1"/>
  <c r="N11" i="1" s="1"/>
  <c r="T11" i="1" s="1"/>
  <c r="J6" i="1"/>
  <c r="N6" i="1" s="1"/>
  <c r="J11" i="1"/>
  <c r="P11" i="1" s="1"/>
  <c r="J9" i="1"/>
  <c r="P9" i="1" s="1"/>
  <c r="J7" i="1"/>
  <c r="P7" i="1" s="1"/>
  <c r="R6" i="1"/>
  <c r="O6" i="1"/>
  <c r="M10" i="1"/>
  <c r="S10" i="1" s="1"/>
  <c r="Q10" i="1"/>
  <c r="Q6" i="1"/>
  <c r="K12" i="1"/>
  <c r="M6" i="1"/>
  <c r="Q8" i="1"/>
  <c r="M11" i="1"/>
  <c r="S11" i="1" s="1"/>
  <c r="Q11" i="1"/>
  <c r="Q12" i="1" l="1"/>
  <c r="N9" i="1"/>
  <c r="T9" i="1" s="1"/>
  <c r="O12" i="1"/>
  <c r="J12" i="1"/>
  <c r="N7" i="1"/>
  <c r="T7" i="1" s="1"/>
  <c r="I12" i="1"/>
  <c r="P6" i="1"/>
  <c r="P12" i="1" s="1"/>
  <c r="R7" i="1"/>
  <c r="R12" i="1" s="1"/>
  <c r="R10" i="1"/>
  <c r="R11" i="1"/>
  <c r="M9" i="1"/>
  <c r="S9" i="1" s="1"/>
  <c r="N8" i="1"/>
  <c r="T8" i="1" s="1"/>
  <c r="M7" i="1"/>
  <c r="S7" i="1" s="1"/>
  <c r="M8" i="1"/>
  <c r="S8" i="1" s="1"/>
  <c r="S6" i="1"/>
  <c r="T6" i="1"/>
  <c r="N12" i="1" l="1"/>
  <c r="T12" i="1"/>
  <c r="M12" i="1"/>
  <c r="S12" i="1"/>
</calcChain>
</file>

<file path=xl/sharedStrings.xml><?xml version="1.0" encoding="utf-8"?>
<sst xmlns="http://schemas.openxmlformats.org/spreadsheetml/2006/main" count="231" uniqueCount="109">
  <si>
    <t>DSE1082</t>
  </si>
  <si>
    <t>MC-BENGKAYANG</t>
  </si>
  <si>
    <t>DSE1147</t>
  </si>
  <si>
    <t>DSE-BENGKAYANG01</t>
  </si>
  <si>
    <t>DSE-JAGOIBABNG01</t>
  </si>
  <si>
    <t>DSE-JAGOIBABNG02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</si>
  <si>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</si>
  <si>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</si>
  <si>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</si>
  <si>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</si>
  <si>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</si>
  <si>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</si>
  <si>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</si>
  <si>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</si>
  <si>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</si>
  <si>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</si>
  <si>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</si>
  <si>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</si>
  <si>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</si>
  <si>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</si>
  <si>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</si>
  <si>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</si>
  <si>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</si>
  <si>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</si>
  <si>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</si>
  <si>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</si>
  <si>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</si>
  <si>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</si>
  <si>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</si>
  <si>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</si>
  <si>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</si>
  <si>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</si>
  <si>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</si>
  <si>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</si>
  <si>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</si>
  <si>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</si>
  <si>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</si>
  <si>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</si>
  <si>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</si>
  <si>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</si>
  <si>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</si>
  <si>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</si>
  <si>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</si>
  <si>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</si>
  <si>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</si>
  <si>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</si>
  <si>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</si>
  <si>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</si>
  <si>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</si>
  <si>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</si>
  <si>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</si>
  <si>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</si>
  <si>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</si>
  <si>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</si>
  <si>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</si>
  <si>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</si>
  <si>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</si>
  <si>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</si>
  <si>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</si>
  <si>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</si>
  <si>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</si>
  <si>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</si>
  <si>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</si>
  <si>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</si>
  <si>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</si>
  <si>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</si>
  <si>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</si>
  <si>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</si>
  <si>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</si>
  <si>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</si>
  <si>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</si>
  <si>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</si>
  <si>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</si>
  <si>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</si>
  <si>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</si>
  <si>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</si>
  <si>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</si>
  <si>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</si>
  <si>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</si>
  <si>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</si>
  <si>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</si>
  <si>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</si>
  <si>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</si>
  <si>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</si>
  <si>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</si>
  <si>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</si>
  <si>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TARGET KPI</t>
  </si>
  <si>
    <t>ACHIEVEMENT</t>
  </si>
  <si>
    <t>ACHIEVEMENT %</t>
  </si>
  <si>
    <t>IM3</t>
  </si>
  <si>
    <t>3ID</t>
  </si>
  <si>
    <t>IOH</t>
  </si>
  <si>
    <t>DSE NAME</t>
  </si>
  <si>
    <t>DSE IM3 | DSE 3ID</t>
  </si>
  <si>
    <t>OSA</t>
  </si>
  <si>
    <t>SELL IN SP</t>
  </si>
  <si>
    <t>SLAMET HOIRI</t>
  </si>
  <si>
    <t>DSEKL086 | DSEKL0863ID</t>
  </si>
  <si>
    <t>JULAIHA</t>
  </si>
  <si>
    <t>DSEKL087 | DSEKL0873ID</t>
  </si>
  <si>
    <t>APRIANUS</t>
  </si>
  <si>
    <t>DSEKL088 | DSEKL0883ID</t>
  </si>
  <si>
    <t>DARIANUS</t>
  </si>
  <si>
    <t>DSEKL089 | DSEKL0893ID</t>
  </si>
  <si>
    <t>URAY ILHAM</t>
  </si>
  <si>
    <t>DSEKL092 | DSEKL0923ID</t>
  </si>
  <si>
    <t>EFENDI</t>
  </si>
  <si>
    <t>DSEKL513 | DSEKL5133ID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</si>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</sst>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#,##0;[Red]\-#,##0;&quot;–&quot;"/>
    <numFmt numFmtId="167" formatCode="0.0%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rgb="FFFFC000"/>
      <name val="Calibri"/>
      <charset val="134"/>
      <scheme val="minor"/>
    </font>
    <font>
      <b/>
      <sz val="11"/>
      <color rgb="FFFFFFFF"/>
      <name val="Calibri"/>
      <charset val="134"/>
    </font>
    <font>
      <b/>
      <sz val="11"/>
      <color theme="1"/>
      <name val="Calibri"/>
      <charset val="134"/>
    </font>
    <font>
      <sz val="11"/>
      <name val="Calibri"/>
      <charset val="134"/>
    </font>
    <font>
      <b/>
      <sz val="11"/>
      <name val="Calibri"/>
      <charset val="134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1F1F1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22222"/>
        <bgColor indexed="64"/>
      </patternFill>
    </fill>
    <fill>
      <patternFill patternType="solid">
        <fgColor rgb="FFFFF2CC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rgb="FFD9D9D9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39">
    <xf numFmtId="0" fontId="0" fillId="0" borderId="0" xfId="0"/>
    <xf numFmtId="9" fontId="4" fillId="2" borderId="0" xfId="2" applyFont="1" applyFill="1" applyBorder="1" applyAlignment="1">
      <alignment vertical="center" wrapText="1"/>
    </xf>
    <xf numFmtId="17" fontId="2" fillId="2" borderId="0" xfId="0" applyNumberFormat="1" applyFont="1" applyFill="1" applyBorder="1"/>
    <xf numFmtId="0" fontId="3" fillId="2" borderId="0" xfId="0" applyFont="1" applyFill="1" applyBorder="1"/>
    <xf numFmtId="0" fontId="2" fillId="2" borderId="0" xfId="0" applyFont="1" applyFill="1" applyBorder="1"/>
    <xf numFmtId="0" fontId="3" fillId="2" borderId="0" xfId="0" applyFont="1" applyFill="1" applyBorder="1" applyAlignment="1">
      <alignment horizontal="left"/>
    </xf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0" fontId="5" fillId="3" borderId="0" xfId="0" applyFont="1" applyFill="1" applyAlignment="1">
      <alignment horizontal="center"/>
    </xf>
    <xf numFmtId="0" fontId="6" fillId="4" borderId="4" xfId="0" applyFont="1" applyFill="1" applyBorder="1" applyAlignment="1">
      <alignment horizontal="center" vertical="center" wrapText="1"/>
    </xf>
    <xf numFmtId="0" fontId="6" fillId="4" borderId="0" xfId="0" applyFont="1" applyFill="1" applyBorder="1" applyAlignment="1">
      <alignment horizontal="center" vertical="center" wrapText="1"/>
    </xf>
    <xf numFmtId="165" fontId="7" fillId="5" borderId="2" xfId="1" applyNumberFormat="1" applyFont="1" applyFill="1" applyBorder="1" applyAlignment="1">
      <alignment horizontal="center" vertical="center" wrapText="1"/>
    </xf>
    <xf numFmtId="165" fontId="7" fillId="5" borderId="5" xfId="1" applyNumberFormat="1" applyFont="1" applyFill="1" applyBorder="1" applyAlignment="1">
      <alignment horizontal="center" vertical="center" wrapText="1"/>
    </xf>
    <xf numFmtId="165" fontId="7" fillId="5" borderId="6" xfId="1" applyNumberFormat="1" applyFont="1" applyFill="1" applyBorder="1" applyAlignment="1">
      <alignment horizontal="center" vertical="center" wrapText="1"/>
    </xf>
    <xf numFmtId="165" fontId="7" fillId="5" borderId="7" xfId="1" applyNumberFormat="1" applyFont="1" applyFill="1" applyBorder="1" applyAlignment="1">
      <alignment horizontal="center" vertical="center" wrapText="1"/>
    </xf>
    <xf numFmtId="165" fontId="7" fillId="5" borderId="8" xfId="1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/>
    </xf>
    <xf numFmtId="165" fontId="5" fillId="3" borderId="1" xfId="1" applyNumberFormat="1" applyFont="1" applyFill="1" applyBorder="1" applyAlignment="1">
      <alignment horizontal="center" vertical="center"/>
    </xf>
    <xf numFmtId="165" fontId="5" fillId="3" borderId="9" xfId="1" applyNumberFormat="1" applyFont="1" applyFill="1" applyBorder="1" applyAlignment="1">
      <alignment horizontal="center" vertical="center"/>
    </xf>
    <xf numFmtId="165" fontId="5" fillId="3" borderId="10" xfId="1" applyNumberFormat="1" applyFont="1" applyFill="1" applyBorder="1" applyAlignment="1">
      <alignment horizontal="center" vertical="center"/>
    </xf>
    <xf numFmtId="165" fontId="5" fillId="3" borderId="11" xfId="1" applyNumberFormat="1" applyFont="1" applyFill="1" applyBorder="1" applyAlignment="1">
      <alignment horizontal="center" vertical="center"/>
    </xf>
    <xf numFmtId="165" fontId="5" fillId="3" borderId="12" xfId="1" applyNumberFormat="1" applyFont="1" applyFill="1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6" fontId="0" fillId="0" borderId="13" xfId="0" applyNumberFormat="1" applyBorder="1" applyAlignment="1">
      <alignment horizontal="center" vertical="center"/>
    </xf>
    <xf numFmtId="9" fontId="0" fillId="0" borderId="13" xfId="2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left" vertical="center"/>
    </xf>
    <xf numFmtId="0" fontId="9" fillId="7" borderId="1" xfId="0" applyFont="1" applyFill="1" applyBorder="1" applyAlignment="1">
      <alignment horizontal="center" vertical="center"/>
    </xf>
    <xf numFmtId="166" fontId="9" fillId="7" borderId="1" xfId="0" applyNumberFormat="1" applyFont="1" applyFill="1" applyBorder="1" applyAlignment="1">
      <alignment horizontal="center" vertical="center"/>
    </xf>
    <xf numFmtId="167" fontId="9" fillId="7" borderId="1" xfId="2" applyNumberFormat="1" applyFont="1" applyFill="1" applyBorder="1" applyAlignment="1">
      <alignment horizontal="center" vertical="center"/>
    </xf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MC_BENGKAYANG_OUTLET_LATEST_AUTO_10-31_OCT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ETUNJUK"/>
      <sheetName val="DSE PERFORMANCE"/>
      <sheetName val="SUMMARY OUTLET"/>
      <sheetName val="SUMMARY VISIT"/>
      <sheetName val="OUTLET "/>
      <sheetName val="19 OCT"/>
      <sheetName val="18 OCT"/>
      <sheetName val="17 OCT"/>
      <sheetName val="15 OCT"/>
      <sheetName val="14 OCT"/>
      <sheetName val="13 OCT"/>
      <sheetName val="12 OCT"/>
      <sheetName val="11 OCT"/>
      <sheetName val="10 OCT"/>
      <sheetName val="20 OCT"/>
      <sheetName val="DAILY KPI DSE"/>
    </sheetNames>
    <sheetDataSet>
      <sheetData sheetId="0"/>
      <sheetData sheetId="1"/>
      <sheetData sheetId="2"/>
      <sheetData sheetId="3"/>
      <sheetData sheetId="4">
        <row r="4">
          <cell r="N4" t="str">
            <v>DSEKL092</v>
          </cell>
          <cell r="AN4">
            <v>2965700</v>
          </cell>
          <cell r="AO4">
            <v>31</v>
          </cell>
          <cell r="AS4" t="str">
            <v/>
          </cell>
          <cell r="AT4" t="str">
            <v/>
          </cell>
        </row>
        <row r="5">
          <cell r="N5" t="str">
            <v>DSEKL086</v>
          </cell>
          <cell r="AN5">
            <v>210500</v>
          </cell>
          <cell r="AO5">
            <v>22</v>
          </cell>
          <cell r="AS5" t="str">
            <v/>
          </cell>
          <cell r="AT5" t="str">
            <v/>
          </cell>
        </row>
        <row r="6">
          <cell r="N6" t="str">
            <v>DSEKL086</v>
          </cell>
          <cell r="AN6">
            <v>0</v>
          </cell>
          <cell r="AO6">
            <v>22</v>
          </cell>
          <cell r="AS6" t="str">
            <v/>
          </cell>
          <cell r="AT6" t="str">
            <v/>
          </cell>
        </row>
        <row r="7">
          <cell r="N7" t="str">
            <v>DSEKL513</v>
          </cell>
          <cell r="AN7">
            <v>0</v>
          </cell>
          <cell r="AO7">
            <v>46</v>
          </cell>
          <cell r="AS7" t="str">
            <v/>
          </cell>
          <cell r="AT7" t="str">
            <v/>
          </cell>
        </row>
        <row r="8">
          <cell r="N8" t="str">
            <v>DSEKL513</v>
          </cell>
          <cell r="AN8">
            <v>898000</v>
          </cell>
          <cell r="AO8">
            <v>5</v>
          </cell>
          <cell r="AS8" t="str">
            <v/>
          </cell>
          <cell r="AT8" t="str">
            <v/>
          </cell>
        </row>
        <row r="9">
          <cell r="N9" t="str">
            <v>DSEKL089</v>
          </cell>
          <cell r="AN9">
            <v>690000</v>
          </cell>
          <cell r="AO9">
            <v>3</v>
          </cell>
          <cell r="AS9" t="str">
            <v/>
          </cell>
          <cell r="AT9" t="str">
            <v/>
          </cell>
        </row>
        <row r="10">
          <cell r="N10" t="str">
            <v>DSEKL086</v>
          </cell>
          <cell r="AN10">
            <v>168000</v>
          </cell>
          <cell r="AO10">
            <v>22</v>
          </cell>
          <cell r="AS10" t="str">
            <v/>
          </cell>
          <cell r="AT10" t="str">
            <v/>
          </cell>
        </row>
        <row r="11">
          <cell r="N11" t="str">
            <v>DSEKL513</v>
          </cell>
          <cell r="AN11">
            <v>0</v>
          </cell>
          <cell r="AO11">
            <v>22</v>
          </cell>
          <cell r="AS11" t="str">
            <v/>
          </cell>
          <cell r="AT11" t="str">
            <v/>
          </cell>
        </row>
        <row r="12">
          <cell r="N12" t="str">
            <v>DSEKL092</v>
          </cell>
          <cell r="AN12">
            <v>434800</v>
          </cell>
          <cell r="AO12">
            <v>23</v>
          </cell>
          <cell r="AS12" t="str">
            <v/>
          </cell>
          <cell r="AT12" t="str">
            <v/>
          </cell>
        </row>
        <row r="13">
          <cell r="N13" t="str">
            <v>DSEKL087</v>
          </cell>
          <cell r="AN13">
            <v>0</v>
          </cell>
          <cell r="AO13">
            <v>22</v>
          </cell>
          <cell r="AS13" t="str">
            <v/>
          </cell>
          <cell r="AT13" t="str">
            <v/>
          </cell>
        </row>
        <row r="14">
          <cell r="N14" t="str">
            <v>DSEKL086</v>
          </cell>
          <cell r="AN14">
            <v>253000</v>
          </cell>
          <cell r="AO14">
            <v>9</v>
          </cell>
          <cell r="AS14" t="str">
            <v/>
          </cell>
          <cell r="AT14" t="str">
            <v/>
          </cell>
        </row>
        <row r="15">
          <cell r="N15" t="str">
            <v>DSEKL089</v>
          </cell>
          <cell r="AN15">
            <v>636000</v>
          </cell>
          <cell r="AO15">
            <v>10</v>
          </cell>
          <cell r="AS15" t="str">
            <v/>
          </cell>
          <cell r="AT15" t="str">
            <v/>
          </cell>
        </row>
        <row r="16">
          <cell r="N16" t="str">
            <v>DSEKL513</v>
          </cell>
          <cell r="AN16">
            <v>58000</v>
          </cell>
          <cell r="AO16">
            <v>10</v>
          </cell>
          <cell r="AS16" t="str">
            <v/>
          </cell>
          <cell r="AT16" t="str">
            <v/>
          </cell>
        </row>
        <row r="17">
          <cell r="N17" t="str">
            <v>DSEKL092</v>
          </cell>
          <cell r="AN17">
            <v>151200</v>
          </cell>
          <cell r="AO17">
            <v>7</v>
          </cell>
          <cell r="AS17" t="str">
            <v/>
          </cell>
          <cell r="AT17" t="str">
            <v/>
          </cell>
        </row>
        <row r="18">
          <cell r="N18" t="str">
            <v>DSEKL089</v>
          </cell>
          <cell r="AN18">
            <v>492000</v>
          </cell>
          <cell r="AO18">
            <v>13</v>
          </cell>
          <cell r="AS18" t="str">
            <v/>
          </cell>
          <cell r="AT18" t="str">
            <v/>
          </cell>
        </row>
        <row r="19">
          <cell r="N19" t="str">
            <v>DSEKL088</v>
          </cell>
          <cell r="AN19">
            <v>0</v>
          </cell>
          <cell r="AO19">
            <v>10</v>
          </cell>
          <cell r="AS19" t="str">
            <v/>
          </cell>
          <cell r="AT19" t="str">
            <v/>
          </cell>
        </row>
        <row r="20">
          <cell r="N20" t="str">
            <v>DSEKL513</v>
          </cell>
          <cell r="AN20">
            <v>58000</v>
          </cell>
          <cell r="AO20">
            <v>10</v>
          </cell>
          <cell r="AS20" t="str">
            <v/>
          </cell>
          <cell r="AT20" t="str">
            <v/>
          </cell>
        </row>
        <row r="21">
          <cell r="N21" t="str">
            <v>DSEKL092</v>
          </cell>
          <cell r="AN21">
            <v>203000</v>
          </cell>
          <cell r="AO21">
            <v>9</v>
          </cell>
          <cell r="AS21" t="str">
            <v/>
          </cell>
          <cell r="AT21" t="str">
            <v/>
          </cell>
        </row>
        <row r="22">
          <cell r="N22" t="str">
            <v>DSEKL088</v>
          </cell>
          <cell r="AN22">
            <v>0</v>
          </cell>
          <cell r="AO22">
            <v>6</v>
          </cell>
          <cell r="AS22" t="str">
            <v/>
          </cell>
          <cell r="AT22" t="str">
            <v/>
          </cell>
        </row>
        <row r="23">
          <cell r="N23" t="str">
            <v>DSEKL088</v>
          </cell>
          <cell r="AN23">
            <v>0</v>
          </cell>
          <cell r="AO23">
            <v>6</v>
          </cell>
          <cell r="AS23" t="str">
            <v/>
          </cell>
          <cell r="AT23" t="str">
            <v/>
          </cell>
        </row>
        <row r="24">
          <cell r="N24" t="str">
            <v>DSEKL089</v>
          </cell>
          <cell r="AN24">
            <v>726000</v>
          </cell>
          <cell r="AO24">
            <v>13</v>
          </cell>
          <cell r="AS24" t="str">
            <v/>
          </cell>
          <cell r="AT24" t="str">
            <v/>
          </cell>
        </row>
        <row r="25">
          <cell r="N25" t="str">
            <v>DSEKL086</v>
          </cell>
          <cell r="AN25">
            <v>0</v>
          </cell>
          <cell r="AO25">
            <v>10</v>
          </cell>
          <cell r="AS25" t="str">
            <v/>
          </cell>
          <cell r="AT25" t="str">
            <v/>
          </cell>
        </row>
        <row r="26">
          <cell r="N26" t="str">
            <v>DSEKL086</v>
          </cell>
          <cell r="AN26">
            <v>168000</v>
          </cell>
          <cell r="AO26">
            <v>0</v>
          </cell>
          <cell r="AS26" t="str">
            <v/>
          </cell>
          <cell r="AT26" t="str">
            <v/>
          </cell>
        </row>
        <row r="27">
          <cell r="N27" t="str">
            <v>DSEKL086</v>
          </cell>
          <cell r="AN27">
            <v>463500</v>
          </cell>
          <cell r="AO27">
            <v>9</v>
          </cell>
          <cell r="AS27" t="str">
            <v/>
          </cell>
          <cell r="AT27" t="str">
            <v/>
          </cell>
        </row>
        <row r="28">
          <cell r="N28" t="str">
            <v>DSEKL089</v>
          </cell>
          <cell r="AN28">
            <v>324000</v>
          </cell>
          <cell r="AO28">
            <v>13</v>
          </cell>
          <cell r="AS28" t="str">
            <v/>
          </cell>
          <cell r="AT28" t="str">
            <v/>
          </cell>
        </row>
        <row r="29">
          <cell r="N29" t="str">
            <v>DSEKL092</v>
          </cell>
          <cell r="O29" t="str">
            <v>DSEKL0923ID</v>
          </cell>
          <cell r="AN29">
            <v>361400</v>
          </cell>
          <cell r="AO29">
            <v>14</v>
          </cell>
          <cell r="AS29">
            <v>0</v>
          </cell>
          <cell r="AT29">
            <v>0</v>
          </cell>
        </row>
        <row r="30">
          <cell r="N30" t="str">
            <v>DSEKL086</v>
          </cell>
          <cell r="AN30">
            <v>0</v>
          </cell>
          <cell r="AO30">
            <v>0</v>
          </cell>
          <cell r="AS30" t="str">
            <v/>
          </cell>
          <cell r="AT30" t="str">
            <v/>
          </cell>
        </row>
        <row r="31">
          <cell r="N31" t="str">
            <v>DSEKL092</v>
          </cell>
          <cell r="O31" t="str">
            <v>DSEKL0923ID</v>
          </cell>
          <cell r="AN31">
            <v>255600</v>
          </cell>
          <cell r="AO31">
            <v>5</v>
          </cell>
          <cell r="AS31">
            <v>0</v>
          </cell>
          <cell r="AT31">
            <v>0</v>
          </cell>
        </row>
        <row r="32">
          <cell r="N32" t="str">
            <v>DSEKL086</v>
          </cell>
          <cell r="AN32">
            <v>967500</v>
          </cell>
          <cell r="AO32">
            <v>0</v>
          </cell>
          <cell r="AS32" t="str">
            <v/>
          </cell>
          <cell r="AT32" t="str">
            <v/>
          </cell>
        </row>
        <row r="33">
          <cell r="N33" t="str">
            <v>DSEKL089</v>
          </cell>
          <cell r="AN33">
            <v>8165000</v>
          </cell>
          <cell r="AO33">
            <v>3</v>
          </cell>
          <cell r="AS33" t="str">
            <v/>
          </cell>
          <cell r="AT33" t="str">
            <v/>
          </cell>
        </row>
        <row r="34">
          <cell r="N34" t="str">
            <v>DSEKL089</v>
          </cell>
          <cell r="AN34">
            <v>132000</v>
          </cell>
          <cell r="AO34">
            <v>0</v>
          </cell>
          <cell r="AS34" t="str">
            <v/>
          </cell>
          <cell r="AT34" t="str">
            <v/>
          </cell>
        </row>
        <row r="35">
          <cell r="N35" t="str">
            <v>DSEKL088</v>
          </cell>
          <cell r="O35" t="str">
            <v>DSEKL0883ID</v>
          </cell>
          <cell r="AN35">
            <v>10000000</v>
          </cell>
          <cell r="AO35">
            <v>0</v>
          </cell>
          <cell r="AS35">
            <v>300000</v>
          </cell>
          <cell r="AT35">
            <v>0</v>
          </cell>
        </row>
        <row r="36">
          <cell r="N36" t="str">
            <v>DSEKL089</v>
          </cell>
          <cell r="AN36">
            <v>1426000</v>
          </cell>
          <cell r="AO36">
            <v>3</v>
          </cell>
          <cell r="AS36" t="str">
            <v/>
          </cell>
          <cell r="AT36" t="str">
            <v/>
          </cell>
        </row>
        <row r="37">
          <cell r="N37" t="str">
            <v>DSEKL089</v>
          </cell>
          <cell r="O37" t="str">
            <v>DSEKL0893ID</v>
          </cell>
          <cell r="AN37">
            <v>993000</v>
          </cell>
          <cell r="AO37">
            <v>3</v>
          </cell>
          <cell r="AS37">
            <v>0</v>
          </cell>
          <cell r="AT37">
            <v>0</v>
          </cell>
        </row>
        <row r="38">
          <cell r="N38" t="str">
            <v>DSEKL092</v>
          </cell>
          <cell r="O38" t="str">
            <v>DSEKL0923ID</v>
          </cell>
          <cell r="AN38">
            <v>1807400</v>
          </cell>
          <cell r="AO38">
            <v>6</v>
          </cell>
          <cell r="AS38">
            <v>400000</v>
          </cell>
          <cell r="AT38">
            <v>1</v>
          </cell>
        </row>
        <row r="39">
          <cell r="N39" t="str">
            <v>DSEKL086</v>
          </cell>
          <cell r="AN39">
            <v>7500000</v>
          </cell>
          <cell r="AO39">
            <v>0</v>
          </cell>
          <cell r="AS39" t="str">
            <v/>
          </cell>
          <cell r="AT39" t="str">
            <v/>
          </cell>
        </row>
        <row r="40">
          <cell r="N40" t="str">
            <v>DSEKL513</v>
          </cell>
          <cell r="O40" t="str">
            <v>DSEKL5133ID</v>
          </cell>
          <cell r="AN40">
            <v>126500</v>
          </cell>
          <cell r="AO40">
            <v>0</v>
          </cell>
          <cell r="AS40">
            <v>0</v>
          </cell>
          <cell r="AT40">
            <v>0</v>
          </cell>
        </row>
        <row r="41">
          <cell r="N41" t="str">
            <v>DSEKL086</v>
          </cell>
          <cell r="AN41">
            <v>450000</v>
          </cell>
          <cell r="AO41">
            <v>0</v>
          </cell>
          <cell r="AS41" t="str">
            <v/>
          </cell>
          <cell r="AT41" t="str">
            <v/>
          </cell>
        </row>
        <row r="42">
          <cell r="N42" t="str">
            <v>DSEKL087</v>
          </cell>
          <cell r="O42" t="str">
            <v>DSEKL0873ID</v>
          </cell>
          <cell r="AN42">
            <v>1843200</v>
          </cell>
          <cell r="AO42">
            <v>5</v>
          </cell>
          <cell r="AS42">
            <v>7000000</v>
          </cell>
          <cell r="AT42">
            <v>0</v>
          </cell>
        </row>
        <row r="43">
          <cell r="N43" t="str">
            <v>DSEKL087</v>
          </cell>
          <cell r="O43" t="str">
            <v>DSEKL0873ID</v>
          </cell>
          <cell r="AN43">
            <v>461600</v>
          </cell>
          <cell r="AO43">
            <v>2</v>
          </cell>
          <cell r="AS43">
            <v>200000</v>
          </cell>
          <cell r="AT43">
            <v>1</v>
          </cell>
        </row>
        <row r="44">
          <cell r="N44" t="str">
            <v>DSEKL086</v>
          </cell>
          <cell r="AN44">
            <v>668000</v>
          </cell>
          <cell r="AO44">
            <v>0</v>
          </cell>
          <cell r="AS44" t="str">
            <v/>
          </cell>
          <cell r="AT44" t="str">
            <v/>
          </cell>
        </row>
        <row r="45">
          <cell r="N45" t="str">
            <v>DSEKL089</v>
          </cell>
          <cell r="O45" t="str">
            <v>DSEKL0893ID</v>
          </cell>
          <cell r="AN45">
            <v>1140000</v>
          </cell>
          <cell r="AO45">
            <v>0</v>
          </cell>
          <cell r="AS45">
            <v>0</v>
          </cell>
          <cell r="AT45">
            <v>0</v>
          </cell>
        </row>
        <row r="46">
          <cell r="N46" t="str">
            <v>DSEKL513</v>
          </cell>
          <cell r="O46" t="str">
            <v>DSEKL5133ID</v>
          </cell>
          <cell r="AN46">
            <v>2000000</v>
          </cell>
          <cell r="AO46">
            <v>0</v>
          </cell>
          <cell r="AS46">
            <v>0</v>
          </cell>
          <cell r="AT46">
            <v>0</v>
          </cell>
        </row>
        <row r="47">
          <cell r="N47" t="str">
            <v>DSEKL513</v>
          </cell>
          <cell r="AN47">
            <v>0</v>
          </cell>
          <cell r="AO47">
            <v>0</v>
          </cell>
          <cell r="AS47" t="str">
            <v/>
          </cell>
          <cell r="AT47" t="str">
            <v/>
          </cell>
        </row>
        <row r="48">
          <cell r="N48" t="str">
            <v>DSEKL087</v>
          </cell>
          <cell r="AN48">
            <v>2328000</v>
          </cell>
          <cell r="AO48">
            <v>5</v>
          </cell>
          <cell r="AS48" t="str">
            <v/>
          </cell>
          <cell r="AT48" t="str">
            <v/>
          </cell>
        </row>
        <row r="49">
          <cell r="N49" t="str">
            <v>DSEKL092</v>
          </cell>
          <cell r="O49" t="str">
            <v>DSEKL0923ID</v>
          </cell>
          <cell r="AN49">
            <v>909600</v>
          </cell>
          <cell r="AO49">
            <v>3</v>
          </cell>
          <cell r="AS49">
            <v>500000</v>
          </cell>
          <cell r="AT49">
            <v>0</v>
          </cell>
        </row>
        <row r="50">
          <cell r="N50" t="str">
            <v>DSEKL092</v>
          </cell>
          <cell r="O50" t="str">
            <v>DSEKL0923ID</v>
          </cell>
          <cell r="AN50">
            <v>323400</v>
          </cell>
          <cell r="AO50">
            <v>0</v>
          </cell>
          <cell r="AS50">
            <v>0</v>
          </cell>
          <cell r="AT50">
            <v>0</v>
          </cell>
        </row>
        <row r="51">
          <cell r="N51" t="str">
            <v>DSEKL087</v>
          </cell>
          <cell r="O51" t="str">
            <v>DSEKL0873ID</v>
          </cell>
          <cell r="AN51">
            <v>628000</v>
          </cell>
          <cell r="AO51">
            <v>2</v>
          </cell>
          <cell r="AS51">
            <v>200000</v>
          </cell>
          <cell r="AT51">
            <v>0</v>
          </cell>
        </row>
        <row r="52">
          <cell r="N52" t="str">
            <v>DSEKL086</v>
          </cell>
          <cell r="AN52">
            <v>0</v>
          </cell>
          <cell r="AO52">
            <v>0</v>
          </cell>
          <cell r="AS52" t="str">
            <v/>
          </cell>
          <cell r="AT52" t="str">
            <v/>
          </cell>
        </row>
        <row r="53">
          <cell r="N53" t="str">
            <v>DSEKL089</v>
          </cell>
          <cell r="AN53">
            <v>594000</v>
          </cell>
          <cell r="AO53">
            <v>3</v>
          </cell>
          <cell r="AS53" t="str">
            <v/>
          </cell>
          <cell r="AT53" t="str">
            <v/>
          </cell>
        </row>
        <row r="54">
          <cell r="N54" t="str">
            <v>DSEKL513</v>
          </cell>
          <cell r="O54" t="str">
            <v>DSEKL5133ID</v>
          </cell>
          <cell r="AN54">
            <v>357200</v>
          </cell>
          <cell r="AO54">
            <v>0</v>
          </cell>
          <cell r="AS54">
            <v>0</v>
          </cell>
          <cell r="AT54">
            <v>0</v>
          </cell>
        </row>
        <row r="55">
          <cell r="N55" t="str">
            <v>DSEKL513</v>
          </cell>
          <cell r="O55" t="str">
            <v>DSEKL5133ID</v>
          </cell>
          <cell r="AN55">
            <v>295000</v>
          </cell>
          <cell r="AO55">
            <v>5</v>
          </cell>
          <cell r="AS55">
            <v>0</v>
          </cell>
          <cell r="AT55">
            <v>0</v>
          </cell>
        </row>
        <row r="56">
          <cell r="N56" t="str">
            <v>DSEKL089</v>
          </cell>
          <cell r="AN56">
            <v>2110000</v>
          </cell>
          <cell r="AO56">
            <v>3</v>
          </cell>
          <cell r="AS56" t="str">
            <v/>
          </cell>
          <cell r="AT56" t="str">
            <v/>
          </cell>
        </row>
        <row r="57">
          <cell r="O57" t="str">
            <v>DSEKL0923ID</v>
          </cell>
          <cell r="AN57" t="str">
            <v/>
          </cell>
          <cell r="AO57" t="str">
            <v/>
          </cell>
          <cell r="AS57">
            <v>0</v>
          </cell>
          <cell r="AT57">
            <v>0</v>
          </cell>
        </row>
        <row r="58">
          <cell r="N58" t="str">
            <v>DSEKL086</v>
          </cell>
          <cell r="AN58">
            <v>2261500</v>
          </cell>
          <cell r="AO58">
            <v>0</v>
          </cell>
          <cell r="AS58" t="str">
            <v/>
          </cell>
          <cell r="AT58" t="str">
            <v/>
          </cell>
        </row>
        <row r="59">
          <cell r="N59" t="str">
            <v>DSEKL513</v>
          </cell>
          <cell r="AN59">
            <v>5252000</v>
          </cell>
          <cell r="AO59">
            <v>0</v>
          </cell>
          <cell r="AS59" t="str">
            <v/>
          </cell>
          <cell r="AT59" t="str">
            <v/>
          </cell>
        </row>
        <row r="60">
          <cell r="N60" t="str">
            <v>DSEKL086</v>
          </cell>
          <cell r="AN60">
            <v>934900</v>
          </cell>
          <cell r="AO60">
            <v>0</v>
          </cell>
          <cell r="AS60" t="str">
            <v/>
          </cell>
          <cell r="AT60" t="str">
            <v/>
          </cell>
        </row>
        <row r="61">
          <cell r="N61" t="str">
            <v>DSEKL513</v>
          </cell>
          <cell r="O61" t="str">
            <v>DSEKL5133ID</v>
          </cell>
          <cell r="AN61">
            <v>313000</v>
          </cell>
          <cell r="AO61">
            <v>0</v>
          </cell>
          <cell r="AS61">
            <v>0</v>
          </cell>
          <cell r="AT61">
            <v>1</v>
          </cell>
        </row>
        <row r="62">
          <cell r="O62" t="str">
            <v>DSEKL0883ID</v>
          </cell>
          <cell r="AN62" t="str">
            <v/>
          </cell>
          <cell r="AO62" t="str">
            <v/>
          </cell>
          <cell r="AS62">
            <v>0</v>
          </cell>
          <cell r="AT62">
            <v>0</v>
          </cell>
        </row>
        <row r="63">
          <cell r="N63" t="str">
            <v>DSEKL089</v>
          </cell>
          <cell r="O63" t="str">
            <v>DSEKL0893ID</v>
          </cell>
          <cell r="AN63">
            <v>1850000</v>
          </cell>
          <cell r="AO63">
            <v>5</v>
          </cell>
          <cell r="AS63">
            <v>0</v>
          </cell>
          <cell r="AT63">
            <v>0</v>
          </cell>
        </row>
        <row r="64">
          <cell r="N64" t="str">
            <v>DSEKL089</v>
          </cell>
          <cell r="O64" t="str">
            <v>DSEKL0893ID</v>
          </cell>
          <cell r="AN64">
            <v>17700000</v>
          </cell>
          <cell r="AO64">
            <v>0</v>
          </cell>
          <cell r="AS64">
            <v>0</v>
          </cell>
          <cell r="AT64">
            <v>0</v>
          </cell>
        </row>
        <row r="65">
          <cell r="N65" t="str">
            <v>DSEKL089</v>
          </cell>
          <cell r="O65" t="str">
            <v>DSEKL0893ID</v>
          </cell>
          <cell r="AN65">
            <v>1842000</v>
          </cell>
          <cell r="AO65">
            <v>0</v>
          </cell>
          <cell r="AS65">
            <v>0</v>
          </cell>
          <cell r="AT65">
            <v>0</v>
          </cell>
        </row>
        <row r="66">
          <cell r="N66" t="str">
            <v>DSEKL513</v>
          </cell>
          <cell r="O66" t="str">
            <v>DSEKL5133ID</v>
          </cell>
          <cell r="AN66">
            <v>2295000</v>
          </cell>
          <cell r="AO66">
            <v>5</v>
          </cell>
          <cell r="AS66">
            <v>0</v>
          </cell>
          <cell r="AT66">
            <v>1</v>
          </cell>
        </row>
        <row r="67">
          <cell r="N67" t="str">
            <v>DSEKL513</v>
          </cell>
          <cell r="O67" t="str">
            <v>DSEKL5133ID</v>
          </cell>
          <cell r="AN67">
            <v>4602000</v>
          </cell>
          <cell r="AO67">
            <v>5</v>
          </cell>
          <cell r="AS67">
            <v>2620000</v>
          </cell>
          <cell r="AT67">
            <v>0</v>
          </cell>
        </row>
        <row r="68">
          <cell r="N68" t="str">
            <v>DSEKL088</v>
          </cell>
          <cell r="O68" t="str">
            <v>DSEKL0883ID</v>
          </cell>
          <cell r="AN68">
            <v>2050000</v>
          </cell>
          <cell r="AO68">
            <v>0</v>
          </cell>
          <cell r="AS68">
            <v>1200000</v>
          </cell>
          <cell r="AT68">
            <v>0</v>
          </cell>
        </row>
        <row r="69">
          <cell r="N69" t="str">
            <v>DSEKL087</v>
          </cell>
          <cell r="O69" t="str">
            <v>DSEKL0873ID</v>
          </cell>
          <cell r="AN69">
            <v>999000</v>
          </cell>
          <cell r="AO69">
            <v>2</v>
          </cell>
          <cell r="AS69">
            <v>300000</v>
          </cell>
          <cell r="AT69">
            <v>0</v>
          </cell>
        </row>
        <row r="70">
          <cell r="N70" t="str">
            <v>DSEKL092</v>
          </cell>
          <cell r="O70" t="str">
            <v>DSEKL0923ID</v>
          </cell>
          <cell r="AN70">
            <v>1653600</v>
          </cell>
          <cell r="AO70">
            <v>0</v>
          </cell>
          <cell r="AS70">
            <v>2000000</v>
          </cell>
          <cell r="AT70">
            <v>0</v>
          </cell>
        </row>
        <row r="71">
          <cell r="N71" t="str">
            <v>DSEKL092</v>
          </cell>
          <cell r="O71" t="str">
            <v>DSEKL0923ID</v>
          </cell>
          <cell r="AN71">
            <v>204600</v>
          </cell>
          <cell r="AO71">
            <v>0</v>
          </cell>
          <cell r="AS71">
            <v>0</v>
          </cell>
          <cell r="AT71">
            <v>0</v>
          </cell>
        </row>
        <row r="72">
          <cell r="N72" t="str">
            <v>DSEKL089</v>
          </cell>
          <cell r="AN72">
            <v>535000</v>
          </cell>
          <cell r="AO72">
            <v>3</v>
          </cell>
          <cell r="AS72" t="str">
            <v/>
          </cell>
          <cell r="AT72" t="str">
            <v/>
          </cell>
        </row>
        <row r="73">
          <cell r="N73" t="str">
            <v>DSEKL086</v>
          </cell>
          <cell r="AN73">
            <v>0</v>
          </cell>
          <cell r="AO73">
            <v>0</v>
          </cell>
          <cell r="AS73" t="str">
            <v/>
          </cell>
          <cell r="AT73" t="str">
            <v/>
          </cell>
        </row>
        <row r="74">
          <cell r="O74" t="str">
            <v>DSEKL0863ID</v>
          </cell>
          <cell r="AN74" t="str">
            <v/>
          </cell>
          <cell r="AO74" t="str">
            <v/>
          </cell>
          <cell r="AS74">
            <v>0</v>
          </cell>
          <cell r="AT74">
            <v>0</v>
          </cell>
        </row>
        <row r="75">
          <cell r="N75" t="str">
            <v>DSEKL086</v>
          </cell>
          <cell r="AN75">
            <v>318000</v>
          </cell>
          <cell r="AO75">
            <v>5</v>
          </cell>
          <cell r="AS75" t="str">
            <v/>
          </cell>
          <cell r="AT75" t="str">
            <v/>
          </cell>
        </row>
        <row r="76">
          <cell r="N76" t="str">
            <v>DSEKL086</v>
          </cell>
          <cell r="AN76">
            <v>556400</v>
          </cell>
          <cell r="AO76">
            <v>0</v>
          </cell>
          <cell r="AS76" t="str">
            <v/>
          </cell>
          <cell r="AT76" t="str">
            <v/>
          </cell>
        </row>
        <row r="77">
          <cell r="N77" t="str">
            <v>DSEKL088</v>
          </cell>
          <cell r="AN77">
            <v>0</v>
          </cell>
          <cell r="AO77">
            <v>0</v>
          </cell>
          <cell r="AS77" t="str">
            <v/>
          </cell>
          <cell r="AT77" t="str">
            <v/>
          </cell>
        </row>
        <row r="78">
          <cell r="N78" t="str">
            <v>DSEKL089</v>
          </cell>
          <cell r="AN78">
            <v>468000</v>
          </cell>
          <cell r="AO78">
            <v>0</v>
          </cell>
          <cell r="AS78" t="str">
            <v/>
          </cell>
          <cell r="AT78" t="str">
            <v/>
          </cell>
        </row>
        <row r="79">
          <cell r="N79" t="str">
            <v>DSEKL089</v>
          </cell>
          <cell r="AN79">
            <v>768000</v>
          </cell>
          <cell r="AO79">
            <v>0</v>
          </cell>
          <cell r="AS79" t="str">
            <v/>
          </cell>
          <cell r="AT79" t="str">
            <v/>
          </cell>
        </row>
        <row r="80">
          <cell r="N80" t="str">
            <v>DSEKL089</v>
          </cell>
          <cell r="AN80">
            <v>1558000</v>
          </cell>
          <cell r="AO80">
            <v>3</v>
          </cell>
          <cell r="AS80" t="str">
            <v/>
          </cell>
          <cell r="AT80" t="str">
            <v/>
          </cell>
        </row>
        <row r="81">
          <cell r="N81" t="str">
            <v>DSEKL089</v>
          </cell>
          <cell r="AN81">
            <v>426000</v>
          </cell>
          <cell r="AO81">
            <v>3</v>
          </cell>
          <cell r="AS81" t="str">
            <v/>
          </cell>
          <cell r="AT81" t="str">
            <v/>
          </cell>
        </row>
        <row r="82">
          <cell r="N82" t="str">
            <v>DSEKL088</v>
          </cell>
          <cell r="AN82">
            <v>190000</v>
          </cell>
          <cell r="AO82">
            <v>0</v>
          </cell>
          <cell r="AS82" t="str">
            <v/>
          </cell>
          <cell r="AT82" t="str">
            <v/>
          </cell>
        </row>
        <row r="83">
          <cell r="N83" t="str">
            <v>DSEKL087</v>
          </cell>
          <cell r="AN83">
            <v>84000</v>
          </cell>
          <cell r="AO83">
            <v>0</v>
          </cell>
          <cell r="AS83" t="str">
            <v/>
          </cell>
          <cell r="AT83" t="str">
            <v/>
          </cell>
        </row>
        <row r="84">
          <cell r="O84" t="str">
            <v>DSEKL5133ID</v>
          </cell>
          <cell r="AN84" t="str">
            <v/>
          </cell>
          <cell r="AO84" t="str">
            <v/>
          </cell>
          <cell r="AS84">
            <v>0</v>
          </cell>
          <cell r="AT84">
            <v>1</v>
          </cell>
        </row>
        <row r="85">
          <cell r="N85" t="str">
            <v>DSEKL087</v>
          </cell>
          <cell r="O85" t="str">
            <v>DSEKL0873ID</v>
          </cell>
          <cell r="AN85">
            <v>1721000</v>
          </cell>
          <cell r="AO85">
            <v>5</v>
          </cell>
          <cell r="AS85">
            <v>0</v>
          </cell>
          <cell r="AT85">
            <v>0</v>
          </cell>
        </row>
        <row r="86">
          <cell r="N86" t="str">
            <v>DSEKL092</v>
          </cell>
          <cell r="O86" t="str">
            <v>DSEKL0923ID</v>
          </cell>
          <cell r="AN86">
            <v>385600</v>
          </cell>
          <cell r="AO86">
            <v>5</v>
          </cell>
          <cell r="AS86">
            <v>0</v>
          </cell>
          <cell r="AT86">
            <v>0</v>
          </cell>
        </row>
        <row r="87">
          <cell r="N87" t="str">
            <v>DSEKL086</v>
          </cell>
          <cell r="AN87">
            <v>253000</v>
          </cell>
          <cell r="AO87">
            <v>0</v>
          </cell>
          <cell r="AS87" t="str">
            <v/>
          </cell>
          <cell r="AT87" t="str">
            <v/>
          </cell>
        </row>
        <row r="88">
          <cell r="N88" t="str">
            <v>DSEKL086</v>
          </cell>
          <cell r="AN88">
            <v>342500</v>
          </cell>
          <cell r="AO88">
            <v>0</v>
          </cell>
          <cell r="AS88" t="str">
            <v/>
          </cell>
          <cell r="AT88" t="str">
            <v/>
          </cell>
        </row>
        <row r="89">
          <cell r="N89" t="str">
            <v>DSEKL089</v>
          </cell>
          <cell r="AN89">
            <v>7145000</v>
          </cell>
          <cell r="AO89">
            <v>0</v>
          </cell>
          <cell r="AS89" t="str">
            <v/>
          </cell>
          <cell r="AT89" t="str">
            <v/>
          </cell>
        </row>
        <row r="90">
          <cell r="N90" t="str">
            <v>DSEKL089</v>
          </cell>
          <cell r="AN90">
            <v>290000</v>
          </cell>
          <cell r="AO90">
            <v>0</v>
          </cell>
          <cell r="AS90" t="str">
            <v/>
          </cell>
          <cell r="AT90" t="str">
            <v/>
          </cell>
        </row>
        <row r="91">
          <cell r="N91" t="str">
            <v>DSEKL087</v>
          </cell>
          <cell r="AN91">
            <v>0</v>
          </cell>
          <cell r="AO91">
            <v>0</v>
          </cell>
          <cell r="AS91" t="str">
            <v/>
          </cell>
          <cell r="AT91" t="str">
            <v/>
          </cell>
        </row>
        <row r="92">
          <cell r="N92" t="str">
            <v>DSEKL087</v>
          </cell>
          <cell r="O92" t="str">
            <v>DSEKL0873ID</v>
          </cell>
          <cell r="AN92">
            <v>0</v>
          </cell>
          <cell r="AO92">
            <v>0</v>
          </cell>
          <cell r="AS92">
            <v>0</v>
          </cell>
          <cell r="AT92">
            <v>0</v>
          </cell>
        </row>
        <row r="93">
          <cell r="N93" t="str">
            <v>DSEKL088</v>
          </cell>
          <cell r="AN93">
            <v>0</v>
          </cell>
          <cell r="AO93">
            <v>0</v>
          </cell>
          <cell r="AS93" t="str">
            <v/>
          </cell>
          <cell r="AT93" t="str">
            <v/>
          </cell>
        </row>
        <row r="94">
          <cell r="N94" t="str">
            <v>DSEKL088</v>
          </cell>
          <cell r="AN94">
            <v>200000</v>
          </cell>
          <cell r="AO94">
            <v>0</v>
          </cell>
          <cell r="AS94" t="str">
            <v/>
          </cell>
          <cell r="AT94" t="str">
            <v/>
          </cell>
        </row>
        <row r="95">
          <cell r="N95" t="str">
            <v>DSEKL088</v>
          </cell>
          <cell r="AN95">
            <v>0</v>
          </cell>
          <cell r="AO95">
            <v>0</v>
          </cell>
          <cell r="AS95" t="str">
            <v/>
          </cell>
          <cell r="AT95" t="str">
            <v/>
          </cell>
        </row>
        <row r="96">
          <cell r="N96" t="str">
            <v>DSEKL088</v>
          </cell>
          <cell r="AN96">
            <v>0</v>
          </cell>
          <cell r="AO96">
            <v>0</v>
          </cell>
          <cell r="AS96" t="str">
            <v/>
          </cell>
          <cell r="AT96" t="str">
            <v/>
          </cell>
        </row>
        <row r="97">
          <cell r="N97" t="str">
            <v>DSEKL513</v>
          </cell>
          <cell r="AN97">
            <v>217500</v>
          </cell>
          <cell r="AO97">
            <v>0</v>
          </cell>
          <cell r="AS97" t="str">
            <v/>
          </cell>
          <cell r="AT97" t="str">
            <v/>
          </cell>
        </row>
        <row r="98">
          <cell r="N98" t="str">
            <v>DSEKL513</v>
          </cell>
          <cell r="AN98">
            <v>198500</v>
          </cell>
          <cell r="AO98">
            <v>0</v>
          </cell>
          <cell r="AS98" t="str">
            <v/>
          </cell>
          <cell r="AT98" t="str">
            <v/>
          </cell>
        </row>
        <row r="99">
          <cell r="N99" t="str">
            <v>DSEKL513</v>
          </cell>
          <cell r="AN99">
            <v>235200</v>
          </cell>
          <cell r="AO99">
            <v>0</v>
          </cell>
          <cell r="AS99" t="str">
            <v/>
          </cell>
          <cell r="AT99" t="str">
            <v/>
          </cell>
        </row>
        <row r="100">
          <cell r="N100" t="str">
            <v>DSEKL513</v>
          </cell>
          <cell r="AN100">
            <v>143000</v>
          </cell>
          <cell r="AO100">
            <v>0</v>
          </cell>
          <cell r="AS100" t="str">
            <v/>
          </cell>
          <cell r="AT100" t="str">
            <v/>
          </cell>
        </row>
        <row r="101">
          <cell r="N101" t="str">
            <v>DSEKL513</v>
          </cell>
          <cell r="AN101">
            <v>463000</v>
          </cell>
          <cell r="AO101">
            <v>5</v>
          </cell>
          <cell r="AS101" t="str">
            <v/>
          </cell>
          <cell r="AT101" t="str">
            <v/>
          </cell>
        </row>
        <row r="102">
          <cell r="N102" t="str">
            <v>DSEKL513</v>
          </cell>
          <cell r="AN102">
            <v>300000</v>
          </cell>
          <cell r="AO102">
            <v>10</v>
          </cell>
          <cell r="AS102" t="str">
            <v/>
          </cell>
          <cell r="AT102" t="str">
            <v/>
          </cell>
        </row>
        <row r="103">
          <cell r="N103" t="str">
            <v>DSEKL513</v>
          </cell>
          <cell r="AN103">
            <v>226000</v>
          </cell>
          <cell r="AO103">
            <v>0</v>
          </cell>
          <cell r="AS103" t="str">
            <v/>
          </cell>
          <cell r="AT103" t="str">
            <v/>
          </cell>
        </row>
        <row r="104">
          <cell r="O104" t="str">
            <v>DSEKL5133ID</v>
          </cell>
          <cell r="AN104" t="str">
            <v/>
          </cell>
          <cell r="AO104" t="str">
            <v/>
          </cell>
          <cell r="AS104">
            <v>0</v>
          </cell>
          <cell r="AT104">
            <v>0</v>
          </cell>
        </row>
        <row r="105">
          <cell r="O105" t="str">
            <v>DSEKL5133ID</v>
          </cell>
          <cell r="AN105" t="str">
            <v/>
          </cell>
          <cell r="AO105" t="str">
            <v/>
          </cell>
          <cell r="AS105">
            <v>2000000</v>
          </cell>
          <cell r="AT105">
            <v>0</v>
          </cell>
        </row>
        <row r="106">
          <cell r="N106" t="str">
            <v>DSEKL513</v>
          </cell>
          <cell r="AN106">
            <v>1695000</v>
          </cell>
          <cell r="AO106">
            <v>5</v>
          </cell>
          <cell r="AS106" t="str">
            <v/>
          </cell>
          <cell r="AT106" t="str">
            <v/>
          </cell>
        </row>
        <row r="107">
          <cell r="N107" t="str">
            <v>DSEKL513</v>
          </cell>
          <cell r="AN107">
            <v>495000</v>
          </cell>
          <cell r="AO107">
            <v>5</v>
          </cell>
          <cell r="AS107" t="str">
            <v/>
          </cell>
          <cell r="AT107" t="str">
            <v/>
          </cell>
        </row>
        <row r="108">
          <cell r="N108" t="str">
            <v>DSEKL089</v>
          </cell>
          <cell r="AN108">
            <v>1500000</v>
          </cell>
          <cell r="AO108">
            <v>3</v>
          </cell>
          <cell r="AS108" t="str">
            <v/>
          </cell>
          <cell r="AT108" t="str">
            <v/>
          </cell>
        </row>
        <row r="109">
          <cell r="N109" t="str">
            <v>DSEKL089</v>
          </cell>
          <cell r="AN109">
            <v>698000</v>
          </cell>
          <cell r="AO109">
            <v>3</v>
          </cell>
          <cell r="AS109" t="str">
            <v/>
          </cell>
          <cell r="AT109" t="str">
            <v/>
          </cell>
        </row>
        <row r="110">
          <cell r="N110" t="str">
            <v>DSEKL089</v>
          </cell>
          <cell r="AN110">
            <v>0</v>
          </cell>
          <cell r="AO110">
            <v>0</v>
          </cell>
          <cell r="AS110" t="str">
            <v/>
          </cell>
          <cell r="AT110" t="str">
            <v/>
          </cell>
        </row>
        <row r="111">
          <cell r="N111" t="str">
            <v>DSEKL089</v>
          </cell>
          <cell r="AN111">
            <v>0</v>
          </cell>
          <cell r="AO111">
            <v>0</v>
          </cell>
          <cell r="AS111" t="str">
            <v/>
          </cell>
          <cell r="AT111" t="str">
            <v/>
          </cell>
        </row>
        <row r="112">
          <cell r="N112" t="str">
            <v>DSEKL092</v>
          </cell>
          <cell r="AN112">
            <v>934000</v>
          </cell>
          <cell r="AO112">
            <v>0</v>
          </cell>
          <cell r="AS112" t="str">
            <v/>
          </cell>
          <cell r="AT112" t="str">
            <v/>
          </cell>
        </row>
        <row r="113">
          <cell r="N113" t="str">
            <v>DSEKL092</v>
          </cell>
          <cell r="AN113">
            <v>359200</v>
          </cell>
          <cell r="AO113">
            <v>0</v>
          </cell>
          <cell r="AS113" t="str">
            <v/>
          </cell>
          <cell r="AT113" t="str">
            <v/>
          </cell>
        </row>
        <row r="114">
          <cell r="O114" t="str">
            <v>DSEKL0923ID</v>
          </cell>
          <cell r="AN114" t="str">
            <v/>
          </cell>
          <cell r="AO114" t="str">
            <v/>
          </cell>
          <cell r="AS114">
            <v>0</v>
          </cell>
          <cell r="AT114">
            <v>0</v>
          </cell>
        </row>
        <row r="115">
          <cell r="N115" t="str">
            <v>DSEKL092</v>
          </cell>
          <cell r="AN115">
            <v>376000</v>
          </cell>
          <cell r="AO115">
            <v>0</v>
          </cell>
          <cell r="AS115" t="str">
            <v/>
          </cell>
          <cell r="AT115" t="str">
            <v/>
          </cell>
        </row>
        <row r="116">
          <cell r="N116" t="str">
            <v>DSEKL092</v>
          </cell>
          <cell r="AN116">
            <v>322200</v>
          </cell>
          <cell r="AO116">
            <v>0</v>
          </cell>
          <cell r="AS116" t="str">
            <v/>
          </cell>
          <cell r="AT116" t="str">
            <v/>
          </cell>
        </row>
        <row r="117">
          <cell r="N117" t="str">
            <v>DSEKL088</v>
          </cell>
          <cell r="AN117">
            <v>84000</v>
          </cell>
          <cell r="AO117">
            <v>0</v>
          </cell>
          <cell r="AS117" t="str">
            <v/>
          </cell>
          <cell r="AT117" t="str">
            <v/>
          </cell>
        </row>
        <row r="118">
          <cell r="N118" t="str">
            <v>DSEKL088</v>
          </cell>
          <cell r="AN118">
            <v>250400</v>
          </cell>
          <cell r="AO118">
            <v>0</v>
          </cell>
          <cell r="AS118" t="str">
            <v/>
          </cell>
          <cell r="AT118" t="str">
            <v/>
          </cell>
        </row>
        <row r="119">
          <cell r="N119" t="str">
            <v>DSEKL088</v>
          </cell>
          <cell r="AN119">
            <v>0</v>
          </cell>
          <cell r="AO119">
            <v>0</v>
          </cell>
          <cell r="AS119" t="str">
            <v/>
          </cell>
          <cell r="AT119" t="str">
            <v/>
          </cell>
        </row>
        <row r="120">
          <cell r="N120" t="str">
            <v>DSEKL088</v>
          </cell>
          <cell r="AN120">
            <v>0</v>
          </cell>
          <cell r="AO120">
            <v>0</v>
          </cell>
          <cell r="AS120" t="str">
            <v/>
          </cell>
          <cell r="AT120" t="str">
            <v/>
          </cell>
        </row>
        <row r="121">
          <cell r="N121" t="str">
            <v>DSEKL088</v>
          </cell>
          <cell r="AN121">
            <v>0</v>
          </cell>
          <cell r="AO121">
            <v>0</v>
          </cell>
          <cell r="AS121" t="str">
            <v/>
          </cell>
          <cell r="AT121" t="str">
            <v/>
          </cell>
        </row>
        <row r="122">
          <cell r="N122" t="str">
            <v>DSEKL088</v>
          </cell>
          <cell r="AN122">
            <v>0</v>
          </cell>
          <cell r="AO122">
            <v>0</v>
          </cell>
          <cell r="AS122" t="str">
            <v/>
          </cell>
          <cell r="AT122" t="str">
            <v/>
          </cell>
        </row>
        <row r="123">
          <cell r="N123" t="str">
            <v>DSEKL089</v>
          </cell>
          <cell r="AN123">
            <v>936000</v>
          </cell>
          <cell r="AO123">
            <v>0</v>
          </cell>
          <cell r="AS123" t="str">
            <v/>
          </cell>
          <cell r="AT123" t="str">
            <v/>
          </cell>
        </row>
        <row r="124">
          <cell r="O124" t="str">
            <v>DSEKL0893ID</v>
          </cell>
          <cell r="AN124" t="str">
            <v/>
          </cell>
          <cell r="AO124" t="str">
            <v/>
          </cell>
          <cell r="AS124">
            <v>0</v>
          </cell>
          <cell r="AT124">
            <v>0</v>
          </cell>
        </row>
        <row r="125">
          <cell r="N125" t="str">
            <v>DSEKL089</v>
          </cell>
          <cell r="AN125">
            <v>500000</v>
          </cell>
          <cell r="AO125">
            <v>0</v>
          </cell>
          <cell r="AS125" t="str">
            <v/>
          </cell>
          <cell r="AT125" t="str">
            <v/>
          </cell>
        </row>
        <row r="126">
          <cell r="N126" t="str">
            <v>DSEKL089</v>
          </cell>
          <cell r="AN126">
            <v>792000</v>
          </cell>
          <cell r="AO126">
            <v>3</v>
          </cell>
          <cell r="AS126" t="str">
            <v/>
          </cell>
          <cell r="AT126" t="str">
            <v/>
          </cell>
        </row>
        <row r="127">
          <cell r="N127" t="str">
            <v>DSEKL089</v>
          </cell>
          <cell r="AN127">
            <v>234000</v>
          </cell>
          <cell r="AO127">
            <v>0</v>
          </cell>
          <cell r="AS127" t="str">
            <v/>
          </cell>
          <cell r="AT127" t="str">
            <v/>
          </cell>
        </row>
        <row r="128">
          <cell r="N128" t="str">
            <v>DSEKL513</v>
          </cell>
          <cell r="O128" t="str">
            <v>DSEKL5133ID</v>
          </cell>
          <cell r="AN128">
            <v>8473000</v>
          </cell>
          <cell r="AO128">
            <v>5</v>
          </cell>
          <cell r="AS128">
            <v>0</v>
          </cell>
          <cell r="AT128">
            <v>0</v>
          </cell>
        </row>
        <row r="129">
          <cell r="N129" t="str">
            <v>DSEKL513</v>
          </cell>
          <cell r="O129" t="str">
            <v>DSEKL5133ID</v>
          </cell>
          <cell r="AN129">
            <v>2690000</v>
          </cell>
          <cell r="AO129">
            <v>0</v>
          </cell>
          <cell r="AS129">
            <v>0</v>
          </cell>
          <cell r="AT129">
            <v>0</v>
          </cell>
        </row>
        <row r="130">
          <cell r="N130" t="str">
            <v>DSEKL513</v>
          </cell>
          <cell r="O130" t="str">
            <v>DSEKL5133ID</v>
          </cell>
          <cell r="AN130">
            <v>300000</v>
          </cell>
          <cell r="AO130">
            <v>0</v>
          </cell>
          <cell r="AS130">
            <v>100000</v>
          </cell>
          <cell r="AT130">
            <v>0</v>
          </cell>
        </row>
        <row r="131">
          <cell r="N131" t="str">
            <v>DSEKL513</v>
          </cell>
          <cell r="AN131">
            <v>0</v>
          </cell>
          <cell r="AO131">
            <v>0</v>
          </cell>
          <cell r="AS131" t="str">
            <v/>
          </cell>
          <cell r="AT131" t="str">
            <v/>
          </cell>
        </row>
        <row r="132">
          <cell r="N132" t="str">
            <v>DSEKL088</v>
          </cell>
          <cell r="AN132">
            <v>0</v>
          </cell>
          <cell r="AO132">
            <v>0</v>
          </cell>
          <cell r="AS132" t="str">
            <v/>
          </cell>
          <cell r="AT132" t="str">
            <v/>
          </cell>
        </row>
        <row r="133">
          <cell r="N133" t="str">
            <v>DSEKL088</v>
          </cell>
          <cell r="AN133">
            <v>1000000</v>
          </cell>
          <cell r="AO133">
            <v>0</v>
          </cell>
          <cell r="AS133" t="str">
            <v/>
          </cell>
          <cell r="AT133" t="str">
            <v/>
          </cell>
        </row>
        <row r="134">
          <cell r="N134" t="str">
            <v>DSEKL088</v>
          </cell>
          <cell r="AN134">
            <v>50400</v>
          </cell>
          <cell r="AO134">
            <v>0</v>
          </cell>
          <cell r="AS134" t="str">
            <v/>
          </cell>
          <cell r="AT134" t="str">
            <v/>
          </cell>
        </row>
        <row r="135">
          <cell r="N135" t="str">
            <v>DSEKL088</v>
          </cell>
          <cell r="AN135">
            <v>0</v>
          </cell>
          <cell r="AO135">
            <v>0</v>
          </cell>
          <cell r="AS135" t="str">
            <v/>
          </cell>
          <cell r="AT135" t="str">
            <v/>
          </cell>
        </row>
        <row r="136">
          <cell r="O136" t="str">
            <v>DSEKL0883ID</v>
          </cell>
          <cell r="AN136" t="str">
            <v/>
          </cell>
          <cell r="AO136" t="str">
            <v/>
          </cell>
          <cell r="AS136">
            <v>0</v>
          </cell>
          <cell r="AT136">
            <v>0</v>
          </cell>
        </row>
        <row r="137">
          <cell r="N137" t="str">
            <v>DSEKL087</v>
          </cell>
          <cell r="AN137">
            <v>1544000</v>
          </cell>
          <cell r="AO137">
            <v>5</v>
          </cell>
          <cell r="AS137" t="str">
            <v/>
          </cell>
          <cell r="AT137" t="str">
            <v/>
          </cell>
        </row>
        <row r="138">
          <cell r="O138" t="str">
            <v>DSEKL0873ID</v>
          </cell>
          <cell r="AN138" t="str">
            <v/>
          </cell>
          <cell r="AO138" t="str">
            <v/>
          </cell>
          <cell r="AS138">
            <v>0</v>
          </cell>
          <cell r="AT138">
            <v>0</v>
          </cell>
        </row>
        <row r="139">
          <cell r="N139" t="str">
            <v>DSEKL087</v>
          </cell>
          <cell r="AN139">
            <v>363400</v>
          </cell>
          <cell r="AO139">
            <v>0</v>
          </cell>
          <cell r="AS139" t="str">
            <v/>
          </cell>
          <cell r="AT139" t="str">
            <v/>
          </cell>
        </row>
        <row r="140">
          <cell r="N140" t="str">
            <v>DSEKL087</v>
          </cell>
          <cell r="AN140">
            <v>240500</v>
          </cell>
          <cell r="AO140">
            <v>0</v>
          </cell>
          <cell r="AS140" t="str">
            <v/>
          </cell>
          <cell r="AT140" t="str">
            <v/>
          </cell>
        </row>
        <row r="141">
          <cell r="O141" t="str">
            <v>DSEKL0873ID</v>
          </cell>
          <cell r="AN141" t="str">
            <v/>
          </cell>
          <cell r="AO141" t="str">
            <v/>
          </cell>
          <cell r="AS141">
            <v>0</v>
          </cell>
          <cell r="AT141">
            <v>0</v>
          </cell>
        </row>
        <row r="142">
          <cell r="O142" t="str">
            <v>DSEKL0873ID</v>
          </cell>
          <cell r="AN142" t="str">
            <v/>
          </cell>
          <cell r="AO142" t="str">
            <v/>
          </cell>
          <cell r="AS142">
            <v>0</v>
          </cell>
          <cell r="AT142">
            <v>0</v>
          </cell>
        </row>
        <row r="143">
          <cell r="O143" t="str">
            <v>DSEKL0873ID</v>
          </cell>
          <cell r="AN143" t="str">
            <v/>
          </cell>
          <cell r="AO143" t="str">
            <v/>
          </cell>
          <cell r="AS143">
            <v>0</v>
          </cell>
          <cell r="AT143">
            <v>0</v>
          </cell>
        </row>
        <row r="144">
          <cell r="N144" t="str">
            <v>DSEKL092</v>
          </cell>
          <cell r="O144" t="str">
            <v>DSEKL0923ID</v>
          </cell>
          <cell r="AN144">
            <v>562800</v>
          </cell>
          <cell r="AO144">
            <v>5</v>
          </cell>
          <cell r="AS144">
            <v>0</v>
          </cell>
          <cell r="AT144">
            <v>0</v>
          </cell>
        </row>
        <row r="145">
          <cell r="N145" t="str">
            <v>DSEKL092</v>
          </cell>
          <cell r="O145" t="str">
            <v>DSEKL0923ID</v>
          </cell>
          <cell r="AN145">
            <v>313400</v>
          </cell>
          <cell r="AO145">
            <v>0</v>
          </cell>
          <cell r="AS145">
            <v>0</v>
          </cell>
          <cell r="AT145">
            <v>0</v>
          </cell>
        </row>
        <row r="146">
          <cell r="N146" t="str">
            <v>DSEKL092</v>
          </cell>
          <cell r="AN146">
            <v>219600</v>
          </cell>
          <cell r="AO146">
            <v>0</v>
          </cell>
          <cell r="AS146" t="str">
            <v/>
          </cell>
          <cell r="AT146" t="str">
            <v/>
          </cell>
        </row>
        <row r="147">
          <cell r="N147" t="str">
            <v>DSEKL092</v>
          </cell>
          <cell r="AN147">
            <v>5158200</v>
          </cell>
          <cell r="AO147">
            <v>5</v>
          </cell>
          <cell r="AS147" t="str">
            <v/>
          </cell>
          <cell r="AT147" t="str">
            <v/>
          </cell>
        </row>
        <row r="148">
          <cell r="N148" t="str">
            <v>DSEKL087</v>
          </cell>
          <cell r="O148" t="str">
            <v>DSEKL0873ID</v>
          </cell>
          <cell r="AN148">
            <v>2944000</v>
          </cell>
          <cell r="AO148">
            <v>5</v>
          </cell>
          <cell r="AS148">
            <v>2000000</v>
          </cell>
          <cell r="AT148">
            <v>0</v>
          </cell>
        </row>
        <row r="149">
          <cell r="N149" t="str">
            <v>DSEKL087</v>
          </cell>
          <cell r="AN149">
            <v>1790000</v>
          </cell>
          <cell r="AO149">
            <v>10</v>
          </cell>
          <cell r="AS149" t="str">
            <v/>
          </cell>
          <cell r="AT149" t="str">
            <v/>
          </cell>
        </row>
        <row r="150">
          <cell r="N150" t="str">
            <v>DSEKL087</v>
          </cell>
          <cell r="AN150">
            <v>0</v>
          </cell>
          <cell r="AO150">
            <v>0</v>
          </cell>
          <cell r="AS150" t="str">
            <v/>
          </cell>
          <cell r="AT150" t="str">
            <v/>
          </cell>
        </row>
        <row r="151">
          <cell r="O151" t="str">
            <v>DSEKL0873ID</v>
          </cell>
          <cell r="AN151" t="str">
            <v/>
          </cell>
          <cell r="AO151" t="str">
            <v/>
          </cell>
          <cell r="AS151">
            <v>2000000</v>
          </cell>
          <cell r="AT151">
            <v>0</v>
          </cell>
        </row>
        <row r="152">
          <cell r="N152" t="str">
            <v>DSEKL087</v>
          </cell>
          <cell r="O152" t="str">
            <v>DSEKL0873ID</v>
          </cell>
          <cell r="AN152">
            <v>6115300</v>
          </cell>
          <cell r="AO152">
            <v>0</v>
          </cell>
          <cell r="AS152">
            <v>0</v>
          </cell>
          <cell r="AT152">
            <v>0</v>
          </cell>
        </row>
        <row r="153">
          <cell r="N153" t="str">
            <v>DSEKL087</v>
          </cell>
          <cell r="AN153">
            <v>255000</v>
          </cell>
          <cell r="AO153">
            <v>0</v>
          </cell>
          <cell r="AS153" t="str">
            <v/>
          </cell>
          <cell r="AT153" t="str">
            <v/>
          </cell>
        </row>
        <row r="154">
          <cell r="N154" t="str">
            <v>DSEKL087</v>
          </cell>
          <cell r="AN154">
            <v>0</v>
          </cell>
          <cell r="AO154">
            <v>0</v>
          </cell>
          <cell r="AS154" t="str">
            <v/>
          </cell>
          <cell r="AT154" t="str">
            <v/>
          </cell>
        </row>
        <row r="155">
          <cell r="N155" t="str">
            <v>DSEKL092</v>
          </cell>
          <cell r="AN155">
            <v>52800</v>
          </cell>
          <cell r="AO155">
            <v>0</v>
          </cell>
          <cell r="AS155" t="str">
            <v/>
          </cell>
          <cell r="AT155" t="str">
            <v/>
          </cell>
        </row>
        <row r="156">
          <cell r="N156" t="str">
            <v>DSEKL092</v>
          </cell>
          <cell r="O156" t="str">
            <v>DSEKL0923ID</v>
          </cell>
          <cell r="AN156">
            <v>2356400</v>
          </cell>
          <cell r="AO156">
            <v>5</v>
          </cell>
          <cell r="AS156">
            <v>500000</v>
          </cell>
          <cell r="AT156">
            <v>0</v>
          </cell>
        </row>
        <row r="157">
          <cell r="N157" t="str">
            <v>DSEKL092</v>
          </cell>
          <cell r="O157" t="str">
            <v>DSEKL0923ID</v>
          </cell>
          <cell r="AN157">
            <v>251000</v>
          </cell>
          <cell r="AO157">
            <v>0</v>
          </cell>
          <cell r="AS157">
            <v>0</v>
          </cell>
          <cell r="AT157">
            <v>0</v>
          </cell>
        </row>
        <row r="158">
          <cell r="N158" t="str">
            <v>DSEKL092</v>
          </cell>
          <cell r="O158" t="str">
            <v>DSEKL0923ID</v>
          </cell>
          <cell r="AN158">
            <v>2764200</v>
          </cell>
          <cell r="AO158">
            <v>0</v>
          </cell>
          <cell r="AS158">
            <v>1400000</v>
          </cell>
          <cell r="AT158">
            <v>0</v>
          </cell>
        </row>
        <row r="159">
          <cell r="N159" t="str">
            <v>DSEKL092</v>
          </cell>
          <cell r="O159" t="str">
            <v>DSEKL0923ID</v>
          </cell>
          <cell r="AN159">
            <v>217900</v>
          </cell>
          <cell r="AO159">
            <v>0</v>
          </cell>
          <cell r="AS159">
            <v>0</v>
          </cell>
          <cell r="AT159">
            <v>0</v>
          </cell>
        </row>
        <row r="160">
          <cell r="N160" t="str">
            <v>DSEKL092</v>
          </cell>
          <cell r="O160" t="str">
            <v>DSEKL0923ID</v>
          </cell>
          <cell r="AN160">
            <v>603200</v>
          </cell>
          <cell r="AO160">
            <v>0</v>
          </cell>
          <cell r="AS160">
            <v>300000</v>
          </cell>
          <cell r="AT160">
            <v>0</v>
          </cell>
        </row>
        <row r="161">
          <cell r="N161" t="str">
            <v>DSEKL092</v>
          </cell>
          <cell r="AN161">
            <v>206400</v>
          </cell>
          <cell r="AO161">
            <v>0</v>
          </cell>
          <cell r="AS161" t="str">
            <v/>
          </cell>
          <cell r="AT161" t="str">
            <v/>
          </cell>
        </row>
        <row r="162">
          <cell r="N162" t="str">
            <v>DSEKL092</v>
          </cell>
          <cell r="AN162">
            <v>255600</v>
          </cell>
          <cell r="AO162">
            <v>5</v>
          </cell>
          <cell r="AS162" t="str">
            <v/>
          </cell>
          <cell r="AT162" t="str">
            <v/>
          </cell>
        </row>
        <row r="163">
          <cell r="N163" t="str">
            <v>DSEKL092</v>
          </cell>
          <cell r="AN163">
            <v>0</v>
          </cell>
          <cell r="AO163">
            <v>0</v>
          </cell>
          <cell r="AS163" t="str">
            <v/>
          </cell>
          <cell r="AT163" t="str">
            <v/>
          </cell>
        </row>
        <row r="164">
          <cell r="N164" t="str">
            <v>DSEKL092</v>
          </cell>
          <cell r="AN164">
            <v>267400</v>
          </cell>
          <cell r="AO164">
            <v>0</v>
          </cell>
          <cell r="AS164" t="str">
            <v/>
          </cell>
          <cell r="AT164" t="str">
            <v/>
          </cell>
        </row>
        <row r="165">
          <cell r="N165" t="str">
            <v>DSEKL092</v>
          </cell>
          <cell r="AN165">
            <v>0</v>
          </cell>
          <cell r="AO165">
            <v>0</v>
          </cell>
          <cell r="AS165" t="str">
            <v/>
          </cell>
          <cell r="AT165" t="str">
            <v/>
          </cell>
        </row>
        <row r="166">
          <cell r="O166" t="str">
            <v>DSEKL0923ID</v>
          </cell>
          <cell r="AN166" t="str">
            <v/>
          </cell>
          <cell r="AO166" t="str">
            <v/>
          </cell>
          <cell r="AS166">
            <v>0</v>
          </cell>
          <cell r="AT166">
            <v>0</v>
          </cell>
        </row>
        <row r="167">
          <cell r="O167" t="str">
            <v>DSEKL0923ID</v>
          </cell>
          <cell r="AN167" t="str">
            <v/>
          </cell>
          <cell r="AO167" t="str">
            <v/>
          </cell>
          <cell r="AS167">
            <v>0</v>
          </cell>
          <cell r="AT167">
            <v>0</v>
          </cell>
        </row>
        <row r="168">
          <cell r="N168" t="str">
            <v>DSEKL087</v>
          </cell>
          <cell r="AN168">
            <v>186000</v>
          </cell>
          <cell r="AO168">
            <v>0</v>
          </cell>
          <cell r="AS168" t="str">
            <v/>
          </cell>
          <cell r="AT168" t="str">
            <v/>
          </cell>
        </row>
        <row r="169">
          <cell r="N169" t="str">
            <v>DSEKL087</v>
          </cell>
          <cell r="AN169">
            <v>218400</v>
          </cell>
          <cell r="AO169">
            <v>0</v>
          </cell>
          <cell r="AS169" t="str">
            <v/>
          </cell>
          <cell r="AT169" t="str">
            <v/>
          </cell>
        </row>
        <row r="170">
          <cell r="N170" t="str">
            <v>DSEKL087</v>
          </cell>
          <cell r="AN170">
            <v>0</v>
          </cell>
          <cell r="AO170">
            <v>0</v>
          </cell>
          <cell r="AS170" t="str">
            <v/>
          </cell>
          <cell r="AT170" t="str">
            <v/>
          </cell>
        </row>
        <row r="171">
          <cell r="N171" t="str">
            <v>DSEKL087</v>
          </cell>
          <cell r="AN171">
            <v>352000</v>
          </cell>
          <cell r="AO171">
            <v>0</v>
          </cell>
          <cell r="AS171" t="str">
            <v/>
          </cell>
          <cell r="AT171" t="str">
            <v/>
          </cell>
        </row>
        <row r="172">
          <cell r="N172" t="str">
            <v>DSEKL087</v>
          </cell>
          <cell r="O172" t="str">
            <v>DSEKL0873ID</v>
          </cell>
          <cell r="AN172">
            <v>235200</v>
          </cell>
          <cell r="AO172">
            <v>0</v>
          </cell>
          <cell r="AS172">
            <v>0</v>
          </cell>
          <cell r="AT172">
            <v>0</v>
          </cell>
        </row>
        <row r="173">
          <cell r="N173" t="str">
            <v>DSEKL087</v>
          </cell>
          <cell r="O173" t="str">
            <v>DSEKL0873ID</v>
          </cell>
          <cell r="AN173">
            <v>1858200</v>
          </cell>
          <cell r="AO173">
            <v>0</v>
          </cell>
          <cell r="AS173">
            <v>700000</v>
          </cell>
          <cell r="AT173">
            <v>0</v>
          </cell>
        </row>
        <row r="174">
          <cell r="N174" t="str">
            <v>DSEKL087</v>
          </cell>
          <cell r="AN174">
            <v>51000</v>
          </cell>
          <cell r="AO174">
            <v>0</v>
          </cell>
          <cell r="AS174" t="str">
            <v/>
          </cell>
          <cell r="AT174" t="str">
            <v/>
          </cell>
        </row>
        <row r="175">
          <cell r="N175" t="str">
            <v>DSEKL087</v>
          </cell>
          <cell r="AN175">
            <v>361700</v>
          </cell>
          <cell r="AO175">
            <v>0</v>
          </cell>
          <cell r="AS175" t="str">
            <v/>
          </cell>
          <cell r="AT175" t="str">
            <v/>
          </cell>
        </row>
        <row r="176">
          <cell r="N176" t="str">
            <v>DSEKL089</v>
          </cell>
          <cell r="AN176">
            <v>558000</v>
          </cell>
          <cell r="AO176">
            <v>3</v>
          </cell>
          <cell r="AS176" t="str">
            <v/>
          </cell>
          <cell r="AT176" t="str">
            <v/>
          </cell>
        </row>
        <row r="177">
          <cell r="N177" t="str">
            <v>DSEKL089</v>
          </cell>
          <cell r="AN177">
            <v>1650000</v>
          </cell>
          <cell r="AO177">
            <v>0</v>
          </cell>
          <cell r="AS177" t="str">
            <v/>
          </cell>
          <cell r="AT177" t="str">
            <v/>
          </cell>
        </row>
        <row r="178">
          <cell r="N178" t="str">
            <v>DSEKL089</v>
          </cell>
          <cell r="AN178">
            <v>870000</v>
          </cell>
          <cell r="AO178">
            <v>0</v>
          </cell>
          <cell r="AS178" t="str">
            <v/>
          </cell>
          <cell r="AT178" t="str">
            <v/>
          </cell>
        </row>
        <row r="179">
          <cell r="N179" t="str">
            <v>DSEKL089</v>
          </cell>
          <cell r="AN179">
            <v>458000</v>
          </cell>
          <cell r="AO179">
            <v>0</v>
          </cell>
          <cell r="AS179" t="str">
            <v/>
          </cell>
          <cell r="AT179" t="str">
            <v/>
          </cell>
        </row>
        <row r="180">
          <cell r="N180" t="str">
            <v>DSEKL089</v>
          </cell>
          <cell r="AN180">
            <v>626000</v>
          </cell>
          <cell r="AO180">
            <v>0</v>
          </cell>
          <cell r="AS180" t="str">
            <v/>
          </cell>
          <cell r="AT180" t="str">
            <v/>
          </cell>
        </row>
        <row r="181">
          <cell r="O181" t="str">
            <v>DSEKL0893ID</v>
          </cell>
          <cell r="AN181" t="str">
            <v/>
          </cell>
          <cell r="AO181" t="str">
            <v/>
          </cell>
          <cell r="AS181">
            <v>0</v>
          </cell>
          <cell r="AT181">
            <v>0</v>
          </cell>
        </row>
        <row r="182">
          <cell r="N182" t="str">
            <v>DSEKL086</v>
          </cell>
          <cell r="AN182">
            <v>1000000</v>
          </cell>
          <cell r="AO182">
            <v>0</v>
          </cell>
          <cell r="AS182" t="str">
            <v/>
          </cell>
          <cell r="AT182" t="str">
            <v/>
          </cell>
        </row>
        <row r="183">
          <cell r="N183" t="str">
            <v>DSEKL086</v>
          </cell>
          <cell r="AN183">
            <v>0</v>
          </cell>
          <cell r="AO183">
            <v>0</v>
          </cell>
          <cell r="AS183" t="str">
            <v/>
          </cell>
          <cell r="AT183" t="str">
            <v/>
          </cell>
        </row>
        <row r="184">
          <cell r="N184" t="str">
            <v>DSEKL086</v>
          </cell>
          <cell r="AN184">
            <v>3000000</v>
          </cell>
          <cell r="AO184">
            <v>0</v>
          </cell>
          <cell r="AS184" t="str">
            <v/>
          </cell>
          <cell r="AT184" t="str">
            <v/>
          </cell>
        </row>
        <row r="185">
          <cell r="N185" t="str">
            <v>DSEKL086</v>
          </cell>
          <cell r="AN185">
            <v>253000</v>
          </cell>
          <cell r="AO185">
            <v>0</v>
          </cell>
          <cell r="AS185" t="str">
            <v/>
          </cell>
          <cell r="AT185" t="str">
            <v/>
          </cell>
        </row>
        <row r="186">
          <cell r="N186" t="str">
            <v>DSEKL086</v>
          </cell>
          <cell r="AN186">
            <v>218400</v>
          </cell>
          <cell r="AO186">
            <v>0</v>
          </cell>
          <cell r="AS186" t="str">
            <v/>
          </cell>
          <cell r="AT186" t="str">
            <v/>
          </cell>
        </row>
        <row r="187">
          <cell r="N187" t="str">
            <v>DSEKL086</v>
          </cell>
          <cell r="AN187">
            <v>1900000</v>
          </cell>
          <cell r="AO187">
            <v>0</v>
          </cell>
          <cell r="AS187" t="str">
            <v/>
          </cell>
          <cell r="AT187" t="str">
            <v/>
          </cell>
        </row>
        <row r="188">
          <cell r="N188" t="str">
            <v>DSEKL086</v>
          </cell>
          <cell r="O188" t="str">
            <v>DSEKL0863ID</v>
          </cell>
          <cell r="AN188">
            <v>518400</v>
          </cell>
          <cell r="AO188">
            <v>0</v>
          </cell>
          <cell r="AS188">
            <v>1000000</v>
          </cell>
          <cell r="AT188">
            <v>0</v>
          </cell>
        </row>
        <row r="189">
          <cell r="N189" t="str">
            <v>DSEKL086</v>
          </cell>
          <cell r="AN189">
            <v>0</v>
          </cell>
          <cell r="AO189">
            <v>0</v>
          </cell>
          <cell r="AS189" t="str">
            <v/>
          </cell>
          <cell r="AT189" t="str">
            <v/>
          </cell>
        </row>
        <row r="190">
          <cell r="N190" t="str">
            <v>DSEKL086</v>
          </cell>
          <cell r="AN190">
            <v>0</v>
          </cell>
          <cell r="AO190">
            <v>0</v>
          </cell>
          <cell r="AS190" t="str">
            <v/>
          </cell>
          <cell r="AT190" t="str">
            <v/>
          </cell>
        </row>
        <row r="191">
          <cell r="O191" t="str">
            <v>DSEKL0863ID</v>
          </cell>
          <cell r="AN191" t="str">
            <v/>
          </cell>
          <cell r="AO191" t="str">
            <v/>
          </cell>
          <cell r="AS191">
            <v>0</v>
          </cell>
          <cell r="AT191">
            <v>0</v>
          </cell>
        </row>
        <row r="192">
          <cell r="N192" t="str">
            <v>DSEKL086</v>
          </cell>
          <cell r="O192" t="str">
            <v>DSEKL0863ID</v>
          </cell>
          <cell r="AN192">
            <v>16100000</v>
          </cell>
          <cell r="AO192">
            <v>8</v>
          </cell>
          <cell r="AS192">
            <v>0</v>
          </cell>
          <cell r="AT192">
            <v>0</v>
          </cell>
        </row>
        <row r="193">
          <cell r="N193" t="str">
            <v>DSEKL086</v>
          </cell>
          <cell r="AN193">
            <v>8204000</v>
          </cell>
          <cell r="AO193">
            <v>5</v>
          </cell>
          <cell r="AS193" t="str">
            <v/>
          </cell>
          <cell r="AT193" t="str">
            <v/>
          </cell>
        </row>
        <row r="194">
          <cell r="N194" t="str">
            <v>DSEKL086</v>
          </cell>
          <cell r="AN194">
            <v>0</v>
          </cell>
          <cell r="AO194">
            <v>0</v>
          </cell>
          <cell r="AS194" t="str">
            <v/>
          </cell>
          <cell r="AT194" t="str">
            <v/>
          </cell>
        </row>
        <row r="195">
          <cell r="N195" t="str">
            <v>DSEKL086</v>
          </cell>
          <cell r="AN195">
            <v>0</v>
          </cell>
          <cell r="AO195">
            <v>0</v>
          </cell>
          <cell r="AS195" t="str">
            <v/>
          </cell>
          <cell r="AT195" t="str">
            <v/>
          </cell>
        </row>
        <row r="196">
          <cell r="O196" t="str">
            <v>DSEKL0863ID</v>
          </cell>
          <cell r="AN196" t="str">
            <v/>
          </cell>
          <cell r="AO196" t="str">
            <v/>
          </cell>
          <cell r="AS196">
            <v>0</v>
          </cell>
          <cell r="AT196">
            <v>0</v>
          </cell>
        </row>
        <row r="197">
          <cell r="N197" t="str">
            <v>DSEKL086</v>
          </cell>
          <cell r="O197" t="str">
            <v>DSEKL0863ID</v>
          </cell>
          <cell r="AN197">
            <v>5210500</v>
          </cell>
          <cell r="AO197">
            <v>0</v>
          </cell>
          <cell r="AS197">
            <v>1000000</v>
          </cell>
          <cell r="AT197">
            <v>0</v>
          </cell>
        </row>
        <row r="198">
          <cell r="N198" t="str">
            <v>DSEKL086</v>
          </cell>
          <cell r="AN198">
            <v>210500</v>
          </cell>
          <cell r="AO198">
            <v>0</v>
          </cell>
          <cell r="AS198" t="str">
            <v/>
          </cell>
          <cell r="AT198" t="str">
            <v/>
          </cell>
        </row>
        <row r="199">
          <cell r="N199" t="str">
            <v>DSEKL086</v>
          </cell>
          <cell r="AN199">
            <v>168000</v>
          </cell>
          <cell r="AO199">
            <v>0</v>
          </cell>
          <cell r="AS199" t="str">
            <v/>
          </cell>
          <cell r="AT199" t="str">
            <v/>
          </cell>
        </row>
        <row r="200">
          <cell r="N200" t="str">
            <v>DSEKL086</v>
          </cell>
          <cell r="AN200">
            <v>694500</v>
          </cell>
          <cell r="AO200">
            <v>0</v>
          </cell>
          <cell r="AS200" t="str">
            <v/>
          </cell>
          <cell r="AT200" t="str">
            <v/>
          </cell>
        </row>
        <row r="201">
          <cell r="O201" t="str">
            <v>DSEKL0863ID</v>
          </cell>
          <cell r="AN201" t="str">
            <v/>
          </cell>
          <cell r="AO201" t="str">
            <v/>
          </cell>
          <cell r="AS201">
            <v>3000000</v>
          </cell>
          <cell r="AT201">
            <v>0</v>
          </cell>
        </row>
        <row r="202">
          <cell r="O202" t="str">
            <v>DSEKL0863ID</v>
          </cell>
          <cell r="AN202" t="str">
            <v/>
          </cell>
          <cell r="AO202" t="str">
            <v/>
          </cell>
          <cell r="AS202">
            <v>0</v>
          </cell>
          <cell r="AT202">
            <v>0</v>
          </cell>
        </row>
        <row r="203">
          <cell r="O203" t="str">
            <v>DSEKL0863ID</v>
          </cell>
          <cell r="AN203" t="str">
            <v/>
          </cell>
          <cell r="AO203" t="str">
            <v/>
          </cell>
          <cell r="AS203">
            <v>0</v>
          </cell>
          <cell r="AT203">
            <v>0</v>
          </cell>
        </row>
        <row r="204">
          <cell r="N204" t="str">
            <v>DSEKL086</v>
          </cell>
          <cell r="AN204">
            <v>0</v>
          </cell>
          <cell r="AO204">
            <v>0</v>
          </cell>
          <cell r="AS204" t="str">
            <v/>
          </cell>
          <cell r="AT204" t="str">
            <v/>
          </cell>
        </row>
        <row r="205">
          <cell r="N205" t="str">
            <v>DSEKL088</v>
          </cell>
          <cell r="AN205">
            <v>58000</v>
          </cell>
          <cell r="AO205">
            <v>0</v>
          </cell>
          <cell r="AS205" t="str">
            <v/>
          </cell>
          <cell r="AT205" t="str">
            <v/>
          </cell>
        </row>
        <row r="206">
          <cell r="N206" t="str">
            <v>DSEKL089</v>
          </cell>
          <cell r="AN206">
            <v>613000</v>
          </cell>
          <cell r="AO206">
            <v>0</v>
          </cell>
          <cell r="AS206" t="str">
            <v/>
          </cell>
          <cell r="AT206" t="str">
            <v/>
          </cell>
        </row>
        <row r="207">
          <cell r="N207" t="str">
            <v>DSEKL089</v>
          </cell>
          <cell r="AN207">
            <v>547000</v>
          </cell>
          <cell r="AO207">
            <v>0</v>
          </cell>
          <cell r="AS207" t="str">
            <v/>
          </cell>
          <cell r="AT207" t="str">
            <v/>
          </cell>
        </row>
        <row r="208">
          <cell r="N208" t="str">
            <v>DSEKL089</v>
          </cell>
          <cell r="AN208">
            <v>0</v>
          </cell>
          <cell r="AO208">
            <v>0</v>
          </cell>
          <cell r="AS208" t="str">
            <v/>
          </cell>
          <cell r="AT208" t="str">
            <v/>
          </cell>
        </row>
        <row r="209">
          <cell r="N209" t="str">
            <v>DSEKL089</v>
          </cell>
          <cell r="AN209">
            <v>2155000</v>
          </cell>
          <cell r="AO209">
            <v>3</v>
          </cell>
          <cell r="AS209" t="str">
            <v/>
          </cell>
          <cell r="AT209" t="str">
            <v/>
          </cell>
        </row>
        <row r="210">
          <cell r="N210" t="str">
            <v>DSEKL089</v>
          </cell>
          <cell r="AN210">
            <v>468000</v>
          </cell>
          <cell r="AO210">
            <v>0</v>
          </cell>
          <cell r="AS210" t="str">
            <v/>
          </cell>
          <cell r="AT210" t="str">
            <v/>
          </cell>
        </row>
        <row r="211">
          <cell r="N211" t="str">
            <v>DSEKL089</v>
          </cell>
          <cell r="AN211">
            <v>0</v>
          </cell>
          <cell r="AO211">
            <v>0</v>
          </cell>
          <cell r="AS211" t="str">
            <v/>
          </cell>
          <cell r="AT211" t="str">
            <v/>
          </cell>
        </row>
        <row r="212">
          <cell r="O212" t="str">
            <v>DSEKL0893ID</v>
          </cell>
          <cell r="AN212" t="str">
            <v/>
          </cell>
          <cell r="AO212" t="str">
            <v/>
          </cell>
          <cell r="AS212">
            <v>0</v>
          </cell>
          <cell r="AT212">
            <v>0</v>
          </cell>
        </row>
        <row r="213">
          <cell r="O213" t="str">
            <v>DSEKL0893ID</v>
          </cell>
          <cell r="AN213" t="str">
            <v/>
          </cell>
          <cell r="AO213" t="str">
            <v/>
          </cell>
          <cell r="AS213">
            <v>0</v>
          </cell>
          <cell r="AT213">
            <v>0</v>
          </cell>
        </row>
        <row r="214">
          <cell r="N214" t="str">
            <v>DSEKL089</v>
          </cell>
          <cell r="AN214">
            <v>324000</v>
          </cell>
          <cell r="AO214">
            <v>3</v>
          </cell>
          <cell r="AS214" t="str">
            <v/>
          </cell>
          <cell r="AT214" t="str">
            <v/>
          </cell>
        </row>
        <row r="215">
          <cell r="N215" t="str">
            <v>DSEKL089</v>
          </cell>
          <cell r="AN215">
            <v>324000</v>
          </cell>
          <cell r="AO215">
            <v>3</v>
          </cell>
          <cell r="AS215" t="str">
            <v/>
          </cell>
          <cell r="AT215" t="str">
            <v/>
          </cell>
        </row>
        <row r="216">
          <cell r="N216" t="str">
            <v>DSEKL089</v>
          </cell>
          <cell r="AN216">
            <v>324000</v>
          </cell>
          <cell r="AO216">
            <v>3</v>
          </cell>
          <cell r="AS216" t="str">
            <v/>
          </cell>
          <cell r="AT216" t="str">
            <v/>
          </cell>
        </row>
        <row r="217">
          <cell r="N217" t="str">
            <v>DSEKL089</v>
          </cell>
          <cell r="AN217">
            <v>792000</v>
          </cell>
          <cell r="AO217">
            <v>3</v>
          </cell>
          <cell r="AS217" t="str">
            <v/>
          </cell>
          <cell r="AT217" t="str">
            <v/>
          </cell>
        </row>
        <row r="218">
          <cell r="N218" t="str">
            <v>DSEKL089</v>
          </cell>
          <cell r="AN218">
            <v>588000</v>
          </cell>
          <cell r="AO218">
            <v>3</v>
          </cell>
          <cell r="AS218" t="str">
            <v/>
          </cell>
          <cell r="AT218" t="str">
            <v/>
          </cell>
        </row>
        <row r="219">
          <cell r="N219" t="str">
            <v>DSEKL089</v>
          </cell>
          <cell r="AN219">
            <v>858000</v>
          </cell>
          <cell r="AO219">
            <v>3</v>
          </cell>
          <cell r="AS219" t="str">
            <v/>
          </cell>
          <cell r="AT219" t="str">
            <v/>
          </cell>
        </row>
        <row r="220">
          <cell r="N220" t="str">
            <v>DSEKL089</v>
          </cell>
          <cell r="AN220">
            <v>828000</v>
          </cell>
          <cell r="AO220">
            <v>3</v>
          </cell>
          <cell r="AS220" t="str">
            <v/>
          </cell>
          <cell r="AT220" t="str">
            <v/>
          </cell>
        </row>
        <row r="221">
          <cell r="N221" t="str">
            <v>DSEKL089</v>
          </cell>
          <cell r="AN221">
            <v>870000</v>
          </cell>
          <cell r="AO221">
            <v>0</v>
          </cell>
          <cell r="AS221" t="str">
            <v/>
          </cell>
          <cell r="AT221" t="str">
            <v/>
          </cell>
        </row>
        <row r="222">
          <cell r="N222" t="str">
            <v>DSEKL089</v>
          </cell>
          <cell r="AN222">
            <v>4656000</v>
          </cell>
          <cell r="AO222">
            <v>0</v>
          </cell>
          <cell r="AS222" t="str">
            <v/>
          </cell>
          <cell r="AT222" t="str">
            <v/>
          </cell>
        </row>
        <row r="223">
          <cell r="N223" t="str">
            <v>DSEKL089</v>
          </cell>
          <cell r="AN223">
            <v>1812000</v>
          </cell>
          <cell r="AO223">
            <v>0</v>
          </cell>
          <cell r="AS223" t="str">
            <v/>
          </cell>
          <cell r="AT223" t="str">
            <v/>
          </cell>
        </row>
        <row r="224">
          <cell r="N224" t="str">
            <v>DSEKL089</v>
          </cell>
          <cell r="AN224">
            <v>1862000</v>
          </cell>
          <cell r="AO224">
            <v>0</v>
          </cell>
          <cell r="AS224" t="str">
            <v/>
          </cell>
          <cell r="AT224" t="str">
            <v/>
          </cell>
        </row>
        <row r="225">
          <cell r="O225" t="str">
            <v>DSEKL0923ID</v>
          </cell>
          <cell r="AN225" t="str">
            <v/>
          </cell>
          <cell r="AO225" t="str">
            <v/>
          </cell>
          <cell r="AS225">
            <v>0</v>
          </cell>
          <cell r="AT225">
            <v>0</v>
          </cell>
        </row>
        <row r="226">
          <cell r="N226" t="str">
            <v>DSEKL088</v>
          </cell>
          <cell r="AN226">
            <v>190000</v>
          </cell>
          <cell r="AO226">
            <v>0</v>
          </cell>
          <cell r="AS226" t="str">
            <v/>
          </cell>
          <cell r="AT226" t="str">
            <v/>
          </cell>
        </row>
        <row r="227">
          <cell r="N227" t="str">
            <v>DSEKL087</v>
          </cell>
          <cell r="AN227">
            <v>600000</v>
          </cell>
          <cell r="AO227">
            <v>0</v>
          </cell>
          <cell r="AS227" t="str">
            <v/>
          </cell>
          <cell r="AT227" t="str">
            <v/>
          </cell>
        </row>
        <row r="228">
          <cell r="N228" t="str">
            <v>DSEKL087</v>
          </cell>
          <cell r="AN228">
            <v>0</v>
          </cell>
          <cell r="AO228">
            <v>0</v>
          </cell>
          <cell r="AS228" t="str">
            <v/>
          </cell>
          <cell r="AT228" t="str">
            <v/>
          </cell>
        </row>
        <row r="229">
          <cell r="N229" t="str">
            <v>DSEKL087</v>
          </cell>
          <cell r="AN229">
            <v>50600</v>
          </cell>
          <cell r="AO229">
            <v>0</v>
          </cell>
          <cell r="AS229" t="str">
            <v/>
          </cell>
          <cell r="AT229" t="str">
            <v/>
          </cell>
        </row>
        <row r="230">
          <cell r="N230" t="str">
            <v>DSEKL513</v>
          </cell>
          <cell r="AN230">
            <v>1095000</v>
          </cell>
          <cell r="AO230">
            <v>5</v>
          </cell>
          <cell r="AS230" t="str">
            <v/>
          </cell>
          <cell r="AT230" t="str">
            <v/>
          </cell>
        </row>
        <row r="231">
          <cell r="N231" t="str">
            <v>DSEKL513</v>
          </cell>
          <cell r="AN231">
            <v>318000</v>
          </cell>
          <cell r="AO231">
            <v>5</v>
          </cell>
          <cell r="AS231" t="str">
            <v/>
          </cell>
          <cell r="AT231" t="str">
            <v/>
          </cell>
        </row>
        <row r="232">
          <cell r="N232" t="str">
            <v>DSEKL513</v>
          </cell>
          <cell r="AN232">
            <v>1318000</v>
          </cell>
          <cell r="AO232">
            <v>5</v>
          </cell>
          <cell r="AS232" t="str">
            <v/>
          </cell>
          <cell r="AT232" t="str">
            <v/>
          </cell>
        </row>
        <row r="233">
          <cell r="N233" t="str">
            <v>DSEKL513</v>
          </cell>
          <cell r="AN233">
            <v>0</v>
          </cell>
          <cell r="AO233">
            <v>0</v>
          </cell>
          <cell r="AS233" t="str">
            <v/>
          </cell>
          <cell r="AT233" t="str">
            <v/>
          </cell>
        </row>
        <row r="234">
          <cell r="N234" t="str">
            <v>DSEKL513</v>
          </cell>
          <cell r="AN234">
            <v>0</v>
          </cell>
          <cell r="AO234">
            <v>0</v>
          </cell>
          <cell r="AS234" t="str">
            <v/>
          </cell>
          <cell r="AT234" t="str">
            <v/>
          </cell>
        </row>
        <row r="235">
          <cell r="N235" t="str">
            <v>DSEKL513</v>
          </cell>
          <cell r="AN235">
            <v>1252000</v>
          </cell>
          <cell r="AO235">
            <v>0</v>
          </cell>
          <cell r="AS235" t="str">
            <v/>
          </cell>
          <cell r="AT235" t="str">
            <v/>
          </cell>
        </row>
        <row r="236">
          <cell r="N236" t="str">
            <v>DSEKL513</v>
          </cell>
          <cell r="AN236">
            <v>168000</v>
          </cell>
          <cell r="AO236">
            <v>0</v>
          </cell>
          <cell r="AS236" t="str">
            <v/>
          </cell>
          <cell r="AT236" t="str">
            <v/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06"/>
  <sheetViews>
    <sheetView tabSelected="1" topLeftCell="B1" workbookViewId="0">
      <selection activeCell="D6" sqref="D6"/>
    </sheetView>
  </sheetViews>
  <sheetFormatPr defaultColWidth="9.453125" defaultRowHeight="13"/>
  <cols>
    <col min="1" max="1" width="12.7265625" style="3" bestFit="1" customWidth="1"/>
    <col min="2" max="2" width="21.7265625" style="3" bestFit="1" customWidth="1"/>
    <col min="3" max="3" width="10.90625" style="3" bestFit="1" customWidth="1"/>
    <col min="4" max="4" width="10.36328125" style="3" bestFit="1" customWidth="1"/>
    <col min="5" max="5" width="10.90625" style="3" bestFit="1" customWidth="1"/>
    <col min="6" max="6" width="10.36328125" style="3" bestFit="1" customWidth="1"/>
    <col min="7" max="7" width="12.453125" style="3" bestFit="1" customWidth="1"/>
    <col min="8" max="8" width="10.36328125" style="3" bestFit="1" customWidth="1"/>
    <col min="9" max="9" width="10.90625" style="3" bestFit="1" customWidth="1"/>
    <col min="10" max="10" width="10.36328125" style="3" bestFit="1" customWidth="1"/>
    <col min="11" max="11" width="9.90625" style="3" bestFit="1" customWidth="1"/>
    <col min="12" max="12" width="10.36328125" style="3" bestFit="1" customWidth="1"/>
    <col min="13" max="13" width="10.90625" style="3" bestFit="1" customWidth="1"/>
    <col min="14" max="14" width="10.36328125" style="3" bestFit="1" customWidth="1"/>
    <col min="15" max="15" width="5.81640625" style="3" bestFit="1" customWidth="1"/>
    <col min="16" max="16" width="10.36328125" style="3" bestFit="1" customWidth="1"/>
    <col min="17" max="17" width="5.81640625" style="3" bestFit="1" customWidth="1"/>
    <col min="18" max="18" width="10.36328125" style="3" bestFit="1" customWidth="1"/>
    <col min="19" max="19" width="5.81640625" style="3" bestFit="1" customWidth="1"/>
    <col min="20" max="20" width="10.36328125" style="3" bestFit="1" customWidth="1"/>
    <col min="21" max="16384" width="9.453125" style="3"/>
  </cols>
  <sheetData>
    <row r="1" spans="1:20" ht="11.15" customHeight="1">
      <c r="A1" s="2"/>
    </row>
    <row r="2" spans="1:20">
      <c r="A2" s="1"/>
      <c r="B2" s="1"/>
      <c r="C2" s="1"/>
      <c r="D2" s="1"/>
    </row>
    <row r="3" spans="1:20" ht="32" customHeight="1" thickBot="1">
      <c r="A3"/>
      <c r="B3"/>
      <c r="C3" s="14" t="s">
        <v>86</v>
      </c>
      <c r="D3" s="14"/>
      <c r="E3" s="14"/>
      <c r="F3" s="14"/>
      <c r="G3" s="14"/>
      <c r="H3" s="14"/>
      <c r="I3" s="14" t="s">
        <v>87</v>
      </c>
      <c r="J3" s="14"/>
      <c r="K3" s="14"/>
      <c r="L3" s="14"/>
      <c r="M3" s="14"/>
      <c r="N3" s="14"/>
      <c r="O3" s="14" t="s">
        <v>88</v>
      </c>
      <c r="P3" s="14"/>
      <c r="Q3" s="14"/>
      <c r="R3" s="14"/>
      <c r="S3" s="14"/>
      <c r="T3" s="14"/>
    </row>
    <row r="4" spans="1:20" ht="13" customHeight="1">
      <c r="A4" s="15"/>
      <c r="B4" s="16"/>
      <c r="C4" s="17" t="s">
        <v>89</v>
      </c>
      <c r="D4" s="17"/>
      <c r="E4" s="17" t="s">
        <v>90</v>
      </c>
      <c r="F4" s="17"/>
      <c r="G4" s="17" t="s">
        <v>91</v>
      </c>
      <c r="H4" s="18"/>
      <c r="I4" s="19" t="s">
        <v>89</v>
      </c>
      <c r="J4" s="20"/>
      <c r="K4" s="20" t="s">
        <v>90</v>
      </c>
      <c r="L4" s="20"/>
      <c r="M4" s="20" t="s">
        <v>91</v>
      </c>
      <c r="N4" s="21"/>
      <c r="O4" s="19" t="s">
        <v>89</v>
      </c>
      <c r="P4" s="20"/>
      <c r="Q4" s="20" t="s">
        <v>90</v>
      </c>
      <c r="R4" s="20"/>
      <c r="S4" s="20" t="s">
        <v>91</v>
      </c>
      <c r="T4" s="21"/>
    </row>
    <row r="5" spans="1:20" ht="15" thickBot="1">
      <c r="A5" s="22" t="s">
        <v>92</v>
      </c>
      <c r="B5" s="23" t="s">
        <v>93</v>
      </c>
      <c r="C5" s="24" t="s">
        <v>94</v>
      </c>
      <c r="D5" s="24" t="s">
        <v>95</v>
      </c>
      <c r="E5" s="24" t="s">
        <v>94</v>
      </c>
      <c r="F5" s="24" t="s">
        <v>95</v>
      </c>
      <c r="G5" s="24" t="s">
        <v>94</v>
      </c>
      <c r="H5" s="25" t="s">
        <v>95</v>
      </c>
      <c r="I5" s="26" t="s">
        <v>94</v>
      </c>
      <c r="J5" s="27" t="s">
        <v>95</v>
      </c>
      <c r="K5" s="27" t="s">
        <v>94</v>
      </c>
      <c r="L5" s="27" t="s">
        <v>95</v>
      </c>
      <c r="M5" s="27" t="s">
        <v>94</v>
      </c>
      <c r="N5" s="28" t="s">
        <v>95</v>
      </c>
      <c r="O5" s="26" t="s">
        <v>94</v>
      </c>
      <c r="P5" s="27" t="s">
        <v>95</v>
      </c>
      <c r="Q5" s="27" t="s">
        <v>94</v>
      </c>
      <c r="R5" s="27" t="s">
        <v>95</v>
      </c>
      <c r="S5" s="27" t="s">
        <v>94</v>
      </c>
      <c r="T5" s="28" t="s">
        <v>95</v>
      </c>
    </row>
    <row r="6" spans="1:20" ht="14.5">
      <c r="A6" s="29" t="s">
        <v>96</v>
      </c>
      <c r="B6" s="30" t="s">
        <v>97</v>
      </c>
      <c r="C6" s="31">
        <v>146350445.005178</v>
      </c>
      <c r="D6" s="31">
        <v>213</v>
      </c>
      <c r="E6" s="31">
        <v>19182117.9948222</v>
      </c>
      <c r="F6" s="31">
        <v>42</v>
      </c>
      <c r="G6" s="31">
        <f>E6+C6</f>
        <v>165532563.00000021</v>
      </c>
      <c r="H6" s="31">
        <f>F6+D6</f>
        <v>255</v>
      </c>
      <c r="I6" s="32">
        <f ca="1">SUMIFS('[1]OUTLET '!$AN$4:$AN$5000,'[1]OUTLET '!$N$4:$N$5000,"DSEKL086")</f>
        <v>52992100</v>
      </c>
      <c r="J6" s="32">
        <f ca="1">SUMIFS('[1]OUTLET '!$AO$4:$AO$5000,'[1]OUTLET '!$N$4:$N$5000,"DSEKL086")</f>
        <v>112</v>
      </c>
      <c r="K6" s="32">
        <f ca="1">SUMIFS('[1]OUTLET '!$AS$4:$AS$5000,'[1]OUTLET '!$O$4:$O$5000,"DSEKL0863ID")</f>
        <v>5000000</v>
      </c>
      <c r="L6" s="32">
        <f ca="1">SUMIFS('[1]OUTLET '!$AT$4:$AT$5000,'[1]OUTLET '!$O$4:$O$5000,"DSEKL0863ID")</f>
        <v>0</v>
      </c>
      <c r="M6" s="31">
        <f ca="1">K6+I6</f>
        <v>57992100</v>
      </c>
      <c r="N6" s="31">
        <f ca="1">L6+J6</f>
        <v>112</v>
      </c>
      <c r="O6" s="33">
        <f t="shared" ref="O6:T11" ca="1" si="0">I6/C6</f>
        <v>0.36209046032026138</v>
      </c>
      <c r="P6" s="33">
        <f t="shared" ca="1" si="0"/>
        <v>0.5258215962441315</v>
      </c>
      <c r="Q6" s="33">
        <f t="shared" ca="1" si="0"/>
        <v>0.26065943298595295</v>
      </c>
      <c r="R6" s="33">
        <f t="shared" ca="1" si="0"/>
        <v>0</v>
      </c>
      <c r="S6" s="33">
        <f t="shared" ca="1" si="0"/>
        <v>0.35033650750638062</v>
      </c>
      <c r="T6" s="33">
        <f t="shared" ca="1" si="0"/>
        <v>0.4392156862745098</v>
      </c>
    </row>
    <row r="7" spans="1:20" ht="14.5">
      <c r="A7" s="29" t="s">
        <v>98</v>
      </c>
      <c r="B7" s="30" t="s">
        <v>99</v>
      </c>
      <c r="C7" s="31">
        <v>68628887.046662599</v>
      </c>
      <c r="D7" s="31">
        <v>202</v>
      </c>
      <c r="E7" s="31">
        <v>14162100.953337399</v>
      </c>
      <c r="F7" s="31">
        <v>23</v>
      </c>
      <c r="G7" s="31">
        <f t="shared" ref="G7:H11" si="1">E7+C7</f>
        <v>82790988</v>
      </c>
      <c r="H7" s="31">
        <f t="shared" si="1"/>
        <v>225</v>
      </c>
      <c r="I7" s="31">
        <f ca="1">SUMIFS('[1]OUTLET '!$AN$4:$AN$5000,'[1]OUTLET '!$N$4:$N$5000,"DSEKL087")</f>
        <v>25230100</v>
      </c>
      <c r="J7" s="31">
        <f ca="1">SUMIFS('[1]OUTLET '!$AO$4:$AO$5000,'[1]OUTLET '!$N$4:$N$5000,"DSEKL087")</f>
        <v>63</v>
      </c>
      <c r="K7" s="31">
        <f ca="1">SUMIFS('[1]OUTLET '!$AS$4:$AS$5000,'[1]OUTLET '!$O$4:$O$5000,"DSEKL0873ID")</f>
        <v>12400000</v>
      </c>
      <c r="L7" s="31">
        <f ca="1">SUMIFS('[1]OUTLET '!$AT$4:$AT$5000,'[1]OUTLET '!$O$4:$O$5000,"DSEKL0873ID")</f>
        <v>1</v>
      </c>
      <c r="M7" s="31">
        <f t="shared" ref="M7:N11" ca="1" si="2">K7+I7</f>
        <v>37630100</v>
      </c>
      <c r="N7" s="31">
        <f t="shared" ca="1" si="2"/>
        <v>64</v>
      </c>
      <c r="O7" s="33">
        <f t="shared" ca="1" si="0"/>
        <v>0.36763090712581986</v>
      </c>
      <c r="P7" s="33">
        <f t="shared" ca="1" si="0"/>
        <v>0.31188118811881188</v>
      </c>
      <c r="Q7" s="33">
        <f t="shared" ca="1" si="0"/>
        <v>0.8755763033222731</v>
      </c>
      <c r="R7" s="33">
        <f t="shared" ca="1" si="0"/>
        <v>4.3478260869565216E-2</v>
      </c>
      <c r="S7" s="33">
        <f t="shared" ca="1" si="0"/>
        <v>0.45451927690487276</v>
      </c>
      <c r="T7" s="33">
        <f t="shared" ca="1" si="0"/>
        <v>0.28444444444444444</v>
      </c>
    </row>
    <row r="8" spans="1:20" ht="14.5">
      <c r="A8" s="29" t="s">
        <v>100</v>
      </c>
      <c r="B8" s="30" t="s">
        <v>101</v>
      </c>
      <c r="C8" s="31">
        <v>93113163.450450793</v>
      </c>
      <c r="D8" s="31">
        <v>225</v>
      </c>
      <c r="E8" s="31">
        <v>4183931.2495491598</v>
      </c>
      <c r="F8" s="31">
        <v>5</v>
      </c>
      <c r="G8" s="31">
        <f t="shared" si="1"/>
        <v>97297094.699999958</v>
      </c>
      <c r="H8" s="31">
        <f t="shared" si="1"/>
        <v>230</v>
      </c>
      <c r="I8" s="31">
        <f ca="1">SUMIFS('[1]OUTLET '!$AN$4:$AN$5000,'[1]OUTLET '!$N$4:$N$5000,"DSEKL088")</f>
        <v>14072800</v>
      </c>
      <c r="J8" s="31">
        <f ca="1">SUMIFS('[1]OUTLET '!$AO$4:$AO$5000,'[1]OUTLET '!$N$4:$N$5000,"DSEKL088")</f>
        <v>22</v>
      </c>
      <c r="K8" s="31">
        <f ca="1">SUMIFS('[1]OUTLET '!$AS$4:$AS$5000,'[1]OUTLET '!$O$4:$O$5000,"DSEKL0883ID")</f>
        <v>1500000</v>
      </c>
      <c r="L8" s="31">
        <f ca="1">SUMIFS('[1]OUTLET '!$AT$4:$AT$5000,'[1]OUTLET '!$O$4:$O$5000,"DSEKL0883ID")</f>
        <v>0</v>
      </c>
      <c r="M8" s="31">
        <f t="shared" ca="1" si="2"/>
        <v>15572800</v>
      </c>
      <c r="N8" s="31">
        <f t="shared" ca="1" si="2"/>
        <v>22</v>
      </c>
      <c r="O8" s="33">
        <f t="shared" ca="1" si="0"/>
        <v>0.1511365254762147</v>
      </c>
      <c r="P8" s="33">
        <f t="shared" ca="1" si="0"/>
        <v>9.7777777777777783E-2</v>
      </c>
      <c r="Q8" s="33">
        <f t="shared" ca="1" si="0"/>
        <v>0.35851449522781542</v>
      </c>
      <c r="R8" s="33">
        <f t="shared" ca="1" si="0"/>
        <v>0</v>
      </c>
      <c r="S8" s="33">
        <f t="shared" ca="1" si="0"/>
        <v>0.16005411105045059</v>
      </c>
      <c r="T8" s="33">
        <f t="shared" ca="1" si="0"/>
        <v>9.5652173913043481E-2</v>
      </c>
    </row>
    <row r="9" spans="1:20" ht="14.5">
      <c r="A9" s="29" t="s">
        <v>102</v>
      </c>
      <c r="B9" s="30" t="s">
        <v>103</v>
      </c>
      <c r="C9" s="31">
        <v>306587256.26414698</v>
      </c>
      <c r="D9" s="31">
        <v>360</v>
      </c>
      <c r="E9" s="31">
        <v>17826966.735853199</v>
      </c>
      <c r="F9" s="31">
        <v>85</v>
      </c>
      <c r="G9" s="31">
        <f t="shared" si="1"/>
        <v>324414223.00000018</v>
      </c>
      <c r="H9" s="31">
        <f t="shared" si="1"/>
        <v>445</v>
      </c>
      <c r="I9" s="31">
        <f ca="1">SUMIFS('[1]OUTLET '!$AN$4:$AN$5000,'[1]OUTLET '!$N$4:$N$5000,"DSEKL089")</f>
        <v>75853000</v>
      </c>
      <c r="J9" s="31">
        <f ca="1">SUMIFS('[1]OUTLET '!$AO$4:$AO$5000,'[1]OUTLET '!$N$4:$N$5000,"DSEKL089")</f>
        <v>117</v>
      </c>
      <c r="K9" s="31">
        <f ca="1">SUMIFS('[1]OUTLET '!$AS$4:$AS$5000,'[1]OUTLET '!$O$4:$O$5000,"DSEKL0893ID")</f>
        <v>0</v>
      </c>
      <c r="L9" s="31">
        <f ca="1">SUMIFS('[1]OUTLET '!$AT$4:$AT$5000,'[1]OUTLET '!$O$4:$O$5000,"DSEKL0893ID")</f>
        <v>0</v>
      </c>
      <c r="M9" s="31">
        <f t="shared" ca="1" si="2"/>
        <v>75853000</v>
      </c>
      <c r="N9" s="31">
        <f t="shared" ca="1" si="2"/>
        <v>117</v>
      </c>
      <c r="O9" s="33">
        <f t="shared" ca="1" si="0"/>
        <v>0.24741080540753846</v>
      </c>
      <c r="P9" s="33">
        <f t="shared" ca="1" si="0"/>
        <v>0.32500000000000001</v>
      </c>
      <c r="Q9" s="33">
        <f t="shared" ca="1" si="0"/>
        <v>0</v>
      </c>
      <c r="R9" s="33">
        <f t="shared" ca="1" si="0"/>
        <v>0</v>
      </c>
      <c r="S9" s="33">
        <f t="shared" ca="1" si="0"/>
        <v>0.23381527264296287</v>
      </c>
      <c r="T9" s="33">
        <f t="shared" ca="1" si="0"/>
        <v>0.26292134831460673</v>
      </c>
    </row>
    <row r="10" spans="1:20" ht="14.5">
      <c r="A10" s="29" t="s">
        <v>104</v>
      </c>
      <c r="B10" s="30" t="s">
        <v>105</v>
      </c>
      <c r="C10" s="31">
        <v>124089169.968555</v>
      </c>
      <c r="D10" s="31">
        <v>243</v>
      </c>
      <c r="E10" s="31">
        <v>32507408.331445001</v>
      </c>
      <c r="F10" s="31">
        <v>184</v>
      </c>
      <c r="G10" s="31">
        <f t="shared" si="1"/>
        <v>156596578.30000001</v>
      </c>
      <c r="H10" s="31">
        <f t="shared" si="1"/>
        <v>427</v>
      </c>
      <c r="I10" s="31">
        <f ca="1">SUMIFS('[1]OUTLET '!$AN$4:$AN$5000,'[1]OUTLET '!$N$4:$N$5000,"DSEKL092")</f>
        <v>24876200</v>
      </c>
      <c r="J10" s="31">
        <f ca="1">SUMIFS('[1]OUTLET '!$AO$4:$AO$5000,'[1]OUTLET '!$N$4:$N$5000,"DSEKL092")</f>
        <v>123</v>
      </c>
      <c r="K10" s="31">
        <f ca="1">SUMIFS('[1]OUTLET '!$AS$4:$AS$5000,'[1]OUTLET '!$O$4:$O$5000,"DSEKL0923ID")</f>
        <v>5100000</v>
      </c>
      <c r="L10" s="31">
        <f ca="1">SUMIFS('[1]OUTLET '!$AT$4:$AT$5000,'[1]OUTLET '!$O$4:$O$5000,"DSEKL0923ID")</f>
        <v>1</v>
      </c>
      <c r="M10" s="31">
        <f t="shared" ca="1" si="2"/>
        <v>29976200</v>
      </c>
      <c r="N10" s="31">
        <f t="shared" ca="1" si="2"/>
        <v>124</v>
      </c>
      <c r="O10" s="33">
        <f t="shared" ca="1" si="0"/>
        <v>0.20047035536061519</v>
      </c>
      <c r="P10" s="33">
        <f t="shared" ca="1" si="0"/>
        <v>0.50617283950617287</v>
      </c>
      <c r="Q10" s="33">
        <f t="shared" ca="1" si="0"/>
        <v>0.15688731466995104</v>
      </c>
      <c r="R10" s="33">
        <f t="shared" ca="1" si="0"/>
        <v>5.434782608695652E-3</v>
      </c>
      <c r="S10" s="33">
        <f t="shared" ca="1" si="0"/>
        <v>0.19142308424244794</v>
      </c>
      <c r="T10" s="33">
        <f t="shared" ca="1" si="0"/>
        <v>0.29039812646370022</v>
      </c>
    </row>
    <row r="11" spans="1:20" ht="14.5">
      <c r="A11" s="29" t="s">
        <v>106</v>
      </c>
      <c r="B11" s="34" t="s">
        <v>107</v>
      </c>
      <c r="C11" s="31">
        <v>259391662.99710801</v>
      </c>
      <c r="D11" s="31">
        <v>357</v>
      </c>
      <c r="E11" s="31">
        <v>37597537.002892002</v>
      </c>
      <c r="F11" s="31">
        <v>73</v>
      </c>
      <c r="G11" s="31">
        <f t="shared" si="1"/>
        <v>296989200</v>
      </c>
      <c r="H11" s="31">
        <f t="shared" si="1"/>
        <v>430</v>
      </c>
      <c r="I11" s="31">
        <f ca="1">SUMIFS('[1]OUTLET '!$AN$4:$AN$5000,'[1]OUTLET '!$N$4:$N$5000,"DSEKL513")</f>
        <v>35841900</v>
      </c>
      <c r="J11" s="31">
        <f ca="1">SUMIFS('[1]OUTLET '!$AO$4:$AO$5000,'[1]OUTLET '!$N$4:$N$5000,"DSEKL513")</f>
        <v>153</v>
      </c>
      <c r="K11" s="31">
        <f ca="1">SUMIFS('[1]OUTLET '!$AS$4:$AS$5000,'[1]OUTLET '!$O$4:$O$5000,"DSEKL5133ID")</f>
        <v>4720000</v>
      </c>
      <c r="L11" s="31">
        <f ca="1">SUMIFS('[1]OUTLET '!$AT$4:$AT$5000,'[1]OUTLET '!$O$4:$O$5000,"DSEKL5133ID")</f>
        <v>3</v>
      </c>
      <c r="M11" s="31">
        <f t="shared" ca="1" si="2"/>
        <v>40561900</v>
      </c>
      <c r="N11" s="31">
        <f t="shared" ca="1" si="2"/>
        <v>156</v>
      </c>
      <c r="O11" s="33">
        <f t="shared" ca="1" si="0"/>
        <v>0.13817676168103987</v>
      </c>
      <c r="P11" s="33">
        <f t="shared" ca="1" si="0"/>
        <v>0.42857142857142855</v>
      </c>
      <c r="Q11" s="33">
        <f t="shared" ca="1" si="0"/>
        <v>0.12554013843079501</v>
      </c>
      <c r="R11" s="33">
        <f t="shared" ca="1" si="0"/>
        <v>4.1095890410958902E-2</v>
      </c>
      <c r="S11" s="33">
        <f t="shared" ca="1" si="0"/>
        <v>0.13657702030915603</v>
      </c>
      <c r="T11" s="33">
        <f t="shared" ca="1" si="0"/>
        <v>0.36279069767441863</v>
      </c>
    </row>
    <row r="12" spans="1:20" ht="14.5">
      <c r="A12" s="35"/>
      <c r="B12" s="36" t="s">
        <v>108</v>
      </c>
      <c r="C12" s="37">
        <f t="shared" ref="C12:N12" si="3">SUM(C6:C11)</f>
        <v>998160584.73210132</v>
      </c>
      <c r="D12" s="37">
        <f t="shared" si="3"/>
        <v>1600</v>
      </c>
      <c r="E12" s="37">
        <f t="shared" si="3"/>
        <v>125460062.26789896</v>
      </c>
      <c r="F12" s="37">
        <f t="shared" si="3"/>
        <v>412</v>
      </c>
      <c r="G12" s="37">
        <f t="shared" si="3"/>
        <v>1123620647.0000002</v>
      </c>
      <c r="H12" s="37">
        <f t="shared" si="3"/>
        <v>2012</v>
      </c>
      <c r="I12" s="37">
        <f t="shared" ca="1" si="3"/>
        <v>228866100</v>
      </c>
      <c r="J12" s="37">
        <f t="shared" ca="1" si="3"/>
        <v>590</v>
      </c>
      <c r="K12" s="37">
        <f t="shared" ca="1" si="3"/>
        <v>28720000</v>
      </c>
      <c r="L12" s="37">
        <f t="shared" ca="1" si="3"/>
        <v>5</v>
      </c>
      <c r="M12" s="37">
        <f t="shared" ca="1" si="3"/>
        <v>257586100</v>
      </c>
      <c r="N12" s="37">
        <f t="shared" ca="1" si="3"/>
        <v>595</v>
      </c>
      <c r="O12" s="38">
        <f ca="1">AVERAGE(O6:O11)</f>
        <v>0.24448596922858157</v>
      </c>
      <c r="P12" s="38">
        <f t="shared" ref="P12:T12" ca="1" si="4">AVERAGE(P6:P11)</f>
        <v>0.36587080503638708</v>
      </c>
      <c r="Q12" s="38">
        <f t="shared" ca="1" si="4"/>
        <v>0.29619628077279792</v>
      </c>
      <c r="R12" s="38">
        <f t="shared" ca="1" si="4"/>
        <v>1.5001488981536628E-2</v>
      </c>
      <c r="S12" s="38">
        <f t="shared" ca="1" si="4"/>
        <v>0.25445421210937846</v>
      </c>
      <c r="T12" s="38">
        <f t="shared" ca="1" si="4"/>
        <v>0.28923707951412059</v>
      </c>
    </row>
    <row r="13" spans="1:20">
      <c r="B13" s="5"/>
    </row>
    <row r="14" spans="1:20">
      <c r="B14" s="5"/>
    </row>
    <row r="15" spans="1:20">
      <c r="B15" s="5"/>
    </row>
    <row r="16" spans="1:20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 s="4" customFormat="1">
      <c r="A36" s="3"/>
      <c r="B36" s="5"/>
      <c r="C36" s="3"/>
      <c r="D36" s="3"/>
    </row>
    <row r="37" spans="1:4" s="4" customFormat="1">
      <c r="A37" s="3"/>
      <c r="B37" s="5"/>
      <c r="C37" s="3"/>
      <c r="D37" s="3"/>
    </row>
    <row r="38" spans="1:4" s="4" customFormat="1">
      <c r="A38" s="3"/>
      <c r="B38" s="5"/>
      <c r="C38" s="3"/>
      <c r="D38" s="3"/>
    </row>
    <row r="39" spans="1:4" s="4" customFormat="1">
      <c r="A39" s="3"/>
      <c r="B39" s="5"/>
      <c r="C39" s="3"/>
      <c r="D39" s="3"/>
    </row>
    <row r="40" spans="1:4">
      <c r="B40" s="5"/>
    </row>
    <row r="41" spans="1:4">
      <c r="B41" s="5"/>
    </row>
    <row r="42" spans="1:4">
      <c r="B42" s="5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</sheetData>
  <autoFilter ref="A3:D3"/>
  <sortState ref="A4:K27">
    <sortCondition ref="B11"/>
  </sortState>
  <mergeCells count="12">
    <mergeCell ref="Q4:R4"/>
    <mergeCell ref="S4:T4"/>
    <mergeCell ref="C3:H3"/>
    <mergeCell ref="I3:N3"/>
    <mergeCell ref="O3:T3"/>
    <mergeCell ref="C4:D4"/>
    <mergeCell ref="E4:F4"/>
    <mergeCell ref="G4:H4"/>
    <mergeCell ref="I4:J4"/>
    <mergeCell ref="K4:L4"/>
    <mergeCell ref="M4:N4"/>
    <mergeCell ref="O4:P4"/>
  </mergeCells>
  <conditionalFormatting sqref="B314:B319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3" bestFit="1" customWidth="1"/>
    <col min="4" max="4" width="30.7265625" style="13" bestFit="1" customWidth="1"/>
    <col min="5" max="5" width="12.6328125" style="13" bestFit="1" customWidth="1"/>
    <col min="6" max="6" width="19.6328125" style="13" bestFit="1" customWidth="1"/>
    <col min="7" max="7" width="22.6328125" style="13" bestFit="1" customWidth="1"/>
    <col min="8" max="8" width="23.7265625" style="13" bestFit="1" customWidth="1"/>
    <col min="9" max="9" width="26.7265625" style="13" bestFit="1" customWidth="1"/>
    <col min="10" max="10" width="22.26953125" style="13" bestFit="1" customWidth="1"/>
    <col min="11" max="11" width="22.7265625" style="13" bestFit="1" customWidth="1"/>
    <col min="12" max="12" width="20.36328125" style="13" bestFit="1" customWidth="1"/>
    <col min="13" max="13" width="23.36328125" style="13" bestFit="1" customWidth="1"/>
    <col min="14" max="14" width="29.90625" style="13" bestFit="1" customWidth="1"/>
    <col min="15" max="15" width="29.08984375" style="13" bestFit="1" customWidth="1"/>
    <col min="16" max="16" width="26.1796875" style="13" bestFit="1" customWidth="1"/>
    <col min="17" max="17" width="22.453125" style="13" bestFit="1" customWidth="1"/>
    <col min="18" max="18" width="28.81640625" style="13" bestFit="1" customWidth="1"/>
    <col min="19" max="19" width="12.54296875" style="13" bestFit="1" customWidth="1"/>
    <col min="20" max="20" width="20.54296875" style="13" bestFit="1" customWidth="1"/>
    <col min="21" max="21" width="19.7265625" style="13" bestFit="1" customWidth="1"/>
    <col min="22" max="22" width="18.1796875" style="13" bestFit="1" customWidth="1"/>
    <col min="23" max="23" width="10.54296875" style="13" bestFit="1" customWidth="1"/>
    <col min="24" max="24" width="20.81640625" style="13" bestFit="1" customWidth="1"/>
    <col min="25" max="25" width="20.36328125" style="13" bestFit="1" customWidth="1"/>
    <col min="26" max="26" width="19.54296875" style="13" bestFit="1" customWidth="1"/>
    <col min="27" max="27" width="22.54296875" style="13" bestFit="1" customWidth="1"/>
    <col min="28" max="28" width="18.81640625" style="13" bestFit="1" customWidth="1"/>
    <col min="29" max="29" width="22" style="13" bestFit="1" customWidth="1"/>
    <col min="30" max="30" width="15.7265625" style="13" bestFit="1" customWidth="1"/>
    <col min="31" max="31" width="28" style="13" bestFit="1" customWidth="1"/>
    <col min="32" max="32" width="21.81640625" style="13" bestFit="1" customWidth="1"/>
    <col min="33" max="33" width="20.7265625" style="13" bestFit="1" customWidth="1"/>
    <col min="34" max="34" width="22.1796875" style="13" bestFit="1" customWidth="1"/>
    <col min="35" max="35" width="17.54296875" style="13" bestFit="1" customWidth="1"/>
    <col min="36" max="36" width="21.7265625" style="13" bestFit="1" customWidth="1"/>
    <col min="37" max="37" width="20.08984375" style="13" bestFit="1" customWidth="1"/>
    <col min="38" max="38" width="18" style="13" bestFit="1" customWidth="1"/>
    <col min="39" max="39" width="28.08984375" style="13" bestFit="1" customWidth="1"/>
    <col min="40" max="40" width="26.54296875" style="13" bestFit="1" customWidth="1"/>
    <col min="41" max="41" width="21.1796875" style="13" bestFit="1" customWidth="1"/>
    <col min="42" max="42" width="18" style="13" bestFit="1" customWidth="1"/>
    <col min="43" max="43" width="28.08984375" style="13" bestFit="1" customWidth="1"/>
    <col min="44" max="44" width="26.54296875" style="13" bestFit="1" customWidth="1"/>
    <col min="45" max="45" width="13.36328125" style="13" bestFit="1" customWidth="1"/>
    <col min="46" max="46" width="16.26953125" style="13" bestFit="1" customWidth="1"/>
    <col min="47" max="47" width="22.81640625" style="13" bestFit="1" customWidth="1"/>
    <col min="48" max="48" width="26.90625" style="13" bestFit="1" customWidth="1"/>
    <col min="49" max="49" width="6.54296875" style="13" bestFit="1" customWidth="1"/>
    <col min="50" max="50" width="25.90625" style="13" bestFit="1" customWidth="1"/>
    <col min="51" max="51" width="26.26953125" style="13" bestFit="1" customWidth="1"/>
    <col min="52" max="52" width="18.90625" style="13" bestFit="1" customWidth="1"/>
    <col min="53" max="53" width="19.6328125" style="13" bestFit="1" customWidth="1"/>
  </cols>
  <sheetData>
    <row r="1" spans="1:53">
      <c r="A1" s="6"/>
      <c r="B1" s="6"/>
      <c r="C1" s="7"/>
      <c r="D1" s="7"/>
      <c r="E1" s="8" t="s">
        <v>7</v>
      </c>
      <c r="F1" s="8" t="s">
        <v>8</v>
      </c>
      <c r="G1" s="8" t="s">
        <v>9</v>
      </c>
      <c r="H1" s="8" t="s">
        <v>10</v>
      </c>
      <c r="I1" s="8" t="s">
        <v>11</v>
      </c>
      <c r="J1" s="8" t="s">
        <v>12</v>
      </c>
      <c r="K1" s="8" t="s">
        <v>13</v>
      </c>
      <c r="L1" s="8" t="s">
        <v>14</v>
      </c>
      <c r="M1" s="8" t="s">
        <v>15</v>
      </c>
      <c r="N1" s="8" t="s">
        <v>16</v>
      </c>
      <c r="O1" s="8" t="s">
        <v>17</v>
      </c>
      <c r="P1" s="8" t="s">
        <v>18</v>
      </c>
      <c r="Q1" s="8" t="s">
        <v>19</v>
      </c>
      <c r="R1" s="8" t="s">
        <v>20</v>
      </c>
      <c r="S1" s="8" t="s">
        <v>6</v>
      </c>
      <c r="T1" s="8" t="s">
        <v>21</v>
      </c>
      <c r="U1" s="8" t="s">
        <v>22</v>
      </c>
      <c r="V1" s="8" t="s">
        <v>23</v>
      </c>
      <c r="W1" s="8" t="s">
        <v>24</v>
      </c>
      <c r="X1" s="8" t="s">
        <v>25</v>
      </c>
      <c r="Y1" s="8" t="s">
        <v>26</v>
      </c>
      <c r="Z1" s="8" t="s">
        <v>27</v>
      </c>
      <c r="AA1" s="8" t="s">
        <v>28</v>
      </c>
      <c r="AB1" s="8" t="s">
        <v>29</v>
      </c>
      <c r="AC1" s="8" t="s">
        <v>30</v>
      </c>
      <c r="AD1" s="8" t="s">
        <v>31</v>
      </c>
      <c r="AE1" s="8" t="s">
        <v>32</v>
      </c>
      <c r="AF1" s="8" t="s">
        <v>33</v>
      </c>
      <c r="AG1" s="8" t="s">
        <v>34</v>
      </c>
      <c r="AH1" s="8" t="s">
        <v>35</v>
      </c>
      <c r="AI1" s="8" t="s">
        <v>36</v>
      </c>
      <c r="AJ1" s="8" t="s">
        <v>37</v>
      </c>
      <c r="AK1" s="8" t="s">
        <v>38</v>
      </c>
      <c r="AL1" s="8" t="s">
        <v>39</v>
      </c>
      <c r="AM1" s="8" t="s">
        <v>40</v>
      </c>
      <c r="AN1" s="8" t="s">
        <v>41</v>
      </c>
      <c r="AO1" s="8" t="s">
        <v>42</v>
      </c>
      <c r="AP1" s="8" t="s">
        <v>43</v>
      </c>
      <c r="AQ1" s="8" t="s">
        <v>44</v>
      </c>
      <c r="AR1" s="8" t="s">
        <v>45</v>
      </c>
      <c r="AS1" s="8" t="s">
        <v>46</v>
      </c>
      <c r="AT1" s="8" t="s">
        <v>47</v>
      </c>
      <c r="AU1" s="8" t="s">
        <v>48</v>
      </c>
      <c r="AV1" s="8" t="s">
        <v>49</v>
      </c>
      <c r="AW1" s="8" t="s">
        <v>50</v>
      </c>
      <c r="AX1" s="8" t="s">
        <v>51</v>
      </c>
      <c r="AY1" s="8" t="s">
        <v>52</v>
      </c>
      <c r="AZ1" s="8" t="s">
        <v>53</v>
      </c>
      <c r="BA1" s="8" t="s">
        <v>8</v>
      </c>
    </row>
    <row r="2" spans="1:53">
      <c r="A2" s="9" t="s">
        <v>54</v>
      </c>
      <c r="B2" s="9" t="s">
        <v>55</v>
      </c>
      <c r="C2" s="10" t="s">
        <v>56</v>
      </c>
      <c r="D2" s="10" t="s">
        <v>57</v>
      </c>
      <c r="E2" s="10" t="s">
        <v>58</v>
      </c>
      <c r="F2" s="10" t="s">
        <v>58</v>
      </c>
      <c r="G2" s="10" t="s">
        <v>58</v>
      </c>
      <c r="H2" s="10" t="s">
        <v>58</v>
      </c>
      <c r="I2" s="10" t="s">
        <v>58</v>
      </c>
      <c r="J2" s="10" t="s">
        <v>58</v>
      </c>
      <c r="K2" s="10" t="s">
        <v>58</v>
      </c>
      <c r="L2" s="10" t="s">
        <v>58</v>
      </c>
      <c r="M2" s="10" t="s">
        <v>58</v>
      </c>
      <c r="N2" s="10" t="s">
        <v>58</v>
      </c>
      <c r="O2" s="10" t="s">
        <v>58</v>
      </c>
      <c r="P2" s="10" t="s">
        <v>58</v>
      </c>
      <c r="Q2" s="10" t="s">
        <v>58</v>
      </c>
      <c r="R2" s="10" t="s">
        <v>58</v>
      </c>
      <c r="S2" s="10" t="s">
        <v>58</v>
      </c>
      <c r="T2" s="10" t="s">
        <v>58</v>
      </c>
      <c r="U2" s="10" t="s">
        <v>58</v>
      </c>
      <c r="V2" s="10" t="s">
        <v>58</v>
      </c>
      <c r="W2" s="10" t="s">
        <v>58</v>
      </c>
      <c r="X2" s="10" t="s">
        <v>58</v>
      </c>
      <c r="Y2" s="10" t="s">
        <v>58</v>
      </c>
      <c r="Z2" s="10" t="s">
        <v>58</v>
      </c>
      <c r="AA2" s="10" t="s">
        <v>58</v>
      </c>
      <c r="AB2" s="10" t="s">
        <v>58</v>
      </c>
      <c r="AC2" s="10" t="s">
        <v>58</v>
      </c>
      <c r="AD2" s="10" t="s">
        <v>58</v>
      </c>
      <c r="AE2" s="10" t="s">
        <v>58</v>
      </c>
      <c r="AF2" s="10" t="s">
        <v>58</v>
      </c>
      <c r="AG2" s="10" t="s">
        <v>58</v>
      </c>
      <c r="AH2" s="10" t="s">
        <v>58</v>
      </c>
      <c r="AI2" s="10" t="s">
        <v>58</v>
      </c>
      <c r="AJ2" s="10" t="s">
        <v>58</v>
      </c>
      <c r="AK2" s="10" t="s">
        <v>58</v>
      </c>
      <c r="AL2" s="10" t="s">
        <v>58</v>
      </c>
      <c r="AM2" s="10" t="s">
        <v>58</v>
      </c>
      <c r="AN2" s="10" t="s">
        <v>58</v>
      </c>
      <c r="AO2" s="10" t="s">
        <v>58</v>
      </c>
      <c r="AP2" s="10" t="s">
        <v>58</v>
      </c>
      <c r="AQ2" s="10" t="s">
        <v>58</v>
      </c>
      <c r="AR2" s="10" t="s">
        <v>58</v>
      </c>
      <c r="AS2" s="10" t="s">
        <v>58</v>
      </c>
      <c r="AT2" s="10" t="s">
        <v>58</v>
      </c>
      <c r="AU2" s="10" t="s">
        <v>58</v>
      </c>
      <c r="AV2" s="10" t="s">
        <v>58</v>
      </c>
      <c r="AW2" s="10" t="s">
        <v>58</v>
      </c>
      <c r="AX2" s="10" t="s">
        <v>58</v>
      </c>
      <c r="AY2" s="10" t="s">
        <v>58</v>
      </c>
      <c r="AZ2" s="10" t="s">
        <v>58</v>
      </c>
      <c r="BA2" s="10" t="s">
        <v>58</v>
      </c>
    </row>
    <row r="3" spans="1:53">
      <c r="A3" s="11" t="s">
        <v>59</v>
      </c>
      <c r="B3" s="11" t="s">
        <v>1</v>
      </c>
      <c r="C3" s="8" t="s">
        <v>0</v>
      </c>
      <c r="D3" s="12" t="s">
        <v>60</v>
      </c>
      <c r="E3" s="13">
        <v>78</v>
      </c>
      <c r="F3" s="13">
        <v>28</v>
      </c>
      <c r="G3" s="13">
        <v>0.35897435897435898</v>
      </c>
      <c r="H3" s="13">
        <v>0</v>
      </c>
      <c r="I3" s="13">
        <v>0</v>
      </c>
      <c r="J3" s="13">
        <v>11</v>
      </c>
      <c r="K3" s="13">
        <v>0.14102564102564102</v>
      </c>
      <c r="L3" s="13">
        <v>5</v>
      </c>
      <c r="M3" s="13">
        <v>4</v>
      </c>
      <c r="N3" s="13">
        <v>0</v>
      </c>
      <c r="O3" s="13">
        <v>0</v>
      </c>
      <c r="P3" s="13">
        <v>62</v>
      </c>
      <c r="Q3" s="13">
        <v>3</v>
      </c>
      <c r="R3" s="13">
        <v>1</v>
      </c>
      <c r="T3" s="13">
        <v>126853000</v>
      </c>
      <c r="U3" s="13">
        <v>31417500</v>
      </c>
      <c r="V3" s="13">
        <v>0</v>
      </c>
      <c r="W3" s="13">
        <v>-0.75233143875194119</v>
      </c>
      <c r="Y3" s="13">
        <v>57</v>
      </c>
      <c r="Z3" s="13">
        <v>150</v>
      </c>
      <c r="AA3" s="13">
        <v>0</v>
      </c>
      <c r="AB3" s="13">
        <v>1.6315789473684212</v>
      </c>
      <c r="AC3" s="13">
        <v>0</v>
      </c>
      <c r="AD3" s="13">
        <v>0</v>
      </c>
      <c r="AE3" s="13">
        <v>0</v>
      </c>
      <c r="AF3" s="13">
        <v>0</v>
      </c>
      <c r="AG3" s="13">
        <v>34</v>
      </c>
      <c r="AH3" s="13">
        <v>34</v>
      </c>
      <c r="AI3" s="13">
        <v>25</v>
      </c>
      <c r="AJ3" s="13">
        <v>25</v>
      </c>
      <c r="AK3" s="13">
        <v>0</v>
      </c>
      <c r="AL3" s="13">
        <v>16</v>
      </c>
      <c r="AM3" s="13">
        <v>16</v>
      </c>
      <c r="AN3" s="13">
        <v>0</v>
      </c>
      <c r="AO3" s="13">
        <v>0</v>
      </c>
      <c r="AP3" s="13">
        <v>18</v>
      </c>
      <c r="AQ3" s="13">
        <v>18</v>
      </c>
      <c r="AR3" s="13">
        <v>0</v>
      </c>
      <c r="AS3" s="13">
        <v>155</v>
      </c>
      <c r="AT3" s="13">
        <v>4</v>
      </c>
      <c r="AU3" s="13">
        <v>0</v>
      </c>
      <c r="AV3" s="13">
        <v>58.325000000000003</v>
      </c>
      <c r="AW3" s="13">
        <v>0</v>
      </c>
      <c r="AX3" s="13">
        <v>0</v>
      </c>
      <c r="AY3" s="13">
        <v>0</v>
      </c>
      <c r="AZ3" s="13">
        <v>0</v>
      </c>
      <c r="BA3" s="13">
        <v>28</v>
      </c>
    </row>
    <row r="4" spans="1:53">
      <c r="A4" s="11" t="s">
        <v>59</v>
      </c>
      <c r="B4" s="11" t="s">
        <v>1</v>
      </c>
      <c r="C4" s="8" t="s">
        <v>2</v>
      </c>
      <c r="D4" s="12" t="s">
        <v>61</v>
      </c>
      <c r="E4" s="13">
        <v>89</v>
      </c>
      <c r="F4" s="13">
        <v>45</v>
      </c>
      <c r="G4" s="13">
        <v>0.5056179775280899</v>
      </c>
      <c r="H4" s="13">
        <v>7</v>
      </c>
      <c r="I4" s="13">
        <v>0.13461538461538461</v>
      </c>
      <c r="J4" s="13">
        <v>9</v>
      </c>
      <c r="K4" s="13">
        <v>0.10112359550561797</v>
      </c>
      <c r="L4" s="13">
        <v>14</v>
      </c>
      <c r="M4" s="13">
        <v>4</v>
      </c>
      <c r="N4" s="13">
        <v>0</v>
      </c>
      <c r="O4" s="13">
        <v>0</v>
      </c>
      <c r="P4" s="13">
        <v>45</v>
      </c>
      <c r="Q4" s="13">
        <v>1</v>
      </c>
      <c r="R4" s="13">
        <v>1</v>
      </c>
      <c r="T4" s="13">
        <v>103714750</v>
      </c>
      <c r="U4" s="13">
        <v>24432000</v>
      </c>
      <c r="V4" s="13">
        <v>0</v>
      </c>
      <c r="W4" s="13">
        <v>-0.76443080661140295</v>
      </c>
      <c r="Y4" s="13">
        <v>216</v>
      </c>
      <c r="Z4" s="13">
        <v>31</v>
      </c>
      <c r="AA4" s="13">
        <v>0</v>
      </c>
      <c r="AB4" s="13">
        <v>-0.85648148148148151</v>
      </c>
      <c r="AC4" s="13">
        <v>0</v>
      </c>
      <c r="AD4" s="13">
        <v>0</v>
      </c>
      <c r="AE4" s="13">
        <v>0</v>
      </c>
      <c r="AF4" s="13">
        <v>0</v>
      </c>
      <c r="AG4" s="13">
        <v>43</v>
      </c>
      <c r="AH4" s="13">
        <v>43</v>
      </c>
      <c r="AI4" s="13">
        <v>30</v>
      </c>
      <c r="AJ4" s="13">
        <v>30</v>
      </c>
      <c r="AK4" s="13">
        <v>0</v>
      </c>
      <c r="AL4" s="13">
        <v>26</v>
      </c>
      <c r="AM4" s="13">
        <v>26</v>
      </c>
      <c r="AN4" s="13">
        <v>0</v>
      </c>
      <c r="AO4" s="13">
        <v>0</v>
      </c>
      <c r="AP4" s="13">
        <v>26</v>
      </c>
      <c r="AQ4" s="13">
        <v>26</v>
      </c>
      <c r="AR4" s="13">
        <v>0</v>
      </c>
      <c r="AS4" s="13">
        <v>84</v>
      </c>
      <c r="AT4" s="13">
        <v>5</v>
      </c>
      <c r="AU4" s="13">
        <v>0</v>
      </c>
      <c r="AV4" s="13">
        <v>10.421052632</v>
      </c>
      <c r="AW4" s="13">
        <v>0</v>
      </c>
      <c r="AX4" s="13">
        <v>2</v>
      </c>
      <c r="AY4" s="13">
        <v>775000</v>
      </c>
      <c r="AZ4" s="13">
        <v>0</v>
      </c>
      <c r="BA4" s="13">
        <v>45</v>
      </c>
    </row>
    <row r="5" spans="1:53">
      <c r="A5" s="11" t="s">
        <v>59</v>
      </c>
      <c r="B5" s="11" t="s">
        <v>1</v>
      </c>
      <c r="C5" s="8" t="s">
        <v>3</v>
      </c>
      <c r="D5" s="12" t="s">
        <v>60</v>
      </c>
      <c r="E5" s="13">
        <v>50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1</v>
      </c>
      <c r="N5" s="13">
        <v>0</v>
      </c>
      <c r="O5" s="13">
        <v>0</v>
      </c>
      <c r="P5" s="13">
        <v>49</v>
      </c>
      <c r="Q5" s="13">
        <v>5</v>
      </c>
      <c r="R5" s="13">
        <v>1</v>
      </c>
      <c r="T5" s="13">
        <v>800000</v>
      </c>
      <c r="U5" s="13">
        <v>0</v>
      </c>
      <c r="V5" s="13">
        <v>0</v>
      </c>
      <c r="W5" s="13">
        <v>-1</v>
      </c>
      <c r="Y5" s="13">
        <v>0</v>
      </c>
      <c r="Z5" s="13">
        <v>0</v>
      </c>
      <c r="AA5" s="13">
        <v>0</v>
      </c>
      <c r="AB5" s="13">
        <v>-1</v>
      </c>
      <c r="AC5" s="13">
        <v>0</v>
      </c>
      <c r="AD5" s="13">
        <v>0</v>
      </c>
      <c r="AE5" s="13">
        <v>0</v>
      </c>
      <c r="AF5" s="13">
        <v>0</v>
      </c>
      <c r="AG5" s="13">
        <v>0</v>
      </c>
      <c r="AH5" s="13">
        <v>0</v>
      </c>
      <c r="AI5" s="13">
        <v>5</v>
      </c>
      <c r="AJ5" s="13">
        <v>5</v>
      </c>
      <c r="AK5" s="13">
        <v>0</v>
      </c>
      <c r="AL5" s="13">
        <v>5</v>
      </c>
      <c r="AM5" s="13">
        <v>5</v>
      </c>
      <c r="AN5" s="13">
        <v>0</v>
      </c>
      <c r="AO5" s="13">
        <v>0</v>
      </c>
      <c r="AP5" s="13">
        <v>5</v>
      </c>
      <c r="AQ5" s="13">
        <v>5</v>
      </c>
      <c r="AR5" s="13">
        <v>0</v>
      </c>
      <c r="AS5" s="13">
        <v>0</v>
      </c>
      <c r="AT5" s="13">
        <v>1</v>
      </c>
      <c r="AU5" s="13">
        <v>0</v>
      </c>
      <c r="AV5" s="13">
        <v>0</v>
      </c>
      <c r="AW5" s="13">
        <v>0</v>
      </c>
      <c r="AX5" s="13">
        <v>0</v>
      </c>
      <c r="AY5" s="13">
        <v>0</v>
      </c>
      <c r="AZ5" s="13">
        <v>0</v>
      </c>
      <c r="BA5" s="13">
        <v>0</v>
      </c>
    </row>
    <row r="6" spans="1:53">
      <c r="A6" s="11" t="s">
        <v>59</v>
      </c>
      <c r="B6" s="11" t="s">
        <v>1</v>
      </c>
      <c r="C6" s="8" t="s">
        <v>4</v>
      </c>
      <c r="D6" s="12" t="s">
        <v>61</v>
      </c>
      <c r="E6" s="13">
        <v>59</v>
      </c>
      <c r="F6" s="13">
        <v>29</v>
      </c>
      <c r="G6" s="13">
        <v>0.49152542372881358</v>
      </c>
      <c r="H6" s="13">
        <v>2</v>
      </c>
      <c r="I6" s="13">
        <v>6.4516129032258063E-2</v>
      </c>
      <c r="J6" s="13">
        <v>15</v>
      </c>
      <c r="K6" s="13">
        <v>0.25423728813559321</v>
      </c>
      <c r="L6" s="13">
        <v>1</v>
      </c>
      <c r="M6" s="13">
        <v>0</v>
      </c>
      <c r="N6" s="13">
        <v>0</v>
      </c>
      <c r="O6" s="13">
        <v>0</v>
      </c>
      <c r="P6" s="13">
        <v>33</v>
      </c>
      <c r="Q6" s="13">
        <v>4</v>
      </c>
      <c r="R6" s="13">
        <v>3</v>
      </c>
      <c r="T6" s="13">
        <v>25916000</v>
      </c>
      <c r="U6" s="13">
        <v>16543200</v>
      </c>
      <c r="V6" s="13">
        <v>0</v>
      </c>
      <c r="W6" s="13">
        <v>-0.3616607501157586</v>
      </c>
      <c r="Y6" s="13">
        <v>68</v>
      </c>
      <c r="Z6" s="13">
        <v>0</v>
      </c>
      <c r="AA6" s="13">
        <v>0</v>
      </c>
      <c r="AB6" s="13">
        <v>-1</v>
      </c>
      <c r="AC6" s="13">
        <v>0</v>
      </c>
      <c r="AD6" s="13">
        <v>0</v>
      </c>
      <c r="AE6" s="13">
        <v>0</v>
      </c>
      <c r="AF6" s="13">
        <v>0</v>
      </c>
      <c r="AG6" s="13">
        <v>50</v>
      </c>
      <c r="AH6" s="13">
        <v>50</v>
      </c>
      <c r="AI6" s="13">
        <v>3</v>
      </c>
      <c r="AJ6" s="13">
        <v>2</v>
      </c>
      <c r="AK6" s="13">
        <v>1</v>
      </c>
      <c r="AL6" s="13">
        <v>1</v>
      </c>
      <c r="AM6" s="13">
        <v>1</v>
      </c>
      <c r="AN6" s="13">
        <v>0</v>
      </c>
      <c r="AO6" s="13">
        <v>0</v>
      </c>
      <c r="AP6" s="13">
        <v>2</v>
      </c>
      <c r="AQ6" s="13">
        <v>2</v>
      </c>
      <c r="AR6" s="13">
        <v>0</v>
      </c>
      <c r="AS6" s="13">
        <v>1</v>
      </c>
      <c r="AT6" s="13">
        <v>0</v>
      </c>
      <c r="AU6" s="13">
        <v>0</v>
      </c>
      <c r="AV6" s="13">
        <v>14.433734940000001</v>
      </c>
      <c r="AW6" s="13">
        <v>0</v>
      </c>
      <c r="AX6" s="13">
        <v>0</v>
      </c>
      <c r="AY6" s="13">
        <v>0</v>
      </c>
      <c r="AZ6" s="13">
        <v>0</v>
      </c>
      <c r="BA6" s="13">
        <v>29</v>
      </c>
    </row>
    <row r="7" spans="1:53">
      <c r="A7" s="11" t="s">
        <v>59</v>
      </c>
      <c r="B7" s="11" t="s">
        <v>1</v>
      </c>
      <c r="C7" s="8" t="s">
        <v>5</v>
      </c>
      <c r="D7" s="12" t="s">
        <v>61</v>
      </c>
      <c r="E7" s="13">
        <v>60</v>
      </c>
      <c r="F7" s="13">
        <v>24</v>
      </c>
      <c r="G7" s="13">
        <v>0.4</v>
      </c>
      <c r="H7" s="13">
        <v>2</v>
      </c>
      <c r="I7" s="13">
        <v>7.6923076923076927E-2</v>
      </c>
      <c r="J7" s="13">
        <v>11</v>
      </c>
      <c r="K7" s="13">
        <v>0.18333333333333332</v>
      </c>
      <c r="L7" s="13">
        <v>6</v>
      </c>
      <c r="M7" s="13">
        <v>6</v>
      </c>
      <c r="N7" s="13">
        <v>0</v>
      </c>
      <c r="O7" s="13">
        <v>0</v>
      </c>
      <c r="P7" s="13">
        <v>18</v>
      </c>
      <c r="Q7" s="13">
        <v>3</v>
      </c>
      <c r="R7" s="13">
        <v>1</v>
      </c>
      <c r="T7" s="13">
        <v>35973250</v>
      </c>
      <c r="U7" s="13">
        <v>58965500</v>
      </c>
      <c r="V7" s="13">
        <v>0</v>
      </c>
      <c r="W7" s="13">
        <v>0.63914853398011018</v>
      </c>
      <c r="Y7" s="13">
        <v>118</v>
      </c>
      <c r="Z7" s="13">
        <v>4</v>
      </c>
      <c r="AA7" s="13">
        <v>0</v>
      </c>
      <c r="AB7" s="13">
        <v>-0.96610169491525422</v>
      </c>
      <c r="AC7" s="13">
        <v>0</v>
      </c>
      <c r="AD7" s="13">
        <v>0</v>
      </c>
      <c r="AE7" s="13">
        <v>0</v>
      </c>
      <c r="AF7" s="13">
        <v>0</v>
      </c>
      <c r="AG7" s="13">
        <v>32</v>
      </c>
      <c r="AH7" s="13">
        <v>32</v>
      </c>
      <c r="AI7" s="13">
        <v>26</v>
      </c>
      <c r="AJ7" s="13">
        <v>23</v>
      </c>
      <c r="AK7" s="13">
        <v>3</v>
      </c>
      <c r="AL7" s="13">
        <v>10</v>
      </c>
      <c r="AM7" s="13">
        <v>10</v>
      </c>
      <c r="AN7" s="13">
        <v>0</v>
      </c>
      <c r="AO7" s="13">
        <v>0</v>
      </c>
      <c r="AP7" s="13">
        <v>18</v>
      </c>
      <c r="AQ7" s="13">
        <v>18</v>
      </c>
      <c r="AR7" s="13">
        <v>0</v>
      </c>
      <c r="AS7" s="13">
        <v>16</v>
      </c>
      <c r="AT7" s="13">
        <v>10</v>
      </c>
      <c r="AU7" s="13">
        <v>0</v>
      </c>
      <c r="AV7" s="13">
        <v>37.696969697</v>
      </c>
      <c r="AW7" s="13">
        <v>0</v>
      </c>
      <c r="AX7" s="13">
        <v>0</v>
      </c>
      <c r="AY7" s="13">
        <v>0</v>
      </c>
      <c r="AZ7" s="13">
        <v>0</v>
      </c>
      <c r="BA7" s="13">
        <v>24</v>
      </c>
    </row>
    <row r="8" spans="1:53">
      <c r="A8" s="11" t="s">
        <v>59</v>
      </c>
      <c r="B8" s="11" t="s">
        <v>62</v>
      </c>
      <c r="C8" s="8" t="s">
        <v>63</v>
      </c>
      <c r="D8" s="12" t="s">
        <v>64</v>
      </c>
      <c r="E8" s="13">
        <v>57</v>
      </c>
      <c r="F8" s="13">
        <v>14</v>
      </c>
      <c r="G8" s="13">
        <v>0.24561403508771928</v>
      </c>
      <c r="H8" s="13">
        <v>3</v>
      </c>
      <c r="I8" s="13">
        <v>0.17647058823529413</v>
      </c>
      <c r="J8" s="13">
        <v>5</v>
      </c>
      <c r="K8" s="13">
        <v>8.771929824561403E-2</v>
      </c>
      <c r="L8" s="13">
        <v>10</v>
      </c>
      <c r="M8" s="13">
        <v>1</v>
      </c>
      <c r="N8" s="13">
        <v>0</v>
      </c>
      <c r="O8" s="13">
        <v>0</v>
      </c>
      <c r="P8" s="13">
        <v>36</v>
      </c>
      <c r="Q8" s="13">
        <v>2</v>
      </c>
      <c r="R8" s="13">
        <v>3</v>
      </c>
      <c r="T8" s="13">
        <v>3503000</v>
      </c>
      <c r="U8" s="13">
        <v>1863000</v>
      </c>
      <c r="V8" s="13">
        <v>0</v>
      </c>
      <c r="W8" s="13">
        <v>-0.46817013988010281</v>
      </c>
      <c r="Y8" s="13">
        <v>0</v>
      </c>
      <c r="Z8" s="13">
        <v>11</v>
      </c>
      <c r="AA8" s="13">
        <v>0</v>
      </c>
      <c r="AB8" s="13">
        <v>-1</v>
      </c>
      <c r="AC8" s="13">
        <v>0</v>
      </c>
      <c r="AD8" s="13">
        <v>0</v>
      </c>
      <c r="AE8" s="13">
        <v>0</v>
      </c>
      <c r="AF8" s="13">
        <v>0</v>
      </c>
      <c r="AG8" s="13">
        <v>15</v>
      </c>
      <c r="AH8" s="13">
        <v>15</v>
      </c>
      <c r="AI8" s="13">
        <v>19</v>
      </c>
      <c r="AJ8" s="13">
        <v>19</v>
      </c>
      <c r="AK8" s="13">
        <v>0</v>
      </c>
      <c r="AL8" s="13">
        <v>13</v>
      </c>
      <c r="AM8" s="13">
        <v>13</v>
      </c>
      <c r="AN8" s="13">
        <v>0</v>
      </c>
      <c r="AO8" s="13">
        <v>0</v>
      </c>
      <c r="AP8" s="13">
        <v>15</v>
      </c>
      <c r="AQ8" s="13">
        <v>15</v>
      </c>
      <c r="AR8" s="13">
        <v>0</v>
      </c>
      <c r="AS8" s="13">
        <v>69</v>
      </c>
      <c r="AT8" s="13">
        <v>2</v>
      </c>
      <c r="AU8" s="13">
        <v>0</v>
      </c>
      <c r="AV8" s="13">
        <v>50.444444443999998</v>
      </c>
      <c r="AW8" s="13">
        <v>0</v>
      </c>
      <c r="AX8" s="13">
        <v>1</v>
      </c>
      <c r="AY8" s="13">
        <v>200000</v>
      </c>
      <c r="AZ8" s="13">
        <v>15171274.851989249</v>
      </c>
      <c r="BA8" s="13">
        <v>14</v>
      </c>
    </row>
    <row r="9" spans="1:53">
      <c r="A9" s="11" t="s">
        <v>59</v>
      </c>
      <c r="B9" s="11" t="s">
        <v>62</v>
      </c>
      <c r="C9" s="8" t="s">
        <v>65</v>
      </c>
      <c r="D9" s="12" t="s">
        <v>64</v>
      </c>
      <c r="E9" s="13">
        <v>50</v>
      </c>
      <c r="F9" s="13">
        <v>45</v>
      </c>
      <c r="G9" s="13">
        <v>0.9</v>
      </c>
      <c r="H9" s="13">
        <v>0</v>
      </c>
      <c r="I9" s="13">
        <v>0</v>
      </c>
      <c r="J9" s="13">
        <v>30</v>
      </c>
      <c r="K9" s="13">
        <v>0.6</v>
      </c>
      <c r="L9" s="13">
        <v>7</v>
      </c>
      <c r="M9" s="13">
        <v>0</v>
      </c>
      <c r="N9" s="13">
        <v>0</v>
      </c>
      <c r="O9" s="13">
        <v>0</v>
      </c>
      <c r="P9" s="13">
        <v>20</v>
      </c>
      <c r="Q9" s="13">
        <v>0</v>
      </c>
      <c r="R9" s="13">
        <v>0</v>
      </c>
      <c r="T9" s="13">
        <v>8527000</v>
      </c>
      <c r="U9" s="13">
        <v>5975100</v>
      </c>
      <c r="V9" s="13">
        <v>0</v>
      </c>
      <c r="W9" s="13">
        <v>-0.2992728978538759</v>
      </c>
      <c r="Y9" s="13">
        <v>0</v>
      </c>
      <c r="Z9" s="13">
        <v>30</v>
      </c>
      <c r="AA9" s="13">
        <v>0</v>
      </c>
      <c r="AB9" s="13">
        <v>-1</v>
      </c>
      <c r="AC9" s="13">
        <v>0</v>
      </c>
      <c r="AD9" s="13">
        <v>0</v>
      </c>
      <c r="AE9" s="13">
        <v>0</v>
      </c>
      <c r="AF9" s="13">
        <v>1</v>
      </c>
      <c r="AG9" s="13">
        <v>42</v>
      </c>
      <c r="AH9" s="13">
        <v>42</v>
      </c>
      <c r="AI9" s="13">
        <v>9</v>
      </c>
      <c r="AJ9" s="13">
        <v>9</v>
      </c>
      <c r="AK9" s="13">
        <v>0</v>
      </c>
      <c r="AL9" s="13">
        <v>6</v>
      </c>
      <c r="AM9" s="13">
        <v>6</v>
      </c>
      <c r="AN9" s="13">
        <v>0</v>
      </c>
      <c r="AO9" s="13">
        <v>0</v>
      </c>
      <c r="AP9" s="13">
        <v>7</v>
      </c>
      <c r="AQ9" s="13">
        <v>7</v>
      </c>
      <c r="AR9" s="13">
        <v>0</v>
      </c>
      <c r="AS9" s="13">
        <v>54</v>
      </c>
      <c r="AT9" s="13">
        <v>0</v>
      </c>
      <c r="AU9" s="13">
        <v>0</v>
      </c>
      <c r="AV9" s="13">
        <v>9.8666666670000005</v>
      </c>
      <c r="AW9" s="13">
        <v>0</v>
      </c>
      <c r="AX9" s="13">
        <v>0</v>
      </c>
      <c r="AY9" s="13">
        <v>0</v>
      </c>
      <c r="AZ9" s="13">
        <v>40346489.739149243</v>
      </c>
      <c r="BA9" s="13">
        <v>45</v>
      </c>
    </row>
    <row r="10" spans="1:53">
      <c r="A10" s="11" t="s">
        <v>59</v>
      </c>
      <c r="B10" s="11" t="s">
        <v>62</v>
      </c>
      <c r="C10" s="8" t="s">
        <v>66</v>
      </c>
      <c r="D10" s="12" t="s">
        <v>64</v>
      </c>
      <c r="E10" s="13">
        <v>71</v>
      </c>
      <c r="F10" s="13">
        <v>35</v>
      </c>
      <c r="G10" s="13">
        <v>0.49295774647887325</v>
      </c>
      <c r="H10" s="13">
        <v>3</v>
      </c>
      <c r="I10" s="13">
        <v>7.8947368421052627E-2</v>
      </c>
      <c r="J10" s="13">
        <v>23</v>
      </c>
      <c r="K10" s="13">
        <v>0.323943661971831</v>
      </c>
      <c r="L10" s="13">
        <v>11</v>
      </c>
      <c r="M10" s="13">
        <v>3</v>
      </c>
      <c r="N10" s="13">
        <v>0</v>
      </c>
      <c r="O10" s="13">
        <v>0</v>
      </c>
      <c r="P10" s="13">
        <v>42</v>
      </c>
      <c r="Q10" s="13">
        <v>8</v>
      </c>
      <c r="R10" s="13">
        <v>1</v>
      </c>
      <c r="T10" s="13">
        <v>12323000</v>
      </c>
      <c r="U10" s="13">
        <v>4329000</v>
      </c>
      <c r="V10" s="13">
        <v>0</v>
      </c>
      <c r="W10" s="13">
        <v>-0.64870567232005194</v>
      </c>
      <c r="Y10" s="13">
        <v>2</v>
      </c>
      <c r="Z10" s="13">
        <v>14</v>
      </c>
      <c r="AA10" s="13">
        <v>0</v>
      </c>
      <c r="AB10" s="13">
        <v>6</v>
      </c>
      <c r="AC10" s="13">
        <v>0</v>
      </c>
      <c r="AD10" s="13">
        <v>0</v>
      </c>
      <c r="AE10" s="13">
        <v>0</v>
      </c>
      <c r="AF10" s="13">
        <v>0</v>
      </c>
      <c r="AG10" s="13">
        <v>31</v>
      </c>
      <c r="AH10" s="13">
        <v>31</v>
      </c>
      <c r="AI10" s="13">
        <v>26</v>
      </c>
      <c r="AJ10" s="13">
        <v>26</v>
      </c>
      <c r="AK10" s="13">
        <v>0</v>
      </c>
      <c r="AL10" s="13">
        <v>16</v>
      </c>
      <c r="AM10" s="13">
        <v>16</v>
      </c>
      <c r="AN10" s="13">
        <v>0</v>
      </c>
      <c r="AO10" s="13">
        <v>0</v>
      </c>
      <c r="AP10" s="13">
        <v>20</v>
      </c>
      <c r="AQ10" s="13">
        <v>20</v>
      </c>
      <c r="AR10" s="13">
        <v>0</v>
      </c>
      <c r="AS10" s="13">
        <v>70</v>
      </c>
      <c r="AT10" s="13">
        <v>3</v>
      </c>
      <c r="AU10" s="13">
        <v>0</v>
      </c>
      <c r="AV10" s="13">
        <v>8</v>
      </c>
      <c r="AW10" s="13">
        <v>0</v>
      </c>
      <c r="AX10" s="13">
        <v>1</v>
      </c>
      <c r="AY10" s="13">
        <v>350000</v>
      </c>
      <c r="AZ10" s="13">
        <v>23814538.449422691</v>
      </c>
      <c r="BA10" s="13">
        <v>35</v>
      </c>
    </row>
    <row r="11" spans="1:53">
      <c r="A11" s="11" t="s">
        <v>59</v>
      </c>
      <c r="B11" s="11" t="s">
        <v>62</v>
      </c>
      <c r="C11" s="8" t="s">
        <v>67</v>
      </c>
      <c r="D11" s="12" t="s">
        <v>64</v>
      </c>
      <c r="E11" s="13">
        <v>63</v>
      </c>
      <c r="F11" s="13">
        <v>42</v>
      </c>
      <c r="G11" s="13">
        <v>0.66666666666666663</v>
      </c>
      <c r="H11" s="13">
        <v>4</v>
      </c>
      <c r="I11" s="13">
        <v>8.6956521739130432E-2</v>
      </c>
      <c r="J11" s="13">
        <v>20</v>
      </c>
      <c r="K11" s="13">
        <v>0.31746031746031744</v>
      </c>
      <c r="L11" s="13">
        <v>14</v>
      </c>
      <c r="M11" s="13">
        <v>1</v>
      </c>
      <c r="N11" s="13">
        <v>0</v>
      </c>
      <c r="O11" s="13">
        <v>0</v>
      </c>
      <c r="P11" s="13">
        <v>40</v>
      </c>
      <c r="Q11" s="13">
        <v>8</v>
      </c>
      <c r="R11" s="13">
        <v>0</v>
      </c>
      <c r="T11" s="13">
        <v>14208000</v>
      </c>
      <c r="U11" s="13">
        <v>5568500</v>
      </c>
      <c r="V11" s="13">
        <v>0</v>
      </c>
      <c r="W11" s="13">
        <v>-0.60807291666666674</v>
      </c>
      <c r="Y11" s="13">
        <v>0</v>
      </c>
      <c r="Z11" s="13">
        <v>132</v>
      </c>
      <c r="AA11" s="13">
        <v>0</v>
      </c>
      <c r="AB11" s="13">
        <v>-1</v>
      </c>
      <c r="AC11" s="13">
        <v>0</v>
      </c>
      <c r="AD11" s="13">
        <v>0</v>
      </c>
      <c r="AE11" s="13">
        <v>0</v>
      </c>
      <c r="AF11" s="13">
        <v>0</v>
      </c>
      <c r="AG11" s="13">
        <v>36</v>
      </c>
      <c r="AH11" s="13">
        <v>36</v>
      </c>
      <c r="AI11" s="13">
        <v>12</v>
      </c>
      <c r="AJ11" s="13">
        <v>12</v>
      </c>
      <c r="AK11" s="13">
        <v>0</v>
      </c>
      <c r="AL11" s="13">
        <v>8</v>
      </c>
      <c r="AM11" s="13">
        <v>8</v>
      </c>
      <c r="AN11" s="13">
        <v>0</v>
      </c>
      <c r="AO11" s="13">
        <v>0</v>
      </c>
      <c r="AP11" s="13">
        <v>10</v>
      </c>
      <c r="AQ11" s="13">
        <v>10</v>
      </c>
      <c r="AR11" s="13">
        <v>0</v>
      </c>
      <c r="AS11" s="13">
        <v>303</v>
      </c>
      <c r="AT11" s="13">
        <v>1</v>
      </c>
      <c r="AU11" s="13">
        <v>0</v>
      </c>
      <c r="AV11" s="13">
        <v>11.717391304</v>
      </c>
      <c r="AW11" s="13">
        <v>0</v>
      </c>
      <c r="AX11" s="13">
        <v>1</v>
      </c>
      <c r="AY11" s="13">
        <v>100000</v>
      </c>
      <c r="AZ11" s="13">
        <v>29021535.488115862</v>
      </c>
      <c r="BA11" s="13">
        <v>42</v>
      </c>
    </row>
    <row r="12" spans="1:53">
      <c r="A12" s="11" t="s">
        <v>59</v>
      </c>
      <c r="B12" s="11" t="s">
        <v>62</v>
      </c>
      <c r="C12" s="8" t="s">
        <v>68</v>
      </c>
      <c r="D12" s="12" t="s">
        <v>64</v>
      </c>
      <c r="E12" s="13">
        <v>56</v>
      </c>
      <c r="F12" s="13">
        <v>43</v>
      </c>
      <c r="G12" s="13">
        <v>0.7678571428571429</v>
      </c>
      <c r="H12" s="13">
        <v>7</v>
      </c>
      <c r="I12" s="13">
        <v>0.14000000000000001</v>
      </c>
      <c r="J12" s="13">
        <v>21</v>
      </c>
      <c r="K12" s="13">
        <v>0.375</v>
      </c>
      <c r="L12" s="13">
        <v>19</v>
      </c>
      <c r="M12" s="13">
        <v>6</v>
      </c>
      <c r="N12" s="13">
        <v>0</v>
      </c>
      <c r="O12" s="13">
        <v>0</v>
      </c>
      <c r="P12" s="13">
        <v>35</v>
      </c>
      <c r="Q12" s="13">
        <v>2</v>
      </c>
      <c r="R12" s="13">
        <v>0</v>
      </c>
      <c r="T12" s="13">
        <v>47809750</v>
      </c>
      <c r="U12" s="13">
        <v>8753500</v>
      </c>
      <c r="V12" s="13">
        <v>0</v>
      </c>
      <c r="W12" s="13">
        <v>-0.8169097307557559</v>
      </c>
      <c r="Y12" s="13">
        <v>0</v>
      </c>
      <c r="Z12" s="13">
        <v>110</v>
      </c>
      <c r="AA12" s="13">
        <v>0</v>
      </c>
      <c r="AB12" s="13">
        <v>-1</v>
      </c>
      <c r="AC12" s="13">
        <v>0</v>
      </c>
      <c r="AD12" s="13">
        <v>0</v>
      </c>
      <c r="AE12" s="13">
        <v>0</v>
      </c>
      <c r="AF12" s="13">
        <v>0</v>
      </c>
      <c r="AG12" s="13">
        <v>41</v>
      </c>
      <c r="AH12" s="13">
        <v>41</v>
      </c>
      <c r="AI12" s="13">
        <v>28</v>
      </c>
      <c r="AJ12" s="13">
        <v>28</v>
      </c>
      <c r="AK12" s="13">
        <v>0</v>
      </c>
      <c r="AL12" s="13">
        <v>19</v>
      </c>
      <c r="AM12" s="13">
        <v>19</v>
      </c>
      <c r="AN12" s="13">
        <v>0</v>
      </c>
      <c r="AO12" s="13">
        <v>0</v>
      </c>
      <c r="AP12" s="13">
        <v>25</v>
      </c>
      <c r="AQ12" s="13">
        <v>25</v>
      </c>
      <c r="AR12" s="13">
        <v>0</v>
      </c>
      <c r="AS12" s="13">
        <v>143</v>
      </c>
      <c r="AT12" s="13">
        <v>7</v>
      </c>
      <c r="AU12" s="13">
        <v>0</v>
      </c>
      <c r="AV12" s="13">
        <v>12.078431373000001</v>
      </c>
      <c r="AW12" s="13">
        <v>0</v>
      </c>
      <c r="AX12" s="13">
        <v>2</v>
      </c>
      <c r="AY12" s="13">
        <v>400000</v>
      </c>
      <c r="AZ12" s="13">
        <v>42507522.583409846</v>
      </c>
      <c r="BA12" s="13">
        <v>43</v>
      </c>
    </row>
    <row r="13" spans="1:53">
      <c r="A13" s="11" t="s">
        <v>59</v>
      </c>
      <c r="B13" s="11" t="s">
        <v>69</v>
      </c>
      <c r="C13" s="8" t="s">
        <v>70</v>
      </c>
      <c r="D13" s="12" t="s">
        <v>71</v>
      </c>
      <c r="E13" s="13">
        <v>50</v>
      </c>
      <c r="F13" s="13">
        <v>18</v>
      </c>
      <c r="G13" s="13">
        <v>0.36</v>
      </c>
      <c r="H13" s="13">
        <v>8</v>
      </c>
      <c r="I13" s="13">
        <v>0.30769230769230771</v>
      </c>
      <c r="J13" s="13">
        <v>3</v>
      </c>
      <c r="K13" s="13">
        <v>0.06</v>
      </c>
      <c r="L13" s="13">
        <v>0</v>
      </c>
      <c r="M13" s="13">
        <v>3</v>
      </c>
      <c r="N13" s="13">
        <v>0</v>
      </c>
      <c r="O13" s="13">
        <v>0</v>
      </c>
      <c r="P13" s="13">
        <v>32</v>
      </c>
      <c r="Q13" s="13">
        <v>0</v>
      </c>
      <c r="R13" s="13">
        <v>0</v>
      </c>
      <c r="T13" s="13">
        <v>7552500</v>
      </c>
      <c r="U13" s="13">
        <v>5066400</v>
      </c>
      <c r="V13" s="13">
        <v>0</v>
      </c>
      <c r="W13" s="13">
        <v>-0.329175769612711</v>
      </c>
      <c r="Y13" s="13">
        <v>39</v>
      </c>
      <c r="Z13" s="13">
        <v>0</v>
      </c>
      <c r="AA13" s="13">
        <v>0</v>
      </c>
      <c r="AB13" s="13">
        <v>-1</v>
      </c>
      <c r="AC13" s="13">
        <v>0</v>
      </c>
      <c r="AD13" s="13">
        <v>0</v>
      </c>
      <c r="AE13" s="13">
        <v>0</v>
      </c>
      <c r="AF13" s="13">
        <v>0</v>
      </c>
      <c r="AG13" s="13">
        <v>18</v>
      </c>
      <c r="AH13" s="13">
        <v>18</v>
      </c>
      <c r="AI13" s="13">
        <v>5</v>
      </c>
      <c r="AJ13" s="13">
        <v>5</v>
      </c>
      <c r="AK13" s="13">
        <v>0</v>
      </c>
      <c r="AL13" s="13">
        <v>2</v>
      </c>
      <c r="AM13" s="13">
        <v>2</v>
      </c>
      <c r="AN13" s="13">
        <v>0</v>
      </c>
      <c r="AO13" s="13">
        <v>0</v>
      </c>
      <c r="AP13" s="13">
        <v>3</v>
      </c>
      <c r="AQ13" s="13">
        <v>3</v>
      </c>
      <c r="AR13" s="13">
        <v>0</v>
      </c>
      <c r="AS13" s="13">
        <v>0</v>
      </c>
      <c r="AT13" s="13">
        <v>3</v>
      </c>
      <c r="AU13" s="13">
        <v>0</v>
      </c>
      <c r="AV13" s="13">
        <v>28.7</v>
      </c>
      <c r="AW13" s="13">
        <v>0</v>
      </c>
      <c r="AX13" s="13">
        <v>0</v>
      </c>
      <c r="AY13" s="13">
        <v>0</v>
      </c>
      <c r="AZ13" s="13">
        <v>15521416.491985671</v>
      </c>
      <c r="BA13" s="13">
        <v>18</v>
      </c>
    </row>
    <row r="14" spans="1:53">
      <c r="A14" s="11" t="s">
        <v>59</v>
      </c>
      <c r="B14" s="11" t="s">
        <v>69</v>
      </c>
      <c r="C14" s="8" t="s">
        <v>72</v>
      </c>
      <c r="D14" s="12" t="s">
        <v>71</v>
      </c>
      <c r="E14" s="13">
        <v>48</v>
      </c>
      <c r="F14" s="13">
        <v>17</v>
      </c>
      <c r="G14" s="13">
        <v>0.35416666666666669</v>
      </c>
      <c r="H14" s="13">
        <v>3</v>
      </c>
      <c r="I14" s="13">
        <v>0.15</v>
      </c>
      <c r="J14" s="13">
        <v>7</v>
      </c>
      <c r="K14" s="13">
        <v>0.14583333333333334</v>
      </c>
      <c r="L14" s="13">
        <v>4</v>
      </c>
      <c r="M14" s="13">
        <v>2</v>
      </c>
      <c r="N14" s="13">
        <v>0</v>
      </c>
      <c r="O14" s="13">
        <v>0</v>
      </c>
      <c r="P14" s="13">
        <v>19</v>
      </c>
      <c r="Q14" s="13">
        <v>0</v>
      </c>
      <c r="R14" s="13">
        <v>0</v>
      </c>
      <c r="T14" s="13">
        <v>20634000</v>
      </c>
      <c r="U14" s="13">
        <v>8006900</v>
      </c>
      <c r="V14" s="13">
        <v>0</v>
      </c>
      <c r="W14" s="13">
        <v>-0.61195599495977515</v>
      </c>
      <c r="Y14" s="13">
        <v>41</v>
      </c>
      <c r="Z14" s="13">
        <v>4</v>
      </c>
      <c r="AA14" s="13">
        <v>0</v>
      </c>
      <c r="AB14" s="13">
        <v>-0.90243902439024393</v>
      </c>
      <c r="AC14" s="13">
        <v>0</v>
      </c>
      <c r="AD14" s="13">
        <v>0</v>
      </c>
      <c r="AE14" s="13">
        <v>0</v>
      </c>
      <c r="AF14" s="13">
        <v>0</v>
      </c>
      <c r="AG14" s="13">
        <v>16</v>
      </c>
      <c r="AH14" s="13">
        <v>16</v>
      </c>
      <c r="AI14" s="13">
        <v>44</v>
      </c>
      <c r="AJ14" s="13">
        <v>44</v>
      </c>
      <c r="AK14" s="13">
        <v>0</v>
      </c>
      <c r="AL14" s="13">
        <v>29</v>
      </c>
      <c r="AM14" s="13">
        <v>29</v>
      </c>
      <c r="AN14" s="13">
        <v>0</v>
      </c>
      <c r="AO14" s="13">
        <v>0</v>
      </c>
      <c r="AP14" s="13">
        <v>31</v>
      </c>
      <c r="AQ14" s="13">
        <v>31</v>
      </c>
      <c r="AR14" s="13">
        <v>0</v>
      </c>
      <c r="AS14" s="13">
        <v>8</v>
      </c>
      <c r="AT14" s="13">
        <v>5</v>
      </c>
      <c r="AU14" s="13">
        <v>0</v>
      </c>
      <c r="AV14" s="13">
        <v>23.032258065000001</v>
      </c>
      <c r="AW14" s="13">
        <v>0</v>
      </c>
      <c r="AX14" s="13">
        <v>0</v>
      </c>
      <c r="AY14" s="13">
        <v>0</v>
      </c>
      <c r="AZ14" s="13">
        <v>33983731.168369323</v>
      </c>
      <c r="BA14" s="13">
        <v>17</v>
      </c>
    </row>
    <row r="15" spans="1:53">
      <c r="A15" s="11" t="s">
        <v>59</v>
      </c>
      <c r="B15" s="11" t="s">
        <v>69</v>
      </c>
      <c r="C15" s="8" t="s">
        <v>73</v>
      </c>
      <c r="D15" s="12" t="s">
        <v>74</v>
      </c>
      <c r="E15" s="13">
        <v>49</v>
      </c>
      <c r="F15" s="13">
        <v>37</v>
      </c>
      <c r="G15" s="13">
        <v>0.75510204081632648</v>
      </c>
      <c r="H15" s="13">
        <v>0</v>
      </c>
      <c r="I15" s="13">
        <v>0</v>
      </c>
      <c r="J15" s="13">
        <v>23</v>
      </c>
      <c r="K15" s="13">
        <v>0.46938775510204084</v>
      </c>
      <c r="L15" s="13">
        <v>3</v>
      </c>
      <c r="M15" s="13">
        <v>3</v>
      </c>
      <c r="N15" s="13">
        <v>0</v>
      </c>
      <c r="O15" s="13">
        <v>0</v>
      </c>
      <c r="P15" s="13">
        <v>17</v>
      </c>
      <c r="Q15" s="13">
        <v>0</v>
      </c>
      <c r="R15" s="13">
        <v>0</v>
      </c>
      <c r="T15" s="13">
        <v>10172000</v>
      </c>
      <c r="U15" s="13">
        <v>8242500</v>
      </c>
      <c r="V15" s="13">
        <v>0</v>
      </c>
      <c r="W15" s="13">
        <v>-0.18968737711364525</v>
      </c>
      <c r="Y15" s="13">
        <v>68</v>
      </c>
      <c r="Z15" s="13">
        <v>19</v>
      </c>
      <c r="AA15" s="13">
        <v>0</v>
      </c>
      <c r="AB15" s="13">
        <v>-0.72058823529411764</v>
      </c>
      <c r="AC15" s="13">
        <v>0</v>
      </c>
      <c r="AD15" s="13">
        <v>0</v>
      </c>
      <c r="AE15" s="13">
        <v>9</v>
      </c>
      <c r="AF15" s="13">
        <v>0</v>
      </c>
      <c r="AG15" s="13">
        <v>32</v>
      </c>
      <c r="AH15" s="13">
        <v>32</v>
      </c>
      <c r="AI15" s="13">
        <v>26</v>
      </c>
      <c r="AJ15" s="13">
        <v>25</v>
      </c>
      <c r="AK15" s="13">
        <v>1</v>
      </c>
      <c r="AL15" s="13">
        <v>15</v>
      </c>
      <c r="AM15" s="13">
        <v>15</v>
      </c>
      <c r="AN15" s="13">
        <v>0</v>
      </c>
      <c r="AO15" s="13">
        <v>0</v>
      </c>
      <c r="AP15" s="13">
        <v>16</v>
      </c>
      <c r="AQ15" s="13">
        <v>16</v>
      </c>
      <c r="AR15" s="13">
        <v>0</v>
      </c>
      <c r="AS15" s="13">
        <v>41</v>
      </c>
      <c r="AT15" s="13">
        <v>4</v>
      </c>
      <c r="AU15" s="13">
        <v>0</v>
      </c>
      <c r="AV15" s="13">
        <v>22.196078431</v>
      </c>
      <c r="AW15" s="13">
        <v>0</v>
      </c>
      <c r="AX15" s="13">
        <v>1</v>
      </c>
      <c r="AY15" s="13">
        <v>300000</v>
      </c>
      <c r="AZ15" s="13">
        <v>27717464.974208351</v>
      </c>
      <c r="BA15" s="13">
        <v>37</v>
      </c>
    </row>
    <row r="16" spans="1:53">
      <c r="A16" s="11" t="s">
        <v>59</v>
      </c>
      <c r="B16" s="11" t="s">
        <v>69</v>
      </c>
      <c r="C16" s="8" t="s">
        <v>75</v>
      </c>
      <c r="D16" s="12" t="s">
        <v>74</v>
      </c>
      <c r="E16" s="13">
        <v>43</v>
      </c>
      <c r="F16" s="13">
        <v>20</v>
      </c>
      <c r="G16" s="13">
        <v>0.46511627906976744</v>
      </c>
      <c r="H16" s="13">
        <v>3</v>
      </c>
      <c r="I16" s="13">
        <v>0.13043478260869565</v>
      </c>
      <c r="J16" s="13">
        <v>13</v>
      </c>
      <c r="K16" s="13">
        <v>0.30232558139534882</v>
      </c>
      <c r="L16" s="13">
        <v>5</v>
      </c>
      <c r="M16" s="13">
        <v>4</v>
      </c>
      <c r="N16" s="13">
        <v>0</v>
      </c>
      <c r="O16" s="13">
        <v>0</v>
      </c>
      <c r="P16" s="13">
        <v>23</v>
      </c>
      <c r="Q16" s="13">
        <v>3</v>
      </c>
      <c r="R16" s="13">
        <v>4</v>
      </c>
      <c r="T16" s="13">
        <v>11276500</v>
      </c>
      <c r="U16" s="13">
        <v>1829000</v>
      </c>
      <c r="V16" s="13">
        <v>0</v>
      </c>
      <c r="W16" s="13">
        <v>-0.83780428324391432</v>
      </c>
      <c r="Y16" s="13">
        <v>51</v>
      </c>
      <c r="Z16" s="13">
        <v>3</v>
      </c>
      <c r="AA16" s="13">
        <v>0</v>
      </c>
      <c r="AB16" s="13">
        <v>-0.94117647058823528</v>
      </c>
      <c r="AC16" s="13">
        <v>0</v>
      </c>
      <c r="AD16" s="13">
        <v>0</v>
      </c>
      <c r="AE16" s="13">
        <v>0</v>
      </c>
      <c r="AF16" s="13">
        <v>0</v>
      </c>
      <c r="AG16" s="13">
        <v>17</v>
      </c>
      <c r="AH16" s="13">
        <v>17</v>
      </c>
      <c r="AI16" s="13">
        <v>20</v>
      </c>
      <c r="AJ16" s="13">
        <v>20</v>
      </c>
      <c r="AK16" s="13">
        <v>0</v>
      </c>
      <c r="AL16" s="13">
        <v>12</v>
      </c>
      <c r="AM16" s="13">
        <v>12</v>
      </c>
      <c r="AN16" s="13">
        <v>0</v>
      </c>
      <c r="AO16" s="13">
        <v>0</v>
      </c>
      <c r="AP16" s="13">
        <v>15</v>
      </c>
      <c r="AQ16" s="13">
        <v>15</v>
      </c>
      <c r="AR16" s="13">
        <v>0</v>
      </c>
      <c r="AS16" s="13">
        <v>11</v>
      </c>
      <c r="AT16" s="13">
        <v>4</v>
      </c>
      <c r="AU16" s="13">
        <v>0</v>
      </c>
      <c r="AV16" s="13">
        <v>43</v>
      </c>
      <c r="AW16" s="13">
        <v>0</v>
      </c>
      <c r="AX16" s="13">
        <v>1</v>
      </c>
      <c r="AY16" s="13">
        <v>25000</v>
      </c>
      <c r="AZ16" s="13">
        <v>19221972.570128288</v>
      </c>
      <c r="BA16" s="13">
        <v>20</v>
      </c>
    </row>
    <row r="17" spans="1:53">
      <c r="A17" s="11" t="s">
        <v>59</v>
      </c>
      <c r="B17" s="11" t="s">
        <v>69</v>
      </c>
      <c r="C17" s="8" t="s">
        <v>76</v>
      </c>
      <c r="D17" s="12" t="s">
        <v>74</v>
      </c>
      <c r="E17" s="13">
        <v>1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3">
        <v>0</v>
      </c>
      <c r="M17" s="13">
        <v>0</v>
      </c>
      <c r="N17" s="13">
        <v>0</v>
      </c>
      <c r="O17" s="13">
        <v>0</v>
      </c>
      <c r="P17" s="13">
        <v>1</v>
      </c>
      <c r="Q17" s="13">
        <v>0</v>
      </c>
      <c r="R17" s="13">
        <v>0</v>
      </c>
      <c r="T17" s="13">
        <v>0</v>
      </c>
      <c r="U17" s="13">
        <v>54000</v>
      </c>
      <c r="V17" s="13">
        <v>0</v>
      </c>
      <c r="W17" s="13">
        <v>-1</v>
      </c>
      <c r="Y17" s="13">
        <v>0</v>
      </c>
      <c r="Z17" s="13">
        <v>0</v>
      </c>
      <c r="AA17" s="13">
        <v>0</v>
      </c>
      <c r="AB17" s="13">
        <v>-1</v>
      </c>
      <c r="AC17" s="13">
        <v>0</v>
      </c>
      <c r="AD17" s="13">
        <v>0</v>
      </c>
      <c r="AE17" s="13">
        <v>0</v>
      </c>
      <c r="AF17" s="13">
        <v>0</v>
      </c>
      <c r="AG17" s="13">
        <v>1</v>
      </c>
      <c r="AH17" s="13">
        <v>1</v>
      </c>
      <c r="AI17" s="13">
        <v>0</v>
      </c>
      <c r="AJ17" s="13">
        <v>0</v>
      </c>
      <c r="AK17" s="13">
        <v>0</v>
      </c>
      <c r="AL17" s="13">
        <v>0</v>
      </c>
      <c r="AM17" s="13">
        <v>0</v>
      </c>
      <c r="AN17" s="13">
        <v>0</v>
      </c>
      <c r="AO17" s="13">
        <v>0</v>
      </c>
      <c r="AP17" s="13">
        <v>0</v>
      </c>
      <c r="AQ17" s="13">
        <v>0</v>
      </c>
      <c r="AR17" s="13">
        <v>0</v>
      </c>
      <c r="AS17" s="13">
        <v>0</v>
      </c>
      <c r="AT17" s="13">
        <v>0</v>
      </c>
      <c r="AU17" s="13">
        <v>0</v>
      </c>
      <c r="AV17" s="13">
        <v>0</v>
      </c>
      <c r="AW17" s="13">
        <v>0</v>
      </c>
      <c r="AX17" s="13">
        <v>0</v>
      </c>
      <c r="AY17" s="13">
        <v>0</v>
      </c>
      <c r="AZ17" s="13">
        <v>99250</v>
      </c>
      <c r="BA17" s="13">
        <v>0</v>
      </c>
    </row>
    <row r="18" spans="1:53">
      <c r="A18" s="11" t="s">
        <v>59</v>
      </c>
      <c r="B18" s="11" t="s">
        <v>69</v>
      </c>
      <c r="C18" s="8" t="s">
        <v>77</v>
      </c>
      <c r="D18" s="12" t="s">
        <v>78</v>
      </c>
      <c r="E18" s="13">
        <v>39</v>
      </c>
      <c r="F18" s="13">
        <v>32</v>
      </c>
      <c r="G18" s="13">
        <v>0.82051282051282048</v>
      </c>
      <c r="H18" s="13">
        <v>2</v>
      </c>
      <c r="I18" s="13">
        <v>5.8823529411764705E-2</v>
      </c>
      <c r="J18" s="13">
        <v>19</v>
      </c>
      <c r="K18" s="13">
        <v>0.48717948717948717</v>
      </c>
      <c r="L18" s="13">
        <v>5</v>
      </c>
      <c r="M18" s="13">
        <v>3</v>
      </c>
      <c r="N18" s="13">
        <v>0</v>
      </c>
      <c r="O18" s="13">
        <v>0</v>
      </c>
      <c r="P18" s="13">
        <v>23</v>
      </c>
      <c r="Q18" s="13">
        <v>0</v>
      </c>
      <c r="R18" s="13">
        <v>0</v>
      </c>
      <c r="T18" s="13">
        <v>33476000</v>
      </c>
      <c r="U18" s="13">
        <v>15293900</v>
      </c>
      <c r="V18" s="13">
        <v>0</v>
      </c>
      <c r="W18" s="13">
        <v>-0.54313836778587643</v>
      </c>
      <c r="Y18" s="13">
        <v>95</v>
      </c>
      <c r="Z18" s="13">
        <v>12</v>
      </c>
      <c r="AA18" s="13">
        <v>0</v>
      </c>
      <c r="AB18" s="13">
        <v>-0.87368421052631584</v>
      </c>
      <c r="AC18" s="13">
        <v>0</v>
      </c>
      <c r="AD18" s="13">
        <v>0</v>
      </c>
      <c r="AE18" s="13">
        <v>0</v>
      </c>
      <c r="AF18" s="13">
        <v>0</v>
      </c>
      <c r="AG18" s="13">
        <v>32</v>
      </c>
      <c r="AH18" s="13">
        <v>32</v>
      </c>
      <c r="AI18" s="13">
        <v>20</v>
      </c>
      <c r="AJ18" s="13">
        <v>20</v>
      </c>
      <c r="AK18" s="13">
        <v>0</v>
      </c>
      <c r="AL18" s="13">
        <v>11</v>
      </c>
      <c r="AM18" s="13">
        <v>11</v>
      </c>
      <c r="AN18" s="13">
        <v>0</v>
      </c>
      <c r="AO18" s="13">
        <v>0</v>
      </c>
      <c r="AP18" s="13">
        <v>13</v>
      </c>
      <c r="AQ18" s="13">
        <v>13</v>
      </c>
      <c r="AR18" s="13">
        <v>0</v>
      </c>
      <c r="AS18" s="13">
        <v>36</v>
      </c>
      <c r="AT18" s="13">
        <v>3</v>
      </c>
      <c r="AU18" s="13">
        <v>0</v>
      </c>
      <c r="AV18" s="13">
        <v>7.4285714289999998</v>
      </c>
      <c r="AW18" s="13">
        <v>0</v>
      </c>
      <c r="AX18" s="13">
        <v>0</v>
      </c>
      <c r="AY18" s="13">
        <v>0</v>
      </c>
      <c r="AZ18" s="13">
        <v>21985828.668709639</v>
      </c>
      <c r="BA18" s="13">
        <v>32</v>
      </c>
    </row>
    <row r="19" spans="1:53">
      <c r="A19" s="11" t="s">
        <v>59</v>
      </c>
      <c r="B19" s="11" t="s">
        <v>69</v>
      </c>
      <c r="C19" s="8" t="s">
        <v>79</v>
      </c>
      <c r="D19" s="12" t="s">
        <v>78</v>
      </c>
      <c r="E19" s="13">
        <v>63</v>
      </c>
      <c r="F19" s="13">
        <v>35</v>
      </c>
      <c r="G19" s="13">
        <v>0.55555555555555558</v>
      </c>
      <c r="H19" s="13">
        <v>0</v>
      </c>
      <c r="I19" s="13">
        <v>0</v>
      </c>
      <c r="J19" s="13">
        <v>9</v>
      </c>
      <c r="K19" s="13">
        <v>0.14285714285714285</v>
      </c>
      <c r="L19" s="13">
        <v>2</v>
      </c>
      <c r="M19" s="13">
        <v>6</v>
      </c>
      <c r="N19" s="13">
        <v>0</v>
      </c>
      <c r="O19" s="13">
        <v>0</v>
      </c>
      <c r="P19" s="13">
        <v>52</v>
      </c>
      <c r="Q19" s="13">
        <v>3</v>
      </c>
      <c r="R19" s="13">
        <v>2</v>
      </c>
      <c r="T19" s="13">
        <v>72496500</v>
      </c>
      <c r="U19" s="13">
        <v>100731800</v>
      </c>
      <c r="V19" s="13">
        <v>0</v>
      </c>
      <c r="W19" s="13">
        <v>0.38947121585179967</v>
      </c>
      <c r="Y19" s="13">
        <v>228</v>
      </c>
      <c r="Z19" s="13">
        <v>10</v>
      </c>
      <c r="AA19" s="13">
        <v>0</v>
      </c>
      <c r="AB19" s="13">
        <v>-0.95614035087719296</v>
      </c>
      <c r="AC19" s="13">
        <v>0</v>
      </c>
      <c r="AD19" s="13">
        <v>0</v>
      </c>
      <c r="AE19" s="13">
        <v>0</v>
      </c>
      <c r="AF19" s="13">
        <v>0</v>
      </c>
      <c r="AG19" s="13">
        <v>30</v>
      </c>
      <c r="AH19" s="13">
        <v>30</v>
      </c>
      <c r="AI19" s="13">
        <v>42</v>
      </c>
      <c r="AJ19" s="13">
        <v>41</v>
      </c>
      <c r="AK19" s="13">
        <v>1</v>
      </c>
      <c r="AL19" s="13">
        <v>22</v>
      </c>
      <c r="AM19" s="13">
        <v>22</v>
      </c>
      <c r="AN19" s="13">
        <v>0</v>
      </c>
      <c r="AO19" s="13">
        <v>0</v>
      </c>
      <c r="AP19" s="13">
        <v>29</v>
      </c>
      <c r="AQ19" s="13">
        <v>29</v>
      </c>
      <c r="AR19" s="13">
        <v>0</v>
      </c>
      <c r="AS19" s="13">
        <v>14</v>
      </c>
      <c r="AT19" s="13">
        <v>14</v>
      </c>
      <c r="AU19" s="13">
        <v>0</v>
      </c>
      <c r="AV19" s="13">
        <v>20.3125</v>
      </c>
      <c r="AW19" s="13">
        <v>0</v>
      </c>
      <c r="AX19" s="13">
        <v>2</v>
      </c>
      <c r="AY19" s="13">
        <v>300000</v>
      </c>
      <c r="AZ19" s="13">
        <v>28330148.378621832</v>
      </c>
      <c r="BA19" s="13">
        <v>35</v>
      </c>
    </row>
    <row r="20" spans="1:53">
      <c r="A20" s="11" t="s">
        <v>59</v>
      </c>
      <c r="B20" s="11" t="s">
        <v>80</v>
      </c>
      <c r="C20" s="8" t="s">
        <v>81</v>
      </c>
      <c r="D20" s="12" t="s">
        <v>82</v>
      </c>
      <c r="E20" s="13">
        <v>48</v>
      </c>
      <c r="F20" s="13">
        <v>40</v>
      </c>
      <c r="G20" s="13">
        <v>0.83333333333333337</v>
      </c>
      <c r="H20" s="13">
        <v>5</v>
      </c>
      <c r="I20" s="13">
        <v>0.1111111111111111</v>
      </c>
      <c r="J20" s="13">
        <v>23</v>
      </c>
      <c r="K20" s="13">
        <v>0.47916666666666669</v>
      </c>
      <c r="L20" s="13">
        <v>2</v>
      </c>
      <c r="M20" s="13">
        <v>1</v>
      </c>
      <c r="N20" s="13">
        <v>0</v>
      </c>
      <c r="O20" s="13">
        <v>0</v>
      </c>
      <c r="P20" s="13">
        <v>26</v>
      </c>
      <c r="Q20" s="13">
        <v>0</v>
      </c>
      <c r="R20" s="13">
        <v>0</v>
      </c>
      <c r="T20" s="13">
        <v>11993750</v>
      </c>
      <c r="U20" s="13">
        <v>5192000</v>
      </c>
      <c r="V20" s="13">
        <v>0</v>
      </c>
      <c r="W20" s="13">
        <v>-0.56710786868160501</v>
      </c>
      <c r="Y20" s="13">
        <v>67</v>
      </c>
      <c r="Z20" s="13">
        <v>22</v>
      </c>
      <c r="AA20" s="13">
        <v>0</v>
      </c>
      <c r="AB20" s="13">
        <v>-0.67164179104477606</v>
      </c>
      <c r="AC20" s="13">
        <v>0</v>
      </c>
      <c r="AD20" s="13">
        <v>0</v>
      </c>
      <c r="AE20" s="13">
        <v>7</v>
      </c>
      <c r="AF20" s="13">
        <v>0</v>
      </c>
      <c r="AG20" s="13">
        <v>34</v>
      </c>
      <c r="AH20" s="13">
        <v>34</v>
      </c>
      <c r="AI20" s="13">
        <v>19</v>
      </c>
      <c r="AJ20" s="13">
        <v>19</v>
      </c>
      <c r="AK20" s="13">
        <v>0</v>
      </c>
      <c r="AL20" s="13">
        <v>9</v>
      </c>
      <c r="AM20" s="13">
        <v>9</v>
      </c>
      <c r="AN20" s="13">
        <v>0</v>
      </c>
      <c r="AO20" s="13">
        <v>0</v>
      </c>
      <c r="AP20" s="13">
        <v>12</v>
      </c>
      <c r="AQ20" s="13">
        <v>12</v>
      </c>
      <c r="AR20" s="13">
        <v>0</v>
      </c>
      <c r="AS20" s="13">
        <v>3</v>
      </c>
      <c r="AT20" s="13">
        <v>1</v>
      </c>
      <c r="AU20" s="13">
        <v>0</v>
      </c>
      <c r="AV20" s="13">
        <v>10.729166666999999</v>
      </c>
      <c r="AW20" s="13">
        <v>0</v>
      </c>
      <c r="AX20" s="13">
        <v>1</v>
      </c>
      <c r="AY20" s="13">
        <v>150000</v>
      </c>
      <c r="AZ20" s="13">
        <v>19884551.466284662</v>
      </c>
      <c r="BA20" s="13">
        <v>40</v>
      </c>
    </row>
    <row r="21" spans="1:53">
      <c r="A21" s="11" t="s">
        <v>59</v>
      </c>
      <c r="B21" s="11" t="s">
        <v>80</v>
      </c>
      <c r="C21" s="8" t="s">
        <v>83</v>
      </c>
      <c r="D21" s="12" t="s">
        <v>82</v>
      </c>
      <c r="E21" s="13">
        <v>53</v>
      </c>
      <c r="F21" s="13">
        <v>44</v>
      </c>
      <c r="G21" s="13">
        <v>0.83018867924528306</v>
      </c>
      <c r="H21" s="13">
        <v>1</v>
      </c>
      <c r="I21" s="13">
        <v>2.2222222222222223E-2</v>
      </c>
      <c r="J21" s="13">
        <v>21</v>
      </c>
      <c r="K21" s="13">
        <v>0.39622641509433965</v>
      </c>
      <c r="L21" s="13">
        <v>5</v>
      </c>
      <c r="M21" s="13">
        <v>6</v>
      </c>
      <c r="N21" s="13">
        <v>0</v>
      </c>
      <c r="O21" s="13">
        <v>0</v>
      </c>
      <c r="P21" s="13">
        <v>29</v>
      </c>
      <c r="Q21" s="13">
        <v>1</v>
      </c>
      <c r="R21" s="13">
        <v>1</v>
      </c>
      <c r="T21" s="13">
        <v>9578500</v>
      </c>
      <c r="U21" s="13">
        <v>4524100</v>
      </c>
      <c r="V21" s="13">
        <v>0</v>
      </c>
      <c r="W21" s="13">
        <v>-0.52768178733622173</v>
      </c>
      <c r="Y21" s="13">
        <v>7</v>
      </c>
      <c r="Z21" s="13">
        <v>8</v>
      </c>
      <c r="AA21" s="13">
        <v>0</v>
      </c>
      <c r="AB21" s="13">
        <v>0.14285714285714279</v>
      </c>
      <c r="AC21" s="13">
        <v>0</v>
      </c>
      <c r="AD21" s="13">
        <v>0</v>
      </c>
      <c r="AE21" s="13">
        <v>0</v>
      </c>
      <c r="AF21" s="13">
        <v>0</v>
      </c>
      <c r="AG21" s="13">
        <v>37</v>
      </c>
      <c r="AH21" s="13">
        <v>37</v>
      </c>
      <c r="AI21" s="13">
        <v>31</v>
      </c>
      <c r="AJ21" s="13">
        <v>31</v>
      </c>
      <c r="AK21" s="13">
        <v>0</v>
      </c>
      <c r="AL21" s="13">
        <v>13</v>
      </c>
      <c r="AM21" s="13">
        <v>13</v>
      </c>
      <c r="AN21" s="13">
        <v>0</v>
      </c>
      <c r="AO21" s="13">
        <v>0</v>
      </c>
      <c r="AP21" s="13">
        <v>19</v>
      </c>
      <c r="AQ21" s="13">
        <v>19</v>
      </c>
      <c r="AR21" s="13">
        <v>0</v>
      </c>
      <c r="AS21" s="13">
        <v>20</v>
      </c>
      <c r="AT21" s="13">
        <v>8</v>
      </c>
      <c r="AU21" s="13">
        <v>0</v>
      </c>
      <c r="AV21" s="13">
        <v>9.4791666669999994</v>
      </c>
      <c r="AW21" s="13">
        <v>0</v>
      </c>
      <c r="AX21" s="13">
        <v>0</v>
      </c>
      <c r="AY21" s="13">
        <v>0</v>
      </c>
      <c r="AZ21" s="13">
        <v>15773891.221654708</v>
      </c>
      <c r="BA21" s="13">
        <v>44</v>
      </c>
    </row>
    <row r="22" spans="1:53">
      <c r="A22" s="11" t="s">
        <v>59</v>
      </c>
      <c r="B22" s="11" t="s">
        <v>80</v>
      </c>
      <c r="C22" s="8" t="s">
        <v>84</v>
      </c>
      <c r="D22" s="12" t="s">
        <v>82</v>
      </c>
      <c r="E22" s="13">
        <v>48</v>
      </c>
      <c r="F22" s="13">
        <v>42</v>
      </c>
      <c r="G22" s="13">
        <v>0.875</v>
      </c>
      <c r="H22" s="13">
        <v>7</v>
      </c>
      <c r="I22" s="13">
        <v>0.14285714285714285</v>
      </c>
      <c r="J22" s="13">
        <v>17</v>
      </c>
      <c r="K22" s="13">
        <v>0.35416666666666669</v>
      </c>
      <c r="L22" s="13">
        <v>19</v>
      </c>
      <c r="M22" s="13">
        <v>0</v>
      </c>
      <c r="N22" s="13">
        <v>0</v>
      </c>
      <c r="O22" s="13">
        <v>0</v>
      </c>
      <c r="P22" s="13">
        <v>29</v>
      </c>
      <c r="Q22" s="13">
        <v>6</v>
      </c>
      <c r="R22" s="13">
        <v>1</v>
      </c>
      <c r="T22" s="13">
        <v>8685000</v>
      </c>
      <c r="U22" s="13">
        <v>6911000</v>
      </c>
      <c r="V22" s="13">
        <v>0</v>
      </c>
      <c r="W22" s="13">
        <v>-0.20426021876799083</v>
      </c>
      <c r="Y22" s="13">
        <v>3</v>
      </c>
      <c r="Z22" s="13">
        <v>64</v>
      </c>
      <c r="AA22" s="13">
        <v>0</v>
      </c>
      <c r="AB22" s="13">
        <v>20.333333333333332</v>
      </c>
      <c r="AC22" s="13">
        <v>0</v>
      </c>
      <c r="AD22" s="13">
        <v>0</v>
      </c>
      <c r="AE22" s="13">
        <v>0</v>
      </c>
      <c r="AF22" s="13">
        <v>0</v>
      </c>
      <c r="AG22" s="13">
        <v>42</v>
      </c>
      <c r="AH22" s="13">
        <v>42</v>
      </c>
      <c r="AI22" s="13">
        <v>23</v>
      </c>
      <c r="AJ22" s="13">
        <v>23</v>
      </c>
      <c r="AK22" s="13">
        <v>0</v>
      </c>
      <c r="AL22" s="13">
        <v>15</v>
      </c>
      <c r="AM22" s="13">
        <v>15</v>
      </c>
      <c r="AN22" s="13">
        <v>0</v>
      </c>
      <c r="AO22" s="13">
        <v>0</v>
      </c>
      <c r="AP22" s="13">
        <v>19</v>
      </c>
      <c r="AQ22" s="13">
        <v>19</v>
      </c>
      <c r="AR22" s="13">
        <v>0</v>
      </c>
      <c r="AS22" s="13">
        <v>73</v>
      </c>
      <c r="AT22" s="13">
        <v>0</v>
      </c>
      <c r="AU22" s="13">
        <v>0</v>
      </c>
      <c r="AV22" s="13">
        <v>21.611111111</v>
      </c>
      <c r="AW22" s="13">
        <v>0</v>
      </c>
      <c r="AX22" s="13">
        <v>0</v>
      </c>
      <c r="AY22" s="13">
        <v>0</v>
      </c>
      <c r="AZ22" s="13">
        <v>22399021.778644077</v>
      </c>
      <c r="BA22" s="13">
        <v>42</v>
      </c>
    </row>
    <row r="23" spans="1:53">
      <c r="A23" s="11" t="s">
        <v>59</v>
      </c>
      <c r="B23" s="11" t="s">
        <v>80</v>
      </c>
      <c r="C23" s="8" t="s">
        <v>85</v>
      </c>
      <c r="D23" s="12" t="s">
        <v>82</v>
      </c>
      <c r="E23" s="13">
        <v>49</v>
      </c>
      <c r="F23" s="13">
        <v>46</v>
      </c>
      <c r="G23" s="13">
        <v>0.93877551020408168</v>
      </c>
      <c r="H23" s="13">
        <v>0</v>
      </c>
      <c r="I23" s="13">
        <v>0</v>
      </c>
      <c r="J23" s="13">
        <v>28</v>
      </c>
      <c r="K23" s="13">
        <v>0.5714285714285714</v>
      </c>
      <c r="L23" s="13">
        <v>5</v>
      </c>
      <c r="M23" s="13">
        <v>2</v>
      </c>
      <c r="N23" s="13">
        <v>0</v>
      </c>
      <c r="O23" s="13">
        <v>0</v>
      </c>
      <c r="P23" s="13">
        <v>22</v>
      </c>
      <c r="Q23" s="13">
        <v>0</v>
      </c>
      <c r="R23" s="13">
        <v>0</v>
      </c>
      <c r="T23" s="13">
        <v>11519500</v>
      </c>
      <c r="U23" s="13">
        <v>12061250</v>
      </c>
      <c r="V23" s="13">
        <v>0</v>
      </c>
      <c r="W23" s="13">
        <v>4.7028950909327571E-2</v>
      </c>
      <c r="Y23" s="13">
        <v>30</v>
      </c>
      <c r="Z23" s="13">
        <v>6</v>
      </c>
      <c r="AA23" s="13">
        <v>0</v>
      </c>
      <c r="AB23" s="13">
        <v>-0.8</v>
      </c>
      <c r="AC23" s="13">
        <v>0</v>
      </c>
      <c r="AD23" s="13">
        <v>0</v>
      </c>
      <c r="AE23" s="13">
        <v>0</v>
      </c>
      <c r="AF23" s="13">
        <v>0</v>
      </c>
      <c r="AG23" s="13">
        <v>35</v>
      </c>
      <c r="AH23" s="13">
        <v>35</v>
      </c>
      <c r="AI23" s="13">
        <v>11</v>
      </c>
      <c r="AJ23" s="13">
        <v>10</v>
      </c>
      <c r="AK23" s="13">
        <v>1</v>
      </c>
      <c r="AL23" s="13">
        <v>2</v>
      </c>
      <c r="AM23" s="13">
        <v>2</v>
      </c>
      <c r="AN23" s="13">
        <v>0</v>
      </c>
      <c r="AO23" s="13">
        <v>0</v>
      </c>
      <c r="AP23" s="13">
        <v>5</v>
      </c>
      <c r="AQ23" s="13">
        <v>5</v>
      </c>
      <c r="AR23" s="13">
        <v>0</v>
      </c>
      <c r="AS23" s="13">
        <v>7</v>
      </c>
      <c r="AT23" s="13">
        <v>5</v>
      </c>
      <c r="AU23" s="13">
        <v>0</v>
      </c>
      <c r="AV23" s="13">
        <v>7.4042553189999998</v>
      </c>
      <c r="AW23" s="13">
        <v>0</v>
      </c>
      <c r="AX23" s="13">
        <v>0</v>
      </c>
      <c r="AY23" s="13">
        <v>0</v>
      </c>
      <c r="AZ23" s="13">
        <v>23069031.69257547</v>
      </c>
      <c r="BA23" s="13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2026-10-20T07:33:17Z</dcterms:modified>
</cp:coreProperties>
</file>