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I9" i="1" l="1"/>
  <c r="O9" i="1" s="1"/>
  <c r="J9" i="1"/>
  <c r="P9" i="1" s="1"/>
  <c r="K7" i="1"/>
  <c r="I8" i="1"/>
  <c r="O8" i="1" s="1"/>
  <c r="J11" i="1"/>
  <c r="P11" i="1" s="1"/>
  <c r="L7" i="1"/>
  <c r="J8" i="1"/>
  <c r="P8" i="1" s="1"/>
  <c r="I10" i="1"/>
  <c r="O10" i="1" s="1"/>
  <c r="K9" i="1"/>
  <c r="K11" i="1"/>
  <c r="K8" i="1"/>
  <c r="I11" i="1"/>
  <c r="O11" i="1" s="1"/>
  <c r="L9" i="1"/>
  <c r="I7" i="1"/>
  <c r="O7" i="1" s="1"/>
  <c r="I6" i="1"/>
  <c r="J6" i="1"/>
  <c r="J10" i="1"/>
  <c r="P10" i="1" s="1"/>
  <c r="L11" i="1"/>
  <c r="L8" i="1"/>
  <c r="K6" i="1"/>
  <c r="J7" i="1"/>
  <c r="P7" i="1" s="1"/>
  <c r="K10" i="1"/>
  <c r="L6" i="1"/>
  <c r="L10" i="1"/>
  <c r="R10" i="1" l="1"/>
  <c r="N10" i="1"/>
  <c r="T10" i="1" s="1"/>
  <c r="Q9" i="1"/>
  <c r="M9" i="1"/>
  <c r="S9" i="1" s="1"/>
  <c r="R8" i="1"/>
  <c r="N8" i="1"/>
  <c r="T8" i="1" s="1"/>
  <c r="R9" i="1"/>
  <c r="N9" i="1"/>
  <c r="T9" i="1" s="1"/>
  <c r="M10" i="1"/>
  <c r="S10" i="1" s="1"/>
  <c r="Q10" i="1"/>
  <c r="Q6" i="1"/>
  <c r="Q12" i="1" s="1"/>
  <c r="K12" i="1"/>
  <c r="M6" i="1"/>
  <c r="N11" i="1"/>
  <c r="T11" i="1" s="1"/>
  <c r="R11" i="1"/>
  <c r="N7" i="1"/>
  <c r="T7" i="1" s="1"/>
  <c r="R7" i="1"/>
  <c r="Q8" i="1"/>
  <c r="M8" i="1"/>
  <c r="S8" i="1" s="1"/>
  <c r="M11" i="1"/>
  <c r="S11" i="1" s="1"/>
  <c r="Q11" i="1"/>
  <c r="R6" i="1"/>
  <c r="R12" i="1" s="1"/>
  <c r="L12" i="1"/>
  <c r="N6" i="1"/>
  <c r="P6" i="1"/>
  <c r="P12" i="1" s="1"/>
  <c r="J12" i="1"/>
  <c r="O6" i="1"/>
  <c r="O12" i="1" s="1"/>
  <c r="I12" i="1"/>
  <c r="Q7" i="1"/>
  <c r="M7" i="1"/>
  <c r="S7" i="1" s="1"/>
  <c r="N12" i="1" l="1"/>
  <c r="T6" i="1"/>
  <c r="T12" i="1" s="1"/>
  <c r="S6" i="1"/>
  <c r="S12" i="1" s="1"/>
  <c r="M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<sst xmlns="http://schemas.openxmlformats.org/spreadsheetml/2006/main" count="45" uniqueCount="23">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</sst>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317849600</v>
          </cell>
          <cell r="U4">
            <v>1170</v>
          </cell>
          <cell r="Y4">
            <v>43600000</v>
          </cell>
          <cell r="Z4">
            <v>5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3252500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2108000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954000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543600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786000</v>
          </cell>
          <cell r="U21">
            <v>15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938000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876000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597900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648200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595200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1319100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11315000</v>
          </cell>
          <cell r="U36">
            <v>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1576000</v>
          </cell>
          <cell r="U39">
            <v>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2377000</v>
          </cell>
          <cell r="U40">
            <v>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2094200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2094000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2048000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2253000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2978000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1756400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904500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1152000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755200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530000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2777000</v>
          </cell>
          <cell r="U59">
            <v>7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3112300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7655000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649000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2822000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20034000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2988000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5752000</v>
          </cell>
          <cell r="U70">
            <v>10</v>
          </cell>
          <cell r="Y70">
            <v>3720000</v>
          </cell>
          <cell r="Z70">
            <v>0</v>
          </cell>
        </row>
        <row r="71">
          <cell r="A71" t="str">
            <v>APRIANUS</v>
          </cell>
          <cell r="T71">
            <v>3352800</v>
          </cell>
          <cell r="U71">
            <v>5</v>
          </cell>
          <cell r="Y71">
            <v>1500000</v>
          </cell>
          <cell r="Z71">
            <v>0</v>
          </cell>
        </row>
        <row r="72">
          <cell r="A72" t="str">
            <v>JULAIHA</v>
          </cell>
          <cell r="T72">
            <v>1275500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2037600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595000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753600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810000</v>
          </cell>
          <cell r="U81">
            <v>7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2004000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2008000</v>
          </cell>
          <cell r="U83">
            <v>8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486000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3172400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8225000</v>
          </cell>
          <cell r="U92">
            <v>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719500</v>
          </cell>
          <cell r="U93">
            <v>8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452500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952700</v>
          </cell>
          <cell r="U101">
            <v>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889200</v>
          </cell>
          <cell r="U102">
            <v>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1331000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562000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2195000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663000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1956000</v>
          </cell>
          <cell r="U111">
            <v>7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871000</v>
          </cell>
          <cell r="U112">
            <v>7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1418000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809200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727600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1488000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848000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1188000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3340000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597400</v>
          </cell>
          <cell r="U142">
            <v>5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1449600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603600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5358200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4247300</v>
          </cell>
          <cell r="U151">
            <v>10</v>
          </cell>
          <cell r="Y151">
            <v>3000000</v>
          </cell>
          <cell r="Z151">
            <v>0</v>
          </cell>
        </row>
        <row r="152">
          <cell r="A152" t="str">
            <v>JULAIHA</v>
          </cell>
          <cell r="T152">
            <v>3076500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6518300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531500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542400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3528000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635000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3864200</v>
          </cell>
          <cell r="U161">
            <v>5</v>
          </cell>
          <cell r="Y161">
            <v>1950000</v>
          </cell>
          <cell r="Z161">
            <v>0</v>
          </cell>
        </row>
        <row r="162">
          <cell r="A162" t="str">
            <v>URAY ILHAM</v>
          </cell>
          <cell r="T162">
            <v>1601900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987200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796800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595200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542400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651400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462500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452400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653000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511700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2834700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177500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511700</v>
          </cell>
          <cell r="U178">
            <v>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1076000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2500000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1320000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921000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776000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4402000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608400</v>
          </cell>
          <cell r="U191">
            <v>3</v>
          </cell>
          <cell r="Y191">
            <v>2000000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16451600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8656400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7428900</v>
          </cell>
          <cell r="U200">
            <v>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1446500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883000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865000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3365000</v>
          </cell>
          <cell r="U212">
            <v>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1104000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1116000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648000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918000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1182000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1745000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5976000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2802000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1948000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822000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1571000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2052000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636000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workbookViewId="0">
      <selection activeCell="N12" sqref="N12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65293900</v>
      </c>
      <c r="J6" s="18">
        <f>SUMIF([1]Sheet1!$A:$A,A6,[1]Sheet1!$U:$U)</f>
        <v>195</v>
      </c>
      <c r="K6" s="18">
        <f>SUMIF([1]Sheet1!$A:$A,A6,[1]Sheet1!$Y:$Y)</f>
        <v>6500000</v>
      </c>
      <c r="L6" s="18">
        <f>SUMIF([1]Sheet1!$A:$A,A6,[1]Sheet1!$Z:$Z)</f>
        <v>0</v>
      </c>
      <c r="M6" s="17">
        <f>K6+I6</f>
        <v>71793900</v>
      </c>
      <c r="N6" s="17">
        <f>L6+J6</f>
        <v>195</v>
      </c>
      <c r="O6" s="19">
        <f t="shared" ref="O6:T11" si="0">I6/C6</f>
        <v>0.44614760138030224</v>
      </c>
      <c r="P6" s="19">
        <f t="shared" si="0"/>
        <v>0.91549295774647887</v>
      </c>
      <c r="Q6" s="19">
        <f t="shared" si="0"/>
        <v>0.33885726288173884</v>
      </c>
      <c r="R6" s="19">
        <f t="shared" si="0"/>
        <v>0</v>
      </c>
      <c r="S6" s="19">
        <f t="shared" si="0"/>
        <v>0.43371466434673589</v>
      </c>
      <c r="T6" s="19">
        <f t="shared" si="0"/>
        <v>0.76470588235294112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33725100</v>
      </c>
      <c r="J7" s="18">
        <f>SUMIF([1]Sheet1!$A:$A,A7,[1]Sheet1!$U:$U)</f>
        <v>158</v>
      </c>
      <c r="K7" s="18">
        <f>SUMIF([1]Sheet1!$A:$A,A7,[1]Sheet1!$Y:$Y)</f>
        <v>15820000</v>
      </c>
      <c r="L7" s="18">
        <f>SUMIF([1]Sheet1!$A:$A,A7,[1]Sheet1!$Z:$Z)</f>
        <v>1</v>
      </c>
      <c r="M7" s="17">
        <f t="shared" ref="M7:N11" si="2">K7+I7</f>
        <v>49545100</v>
      </c>
      <c r="N7" s="17">
        <f t="shared" si="2"/>
        <v>159</v>
      </c>
      <c r="O7" s="19">
        <f t="shared" si="0"/>
        <v>0.49141260264164582</v>
      </c>
      <c r="P7" s="19">
        <f t="shared" si="0"/>
        <v>0.78217821782178221</v>
      </c>
      <c r="Q7" s="19">
        <f t="shared" si="0"/>
        <v>1.1170658966579323</v>
      </c>
      <c r="R7" s="19">
        <f t="shared" si="0"/>
        <v>4.3478260869565216E-2</v>
      </c>
      <c r="S7" s="19">
        <f t="shared" si="0"/>
        <v>0.5984359070579035</v>
      </c>
      <c r="T7" s="19">
        <f t="shared" si="0"/>
        <v>0.70666666666666667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20232800</v>
      </c>
      <c r="J8" s="18">
        <f>SUMIF([1]Sheet1!$A:$A,A8,[1]Sheet1!$U:$U)</f>
        <v>62</v>
      </c>
      <c r="K8" s="18">
        <f>SUMIF([1]Sheet1!$A:$A,A8,[1]Sheet1!$Y:$Y)</f>
        <v>1800000</v>
      </c>
      <c r="L8" s="18">
        <f>SUMIF([1]Sheet1!$A:$A,A8,[1]Sheet1!$Z:$Z)</f>
        <v>0</v>
      </c>
      <c r="M8" s="17">
        <f t="shared" si="2"/>
        <v>22032800</v>
      </c>
      <c r="N8" s="17">
        <f t="shared" si="2"/>
        <v>62</v>
      </c>
      <c r="O8" s="19">
        <f t="shared" si="0"/>
        <v>0.21729258517531386</v>
      </c>
      <c r="P8" s="19">
        <f t="shared" si="0"/>
        <v>0.27555555555555555</v>
      </c>
      <c r="Q8" s="19">
        <f t="shared" si="0"/>
        <v>0.43021739427337846</v>
      </c>
      <c r="R8" s="19">
        <f t="shared" si="0"/>
        <v>0</v>
      </c>
      <c r="S8" s="19">
        <f t="shared" si="0"/>
        <v>0.22644869374501486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105405500</v>
      </c>
      <c r="J9" s="18">
        <f>SUMIF([1]Sheet1!$A:$A,A9,[1]Sheet1!$U:$U)</f>
        <v>309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105405500</v>
      </c>
      <c r="N9" s="17">
        <f t="shared" si="2"/>
        <v>309</v>
      </c>
      <c r="O9" s="19">
        <f t="shared" si="0"/>
        <v>0.34380261359978243</v>
      </c>
      <c r="P9" s="19">
        <f t="shared" si="0"/>
        <v>0.85833333333333328</v>
      </c>
      <c r="Q9" s="19">
        <f t="shared" si="0"/>
        <v>0</v>
      </c>
      <c r="R9" s="19">
        <f t="shared" si="0"/>
        <v>0</v>
      </c>
      <c r="S9" s="19">
        <f t="shared" si="0"/>
        <v>0.32491023058505036</v>
      </c>
      <c r="T9" s="19">
        <f t="shared" si="0"/>
        <v>0.69438202247191017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43007200</v>
      </c>
      <c r="J10" s="18">
        <f>SUMIF([1]Sheet1!$A:$A,A10,[1]Sheet1!$U:$U)</f>
        <v>218</v>
      </c>
      <c r="K10" s="18">
        <f>SUMIF([1]Sheet1!$A:$A,A10,[1]Sheet1!$Y:$Y)</f>
        <v>5650000</v>
      </c>
      <c r="L10" s="18">
        <f>SUMIF([1]Sheet1!$A:$A,A10,[1]Sheet1!$Z:$Z)</f>
        <v>1</v>
      </c>
      <c r="M10" s="17">
        <f t="shared" si="2"/>
        <v>48657200</v>
      </c>
      <c r="N10" s="17">
        <f t="shared" si="2"/>
        <v>219</v>
      </c>
      <c r="O10" s="19">
        <f t="shared" si="0"/>
        <v>0.34658302582649481</v>
      </c>
      <c r="P10" s="19">
        <f t="shared" si="0"/>
        <v>0.89711934156378603</v>
      </c>
      <c r="Q10" s="19">
        <f t="shared" si="0"/>
        <v>0.17380653487945558</v>
      </c>
      <c r="R10" s="19">
        <f t="shared" si="0"/>
        <v>5.434782608695652E-3</v>
      </c>
      <c r="S10" s="19">
        <f t="shared" si="0"/>
        <v>0.31071687854369928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50185100</v>
      </c>
      <c r="J11" s="18">
        <f>SUMIF([1]Sheet1!$A:$A,A11,[1]Sheet1!$U:$U)</f>
        <v>228</v>
      </c>
      <c r="K11" s="18">
        <f>SUMIF([1]Sheet1!$A:$A,A11,[1]Sheet1!$Y:$Y)</f>
        <v>13830000</v>
      </c>
      <c r="L11" s="18">
        <f>SUMIF([1]Sheet1!$A:$A,A11,[1]Sheet1!$Z:$Z)</f>
        <v>3</v>
      </c>
      <c r="M11" s="17">
        <f t="shared" si="2"/>
        <v>64015100</v>
      </c>
      <c r="N11" s="17">
        <f t="shared" si="2"/>
        <v>231</v>
      </c>
      <c r="O11" s="19">
        <f t="shared" si="0"/>
        <v>0.19347229367413987</v>
      </c>
      <c r="P11" s="19">
        <f t="shared" si="0"/>
        <v>0.6386554621848739</v>
      </c>
      <c r="Q11" s="19">
        <f t="shared" si="0"/>
        <v>0.36784324459701168</v>
      </c>
      <c r="R11" s="19">
        <f t="shared" si="0"/>
        <v>4.1095890410958902E-2</v>
      </c>
      <c r="S11" s="19">
        <f t="shared" si="0"/>
        <v>0.21554689530797752</v>
      </c>
      <c r="T11" s="19">
        <f t="shared" si="0"/>
        <v>0.53720930232558139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317849600</v>
      </c>
      <c r="J12" s="23">
        <f t="shared" si="3"/>
        <v>1170</v>
      </c>
      <c r="K12" s="23">
        <f t="shared" si="3"/>
        <v>43600000</v>
      </c>
      <c r="L12" s="23">
        <f t="shared" si="3"/>
        <v>5</v>
      </c>
      <c r="M12" s="23">
        <f t="shared" si="3"/>
        <v>361449600</v>
      </c>
      <c r="N12" s="23">
        <f t="shared" si="3"/>
        <v>1175</v>
      </c>
      <c r="O12" s="24">
        <f>AVERAGE(O6:O11)</f>
        <v>0.3397851203829465</v>
      </c>
      <c r="P12" s="24">
        <f t="shared" ref="P12:T12" si="4">AVERAGE(P6:P11)</f>
        <v>0.72788914470096833</v>
      </c>
      <c r="Q12" s="24">
        <f t="shared" si="4"/>
        <v>0.40463172221491944</v>
      </c>
      <c r="R12" s="24">
        <f t="shared" si="4"/>
        <v>1.5001488981536628E-2</v>
      </c>
      <c r="S12" s="24">
        <f t="shared" si="4"/>
        <v>0.35162887826439687</v>
      </c>
      <c r="T12" s="24">
        <f t="shared" si="4"/>
        <v>0.58090160887821551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2026-10-26T09:46:00Z</dcterms:modified>
</cp:coreProperties>
</file>